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0910"/>
  <workbookPr showInkAnnotation="0" autoCompressPictures="0"/>
  <bookViews>
    <workbookView xWindow="240" yWindow="340" windowWidth="25620" windowHeight="18060" activeTab="1"/>
  </bookViews>
  <sheets>
    <sheet name="URI Projected" sheetId="1" r:id="rId1"/>
    <sheet name="URI Actual" sheetId="2" r:id="rId2"/>
    <sheet name="Invoices Billed &amp; Paid" sheetId="3" r:id="rId3"/>
  </sheets>
  <definedNames>
    <definedName name="_xlnm.Print_Area" localSheetId="1">'URI Actual'!$A$1:$B$138</definedName>
  </definedName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B59" i="2" l="1"/>
  <c r="B83" i="2"/>
  <c r="B138" i="2"/>
  <c r="F32" i="3"/>
  <c r="F33" i="3"/>
  <c r="F28" i="3"/>
  <c r="B71" i="1"/>
  <c r="B70" i="1"/>
  <c r="B46" i="1"/>
  <c r="B118" i="1"/>
  <c r="B120" i="1"/>
</calcChain>
</file>

<file path=xl/comments1.xml><?xml version="1.0" encoding="utf-8"?>
<comments xmlns="http://schemas.openxmlformats.org/spreadsheetml/2006/main">
  <authors>
    <author xml:space="preserve"> User</author>
    <author>Martha</author>
    <author>Bob Aspri</author>
    <author>Amy Thurlow</author>
    <author>Karen Ramsay</author>
    <author>Staff</author>
    <author>Karen</author>
    <author>Maria Brady</author>
    <author>Armine Gulbankian</author>
    <author>bdaley</author>
    <author>ProQuest</author>
  </authors>
  <commentList>
    <comment ref="A4" authorId="0">
      <text>
        <r>
          <rPr>
            <b/>
            <sz val="11"/>
            <color indexed="81"/>
            <rFont val="Tahoma"/>
            <family val="2"/>
          </rPr>
          <t>All titles online</t>
        </r>
      </text>
    </comment>
    <comment ref="A5" authorId="0">
      <text>
        <r>
          <rPr>
            <b/>
            <sz val="11"/>
            <color indexed="81"/>
            <rFont val="Tahoma"/>
            <family val="2"/>
          </rPr>
          <t>Jason Brown (ACS):
Anticipated ACS 2010 amounts with 5% increase.
May be less but not likely to be more</t>
        </r>
      </text>
    </comment>
    <comment ref="A6" authorId="0">
      <text>
        <r>
          <rPr>
            <b/>
            <sz val="11"/>
            <color indexed="81"/>
            <rFont val="Tahoma"/>
            <family val="2"/>
          </rPr>
          <t>AIP is billing agent for Inst. Of Physics</t>
        </r>
      </text>
    </comment>
    <comment ref="A7" authorId="1">
      <text>
        <r>
          <rPr>
            <b/>
            <sz val="8"/>
            <color indexed="81"/>
            <rFont val="Tahoma"/>
            <family val="2"/>
          </rPr>
          <t>Martha:</t>
        </r>
        <r>
          <rPr>
            <sz val="8"/>
            <color indexed="81"/>
            <rFont val="Tahoma"/>
            <family val="2"/>
          </rPr>
          <t xml:space="preserve">
</t>
        </r>
        <r>
          <rPr>
            <sz val="11"/>
            <color indexed="81"/>
            <rFont val="Tahoma"/>
            <family val="2"/>
          </rPr>
          <t>pricing policy changes 9/1/2010 to unlimited users for $495 which HELIN will get with our 2011/12 renewal.
per Rita : ALA still charging our libraries $425 for your renewals for one sim user, and prorate the cost for your accounts that have multiple sim users (which would be $10.42 per month, per sim user).
All libraries go to unlimited users beginning 9/1/2010</t>
        </r>
      </text>
    </comment>
    <comment ref="B7" authorId="0">
      <text>
        <r>
          <rPr>
            <b/>
            <sz val="11"/>
            <color indexed="81"/>
            <rFont val="Tahoma"/>
            <family val="2"/>
          </rPr>
          <t>3 simult. users</t>
        </r>
      </text>
    </comment>
    <comment ref="A8" authorId="0">
      <text>
        <r>
          <rPr>
            <b/>
            <sz val="11"/>
            <color indexed="81"/>
            <rFont val="Tahoma"/>
            <family val="2"/>
          </rPr>
          <t>10% discount to HELIN members</t>
        </r>
      </text>
    </comment>
    <comment ref="B8" authorId="0">
      <text>
        <r>
          <rPr>
            <b/>
            <sz val="10"/>
            <color indexed="81"/>
            <rFont val="Tahoma"/>
            <family val="2"/>
          </rPr>
          <t>cost includes 10% consortium discount</t>
        </r>
      </text>
    </comment>
    <comment ref="A9" authorId="1">
      <text>
        <r>
          <rPr>
            <b/>
            <sz val="8"/>
            <color indexed="81"/>
            <rFont val="Tahoma"/>
            <family val="2"/>
          </rPr>
          <t>Martha:</t>
        </r>
        <r>
          <rPr>
            <sz val="8"/>
            <color indexed="81"/>
            <rFont val="Tahoma"/>
            <family val="2"/>
          </rPr>
          <t xml:space="preserve">
</t>
        </r>
        <r>
          <rPr>
            <sz val="11"/>
            <color indexed="81"/>
            <rFont val="Tahoma"/>
            <family val="2"/>
          </rPr>
          <t>est. cost; actual quote to be send in May or June</t>
        </r>
      </text>
    </comment>
    <comment ref="A10" authorId="0">
      <text>
        <r>
          <rPr>
            <sz val="11"/>
            <color indexed="81"/>
            <rFont val="Tahoma"/>
            <family val="2"/>
          </rPr>
          <t>Inc. all 30 journals</t>
        </r>
      </text>
    </comment>
    <comment ref="A11" authorId="0">
      <text>
        <r>
          <rPr>
            <sz val="11"/>
            <color indexed="81"/>
            <rFont val="Tahoma"/>
            <family val="2"/>
          </rPr>
          <t>Inc. all 30 journals</t>
        </r>
      </text>
    </comment>
    <comment ref="B12" authorId="1">
      <text>
        <r>
          <rPr>
            <b/>
            <sz val="8"/>
            <color indexed="81"/>
            <rFont val="Tahoma"/>
            <family val="2"/>
          </rPr>
          <t>Martha:</t>
        </r>
        <r>
          <rPr>
            <sz val="8"/>
            <color indexed="81"/>
            <rFont val="Tahoma"/>
            <family val="2"/>
          </rPr>
          <t xml:space="preserve">
</t>
        </r>
        <r>
          <rPr>
            <sz val="11"/>
            <color indexed="81"/>
            <rFont val="Tahoma"/>
            <family val="2"/>
          </rPr>
          <t>FOR SCIENCE COLLECTION:
Option B : $4684.50 for current selection of 19 titles 
Option A : $7,776 for all 37 Sciences Collection Journals for 2011.  Includes 14.5% discount &amp; 4 years rolling backfile access.
FOR ECONOMICS COLLECTION:
C.  2011 Economics Collection (Online-only) $1,384
D.  2010 Economics Collection (Online-only) $1,350
E.  2009 Economics Collection (Online-only)  $1,350</t>
        </r>
      </text>
    </comment>
    <comment ref="A13" authorId="0">
      <text>
        <r>
          <rPr>
            <b/>
            <sz val="11"/>
            <color indexed="81"/>
            <rFont val="Tahoma"/>
            <family val="2"/>
          </rPr>
          <t>Per vendor:
3-4% increase in 2010
Board decides in June/July</t>
        </r>
      </text>
    </comment>
    <comment ref="B14" authorId="0">
      <text>
        <r>
          <rPr>
            <b/>
            <sz val="11"/>
            <color indexed="81"/>
            <rFont val="Tahoma"/>
            <family val="2"/>
          </rPr>
          <t>Switched to Waldo for 2010
Client No. X122549
Amt. is their membership dues</t>
        </r>
      </text>
    </comment>
    <comment ref="B16" authorId="0">
      <text>
        <r>
          <rPr>
            <b/>
            <sz val="11"/>
            <color indexed="81"/>
            <rFont val="Tahoma"/>
            <family val="2"/>
          </rPr>
          <t>bill to library -- separate invoice no longer needed</t>
        </r>
      </text>
    </comment>
    <comment ref="A17" authorId="0">
      <text>
        <r>
          <rPr>
            <b/>
            <sz val="11"/>
            <color indexed="81"/>
            <rFont val="Tahoma"/>
            <family val="2"/>
          </rPr>
          <t>All pricing includes 10% consortium discount</t>
        </r>
      </text>
    </comment>
    <comment ref="A18" authorId="0">
      <text>
        <r>
          <rPr>
            <b/>
            <sz val="11"/>
            <color indexed="81"/>
            <rFont val="Tahoma"/>
            <family val="2"/>
          </rPr>
          <t>per vendor:
$1516 for July-Dec. 2009
$1516  plus no more than 7% increase for 2010</t>
        </r>
      </text>
    </comment>
    <comment ref="B20" authorId="0">
      <text>
        <r>
          <rPr>
            <b/>
            <sz val="11"/>
            <color indexed="81"/>
            <rFont val="Tahoma"/>
            <family val="2"/>
          </rPr>
          <t>estimated cost listed
URI will get worksheet in Sept. for actual 2011 calculation</t>
        </r>
      </text>
    </comment>
    <comment ref="A21" authorId="0">
      <text>
        <r>
          <rPr>
            <b/>
            <sz val="11"/>
            <color indexed="81"/>
            <rFont val="Tahoma"/>
            <family val="2"/>
          </rPr>
          <t>3 year discounted price in comments</t>
        </r>
      </text>
    </comment>
    <comment ref="B22" authorId="0">
      <text>
        <r>
          <rPr>
            <b/>
            <sz val="11"/>
            <color indexed="81"/>
            <rFont val="Tahoma"/>
            <family val="2"/>
          </rPr>
          <t xml:space="preserve">10 simult. users cost shown
</t>
        </r>
        <r>
          <rPr>
            <sz val="11"/>
            <color indexed="81"/>
            <rFont val="Tahoma"/>
            <family val="2"/>
          </rPr>
          <t xml:space="preserve">
15 users          = $3025.00
Unlim. users   = $3841.00</t>
        </r>
      </text>
    </comment>
    <comment ref="A23" authorId="1">
      <text>
        <r>
          <rPr>
            <b/>
            <sz val="8"/>
            <color indexed="81"/>
            <rFont val="Tahoma"/>
            <family val="2"/>
          </rPr>
          <t>Martha:</t>
        </r>
        <r>
          <rPr>
            <sz val="8"/>
            <color indexed="81"/>
            <rFont val="Tahoma"/>
            <family val="2"/>
          </rPr>
          <t xml:space="preserve">
</t>
        </r>
        <r>
          <rPr>
            <sz val="11"/>
            <color indexed="81"/>
            <rFont val="Tahoma"/>
            <family val="2"/>
          </rPr>
          <t>price includes 5% discount</t>
        </r>
      </text>
    </comment>
    <comment ref="A27" authorId="0">
      <text>
        <r>
          <rPr>
            <b/>
            <sz val="11"/>
            <color indexed="81"/>
            <rFont val="Tahoma"/>
            <family val="2"/>
          </rPr>
          <t>$162,742 total</t>
        </r>
      </text>
    </comment>
    <comment ref="A28" authorId="2">
      <text>
        <r>
          <rPr>
            <b/>
            <sz val="11"/>
            <color indexed="81"/>
            <rFont val="Tahoma"/>
            <family val="2"/>
          </rPr>
          <t xml:space="preserve">Content Cafe  includes access to:
-         Book jacket images.
-         Tables of contents.
-         Reviews from the following sources: CHOICE, Booklist, Library Journal, Publishers Weekly, School Library Journal, VOYA, HornBook, and Foreword.
</t>
        </r>
      </text>
    </comment>
    <comment ref="B32" authorId="1">
      <text>
        <r>
          <rPr>
            <b/>
            <sz val="11"/>
            <color indexed="81"/>
            <rFont val="Tahoma"/>
            <family val="2"/>
          </rPr>
          <t>Martha:</t>
        </r>
        <r>
          <rPr>
            <sz val="11"/>
            <color indexed="81"/>
            <rFont val="Tahoma"/>
            <family val="2"/>
          </rPr>
          <t xml:space="preserve">
FSTA honored the group price last year even though JWU did not subscribe, but cannot honor it this year hence the increase in price</t>
        </r>
      </text>
    </comment>
    <comment ref="B33" authorId="3">
      <text>
        <r>
          <rPr>
            <b/>
            <sz val="11"/>
            <color indexed="81"/>
            <rFont val="Tahoma"/>
            <family val="2"/>
          </rPr>
          <t>Amy Thurlow:</t>
        </r>
        <r>
          <rPr>
            <sz val="11"/>
            <color indexed="81"/>
            <rFont val="Tahoma"/>
            <family val="2"/>
          </rPr>
          <t xml:space="preserve">
Multi-year pricing offer: 
Year one: $29808 -- 2008/09
Year two: $31302 -- 2009/10
Year three: $32868 -- 2010/11
Inspec Archive is available for a one-time purchase of $28320</t>
        </r>
      </text>
    </comment>
    <comment ref="B40" authorId="1">
      <text>
        <r>
          <rPr>
            <b/>
            <sz val="11"/>
            <color indexed="81"/>
            <rFont val="Tahoma"/>
            <family val="2"/>
          </rPr>
          <t>Martha:</t>
        </r>
        <r>
          <rPr>
            <sz val="11"/>
            <color indexed="81"/>
            <rFont val="Tahoma"/>
            <family val="2"/>
          </rPr>
          <t xml:space="preserve">
Three year renewal of EMBASE on EMBASE.com:
July 1, 2010 – June 30, 2011: $11,528
July 1, 2011 – June 30, 2012: $12,104 
July 1, 2012 – June 30, 2013: $12,710</t>
        </r>
        <r>
          <rPr>
            <sz val="8"/>
            <color indexed="81"/>
            <rFont val="Tahoma"/>
            <family val="2"/>
          </rPr>
          <t xml:space="preserve">
</t>
        </r>
      </text>
    </comment>
    <comment ref="B41" authorId="0">
      <text>
        <r>
          <rPr>
            <b/>
            <sz val="11"/>
            <color indexed="81"/>
            <rFont val="Tahoma"/>
            <family val="2"/>
          </rPr>
          <t xml:space="preserve">Three year renewal of Compendex on Engineering Village:
July 1, 2010 – June 30, 2011 = $17,805
July 1, 2011 – June 30, 2012 = $18,695
July 1, 2012 – June 30, 2013 = $19,630
</t>
        </r>
      </text>
    </comment>
    <comment ref="B44" authorId="4">
      <text>
        <r>
          <rPr>
            <b/>
            <sz val="11"/>
            <color indexed="81"/>
            <rFont val="Tahoma"/>
            <family val="2"/>
          </rPr>
          <t>Karen Ramsay:one time purchase, perpetual access</t>
        </r>
        <r>
          <rPr>
            <sz val="11"/>
            <color indexed="81"/>
            <rFont val="Tahoma"/>
            <family val="2"/>
          </rPr>
          <t xml:space="preserve">
need quote for hosting fee</t>
        </r>
      </text>
    </comment>
    <comment ref="A45" authorId="5">
      <text>
        <r>
          <rPr>
            <sz val="12"/>
            <color indexed="81"/>
            <rFont val="Arial"/>
            <family val="2"/>
          </rPr>
          <t xml:space="preserve">    
LITERATURE RESOURCE CENTER  (LRC)    
 Print Titles   
 -  Contemporary Authors (CA) - All volumes     
 -  Contemporary Authors - New Revision Series - All volumes    
 -  Contemporary Literary Criticism Select (CLCS)  Volume 95 through present, plus select criticism on over 250 authors from 1-94.   
 -  Dictionary of Literary Biography (DLB) - All volumes (document series not included online)   
 -  Merriam-Webster's Encyclopedia of Literature- Single volume--Cover to cover   
 Additional Content   
 -  4,329 Work Overviews, Plot Summaries and Explications   
 -  5,000 Websites   
 -  Over 120,000 author biographies   
 -  2,500 author portraits   
 -  Links to Holdings (Z39.50)   
36,609 critical essays with an additional 5,350 pieces of CLC Select criticism   
 Classical and Medieval Literature Criticism Short Story Criticism Novels for Students (criticism and plot summaries) 
 Nineteenth-Century Literature Criticism Literature Criticism from 1400 to 1800 Poetry for Students (criticism and plot summaries) 
 Twentieth-Century Literary Criticism Children's Literature Review  
 Shakespearean Criticism Drama for Students (criticism and plot summaries)  
 Drama Criticism Short Stories for Students (criticism and plot summaries)  
 Poetry Criticism   
 ADD-ON CONTENT POTENTIAL:   
 -  Scribner's Writer's Series - Add-on subscription - Integrated Content - 30 total volumes   
 -  Twayne's Authors' Series' - US, English, &amp; World - Add-on subscription - Integrated Content - 600 total volumes   
 -  Chadwyck-Healey's Literature Online (LION) Link (for joint subscribers) </t>
        </r>
      </text>
    </comment>
    <comment ref="B45" authorId="5">
      <text>
        <r>
          <rPr>
            <sz val="11"/>
            <color indexed="81"/>
            <rFont val="Tahoma"/>
            <family val="2"/>
          </rPr>
          <t>The 3-year purchase of the Digital Archive of the Gale Literature Resource Center is complete. In Year 7, libraries only pay the access  fee of $2,105 per library. The access fee increases slightly each year as detailed below:
Future Access Fees:
Year 8 : $2,231 per library
Year 9 : $2,365 per library
Year 10 : $2,507 per library
The purchase of the archive gives access on Gale's server to all volumes of Contemporary Authors, Contemporary Literary Criticism, and Dictionary of Literary Biography.  Each library will also receive a  CD-ROM of the archive.</t>
        </r>
      </text>
    </comment>
    <comment ref="B46" authorId="1">
      <text>
        <r>
          <rPr>
            <b/>
            <sz val="8"/>
            <color indexed="81"/>
            <rFont val="Tahoma"/>
            <family val="2"/>
          </rPr>
          <t>Martha:</t>
        </r>
        <r>
          <rPr>
            <sz val="8"/>
            <color indexed="81"/>
            <rFont val="Tahoma"/>
            <family val="2"/>
          </rPr>
          <t xml:space="preserve">
</t>
        </r>
        <r>
          <rPr>
            <sz val="11"/>
            <color indexed="81"/>
            <rFont val="Tahoma"/>
            <family val="2"/>
          </rPr>
          <t>$545.40 Bibliography
$59 Early Theatre
$61 Renaissance and Reformation</t>
        </r>
      </text>
    </comment>
    <comment ref="B47" authorId="0">
      <text>
        <r>
          <rPr>
            <b/>
            <sz val="11"/>
            <color indexed="81"/>
            <rFont val="Tahoma"/>
            <family val="2"/>
          </rPr>
          <t>Includes subscription to IEEE Spectrum
per Joe Vaitkus of IEEE:
probably no more 4% inc.</t>
        </r>
      </text>
    </comment>
    <comment ref="B50" authorId="2">
      <text>
        <r>
          <rPr>
            <b/>
            <sz val="11"/>
            <color indexed="81"/>
            <rFont val="Arial"/>
            <family val="2"/>
          </rPr>
          <t>Renew All collections: 
Arts&amp;Sciences I-VI &amp; complement, Business, Life Sciences, etc.
AAF only</t>
        </r>
        <r>
          <rPr>
            <sz val="12"/>
            <color indexed="81"/>
            <rFont val="Arial"/>
            <family val="2"/>
          </rPr>
          <t xml:space="preserve">
</t>
        </r>
      </text>
    </comment>
    <comment ref="A51" authorId="0">
      <text>
        <r>
          <rPr>
            <b/>
            <sz val="11"/>
            <color indexed="81"/>
            <rFont val="Tahoma"/>
            <family val="2"/>
          </rPr>
          <t>Web of Knowledge interface</t>
        </r>
      </text>
    </comment>
    <comment ref="B52" authorId="6">
      <text>
        <r>
          <rPr>
            <b/>
            <sz val="11"/>
            <color indexed="81"/>
            <rFont val="Tahoma"/>
            <family val="2"/>
          </rPr>
          <t xml:space="preserve">Karen: Science Direct Collections $534,900.82
</t>
        </r>
      </text>
    </comment>
    <comment ref="A54" authorId="0">
      <text>
        <r>
          <rPr>
            <b/>
            <sz val="11"/>
            <color indexed="81"/>
            <rFont val="Tahoma"/>
            <family val="2"/>
          </rPr>
          <t>pricing done with Lyrasis formula which is $1.875 per fte</t>
        </r>
      </text>
    </comment>
    <comment ref="B54" authorId="7">
      <text>
        <r>
          <rPr>
            <b/>
            <sz val="8"/>
            <color indexed="81"/>
            <rFont val="Tahoma"/>
            <family val="2"/>
          </rPr>
          <t>Maria Brady:</t>
        </r>
        <r>
          <rPr>
            <sz val="8"/>
            <color indexed="81"/>
            <rFont val="Tahoma"/>
            <family val="2"/>
          </rPr>
          <t xml:space="preserve">
$1.89 per fte use last years fte count.
</t>
        </r>
      </text>
    </comment>
    <comment ref="A56" authorId="7">
      <text>
        <r>
          <rPr>
            <b/>
            <sz val="8"/>
            <color indexed="81"/>
            <rFont val="Tahoma"/>
            <family val="2"/>
          </rPr>
          <t>Maria Brady:</t>
        </r>
        <r>
          <rPr>
            <sz val="8"/>
            <color indexed="81"/>
            <rFont val="Tahoma"/>
            <family val="2"/>
          </rPr>
          <t xml:space="preserve">
</t>
        </r>
        <r>
          <rPr>
            <b/>
            <sz val="12"/>
            <color indexed="81"/>
            <rFont val="Arial"/>
            <family val="2"/>
          </rPr>
          <t>FLAT PRICING ALL USERS</t>
        </r>
      </text>
    </comment>
    <comment ref="A57" authorId="0">
      <text>
        <r>
          <rPr>
            <b/>
            <sz val="11"/>
            <color indexed="81"/>
            <rFont val="Tahoma"/>
            <family val="2"/>
          </rPr>
          <t>Unlimited users</t>
        </r>
      </text>
    </comment>
    <comment ref="B58" authorId="1">
      <text>
        <r>
          <rPr>
            <b/>
            <sz val="8"/>
            <color indexed="81"/>
            <rFont val="Tahoma"/>
            <family val="2"/>
          </rPr>
          <t>Martha:</t>
        </r>
        <r>
          <rPr>
            <b/>
            <sz val="11"/>
            <color indexed="81"/>
            <rFont val="Tahoma"/>
            <family val="2"/>
          </rPr>
          <t xml:space="preserve">
</t>
        </r>
        <r>
          <rPr>
            <sz val="8"/>
            <color indexed="81"/>
            <rFont val="Tahoma"/>
            <family val="2"/>
          </rPr>
          <t xml:space="preserve">
</t>
        </r>
        <r>
          <rPr>
            <b/>
            <sz val="10"/>
            <color indexed="81"/>
            <rFont val="Tahoma"/>
            <family val="2"/>
          </rPr>
          <t>$1485  1 user
$5930.00 unlimited</t>
        </r>
      </text>
    </comment>
    <comment ref="B59" authorId="8">
      <text>
        <r>
          <rPr>
            <b/>
            <sz val="11"/>
            <color indexed="81"/>
            <rFont val="Times New Roman"/>
            <family val="1"/>
          </rPr>
          <t>2-3 sim. users</t>
        </r>
      </text>
    </comment>
    <comment ref="B60" authorId="8">
      <text>
        <r>
          <rPr>
            <b/>
            <sz val="12"/>
            <color indexed="81"/>
            <rFont val="Times New Roman"/>
            <family val="1"/>
          </rPr>
          <t>2-5 users</t>
        </r>
      </text>
    </comment>
    <comment ref="A61" authorId="0">
      <text>
        <r>
          <rPr>
            <b/>
            <sz val="11"/>
            <color indexed="81"/>
            <rFont val="Tahoma"/>
            <family val="2"/>
          </rPr>
          <t>Per ProjectMUSE:
estimate:
6-8% for the Premium Collection
4-6% for all other collections</t>
        </r>
      </text>
    </comment>
    <comment ref="B61" authorId="0">
      <text>
        <r>
          <rPr>
            <b/>
            <sz val="11"/>
            <color indexed="81"/>
            <rFont val="Tahoma"/>
            <family val="2"/>
          </rPr>
          <t xml:space="preserve">Premium Collection
</t>
        </r>
      </text>
    </comment>
    <comment ref="A63" authorId="0">
      <text>
        <r>
          <rPr>
            <b/>
            <sz val="11"/>
            <color indexed="81"/>
            <rFont val="Tahoma"/>
            <family val="2"/>
          </rPr>
          <t>HELIN now gets 15% discount because of no. of participants</t>
        </r>
      </text>
    </comment>
    <comment ref="A64" authorId="0">
      <text>
        <r>
          <rPr>
            <b/>
            <sz val="11"/>
            <color indexed="81"/>
            <rFont val="Tahoma"/>
            <family val="2"/>
          </rPr>
          <t>HELIN now gets 15% discount because of no. of participants</t>
        </r>
      </text>
    </comment>
    <comment ref="B64" authorId="0">
      <text>
        <r>
          <rPr>
            <sz val="11"/>
            <color indexed="81"/>
            <rFont val="Tahoma"/>
            <family val="2"/>
          </rPr>
          <t xml:space="preserve">Univ. of RI
Pricing  from Laura Brown
Titles accessed:
Journal of the Operational Research Society -- $1,554
Knowledge Management Research &amp; Practice -- free with JORS (above)
Polity -- $183
</t>
        </r>
      </text>
    </comment>
    <comment ref="A65" authorId="0">
      <text>
        <r>
          <rPr>
            <b/>
            <sz val="11"/>
            <color indexed="81"/>
            <rFont val="Tahoma"/>
            <family val="2"/>
          </rPr>
          <t>Site license for unlimited users</t>
        </r>
      </text>
    </comment>
    <comment ref="B66" authorId="0">
      <text>
        <r>
          <rPr>
            <b/>
            <sz val="11"/>
            <color indexed="81"/>
            <rFont val="Tahoma"/>
            <family val="2"/>
          </rPr>
          <t>Need 2011 price
With NERL fee:</t>
        </r>
      </text>
    </comment>
    <comment ref="B67" authorId="0">
      <text>
        <r>
          <rPr>
            <b/>
            <sz val="11"/>
            <color indexed="81"/>
            <rFont val="Tahoma"/>
            <family val="2"/>
          </rPr>
          <t>Sub. Period = 9/10 - 8/11
Inc. $160 NERL fee
1 seat w/o SSM</t>
        </r>
      </text>
    </comment>
    <comment ref="B68" authorId="0">
      <text>
        <r>
          <rPr>
            <b/>
            <sz val="11"/>
            <color indexed="81"/>
            <rFont val="Tahoma"/>
            <family val="2"/>
          </rPr>
          <t>NERL fee of:</t>
        </r>
      </text>
    </comment>
    <comment ref="B70" authorId="9">
      <text>
        <r>
          <rPr>
            <b/>
            <sz val="8"/>
            <color indexed="81"/>
            <rFont val="Tahoma"/>
            <family val="2"/>
          </rPr>
          <t>bdaley:</t>
        </r>
        <r>
          <rPr>
            <sz val="8"/>
            <color indexed="81"/>
            <rFont val="Tahoma"/>
            <family val="2"/>
          </rPr>
          <t xml:space="preserve">
</t>
        </r>
        <r>
          <rPr>
            <sz val="11"/>
            <color indexed="81"/>
            <rFont val="Tahoma"/>
            <family val="2"/>
          </rPr>
          <t>NERLcontent fees:
$12877.50 2011 (plus unknown increase)
$6, 938.75 prorated July-Dec. 2010
$150 NERL fee
$1000 PQ Price for access / hosting</t>
        </r>
      </text>
    </comment>
    <comment ref="A71" authorId="0">
      <text>
        <r>
          <rPr>
            <b/>
            <sz val="11"/>
            <color indexed="81"/>
            <rFont val="Tahoma"/>
            <family val="2"/>
          </rPr>
          <t xml:space="preserve">SAGE pricing for 2010-2-12 sent to libraries Feb. 2010
cost includes $160 NERL fee
</t>
        </r>
      </text>
    </comment>
    <comment ref="B71" authorId="1">
      <text>
        <r>
          <rPr>
            <b/>
            <sz val="8"/>
            <color indexed="81"/>
            <rFont val="Tahoma"/>
            <family val="2"/>
          </rPr>
          <t xml:space="preserve">Martha (per Andree):
</t>
        </r>
        <r>
          <rPr>
            <sz val="8"/>
            <color indexed="81"/>
            <rFont val="Tahoma"/>
            <family val="2"/>
          </rPr>
          <t xml:space="preserve">
</t>
        </r>
        <r>
          <rPr>
            <sz val="11"/>
            <color indexed="81"/>
            <rFont val="Tahoma"/>
            <family val="2"/>
          </rPr>
          <t>1/2010-12/2010 -- $87,592.66 minus credit for titles already renewed through EBSCO ($4,543.00) = $</t>
        </r>
        <r>
          <rPr>
            <b/>
            <sz val="11"/>
            <color indexed="81"/>
            <rFont val="Tahoma"/>
            <family val="2"/>
          </rPr>
          <t>83,049.66</t>
        </r>
        <r>
          <rPr>
            <sz val="11"/>
            <color indexed="81"/>
            <rFont val="Tahoma"/>
            <family val="2"/>
          </rPr>
          <t xml:space="preserve"> (+20.9%) 
Sage NERL fee 2010 -- </t>
        </r>
        <r>
          <rPr>
            <b/>
            <sz val="11"/>
            <color indexed="81"/>
            <rFont val="Tahoma"/>
            <family val="2"/>
          </rPr>
          <t xml:space="preserve">$160.00 </t>
        </r>
        <r>
          <rPr>
            <sz val="11"/>
            <color indexed="81"/>
            <rFont val="Tahoma"/>
            <family val="2"/>
          </rPr>
          <t xml:space="preserve">
Package cost 1/2011-12/2011 -- </t>
        </r>
        <r>
          <rPr>
            <b/>
            <sz val="11"/>
            <color indexed="81"/>
            <rFont val="Tahoma"/>
            <family val="2"/>
          </rPr>
          <t>$90,220.44</t>
        </r>
        <r>
          <rPr>
            <sz val="11"/>
            <color indexed="81"/>
            <rFont val="Tahoma"/>
            <family val="2"/>
          </rPr>
          <t xml:space="preserve"> (+3.0%) 
Sage NERL fee 2011 -- $</t>
        </r>
        <r>
          <rPr>
            <b/>
            <sz val="11"/>
            <color indexed="81"/>
            <rFont val="Tahoma"/>
            <family val="2"/>
          </rPr>
          <t xml:space="preserve">160.00 </t>
        </r>
        <r>
          <rPr>
            <sz val="11"/>
            <color indexed="81"/>
            <rFont val="Tahoma"/>
            <family val="2"/>
          </rPr>
          <t xml:space="preserve">
Package cost 1/2012-12/2012 -- $</t>
        </r>
        <r>
          <rPr>
            <b/>
            <sz val="11"/>
            <color indexed="81"/>
            <rFont val="Tahoma"/>
            <family val="2"/>
          </rPr>
          <t>92,927.05</t>
        </r>
        <r>
          <rPr>
            <sz val="11"/>
            <color indexed="81"/>
            <rFont val="Tahoma"/>
            <family val="2"/>
          </rPr>
          <t xml:space="preserve"> (+3.0%)
Sage NERL fee 2012 -- $</t>
        </r>
        <r>
          <rPr>
            <b/>
            <sz val="11"/>
            <color indexed="81"/>
            <rFont val="Tahoma"/>
            <family val="2"/>
          </rPr>
          <t>160.0</t>
        </r>
        <r>
          <rPr>
            <sz val="11"/>
            <color indexed="81"/>
            <rFont val="Tahoma"/>
            <family val="2"/>
          </rPr>
          <t xml:space="preserve">0 </t>
        </r>
      </text>
    </comment>
    <comment ref="B84" authorId="9">
      <text>
        <r>
          <rPr>
            <b/>
            <sz val="8"/>
            <color indexed="81"/>
            <rFont val="Tahoma"/>
            <family val="2"/>
          </rPr>
          <t>bdaley:</t>
        </r>
        <r>
          <rPr>
            <sz val="8"/>
            <color indexed="81"/>
            <rFont val="Tahoma"/>
            <family val="2"/>
          </rPr>
          <t xml:space="preserve">
</t>
        </r>
        <r>
          <rPr>
            <sz val="11"/>
            <color indexed="81"/>
            <rFont val="Tahoma"/>
            <family val="2"/>
          </rPr>
          <t>NERL content fees:
$12877.50 2011 (plus unknown increase)
$6, 938.75 prorated July-Dec. 2010
$150 NERL fee
$1000 PQ Price for access / hosting</t>
        </r>
      </text>
    </comment>
    <comment ref="A89" authorId="1">
      <text>
        <r>
          <rPr>
            <b/>
            <sz val="8"/>
            <color indexed="81"/>
            <rFont val="Tahoma"/>
            <family val="2"/>
          </rPr>
          <t>Martha:</t>
        </r>
        <r>
          <rPr>
            <sz val="8"/>
            <color indexed="81"/>
            <rFont val="Tahoma"/>
            <family val="2"/>
          </rPr>
          <t xml:space="preserve">
</t>
        </r>
        <r>
          <rPr>
            <sz val="11"/>
            <color indexed="81"/>
            <rFont val="Tahoma"/>
            <family val="2"/>
          </rPr>
          <t>formerly held by LexisNexis</t>
        </r>
      </text>
    </comment>
    <comment ref="B93" authorId="10">
      <text>
        <r>
          <rPr>
            <b/>
            <sz val="8"/>
            <color indexed="81"/>
            <rFont val="Tahoma"/>
            <family val="2"/>
          </rPr>
          <t>ProQuest:</t>
        </r>
        <r>
          <rPr>
            <sz val="8"/>
            <color indexed="81"/>
            <rFont val="Tahoma"/>
            <family val="2"/>
          </rPr>
          <t xml:space="preserve">
Sub to Prov Journal</t>
        </r>
      </text>
    </comment>
    <comment ref="B95" authorId="1">
      <text>
        <r>
          <rPr>
            <b/>
            <sz val="8"/>
            <color indexed="81"/>
            <rFont val="Tahoma"/>
            <family val="2"/>
          </rPr>
          <t>Martha:</t>
        </r>
        <r>
          <rPr>
            <sz val="8"/>
            <color indexed="81"/>
            <rFont val="Tahoma"/>
            <family val="2"/>
          </rPr>
          <t xml:space="preserve">
50-100 books
</t>
        </r>
        <r>
          <rPr>
            <b/>
            <sz val="8"/>
            <color indexed="81"/>
            <rFont val="Tahoma"/>
            <family val="2"/>
          </rPr>
          <t xml:space="preserve">Bruce: 
</t>
        </r>
        <r>
          <rPr>
            <sz val="8"/>
            <color indexed="81"/>
            <rFont val="Tahoma"/>
            <family val="2"/>
          </rPr>
          <t>pricing is for2 SU and 100 Books</t>
        </r>
      </text>
    </comment>
    <comment ref="A97" authorId="0">
      <text>
        <r>
          <rPr>
            <b/>
            <sz val="11"/>
            <color indexed="81"/>
            <rFont val="Tahoma"/>
            <family val="2"/>
          </rPr>
          <t>Consortium discounting @ 15% begins when 3 members subscribe (or if the total value of the subscription is $10,000).  A second tier of discouning (20%) kicks in when 10 members subscribe (or if the total subscription value reaches $50,000).
Discount being given to URI again even through 3 libraries are not subscribing.</t>
        </r>
      </text>
    </comment>
    <comment ref="B97" authorId="1">
      <text>
        <r>
          <rPr>
            <b/>
            <sz val="8"/>
            <color indexed="81"/>
            <rFont val="Tahoma"/>
            <family val="2"/>
          </rPr>
          <t>Martha:</t>
        </r>
        <r>
          <rPr>
            <sz val="8"/>
            <color indexed="81"/>
            <rFont val="Tahoma"/>
            <family val="2"/>
          </rPr>
          <t xml:space="preserve">
</t>
        </r>
        <r>
          <rPr>
            <sz val="11"/>
            <color indexed="81"/>
            <rFont val="Tahoma"/>
            <family val="2"/>
          </rPr>
          <t>URI's price last year was $3,156, which included a 15% consortial discount usually reserved for subscribers in consortia where at least three members
signed up.  We will continue to make that exception for URI in this coming year.  Due to FTE growth, their 2010-2011 invoice will be $3,353 reflecting last year's price schedule and the continuing consortial discount.</t>
        </r>
      </text>
    </comment>
    <comment ref="B98" authorId="0">
      <text>
        <r>
          <rPr>
            <b/>
            <sz val="11"/>
            <color indexed="81"/>
            <rFont val="Tahoma"/>
            <family val="2"/>
          </rPr>
          <t>Package B -- online
2009 cost shown</t>
        </r>
      </text>
    </comment>
    <comment ref="B102" authorId="1">
      <text>
        <r>
          <rPr>
            <b/>
            <sz val="8"/>
            <color indexed="81"/>
            <rFont val="Tahoma"/>
            <family val="2"/>
          </rPr>
          <t>Martha:</t>
        </r>
        <r>
          <rPr>
            <sz val="8"/>
            <color indexed="81"/>
            <rFont val="Tahoma"/>
            <family val="2"/>
          </rPr>
          <t xml:space="preserve">
</t>
        </r>
        <r>
          <rPr>
            <sz val="11"/>
            <color indexed="81"/>
            <rFont val="Tahoma"/>
            <family val="2"/>
          </rPr>
          <t>New subscription for 5/1/2010-6/30/2012 
$3120 pd. June 2010</t>
        </r>
      </text>
    </comment>
    <comment ref="B104" authorId="0">
      <text>
        <r>
          <rPr>
            <b/>
            <sz val="11"/>
            <color indexed="81"/>
            <rFont val="Tahoma"/>
            <family val="2"/>
          </rPr>
          <t>Pd. For 3 years in 08/09
subscription ends June 2012</t>
        </r>
      </text>
    </comment>
    <comment ref="A105" authorId="1">
      <text>
        <r>
          <rPr>
            <b/>
            <sz val="8"/>
            <color indexed="81"/>
            <rFont val="Tahoma"/>
            <family val="2"/>
          </rPr>
          <t>Martha:</t>
        </r>
        <r>
          <rPr>
            <sz val="8"/>
            <color indexed="81"/>
            <rFont val="Tahoma"/>
            <family val="2"/>
          </rPr>
          <t xml:space="preserve">
</t>
        </r>
        <r>
          <rPr>
            <sz val="11"/>
            <color indexed="81"/>
            <rFont val="Tahoma"/>
            <family val="2"/>
          </rPr>
          <t>10% discount for 4 or more libraries</t>
        </r>
      </text>
    </comment>
    <comment ref="B106" authorId="1">
      <text>
        <r>
          <rPr>
            <b/>
            <sz val="8"/>
            <color indexed="81"/>
            <rFont val="Tahoma"/>
            <family val="2"/>
          </rPr>
          <t>Martha:</t>
        </r>
        <r>
          <rPr>
            <sz val="8"/>
            <color indexed="81"/>
            <rFont val="Tahoma"/>
            <family val="2"/>
          </rPr>
          <t xml:space="preserve">
</t>
        </r>
        <r>
          <rPr>
            <sz val="11"/>
            <color indexed="81"/>
            <rFont val="Tahoma"/>
            <family val="2"/>
          </rPr>
          <t>If 3 year agreement:
2011 $114,547
2012 $120,274
2013 $126,288</t>
        </r>
      </text>
    </comment>
    <comment ref="B107" authorId="0">
      <text>
        <r>
          <rPr>
            <b/>
            <sz val="11"/>
            <color indexed="81"/>
            <rFont val="Tahoma"/>
            <family val="2"/>
          </rPr>
          <t>Part of ACS Web ed. but invoiced by Wiley</t>
        </r>
      </text>
    </comment>
    <comment ref="B109" authorId="0">
      <text>
        <r>
          <rPr>
            <b/>
            <sz val="11"/>
            <color indexed="81"/>
            <rFont val="Tahoma"/>
            <family val="2"/>
          </rPr>
          <t>est. 5% increase by vendor</t>
        </r>
      </text>
    </comment>
    <comment ref="B110" authorId="1">
      <text>
        <r>
          <rPr>
            <b/>
            <sz val="8"/>
            <color indexed="81"/>
            <rFont val="Tahoma"/>
            <family val="2"/>
          </rPr>
          <t>Martha:</t>
        </r>
        <r>
          <rPr>
            <sz val="8"/>
            <color indexed="81"/>
            <rFont val="Tahoma"/>
            <family val="2"/>
          </rPr>
          <t xml:space="preserve">
</t>
        </r>
        <r>
          <rPr>
            <sz val="11"/>
            <color indexed="81"/>
            <rFont val="Tahoma"/>
            <family val="2"/>
          </rPr>
          <t>8 concurrent users</t>
        </r>
      </text>
    </comment>
    <comment ref="B111" authorId="6">
      <text>
        <r>
          <rPr>
            <b/>
            <sz val="11"/>
            <color indexed="81"/>
            <rFont val="Tahoma"/>
            <family val="2"/>
          </rPr>
          <t>Karen:</t>
        </r>
        <r>
          <rPr>
            <sz val="11"/>
            <color indexed="81"/>
            <rFont val="Tahoma"/>
            <family val="2"/>
          </rPr>
          <t xml:space="preserve">
Access fee only
3 concurrent users</t>
        </r>
      </text>
    </comment>
    <comment ref="A112" authorId="1">
      <text>
        <r>
          <rPr>
            <b/>
            <sz val="8"/>
            <color indexed="81"/>
            <rFont val="Tahoma"/>
            <family val="2"/>
          </rPr>
          <t>Martha:</t>
        </r>
        <r>
          <rPr>
            <sz val="8"/>
            <color indexed="81"/>
            <rFont val="Tahoma"/>
            <family val="2"/>
          </rPr>
          <t xml:space="preserve">
4</t>
        </r>
        <r>
          <rPr>
            <sz val="11"/>
            <color indexed="81"/>
            <rFont val="Tahoma"/>
            <family val="2"/>
          </rPr>
          <t xml:space="preserve"> concurrent users
price inc. 10% HELIN discount</t>
        </r>
      </text>
    </comment>
    <comment ref="A113" authorId="0">
      <text>
        <r>
          <rPr>
            <b/>
            <sz val="11"/>
            <color indexed="81"/>
            <rFont val="Tahoma"/>
            <family val="2"/>
          </rPr>
          <t>Including ERIC
price inc. 10% HELIN discount</t>
        </r>
      </text>
    </comment>
    <comment ref="B114" authorId="0">
      <text>
        <r>
          <rPr>
            <b/>
            <sz val="11"/>
            <color indexed="81"/>
            <rFont val="Tahoma"/>
            <family val="2"/>
          </rPr>
          <t>Access fee only
3 concurrent users</t>
        </r>
      </text>
    </comment>
    <comment ref="B115" authorId="0">
      <text>
        <r>
          <rPr>
            <b/>
            <sz val="11"/>
            <color indexed="81"/>
            <rFont val="Tahoma"/>
            <family val="2"/>
          </rPr>
          <t>Access fee only
3 concurrent users</t>
        </r>
      </text>
    </comment>
    <comment ref="A116" authorId="1">
      <text>
        <r>
          <rPr>
            <b/>
            <sz val="8"/>
            <color indexed="81"/>
            <rFont val="Tahoma"/>
            <family val="2"/>
          </rPr>
          <t>Martha:</t>
        </r>
        <r>
          <rPr>
            <sz val="8"/>
            <color indexed="81"/>
            <rFont val="Tahoma"/>
            <family val="2"/>
          </rPr>
          <t xml:space="preserve">
</t>
        </r>
        <r>
          <rPr>
            <sz val="11"/>
            <color indexed="81"/>
            <rFont val="Tahoma"/>
            <family val="2"/>
          </rPr>
          <t>price based on 6 concurrent users
access fee only</t>
        </r>
      </text>
    </comment>
    <comment ref="B116" authorId="0">
      <text>
        <r>
          <rPr>
            <b/>
            <sz val="11"/>
            <color indexed="81"/>
            <rFont val="Tahoma"/>
            <family val="2"/>
          </rPr>
          <t>Access fee only</t>
        </r>
      </text>
    </comment>
  </commentList>
</comments>
</file>

<file path=xl/comments2.xml><?xml version="1.0" encoding="utf-8"?>
<comments xmlns="http://schemas.openxmlformats.org/spreadsheetml/2006/main">
  <authors>
    <author xml:space="preserve"> User</author>
    <author>Karen</author>
    <author>Martha</author>
    <author>Bob Aspri</author>
    <author>Amy Thurlow</author>
    <author>Karen Ramsay</author>
    <author>Staff</author>
    <author>Maria Brady</author>
    <author>Armine Gulbankian</author>
    <author>bdaley</author>
    <author>ProQuest</author>
  </authors>
  <commentList>
    <comment ref="A4" authorId="0">
      <text>
        <r>
          <rPr>
            <b/>
            <sz val="11"/>
            <color indexed="81"/>
            <rFont val="Tahoma"/>
            <family val="2"/>
          </rPr>
          <t>All titles online</t>
        </r>
      </text>
    </comment>
    <comment ref="B4" authorId="1">
      <text>
        <r>
          <rPr>
            <b/>
            <sz val="11"/>
            <color indexed="81"/>
            <rFont val="Tahoma"/>
            <family val="2"/>
          </rPr>
          <t>Karen:
Separate invoice to URI to be billed to Independent Insurance Endowment</t>
        </r>
        <r>
          <rPr>
            <sz val="11"/>
            <color indexed="81"/>
            <rFont val="Tahoma"/>
            <family val="2"/>
          </rPr>
          <t xml:space="preserve">
</t>
        </r>
      </text>
    </comment>
    <comment ref="A5" authorId="0">
      <text>
        <r>
          <rPr>
            <b/>
            <sz val="11"/>
            <color indexed="81"/>
            <rFont val="Tahoma"/>
            <family val="2"/>
          </rPr>
          <t>Jason Brown (ACS):
Anticipated ACS 2010 amounts with 5% increase.
May be less but not likely to be more</t>
        </r>
      </text>
    </comment>
    <comment ref="A6" authorId="0">
      <text>
        <r>
          <rPr>
            <b/>
            <sz val="11"/>
            <color indexed="81"/>
            <rFont val="Tahoma"/>
            <family val="2"/>
          </rPr>
          <t>AIP is billing agent for Inst. Of Physics</t>
        </r>
      </text>
    </comment>
    <comment ref="A7" authorId="2">
      <text>
        <r>
          <rPr>
            <b/>
            <sz val="8"/>
            <color indexed="81"/>
            <rFont val="Tahoma"/>
            <family val="2"/>
          </rPr>
          <t>Martha:</t>
        </r>
        <r>
          <rPr>
            <sz val="8"/>
            <color indexed="81"/>
            <rFont val="Tahoma"/>
            <family val="2"/>
          </rPr>
          <t xml:space="preserve">
</t>
        </r>
        <r>
          <rPr>
            <sz val="11"/>
            <color indexed="81"/>
            <rFont val="Tahoma"/>
            <family val="2"/>
          </rPr>
          <t>pricing policy changes 9/1/2010 to unlimited users for $495 which HELIN will get with our 2011/12 renewal.
per Rita : ALA still charging our libraries $425 for your renewals for one sim user, and prorate the cost for your accounts that have multiple sim users (which would be $10.42 per month, per sim user).
All libraries go to unlimited users beginning 9/1/2010</t>
        </r>
      </text>
    </comment>
    <comment ref="B7" authorId="0">
      <text>
        <r>
          <rPr>
            <b/>
            <sz val="11"/>
            <color indexed="81"/>
            <rFont val="Tahoma"/>
            <family val="2"/>
          </rPr>
          <t>3 simult. users</t>
        </r>
      </text>
    </comment>
    <comment ref="A8" authorId="0">
      <text>
        <r>
          <rPr>
            <b/>
            <sz val="11"/>
            <color indexed="81"/>
            <rFont val="Tahoma"/>
            <family val="2"/>
          </rPr>
          <t>10% discount to HELIN members</t>
        </r>
      </text>
    </comment>
    <comment ref="B8" authorId="0">
      <text>
        <r>
          <rPr>
            <b/>
            <sz val="10"/>
            <color indexed="81"/>
            <rFont val="Tahoma"/>
            <family val="2"/>
          </rPr>
          <t>cost includes 10% consortium discount</t>
        </r>
      </text>
    </comment>
    <comment ref="A10" authorId="2">
      <text>
        <r>
          <rPr>
            <b/>
            <sz val="8"/>
            <color indexed="81"/>
            <rFont val="Tahoma"/>
            <family val="2"/>
          </rPr>
          <t>Martha:</t>
        </r>
        <r>
          <rPr>
            <sz val="8"/>
            <color indexed="81"/>
            <rFont val="Tahoma"/>
            <family val="2"/>
          </rPr>
          <t xml:space="preserve">
</t>
        </r>
        <r>
          <rPr>
            <sz val="11"/>
            <color indexed="81"/>
            <rFont val="Tahoma"/>
            <family val="2"/>
          </rPr>
          <t>est. cost; actual quote to be send in May or June</t>
        </r>
      </text>
    </comment>
    <comment ref="A13" authorId="0">
      <text>
        <r>
          <rPr>
            <sz val="11"/>
            <color indexed="81"/>
            <rFont val="Tahoma"/>
            <family val="2"/>
          </rPr>
          <t>Inc. all 30 journals</t>
        </r>
      </text>
    </comment>
    <comment ref="A14" authorId="0">
      <text>
        <r>
          <rPr>
            <sz val="11"/>
            <color indexed="81"/>
            <rFont val="Tahoma"/>
            <family val="2"/>
          </rPr>
          <t>Inc. all 30 journals</t>
        </r>
      </text>
    </comment>
    <comment ref="B15" authorId="2">
      <text>
        <r>
          <rPr>
            <b/>
            <sz val="8"/>
            <color indexed="81"/>
            <rFont val="Tahoma"/>
            <family val="2"/>
          </rPr>
          <t>Martha:</t>
        </r>
        <r>
          <rPr>
            <sz val="8"/>
            <color indexed="81"/>
            <rFont val="Tahoma"/>
            <family val="2"/>
          </rPr>
          <t xml:space="preserve">
</t>
        </r>
        <r>
          <rPr>
            <sz val="11"/>
            <color indexed="81"/>
            <rFont val="Tahoma"/>
            <family val="2"/>
          </rPr>
          <t>FOR SCIENCE COLLECTION:
Option B : $4684.50 for current selection of 19 titles 
Option A : $7,776 for all 37 Sciences Collection Journals for 2011.  Includes 14.5% discount &amp; 4 years rolling backfile access.
FOR ECONOMICS COLLECTION:
C.  2011 Economics Collection (Online-only) $1,384
D.  2010 Economics Collection (Online-only) $1,350
E.  2009 Economics Collection (Online-only)  $1,350</t>
        </r>
      </text>
    </comment>
    <comment ref="A16" authorId="0">
      <text>
        <r>
          <rPr>
            <b/>
            <sz val="11"/>
            <color indexed="81"/>
            <rFont val="Tahoma"/>
            <family val="2"/>
          </rPr>
          <t>Per vendor:
3-4% increase in 2010
Board decides in June/July</t>
        </r>
      </text>
    </comment>
    <comment ref="B16" authorId="0">
      <text>
        <r>
          <rPr>
            <b/>
            <sz val="11"/>
            <color indexed="81"/>
            <rFont val="Tahoma"/>
            <family val="2"/>
          </rPr>
          <t>Includes 4% est. increase</t>
        </r>
      </text>
    </comment>
    <comment ref="B17" authorId="0">
      <text>
        <r>
          <rPr>
            <b/>
            <sz val="11"/>
            <color indexed="81"/>
            <rFont val="Tahoma"/>
            <family val="2"/>
          </rPr>
          <t>Switched to Waldo for 2010
Prorated 17 mos 1/20/10 -6/20/11
pd FY10
Client No. X122549
Amt. is their membership dues</t>
        </r>
      </text>
    </comment>
    <comment ref="B20" authorId="0">
      <text>
        <r>
          <rPr>
            <b/>
            <sz val="11"/>
            <color indexed="81"/>
            <rFont val="Tahoma"/>
            <family val="2"/>
          </rPr>
          <t>bill to library -- separate invoice no longer needed</t>
        </r>
      </text>
    </comment>
    <comment ref="A21" authorId="0">
      <text>
        <r>
          <rPr>
            <b/>
            <sz val="11"/>
            <color indexed="81"/>
            <rFont val="Tahoma"/>
            <family val="2"/>
          </rPr>
          <t>All pricing includes 10% consortium discount</t>
        </r>
      </text>
    </comment>
    <comment ref="B24" authorId="0">
      <text>
        <r>
          <rPr>
            <b/>
            <sz val="11"/>
            <color indexed="81"/>
            <rFont val="Tahoma"/>
            <family val="2"/>
          </rPr>
          <t>Sub. Period = 9/10 - 8/11
Inc. $160 NERL fee
1 seat w/o SSM</t>
        </r>
      </text>
    </comment>
    <comment ref="A25" authorId="0">
      <text>
        <r>
          <rPr>
            <b/>
            <sz val="11"/>
            <color indexed="81"/>
            <rFont val="Tahoma"/>
            <family val="2"/>
          </rPr>
          <t>3 year discounted price in comments</t>
        </r>
      </text>
    </comment>
    <comment ref="B26" authorId="0">
      <text>
        <r>
          <rPr>
            <b/>
            <sz val="11"/>
            <color indexed="81"/>
            <rFont val="Tahoma"/>
            <family val="2"/>
          </rPr>
          <t xml:space="preserve">10 simult. users cost shown
</t>
        </r>
        <r>
          <rPr>
            <sz val="11"/>
            <color indexed="81"/>
            <rFont val="Tahoma"/>
            <family val="2"/>
          </rPr>
          <t xml:space="preserve">
15 users          = $3025.00
Unlim. users   = $3841.00</t>
        </r>
      </text>
    </comment>
    <comment ref="A27" authorId="2">
      <text>
        <r>
          <rPr>
            <b/>
            <sz val="8"/>
            <color indexed="81"/>
            <rFont val="Tahoma"/>
            <family val="2"/>
          </rPr>
          <t>Martha:</t>
        </r>
        <r>
          <rPr>
            <sz val="8"/>
            <color indexed="81"/>
            <rFont val="Tahoma"/>
            <family val="2"/>
          </rPr>
          <t xml:space="preserve">
</t>
        </r>
        <r>
          <rPr>
            <sz val="11"/>
            <color indexed="81"/>
            <rFont val="Tahoma"/>
            <family val="2"/>
          </rPr>
          <t>price includes 5% discount</t>
        </r>
      </text>
    </comment>
    <comment ref="A32" authorId="0">
      <text>
        <r>
          <rPr>
            <b/>
            <sz val="11"/>
            <color indexed="81"/>
            <rFont val="Tahoma"/>
            <family val="2"/>
          </rPr>
          <t>$162,742 total</t>
        </r>
      </text>
    </comment>
    <comment ref="A33" authorId="3">
      <text>
        <r>
          <rPr>
            <b/>
            <sz val="11"/>
            <color indexed="81"/>
            <rFont val="Tahoma"/>
            <family val="2"/>
          </rPr>
          <t xml:space="preserve">Content Cafe  includes access to:
-         Book jacket images.
-         Tables of contents.
-         Reviews from the following sources: CHOICE, Booklist, Library Journal, Publishers Weekly, School Library Journal, VOYA, HornBook, and Foreword.
</t>
        </r>
      </text>
    </comment>
    <comment ref="B35" authorId="1">
      <text>
        <r>
          <rPr>
            <b/>
            <sz val="11"/>
            <color indexed="81"/>
            <rFont val="Tahoma"/>
            <family val="2"/>
          </rPr>
          <t>Karen:</t>
        </r>
        <r>
          <rPr>
            <sz val="11"/>
            <color indexed="81"/>
            <rFont val="Tahoma"/>
            <family val="2"/>
          </rPr>
          <t xml:space="preserve">
6 mos 1/1-6/30/11</t>
        </r>
      </text>
    </comment>
    <comment ref="B38" authorId="2">
      <text>
        <r>
          <rPr>
            <b/>
            <sz val="11"/>
            <color indexed="81"/>
            <rFont val="Tahoma"/>
            <family val="2"/>
          </rPr>
          <t>Martha:</t>
        </r>
        <r>
          <rPr>
            <sz val="11"/>
            <color indexed="81"/>
            <rFont val="Tahoma"/>
            <family val="2"/>
          </rPr>
          <t xml:space="preserve">
FSTA honored the group price last year even though JWU did not subscribe, but cannot honor it this year hence the increase in price</t>
        </r>
      </text>
    </comment>
    <comment ref="B39" authorId="4">
      <text>
        <r>
          <rPr>
            <b/>
            <sz val="11"/>
            <color indexed="81"/>
            <rFont val="Tahoma"/>
            <family val="2"/>
          </rPr>
          <t>Amy Thurlow:</t>
        </r>
        <r>
          <rPr>
            <sz val="11"/>
            <color indexed="81"/>
            <rFont val="Tahoma"/>
            <family val="2"/>
          </rPr>
          <t xml:space="preserve">
Multi-year pricing offer: 
Year one: $29808 -- 2008/09
Year two: $31302 -- 2009/10
Year three: $32868 -- 2010/11
Inspec Archive is available for a one-time purchase of $28320</t>
        </r>
      </text>
    </comment>
    <comment ref="B47" authorId="2">
      <text>
        <r>
          <rPr>
            <b/>
            <sz val="11"/>
            <color indexed="81"/>
            <rFont val="Tahoma"/>
            <family val="2"/>
          </rPr>
          <t>Martha:</t>
        </r>
        <r>
          <rPr>
            <sz val="11"/>
            <color indexed="81"/>
            <rFont val="Tahoma"/>
            <family val="2"/>
          </rPr>
          <t xml:space="preserve">
Three year renewal of EMBASE on EMBASE.com:
July 1, 2010 – June 30, 2011: $11,528
July 1, 2011 – June 30, 2012: $12,104 
July 1, 2012 – June 30, 2013: $12,710</t>
        </r>
        <r>
          <rPr>
            <sz val="8"/>
            <color indexed="81"/>
            <rFont val="Tahoma"/>
            <family val="2"/>
          </rPr>
          <t xml:space="preserve">
</t>
        </r>
      </text>
    </comment>
    <comment ref="B48" authorId="0">
      <text>
        <r>
          <rPr>
            <b/>
            <sz val="11"/>
            <color indexed="81"/>
            <rFont val="Tahoma"/>
            <family val="2"/>
          </rPr>
          <t xml:space="preserve">Three year renewal of Compendex on Engineering Village:
July 1, 2010 – June 30, 2011 = $17,805
July 1, 2011 – June 30, 2012 = $18,695
July 1, 2012 – June 30, 2013 = $19,630
</t>
        </r>
      </text>
    </comment>
    <comment ref="B52" authorId="5">
      <text>
        <r>
          <rPr>
            <b/>
            <sz val="11"/>
            <color indexed="81"/>
            <rFont val="Tahoma"/>
            <family val="2"/>
          </rPr>
          <t>Karen Ramsay:one time purchase, perpetual access</t>
        </r>
        <r>
          <rPr>
            <sz val="11"/>
            <color indexed="81"/>
            <rFont val="Tahoma"/>
            <family val="2"/>
          </rPr>
          <t xml:space="preserve">
need quote for hosting fee</t>
        </r>
      </text>
    </comment>
    <comment ref="A53" authorId="6">
      <text>
        <r>
          <rPr>
            <sz val="12"/>
            <color indexed="81"/>
            <rFont val="Arial"/>
            <family val="2"/>
          </rPr>
          <t xml:space="preserve">    
LITERATURE RESOURCE CENTER  (LRC)    
 Print Titles   
 -  Contemporary Authors (CA) - All volumes     
 -  Contemporary Authors - New Revision Series - All volumes    
 -  Contemporary Literary Criticism Select (CLCS)  Volume 95 through present, plus select criticism on over 250 authors from 1-94.   
 -  Dictionary of Literary Biography (DLB) - All volumes (document series not included online)   
 -  Merriam-Webster's Encyclopedia of Literature- Single volume--Cover to cover   
 Additional Content   
 -  4,329 Work Overviews, Plot Summaries and Explications   
 -  5,000 Websites   
 -  Over 120,000 author biographies   
 -  2,500 author portraits   
 -  Links to Holdings (Z39.50)   
36,609 critical essays with an additional 5,350 pieces of CLC Select criticism   
 Classical and Medieval Literature Criticism Short Story Criticism Novels for Students (criticism and plot summaries) 
 Nineteenth-Century Literature Criticism Literature Criticism from 1400 to 1800 Poetry for Students (criticism and plot summaries) 
 Twentieth-Century Literary Criticism Children's Literature Review  
 Shakespearean Criticism Drama for Students (criticism and plot summaries)  
 Drama Criticism Short Stories for Students (criticism and plot summaries)  
 Poetry Criticism   
 ADD-ON CONTENT POTENTIAL:   
 -  Scribner's Writer's Series - Add-on subscription - Integrated Content - 30 total volumes   
 -  Twayne's Authors' Series' - US, English, &amp; World - Add-on subscription - Integrated Content - 600 total volumes   
 -  Chadwyck-Healey's Literature Online (LION) Link (for joint subscribers) </t>
        </r>
      </text>
    </comment>
    <comment ref="B53" authorId="6">
      <text>
        <r>
          <rPr>
            <sz val="11"/>
            <color indexed="81"/>
            <rFont val="Tahoma"/>
            <family val="2"/>
          </rPr>
          <t>The 3-year purchase of the Digital Archive of the Gale Literature Resource Center is complete. In Year 7, libraries only pay the access  fee of $2,105 per library. The access fee increases slightly each year as detailed below:
Future Access Fees:
Year 8 : $2,231 per library
Year 9 : $2,365 per library
Year 10 : $2,507 per library
The purchase of the archive gives access on Gale's server to all volumes of Contemporary Authors, Contemporary Literary Criticism, and Dictionary of Literary Biography.  Each library will also receive a  CD-ROM of the archive.</t>
        </r>
      </text>
    </comment>
    <comment ref="B54" authorId="0">
      <text>
        <r>
          <rPr>
            <b/>
            <sz val="11"/>
            <color indexed="81"/>
            <rFont val="Tahoma"/>
            <family val="2"/>
          </rPr>
          <t>Includes subscription to IEEE Spectrum
per Joe Vaitkus of IEEE:
probably no more 4% inc.</t>
        </r>
      </text>
    </comment>
    <comment ref="B59" authorId="2">
      <text>
        <r>
          <rPr>
            <b/>
            <sz val="8"/>
            <color indexed="81"/>
            <rFont val="Tahoma"/>
            <family val="2"/>
          </rPr>
          <t>Martha:</t>
        </r>
        <r>
          <rPr>
            <sz val="8"/>
            <color indexed="81"/>
            <rFont val="Tahoma"/>
            <family val="2"/>
          </rPr>
          <t xml:space="preserve">
</t>
        </r>
        <r>
          <rPr>
            <sz val="11"/>
            <color indexed="81"/>
            <rFont val="Tahoma"/>
            <family val="2"/>
          </rPr>
          <t>$545.40 Bibliography
$59 Early Theatre
$61 Renaissance and Reformation</t>
        </r>
      </text>
    </comment>
    <comment ref="B61" authorId="3">
      <text>
        <r>
          <rPr>
            <b/>
            <sz val="11"/>
            <color indexed="81"/>
            <rFont val="Arial"/>
            <family val="2"/>
          </rPr>
          <t>Renew All collections: 
Arts&amp;Sciences I-VI &amp; complement, Business, Life Sciences, etc.
AAF only</t>
        </r>
        <r>
          <rPr>
            <sz val="12"/>
            <color indexed="81"/>
            <rFont val="Arial"/>
            <family val="2"/>
          </rPr>
          <t xml:space="preserve">
</t>
        </r>
      </text>
    </comment>
    <comment ref="B64" authorId="1">
      <text>
        <r>
          <rPr>
            <b/>
            <sz val="11"/>
            <color indexed="81"/>
            <rFont val="Tahoma"/>
            <family val="2"/>
          </rPr>
          <t xml:space="preserve">Karen: Science Direct Collections $534,900.82
</t>
        </r>
      </text>
    </comment>
    <comment ref="A66" authorId="0">
      <text>
        <r>
          <rPr>
            <b/>
            <sz val="11"/>
            <color indexed="81"/>
            <rFont val="Tahoma"/>
            <family val="2"/>
          </rPr>
          <t>pricing done with Lyrasis formula which is $1.875 per fte</t>
        </r>
      </text>
    </comment>
    <comment ref="B66" authorId="7">
      <text>
        <r>
          <rPr>
            <b/>
            <sz val="8"/>
            <color indexed="81"/>
            <rFont val="Tahoma"/>
            <family val="2"/>
          </rPr>
          <t>Maria Brady:</t>
        </r>
        <r>
          <rPr>
            <sz val="8"/>
            <color indexed="81"/>
            <rFont val="Tahoma"/>
            <family val="2"/>
          </rPr>
          <t xml:space="preserve">
$1.89 per fte use last years fte count.
</t>
        </r>
      </text>
    </comment>
    <comment ref="A68" authorId="7">
      <text>
        <r>
          <rPr>
            <b/>
            <sz val="8"/>
            <color indexed="81"/>
            <rFont val="Tahoma"/>
            <family val="2"/>
          </rPr>
          <t>Maria Brady:</t>
        </r>
        <r>
          <rPr>
            <sz val="8"/>
            <color indexed="81"/>
            <rFont val="Tahoma"/>
            <family val="2"/>
          </rPr>
          <t xml:space="preserve">
</t>
        </r>
        <r>
          <rPr>
            <b/>
            <sz val="12"/>
            <color indexed="81"/>
            <rFont val="Arial"/>
            <family val="2"/>
          </rPr>
          <t>FLAT PRICING ALL USERS</t>
        </r>
      </text>
    </comment>
    <comment ref="A69" authorId="0">
      <text>
        <r>
          <rPr>
            <b/>
            <sz val="11"/>
            <color indexed="81"/>
            <rFont val="Tahoma"/>
            <family val="2"/>
          </rPr>
          <t>Unlimited users</t>
        </r>
      </text>
    </comment>
    <comment ref="B70" authorId="2">
      <text>
        <r>
          <rPr>
            <b/>
            <sz val="8"/>
            <color indexed="81"/>
            <rFont val="Tahoma"/>
            <family val="2"/>
          </rPr>
          <t>Martha:</t>
        </r>
        <r>
          <rPr>
            <b/>
            <sz val="11"/>
            <color indexed="81"/>
            <rFont val="Tahoma"/>
            <family val="2"/>
          </rPr>
          <t xml:space="preserve">
</t>
        </r>
        <r>
          <rPr>
            <sz val="8"/>
            <color indexed="81"/>
            <rFont val="Tahoma"/>
            <family val="2"/>
          </rPr>
          <t xml:space="preserve">
</t>
        </r>
        <r>
          <rPr>
            <b/>
            <sz val="10"/>
            <color indexed="81"/>
            <rFont val="Tahoma"/>
            <family val="2"/>
          </rPr>
          <t>$1485  1 user
$5930.00 unlimited</t>
        </r>
      </text>
    </comment>
    <comment ref="B71" authorId="8">
      <text>
        <r>
          <rPr>
            <b/>
            <sz val="11"/>
            <color indexed="81"/>
            <rFont val="Times New Roman"/>
            <family val="1"/>
          </rPr>
          <t>2-3 sim. users</t>
        </r>
      </text>
    </comment>
    <comment ref="B72" authorId="8">
      <text>
        <r>
          <rPr>
            <b/>
            <sz val="12"/>
            <color indexed="81"/>
            <rFont val="Times New Roman"/>
            <family val="1"/>
          </rPr>
          <t>2-5 users</t>
        </r>
      </text>
    </comment>
    <comment ref="B74" authorId="1">
      <text>
        <r>
          <rPr>
            <b/>
            <sz val="11"/>
            <color indexed="81"/>
            <rFont val="Tahoma"/>
            <family val="2"/>
          </rPr>
          <t>Karen:</t>
        </r>
        <r>
          <rPr>
            <sz val="11"/>
            <color indexed="81"/>
            <rFont val="Tahoma"/>
            <family val="2"/>
          </rPr>
          <t xml:space="preserve">
Bought as 1X purchase in FY10.  Annual access fee of $1000 will go into effect as of FY12.</t>
        </r>
      </text>
    </comment>
    <comment ref="A76" authorId="0">
      <text>
        <r>
          <rPr>
            <b/>
            <sz val="11"/>
            <color indexed="81"/>
            <rFont val="Tahoma"/>
            <family val="2"/>
          </rPr>
          <t>HELIN now gets 15% discount because of no. of participants</t>
        </r>
      </text>
    </comment>
    <comment ref="A77" authorId="0">
      <text>
        <r>
          <rPr>
            <b/>
            <sz val="11"/>
            <color indexed="81"/>
            <rFont val="Tahoma"/>
            <family val="2"/>
          </rPr>
          <t>HELIN now gets 15% discount because of no. of participants</t>
        </r>
      </text>
    </comment>
    <comment ref="B77" authorId="0">
      <text>
        <r>
          <rPr>
            <sz val="11"/>
            <color indexed="81"/>
            <rFont val="Tahoma"/>
            <family val="2"/>
          </rPr>
          <t xml:space="preserve">Univ. of RI
Pricing  from Laura Brown
Titles accessed:
Journal of the Operational Research Society -- $1,554
Knowledge Management Research &amp; Practice -- free with JORS (above)
Polity -- $183
</t>
        </r>
      </text>
    </comment>
    <comment ref="A78" authorId="0">
      <text>
        <r>
          <rPr>
            <b/>
            <sz val="11"/>
            <color indexed="81"/>
            <rFont val="Tahoma"/>
            <family val="2"/>
          </rPr>
          <t>Site license for unlimited users</t>
        </r>
      </text>
    </comment>
    <comment ref="B79" authorId="0">
      <text>
        <r>
          <rPr>
            <b/>
            <sz val="11"/>
            <color indexed="81"/>
            <rFont val="Tahoma"/>
            <family val="2"/>
          </rPr>
          <t>Need 2011 price
With NERL fee:</t>
        </r>
      </text>
    </comment>
    <comment ref="B80" authorId="0">
      <text>
        <r>
          <rPr>
            <b/>
            <sz val="11"/>
            <color indexed="81"/>
            <rFont val="Tahoma"/>
            <family val="2"/>
          </rPr>
          <t>NERL fee of:</t>
        </r>
      </text>
    </comment>
    <comment ref="B82" authorId="9">
      <text>
        <r>
          <rPr>
            <b/>
            <sz val="8"/>
            <color indexed="81"/>
            <rFont val="Tahoma"/>
            <family val="2"/>
          </rPr>
          <t>bdaley:</t>
        </r>
        <r>
          <rPr>
            <sz val="8"/>
            <color indexed="81"/>
            <rFont val="Tahoma"/>
            <family val="2"/>
          </rPr>
          <t xml:space="preserve">
</t>
        </r>
        <r>
          <rPr>
            <sz val="11"/>
            <color indexed="81"/>
            <rFont val="Tahoma"/>
            <family val="2"/>
          </rPr>
          <t>NERLcontent fees
Invoice $19369.00 + 160 (fee) = $19529.00
$12877.50 2011 (plus unknown increase)
$6, 938.75 prorated July-Dec. 2010
$150 NERL fee
$1000 PQ Price for access / hosting</t>
        </r>
      </text>
    </comment>
    <comment ref="A83" authorId="0">
      <text>
        <r>
          <rPr>
            <b/>
            <sz val="11"/>
            <color indexed="81"/>
            <rFont val="Tahoma"/>
            <family val="2"/>
          </rPr>
          <t xml:space="preserve">SAGE pricing for 2010-2-12 sent to libraries Feb. 2010
cost includes $160 NERL fee
</t>
        </r>
      </text>
    </comment>
    <comment ref="B83" authorId="2">
      <text>
        <r>
          <rPr>
            <b/>
            <sz val="8"/>
            <color indexed="81"/>
            <rFont val="Tahoma"/>
            <family val="2"/>
          </rPr>
          <t xml:space="preserve">Martha (per Andree):
</t>
        </r>
        <r>
          <rPr>
            <sz val="8"/>
            <color indexed="81"/>
            <rFont val="Tahoma"/>
            <family val="2"/>
          </rPr>
          <t xml:space="preserve">
</t>
        </r>
        <r>
          <rPr>
            <sz val="11"/>
            <color indexed="81"/>
            <rFont val="Tahoma"/>
            <family val="2"/>
          </rPr>
          <t>1/2010-12/2010 -- $87,592.66 minus credit for titles already renewed through EBSCO ($4,543.00) = $</t>
        </r>
        <r>
          <rPr>
            <b/>
            <sz val="11"/>
            <color indexed="81"/>
            <rFont val="Tahoma"/>
            <family val="2"/>
          </rPr>
          <t>83,049.66</t>
        </r>
        <r>
          <rPr>
            <sz val="11"/>
            <color indexed="81"/>
            <rFont val="Tahoma"/>
            <family val="2"/>
          </rPr>
          <t xml:space="preserve"> (+20.9%) 
Sage NERL fee 2010 -- </t>
        </r>
        <r>
          <rPr>
            <b/>
            <sz val="11"/>
            <color indexed="81"/>
            <rFont val="Tahoma"/>
            <family val="2"/>
          </rPr>
          <t xml:space="preserve">$160.00 </t>
        </r>
        <r>
          <rPr>
            <sz val="11"/>
            <color indexed="81"/>
            <rFont val="Tahoma"/>
            <family val="2"/>
          </rPr>
          <t xml:space="preserve">
Package cost 1/2011-12/2011 -- </t>
        </r>
        <r>
          <rPr>
            <b/>
            <sz val="11"/>
            <color indexed="81"/>
            <rFont val="Tahoma"/>
            <family val="2"/>
          </rPr>
          <t>$90,220.44</t>
        </r>
        <r>
          <rPr>
            <sz val="11"/>
            <color indexed="81"/>
            <rFont val="Tahoma"/>
            <family val="2"/>
          </rPr>
          <t xml:space="preserve"> (+3.0%) 
Sage NERL fee 2011 -- $</t>
        </r>
        <r>
          <rPr>
            <b/>
            <sz val="11"/>
            <color indexed="81"/>
            <rFont val="Tahoma"/>
            <family val="2"/>
          </rPr>
          <t xml:space="preserve">160.00 </t>
        </r>
        <r>
          <rPr>
            <sz val="11"/>
            <color indexed="81"/>
            <rFont val="Tahoma"/>
            <family val="2"/>
          </rPr>
          <t xml:space="preserve">
Package cost 1/2012-12/2012 -- $</t>
        </r>
        <r>
          <rPr>
            <b/>
            <sz val="11"/>
            <color indexed="81"/>
            <rFont val="Tahoma"/>
            <family val="2"/>
          </rPr>
          <t>92,927.05</t>
        </r>
        <r>
          <rPr>
            <sz val="11"/>
            <color indexed="81"/>
            <rFont val="Tahoma"/>
            <family val="2"/>
          </rPr>
          <t xml:space="preserve"> (+3.0%)
Sage NERL fee 2012 -- $</t>
        </r>
        <r>
          <rPr>
            <b/>
            <sz val="11"/>
            <color indexed="81"/>
            <rFont val="Tahoma"/>
            <family val="2"/>
          </rPr>
          <t>160.0</t>
        </r>
        <r>
          <rPr>
            <sz val="11"/>
            <color indexed="81"/>
            <rFont val="Tahoma"/>
            <family val="2"/>
          </rPr>
          <t xml:space="preserve">0 </t>
        </r>
      </text>
    </comment>
    <comment ref="B98" authorId="9">
      <text>
        <r>
          <rPr>
            <b/>
            <sz val="8"/>
            <color indexed="81"/>
            <rFont val="Tahoma"/>
            <family val="2"/>
          </rPr>
          <t>bdaley:</t>
        </r>
        <r>
          <rPr>
            <sz val="8"/>
            <color indexed="81"/>
            <rFont val="Tahoma"/>
            <family val="2"/>
          </rPr>
          <t xml:space="preserve">
</t>
        </r>
        <r>
          <rPr>
            <sz val="11"/>
            <color indexed="81"/>
            <rFont val="Tahoma"/>
            <family val="2"/>
          </rPr>
          <t>NERL content fees:
$12877.50 2011 (plus unknown increase)
$6, 938.75 prorated July-Dec. 2010
$150 NERL fee
$1000 PQ Price for access / hosting</t>
        </r>
      </text>
    </comment>
    <comment ref="A103" authorId="2">
      <text>
        <r>
          <rPr>
            <b/>
            <sz val="8"/>
            <color indexed="81"/>
            <rFont val="Tahoma"/>
            <family val="2"/>
          </rPr>
          <t>Martha:</t>
        </r>
        <r>
          <rPr>
            <sz val="8"/>
            <color indexed="81"/>
            <rFont val="Tahoma"/>
            <family val="2"/>
          </rPr>
          <t xml:space="preserve">
</t>
        </r>
        <r>
          <rPr>
            <sz val="11"/>
            <color indexed="81"/>
            <rFont val="Tahoma"/>
            <family val="2"/>
          </rPr>
          <t>formerly held by LexisNexis</t>
        </r>
      </text>
    </comment>
    <comment ref="B107" authorId="10">
      <text>
        <r>
          <rPr>
            <b/>
            <sz val="8"/>
            <color indexed="81"/>
            <rFont val="Tahoma"/>
            <family val="2"/>
          </rPr>
          <t>ProQuest:</t>
        </r>
        <r>
          <rPr>
            <sz val="8"/>
            <color indexed="81"/>
            <rFont val="Tahoma"/>
            <family val="2"/>
          </rPr>
          <t xml:space="preserve">
Sub to Prov Journal</t>
        </r>
      </text>
    </comment>
    <comment ref="B109" authorId="2">
      <text>
        <r>
          <rPr>
            <b/>
            <sz val="8"/>
            <color indexed="81"/>
            <rFont val="Tahoma"/>
            <family val="2"/>
          </rPr>
          <t>Martha:</t>
        </r>
        <r>
          <rPr>
            <sz val="8"/>
            <color indexed="81"/>
            <rFont val="Tahoma"/>
            <family val="2"/>
          </rPr>
          <t xml:space="preserve">
50-100 books
</t>
        </r>
        <r>
          <rPr>
            <b/>
            <sz val="8"/>
            <color indexed="81"/>
            <rFont val="Tahoma"/>
            <family val="2"/>
          </rPr>
          <t xml:space="preserve">Bruce: 
</t>
        </r>
        <r>
          <rPr>
            <sz val="8"/>
            <color indexed="81"/>
            <rFont val="Tahoma"/>
            <family val="2"/>
          </rPr>
          <t>pricing is for2 SU and 100 Books</t>
        </r>
      </text>
    </comment>
    <comment ref="B112" authorId="1">
      <text>
        <r>
          <rPr>
            <b/>
            <sz val="11"/>
            <color indexed="81"/>
            <rFont val="Tahoma"/>
            <family val="2"/>
          </rPr>
          <t>Karen:</t>
        </r>
        <r>
          <rPr>
            <sz val="11"/>
            <color indexed="81"/>
            <rFont val="Tahoma"/>
            <family val="2"/>
          </rPr>
          <t xml:space="preserve">
Karen:
Access fee for Extension is separate from Orignial set.  $583 from 5/11-6/12 to get on fiscal yr.  Should be $500 annually</t>
        </r>
        <r>
          <rPr>
            <sz val="9"/>
            <color indexed="81"/>
            <rFont val="Tahoma"/>
            <family val="2"/>
          </rPr>
          <t>.</t>
        </r>
      </text>
    </comment>
    <comment ref="A113" authorId="0">
      <text>
        <r>
          <rPr>
            <b/>
            <sz val="11"/>
            <color indexed="81"/>
            <rFont val="Tahoma"/>
            <family val="2"/>
          </rPr>
          <t>Consortium discounting @ 15% begins when 3 members subscribe (or if the total value of the subscription is $10,000).  A second tier of discouning (20%) kicks in when 10 members subscribe (or if the total subscription value reaches $50,000).
Discount being given to URI again even through 3 libraries are not subscribing.</t>
        </r>
      </text>
    </comment>
    <comment ref="B113" authorId="2">
      <text>
        <r>
          <rPr>
            <b/>
            <sz val="8"/>
            <color indexed="81"/>
            <rFont val="Tahoma"/>
            <family val="2"/>
          </rPr>
          <t>Martha:</t>
        </r>
        <r>
          <rPr>
            <sz val="8"/>
            <color indexed="81"/>
            <rFont val="Tahoma"/>
            <family val="2"/>
          </rPr>
          <t xml:space="preserve">
</t>
        </r>
        <r>
          <rPr>
            <sz val="11"/>
            <color indexed="81"/>
            <rFont val="Tahoma"/>
            <family val="2"/>
          </rPr>
          <t>URI's price last year was $3,156, which included a 15% consortial discount usually reserved for subscribers in consortia where at least three members
signed up.  We will continue to make that exception for URI in this coming year.  Due to FTE growth, their 2010-2011 invoice will be $3,353 reflecting last year's price schedule and the continuing consortial discount.</t>
        </r>
      </text>
    </comment>
    <comment ref="B118" authorId="2">
      <text>
        <r>
          <rPr>
            <b/>
            <sz val="8"/>
            <color indexed="81"/>
            <rFont val="Tahoma"/>
            <family val="2"/>
          </rPr>
          <t>Martha:</t>
        </r>
        <r>
          <rPr>
            <sz val="8"/>
            <color indexed="81"/>
            <rFont val="Tahoma"/>
            <family val="2"/>
          </rPr>
          <t xml:space="preserve">
</t>
        </r>
        <r>
          <rPr>
            <sz val="11"/>
            <color indexed="81"/>
            <rFont val="Tahoma"/>
            <family val="2"/>
          </rPr>
          <t>New subscription for 5/1/2010-6/30/2012 
$3120 pd. June 2010</t>
        </r>
      </text>
    </comment>
    <comment ref="B120" authorId="0">
      <text>
        <r>
          <rPr>
            <b/>
            <sz val="11"/>
            <color indexed="81"/>
            <rFont val="Tahoma"/>
            <family val="2"/>
          </rPr>
          <t>Pd. For 3 years in 08/09
subscription ends June 2012</t>
        </r>
      </text>
    </comment>
    <comment ref="A121" authorId="2">
      <text>
        <r>
          <rPr>
            <b/>
            <sz val="8"/>
            <color indexed="81"/>
            <rFont val="Tahoma"/>
            <family val="2"/>
          </rPr>
          <t>Martha:</t>
        </r>
        <r>
          <rPr>
            <sz val="8"/>
            <color indexed="81"/>
            <rFont val="Tahoma"/>
            <family val="2"/>
          </rPr>
          <t xml:space="preserve">
</t>
        </r>
        <r>
          <rPr>
            <sz val="11"/>
            <color indexed="81"/>
            <rFont val="Tahoma"/>
            <family val="2"/>
          </rPr>
          <t>10% discount for 4 or more libraries</t>
        </r>
      </text>
    </comment>
    <comment ref="B124" authorId="2">
      <text>
        <r>
          <rPr>
            <b/>
            <sz val="8"/>
            <color indexed="81"/>
            <rFont val="Tahoma"/>
            <family val="2"/>
          </rPr>
          <t>Martha:</t>
        </r>
        <r>
          <rPr>
            <sz val="8"/>
            <color indexed="81"/>
            <rFont val="Tahoma"/>
            <family val="2"/>
          </rPr>
          <t xml:space="preserve">
</t>
        </r>
        <r>
          <rPr>
            <sz val="11"/>
            <color indexed="81"/>
            <rFont val="Tahoma"/>
            <family val="2"/>
          </rPr>
          <t>If 3 year agreement:
2011 $114,547
2012 $120,274
2013 $126,288</t>
        </r>
      </text>
    </comment>
    <comment ref="A126" authorId="0">
      <text>
        <r>
          <rPr>
            <b/>
            <sz val="11"/>
            <color indexed="81"/>
            <rFont val="Tahoma"/>
            <family val="2"/>
          </rPr>
          <t>per vendor:
$1516 for July-Dec. 2009
$1516  plus no more than 7% increase for 2010</t>
        </r>
      </text>
    </comment>
    <comment ref="B128" authorId="0">
      <text>
        <r>
          <rPr>
            <b/>
            <sz val="11"/>
            <color indexed="81"/>
            <rFont val="Tahoma"/>
            <family val="2"/>
          </rPr>
          <t>est. 5% increase by vendor</t>
        </r>
      </text>
    </comment>
    <comment ref="B129" authorId="2">
      <text>
        <r>
          <rPr>
            <b/>
            <sz val="8"/>
            <color indexed="81"/>
            <rFont val="Tahoma"/>
            <family val="2"/>
          </rPr>
          <t>Martha:</t>
        </r>
        <r>
          <rPr>
            <sz val="8"/>
            <color indexed="81"/>
            <rFont val="Tahoma"/>
            <family val="2"/>
          </rPr>
          <t xml:space="preserve">
</t>
        </r>
        <r>
          <rPr>
            <sz val="11"/>
            <color indexed="81"/>
            <rFont val="Tahoma"/>
            <family val="2"/>
          </rPr>
          <t>8 concurrent users</t>
        </r>
      </text>
    </comment>
    <comment ref="B130" authorId="1">
      <text>
        <r>
          <rPr>
            <b/>
            <sz val="11"/>
            <color indexed="81"/>
            <rFont val="Tahoma"/>
            <family val="2"/>
          </rPr>
          <t>Karen:</t>
        </r>
        <r>
          <rPr>
            <sz val="11"/>
            <color indexed="81"/>
            <rFont val="Tahoma"/>
            <family val="2"/>
          </rPr>
          <t xml:space="preserve">
Access fee only
3 concurrent users</t>
        </r>
      </text>
    </comment>
    <comment ref="A132" authorId="2">
      <text>
        <r>
          <rPr>
            <b/>
            <sz val="8"/>
            <color indexed="81"/>
            <rFont val="Tahoma"/>
            <family val="2"/>
          </rPr>
          <t>Martha:</t>
        </r>
        <r>
          <rPr>
            <sz val="8"/>
            <color indexed="81"/>
            <rFont val="Tahoma"/>
            <family val="2"/>
          </rPr>
          <t xml:space="preserve">
4</t>
        </r>
        <r>
          <rPr>
            <sz val="11"/>
            <color indexed="81"/>
            <rFont val="Tahoma"/>
            <family val="2"/>
          </rPr>
          <t xml:space="preserve"> concurrent users
price inc. 10% HELIN discount</t>
        </r>
      </text>
    </comment>
    <comment ref="A133" authorId="0">
      <text>
        <r>
          <rPr>
            <b/>
            <sz val="11"/>
            <color indexed="81"/>
            <rFont val="Tahoma"/>
            <family val="2"/>
          </rPr>
          <t>Including ERIC
price inc. 10% HELIN discount</t>
        </r>
      </text>
    </comment>
    <comment ref="B134" authorId="0">
      <text>
        <r>
          <rPr>
            <b/>
            <sz val="11"/>
            <color indexed="81"/>
            <rFont val="Tahoma"/>
            <family val="2"/>
          </rPr>
          <t>Access fee only
3 concurrent users</t>
        </r>
      </text>
    </comment>
    <comment ref="B135" authorId="0">
      <text>
        <r>
          <rPr>
            <b/>
            <sz val="11"/>
            <color indexed="81"/>
            <rFont val="Tahoma"/>
            <family val="2"/>
          </rPr>
          <t>Access fee only
3 concurrent users</t>
        </r>
      </text>
    </comment>
    <comment ref="A136" authorId="2">
      <text>
        <r>
          <rPr>
            <b/>
            <sz val="8"/>
            <color indexed="81"/>
            <rFont val="Tahoma"/>
            <family val="2"/>
          </rPr>
          <t>Martha:</t>
        </r>
        <r>
          <rPr>
            <sz val="8"/>
            <color indexed="81"/>
            <rFont val="Tahoma"/>
            <family val="2"/>
          </rPr>
          <t xml:space="preserve">
</t>
        </r>
        <r>
          <rPr>
            <sz val="11"/>
            <color indexed="81"/>
            <rFont val="Tahoma"/>
            <family val="2"/>
          </rPr>
          <t>price based on 6 concurrent users
access fee only</t>
        </r>
      </text>
    </comment>
    <comment ref="B136" authorId="0">
      <text>
        <r>
          <rPr>
            <b/>
            <sz val="11"/>
            <color indexed="81"/>
            <rFont val="Tahoma"/>
            <family val="2"/>
          </rPr>
          <t>Access fee only</t>
        </r>
      </text>
    </comment>
  </commentList>
</comments>
</file>

<file path=xl/sharedStrings.xml><?xml version="1.0" encoding="utf-8"?>
<sst xmlns="http://schemas.openxmlformats.org/spreadsheetml/2006/main" count="293" uniqueCount="176">
  <si>
    <t>FTE</t>
  </si>
  <si>
    <t>Amer. Accounting Asso. Journals Online</t>
  </si>
  <si>
    <t>Amer. Chem. Soc. Web Editions</t>
  </si>
  <si>
    <t>Amer. Inst. Of Physics Select Online Pkg.</t>
  </si>
  <si>
    <t>ALA Choice Reviews Online</t>
  </si>
  <si>
    <t>ALA Editions Guide to Ref.</t>
  </si>
  <si>
    <t>Amer. Math. Soc. MathSciNet</t>
  </si>
  <si>
    <t>Amer. Soc. of Civil Engineers (ASCE) Combination</t>
  </si>
  <si>
    <t>Amer. Soc. of Mech. Engineers Pkg. 2</t>
  </si>
  <si>
    <t>ARTstor</t>
  </si>
  <si>
    <t>bepress Digital Commons</t>
  </si>
  <si>
    <t>Bernan - Kraus Curriculum Devel. Lib.</t>
  </si>
  <si>
    <t>Blackwell (Wiley) Anthrosource</t>
  </si>
  <si>
    <t>BNA Labor &amp; Employment Law Library</t>
  </si>
  <si>
    <t>Cambridge UP Journal Package</t>
  </si>
  <si>
    <t>Chem Abstracts SciFinder Scholar</t>
  </si>
  <si>
    <t>Columbia UP Int'l Affairs (CIAO)</t>
  </si>
  <si>
    <t>CQ Researcher Annual Fee (lim. users)</t>
  </si>
  <si>
    <t>Duke Univ. Press E-Duke Journals Scholarly Collection Expanded</t>
  </si>
  <si>
    <t>EBSCO/ABC-CLIO Amer. Hist.&amp; Life (2-6 users)</t>
  </si>
  <si>
    <t>EBSCO/ABC-CLIO Hist. Abstr. (2-6 users)</t>
  </si>
  <si>
    <t>EBSCO Academic Search Premier</t>
  </si>
  <si>
    <t>EBSCO/Baker &amp; Taylor Content Café</t>
  </si>
  <si>
    <t>EBSCO CINAHL (unlimited users)</t>
  </si>
  <si>
    <t>EBSCO EconLit</t>
  </si>
  <si>
    <t>EBSCO Film &amp; Television Literature Index</t>
  </si>
  <si>
    <t>EBSCO FSTA (1 user)</t>
  </si>
  <si>
    <t>EBSCO Inspec Current</t>
  </si>
  <si>
    <t>EBSCO LISTA w/FT</t>
  </si>
  <si>
    <t>EBSCO Music Index</t>
  </si>
  <si>
    <t>EBSCO Textile Technology Index</t>
  </si>
  <si>
    <t>EBSCO Women's Studies Int'l</t>
  </si>
  <si>
    <t>Elsevier EMBASE</t>
  </si>
  <si>
    <t>Elsevier Compendex Engineering Village</t>
  </si>
  <si>
    <t>Gale Literature Resource Center</t>
  </si>
  <si>
    <t>IEEE All-Society Periodicals Package</t>
  </si>
  <si>
    <t>IEEE Spectrum (billed with IEEE pkg.)</t>
  </si>
  <si>
    <t>(see above)</t>
  </si>
  <si>
    <t>Info USA Reference USA</t>
  </si>
  <si>
    <t>JSTOR</t>
  </si>
  <si>
    <t xml:space="preserve">Mergent Online </t>
  </si>
  <si>
    <t>Nature.com Plus</t>
  </si>
  <si>
    <t>Nature.com Palgrave journals</t>
  </si>
  <si>
    <t>NE Journal of Medicine (NEJM)</t>
  </si>
  <si>
    <t>Ovid LWW Journal Package</t>
  </si>
  <si>
    <t>ProQuest ABI Inform</t>
  </si>
  <si>
    <t>ProQuest Nat'l Newspapers Abstracts</t>
  </si>
  <si>
    <t>ProQuest Providence Journal</t>
  </si>
  <si>
    <t>Readex U.S. Congressional Serials Set Access fee</t>
  </si>
  <si>
    <t>Royal Soc. of Chem. journal package</t>
  </si>
  <si>
    <t>Royal Soc. of Chem. Natural Product Report</t>
  </si>
  <si>
    <t>ThomsonSci Web of Science</t>
  </si>
  <si>
    <t>Wiley Biotechnology Progress</t>
  </si>
  <si>
    <t>Wiley Chem. Journal Pkg. Int'l ed.</t>
  </si>
  <si>
    <t>Wiley Cochrane Library</t>
  </si>
  <si>
    <t>Wilson Art Abstracts</t>
  </si>
  <si>
    <t>Wilson Biological &amp; Agricultural Index Plus</t>
  </si>
  <si>
    <t>Wilson Education Index Full Text</t>
  </si>
  <si>
    <t>Wilson Education Index Retro.</t>
  </si>
  <si>
    <t>Wilson Humanities &amp; Soc. Sci. Index Retro.</t>
  </si>
  <si>
    <t>GRAND TOTAL</t>
  </si>
  <si>
    <t>ProQuest RefWorks</t>
  </si>
  <si>
    <t>Date</t>
  </si>
  <si>
    <t>Invoice #</t>
  </si>
  <si>
    <t>Description</t>
  </si>
  <si>
    <t>Amount</t>
  </si>
  <si>
    <t>Invoice total</t>
  </si>
  <si>
    <t>Databases total</t>
  </si>
  <si>
    <t>Total paid by URI</t>
  </si>
  <si>
    <t>Elsevier ScienceDirect Ency of Ocean Sciences, 2nd ed</t>
  </si>
  <si>
    <t>Elsevier ScienceDirect Cell</t>
  </si>
  <si>
    <t>Databases 2010/2011</t>
  </si>
  <si>
    <t>ABC-CLIO/Greenwood Amer. Ref. Books Annual (ARBA)</t>
  </si>
  <si>
    <t>Annual Reviews Science Collection</t>
  </si>
  <si>
    <t>ACM Digital Library Core(through Waldo)</t>
  </si>
  <si>
    <t>BioOne.1 &amp; .2</t>
  </si>
  <si>
    <t>$</t>
  </si>
  <si>
    <t>EBSCO Academic Search Complete</t>
  </si>
  <si>
    <t>Comp</t>
  </si>
  <si>
    <t>EBSCO LISTA</t>
  </si>
  <si>
    <t>FREE</t>
  </si>
  <si>
    <t>EBSCO Mental Measurements Yearbook</t>
  </si>
  <si>
    <t>Gateway to the Middle Ages and the Renaissance</t>
  </si>
  <si>
    <t>AskRI</t>
  </si>
  <si>
    <t>Lyrasis BIOSIS Previews</t>
  </si>
  <si>
    <t>Lyrasis/Elsevier ScienceDirect</t>
  </si>
  <si>
    <t>Lyrasis/Elsevier ScienceDirect Freedom Collection</t>
  </si>
  <si>
    <t xml:space="preserve">Lyrasis/LexisNexis </t>
  </si>
  <si>
    <t>Lyrasis/LexisNexis Congressional</t>
  </si>
  <si>
    <t>Lyrasis/LexisNexis Congressional Indexes</t>
  </si>
  <si>
    <t>Lyrasis/Oxford English Dictionary Online</t>
  </si>
  <si>
    <t>Lyrasis/Oxford Grove Art Online</t>
  </si>
  <si>
    <t>Lyrasis/Oxford Grove Music Online</t>
  </si>
  <si>
    <t>Lyrasis/Oxford Oceana Treaties and Int'l Agreements (2-5 users)</t>
  </si>
  <si>
    <t>Lyrasis/Project Muse</t>
  </si>
  <si>
    <t>NERL: Brill Journals Package</t>
  </si>
  <si>
    <t>NERL: Chem Abstracts SciFinder Scholar</t>
  </si>
  <si>
    <t>NERL: Chronicle of Higher Ed.</t>
  </si>
  <si>
    <t>NERL: Oxford University Press OUP Journals</t>
  </si>
  <si>
    <t>NERL: ProQuest/CSA PsycArticles</t>
  </si>
  <si>
    <t>NERL: SAGE journals</t>
  </si>
  <si>
    <t>OCLC FirstSearch Base Package (2 simul. users)</t>
  </si>
  <si>
    <t>ProQuest/CSA ASFA</t>
  </si>
  <si>
    <t>ProQuest/CSA Communication Abstracts</t>
  </si>
  <si>
    <t>ProQuest/CSA ComDisDome</t>
  </si>
  <si>
    <t>ProQuest/CSA GeoRef</t>
  </si>
  <si>
    <t>ProQuest/CSA Int'l Pharm. Abstr.</t>
  </si>
  <si>
    <t>ProQuest/CSA Meteorology &amp; Geoastrophysical Abstr.</t>
  </si>
  <si>
    <t>ProQuest/CSA MLA</t>
  </si>
  <si>
    <t>ProQuest/CSA PAIS includes Archive (retrospective)</t>
  </si>
  <si>
    <t>ProQuest/CSA Philosopher's Index</t>
  </si>
  <si>
    <t>ProQuest/CSA Physical Education Index</t>
  </si>
  <si>
    <t>ProQuest/CSA PsycArticles</t>
  </si>
  <si>
    <t>ProQuest/CSA Psych Info</t>
  </si>
  <si>
    <t>ProQuest/CSA Soc. Abstr.</t>
  </si>
  <si>
    <t>ProQuest Digital Dissertations (PQDT)</t>
  </si>
  <si>
    <t>ProQuest Environmental Abstracts</t>
  </si>
  <si>
    <t>ProQuest Gender News Watch</t>
  </si>
  <si>
    <t>ProQuest New York Times Digital Microfilm</t>
  </si>
  <si>
    <t>ProQuest Safari Books</t>
  </si>
  <si>
    <t>Reg'l OneSource Stat. Warehouse</t>
  </si>
  <si>
    <t>Serial Solutions A to Z</t>
  </si>
  <si>
    <t>Serial Solutions 360 Link</t>
  </si>
  <si>
    <t>Serial Solutions 3600 Data Retrieval</t>
  </si>
  <si>
    <t>Serial Solutions MARC Records</t>
  </si>
  <si>
    <t>Serials Solutions 360 Counter (paid for 3 years in 08-09)</t>
  </si>
  <si>
    <t xml:space="preserve">Springshare LibGuides </t>
  </si>
  <si>
    <t>Wilson Art Index Retro</t>
  </si>
  <si>
    <t>Wilson Readers Guide Retro 1890-1982</t>
  </si>
  <si>
    <t>TOTAL</t>
  </si>
  <si>
    <t>LESS MONEY ON DEPOSIT</t>
  </si>
  <si>
    <t>FINAL TOTAL</t>
  </si>
  <si>
    <t>EBSCO Criminal Justice Abstracts</t>
  </si>
  <si>
    <t>Iter (Gateway to the Middle Ages. . .)</t>
  </si>
  <si>
    <t>WALDO Project Muse</t>
  </si>
  <si>
    <t>Amount carried over from 2010-2011</t>
  </si>
  <si>
    <t>2010-2011 Databases</t>
  </si>
  <si>
    <t>2010-2011 Membership</t>
  </si>
  <si>
    <t>Backstage processing MARCIVE</t>
  </si>
  <si>
    <t>Wiley Anthrosource</t>
  </si>
  <si>
    <t>RSC through Waldo</t>
  </si>
  <si>
    <t>Elsevier Science Direct Book Series</t>
  </si>
  <si>
    <t>American Geophysical Union (AGU)</t>
  </si>
  <si>
    <t>American Acctg. Association titles</t>
  </si>
  <si>
    <t xml:space="preserve">Nature Intern'l Monetary Fund </t>
  </si>
  <si>
    <t>Total URI Databases Paid by HELIN 2010/2011</t>
  </si>
  <si>
    <t>Total Databases Invoiced &amp; Paid by URI 2010/2011</t>
  </si>
  <si>
    <t>Innovative records</t>
  </si>
  <si>
    <t>Innovative Interfaces Order Records</t>
  </si>
  <si>
    <t>Elsevier Science Direct Book Series (additional titles)</t>
  </si>
  <si>
    <t>SAGE Deep Backfile access fee only</t>
  </si>
  <si>
    <t>Additional e-resources</t>
  </si>
  <si>
    <t>JSTOR Current Scholarship Prgm Pkgs</t>
  </si>
  <si>
    <t>JSTOR Current Scholarship Pkg</t>
  </si>
  <si>
    <t>Mergent Digital Manuals</t>
  </si>
  <si>
    <t>Readex US Congress Ser Set Original Access fee</t>
  </si>
  <si>
    <t>Readex US Congress Ser Extension (1981-1994) Access fee</t>
  </si>
  <si>
    <t>Wiley Chem, Con Ser Set ext, Int'l Monetary, BIOSIS, Cambridge Pkg and ACS overage</t>
  </si>
  <si>
    <t>Thomson Reuters BIOSIS Previews</t>
  </si>
  <si>
    <t>Renewal of expiring resources (prepay)</t>
  </si>
  <si>
    <t>Sage Backfile Upgrade 2011 1X</t>
  </si>
  <si>
    <t>NERL: Sage Backfile upgrade set 2011 1X</t>
  </si>
  <si>
    <t>EBSCO AAS Historical Coll</t>
  </si>
  <si>
    <t>BIOSIS, JAMA, JSTOR, Oxford, Readex</t>
  </si>
  <si>
    <t>AMA JAMA + 10 Journals 5/1/11-6/30/12</t>
  </si>
  <si>
    <t>AMA JAMA  Backfiles 1X</t>
  </si>
  <si>
    <t>EBSCO AAS Historical Periodicals collections (1X)</t>
  </si>
  <si>
    <t>Thomson Reuters (Sci) BIOSIS Backfile(1X)</t>
  </si>
  <si>
    <t>Oxford History of Western Music</t>
  </si>
  <si>
    <t>Wilson Access fees prorated for '10 1X</t>
  </si>
  <si>
    <t>JSTOR A&amp;S IX 1 X</t>
  </si>
  <si>
    <t>JSTOR A&amp;S IX acess fee June - Dec '11</t>
  </si>
  <si>
    <t>Readex Affrican American Newspapers 1X</t>
  </si>
  <si>
    <t>EBSCO Nat'l Archive, Nat'l Rev, New Rep 1X</t>
  </si>
  <si>
    <t>Nat'l Arch, Nat'l Rev, New Rep 1X</t>
  </si>
  <si>
    <t xml:space="preserve">Total URI has on deposit with HELIN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</si>
</sst>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quot;* #,##0.00_);_(&quot;$&quot;* \(#,##0.00\);_(&quot;$&quot;* &quot;-&quot;??_);_(@_)"/>
  </numFmts>
  <fonts count="47" x14ac:knownFonts="1">
    <font>
      <sz val="10"/>
      <name val="Arial"/>
    </font>
    <font>
      <sz val="10"/>
      <name val="Arial"/>
    </font>
    <font>
      <b/>
      <sz val="14"/>
      <name val="Arial"/>
      <family val="2"/>
    </font>
    <font>
      <sz val="14"/>
      <name val="Arial"/>
      <family val="2"/>
    </font>
    <font>
      <sz val="14"/>
      <color indexed="17"/>
      <name val="Arial"/>
      <family val="2"/>
    </font>
    <font>
      <b/>
      <sz val="14"/>
      <color indexed="12"/>
      <name val="Arial"/>
      <family val="2"/>
    </font>
    <font>
      <sz val="14"/>
      <color indexed="12"/>
      <name val="Arial"/>
      <family val="2"/>
    </font>
    <font>
      <b/>
      <i/>
      <sz val="14"/>
      <color indexed="12"/>
      <name val="Arial"/>
      <family val="2"/>
    </font>
    <font>
      <b/>
      <i/>
      <sz val="14"/>
      <name val="Arial"/>
      <family val="2"/>
    </font>
    <font>
      <b/>
      <sz val="10"/>
      <name val="Arial"/>
      <family val="2"/>
    </font>
    <font>
      <i/>
      <sz val="14"/>
      <name val="Arial"/>
      <family val="2"/>
    </font>
    <font>
      <b/>
      <sz val="11"/>
      <color indexed="81"/>
      <name val="Tahoma"/>
      <family val="2"/>
    </font>
    <font>
      <sz val="11"/>
      <color indexed="81"/>
      <name val="Tahoma"/>
      <family val="2"/>
    </font>
    <font>
      <sz val="8"/>
      <color indexed="81"/>
      <name val="Tahoma"/>
      <family val="2"/>
    </font>
    <font>
      <b/>
      <sz val="10"/>
      <color indexed="81"/>
      <name val="Tahoma"/>
      <family val="2"/>
    </font>
    <font>
      <b/>
      <sz val="12"/>
      <color indexed="81"/>
      <name val="Arial"/>
      <family val="2"/>
    </font>
    <font>
      <b/>
      <sz val="8"/>
      <color indexed="81"/>
      <name val="Tahoma"/>
      <family val="2"/>
    </font>
    <font>
      <sz val="12"/>
      <color indexed="81"/>
      <name val="Arial"/>
      <family val="2"/>
    </font>
    <font>
      <b/>
      <sz val="11"/>
      <color indexed="81"/>
      <name val="Arial"/>
      <family val="2"/>
    </font>
    <font>
      <b/>
      <sz val="11"/>
      <color indexed="81"/>
      <name val="Times New Roman"/>
      <family val="1"/>
    </font>
    <font>
      <b/>
      <sz val="12"/>
      <color indexed="81"/>
      <name val="Times New Roman"/>
      <family val="1"/>
    </font>
    <font>
      <sz val="8"/>
      <name val="Arial"/>
      <family val="2"/>
    </font>
    <font>
      <sz val="10"/>
      <name val="Arial"/>
      <family val="2"/>
    </font>
    <font>
      <b/>
      <i/>
      <u/>
      <sz val="14"/>
      <color indexed="10"/>
      <name val="Arial"/>
      <family val="2"/>
    </font>
    <font>
      <i/>
      <sz val="14"/>
      <color indexed="12"/>
      <name val="Arial"/>
      <family val="2"/>
    </font>
    <font>
      <sz val="9"/>
      <color indexed="81"/>
      <name val="Tahoma"/>
      <family val="2"/>
    </font>
    <font>
      <b/>
      <sz val="14"/>
      <color rgb="FF289020"/>
      <name val="Arial"/>
      <family val="2"/>
    </font>
    <font>
      <sz val="14"/>
      <color rgb="FF289020"/>
      <name val="Arial"/>
      <family val="2"/>
    </font>
    <font>
      <b/>
      <sz val="14"/>
      <color rgb="FF1F23DB"/>
      <name val="Arial"/>
      <family val="2"/>
    </font>
    <font>
      <sz val="14"/>
      <color rgb="FF1F23DB"/>
      <name val="Arial"/>
      <family val="2"/>
    </font>
    <font>
      <b/>
      <i/>
      <sz val="14"/>
      <color rgb="FF289020"/>
      <name val="Arial"/>
      <family val="2"/>
    </font>
    <font>
      <b/>
      <i/>
      <sz val="14"/>
      <color rgb="FF1F23DB"/>
      <name val="Arial"/>
      <family val="2"/>
    </font>
    <font>
      <b/>
      <i/>
      <sz val="14"/>
      <color rgb="FF0000FF"/>
      <name val="Arial"/>
      <family val="2"/>
    </font>
    <font>
      <sz val="14"/>
      <color rgb="FF0000FF"/>
      <name val="Arial"/>
      <family val="2"/>
    </font>
    <font>
      <b/>
      <sz val="14"/>
      <color rgb="FF0000FF"/>
      <name val="Arial"/>
      <family val="2"/>
    </font>
    <font>
      <b/>
      <sz val="14"/>
      <color theme="1"/>
      <name val="Arial"/>
      <family val="2"/>
    </font>
    <font>
      <sz val="14"/>
      <color rgb="FFFF0000"/>
      <name val="Arial"/>
      <family val="2"/>
    </font>
    <font>
      <b/>
      <sz val="14"/>
      <color rgb="FF1F6D19"/>
      <name val="Arial"/>
      <family val="2"/>
    </font>
    <font>
      <sz val="14"/>
      <color rgb="FF1F6D19"/>
      <name val="Arial"/>
      <family val="2"/>
    </font>
    <font>
      <sz val="10"/>
      <color rgb="FFFF0000"/>
      <name val="Arial"/>
      <family val="2"/>
    </font>
    <font>
      <sz val="10"/>
      <color rgb="FF0000FF"/>
      <name val="Arial"/>
      <family val="2"/>
    </font>
    <font>
      <b/>
      <sz val="14"/>
      <color rgb="FFFF0000"/>
      <name val="Arial"/>
      <family val="2"/>
    </font>
    <font>
      <b/>
      <i/>
      <sz val="14"/>
      <color rgb="FF1F6D19"/>
      <name val="Arial"/>
      <family val="2"/>
    </font>
    <font>
      <sz val="10"/>
      <color rgb="FF00B050"/>
      <name val="Arial"/>
      <family val="2"/>
    </font>
    <font>
      <b/>
      <i/>
      <sz val="14"/>
      <color rgb="FFFF0000"/>
      <name val="Arial"/>
      <family val="2"/>
    </font>
    <font>
      <sz val="14"/>
      <color rgb="FFC00000"/>
      <name val="Arial"/>
      <family val="2"/>
    </font>
    <font>
      <b/>
      <sz val="10"/>
      <color rgb="FFFF0000"/>
      <name val="Arial"/>
      <family val="2"/>
    </font>
  </fonts>
  <fills count="6">
    <fill>
      <patternFill patternType="none"/>
    </fill>
    <fill>
      <patternFill patternType="gray125"/>
    </fill>
    <fill>
      <patternFill patternType="solid">
        <fgColor indexed="26"/>
        <bgColor indexed="64"/>
      </patternFill>
    </fill>
    <fill>
      <patternFill patternType="solid">
        <fgColor indexed="9"/>
        <bgColor indexed="64"/>
      </patternFill>
    </fill>
    <fill>
      <patternFill patternType="solid">
        <fgColor rgb="FF99CC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1" fillId="0" borderId="0" applyFont="0" applyFill="0" applyBorder="0" applyAlignment="0" applyProtection="0"/>
  </cellStyleXfs>
  <cellXfs count="116">
    <xf numFmtId="0" fontId="0" fillId="0" borderId="0" xfId="0"/>
    <xf numFmtId="44" fontId="2" fillId="2" borderId="1" xfId="0" applyNumberFormat="1" applyFont="1" applyFill="1" applyBorder="1" applyAlignment="1">
      <alignment horizontal="right" textRotation="50"/>
    </xf>
    <xf numFmtId="0" fontId="2" fillId="3" borderId="1" xfId="0" applyNumberFormat="1" applyFont="1" applyFill="1" applyBorder="1" applyAlignment="1">
      <alignment horizontal="left"/>
    </xf>
    <xf numFmtId="44" fontId="3" fillId="3" borderId="1" xfId="0" applyNumberFormat="1" applyFont="1" applyFill="1" applyBorder="1" applyAlignment="1">
      <alignment horizontal="right"/>
    </xf>
    <xf numFmtId="44" fontId="3" fillId="3" borderId="1" xfId="1" applyNumberFormat="1" applyFont="1" applyFill="1" applyBorder="1" applyAlignment="1">
      <alignment horizontal="right"/>
    </xf>
    <xf numFmtId="44" fontId="6" fillId="3" borderId="1" xfId="0" applyNumberFormat="1" applyFont="1" applyFill="1" applyBorder="1" applyAlignment="1">
      <alignment horizontal="right"/>
    </xf>
    <xf numFmtId="44" fontId="5" fillId="3" borderId="1" xfId="0" applyNumberFormat="1" applyFont="1" applyFill="1" applyBorder="1" applyAlignment="1">
      <alignment horizontal="right" vertical="top" wrapText="1"/>
    </xf>
    <xf numFmtId="44" fontId="5" fillId="3" borderId="1" xfId="0" applyNumberFormat="1" applyFont="1" applyFill="1" applyBorder="1" applyAlignment="1">
      <alignment horizontal="right"/>
    </xf>
    <xf numFmtId="44" fontId="3" fillId="0" borderId="1" xfId="0" applyNumberFormat="1" applyFont="1" applyFill="1" applyBorder="1" applyAlignment="1">
      <alignment horizontal="right"/>
    </xf>
    <xf numFmtId="0" fontId="8" fillId="0" borderId="1" xfId="0" applyNumberFormat="1" applyFont="1" applyFill="1" applyBorder="1" applyAlignment="1">
      <alignment horizontal="left"/>
    </xf>
    <xf numFmtId="44" fontId="3" fillId="0" borderId="1" xfId="1" applyNumberFormat="1" applyFont="1" applyFill="1" applyBorder="1" applyAlignment="1">
      <alignment horizontal="right"/>
    </xf>
    <xf numFmtId="44" fontId="2" fillId="0" borderId="1" xfId="0" applyNumberFormat="1" applyFont="1" applyFill="1" applyBorder="1" applyAlignment="1">
      <alignment horizontal="right"/>
    </xf>
    <xf numFmtId="44" fontId="10" fillId="0" borderId="1" xfId="1" applyNumberFormat="1" applyFont="1" applyFill="1" applyBorder="1" applyAlignment="1">
      <alignment horizontal="right"/>
    </xf>
    <xf numFmtId="44" fontId="0" fillId="0" borderId="0" xfId="1" applyFont="1"/>
    <xf numFmtId="14" fontId="0" fillId="0" borderId="0" xfId="0" applyNumberFormat="1"/>
    <xf numFmtId="0" fontId="9" fillId="0" borderId="0" xfId="0" applyFont="1"/>
    <xf numFmtId="0" fontId="22" fillId="0" borderId="0" xfId="0" applyFont="1"/>
    <xf numFmtId="0" fontId="2" fillId="4" borderId="1" xfId="0" applyNumberFormat="1" applyFont="1" applyFill="1" applyBorder="1" applyAlignment="1">
      <alignment horizontal="left"/>
    </xf>
    <xf numFmtId="0" fontId="23" fillId="2" borderId="1" xfId="0" applyNumberFormat="1" applyFont="1" applyFill="1" applyBorder="1" applyAlignment="1">
      <alignment horizontal="left"/>
    </xf>
    <xf numFmtId="0" fontId="3" fillId="2" borderId="1" xfId="0" applyNumberFormat="1" applyFont="1" applyFill="1" applyBorder="1" applyAlignment="1">
      <alignment horizontal="left"/>
    </xf>
    <xf numFmtId="0" fontId="2" fillId="2" borderId="1" xfId="0" applyNumberFormat="1" applyFont="1" applyFill="1" applyBorder="1" applyAlignment="1">
      <alignment horizontal="right"/>
    </xf>
    <xf numFmtId="0" fontId="2" fillId="5" borderId="1" xfId="0" applyNumberFormat="1" applyFont="1" applyFill="1" applyBorder="1" applyAlignment="1">
      <alignment horizontal="left"/>
    </xf>
    <xf numFmtId="44" fontId="3" fillId="5" borderId="1" xfId="0" applyNumberFormat="1" applyFont="1" applyFill="1" applyBorder="1" applyAlignment="1">
      <alignment horizontal="right"/>
    </xf>
    <xf numFmtId="44" fontId="3" fillId="5" borderId="1" xfId="1" applyNumberFormat="1" applyFont="1" applyFill="1" applyBorder="1" applyAlignment="1">
      <alignment horizontal="right"/>
    </xf>
    <xf numFmtId="0" fontId="26" fillId="5" borderId="1" xfId="0" applyNumberFormat="1" applyFont="1" applyFill="1" applyBorder="1" applyAlignment="1">
      <alignment horizontal="left"/>
    </xf>
    <xf numFmtId="44" fontId="27" fillId="5" borderId="1" xfId="0" applyNumberFormat="1" applyFont="1" applyFill="1" applyBorder="1" applyAlignment="1">
      <alignment horizontal="right"/>
    </xf>
    <xf numFmtId="44" fontId="27" fillId="5" borderId="1" xfId="1" applyNumberFormat="1" applyFont="1" applyFill="1" applyBorder="1" applyAlignment="1">
      <alignment horizontal="right"/>
    </xf>
    <xf numFmtId="44" fontId="26" fillId="5" borderId="1" xfId="0" applyNumberFormat="1" applyFont="1" applyFill="1" applyBorder="1" applyAlignment="1">
      <alignment horizontal="right"/>
    </xf>
    <xf numFmtId="0" fontId="5" fillId="5" borderId="1" xfId="0" applyNumberFormat="1" applyFont="1" applyFill="1" applyBorder="1"/>
    <xf numFmtId="0" fontId="5" fillId="5" borderId="1" xfId="0" applyNumberFormat="1" applyFont="1" applyFill="1" applyBorder="1" applyAlignment="1">
      <alignment horizontal="left"/>
    </xf>
    <xf numFmtId="0" fontId="7" fillId="5" borderId="1" xfId="0" applyNumberFormat="1" applyFont="1" applyFill="1" applyBorder="1" applyAlignment="1">
      <alignment horizontal="left"/>
    </xf>
    <xf numFmtId="44" fontId="6" fillId="5" borderId="1" xfId="1" applyNumberFormat="1" applyFont="1" applyFill="1" applyBorder="1" applyAlignment="1">
      <alignment horizontal="right"/>
    </xf>
    <xf numFmtId="0" fontId="5" fillId="5" borderId="1" xfId="0" applyNumberFormat="1" applyFont="1" applyFill="1" applyBorder="1" applyAlignment="1">
      <alignment horizontal="left" vertical="top"/>
    </xf>
    <xf numFmtId="44" fontId="6" fillId="5" borderId="1" xfId="0" applyNumberFormat="1" applyFont="1" applyFill="1" applyBorder="1" applyAlignment="1">
      <alignment horizontal="right"/>
    </xf>
    <xf numFmtId="0" fontId="28" fillId="5" borderId="1" xfId="0" applyNumberFormat="1" applyFont="1" applyFill="1" applyBorder="1" applyAlignment="1">
      <alignment horizontal="left"/>
    </xf>
    <xf numFmtId="44" fontId="29" fillId="5" borderId="1" xfId="0" applyNumberFormat="1" applyFont="1" applyFill="1" applyBorder="1" applyAlignment="1">
      <alignment horizontal="right"/>
    </xf>
    <xf numFmtId="44" fontId="5" fillId="0" borderId="1" xfId="0" applyNumberFormat="1" applyFont="1" applyFill="1" applyBorder="1" applyAlignment="1">
      <alignment horizontal="right"/>
    </xf>
    <xf numFmtId="44" fontId="5" fillId="5" borderId="1" xfId="0" applyNumberFormat="1" applyFont="1" applyFill="1" applyBorder="1" applyAlignment="1">
      <alignment horizontal="right"/>
    </xf>
    <xf numFmtId="44" fontId="3" fillId="5" borderId="1" xfId="0" applyNumberFormat="1" applyFont="1" applyFill="1" applyBorder="1"/>
    <xf numFmtId="44" fontId="27" fillId="3" borderId="1" xfId="0" applyNumberFormat="1" applyFont="1" applyFill="1" applyBorder="1" applyAlignment="1">
      <alignment horizontal="center"/>
    </xf>
    <xf numFmtId="0" fontId="26" fillId="5" borderId="1" xfId="0" applyFont="1" applyFill="1" applyBorder="1"/>
    <xf numFmtId="44" fontId="24" fillId="5" borderId="1" xfId="1" applyNumberFormat="1" applyFont="1" applyFill="1" applyBorder="1" applyAlignment="1">
      <alignment horizontal="right"/>
    </xf>
    <xf numFmtId="44" fontId="28" fillId="5" borderId="1" xfId="1" applyNumberFormat="1" applyFont="1" applyFill="1" applyBorder="1" applyAlignment="1">
      <alignment horizontal="right"/>
    </xf>
    <xf numFmtId="0" fontId="2" fillId="5" borderId="1" xfId="0" applyNumberFormat="1" applyFont="1" applyFill="1" applyBorder="1"/>
    <xf numFmtId="44" fontId="5" fillId="5" borderId="1" xfId="1" applyNumberFormat="1" applyFont="1" applyFill="1" applyBorder="1" applyAlignment="1">
      <alignment horizontal="right"/>
    </xf>
    <xf numFmtId="0" fontId="8" fillId="5" borderId="1" xfId="0" applyNumberFormat="1" applyFont="1" applyFill="1" applyBorder="1" applyAlignment="1">
      <alignment horizontal="left"/>
    </xf>
    <xf numFmtId="0" fontId="30" fillId="5" borderId="1" xfId="0" applyNumberFormat="1" applyFont="1" applyFill="1" applyBorder="1" applyAlignment="1">
      <alignment horizontal="left"/>
    </xf>
    <xf numFmtId="44" fontId="4" fillId="5" borderId="1" xfId="0" applyNumberFormat="1" applyFont="1" applyFill="1" applyBorder="1" applyAlignment="1">
      <alignment horizontal="right"/>
    </xf>
    <xf numFmtId="0" fontId="31" fillId="5" borderId="1" xfId="0" applyNumberFormat="1" applyFont="1" applyFill="1" applyBorder="1" applyAlignment="1">
      <alignment horizontal="left"/>
    </xf>
    <xf numFmtId="0" fontId="7" fillId="5" borderId="1" xfId="0" applyNumberFormat="1" applyFont="1" applyFill="1" applyBorder="1"/>
    <xf numFmtId="0" fontId="32" fillId="5" borderId="1" xfId="0" applyNumberFormat="1" applyFont="1" applyFill="1" applyBorder="1" applyAlignment="1">
      <alignment horizontal="left"/>
    </xf>
    <xf numFmtId="44" fontId="33" fillId="5" borderId="1" xfId="1" applyNumberFormat="1" applyFont="1" applyFill="1" applyBorder="1" applyAlignment="1">
      <alignment horizontal="right"/>
    </xf>
    <xf numFmtId="0" fontId="34" fillId="5" borderId="1" xfId="0" applyNumberFormat="1" applyFont="1" applyFill="1" applyBorder="1" applyAlignment="1">
      <alignment horizontal="left"/>
    </xf>
    <xf numFmtId="0" fontId="35" fillId="0" borderId="0" xfId="0" applyFont="1"/>
    <xf numFmtId="44" fontId="2" fillId="0" borderId="1" xfId="1" applyNumberFormat="1" applyFont="1" applyFill="1" applyBorder="1" applyAlignment="1">
      <alignment horizontal="right"/>
    </xf>
    <xf numFmtId="0" fontId="2" fillId="2" borderId="1" xfId="0" applyNumberFormat="1" applyFont="1" applyFill="1" applyBorder="1" applyAlignment="1">
      <alignment horizontal="right" textRotation="50"/>
    </xf>
    <xf numFmtId="44" fontId="3" fillId="4" borderId="1" xfId="1" applyFont="1" applyFill="1" applyBorder="1" applyAlignment="1">
      <alignment horizontal="right"/>
    </xf>
    <xf numFmtId="44" fontId="36" fillId="4" borderId="1" xfId="1" applyFont="1" applyFill="1" applyBorder="1" applyAlignment="1">
      <alignment horizontal="right"/>
    </xf>
    <xf numFmtId="0" fontId="37" fillId="4" borderId="1" xfId="0" applyNumberFormat="1" applyFont="1" applyFill="1" applyBorder="1" applyAlignment="1">
      <alignment horizontal="left"/>
    </xf>
    <xf numFmtId="44" fontId="27" fillId="4" borderId="1" xfId="1" applyFont="1" applyFill="1" applyBorder="1" applyAlignment="1">
      <alignment horizontal="right"/>
    </xf>
    <xf numFmtId="44" fontId="38" fillId="4" borderId="1" xfId="1" applyFont="1" applyFill="1" applyBorder="1" applyAlignment="1">
      <alignment horizontal="right"/>
    </xf>
    <xf numFmtId="44" fontId="6" fillId="5" borderId="1" xfId="1" applyFont="1" applyFill="1" applyBorder="1" applyAlignment="1">
      <alignment horizontal="right"/>
    </xf>
    <xf numFmtId="44" fontId="3" fillId="5" borderId="1" xfId="1" applyFont="1" applyFill="1" applyBorder="1" applyAlignment="1">
      <alignment horizontal="right"/>
    </xf>
    <xf numFmtId="44" fontId="2" fillId="4" borderId="0" xfId="1" applyFont="1" applyFill="1" applyAlignment="1">
      <alignment horizontal="left" indent="1"/>
    </xf>
    <xf numFmtId="44" fontId="38" fillId="4" borderId="1" xfId="1" applyFont="1" applyFill="1" applyBorder="1" applyAlignment="1">
      <alignment horizontal="center"/>
    </xf>
    <xf numFmtId="44" fontId="4" fillId="4" borderId="1" xfId="1" applyFont="1" applyFill="1" applyBorder="1" applyAlignment="1">
      <alignment horizontal="right"/>
    </xf>
    <xf numFmtId="0" fontId="37" fillId="4" borderId="1" xfId="0" applyNumberFormat="1" applyFont="1" applyFill="1" applyBorder="1"/>
    <xf numFmtId="44" fontId="2" fillId="0" borderId="1" xfId="1" applyFont="1" applyFill="1" applyBorder="1" applyAlignment="1">
      <alignment horizontal="right"/>
    </xf>
    <xf numFmtId="0" fontId="2" fillId="4" borderId="1" xfId="0" applyNumberFormat="1" applyFont="1" applyFill="1" applyBorder="1"/>
    <xf numFmtId="0" fontId="8" fillId="4" borderId="1" xfId="0" applyNumberFormat="1" applyFont="1" applyFill="1" applyBorder="1" applyAlignment="1">
      <alignment horizontal="left"/>
    </xf>
    <xf numFmtId="0" fontId="35" fillId="4" borderId="0" xfId="0" applyNumberFormat="1" applyFont="1" applyFill="1"/>
    <xf numFmtId="44" fontId="10" fillId="0" borderId="1" xfId="1" applyFont="1" applyFill="1" applyBorder="1" applyAlignment="1">
      <alignment horizontal="right"/>
    </xf>
    <xf numFmtId="0" fontId="0" fillId="0" borderId="0" xfId="0" applyFill="1"/>
    <xf numFmtId="44" fontId="3" fillId="4" borderId="1" xfId="1" applyFont="1" applyFill="1" applyBorder="1"/>
    <xf numFmtId="0" fontId="28" fillId="0" borderId="1" xfId="0" applyNumberFormat="1" applyFont="1" applyFill="1" applyBorder="1" applyAlignment="1">
      <alignment horizontal="left"/>
    </xf>
    <xf numFmtId="44" fontId="29" fillId="0" borderId="1" xfId="1" applyFont="1" applyFill="1" applyBorder="1" applyAlignment="1">
      <alignment horizontal="right"/>
    </xf>
    <xf numFmtId="0" fontId="39" fillId="0" borderId="0" xfId="0" applyFont="1" applyFill="1"/>
    <xf numFmtId="0" fontId="40" fillId="0" borderId="0" xfId="0" applyFont="1"/>
    <xf numFmtId="44" fontId="26" fillId="4" borderId="1" xfId="1" applyFont="1" applyFill="1" applyBorder="1"/>
    <xf numFmtId="4" fontId="26" fillId="0" borderId="1" xfId="0" applyNumberFormat="1" applyFont="1" applyBorder="1"/>
    <xf numFmtId="4" fontId="29" fillId="0" borderId="1" xfId="0" applyNumberFormat="1" applyFont="1" applyBorder="1"/>
    <xf numFmtId="44" fontId="3" fillId="0" borderId="1" xfId="0" applyNumberFormat="1" applyFont="1" applyBorder="1"/>
    <xf numFmtId="44" fontId="2" fillId="0" borderId="1" xfId="0" applyNumberFormat="1" applyFont="1" applyBorder="1" applyAlignment="1">
      <alignment horizontal="left" indent="1"/>
    </xf>
    <xf numFmtId="44" fontId="6" fillId="0" borderId="1" xfId="1" applyNumberFormat="1" applyFont="1" applyFill="1" applyBorder="1" applyAlignment="1">
      <alignment horizontal="right"/>
    </xf>
    <xf numFmtId="0" fontId="41" fillId="4" borderId="1" xfId="0" applyNumberFormat="1" applyFont="1" applyFill="1" applyBorder="1" applyAlignment="1">
      <alignment horizontal="left" vertical="top"/>
    </xf>
    <xf numFmtId="0" fontId="39" fillId="0" borderId="0" xfId="0" applyFont="1"/>
    <xf numFmtId="0" fontId="41" fillId="4" borderId="1" xfId="0" applyNumberFormat="1" applyFont="1" applyFill="1" applyBorder="1" applyAlignment="1">
      <alignment horizontal="left"/>
    </xf>
    <xf numFmtId="0" fontId="5" fillId="4" borderId="1" xfId="0" applyNumberFormat="1" applyFont="1" applyFill="1" applyBorder="1" applyAlignment="1">
      <alignment horizontal="left"/>
    </xf>
    <xf numFmtId="44" fontId="5" fillId="4" borderId="1" xfId="1" applyFont="1" applyFill="1" applyBorder="1" applyAlignment="1">
      <alignment horizontal="right"/>
    </xf>
    <xf numFmtId="0" fontId="34" fillId="4" borderId="1" xfId="0" applyNumberFormat="1" applyFont="1" applyFill="1" applyBorder="1" applyAlignment="1">
      <alignment horizontal="left"/>
    </xf>
    <xf numFmtId="0" fontId="28" fillId="4" borderId="1" xfId="0" applyNumberFormat="1" applyFont="1" applyFill="1" applyBorder="1" applyAlignment="1">
      <alignment horizontal="left"/>
    </xf>
    <xf numFmtId="44" fontId="29" fillId="4" borderId="1" xfId="1" applyFont="1" applyFill="1" applyBorder="1" applyAlignment="1">
      <alignment horizontal="right"/>
    </xf>
    <xf numFmtId="44" fontId="33" fillId="4" borderId="1" xfId="1" applyFont="1" applyFill="1" applyBorder="1" applyAlignment="1">
      <alignment horizontal="right"/>
    </xf>
    <xf numFmtId="44" fontId="6" fillId="4" borderId="1" xfId="1" applyFont="1" applyFill="1" applyBorder="1" applyAlignment="1">
      <alignment horizontal="right"/>
    </xf>
    <xf numFmtId="0" fontId="7" fillId="4" borderId="1" xfId="0" applyNumberFormat="1" applyFont="1" applyFill="1" applyBorder="1"/>
    <xf numFmtId="0" fontId="7" fillId="4" borderId="1" xfId="0" applyNumberFormat="1" applyFont="1" applyFill="1" applyBorder="1" applyAlignment="1">
      <alignment horizontal="left"/>
    </xf>
    <xf numFmtId="0" fontId="42" fillId="4" borderId="1" xfId="0" applyNumberFormat="1" applyFont="1" applyFill="1" applyBorder="1" applyAlignment="1">
      <alignment horizontal="left"/>
    </xf>
    <xf numFmtId="44" fontId="37" fillId="4" borderId="1" xfId="1" applyFont="1" applyFill="1" applyBorder="1" applyAlignment="1">
      <alignment horizontal="right"/>
    </xf>
    <xf numFmtId="0" fontId="31" fillId="4" borderId="1" xfId="0" applyNumberFormat="1" applyFont="1" applyFill="1" applyBorder="1" applyAlignment="1">
      <alignment horizontal="left"/>
    </xf>
    <xf numFmtId="44" fontId="5" fillId="4" borderId="1" xfId="1" applyFont="1" applyFill="1" applyBorder="1" applyAlignment="1">
      <alignment horizontal="right" vertical="top" wrapText="1"/>
    </xf>
    <xf numFmtId="44" fontId="29" fillId="4" borderId="1" xfId="1" applyFont="1" applyFill="1" applyBorder="1"/>
    <xf numFmtId="0" fontId="5" fillId="4" borderId="1" xfId="0" applyNumberFormat="1" applyFont="1" applyFill="1" applyBorder="1"/>
    <xf numFmtId="0" fontId="43" fillId="0" borderId="0" xfId="0" applyFont="1"/>
    <xf numFmtId="0" fontId="41" fillId="4" borderId="1" xfId="0" applyNumberFormat="1" applyFont="1" applyFill="1" applyBorder="1"/>
    <xf numFmtId="44" fontId="28" fillId="4" borderId="1" xfId="1" applyFont="1" applyFill="1" applyBorder="1" applyAlignment="1">
      <alignment horizontal="right"/>
    </xf>
    <xf numFmtId="44" fontId="24" fillId="4" borderId="1" xfId="1" applyFont="1" applyFill="1" applyBorder="1" applyAlignment="1">
      <alignment horizontal="right"/>
    </xf>
    <xf numFmtId="0" fontId="41" fillId="0" borderId="1" xfId="0" applyNumberFormat="1" applyFont="1" applyFill="1" applyBorder="1" applyAlignment="1">
      <alignment horizontal="left"/>
    </xf>
    <xf numFmtId="44" fontId="36" fillId="0" borderId="1" xfId="1" applyFont="1" applyFill="1" applyBorder="1" applyAlignment="1">
      <alignment horizontal="right"/>
    </xf>
    <xf numFmtId="0" fontId="5" fillId="4" borderId="1" xfId="0" applyNumberFormat="1" applyFont="1" applyFill="1" applyBorder="1" applyAlignment="1">
      <alignment horizontal="left" vertical="top"/>
    </xf>
    <xf numFmtId="0" fontId="32" fillId="4" borderId="1" xfId="0" applyNumberFormat="1" applyFont="1" applyFill="1" applyBorder="1" applyAlignment="1">
      <alignment horizontal="left"/>
    </xf>
    <xf numFmtId="0" fontId="44" fillId="4" borderId="1" xfId="0" applyNumberFormat="1" applyFont="1" applyFill="1" applyBorder="1" applyAlignment="1">
      <alignment horizontal="left"/>
    </xf>
    <xf numFmtId="44" fontId="45" fillId="4" borderId="1" xfId="1" applyFont="1" applyFill="1" applyBorder="1" applyAlignment="1">
      <alignment horizontal="right"/>
    </xf>
    <xf numFmtId="0" fontId="22" fillId="0" borderId="0" xfId="0" applyFont="1" applyFill="1"/>
    <xf numFmtId="0" fontId="46" fillId="0" borderId="0" xfId="0" applyFont="1" applyFill="1"/>
    <xf numFmtId="44" fontId="41" fillId="4" borderId="1" xfId="1" applyFont="1" applyFill="1" applyBorder="1" applyAlignment="1">
      <alignment horizontal="right"/>
    </xf>
    <xf numFmtId="44" fontId="36" fillId="4" borderId="1" xfId="1" applyFont="1" applyFill="1" applyBorder="1"/>
  </cellXfs>
  <cellStyles count="2">
    <cellStyle name="Currency" xfId="1" builtinId="4"/>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7"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120"/>
  <sheetViews>
    <sheetView zoomScale="60" workbookViewId="0">
      <selection activeCell="A46" sqref="A46"/>
    </sheetView>
  </sheetViews>
  <sheetFormatPr baseColWidth="10" defaultColWidth="8.83203125" defaultRowHeight="12" x14ac:dyDescent="0"/>
  <cols>
    <col min="1" max="1" width="78" customWidth="1"/>
    <col min="2" max="2" width="20.1640625" customWidth="1"/>
  </cols>
  <sheetData>
    <row r="1" spans="1:2" ht="17">
      <c r="A1" s="18" t="s">
        <v>71</v>
      </c>
      <c r="B1" s="1"/>
    </row>
    <row r="2" spans="1:2" ht="17">
      <c r="A2" s="19" t="s">
        <v>0</v>
      </c>
      <c r="B2" s="20">
        <v>14442</v>
      </c>
    </row>
    <row r="3" spans="1:2" ht="17">
      <c r="A3" s="21" t="s">
        <v>72</v>
      </c>
      <c r="B3" s="3">
        <v>239</v>
      </c>
    </row>
    <row r="4" spans="1:2" ht="17">
      <c r="A4" s="28" t="s">
        <v>1</v>
      </c>
      <c r="B4" s="83">
        <v>1468</v>
      </c>
    </row>
    <row r="5" spans="1:2" ht="17">
      <c r="A5" s="29" t="s">
        <v>2</v>
      </c>
      <c r="B5" s="6">
        <v>64683.15</v>
      </c>
    </row>
    <row r="6" spans="1:2" ht="17">
      <c r="A6" s="30" t="s">
        <v>3</v>
      </c>
      <c r="B6" s="6">
        <v>22780</v>
      </c>
    </row>
    <row r="7" spans="1:2" ht="17">
      <c r="A7" s="2" t="s">
        <v>4</v>
      </c>
      <c r="B7" s="10">
        <v>466.68</v>
      </c>
    </row>
    <row r="8" spans="1:2" ht="17">
      <c r="A8" s="21" t="s">
        <v>5</v>
      </c>
      <c r="B8" s="23">
        <v>1238</v>
      </c>
    </row>
    <row r="9" spans="1:2" ht="17">
      <c r="A9" s="29" t="s">
        <v>6</v>
      </c>
      <c r="B9" s="31">
        <v>8061.6</v>
      </c>
    </row>
    <row r="10" spans="1:2" ht="17">
      <c r="A10" s="32" t="s">
        <v>7</v>
      </c>
      <c r="B10" s="44">
        <v>10590</v>
      </c>
    </row>
    <row r="11" spans="1:2" ht="17">
      <c r="A11" s="32" t="s">
        <v>8</v>
      </c>
      <c r="B11" s="31">
        <v>8277</v>
      </c>
    </row>
    <row r="12" spans="1:2" ht="17">
      <c r="A12" s="29" t="s">
        <v>73</v>
      </c>
      <c r="B12" s="33">
        <v>11860</v>
      </c>
    </row>
    <row r="13" spans="1:2" ht="17">
      <c r="A13" s="34" t="s">
        <v>9</v>
      </c>
      <c r="B13" s="35">
        <v>13600</v>
      </c>
    </row>
    <row r="14" spans="1:2" ht="17">
      <c r="A14" s="32" t="s">
        <v>74</v>
      </c>
      <c r="B14" s="31">
        <v>6600</v>
      </c>
    </row>
    <row r="15" spans="1:2" ht="17">
      <c r="A15" s="21" t="s">
        <v>10</v>
      </c>
      <c r="B15" s="22">
        <v>13334.5</v>
      </c>
    </row>
    <row r="16" spans="1:2" ht="17">
      <c r="A16" s="21" t="s">
        <v>11</v>
      </c>
      <c r="B16" s="22">
        <v>1850</v>
      </c>
    </row>
    <row r="17" spans="1:2" ht="17">
      <c r="A17" s="21" t="s">
        <v>75</v>
      </c>
      <c r="B17" s="79">
        <v>14472.9</v>
      </c>
    </row>
    <row r="18" spans="1:2" ht="17">
      <c r="A18" s="29" t="s">
        <v>12</v>
      </c>
      <c r="B18" s="37">
        <v>1516</v>
      </c>
    </row>
    <row r="19" spans="1:2" ht="17">
      <c r="A19" s="21" t="s">
        <v>13</v>
      </c>
      <c r="B19" s="22">
        <v>9502</v>
      </c>
    </row>
    <row r="20" spans="1:2" ht="17">
      <c r="A20" s="29" t="s">
        <v>14</v>
      </c>
      <c r="B20" s="31">
        <v>27475</v>
      </c>
    </row>
    <row r="21" spans="1:2" ht="17">
      <c r="A21" s="21" t="s">
        <v>16</v>
      </c>
      <c r="B21" s="3">
        <v>1035</v>
      </c>
    </row>
    <row r="22" spans="1:2" ht="17">
      <c r="A22" s="21" t="s">
        <v>17</v>
      </c>
      <c r="B22" s="4">
        <v>1779</v>
      </c>
    </row>
    <row r="23" spans="1:2" ht="17">
      <c r="A23" s="34" t="s">
        <v>18</v>
      </c>
      <c r="B23" s="80">
        <v>3145.45</v>
      </c>
    </row>
    <row r="24" spans="1:2" ht="17">
      <c r="A24" s="21" t="s">
        <v>19</v>
      </c>
      <c r="B24" s="3">
        <v>8117</v>
      </c>
    </row>
    <row r="25" spans="1:2" ht="17">
      <c r="A25" s="21" t="s">
        <v>20</v>
      </c>
      <c r="B25" s="3">
        <v>8117</v>
      </c>
    </row>
    <row r="26" spans="1:2" ht="17">
      <c r="A26" s="2" t="s">
        <v>77</v>
      </c>
      <c r="B26" s="39" t="s">
        <v>78</v>
      </c>
    </row>
    <row r="27" spans="1:2" ht="17">
      <c r="A27" s="21" t="s">
        <v>21</v>
      </c>
      <c r="B27" s="3">
        <v>21582</v>
      </c>
    </row>
    <row r="28" spans="1:2" ht="17">
      <c r="A28" s="21" t="s">
        <v>22</v>
      </c>
      <c r="B28" s="3">
        <v>1897</v>
      </c>
    </row>
    <row r="29" spans="1:2" ht="17">
      <c r="A29" s="21" t="s">
        <v>23</v>
      </c>
      <c r="B29" s="3">
        <v>6046</v>
      </c>
    </row>
    <row r="30" spans="1:2" ht="17">
      <c r="A30" s="21" t="s">
        <v>24</v>
      </c>
      <c r="B30" s="3">
        <v>3353</v>
      </c>
    </row>
    <row r="31" spans="1:2" ht="17">
      <c r="A31" s="21" t="s">
        <v>25</v>
      </c>
      <c r="B31" s="4">
        <v>1446</v>
      </c>
    </row>
    <row r="32" spans="1:2" ht="17">
      <c r="A32" s="21" t="s">
        <v>26</v>
      </c>
      <c r="B32" s="3">
        <v>8256</v>
      </c>
    </row>
    <row r="33" spans="1:2" ht="17">
      <c r="A33" s="21" t="s">
        <v>27</v>
      </c>
      <c r="B33" s="3">
        <v>32868</v>
      </c>
    </row>
    <row r="34" spans="1:2" ht="17">
      <c r="A34" s="21" t="s">
        <v>79</v>
      </c>
      <c r="B34" s="22" t="s">
        <v>80</v>
      </c>
    </row>
    <row r="35" spans="1:2" ht="17">
      <c r="A35" s="21" t="s">
        <v>28</v>
      </c>
      <c r="B35" s="3">
        <v>2740</v>
      </c>
    </row>
    <row r="36" spans="1:2" ht="17">
      <c r="A36" s="2" t="s">
        <v>81</v>
      </c>
      <c r="B36" s="3">
        <v>1772</v>
      </c>
    </row>
    <row r="37" spans="1:2" ht="17">
      <c r="A37" s="21" t="s">
        <v>29</v>
      </c>
      <c r="B37" s="3">
        <v>2348</v>
      </c>
    </row>
    <row r="38" spans="1:2" ht="17">
      <c r="A38" s="21" t="s">
        <v>30</v>
      </c>
      <c r="B38" s="3">
        <v>2894</v>
      </c>
    </row>
    <row r="39" spans="1:2" ht="17">
      <c r="A39" s="21" t="s">
        <v>31</v>
      </c>
      <c r="B39" s="3">
        <v>3019</v>
      </c>
    </row>
    <row r="40" spans="1:2" ht="17">
      <c r="A40" s="21" t="s">
        <v>32</v>
      </c>
      <c r="B40" s="22">
        <v>11528</v>
      </c>
    </row>
    <row r="41" spans="1:2" ht="17">
      <c r="A41" s="21" t="s">
        <v>33</v>
      </c>
      <c r="B41" s="22">
        <v>17805</v>
      </c>
    </row>
    <row r="42" spans="1:2" ht="17">
      <c r="A42" s="74" t="s">
        <v>141</v>
      </c>
      <c r="B42" s="75">
        <v>4031.63</v>
      </c>
    </row>
    <row r="43" spans="1:2" ht="17">
      <c r="A43" s="29" t="s">
        <v>70</v>
      </c>
      <c r="B43" s="31" t="s">
        <v>76</v>
      </c>
    </row>
    <row r="44" spans="1:2" ht="17">
      <c r="A44" s="21" t="s">
        <v>69</v>
      </c>
      <c r="B44" s="22" t="s">
        <v>76</v>
      </c>
    </row>
    <row r="45" spans="1:2" ht="17">
      <c r="A45" s="21" t="s">
        <v>34</v>
      </c>
      <c r="B45" s="23">
        <v>2105</v>
      </c>
    </row>
    <row r="46" spans="1:2" ht="17">
      <c r="A46" s="40" t="s">
        <v>82</v>
      </c>
      <c r="B46" s="25">
        <f>545.4+59+61</f>
        <v>665.4</v>
      </c>
    </row>
    <row r="47" spans="1:2" ht="17">
      <c r="A47" s="29" t="s">
        <v>35</v>
      </c>
      <c r="B47" s="41">
        <v>47525</v>
      </c>
    </row>
    <row r="48" spans="1:2" ht="17">
      <c r="A48" s="29" t="s">
        <v>36</v>
      </c>
      <c r="B48" s="31" t="s">
        <v>37</v>
      </c>
    </row>
    <row r="49" spans="1:2" ht="17">
      <c r="A49" s="21" t="s">
        <v>38</v>
      </c>
      <c r="B49" s="22" t="s">
        <v>83</v>
      </c>
    </row>
    <row r="50" spans="1:2" ht="17">
      <c r="A50" s="34" t="s">
        <v>39</v>
      </c>
      <c r="B50" s="42">
        <v>55000</v>
      </c>
    </row>
    <row r="51" spans="1:2" ht="17">
      <c r="A51" s="29" t="s">
        <v>84</v>
      </c>
      <c r="B51" s="5">
        <v>30041.55</v>
      </c>
    </row>
    <row r="52" spans="1:2" ht="17">
      <c r="A52" s="29" t="s">
        <v>85</v>
      </c>
      <c r="B52" s="36">
        <v>572824.42000000004</v>
      </c>
    </row>
    <row r="53" spans="1:2" ht="17">
      <c r="A53" s="29" t="s">
        <v>86</v>
      </c>
      <c r="B53" s="36">
        <v>37923.599999999999</v>
      </c>
    </row>
    <row r="54" spans="1:2" ht="17">
      <c r="A54" s="21" t="s">
        <v>87</v>
      </c>
      <c r="B54" s="22">
        <v>25497.99</v>
      </c>
    </row>
    <row r="55" spans="1:2" ht="17">
      <c r="A55" s="21" t="s">
        <v>88</v>
      </c>
      <c r="B55" s="22">
        <v>7798.68</v>
      </c>
    </row>
    <row r="56" spans="1:2" ht="17">
      <c r="A56" s="43" t="s">
        <v>89</v>
      </c>
      <c r="B56" s="22">
        <v>1125</v>
      </c>
    </row>
    <row r="57" spans="1:2" ht="17">
      <c r="A57" s="21" t="s">
        <v>90</v>
      </c>
      <c r="B57" s="22">
        <v>3899.34</v>
      </c>
    </row>
    <row r="58" spans="1:2" ht="17">
      <c r="A58" s="21" t="s">
        <v>91</v>
      </c>
      <c r="B58" s="26">
        <v>1485</v>
      </c>
    </row>
    <row r="59" spans="1:2" ht="17">
      <c r="A59" s="21" t="s">
        <v>92</v>
      </c>
      <c r="B59" s="23">
        <v>1870</v>
      </c>
    </row>
    <row r="60" spans="1:2" ht="17">
      <c r="A60" s="29" t="s">
        <v>93</v>
      </c>
      <c r="B60" s="44">
        <v>1347.25</v>
      </c>
    </row>
    <row r="61" spans="1:2" ht="17">
      <c r="A61" s="29" t="s">
        <v>94</v>
      </c>
      <c r="B61" s="37">
        <v>21879</v>
      </c>
    </row>
    <row r="62" spans="1:2" ht="17">
      <c r="A62" s="21" t="s">
        <v>40</v>
      </c>
      <c r="B62" s="22">
        <v>14625</v>
      </c>
    </row>
    <row r="63" spans="1:2" ht="17">
      <c r="A63" s="21" t="s">
        <v>41</v>
      </c>
      <c r="B63" s="22">
        <v>16668</v>
      </c>
    </row>
    <row r="64" spans="1:2" ht="17">
      <c r="A64" s="21" t="s">
        <v>42</v>
      </c>
      <c r="B64" s="22">
        <v>1956</v>
      </c>
    </row>
    <row r="65" spans="1:2" ht="17">
      <c r="A65" s="21" t="s">
        <v>43</v>
      </c>
      <c r="B65" s="81">
        <v>3195</v>
      </c>
    </row>
    <row r="66" spans="1:2" ht="17">
      <c r="A66" s="30" t="s">
        <v>95</v>
      </c>
      <c r="B66" s="37">
        <v>3799</v>
      </c>
    </row>
    <row r="67" spans="1:2" ht="17">
      <c r="A67" s="45" t="s">
        <v>96</v>
      </c>
      <c r="B67" s="82">
        <v>32670</v>
      </c>
    </row>
    <row r="68" spans="1:2" ht="17">
      <c r="A68" s="45" t="s">
        <v>97</v>
      </c>
      <c r="B68" s="22" t="s">
        <v>76</v>
      </c>
    </row>
    <row r="69" spans="1:2" ht="17">
      <c r="A69" s="46" t="s">
        <v>98</v>
      </c>
      <c r="B69" s="27">
        <v>35524.480000000003</v>
      </c>
    </row>
    <row r="70" spans="1:2" ht="17">
      <c r="A70" s="45" t="s">
        <v>99</v>
      </c>
      <c r="B70" s="47">
        <f>12877.5+6938.75+1000+150</f>
        <v>20966.25</v>
      </c>
    </row>
    <row r="71" spans="1:2" ht="17">
      <c r="A71" s="48" t="s">
        <v>100</v>
      </c>
      <c r="B71" s="35">
        <f>90220.44+160</f>
        <v>90380.44</v>
      </c>
    </row>
    <row r="72" spans="1:2" ht="17">
      <c r="A72" s="24" t="s">
        <v>101</v>
      </c>
      <c r="B72" s="25">
        <v>9215</v>
      </c>
    </row>
    <row r="73" spans="1:2" ht="17">
      <c r="A73" s="30" t="s">
        <v>44</v>
      </c>
      <c r="B73" s="37">
        <v>14956</v>
      </c>
    </row>
    <row r="74" spans="1:2" ht="17">
      <c r="A74" s="21" t="s">
        <v>102</v>
      </c>
      <c r="B74" s="3">
        <v>8265</v>
      </c>
    </row>
    <row r="75" spans="1:2" ht="17">
      <c r="A75" s="21" t="s">
        <v>103</v>
      </c>
      <c r="B75" s="3">
        <v>3025</v>
      </c>
    </row>
    <row r="76" spans="1:2" ht="17">
      <c r="A76" s="21" t="s">
        <v>104</v>
      </c>
      <c r="B76" s="3">
        <v>2730</v>
      </c>
    </row>
    <row r="77" spans="1:2" ht="17">
      <c r="A77" s="21" t="s">
        <v>105</v>
      </c>
      <c r="B77" s="22">
        <v>6412</v>
      </c>
    </row>
    <row r="78" spans="1:2" ht="17">
      <c r="A78" s="21" t="s">
        <v>106</v>
      </c>
      <c r="B78" s="3">
        <v>3710</v>
      </c>
    </row>
    <row r="79" spans="1:2" ht="17">
      <c r="A79" s="21" t="s">
        <v>107</v>
      </c>
      <c r="B79" s="3">
        <v>4380</v>
      </c>
    </row>
    <row r="80" spans="1:2" ht="17">
      <c r="A80" s="21" t="s">
        <v>108</v>
      </c>
      <c r="B80" s="3">
        <v>7600</v>
      </c>
    </row>
    <row r="81" spans="1:2" ht="17">
      <c r="A81" s="21" t="s">
        <v>109</v>
      </c>
      <c r="B81" s="3">
        <v>6050</v>
      </c>
    </row>
    <row r="82" spans="1:2" ht="17">
      <c r="A82" s="21" t="s">
        <v>110</v>
      </c>
      <c r="B82" s="3">
        <v>2800</v>
      </c>
    </row>
    <row r="83" spans="1:2" ht="17">
      <c r="A83" s="21" t="s">
        <v>111</v>
      </c>
      <c r="B83" s="3">
        <v>1060</v>
      </c>
    </row>
    <row r="84" spans="1:2" ht="17">
      <c r="A84" s="21" t="s">
        <v>112</v>
      </c>
      <c r="B84" s="47">
        <v>1000</v>
      </c>
    </row>
    <row r="85" spans="1:2" ht="17">
      <c r="A85" s="21" t="s">
        <v>113</v>
      </c>
      <c r="B85" s="8">
        <v>15675</v>
      </c>
    </row>
    <row r="86" spans="1:2" ht="17">
      <c r="A86" s="21" t="s">
        <v>114</v>
      </c>
      <c r="B86" s="3">
        <v>4580</v>
      </c>
    </row>
    <row r="87" spans="1:2" ht="17">
      <c r="A87" s="21" t="s">
        <v>45</v>
      </c>
      <c r="B87" s="3">
        <v>19320</v>
      </c>
    </row>
    <row r="88" spans="1:2" ht="17">
      <c r="A88" s="21" t="s">
        <v>115</v>
      </c>
      <c r="B88" s="3">
        <v>6010</v>
      </c>
    </row>
    <row r="89" spans="1:2" ht="17">
      <c r="A89" s="21" t="s">
        <v>116</v>
      </c>
      <c r="B89" s="38">
        <v>4084</v>
      </c>
    </row>
    <row r="90" spans="1:2" ht="17">
      <c r="A90" s="21" t="s">
        <v>117</v>
      </c>
      <c r="B90" s="25">
        <v>1158</v>
      </c>
    </row>
    <row r="91" spans="1:2" ht="17">
      <c r="A91" s="21" t="s">
        <v>46</v>
      </c>
      <c r="B91" s="3">
        <v>3370</v>
      </c>
    </row>
    <row r="92" spans="1:2" ht="17">
      <c r="A92" s="24" t="s">
        <v>118</v>
      </c>
      <c r="B92" s="22">
        <v>6745</v>
      </c>
    </row>
    <row r="93" spans="1:2" ht="17">
      <c r="A93" s="21" t="s">
        <v>47</v>
      </c>
      <c r="B93" s="3">
        <v>1940</v>
      </c>
    </row>
    <row r="94" spans="1:2" ht="17">
      <c r="A94" s="21" t="s">
        <v>61</v>
      </c>
      <c r="B94" s="22">
        <v>14030</v>
      </c>
    </row>
    <row r="95" spans="1:2" ht="17">
      <c r="A95" s="21" t="s">
        <v>119</v>
      </c>
      <c r="B95" s="47">
        <v>4501</v>
      </c>
    </row>
    <row r="96" spans="1:2" ht="17">
      <c r="A96" s="21" t="s">
        <v>48</v>
      </c>
      <c r="B96" s="23">
        <v>1750</v>
      </c>
    </row>
    <row r="97" spans="1:2" ht="17">
      <c r="A97" s="21" t="s">
        <v>120</v>
      </c>
      <c r="B97" s="22">
        <v>3353</v>
      </c>
    </row>
    <row r="98" spans="1:2" ht="17">
      <c r="A98" s="30" t="s">
        <v>49</v>
      </c>
      <c r="B98" s="31">
        <v>21178</v>
      </c>
    </row>
    <row r="99" spans="1:2" ht="17">
      <c r="A99" s="49" t="s">
        <v>50</v>
      </c>
      <c r="B99" s="33">
        <v>1482</v>
      </c>
    </row>
    <row r="100" spans="1:2" ht="17">
      <c r="A100" s="21" t="s">
        <v>121</v>
      </c>
      <c r="B100" s="23">
        <v>4212</v>
      </c>
    </row>
    <row r="101" spans="1:2" ht="17">
      <c r="A101" s="21" t="s">
        <v>122</v>
      </c>
      <c r="B101" s="23">
        <v>9794</v>
      </c>
    </row>
    <row r="102" spans="1:2" ht="17">
      <c r="A102" s="24" t="s">
        <v>123</v>
      </c>
      <c r="B102" s="26">
        <v>0</v>
      </c>
    </row>
    <row r="103" spans="1:2" ht="17">
      <c r="A103" s="21" t="s">
        <v>124</v>
      </c>
      <c r="B103" s="23">
        <v>2106</v>
      </c>
    </row>
    <row r="104" spans="1:2" ht="17">
      <c r="A104" s="21" t="s">
        <v>125</v>
      </c>
      <c r="B104" s="22">
        <v>0</v>
      </c>
    </row>
    <row r="105" spans="1:2" ht="17">
      <c r="A105" s="21" t="s">
        <v>126</v>
      </c>
      <c r="B105" s="3">
        <v>1349</v>
      </c>
    </row>
    <row r="106" spans="1:2" ht="17">
      <c r="A106" s="29" t="s">
        <v>51</v>
      </c>
      <c r="B106" s="33">
        <v>115638</v>
      </c>
    </row>
    <row r="107" spans="1:2" ht="17">
      <c r="A107" s="45" t="s">
        <v>52</v>
      </c>
      <c r="B107" s="22" t="s">
        <v>76</v>
      </c>
    </row>
    <row r="108" spans="1:2" ht="17">
      <c r="A108" s="50" t="s">
        <v>53</v>
      </c>
      <c r="B108" s="51" t="s">
        <v>76</v>
      </c>
    </row>
    <row r="109" spans="1:2" ht="17">
      <c r="A109" s="52" t="s">
        <v>54</v>
      </c>
      <c r="B109" s="7">
        <v>3360</v>
      </c>
    </row>
    <row r="110" spans="1:2" ht="17">
      <c r="A110" s="21" t="s">
        <v>55</v>
      </c>
      <c r="B110" s="22">
        <v>6480</v>
      </c>
    </row>
    <row r="111" spans="1:2" ht="17">
      <c r="A111" s="21" t="s">
        <v>127</v>
      </c>
      <c r="B111" s="22">
        <v>581</v>
      </c>
    </row>
    <row r="112" spans="1:2" ht="17">
      <c r="A112" s="21" t="s">
        <v>56</v>
      </c>
      <c r="B112" s="23">
        <v>3622.5</v>
      </c>
    </row>
    <row r="113" spans="1:2" ht="17">
      <c r="A113" s="21" t="s">
        <v>57</v>
      </c>
      <c r="B113" s="22">
        <v>6340.5</v>
      </c>
    </row>
    <row r="114" spans="1:2" ht="17">
      <c r="A114" s="21" t="s">
        <v>58</v>
      </c>
      <c r="B114" s="23">
        <v>798</v>
      </c>
    </row>
    <row r="115" spans="1:2" ht="17">
      <c r="A115" s="21" t="s">
        <v>59</v>
      </c>
      <c r="B115" s="23">
        <v>822</v>
      </c>
    </row>
    <row r="116" spans="1:2" ht="17">
      <c r="A116" s="53" t="s">
        <v>128</v>
      </c>
      <c r="B116" s="23">
        <v>326</v>
      </c>
    </row>
    <row r="117" spans="1:2" ht="17">
      <c r="A117" s="9"/>
      <c r="B117" s="12"/>
    </row>
    <row r="118" spans="1:2" ht="17">
      <c r="A118" s="9" t="s">
        <v>129</v>
      </c>
      <c r="B118" s="11">
        <f>SUM(B3:B117)</f>
        <v>1728372.31</v>
      </c>
    </row>
    <row r="119" spans="1:2" ht="17">
      <c r="A119" s="9" t="s">
        <v>130</v>
      </c>
      <c r="B119" s="12">
        <v>-571993.4</v>
      </c>
    </row>
    <row r="120" spans="1:2" ht="17">
      <c r="A120" s="9" t="s">
        <v>131</v>
      </c>
      <c r="B120" s="54">
        <f>SUM(B118:B119)</f>
        <v>1156378.9100000001</v>
      </c>
    </row>
  </sheetData>
  <phoneticPr fontId="21" type="noConversion"/>
  <pageMargins left="0.75" right="0.75" top="1" bottom="1" header="0.5" footer="0.5"/>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A1:F138"/>
  <sheetViews>
    <sheetView tabSelected="1" view="pageLayout" zoomScale="150" zoomScaleNormal="150" zoomScalePageLayoutView="150" workbookViewId="0">
      <selection sqref="A1:B138"/>
    </sheetView>
  </sheetViews>
  <sheetFormatPr baseColWidth="10" defaultColWidth="8.83203125" defaultRowHeight="12" x14ac:dyDescent="0"/>
  <cols>
    <col min="1" max="1" width="63" customWidth="1"/>
    <col min="2" max="2" width="21.6640625" customWidth="1"/>
  </cols>
  <sheetData>
    <row r="1" spans="1:2" ht="17">
      <c r="A1" s="18" t="s">
        <v>71</v>
      </c>
      <c r="B1" s="55"/>
    </row>
    <row r="2" spans="1:2" ht="17">
      <c r="A2" s="19" t="s">
        <v>0</v>
      </c>
      <c r="B2" s="20">
        <v>14442</v>
      </c>
    </row>
    <row r="3" spans="1:2" ht="17">
      <c r="A3" s="17" t="s">
        <v>72</v>
      </c>
      <c r="B3" s="56">
        <v>239</v>
      </c>
    </row>
    <row r="4" spans="1:2" ht="17">
      <c r="A4" s="101" t="s">
        <v>1</v>
      </c>
      <c r="B4" s="93">
        <v>1397</v>
      </c>
    </row>
    <row r="5" spans="1:2" ht="17">
      <c r="A5" s="87" t="s">
        <v>2</v>
      </c>
      <c r="B5" s="99">
        <v>65779.38</v>
      </c>
    </row>
    <row r="6" spans="1:2" ht="17">
      <c r="A6" s="95" t="s">
        <v>3</v>
      </c>
      <c r="B6" s="99">
        <v>24190</v>
      </c>
    </row>
    <row r="7" spans="1:2" ht="17">
      <c r="A7" s="17" t="s">
        <v>4</v>
      </c>
      <c r="B7" s="56">
        <v>466.68</v>
      </c>
    </row>
    <row r="8" spans="1:2" ht="17">
      <c r="A8" s="17" t="s">
        <v>5</v>
      </c>
      <c r="B8" s="56">
        <v>1238</v>
      </c>
    </row>
    <row r="9" spans="1:2" s="76" customFormat="1" ht="17">
      <c r="A9" s="86" t="s">
        <v>142</v>
      </c>
      <c r="B9" s="57">
        <v>39821</v>
      </c>
    </row>
    <row r="10" spans="1:2" ht="17">
      <c r="A10" s="87" t="s">
        <v>6</v>
      </c>
      <c r="B10" s="93">
        <v>8061.6</v>
      </c>
    </row>
    <row r="11" spans="1:2" s="72" customFormat="1" ht="17">
      <c r="A11" s="86" t="s">
        <v>164</v>
      </c>
      <c r="B11" s="57">
        <v>7116.67</v>
      </c>
    </row>
    <row r="12" spans="1:2" s="112" customFormat="1" ht="17">
      <c r="A12" s="86" t="s">
        <v>165</v>
      </c>
      <c r="B12" s="57">
        <v>18000</v>
      </c>
    </row>
    <row r="13" spans="1:2" ht="17">
      <c r="A13" s="108" t="s">
        <v>7</v>
      </c>
      <c r="B13" s="88">
        <v>11777</v>
      </c>
    </row>
    <row r="14" spans="1:2" ht="17">
      <c r="A14" s="108" t="s">
        <v>8</v>
      </c>
      <c r="B14" s="93">
        <v>7310</v>
      </c>
    </row>
    <row r="15" spans="1:2" ht="17">
      <c r="A15" s="87" t="s">
        <v>73</v>
      </c>
      <c r="B15" s="93">
        <v>11860</v>
      </c>
    </row>
    <row r="16" spans="1:2" ht="17">
      <c r="A16" s="90" t="s">
        <v>9</v>
      </c>
      <c r="B16" s="91">
        <v>13600</v>
      </c>
    </row>
    <row r="17" spans="1:2" ht="17">
      <c r="A17" s="32" t="s">
        <v>74</v>
      </c>
      <c r="B17" s="61"/>
    </row>
    <row r="18" spans="1:2" s="85" customFormat="1" ht="17">
      <c r="A18" s="84" t="s">
        <v>138</v>
      </c>
      <c r="B18" s="57">
        <v>2299.4</v>
      </c>
    </row>
    <row r="19" spans="1:2" ht="17">
      <c r="A19" s="17" t="s">
        <v>10</v>
      </c>
      <c r="B19" s="56">
        <v>13334.37</v>
      </c>
    </row>
    <row r="20" spans="1:2" ht="17">
      <c r="A20" s="17" t="s">
        <v>11</v>
      </c>
      <c r="B20" s="56">
        <v>1850</v>
      </c>
    </row>
    <row r="21" spans="1:2" ht="17">
      <c r="A21" s="17" t="s">
        <v>75</v>
      </c>
      <c r="B21" s="78">
        <v>14472.9</v>
      </c>
    </row>
    <row r="22" spans="1:2" ht="17">
      <c r="A22" s="17" t="s">
        <v>13</v>
      </c>
      <c r="B22" s="56">
        <v>9502</v>
      </c>
    </row>
    <row r="23" spans="1:2" ht="17">
      <c r="A23" s="87" t="s">
        <v>14</v>
      </c>
      <c r="B23" s="93">
        <v>28617</v>
      </c>
    </row>
    <row r="24" spans="1:2" s="16" customFormat="1" ht="17">
      <c r="A24" s="17" t="s">
        <v>15</v>
      </c>
      <c r="B24" s="63">
        <v>33480</v>
      </c>
    </row>
    <row r="25" spans="1:2" ht="17">
      <c r="A25" s="17" t="s">
        <v>16</v>
      </c>
      <c r="B25" s="56">
        <v>1035</v>
      </c>
    </row>
    <row r="26" spans="1:2" s="16" customFormat="1" ht="17">
      <c r="A26" s="17" t="s">
        <v>17</v>
      </c>
      <c r="B26" s="56">
        <v>1779</v>
      </c>
    </row>
    <row r="27" spans="1:2" ht="17">
      <c r="A27" s="90" t="s">
        <v>18</v>
      </c>
      <c r="B27" s="100">
        <v>3145.45</v>
      </c>
    </row>
    <row r="28" spans="1:2" s="112" customFormat="1" ht="17">
      <c r="A28" s="86" t="s">
        <v>166</v>
      </c>
      <c r="B28" s="115">
        <v>144000</v>
      </c>
    </row>
    <row r="29" spans="1:2" ht="17">
      <c r="A29" s="17" t="s">
        <v>19</v>
      </c>
      <c r="B29" s="56">
        <v>8117</v>
      </c>
    </row>
    <row r="30" spans="1:2" ht="17">
      <c r="A30" s="17" t="s">
        <v>20</v>
      </c>
      <c r="B30" s="56">
        <v>8117</v>
      </c>
    </row>
    <row r="31" spans="1:2" ht="17">
      <c r="A31" s="17" t="s">
        <v>77</v>
      </c>
      <c r="B31" s="64" t="s">
        <v>78</v>
      </c>
    </row>
    <row r="32" spans="1:2" ht="17">
      <c r="A32" s="17" t="s">
        <v>21</v>
      </c>
      <c r="B32" s="56">
        <v>21582</v>
      </c>
    </row>
    <row r="33" spans="1:2" ht="17">
      <c r="A33" s="17" t="s">
        <v>22</v>
      </c>
      <c r="B33" s="56">
        <v>1897</v>
      </c>
    </row>
    <row r="34" spans="1:2" ht="17">
      <c r="A34" s="17" t="s">
        <v>23</v>
      </c>
      <c r="B34" s="56">
        <v>6046</v>
      </c>
    </row>
    <row r="35" spans="1:2" s="85" customFormat="1" ht="17">
      <c r="A35" s="86" t="s">
        <v>132</v>
      </c>
      <c r="B35" s="57">
        <v>970</v>
      </c>
    </row>
    <row r="36" spans="1:2" ht="17">
      <c r="A36" s="17" t="s">
        <v>24</v>
      </c>
      <c r="B36" s="56">
        <v>3353</v>
      </c>
    </row>
    <row r="37" spans="1:2" ht="17">
      <c r="A37" s="17" t="s">
        <v>25</v>
      </c>
      <c r="B37" s="56">
        <v>1446</v>
      </c>
    </row>
    <row r="38" spans="1:2" ht="17">
      <c r="A38" s="17" t="s">
        <v>26</v>
      </c>
      <c r="B38" s="56">
        <v>8256</v>
      </c>
    </row>
    <row r="39" spans="1:2" ht="17">
      <c r="A39" s="17" t="s">
        <v>27</v>
      </c>
      <c r="B39" s="56">
        <v>32868</v>
      </c>
    </row>
    <row r="40" spans="1:2" ht="17">
      <c r="A40" s="17" t="s">
        <v>79</v>
      </c>
      <c r="B40" s="56" t="s">
        <v>80</v>
      </c>
    </row>
    <row r="41" spans="1:2" ht="17">
      <c r="A41" s="17" t="s">
        <v>28</v>
      </c>
      <c r="B41" s="56">
        <v>2740</v>
      </c>
    </row>
    <row r="42" spans="1:2" ht="17">
      <c r="A42" s="17" t="s">
        <v>81</v>
      </c>
      <c r="B42" s="56">
        <v>1772</v>
      </c>
    </row>
    <row r="43" spans="1:2" ht="17">
      <c r="A43" s="17" t="s">
        <v>29</v>
      </c>
      <c r="B43" s="56">
        <v>2348</v>
      </c>
    </row>
    <row r="44" spans="1:2" ht="17">
      <c r="A44" s="86" t="s">
        <v>173</v>
      </c>
      <c r="B44" s="114">
        <v>16932</v>
      </c>
    </row>
    <row r="45" spans="1:2" ht="17">
      <c r="A45" s="17" t="s">
        <v>30</v>
      </c>
      <c r="B45" s="56">
        <v>2894</v>
      </c>
    </row>
    <row r="46" spans="1:2" ht="17">
      <c r="A46" s="17" t="s">
        <v>31</v>
      </c>
      <c r="B46" s="56">
        <v>3019</v>
      </c>
    </row>
    <row r="47" spans="1:2" ht="17">
      <c r="A47" s="17" t="s">
        <v>32</v>
      </c>
      <c r="B47" s="56">
        <v>11528</v>
      </c>
    </row>
    <row r="48" spans="1:2" ht="17">
      <c r="A48" s="17" t="s">
        <v>33</v>
      </c>
      <c r="B48" s="56">
        <v>17805</v>
      </c>
    </row>
    <row r="49" spans="1:2" s="77" customFormat="1" ht="17">
      <c r="A49" s="89" t="s">
        <v>141</v>
      </c>
      <c r="B49" s="92">
        <v>4031.63</v>
      </c>
    </row>
    <row r="50" spans="1:2" s="77" customFormat="1" ht="17">
      <c r="A50" s="86" t="s">
        <v>149</v>
      </c>
      <c r="B50" s="57">
        <v>5403</v>
      </c>
    </row>
    <row r="51" spans="1:2" ht="17">
      <c r="A51" s="89" t="s">
        <v>70</v>
      </c>
      <c r="B51" s="93">
        <v>1310.74</v>
      </c>
    </row>
    <row r="52" spans="1:2" ht="17">
      <c r="A52" s="21" t="s">
        <v>69</v>
      </c>
      <c r="B52" s="62" t="s">
        <v>76</v>
      </c>
    </row>
    <row r="53" spans="1:2" ht="17">
      <c r="A53" s="17" t="s">
        <v>34</v>
      </c>
      <c r="B53" s="56">
        <v>2105</v>
      </c>
    </row>
    <row r="54" spans="1:2" ht="17">
      <c r="A54" s="87" t="s">
        <v>35</v>
      </c>
      <c r="B54" s="105">
        <v>47495</v>
      </c>
    </row>
    <row r="55" spans="1:2" ht="17">
      <c r="A55" s="29" t="s">
        <v>36</v>
      </c>
      <c r="B55" s="61" t="s">
        <v>37</v>
      </c>
    </row>
    <row r="56" spans="1:2" ht="17">
      <c r="A56" s="21" t="s">
        <v>38</v>
      </c>
      <c r="B56" s="62" t="s">
        <v>83</v>
      </c>
    </row>
    <row r="57" spans="1:2" s="85" customFormat="1" ht="17">
      <c r="A57" s="86" t="s">
        <v>38</v>
      </c>
      <c r="B57" s="57">
        <v>6423.8</v>
      </c>
    </row>
    <row r="58" spans="1:2" s="85" customFormat="1" ht="17">
      <c r="A58" s="86" t="s">
        <v>148</v>
      </c>
      <c r="B58" s="57">
        <v>3000</v>
      </c>
    </row>
    <row r="59" spans="1:2" ht="17">
      <c r="A59" s="66" t="s">
        <v>133</v>
      </c>
      <c r="B59" s="60">
        <f>545.4+59+61</f>
        <v>665.4</v>
      </c>
    </row>
    <row r="60" spans="1:2" ht="17">
      <c r="A60" s="103" t="s">
        <v>152</v>
      </c>
      <c r="B60" s="57">
        <v>28582.55</v>
      </c>
    </row>
    <row r="61" spans="1:2" ht="17">
      <c r="A61" s="90" t="s">
        <v>39</v>
      </c>
      <c r="B61" s="104">
        <v>50420</v>
      </c>
    </row>
    <row r="62" spans="1:2" ht="17">
      <c r="A62" s="86" t="s">
        <v>170</v>
      </c>
      <c r="B62" s="114">
        <v>6400</v>
      </c>
    </row>
    <row r="63" spans="1:2" ht="17">
      <c r="A63" s="86" t="s">
        <v>171</v>
      </c>
      <c r="B63" s="114">
        <v>583.4</v>
      </c>
    </row>
    <row r="64" spans="1:2" ht="17">
      <c r="A64" s="87" t="s">
        <v>85</v>
      </c>
      <c r="B64" s="88">
        <v>556296.98</v>
      </c>
    </row>
    <row r="65" spans="1:6" ht="17">
      <c r="A65" s="87" t="s">
        <v>86</v>
      </c>
      <c r="B65" s="88">
        <v>39540.44</v>
      </c>
    </row>
    <row r="66" spans="1:6" ht="17">
      <c r="A66" s="17" t="s">
        <v>87</v>
      </c>
      <c r="B66" s="56">
        <v>25497.99</v>
      </c>
    </row>
    <row r="67" spans="1:6" ht="17">
      <c r="A67" s="17" t="s">
        <v>88</v>
      </c>
      <c r="B67" s="56">
        <v>7285.14</v>
      </c>
    </row>
    <row r="68" spans="1:6" ht="17">
      <c r="A68" s="68" t="s">
        <v>89</v>
      </c>
      <c r="B68" s="56">
        <v>1125</v>
      </c>
    </row>
    <row r="69" spans="1:6" ht="17">
      <c r="A69" s="17" t="s">
        <v>90</v>
      </c>
      <c r="B69" s="56">
        <v>3899.34</v>
      </c>
    </row>
    <row r="70" spans="1:6" ht="17">
      <c r="A70" s="17" t="s">
        <v>91</v>
      </c>
      <c r="B70" s="60">
        <v>1485</v>
      </c>
    </row>
    <row r="71" spans="1:6" ht="17">
      <c r="A71" s="17" t="s">
        <v>92</v>
      </c>
      <c r="B71" s="56">
        <v>1870</v>
      </c>
    </row>
    <row r="72" spans="1:6" ht="17">
      <c r="A72" s="87" t="s">
        <v>93</v>
      </c>
      <c r="B72" s="88">
        <v>1486</v>
      </c>
    </row>
    <row r="73" spans="1:6" ht="17">
      <c r="A73" s="17" t="s">
        <v>40</v>
      </c>
      <c r="B73" s="56">
        <v>14625</v>
      </c>
    </row>
    <row r="74" spans="1:6" s="76" customFormat="1" ht="17">
      <c r="A74" s="106" t="s">
        <v>154</v>
      </c>
      <c r="B74" s="107">
        <v>0</v>
      </c>
    </row>
    <row r="75" spans="1:6" ht="17">
      <c r="A75" s="86" t="s">
        <v>144</v>
      </c>
      <c r="B75" s="57">
        <v>490</v>
      </c>
    </row>
    <row r="76" spans="1:6" ht="17">
      <c r="A76" s="17" t="s">
        <v>41</v>
      </c>
      <c r="B76" s="56">
        <v>16668</v>
      </c>
    </row>
    <row r="77" spans="1:6" ht="17">
      <c r="A77" s="17" t="s">
        <v>42</v>
      </c>
      <c r="B77" s="56">
        <v>1956</v>
      </c>
    </row>
    <row r="78" spans="1:6" ht="17">
      <c r="A78" s="17" t="s">
        <v>43</v>
      </c>
      <c r="B78" s="73">
        <v>3195</v>
      </c>
    </row>
    <row r="79" spans="1:6" ht="17">
      <c r="A79" s="95" t="s">
        <v>95</v>
      </c>
      <c r="B79" s="88">
        <v>1347</v>
      </c>
    </row>
    <row r="80" spans="1:6" ht="17">
      <c r="A80" s="69" t="s">
        <v>97</v>
      </c>
      <c r="B80" s="56">
        <v>5160</v>
      </c>
      <c r="F80" s="102"/>
    </row>
    <row r="81" spans="1:2" ht="17">
      <c r="A81" s="96" t="s">
        <v>98</v>
      </c>
      <c r="B81" s="97">
        <v>38340.239999999998</v>
      </c>
    </row>
    <row r="82" spans="1:2" ht="17">
      <c r="A82" s="69" t="s">
        <v>99</v>
      </c>
      <c r="B82" s="60">
        <v>19529</v>
      </c>
    </row>
    <row r="83" spans="1:2" ht="17">
      <c r="A83" s="98" t="s">
        <v>100</v>
      </c>
      <c r="B83" s="91">
        <f>90220.44+160</f>
        <v>90380.44</v>
      </c>
    </row>
    <row r="84" spans="1:2" ht="17">
      <c r="A84" s="110" t="s">
        <v>161</v>
      </c>
      <c r="B84" s="111">
        <v>4155.41</v>
      </c>
    </row>
    <row r="85" spans="1:2" ht="17">
      <c r="A85" s="58" t="s">
        <v>101</v>
      </c>
      <c r="B85" s="60">
        <v>9215</v>
      </c>
    </row>
    <row r="86" spans="1:2" ht="17">
      <c r="A86" s="95" t="s">
        <v>44</v>
      </c>
      <c r="B86" s="88">
        <v>16004</v>
      </c>
    </row>
    <row r="87" spans="1:2" s="113" customFormat="1" ht="17">
      <c r="A87" s="86" t="s">
        <v>168</v>
      </c>
      <c r="B87" s="114">
        <v>2331</v>
      </c>
    </row>
    <row r="88" spans="1:2" ht="17">
      <c r="A88" s="17" t="s">
        <v>102</v>
      </c>
      <c r="B88" s="56">
        <v>8265</v>
      </c>
    </row>
    <row r="89" spans="1:2" ht="17">
      <c r="A89" s="17" t="s">
        <v>103</v>
      </c>
      <c r="B89" s="56">
        <v>3025</v>
      </c>
    </row>
    <row r="90" spans="1:2" ht="17">
      <c r="A90" s="17" t="s">
        <v>104</v>
      </c>
      <c r="B90" s="56">
        <v>2730</v>
      </c>
    </row>
    <row r="91" spans="1:2" ht="17">
      <c r="A91" s="17" t="s">
        <v>105</v>
      </c>
      <c r="B91" s="56">
        <v>6412</v>
      </c>
    </row>
    <row r="92" spans="1:2" ht="17">
      <c r="A92" s="17" t="s">
        <v>106</v>
      </c>
      <c r="B92" s="56">
        <v>3710</v>
      </c>
    </row>
    <row r="93" spans="1:2" ht="17">
      <c r="A93" s="17" t="s">
        <v>107</v>
      </c>
      <c r="B93" s="56">
        <v>4380</v>
      </c>
    </row>
    <row r="94" spans="1:2" ht="17">
      <c r="A94" s="17" t="s">
        <v>108</v>
      </c>
      <c r="B94" s="56">
        <v>7600</v>
      </c>
    </row>
    <row r="95" spans="1:2" ht="17">
      <c r="A95" s="17" t="s">
        <v>109</v>
      </c>
      <c r="B95" s="56">
        <v>6050</v>
      </c>
    </row>
    <row r="96" spans="1:2" ht="17">
      <c r="A96" s="17" t="s">
        <v>110</v>
      </c>
      <c r="B96" s="56">
        <v>2800</v>
      </c>
    </row>
    <row r="97" spans="1:2" ht="17">
      <c r="A97" s="17" t="s">
        <v>111</v>
      </c>
      <c r="B97" s="56">
        <v>1060</v>
      </c>
    </row>
    <row r="98" spans="1:2" ht="17">
      <c r="A98" s="17" t="s">
        <v>112</v>
      </c>
      <c r="B98" s="65">
        <v>1000</v>
      </c>
    </row>
    <row r="99" spans="1:2" ht="17">
      <c r="A99" s="17" t="s">
        <v>113</v>
      </c>
      <c r="B99" s="56">
        <v>15675</v>
      </c>
    </row>
    <row r="100" spans="1:2" ht="17">
      <c r="A100" s="17" t="s">
        <v>114</v>
      </c>
      <c r="B100" s="56">
        <v>4580</v>
      </c>
    </row>
    <row r="101" spans="1:2" ht="17">
      <c r="A101" s="17" t="s">
        <v>45</v>
      </c>
      <c r="B101" s="56">
        <v>19320</v>
      </c>
    </row>
    <row r="102" spans="1:2" ht="17">
      <c r="A102" s="17" t="s">
        <v>115</v>
      </c>
      <c r="B102" s="56">
        <v>6010</v>
      </c>
    </row>
    <row r="103" spans="1:2" ht="17">
      <c r="A103" s="17" t="s">
        <v>116</v>
      </c>
      <c r="B103" s="73">
        <v>4084</v>
      </c>
    </row>
    <row r="104" spans="1:2" ht="17">
      <c r="A104" s="17" t="s">
        <v>117</v>
      </c>
      <c r="B104" s="60">
        <v>1158</v>
      </c>
    </row>
    <row r="105" spans="1:2" ht="17">
      <c r="A105" s="17" t="s">
        <v>46</v>
      </c>
      <c r="B105" s="56">
        <v>3370</v>
      </c>
    </row>
    <row r="106" spans="1:2" ht="17">
      <c r="A106" s="58" t="s">
        <v>118</v>
      </c>
      <c r="B106" s="56">
        <v>6424</v>
      </c>
    </row>
    <row r="107" spans="1:2" ht="17">
      <c r="A107" s="17" t="s">
        <v>47</v>
      </c>
      <c r="B107" s="56">
        <v>1940</v>
      </c>
    </row>
    <row r="108" spans="1:2" ht="17">
      <c r="A108" s="17" t="s">
        <v>61</v>
      </c>
      <c r="B108" s="56">
        <v>14030</v>
      </c>
    </row>
    <row r="109" spans="1:2" ht="17">
      <c r="A109" s="17" t="s">
        <v>119</v>
      </c>
      <c r="B109" s="60">
        <v>4501</v>
      </c>
    </row>
    <row r="110" spans="1:2" ht="17">
      <c r="A110" s="86" t="s">
        <v>172</v>
      </c>
      <c r="B110" s="57">
        <v>34000</v>
      </c>
    </row>
    <row r="111" spans="1:2" ht="17">
      <c r="A111" s="17" t="s">
        <v>155</v>
      </c>
      <c r="B111" s="56">
        <v>1750</v>
      </c>
    </row>
    <row r="112" spans="1:2" ht="17">
      <c r="A112" s="17" t="s">
        <v>156</v>
      </c>
      <c r="B112" s="57">
        <v>583</v>
      </c>
    </row>
    <row r="113" spans="1:2" ht="17">
      <c r="A113" s="17" t="s">
        <v>120</v>
      </c>
      <c r="B113" s="56">
        <v>3353</v>
      </c>
    </row>
    <row r="114" spans="1:2" s="72" customFormat="1" ht="17">
      <c r="A114" s="94" t="s">
        <v>140</v>
      </c>
      <c r="B114" s="93">
        <v>32340</v>
      </c>
    </row>
    <row r="115" spans="1:2" s="72" customFormat="1" ht="17">
      <c r="A115" s="95" t="s">
        <v>150</v>
      </c>
      <c r="B115" s="93">
        <v>500</v>
      </c>
    </row>
    <row r="116" spans="1:2" ht="17">
      <c r="A116" s="17" t="s">
        <v>121</v>
      </c>
      <c r="B116" s="56">
        <v>4212</v>
      </c>
    </row>
    <row r="117" spans="1:2" ht="17">
      <c r="A117" s="17" t="s">
        <v>122</v>
      </c>
      <c r="B117" s="56">
        <v>9794</v>
      </c>
    </row>
    <row r="118" spans="1:2" ht="17">
      <c r="A118" s="58" t="s">
        <v>123</v>
      </c>
      <c r="B118" s="59">
        <v>0</v>
      </c>
    </row>
    <row r="119" spans="1:2" ht="17">
      <c r="A119" s="17" t="s">
        <v>124</v>
      </c>
      <c r="B119" s="56">
        <v>2106</v>
      </c>
    </row>
    <row r="120" spans="1:2" ht="17">
      <c r="A120" s="17" t="s">
        <v>125</v>
      </c>
      <c r="B120" s="56">
        <v>0</v>
      </c>
    </row>
    <row r="121" spans="1:2" ht="17">
      <c r="A121" s="17" t="s">
        <v>126</v>
      </c>
      <c r="B121" s="56">
        <v>1349</v>
      </c>
    </row>
    <row r="122" spans="1:2" s="16" customFormat="1" ht="17">
      <c r="A122" s="17" t="s">
        <v>158</v>
      </c>
      <c r="B122" s="56">
        <v>32479</v>
      </c>
    </row>
    <row r="123" spans="1:2" s="112" customFormat="1" ht="17">
      <c r="A123" s="86" t="s">
        <v>167</v>
      </c>
      <c r="B123" s="57">
        <v>73078</v>
      </c>
    </row>
    <row r="124" spans="1:2" ht="17">
      <c r="A124" s="87" t="s">
        <v>51</v>
      </c>
      <c r="B124" s="93">
        <v>115638</v>
      </c>
    </row>
    <row r="125" spans="1:2" ht="17">
      <c r="A125" s="90" t="s">
        <v>134</v>
      </c>
      <c r="B125" s="91">
        <v>23719.78</v>
      </c>
    </row>
    <row r="126" spans="1:2" ht="17">
      <c r="A126" s="87" t="s">
        <v>139</v>
      </c>
      <c r="B126" s="88">
        <v>1537</v>
      </c>
    </row>
    <row r="127" spans="1:2" ht="17">
      <c r="A127" s="109" t="s">
        <v>53</v>
      </c>
      <c r="B127" s="57">
        <v>37672</v>
      </c>
    </row>
    <row r="128" spans="1:2" ht="17">
      <c r="A128" s="89" t="s">
        <v>54</v>
      </c>
      <c r="B128" s="88">
        <v>3596</v>
      </c>
    </row>
    <row r="129" spans="1:2" ht="17">
      <c r="A129" s="17" t="s">
        <v>55</v>
      </c>
      <c r="B129" s="56">
        <v>6480</v>
      </c>
    </row>
    <row r="130" spans="1:2" ht="17">
      <c r="A130" s="17" t="s">
        <v>127</v>
      </c>
      <c r="B130" s="56">
        <v>581</v>
      </c>
    </row>
    <row r="131" spans="1:2" s="85" customFormat="1" ht="17">
      <c r="A131" s="86" t="s">
        <v>169</v>
      </c>
      <c r="B131" s="57">
        <v>293.14</v>
      </c>
    </row>
    <row r="132" spans="1:2" ht="17">
      <c r="A132" s="17" t="s">
        <v>56</v>
      </c>
      <c r="B132" s="56">
        <v>3622.5</v>
      </c>
    </row>
    <row r="133" spans="1:2" ht="17">
      <c r="A133" s="17" t="s">
        <v>57</v>
      </c>
      <c r="B133" s="56">
        <v>6340.5</v>
      </c>
    </row>
    <row r="134" spans="1:2" ht="17">
      <c r="A134" s="17" t="s">
        <v>58</v>
      </c>
      <c r="B134" s="56">
        <v>798</v>
      </c>
    </row>
    <row r="135" spans="1:2" ht="17">
      <c r="A135" s="17" t="s">
        <v>59</v>
      </c>
      <c r="B135" s="56">
        <v>822</v>
      </c>
    </row>
    <row r="136" spans="1:2" ht="17">
      <c r="A136" s="70" t="s">
        <v>128</v>
      </c>
      <c r="B136" s="56">
        <v>326</v>
      </c>
    </row>
    <row r="137" spans="1:2" ht="17">
      <c r="A137" s="9"/>
      <c r="B137" s="71"/>
    </row>
    <row r="138" spans="1:2" ht="17">
      <c r="A138" s="9" t="s">
        <v>60</v>
      </c>
      <c r="B138" s="67">
        <f>SUM(B3:B137)</f>
        <v>2159457.87</v>
      </c>
    </row>
  </sheetData>
  <phoneticPr fontId="21" type="noConversion"/>
  <pageMargins left="0.75" right="0.75" top="1" bottom="1" header="0.5" footer="0.5"/>
  <pageSetup scale="98" fitToHeight="9" orientation="portrait"/>
  <legacyDrawing r:id="rId1"/>
  <extLst>
    <ext xmlns:mx="http://schemas.microsoft.com/office/mac/excel/2008/main" uri="{64002731-A6B0-56B0-2670-7721B7C09600}">
      <mx:PLV Mode="1" OnePage="0" WScale="10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Views>
    <sheetView topLeftCell="A10" workbookViewId="0">
      <selection activeCell="E35" sqref="E35"/>
    </sheetView>
  </sheetViews>
  <sheetFormatPr baseColWidth="10" defaultColWidth="8.83203125" defaultRowHeight="12" x14ac:dyDescent="0"/>
  <cols>
    <col min="2" max="2" width="5.6640625" customWidth="1"/>
    <col min="3" max="3" width="29.33203125" customWidth="1"/>
    <col min="4" max="4" width="14" customWidth="1"/>
    <col min="5" max="5" width="14.33203125" customWidth="1"/>
    <col min="6" max="6" width="15.83203125" customWidth="1"/>
  </cols>
  <sheetData>
    <row r="1" spans="1:6">
      <c r="A1" t="s">
        <v>62</v>
      </c>
      <c r="B1" t="s">
        <v>63</v>
      </c>
      <c r="C1" t="s">
        <v>64</v>
      </c>
      <c r="D1" s="13" t="s">
        <v>65</v>
      </c>
      <c r="E1" s="13" t="s">
        <v>66</v>
      </c>
      <c r="F1" s="13" t="s">
        <v>67</v>
      </c>
    </row>
    <row r="2" spans="1:6">
      <c r="A2" s="14">
        <v>40442</v>
      </c>
      <c r="C2" s="16" t="s">
        <v>135</v>
      </c>
      <c r="D2" s="13"/>
      <c r="E2" s="13"/>
      <c r="F2" s="13">
        <v>571992.4</v>
      </c>
    </row>
    <row r="3" spans="1:6">
      <c r="D3" s="13"/>
      <c r="E3" s="13"/>
    </row>
    <row r="4" spans="1:6">
      <c r="A4" s="14">
        <v>40387</v>
      </c>
      <c r="B4">
        <v>1187</v>
      </c>
      <c r="C4" s="16" t="s">
        <v>136</v>
      </c>
      <c r="D4" s="13">
        <v>1152108.28</v>
      </c>
      <c r="E4" s="13">
        <v>1152108.28</v>
      </c>
      <c r="F4" s="13">
        <v>1152108.28</v>
      </c>
    </row>
    <row r="5" spans="1:6">
      <c r="D5" s="13"/>
      <c r="E5" s="13"/>
      <c r="F5" s="13"/>
    </row>
    <row r="6" spans="1:6">
      <c r="A6" s="14">
        <v>40393</v>
      </c>
      <c r="B6">
        <v>1196</v>
      </c>
      <c r="C6" s="16" t="s">
        <v>137</v>
      </c>
      <c r="D6" s="13">
        <v>62372.43</v>
      </c>
      <c r="E6" s="13">
        <v>62372.43</v>
      </c>
      <c r="F6" s="13"/>
    </row>
    <row r="7" spans="1:6">
      <c r="D7" s="13"/>
      <c r="E7" s="13"/>
      <c r="F7" s="13"/>
    </row>
    <row r="8" spans="1:6">
      <c r="A8" s="14">
        <v>40491</v>
      </c>
      <c r="B8">
        <v>1205</v>
      </c>
      <c r="C8" t="s">
        <v>143</v>
      </c>
      <c r="D8" s="13">
        <v>1397</v>
      </c>
      <c r="E8" s="13">
        <v>1397</v>
      </c>
      <c r="F8" s="13">
        <v>1397</v>
      </c>
    </row>
    <row r="9" spans="1:6">
      <c r="A9" s="14"/>
      <c r="D9" s="13"/>
      <c r="E9" s="13"/>
      <c r="F9" s="13"/>
    </row>
    <row r="10" spans="1:6">
      <c r="A10" s="14">
        <v>40591</v>
      </c>
      <c r="B10">
        <v>1207</v>
      </c>
      <c r="C10" s="16" t="s">
        <v>147</v>
      </c>
      <c r="D10" s="13">
        <v>3000</v>
      </c>
      <c r="E10" s="13">
        <v>3000</v>
      </c>
      <c r="F10" s="13">
        <v>3000</v>
      </c>
    </row>
    <row r="11" spans="1:6">
      <c r="A11" s="14"/>
      <c r="D11" s="13"/>
      <c r="E11" s="13"/>
      <c r="F11" s="13"/>
    </row>
    <row r="12" spans="1:6">
      <c r="A12" s="14">
        <v>40567</v>
      </c>
      <c r="B12">
        <v>1216</v>
      </c>
      <c r="C12" s="16" t="s">
        <v>151</v>
      </c>
      <c r="D12" s="13">
        <v>58698.34</v>
      </c>
      <c r="E12" s="13">
        <v>58698.34</v>
      </c>
      <c r="F12" s="13">
        <v>58698.34</v>
      </c>
    </row>
    <row r="13" spans="1:6">
      <c r="D13" s="13"/>
      <c r="E13" s="13"/>
      <c r="F13" s="13"/>
    </row>
    <row r="14" spans="1:6">
      <c r="A14" s="14">
        <v>40576</v>
      </c>
      <c r="B14">
        <v>1220</v>
      </c>
      <c r="C14" t="s">
        <v>153</v>
      </c>
      <c r="D14" s="13">
        <v>28582.55</v>
      </c>
      <c r="E14" s="13">
        <v>28582.55</v>
      </c>
      <c r="F14" s="13">
        <v>28582.55</v>
      </c>
    </row>
    <row r="15" spans="1:6">
      <c r="A15" s="14"/>
      <c r="D15" s="13"/>
      <c r="E15" s="13"/>
      <c r="F15" s="13"/>
    </row>
    <row r="16" spans="1:6">
      <c r="A16" s="14">
        <v>40618</v>
      </c>
      <c r="B16">
        <v>1234</v>
      </c>
      <c r="C16" t="s">
        <v>157</v>
      </c>
      <c r="D16" s="13">
        <v>44150.68</v>
      </c>
      <c r="E16" s="13">
        <v>44150.68</v>
      </c>
      <c r="F16" s="13">
        <v>44150.68</v>
      </c>
    </row>
    <row r="17" spans="1:6">
      <c r="A17" s="14"/>
      <c r="D17" s="13"/>
      <c r="E17" s="13"/>
      <c r="F17" s="13"/>
    </row>
    <row r="18" spans="1:6">
      <c r="A18" s="14">
        <v>40658</v>
      </c>
      <c r="B18">
        <v>1236</v>
      </c>
      <c r="C18" t="s">
        <v>159</v>
      </c>
      <c r="D18" s="13">
        <v>624570</v>
      </c>
      <c r="E18" s="13">
        <v>624570</v>
      </c>
      <c r="F18" s="13">
        <v>624570</v>
      </c>
    </row>
    <row r="19" spans="1:6">
      <c r="A19" s="14"/>
      <c r="D19" s="13"/>
      <c r="E19" s="13"/>
      <c r="F19" s="13"/>
    </row>
    <row r="20" spans="1:6">
      <c r="A20" s="14">
        <v>40659</v>
      </c>
      <c r="B20">
        <v>1237</v>
      </c>
      <c r="C20" t="s">
        <v>160</v>
      </c>
      <c r="D20" s="13">
        <v>4155.41</v>
      </c>
      <c r="E20" s="13">
        <v>4155.41</v>
      </c>
      <c r="F20" s="13">
        <v>4155.41</v>
      </c>
    </row>
    <row r="21" spans="1:6">
      <c r="A21" s="14"/>
      <c r="D21" s="13"/>
      <c r="E21" s="13"/>
      <c r="F21" s="13"/>
    </row>
    <row r="22" spans="1:6">
      <c r="A22" s="14">
        <v>40666</v>
      </c>
      <c r="B22">
        <v>1239</v>
      </c>
      <c r="C22" t="s">
        <v>162</v>
      </c>
      <c r="D22" s="13">
        <v>144000</v>
      </c>
      <c r="E22" s="13">
        <v>144000</v>
      </c>
      <c r="F22" s="13">
        <v>144000</v>
      </c>
    </row>
    <row r="23" spans="1:6">
      <c r="A23" s="14"/>
      <c r="D23" s="13"/>
      <c r="E23" s="13"/>
      <c r="F23" s="13"/>
    </row>
    <row r="24" spans="1:6">
      <c r="A24" s="14">
        <v>40667</v>
      </c>
      <c r="B24">
        <v>1240</v>
      </c>
      <c r="C24" s="16" t="s">
        <v>163</v>
      </c>
      <c r="D24" s="13">
        <v>142609</v>
      </c>
      <c r="E24" s="13">
        <v>142609</v>
      </c>
      <c r="F24" s="13">
        <v>142609</v>
      </c>
    </row>
    <row r="25" spans="1:6">
      <c r="A25" s="14"/>
      <c r="D25" s="13"/>
      <c r="E25" s="13"/>
      <c r="F25" s="13"/>
    </row>
    <row r="26" spans="1:6">
      <c r="A26" s="14">
        <v>40703</v>
      </c>
      <c r="B26">
        <v>1248</v>
      </c>
      <c r="C26" s="16" t="s">
        <v>174</v>
      </c>
      <c r="D26" s="13">
        <v>16932</v>
      </c>
      <c r="E26" s="13">
        <v>16932</v>
      </c>
      <c r="F26" s="13">
        <v>16932</v>
      </c>
    </row>
    <row r="27" spans="1:6">
      <c r="D27" s="13"/>
      <c r="E27" s="13"/>
      <c r="F27" s="13"/>
    </row>
    <row r="28" spans="1:6">
      <c r="A28" s="15" t="s">
        <v>68</v>
      </c>
      <c r="D28" s="13"/>
      <c r="E28" s="13"/>
      <c r="F28" s="13">
        <f>SUM(F2:F27)</f>
        <v>2792195.66</v>
      </c>
    </row>
    <row r="29" spans="1:6">
      <c r="D29" s="13"/>
      <c r="E29" s="13"/>
      <c r="F29" s="13"/>
    </row>
    <row r="30" spans="1:6">
      <c r="D30" s="13"/>
      <c r="E30" s="13"/>
      <c r="F30" s="13"/>
    </row>
    <row r="31" spans="1:6">
      <c r="A31" s="15" t="s">
        <v>145</v>
      </c>
      <c r="B31" s="15"/>
      <c r="C31" s="15"/>
      <c r="D31" s="13"/>
      <c r="E31" s="13"/>
      <c r="F31" s="13">
        <v>2159457.87</v>
      </c>
    </row>
    <row r="32" spans="1:6">
      <c r="A32" s="15" t="s">
        <v>146</v>
      </c>
      <c r="B32" s="15"/>
      <c r="C32" s="15"/>
      <c r="D32" s="13"/>
      <c r="E32" s="13"/>
      <c r="F32" s="13">
        <f>SUM(F2:F27)</f>
        <v>2792195.66</v>
      </c>
    </row>
    <row r="33" spans="1:6">
      <c r="A33" s="15" t="s">
        <v>175</v>
      </c>
      <c r="B33" s="15"/>
      <c r="C33" s="15"/>
      <c r="D33" s="13"/>
      <c r="E33" s="13"/>
      <c r="F33" s="13">
        <f>SUM(F31-F32)</f>
        <v>-632737.79</v>
      </c>
    </row>
  </sheetData>
  <phoneticPr fontId="21" type="noConversion"/>
  <pageMargins left="0.75" right="0.75" top="1" bottom="1" header="0.5" footer="0.5"/>
  <pageSetup orientation="portrait"/>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URI Projected</vt:lpstr>
      <vt:lpstr>URI Actual</vt:lpstr>
      <vt:lpstr>Invoices Billed &amp; Paid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 Ramsay</dc:creator>
  <cp:lastModifiedBy>Andree Rathemacher</cp:lastModifiedBy>
  <cp:lastPrinted>2011-06-29T19:08:05Z</cp:lastPrinted>
  <dcterms:created xsi:type="dcterms:W3CDTF">2009-10-05T17:54:01Z</dcterms:created>
  <dcterms:modified xsi:type="dcterms:W3CDTF">2011-06-29T19:08:10Z</dcterms:modified>
</cp:coreProperties>
</file>