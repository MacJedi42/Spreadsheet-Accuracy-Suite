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2120" windowHeight="91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B12" i="1" l="1"/>
  <c r="H12" i="1" s="1"/>
  <c r="B11" i="1"/>
  <c r="H11" i="1" s="1"/>
  <c r="B10" i="1"/>
  <c r="H10" i="1" s="1"/>
  <c r="B9" i="1"/>
  <c r="H9" i="1" s="1"/>
  <c r="B8" i="1"/>
  <c r="H8" i="1" s="1"/>
  <c r="B7" i="1"/>
  <c r="H7" i="1" s="1"/>
  <c r="B6" i="1"/>
  <c r="H6" i="1" s="1"/>
  <c r="B5" i="1"/>
  <c r="H5" i="1" s="1"/>
  <c r="P12" i="1"/>
  <c r="P11" i="1"/>
  <c r="P10" i="1"/>
  <c r="P9" i="1"/>
  <c r="P8" i="1"/>
  <c r="P7" i="1"/>
  <c r="P6" i="1"/>
  <c r="P5" i="1"/>
  <c r="M12" i="1"/>
  <c r="M11" i="1"/>
  <c r="M10" i="1"/>
  <c r="M9" i="1"/>
  <c r="M8" i="1"/>
  <c r="M7" i="1"/>
  <c r="M6" i="1"/>
  <c r="M5" i="1"/>
  <c r="G12" i="1"/>
  <c r="G11" i="1"/>
  <c r="G10" i="1"/>
  <c r="G9" i="1"/>
  <c r="G8" i="1"/>
  <c r="G7" i="1"/>
  <c r="G6" i="1"/>
  <c r="G5" i="1"/>
  <c r="D12" i="1"/>
  <c r="D11" i="1"/>
  <c r="D10" i="1"/>
  <c r="D7" i="1"/>
  <c r="D6" i="1"/>
  <c r="D5" i="1"/>
  <c r="O12" i="1"/>
  <c r="O11" i="1"/>
  <c r="O10" i="1"/>
  <c r="O9" i="1"/>
  <c r="O8" i="1"/>
  <c r="O7" i="1"/>
  <c r="O6" i="1"/>
  <c r="O5" i="1"/>
  <c r="L12" i="1"/>
  <c r="L11" i="1"/>
  <c r="L10" i="1"/>
  <c r="L9" i="1"/>
  <c r="L8" i="1"/>
  <c r="L7" i="1"/>
  <c r="L6" i="1"/>
  <c r="L5" i="1"/>
  <c r="F12" i="1"/>
  <c r="F11" i="1"/>
  <c r="F10" i="1"/>
  <c r="F9" i="1"/>
  <c r="F8" i="1"/>
  <c r="F7" i="1"/>
  <c r="F6" i="1"/>
  <c r="F5" i="1"/>
  <c r="C12" i="1"/>
  <c r="C11" i="1"/>
  <c r="C10" i="1"/>
  <c r="C7" i="1"/>
  <c r="C6" i="1"/>
  <c r="J10" i="1" l="1"/>
  <c r="I10" i="1"/>
  <c r="D8" i="1"/>
  <c r="I6" i="1"/>
  <c r="J6" i="1"/>
  <c r="C5" i="1"/>
  <c r="I12" i="1"/>
  <c r="J12" i="1"/>
  <c r="J11" i="1"/>
  <c r="I11" i="1"/>
  <c r="I9" i="1"/>
  <c r="J9" i="1"/>
  <c r="C9" i="1"/>
  <c r="D9" i="1"/>
  <c r="I8" i="1"/>
  <c r="J8" i="1"/>
  <c r="C8" i="1"/>
  <c r="J7" i="1"/>
  <c r="I7" i="1"/>
  <c r="J5" i="1"/>
  <c r="I5" i="1"/>
</calcChain>
</file>

<file path=xl/sharedStrings.xml><?xml version="1.0" encoding="utf-8"?>
<sst xmlns="http://schemas.openxmlformats.org/spreadsheetml/2006/main" count="23" uniqueCount="11">
  <si>
    <t>Household Size</t>
  </si>
  <si>
    <t>100% MFI</t>
  </si>
  <si>
    <t>Annual</t>
  </si>
  <si>
    <t>Monthly</t>
  </si>
  <si>
    <t>Hourly</t>
  </si>
  <si>
    <t>60% MFI (Low Income)</t>
  </si>
  <si>
    <t>50% MFI (Very Low Income)</t>
  </si>
  <si>
    <r>
      <t>30% MFI</t>
    </r>
    <r>
      <rPr>
        <sz val="8"/>
        <rFont val="Arial"/>
      </rPr>
      <t xml:space="preserve"> (Extremely Low Income)</t>
    </r>
  </si>
  <si>
    <t>80% MFI (Moderate Income)</t>
  </si>
  <si>
    <t>HUD MEDIAN FAMILY INCOME (MFI) LIMITS 2014</t>
  </si>
  <si>
    <t>(Effective 12/18/2013)   Median Income for Spokane is $63,400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</si>
</sst>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&quot;$&quot;#,##0.00"/>
  </numFmts>
  <fonts count="7" x14ac:knownFonts="1">
    <font>
      <sz val="10"/>
      <name val="Arial"/>
    </font>
    <font>
      <sz val="8"/>
      <name val="Arial"/>
    </font>
    <font>
      <sz val="9"/>
      <name val="Arial"/>
    </font>
    <font>
      <sz val="7"/>
      <name val="Arial"/>
    </font>
    <font>
      <b/>
      <sz val="11"/>
      <name val="Arial"/>
      <family val="2"/>
    </font>
    <font>
      <sz val="9"/>
      <name val="Arial"/>
      <family val="2"/>
    </font>
    <font>
      <u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164" fontId="2" fillId="0" borderId="0" xfId="0" applyNumberFormat="1" applyFont="1" applyBorder="1"/>
    <xf numFmtId="165" fontId="2" fillId="0" borderId="2" xfId="0" applyNumberFormat="1" applyFont="1" applyBorder="1"/>
    <xf numFmtId="0" fontId="3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64" fontId="2" fillId="2" borderId="1" xfId="0" applyNumberFormat="1" applyFont="1" applyFill="1" applyBorder="1"/>
    <xf numFmtId="164" fontId="2" fillId="2" borderId="0" xfId="0" applyNumberFormat="1" applyFont="1" applyFill="1" applyBorder="1"/>
    <xf numFmtId="165" fontId="2" fillId="2" borderId="2" xfId="0" applyNumberFormat="1" applyFont="1" applyFill="1" applyBorder="1"/>
    <xf numFmtId="0" fontId="0" fillId="2" borderId="3" xfId="0" applyFill="1" applyBorder="1" applyAlignment="1">
      <alignment horizontal="center"/>
    </xf>
    <xf numFmtId="164" fontId="2" fillId="2" borderId="3" xfId="0" applyNumberFormat="1" applyFont="1" applyFill="1" applyBorder="1"/>
    <xf numFmtId="164" fontId="2" fillId="2" borderId="4" xfId="0" applyNumberFormat="1" applyFont="1" applyFill="1" applyBorder="1"/>
    <xf numFmtId="165" fontId="2" fillId="2" borderId="5" xfId="0" applyNumberFormat="1" applyFont="1" applyFill="1" applyBorder="1"/>
    <xf numFmtId="0" fontId="6" fillId="0" borderId="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5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P1"/>
    </sheetView>
  </sheetViews>
  <sheetFormatPr defaultRowHeight="13.2" x14ac:dyDescent="0.25"/>
  <cols>
    <col min="1" max="1" width="7.6640625" customWidth="1"/>
    <col min="2" max="2" width="8.21875" customWidth="1"/>
    <col min="3" max="3" width="7.88671875" customWidth="1"/>
    <col min="4" max="4" width="8.21875" customWidth="1"/>
    <col min="6" max="6" width="7.33203125" customWidth="1"/>
    <col min="7" max="7" width="8.33203125" customWidth="1"/>
    <col min="8" max="8" width="8.6640625" customWidth="1"/>
    <col min="9" max="9" width="7.6640625" customWidth="1"/>
    <col min="10" max="10" width="8" customWidth="1"/>
    <col min="11" max="11" width="8.21875" customWidth="1"/>
    <col min="12" max="13" width="7.88671875" customWidth="1"/>
    <col min="14" max="14" width="8.21875" customWidth="1"/>
    <col min="15" max="15" width="8" customWidth="1"/>
    <col min="16" max="16" width="8.33203125" customWidth="1"/>
  </cols>
  <sheetData>
    <row r="1" spans="1:16" ht="26.4" customHeight="1" x14ac:dyDescent="0.25">
      <c r="A1" s="21" t="s">
        <v>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</row>
    <row r="2" spans="1:16" ht="13.8" thickBot="1" x14ac:dyDescent="0.3">
      <c r="A2" s="24" t="s">
        <v>10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</row>
    <row r="3" spans="1:16" ht="27.75" customHeight="1" x14ac:dyDescent="0.25">
      <c r="A3" s="6" t="s">
        <v>0</v>
      </c>
      <c r="B3" s="27" t="s">
        <v>1</v>
      </c>
      <c r="C3" s="28"/>
      <c r="D3" s="29"/>
      <c r="E3" s="18" t="s">
        <v>8</v>
      </c>
      <c r="F3" s="19"/>
      <c r="G3" s="20"/>
      <c r="H3" s="27" t="s">
        <v>5</v>
      </c>
      <c r="I3" s="28"/>
      <c r="J3" s="29"/>
      <c r="K3" s="27" t="s">
        <v>6</v>
      </c>
      <c r="L3" s="28"/>
      <c r="M3" s="29"/>
      <c r="N3" s="18" t="s">
        <v>7</v>
      </c>
      <c r="O3" s="19"/>
      <c r="P3" s="20"/>
    </row>
    <row r="4" spans="1:16" ht="16.5" customHeight="1" x14ac:dyDescent="0.25">
      <c r="A4" s="2"/>
      <c r="B4" s="15" t="s">
        <v>2</v>
      </c>
      <c r="C4" s="16" t="s">
        <v>3</v>
      </c>
      <c r="D4" s="17" t="s">
        <v>4</v>
      </c>
      <c r="E4" s="15" t="s">
        <v>2</v>
      </c>
      <c r="F4" s="16" t="s">
        <v>3</v>
      </c>
      <c r="G4" s="17" t="s">
        <v>4</v>
      </c>
      <c r="H4" s="15" t="s">
        <v>2</v>
      </c>
      <c r="I4" s="16" t="s">
        <v>3</v>
      </c>
      <c r="J4" s="17" t="s">
        <v>4</v>
      </c>
      <c r="K4" s="15" t="s">
        <v>2</v>
      </c>
      <c r="L4" s="16" t="s">
        <v>3</v>
      </c>
      <c r="M4" s="17" t="s">
        <v>4</v>
      </c>
      <c r="N4" s="15" t="s">
        <v>2</v>
      </c>
      <c r="O4" s="16" t="s">
        <v>3</v>
      </c>
      <c r="P4" s="17" t="s">
        <v>4</v>
      </c>
    </row>
    <row r="5" spans="1:16" ht="20.100000000000001" customHeight="1" x14ac:dyDescent="0.25">
      <c r="A5" s="1">
        <v>1</v>
      </c>
      <c r="B5" s="3">
        <f>K5*2</f>
        <v>44400</v>
      </c>
      <c r="C5" s="4">
        <f>B5/12</f>
        <v>3700</v>
      </c>
      <c r="D5" s="5">
        <f>B5/2080</f>
        <v>21.346153846153847</v>
      </c>
      <c r="E5" s="3">
        <v>35500</v>
      </c>
      <c r="F5" s="4">
        <f t="shared" ref="F5:F12" si="0">E5/12</f>
        <v>2958.3333333333335</v>
      </c>
      <c r="G5" s="5">
        <f t="shared" ref="G5:G12" si="1">E5/2080</f>
        <v>17.067307692307693</v>
      </c>
      <c r="H5" s="3">
        <f>B5*60%</f>
        <v>26640</v>
      </c>
      <c r="I5" s="4">
        <f t="shared" ref="I5:I12" si="2">H5/12</f>
        <v>2220</v>
      </c>
      <c r="J5" s="5">
        <f t="shared" ref="J5:J12" si="3">H5/2080</f>
        <v>12.807692307692308</v>
      </c>
      <c r="K5" s="3">
        <v>22200</v>
      </c>
      <c r="L5" s="4">
        <f t="shared" ref="L5:L12" si="4">K5/12</f>
        <v>1850</v>
      </c>
      <c r="M5" s="5">
        <f t="shared" ref="M5:M12" si="5">K5/2080</f>
        <v>10.673076923076923</v>
      </c>
      <c r="N5" s="3">
        <v>13300</v>
      </c>
      <c r="O5" s="4">
        <f t="shared" ref="O5:O12" si="6">N5/12</f>
        <v>1108.3333333333333</v>
      </c>
      <c r="P5" s="5">
        <f t="shared" ref="P5:P12" si="7">N5/2080</f>
        <v>6.3942307692307692</v>
      </c>
    </row>
    <row r="6" spans="1:16" ht="20.100000000000001" customHeight="1" x14ac:dyDescent="0.25">
      <c r="A6" s="7">
        <v>2</v>
      </c>
      <c r="B6" s="8">
        <f t="shared" ref="B6:B12" si="8">K6*2</f>
        <v>50800</v>
      </c>
      <c r="C6" s="9">
        <f t="shared" ref="C6:C12" si="9">B6/12</f>
        <v>4233.333333333333</v>
      </c>
      <c r="D6" s="10">
        <f t="shared" ref="D6:D12" si="10">B6/2080</f>
        <v>24.423076923076923</v>
      </c>
      <c r="E6" s="8">
        <v>40600</v>
      </c>
      <c r="F6" s="9">
        <f t="shared" si="0"/>
        <v>3383.3333333333335</v>
      </c>
      <c r="G6" s="10">
        <f t="shared" si="1"/>
        <v>19.51923076923077</v>
      </c>
      <c r="H6" s="8">
        <f t="shared" ref="H6:H12" si="11">B6*60%</f>
        <v>30480</v>
      </c>
      <c r="I6" s="9">
        <f t="shared" si="2"/>
        <v>2540</v>
      </c>
      <c r="J6" s="10">
        <f t="shared" si="3"/>
        <v>14.653846153846153</v>
      </c>
      <c r="K6" s="8">
        <v>25400</v>
      </c>
      <c r="L6" s="9">
        <f t="shared" si="4"/>
        <v>2116.6666666666665</v>
      </c>
      <c r="M6" s="10">
        <f t="shared" si="5"/>
        <v>12.211538461538462</v>
      </c>
      <c r="N6" s="8">
        <v>15200</v>
      </c>
      <c r="O6" s="9">
        <f t="shared" si="6"/>
        <v>1266.6666666666667</v>
      </c>
      <c r="P6" s="10">
        <f t="shared" si="7"/>
        <v>7.3076923076923075</v>
      </c>
    </row>
    <row r="7" spans="1:16" ht="20.100000000000001" customHeight="1" x14ac:dyDescent="0.25">
      <c r="A7" s="1">
        <v>3</v>
      </c>
      <c r="B7" s="3">
        <f t="shared" si="8"/>
        <v>57100</v>
      </c>
      <c r="C7" s="4">
        <f t="shared" si="9"/>
        <v>4758.333333333333</v>
      </c>
      <c r="D7" s="5">
        <f t="shared" si="10"/>
        <v>27.451923076923077</v>
      </c>
      <c r="E7" s="3">
        <v>45650</v>
      </c>
      <c r="F7" s="4">
        <f t="shared" si="0"/>
        <v>3804.1666666666665</v>
      </c>
      <c r="G7" s="5">
        <f t="shared" si="1"/>
        <v>21.947115384615383</v>
      </c>
      <c r="H7" s="3">
        <f t="shared" si="11"/>
        <v>34260</v>
      </c>
      <c r="I7" s="4">
        <f t="shared" si="2"/>
        <v>2855</v>
      </c>
      <c r="J7" s="5">
        <f t="shared" si="3"/>
        <v>16.471153846153847</v>
      </c>
      <c r="K7" s="3">
        <v>28550</v>
      </c>
      <c r="L7" s="4">
        <f t="shared" si="4"/>
        <v>2379.1666666666665</v>
      </c>
      <c r="M7" s="5">
        <f t="shared" si="5"/>
        <v>13.725961538461538</v>
      </c>
      <c r="N7" s="3">
        <v>17100</v>
      </c>
      <c r="O7" s="4">
        <f t="shared" si="6"/>
        <v>1425</v>
      </c>
      <c r="P7" s="5">
        <f t="shared" si="7"/>
        <v>8.2211538461538467</v>
      </c>
    </row>
    <row r="8" spans="1:16" ht="20.100000000000001" customHeight="1" x14ac:dyDescent="0.25">
      <c r="A8" s="7">
        <v>4</v>
      </c>
      <c r="B8" s="8">
        <f t="shared" si="8"/>
        <v>63400</v>
      </c>
      <c r="C8" s="9">
        <f t="shared" si="9"/>
        <v>5283.333333333333</v>
      </c>
      <c r="D8" s="10">
        <f t="shared" si="10"/>
        <v>30.48076923076923</v>
      </c>
      <c r="E8" s="8">
        <v>50700</v>
      </c>
      <c r="F8" s="9">
        <f t="shared" si="0"/>
        <v>4225</v>
      </c>
      <c r="G8" s="10">
        <f t="shared" si="1"/>
        <v>24.375</v>
      </c>
      <c r="H8" s="8">
        <f t="shared" si="11"/>
        <v>38040</v>
      </c>
      <c r="I8" s="9">
        <f t="shared" si="2"/>
        <v>3170</v>
      </c>
      <c r="J8" s="10">
        <f t="shared" si="3"/>
        <v>18.28846153846154</v>
      </c>
      <c r="K8" s="8">
        <v>31700</v>
      </c>
      <c r="L8" s="9">
        <f t="shared" si="4"/>
        <v>2641.6666666666665</v>
      </c>
      <c r="M8" s="10">
        <f t="shared" si="5"/>
        <v>15.240384615384615</v>
      </c>
      <c r="N8" s="8">
        <v>19000</v>
      </c>
      <c r="O8" s="9">
        <f t="shared" si="6"/>
        <v>1583.3333333333333</v>
      </c>
      <c r="P8" s="10">
        <f t="shared" si="7"/>
        <v>9.134615384615385</v>
      </c>
    </row>
    <row r="9" spans="1:16" ht="20.100000000000001" customHeight="1" x14ac:dyDescent="0.25">
      <c r="A9" s="1">
        <v>5</v>
      </c>
      <c r="B9" s="3">
        <f t="shared" si="8"/>
        <v>68500</v>
      </c>
      <c r="C9" s="4">
        <f t="shared" si="9"/>
        <v>5708.333333333333</v>
      </c>
      <c r="D9" s="5">
        <f t="shared" si="10"/>
        <v>32.932692307692307</v>
      </c>
      <c r="E9" s="3">
        <v>54800</v>
      </c>
      <c r="F9" s="4">
        <f t="shared" si="0"/>
        <v>4566.666666666667</v>
      </c>
      <c r="G9" s="5">
        <f t="shared" si="1"/>
        <v>26.346153846153847</v>
      </c>
      <c r="H9" s="3">
        <f t="shared" si="11"/>
        <v>41100</v>
      </c>
      <c r="I9" s="4">
        <f t="shared" si="2"/>
        <v>3425</v>
      </c>
      <c r="J9" s="5">
        <f t="shared" si="3"/>
        <v>19.759615384615383</v>
      </c>
      <c r="K9" s="3">
        <v>34250</v>
      </c>
      <c r="L9" s="4">
        <f t="shared" si="4"/>
        <v>2854.1666666666665</v>
      </c>
      <c r="M9" s="5">
        <f t="shared" si="5"/>
        <v>16.466346153846153</v>
      </c>
      <c r="N9" s="3">
        <v>20550</v>
      </c>
      <c r="O9" s="4">
        <f t="shared" si="6"/>
        <v>1712.5</v>
      </c>
      <c r="P9" s="5">
        <f t="shared" si="7"/>
        <v>9.8798076923076916</v>
      </c>
    </row>
    <row r="10" spans="1:16" ht="20.100000000000001" customHeight="1" x14ac:dyDescent="0.25">
      <c r="A10" s="7">
        <v>6</v>
      </c>
      <c r="B10" s="8">
        <f t="shared" si="8"/>
        <v>73600</v>
      </c>
      <c r="C10" s="9">
        <f t="shared" si="9"/>
        <v>6133.333333333333</v>
      </c>
      <c r="D10" s="10">
        <f t="shared" si="10"/>
        <v>35.384615384615387</v>
      </c>
      <c r="E10" s="8">
        <v>58850</v>
      </c>
      <c r="F10" s="9">
        <f t="shared" si="0"/>
        <v>4904.166666666667</v>
      </c>
      <c r="G10" s="10">
        <f t="shared" si="1"/>
        <v>28.29326923076923</v>
      </c>
      <c r="H10" s="8">
        <f t="shared" si="11"/>
        <v>44160</v>
      </c>
      <c r="I10" s="9">
        <f t="shared" si="2"/>
        <v>3680</v>
      </c>
      <c r="J10" s="10">
        <f t="shared" si="3"/>
        <v>21.23076923076923</v>
      </c>
      <c r="K10" s="8">
        <v>36800</v>
      </c>
      <c r="L10" s="9">
        <f t="shared" si="4"/>
        <v>3066.6666666666665</v>
      </c>
      <c r="M10" s="10">
        <f t="shared" si="5"/>
        <v>17.692307692307693</v>
      </c>
      <c r="N10" s="8">
        <v>22050</v>
      </c>
      <c r="O10" s="9">
        <f t="shared" si="6"/>
        <v>1837.5</v>
      </c>
      <c r="P10" s="10">
        <f t="shared" si="7"/>
        <v>10.600961538461538</v>
      </c>
    </row>
    <row r="11" spans="1:16" ht="20.100000000000001" customHeight="1" x14ac:dyDescent="0.25">
      <c r="A11" s="1">
        <v>7</v>
      </c>
      <c r="B11" s="3">
        <f t="shared" si="8"/>
        <v>78700</v>
      </c>
      <c r="C11" s="4">
        <f t="shared" si="9"/>
        <v>6558.333333333333</v>
      </c>
      <c r="D11" s="5">
        <f t="shared" si="10"/>
        <v>37.83653846153846</v>
      </c>
      <c r="E11" s="3">
        <v>62900</v>
      </c>
      <c r="F11" s="4">
        <f t="shared" si="0"/>
        <v>5241.666666666667</v>
      </c>
      <c r="G11" s="5">
        <f t="shared" si="1"/>
        <v>30.240384615384617</v>
      </c>
      <c r="H11" s="3">
        <f t="shared" si="11"/>
        <v>47220</v>
      </c>
      <c r="I11" s="4">
        <f t="shared" si="2"/>
        <v>3935</v>
      </c>
      <c r="J11" s="5">
        <f t="shared" si="3"/>
        <v>22.701923076923077</v>
      </c>
      <c r="K11" s="3">
        <v>39350</v>
      </c>
      <c r="L11" s="4">
        <f t="shared" si="4"/>
        <v>3279.1666666666665</v>
      </c>
      <c r="M11" s="5">
        <f t="shared" si="5"/>
        <v>18.91826923076923</v>
      </c>
      <c r="N11" s="3">
        <v>23600</v>
      </c>
      <c r="O11" s="4">
        <f t="shared" si="6"/>
        <v>1966.6666666666667</v>
      </c>
      <c r="P11" s="5">
        <f t="shared" si="7"/>
        <v>11.346153846153847</v>
      </c>
    </row>
    <row r="12" spans="1:16" ht="20.100000000000001" customHeight="1" thickBot="1" x14ac:dyDescent="0.3">
      <c r="A12" s="11">
        <v>8</v>
      </c>
      <c r="B12" s="12">
        <f t="shared" si="8"/>
        <v>83700</v>
      </c>
      <c r="C12" s="13">
        <f t="shared" si="9"/>
        <v>6975</v>
      </c>
      <c r="D12" s="14">
        <f t="shared" si="10"/>
        <v>40.240384615384613</v>
      </c>
      <c r="E12" s="12">
        <v>66950</v>
      </c>
      <c r="F12" s="13">
        <f t="shared" si="0"/>
        <v>5579.166666666667</v>
      </c>
      <c r="G12" s="14">
        <f t="shared" si="1"/>
        <v>32.1875</v>
      </c>
      <c r="H12" s="12">
        <f t="shared" si="11"/>
        <v>50220</v>
      </c>
      <c r="I12" s="13">
        <f t="shared" si="2"/>
        <v>4185</v>
      </c>
      <c r="J12" s="14">
        <f t="shared" si="3"/>
        <v>24.14423076923077</v>
      </c>
      <c r="K12" s="12">
        <v>41850</v>
      </c>
      <c r="L12" s="13">
        <f t="shared" si="4"/>
        <v>3487.5</v>
      </c>
      <c r="M12" s="14">
        <f t="shared" si="5"/>
        <v>20.120192307692307</v>
      </c>
      <c r="N12" s="12">
        <v>25100</v>
      </c>
      <c r="O12" s="13">
        <f t="shared" si="6"/>
        <v>2091.6666666666665</v>
      </c>
      <c r="P12" s="14">
        <f t="shared" si="7"/>
        <v>12.067307692307692</v>
      </c>
    </row>
  </sheetData>
  <mergeCells count="7">
    <mergeCell ref="N3:P3"/>
    <mergeCell ref="A1:P1"/>
    <mergeCell ref="A2:P2"/>
    <mergeCell ref="B3:D3"/>
    <mergeCell ref="E3:G3"/>
    <mergeCell ref="H3:J3"/>
    <mergeCell ref="K3:M3"/>
  </mergeCells>
  <phoneticPr fontId="1" type="noConversion"/>
  <pageMargins left="0.5" right="0.5" top="1" bottom="1" header="0.5" footer="0.5"/>
  <pageSetup orientation="landscape" r:id="rId1"/>
  <headerFooter alignWithMargins="0">
    <oddFooter>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Spokane County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Spokane County</dc:creator>
  <cp:lastModifiedBy>Stretch, Patrick</cp:lastModifiedBy>
  <cp:lastPrinted>2007-03-26T16:14:28Z</cp:lastPrinted>
  <dcterms:created xsi:type="dcterms:W3CDTF">2006-04-05T21:46:04Z</dcterms:created>
  <dcterms:modified xsi:type="dcterms:W3CDTF">2014-01-15T16:39:38Z</dcterms:modified>
</cp:coreProperties>
</file>