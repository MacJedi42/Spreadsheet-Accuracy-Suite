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date1904="1" showInkAnnotation="0" autoCompressPictures="0"/>
  <bookViews>
    <workbookView xWindow="560" yWindow="560" windowWidth="25040" windowHeight="14340" tabRatio="500"/>
  </bookViews>
  <sheets>
    <sheet name="Staffing Costs" sheetId="1" r:id="rId1"/>
    <sheet name="Time Cost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6" i="1" l="1"/>
  <c r="F137" i="1"/>
  <c r="F41" i="1"/>
  <c r="F139" i="1"/>
  <c r="F59" i="1"/>
  <c r="F141" i="1"/>
  <c r="F74" i="1"/>
  <c r="F143" i="1"/>
  <c r="F88" i="1"/>
  <c r="F145" i="1"/>
  <c r="F147" i="1"/>
  <c r="F116" i="1"/>
  <c r="F149" i="1"/>
  <c r="F151" i="1"/>
  <c r="L26" i="1"/>
  <c r="L137" i="1"/>
  <c r="L41" i="1"/>
  <c r="L139" i="1"/>
  <c r="L59" i="1"/>
  <c r="L141" i="1"/>
  <c r="L74" i="1"/>
  <c r="L143" i="1"/>
  <c r="L88" i="1"/>
  <c r="L145" i="1"/>
  <c r="L147" i="1"/>
  <c r="L116" i="1"/>
  <c r="L149" i="1"/>
  <c r="L151" i="1"/>
  <c r="L5" i="1"/>
  <c r="E12" i="1"/>
  <c r="F153" i="1"/>
  <c r="K12" i="1"/>
  <c r="L153" i="1"/>
  <c r="L4" i="1"/>
  <c r="F27" i="2"/>
  <c r="F38" i="2"/>
  <c r="F52" i="2"/>
  <c r="F69" i="2"/>
  <c r="F76" i="2"/>
  <c r="L26" i="2"/>
  <c r="L37" i="2"/>
  <c r="L51" i="2"/>
  <c r="L68" i="2"/>
  <c r="L75" i="2"/>
  <c r="L4" i="2"/>
</calcChain>
</file>

<file path=xl/sharedStrings.xml><?xml version="1.0" encoding="utf-8"?>
<sst xmlns="http://schemas.openxmlformats.org/spreadsheetml/2006/main" count="337" uniqueCount="150">
  <si>
    <t>Total coordination hours:</t>
    <phoneticPr fontId="3" type="noConversion"/>
  </si>
  <si>
    <t>TOTAL HOURS PER YEAR:</t>
    <phoneticPr fontId="3" type="noConversion"/>
  </si>
  <si>
    <t>Instructors' Time Costs</t>
    <phoneticPr fontId="3" type="noConversion"/>
  </si>
  <si>
    <t>Preparing classes (lectures, in-class activities)</t>
    <phoneticPr fontId="3" type="noConversion"/>
  </si>
  <si>
    <t>Other - please list below</t>
  </si>
  <si>
    <t>Other - please list below</t>
    <phoneticPr fontId="3" type="noConversion"/>
  </si>
  <si>
    <t>Delivery - Class Time</t>
    <phoneticPr fontId="3" type="noConversion"/>
  </si>
  <si>
    <t>Grading</t>
    <phoneticPr fontId="3" type="noConversion"/>
  </si>
  <si>
    <t>Meeting with students</t>
    <phoneticPr fontId="3" type="noConversion"/>
  </si>
  <si>
    <t>Supervising group work</t>
    <phoneticPr fontId="3" type="noConversion"/>
  </si>
  <si>
    <t>Other Delivery - Outside of Class Time</t>
    <phoneticPr fontId="3" type="noConversion"/>
  </si>
  <si>
    <t>Email</t>
    <phoneticPr fontId="3" type="noConversion"/>
  </si>
  <si>
    <t>GPS alerts</t>
    <phoneticPr fontId="3" type="noConversion"/>
  </si>
  <si>
    <t>Troubleshooting (Blackboard, etc.)</t>
    <phoneticPr fontId="3" type="noConversion"/>
  </si>
  <si>
    <t>Weekly hours of in-class time</t>
    <phoneticPr fontId="3" type="noConversion"/>
  </si>
  <si>
    <t>(E.g., a typical 3 day/week class meets for</t>
    <phoneticPr fontId="3" type="noConversion"/>
  </si>
  <si>
    <t>2.5 hours per week)</t>
    <phoneticPr fontId="3" type="noConversion"/>
  </si>
  <si>
    <t>Hours spent giving in-class final exam</t>
    <phoneticPr fontId="3" type="noConversion"/>
  </si>
  <si>
    <t>Number of Sections Per Year:</t>
    <phoneticPr fontId="3" type="noConversion"/>
  </si>
  <si>
    <t>for ONE INSTRUCTOR doing ONE SECTION of the course</t>
    <phoneticPr fontId="3" type="noConversion"/>
  </si>
  <si>
    <t xml:space="preserve">Except for the Coordination part below, all estimates are </t>
    <phoneticPr fontId="3" type="noConversion"/>
  </si>
  <si>
    <t># of Hours (One person/One section)</t>
    <phoneticPr fontId="3" type="noConversion"/>
  </si>
  <si>
    <t>Setting up Blackboard shells</t>
    <phoneticPr fontId="3" type="noConversion"/>
  </si>
  <si>
    <t>Acquiring materials</t>
    <phoneticPr fontId="3" type="noConversion"/>
  </si>
  <si>
    <t>Training/orienting Tas</t>
    <phoneticPr fontId="3" type="noConversion"/>
  </si>
  <si>
    <t>Revising/developing syllabi</t>
    <phoneticPr fontId="3" type="noConversion"/>
  </si>
  <si>
    <t>Preparing assignments</t>
    <phoneticPr fontId="3" type="noConversion"/>
  </si>
  <si>
    <t>Development</t>
    <phoneticPr fontId="3" type="noConversion"/>
  </si>
  <si>
    <t>Preparing tests</t>
    <phoneticPr fontId="3" type="noConversion"/>
  </si>
  <si>
    <t>Coordination</t>
    <phoneticPr fontId="3" type="noConversion"/>
  </si>
  <si>
    <t>Fill in the estimated time the coordinator spends PER YEAR on the following:</t>
    <phoneticPr fontId="3" type="noConversion"/>
  </si>
  <si>
    <t>Holding coordination meetings</t>
    <phoneticPr fontId="3" type="noConversion"/>
  </si>
  <si>
    <t>Total hours per person/per section</t>
    <phoneticPr fontId="3" type="noConversion"/>
  </si>
  <si>
    <t>Yearly amount paid for work on this course</t>
    <phoneticPr fontId="3" type="noConversion"/>
  </si>
  <si>
    <t>Yearly amount of stipend for coordination</t>
    <phoneticPr fontId="3" type="noConversion"/>
  </si>
  <si>
    <t>Staff 1</t>
    <phoneticPr fontId="3" type="noConversion"/>
  </si>
  <si>
    <t>Staff 2</t>
  </si>
  <si>
    <t>Staff 3</t>
  </si>
  <si>
    <t>Staff 4</t>
  </si>
  <si>
    <t>Staff 5</t>
  </si>
  <si>
    <t xml:space="preserve">Total </t>
    <phoneticPr fontId="3" type="noConversion"/>
  </si>
  <si>
    <t>workload</t>
    <phoneticPr fontId="3" type="noConversion"/>
  </si>
  <si>
    <t xml:space="preserve">Total </t>
    <phoneticPr fontId="3" type="noConversion"/>
  </si>
  <si>
    <t>workload</t>
    <phoneticPr fontId="3" type="noConversion"/>
  </si>
  <si>
    <t xml:space="preserve">Total </t>
    <phoneticPr fontId="3" type="noConversion"/>
  </si>
  <si>
    <t>sections</t>
    <phoneticPr fontId="3" type="noConversion"/>
  </si>
  <si>
    <t xml:space="preserve">Total </t>
    <phoneticPr fontId="3" type="noConversion"/>
  </si>
  <si>
    <t>Total</t>
    <phoneticPr fontId="3" type="noConversion"/>
  </si>
  <si>
    <t>amount</t>
    <phoneticPr fontId="3" type="noConversion"/>
  </si>
  <si>
    <t>Coordinator Costs</t>
    <phoneticPr fontId="3" type="noConversion"/>
  </si>
  <si>
    <t>YELLOW - fill in your own estimates</t>
    <phoneticPr fontId="3" type="noConversion"/>
  </si>
  <si>
    <t>All estimates are PER ACADEMIC YEAR</t>
    <phoneticPr fontId="3" type="noConversion"/>
  </si>
  <si>
    <t>For each person involved in the course, fill out one line in the worksheet.</t>
    <phoneticPr fontId="3" type="noConversion"/>
  </si>
  <si>
    <t>Amount a peer TA makes per section</t>
    <phoneticPr fontId="3" type="noConversion"/>
  </si>
  <si>
    <t>Average amount an adjunct instructor makes in your department per sect</t>
    <phoneticPr fontId="3" type="noConversion"/>
  </si>
  <si>
    <t>TOTAL STAFFING COST ESTIMATE:</t>
    <phoneticPr fontId="3" type="noConversion"/>
  </si>
  <si>
    <t>Staffing Cost Per Student</t>
    <phoneticPr fontId="3" type="noConversion"/>
  </si>
  <si>
    <t>GA 1</t>
    <phoneticPr fontId="3" type="noConversion"/>
  </si>
  <si>
    <t>GA 2</t>
  </si>
  <si>
    <t>GA 3</t>
  </si>
  <si>
    <t>GA 4</t>
  </si>
  <si>
    <t>GA 5</t>
  </si>
  <si>
    <t>GA 6</t>
  </si>
  <si>
    <t>GA 7</t>
  </si>
  <si>
    <t>GA 8</t>
  </si>
  <si>
    <t>GA 9</t>
  </si>
  <si>
    <t>GA 10</t>
  </si>
  <si>
    <t>Staffing</t>
    <phoneticPr fontId="3" type="noConversion"/>
  </si>
  <si>
    <t>Salary</t>
    <phoneticPr fontId="3" type="noConversion"/>
  </si>
  <si>
    <t>5.  Undergraduate Peer Teaching Assistants</t>
    <phoneticPr fontId="3" type="noConversion"/>
  </si>
  <si>
    <t>TT Faculty Costs</t>
    <phoneticPr fontId="3" type="noConversion"/>
  </si>
  <si>
    <t>Non TT Faculty Costs</t>
    <phoneticPr fontId="3" type="noConversion"/>
  </si>
  <si>
    <t>Adjunct Costs</t>
    <phoneticPr fontId="3" type="noConversion"/>
  </si>
  <si>
    <t>GTA Costs</t>
    <phoneticPr fontId="3" type="noConversion"/>
  </si>
  <si>
    <t>Peer TA Costs</t>
    <phoneticPr fontId="3" type="noConversion"/>
  </si>
  <si>
    <t>Other Staff Costs</t>
    <phoneticPr fontId="3" type="noConversion"/>
  </si>
  <si>
    <t>PTA 1</t>
    <phoneticPr fontId="3" type="noConversion"/>
  </si>
  <si>
    <t>PTA 2</t>
  </si>
  <si>
    <t>PTA 3</t>
  </si>
  <si>
    <t>PTA 4</t>
  </si>
  <si>
    <t>PTA 5</t>
  </si>
  <si>
    <t>PTA 6</t>
  </si>
  <si>
    <t>PTA 7</t>
  </si>
  <si>
    <t>PTA 8</t>
  </si>
  <si>
    <t>PTA 9</t>
  </si>
  <si>
    <t>PTA 10</t>
  </si>
  <si>
    <t>6.  Course Coordinator - TT Faculty Receiving Reassigned Time for Coordination</t>
    <phoneticPr fontId="3" type="noConversion"/>
  </si>
  <si>
    <t>7.  Course Coordinator - Non TT Faculty Receiving Reassigned Time for Coordination</t>
    <phoneticPr fontId="3" type="noConversion"/>
  </si>
  <si>
    <t>8.  Course Coordinator - Any Staff Receiving Stipend for Course Coordination</t>
    <phoneticPr fontId="3" type="noConversion"/>
  </si>
  <si>
    <t>9.  Other Staff - e.g., laboratory managers or graders</t>
    <phoneticPr fontId="3" type="noConversion"/>
  </si>
  <si>
    <t>Proportion of yearly workload reassigned for coordination</t>
    <phoneticPr fontId="3" type="noConversion"/>
  </si>
  <si>
    <t>Average amount an instructor or lecturer makes in your department</t>
    <phoneticPr fontId="3" type="noConversion"/>
  </si>
  <si>
    <t>Course As Taught After Blended Redesign</t>
    <phoneticPr fontId="3" type="noConversion"/>
  </si>
  <si>
    <t>2. Non TT Faculty</t>
    <phoneticPr fontId="3" type="noConversion"/>
  </si>
  <si>
    <t>Non TT fac 1</t>
    <phoneticPr fontId="3" type="noConversion"/>
  </si>
  <si>
    <t>Non TT fac 2</t>
  </si>
  <si>
    <t>Non TT fac 3</t>
  </si>
  <si>
    <t>Non TT fac 4</t>
  </si>
  <si>
    <t>Non TT fac 5</t>
  </si>
  <si>
    <t>Non TT fac 6</t>
  </si>
  <si>
    <t>Non TT fac 7</t>
  </si>
  <si>
    <t>Non TT fac 8</t>
  </si>
  <si>
    <t>Non TT fac 9</t>
  </si>
  <si>
    <t>Non TT fac 10</t>
  </si>
  <si>
    <t>3.  Adjunct Faculty</t>
    <phoneticPr fontId="3" type="noConversion"/>
  </si>
  <si>
    <t>Name</t>
    <phoneticPr fontId="3" type="noConversion"/>
  </si>
  <si>
    <t>Number of sections taught per year</t>
    <phoneticPr fontId="3" type="noConversion"/>
  </si>
  <si>
    <t>Adj Fac 1</t>
    <phoneticPr fontId="3" type="noConversion"/>
  </si>
  <si>
    <t>Adj Fac 2</t>
  </si>
  <si>
    <t>Adj Fac 3</t>
  </si>
  <si>
    <t>Adj Fac 4</t>
  </si>
  <si>
    <t>Adj Fac 5</t>
  </si>
  <si>
    <t>Adj Fac 6</t>
  </si>
  <si>
    <t>Adj Fac 7</t>
  </si>
  <si>
    <t>Adj Fac 8</t>
  </si>
  <si>
    <t>Adj Fac 9</t>
  </si>
  <si>
    <t>Adj Fac 10</t>
  </si>
  <si>
    <t>4.  Graduate Teaching Assistants</t>
    <phoneticPr fontId="3" type="noConversion"/>
  </si>
  <si>
    <t>Course As Presently Taught</t>
    <phoneticPr fontId="3" type="noConversion"/>
  </si>
  <si>
    <t>Capacity</t>
    <phoneticPr fontId="3" type="noConversion"/>
  </si>
  <si>
    <t>Number of Sections Per Year:</t>
    <phoneticPr fontId="3" type="noConversion"/>
  </si>
  <si>
    <t>Approximate Number of Students Per Section:</t>
    <phoneticPr fontId="3" type="noConversion"/>
  </si>
  <si>
    <t>TOTAL STUDENTS PER YEAR:</t>
    <phoneticPr fontId="3" type="noConversion"/>
  </si>
  <si>
    <t>PINK-these are computed for you</t>
    <phoneticPr fontId="3" type="noConversion"/>
  </si>
  <si>
    <t>1.  Tenure Track Faculty</t>
    <phoneticPr fontId="3" type="noConversion"/>
  </si>
  <si>
    <t>If you know the person's name, fill it in too.</t>
    <phoneticPr fontId="3" type="noConversion"/>
  </si>
  <si>
    <t>Name</t>
    <phoneticPr fontId="3" type="noConversion"/>
  </si>
  <si>
    <t>Proportion of yearly workload spent on the class</t>
    <phoneticPr fontId="3" type="noConversion"/>
  </si>
  <si>
    <t>(each section = .10 of yearly workload)</t>
    <phoneticPr fontId="3" type="noConversion"/>
  </si>
  <si>
    <t>TT fac 1</t>
    <phoneticPr fontId="3" type="noConversion"/>
  </si>
  <si>
    <t>TT fac 2</t>
  </si>
  <si>
    <t>TT fac 3</t>
  </si>
  <si>
    <t>TT fac 4</t>
  </si>
  <si>
    <t>TT fac 5</t>
  </si>
  <si>
    <t>TT fac 6</t>
  </si>
  <si>
    <t>TT fac 7</t>
  </si>
  <si>
    <t>TT fac 8</t>
  </si>
  <si>
    <t>TT fac 9</t>
  </si>
  <si>
    <t>TT fac 10</t>
  </si>
  <si>
    <t>Average amount a TT faculty member makes in your department</t>
    <phoneticPr fontId="3" type="noConversion"/>
  </si>
  <si>
    <t>(annual, 9-month salary plus ERE)</t>
    <phoneticPr fontId="3" type="noConversion"/>
  </si>
  <si>
    <t>Amount a one-year GA makes</t>
    <phoneticPr fontId="3" type="noConversion"/>
  </si>
  <si>
    <t>TOTAL HOURS SAVED PER YEAR:</t>
  </si>
  <si>
    <t>Training/orienting TAs</t>
  </si>
  <si>
    <t>(annual, 9-month salary plus ERE)</t>
  </si>
  <si>
    <t>PER STUDENT SAVINGS:</t>
  </si>
  <si>
    <t>TOTAL ESTIMATED COST SAVINGS PER YEAR:</t>
  </si>
  <si>
    <t>NAU-CSE</t>
  </si>
  <si>
    <t>NAU Cost Savings Estimate Tool</t>
  </si>
  <si>
    <t>Notes for the reviewers: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</si>
</sst>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sz val="10"/>
      <color indexed="207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6AD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0" fillId="0" borderId="0" xfId="0" applyFill="1"/>
    <xf numFmtId="0" fontId="0" fillId="0" borderId="0" xfId="0"/>
    <xf numFmtId="0" fontId="4" fillId="3" borderId="0" xfId="0" applyFont="1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abSelected="1" view="pageLayout" topLeftCell="A134" workbookViewId="0">
      <selection activeCell="A157" sqref="A157"/>
    </sheetView>
  </sheetViews>
  <sheetFormatPr baseColWidth="10" defaultRowHeight="13" x14ac:dyDescent="0"/>
  <sheetData>
    <row r="1" spans="1:12">
      <c r="A1" s="1" t="s">
        <v>147</v>
      </c>
      <c r="B1" s="1" t="s">
        <v>148</v>
      </c>
    </row>
    <row r="2" spans="1:12">
      <c r="B2" s="1" t="s">
        <v>118</v>
      </c>
      <c r="H2" s="1" t="s">
        <v>92</v>
      </c>
    </row>
    <row r="3" spans="1:12">
      <c r="B3" t="s">
        <v>50</v>
      </c>
    </row>
    <row r="4" spans="1:12">
      <c r="B4" t="s">
        <v>123</v>
      </c>
      <c r="H4" s="1" t="s">
        <v>145</v>
      </c>
      <c r="L4" s="9" t="e">
        <f>F153-L153</f>
        <v>#DIV/0!</v>
      </c>
    </row>
    <row r="5" spans="1:12">
      <c r="B5" s="1" t="s">
        <v>51</v>
      </c>
      <c r="H5" s="1" t="s">
        <v>146</v>
      </c>
      <c r="L5" s="9">
        <f>F151-L151</f>
        <v>0</v>
      </c>
    </row>
    <row r="6" spans="1:12">
      <c r="A6" s="1" t="s">
        <v>119</v>
      </c>
    </row>
    <row r="8" spans="1:12">
      <c r="A8" t="s">
        <v>120</v>
      </c>
      <c r="E8" s="2"/>
      <c r="G8" t="s">
        <v>120</v>
      </c>
      <c r="K8" s="2"/>
    </row>
    <row r="10" spans="1:12">
      <c r="A10" t="s">
        <v>121</v>
      </c>
      <c r="E10" s="2"/>
      <c r="G10" t="s">
        <v>121</v>
      </c>
      <c r="K10" s="2"/>
    </row>
    <row r="12" spans="1:12">
      <c r="A12" t="s">
        <v>122</v>
      </c>
      <c r="E12" s="3">
        <f>E8*E10</f>
        <v>0</v>
      </c>
      <c r="G12" t="s">
        <v>122</v>
      </c>
      <c r="K12" s="3">
        <f>K8*K10</f>
        <v>0</v>
      </c>
    </row>
    <row r="15" spans="1:12">
      <c r="A15" s="1" t="s">
        <v>67</v>
      </c>
      <c r="G15" s="1" t="s">
        <v>67</v>
      </c>
      <c r="H15" s="6"/>
      <c r="I15" s="6"/>
      <c r="J15" s="6"/>
      <c r="K15" s="6"/>
      <c r="L15" s="6"/>
    </row>
    <row r="16" spans="1:12">
      <c r="A16" t="s">
        <v>52</v>
      </c>
      <c r="G16" s="6" t="s">
        <v>52</v>
      </c>
      <c r="H16" s="6"/>
      <c r="I16" s="6"/>
      <c r="J16" s="6"/>
      <c r="K16" s="6"/>
      <c r="L16" s="6"/>
    </row>
    <row r="17" spans="1:12">
      <c r="A17" t="s">
        <v>125</v>
      </c>
      <c r="G17" s="6" t="s">
        <v>125</v>
      </c>
      <c r="H17" s="6"/>
      <c r="I17" s="6"/>
      <c r="J17" s="6"/>
      <c r="K17" s="6"/>
      <c r="L17" s="6"/>
    </row>
    <row r="18" spans="1:12">
      <c r="G18" s="6"/>
      <c r="H18" s="6"/>
      <c r="I18" s="6"/>
      <c r="J18" s="6"/>
      <c r="K18" s="6"/>
      <c r="L18" s="6"/>
    </row>
    <row r="19" spans="1:12">
      <c r="A19" t="s">
        <v>124</v>
      </c>
      <c r="G19" s="6" t="s">
        <v>124</v>
      </c>
      <c r="H19" s="6"/>
      <c r="I19" s="6"/>
      <c r="J19" s="6"/>
      <c r="K19" s="6"/>
      <c r="L19" s="6"/>
    </row>
    <row r="20" spans="1:12">
      <c r="G20" s="6"/>
      <c r="H20" s="6"/>
      <c r="I20" s="6"/>
      <c r="J20" s="6"/>
      <c r="K20" s="6"/>
      <c r="L20" s="6"/>
    </row>
    <row r="21" spans="1:12">
      <c r="B21" t="s">
        <v>126</v>
      </c>
      <c r="C21" t="s">
        <v>127</v>
      </c>
      <c r="G21" s="6"/>
      <c r="H21" s="6" t="s">
        <v>126</v>
      </c>
      <c r="I21" s="6" t="s">
        <v>127</v>
      </c>
      <c r="J21" s="6"/>
      <c r="K21" s="6"/>
      <c r="L21" s="6"/>
    </row>
    <row r="22" spans="1:12">
      <c r="C22" t="s">
        <v>128</v>
      </c>
      <c r="G22" s="6"/>
      <c r="H22" s="6"/>
      <c r="I22" s="6" t="s">
        <v>128</v>
      </c>
      <c r="J22" s="6"/>
      <c r="K22" s="6"/>
      <c r="L22" s="6"/>
    </row>
    <row r="23" spans="1:12">
      <c r="A23" t="s">
        <v>129</v>
      </c>
      <c r="B23" s="2"/>
      <c r="C23" s="2"/>
      <c r="G23" s="6" t="s">
        <v>129</v>
      </c>
      <c r="H23" s="2"/>
      <c r="I23" s="2"/>
      <c r="J23" s="6"/>
      <c r="K23" s="6"/>
      <c r="L23" s="6"/>
    </row>
    <row r="24" spans="1:12">
      <c r="A24" t="s">
        <v>130</v>
      </c>
      <c r="B24" s="2"/>
      <c r="C24" s="2"/>
      <c r="G24" s="6" t="s">
        <v>130</v>
      </c>
      <c r="H24" s="2"/>
      <c r="I24" s="2"/>
      <c r="J24" s="6"/>
      <c r="K24" s="6"/>
      <c r="L24" s="6"/>
    </row>
    <row r="25" spans="1:12">
      <c r="A25" t="s">
        <v>131</v>
      </c>
      <c r="B25" s="2"/>
      <c r="C25" s="2"/>
      <c r="E25" t="s">
        <v>40</v>
      </c>
      <c r="G25" s="6" t="s">
        <v>131</v>
      </c>
      <c r="H25" s="2"/>
      <c r="I25" s="2"/>
      <c r="J25" s="6"/>
      <c r="K25" s="6" t="s">
        <v>40</v>
      </c>
      <c r="L25" s="6"/>
    </row>
    <row r="26" spans="1:12">
      <c r="A26" t="s">
        <v>132</v>
      </c>
      <c r="B26" s="2"/>
      <c r="C26" s="2"/>
      <c r="E26" t="s">
        <v>41</v>
      </c>
      <c r="F26" s="3">
        <f>SUM(C23:C32)</f>
        <v>0</v>
      </c>
      <c r="G26" s="6" t="s">
        <v>132</v>
      </c>
      <c r="H26" s="2"/>
      <c r="I26" s="2"/>
      <c r="J26" s="6"/>
      <c r="K26" s="6" t="s">
        <v>41</v>
      </c>
      <c r="L26" s="3">
        <f>SUM(I23:I32)</f>
        <v>0</v>
      </c>
    </row>
    <row r="27" spans="1:12">
      <c r="A27" t="s">
        <v>133</v>
      </c>
      <c r="B27" s="2"/>
      <c r="C27" s="2"/>
      <c r="G27" s="6" t="s">
        <v>133</v>
      </c>
      <c r="H27" s="2"/>
      <c r="I27" s="2"/>
      <c r="J27" s="6"/>
      <c r="K27" s="6"/>
      <c r="L27" s="6"/>
    </row>
    <row r="28" spans="1:12">
      <c r="A28" t="s">
        <v>134</v>
      </c>
      <c r="B28" s="2"/>
      <c r="C28" s="2"/>
      <c r="G28" s="6" t="s">
        <v>134</v>
      </c>
      <c r="H28" s="2"/>
      <c r="I28" s="2"/>
      <c r="J28" s="6"/>
      <c r="K28" s="6"/>
      <c r="L28" s="6"/>
    </row>
    <row r="29" spans="1:12">
      <c r="A29" t="s">
        <v>135</v>
      </c>
      <c r="B29" s="2"/>
      <c r="C29" s="2"/>
      <c r="G29" s="6" t="s">
        <v>135</v>
      </c>
      <c r="H29" s="2"/>
      <c r="I29" s="2"/>
      <c r="J29" s="6"/>
      <c r="K29" s="6"/>
      <c r="L29" s="6"/>
    </row>
    <row r="30" spans="1:12">
      <c r="A30" t="s">
        <v>136</v>
      </c>
      <c r="B30" s="2"/>
      <c r="C30" s="2"/>
      <c r="G30" s="6" t="s">
        <v>136</v>
      </c>
      <c r="H30" s="2"/>
      <c r="I30" s="2"/>
      <c r="J30" s="6"/>
      <c r="K30" s="6"/>
      <c r="L30" s="6"/>
    </row>
    <row r="31" spans="1:12">
      <c r="A31" t="s">
        <v>137</v>
      </c>
      <c r="B31" s="2"/>
      <c r="C31" s="2"/>
      <c r="G31" s="6" t="s">
        <v>137</v>
      </c>
      <c r="H31" s="2"/>
      <c r="I31" s="2"/>
      <c r="J31" s="6"/>
      <c r="K31" s="6"/>
      <c r="L31" s="6"/>
    </row>
    <row r="32" spans="1:12">
      <c r="A32" t="s">
        <v>138</v>
      </c>
      <c r="B32" s="2"/>
      <c r="C32" s="2"/>
      <c r="G32" s="6" t="s">
        <v>138</v>
      </c>
      <c r="H32" s="2"/>
      <c r="I32" s="2"/>
      <c r="J32" s="6"/>
      <c r="K32" s="6"/>
      <c r="L32" s="6"/>
    </row>
    <row r="33" spans="1:12">
      <c r="G33" s="6"/>
      <c r="H33" s="6"/>
      <c r="I33" s="6"/>
      <c r="J33" s="6"/>
      <c r="K33" s="6"/>
      <c r="L33" s="6"/>
    </row>
    <row r="34" spans="1:12">
      <c r="A34" t="s">
        <v>93</v>
      </c>
      <c r="G34" s="6" t="s">
        <v>93</v>
      </c>
      <c r="H34" s="6"/>
      <c r="I34" s="6"/>
      <c r="J34" s="6"/>
      <c r="K34" s="6"/>
      <c r="L34" s="6"/>
    </row>
    <row r="35" spans="1:12">
      <c r="G35" s="6"/>
      <c r="H35" s="6"/>
      <c r="I35" s="6"/>
      <c r="J35" s="6"/>
      <c r="K35" s="6"/>
      <c r="L35" s="6"/>
    </row>
    <row r="36" spans="1:12">
      <c r="B36" t="s">
        <v>126</v>
      </c>
      <c r="C36" t="s">
        <v>127</v>
      </c>
      <c r="G36" s="6"/>
      <c r="H36" s="6" t="s">
        <v>126</v>
      </c>
      <c r="I36" s="6" t="s">
        <v>127</v>
      </c>
      <c r="J36" s="6"/>
      <c r="K36" s="6"/>
      <c r="L36" s="6"/>
    </row>
    <row r="37" spans="1:12">
      <c r="C37" t="s">
        <v>128</v>
      </c>
      <c r="G37" s="6"/>
      <c r="H37" s="6"/>
      <c r="I37" s="6" t="s">
        <v>128</v>
      </c>
      <c r="J37" s="6"/>
      <c r="K37" s="6"/>
      <c r="L37" s="6"/>
    </row>
    <row r="38" spans="1:12">
      <c r="G38" s="6"/>
      <c r="H38" s="6"/>
      <c r="I38" s="6"/>
      <c r="J38" s="6"/>
      <c r="K38" s="6"/>
      <c r="L38" s="6"/>
    </row>
    <row r="39" spans="1:12">
      <c r="A39" t="s">
        <v>94</v>
      </c>
      <c r="B39" s="2"/>
      <c r="C39" s="2"/>
      <c r="G39" s="6" t="s">
        <v>94</v>
      </c>
      <c r="H39" s="2"/>
      <c r="I39" s="2"/>
      <c r="J39" s="6"/>
      <c r="K39" s="6"/>
      <c r="L39" s="6"/>
    </row>
    <row r="40" spans="1:12">
      <c r="A40" t="s">
        <v>95</v>
      </c>
      <c r="B40" s="2"/>
      <c r="C40" s="2"/>
      <c r="E40" t="s">
        <v>42</v>
      </c>
      <c r="G40" s="6" t="s">
        <v>95</v>
      </c>
      <c r="H40" s="2"/>
      <c r="I40" s="2"/>
      <c r="J40" s="6"/>
      <c r="K40" s="6" t="s">
        <v>42</v>
      </c>
      <c r="L40" s="6"/>
    </row>
    <row r="41" spans="1:12">
      <c r="A41" t="s">
        <v>96</v>
      </c>
      <c r="B41" s="2"/>
      <c r="C41" s="2"/>
      <c r="E41" t="s">
        <v>43</v>
      </c>
      <c r="F41" s="7">
        <f>SUM(C39:C48)</f>
        <v>0</v>
      </c>
      <c r="G41" s="6" t="s">
        <v>96</v>
      </c>
      <c r="H41" s="2"/>
      <c r="I41" s="2"/>
      <c r="J41" s="6"/>
      <c r="K41" s="6" t="s">
        <v>43</v>
      </c>
      <c r="L41" s="7">
        <f>SUM(I39:I48)</f>
        <v>0</v>
      </c>
    </row>
    <row r="42" spans="1:12">
      <c r="A42" t="s">
        <v>97</v>
      </c>
      <c r="B42" s="2"/>
      <c r="C42" s="2"/>
      <c r="G42" s="6" t="s">
        <v>97</v>
      </c>
      <c r="H42" s="2"/>
      <c r="I42" s="2"/>
      <c r="J42" s="6"/>
      <c r="K42" s="6"/>
      <c r="L42" s="6"/>
    </row>
    <row r="43" spans="1:12">
      <c r="A43" t="s">
        <v>98</v>
      </c>
      <c r="B43" s="2"/>
      <c r="C43" s="2"/>
      <c r="G43" s="6" t="s">
        <v>98</v>
      </c>
      <c r="H43" s="2"/>
      <c r="I43" s="2"/>
      <c r="J43" s="6"/>
      <c r="K43" s="6"/>
      <c r="L43" s="6"/>
    </row>
    <row r="44" spans="1:12">
      <c r="A44" t="s">
        <v>99</v>
      </c>
      <c r="B44" s="2"/>
      <c r="C44" s="2"/>
      <c r="G44" s="6" t="s">
        <v>99</v>
      </c>
      <c r="H44" s="2"/>
      <c r="I44" s="2"/>
      <c r="J44" s="6"/>
      <c r="K44" s="6"/>
      <c r="L44" s="6"/>
    </row>
    <row r="45" spans="1:12">
      <c r="A45" t="s">
        <v>100</v>
      </c>
      <c r="B45" s="2"/>
      <c r="C45" s="2"/>
      <c r="G45" s="6" t="s">
        <v>100</v>
      </c>
      <c r="H45" s="2"/>
      <c r="I45" s="2"/>
      <c r="J45" s="6"/>
      <c r="K45" s="6"/>
      <c r="L45" s="6"/>
    </row>
    <row r="46" spans="1:12">
      <c r="A46" t="s">
        <v>101</v>
      </c>
      <c r="B46" s="2"/>
      <c r="C46" s="2"/>
      <c r="G46" s="6" t="s">
        <v>101</v>
      </c>
      <c r="H46" s="2"/>
      <c r="I46" s="2"/>
      <c r="J46" s="6"/>
      <c r="K46" s="6"/>
      <c r="L46" s="6"/>
    </row>
    <row r="47" spans="1:12">
      <c r="A47" t="s">
        <v>102</v>
      </c>
      <c r="B47" s="2"/>
      <c r="C47" s="2"/>
      <c r="G47" s="6" t="s">
        <v>102</v>
      </c>
      <c r="H47" s="2"/>
      <c r="I47" s="2"/>
      <c r="J47" s="6"/>
      <c r="K47" s="6"/>
      <c r="L47" s="6"/>
    </row>
    <row r="48" spans="1:12">
      <c r="A48" t="s">
        <v>103</v>
      </c>
      <c r="B48" s="2"/>
      <c r="C48" s="2"/>
      <c r="G48" s="6" t="s">
        <v>103</v>
      </c>
      <c r="H48" s="2"/>
      <c r="I48" s="2"/>
      <c r="J48" s="6"/>
      <c r="K48" s="6"/>
      <c r="L48" s="6"/>
    </row>
    <row r="49" spans="1:12">
      <c r="B49" s="5"/>
      <c r="C49" s="5"/>
      <c r="G49" s="6"/>
      <c r="H49" s="5"/>
      <c r="I49" s="5"/>
      <c r="J49" s="6"/>
      <c r="K49" s="6"/>
      <c r="L49" s="6"/>
    </row>
    <row r="50" spans="1:12">
      <c r="B50" s="5"/>
      <c r="C50" s="5"/>
      <c r="G50" s="6"/>
      <c r="H50" s="5"/>
      <c r="I50" s="5"/>
      <c r="J50" s="6"/>
      <c r="K50" s="6"/>
      <c r="L50" s="6"/>
    </row>
    <row r="51" spans="1:12">
      <c r="G51" s="6"/>
      <c r="H51" s="6"/>
      <c r="I51" s="6"/>
      <c r="J51" s="6"/>
      <c r="K51" s="6"/>
      <c r="L51" s="6"/>
    </row>
    <row r="52" spans="1:12">
      <c r="G52" s="6"/>
      <c r="H52" s="6"/>
      <c r="I52" s="6"/>
      <c r="J52" s="6"/>
      <c r="K52" s="6"/>
      <c r="L52" s="6"/>
    </row>
    <row r="53" spans="1:12">
      <c r="A53" t="s">
        <v>104</v>
      </c>
      <c r="G53" s="6" t="s">
        <v>104</v>
      </c>
      <c r="H53" s="6"/>
      <c r="I53" s="6"/>
      <c r="J53" s="6"/>
      <c r="K53" s="6"/>
      <c r="L53" s="6"/>
    </row>
    <row r="54" spans="1:12">
      <c r="G54" s="6"/>
      <c r="H54" s="6"/>
      <c r="I54" s="6"/>
      <c r="J54" s="6"/>
      <c r="K54" s="6"/>
      <c r="L54" s="6"/>
    </row>
    <row r="55" spans="1:12">
      <c r="B55" t="s">
        <v>105</v>
      </c>
      <c r="C55" t="s">
        <v>106</v>
      </c>
      <c r="G55" s="6"/>
      <c r="H55" s="6" t="s">
        <v>105</v>
      </c>
      <c r="I55" s="6" t="s">
        <v>106</v>
      </c>
      <c r="J55" s="6"/>
      <c r="K55" s="6"/>
      <c r="L55" s="6"/>
    </row>
    <row r="56" spans="1:12">
      <c r="G56" s="6"/>
      <c r="H56" s="6"/>
      <c r="I56" s="6"/>
      <c r="J56" s="6"/>
      <c r="K56" s="6"/>
      <c r="L56" s="6"/>
    </row>
    <row r="57" spans="1:12">
      <c r="A57" t="s">
        <v>107</v>
      </c>
      <c r="B57" s="2"/>
      <c r="C57" s="2"/>
      <c r="G57" s="6" t="s">
        <v>107</v>
      </c>
      <c r="H57" s="2"/>
      <c r="I57" s="2"/>
      <c r="J57" s="6"/>
      <c r="K57" s="6"/>
      <c r="L57" s="6"/>
    </row>
    <row r="58" spans="1:12">
      <c r="A58" t="s">
        <v>108</v>
      </c>
      <c r="B58" s="2"/>
      <c r="C58" s="2"/>
      <c r="E58" t="s">
        <v>44</v>
      </c>
      <c r="G58" s="6" t="s">
        <v>108</v>
      </c>
      <c r="H58" s="2"/>
      <c r="I58" s="2"/>
      <c r="J58" s="6"/>
      <c r="K58" s="6" t="s">
        <v>44</v>
      </c>
      <c r="L58" s="6"/>
    </row>
    <row r="59" spans="1:12">
      <c r="A59" t="s">
        <v>109</v>
      </c>
      <c r="B59" s="2"/>
      <c r="C59" s="2"/>
      <c r="E59" t="s">
        <v>45</v>
      </c>
      <c r="F59" s="3">
        <f>SUM(C57:C66)</f>
        <v>0</v>
      </c>
      <c r="G59" s="6" t="s">
        <v>109</v>
      </c>
      <c r="H59" s="2"/>
      <c r="I59" s="2"/>
      <c r="J59" s="6"/>
      <c r="K59" s="6" t="s">
        <v>45</v>
      </c>
      <c r="L59" s="3">
        <f>SUM(I57:I66)</f>
        <v>0</v>
      </c>
    </row>
    <row r="60" spans="1:12">
      <c r="A60" t="s">
        <v>110</v>
      </c>
      <c r="B60" s="2"/>
      <c r="C60" s="2"/>
      <c r="G60" s="6" t="s">
        <v>110</v>
      </c>
      <c r="H60" s="2"/>
      <c r="I60" s="2"/>
      <c r="J60" s="6"/>
      <c r="K60" s="6"/>
      <c r="L60" s="6"/>
    </row>
    <row r="61" spans="1:12">
      <c r="A61" t="s">
        <v>111</v>
      </c>
      <c r="B61" s="2"/>
      <c r="C61" s="2"/>
      <c r="G61" s="6" t="s">
        <v>111</v>
      </c>
      <c r="H61" s="2"/>
      <c r="I61" s="2"/>
      <c r="J61" s="6"/>
      <c r="K61" s="6"/>
      <c r="L61" s="6"/>
    </row>
    <row r="62" spans="1:12">
      <c r="A62" t="s">
        <v>112</v>
      </c>
      <c r="B62" s="2"/>
      <c r="C62" s="2"/>
      <c r="G62" s="6" t="s">
        <v>112</v>
      </c>
      <c r="H62" s="2"/>
      <c r="I62" s="2"/>
      <c r="J62" s="6"/>
      <c r="K62" s="6"/>
      <c r="L62" s="6"/>
    </row>
    <row r="63" spans="1:12">
      <c r="A63" t="s">
        <v>113</v>
      </c>
      <c r="B63" s="2"/>
      <c r="C63" s="2"/>
      <c r="G63" s="6" t="s">
        <v>113</v>
      </c>
      <c r="H63" s="2"/>
      <c r="I63" s="2"/>
      <c r="J63" s="6"/>
      <c r="K63" s="6"/>
      <c r="L63" s="6"/>
    </row>
    <row r="64" spans="1:12">
      <c r="A64" t="s">
        <v>114</v>
      </c>
      <c r="B64" s="2"/>
      <c r="C64" s="2"/>
      <c r="G64" s="6" t="s">
        <v>114</v>
      </c>
      <c r="H64" s="2"/>
      <c r="I64" s="2"/>
      <c r="J64" s="6"/>
      <c r="K64" s="6"/>
      <c r="L64" s="6"/>
    </row>
    <row r="65" spans="1:12">
      <c r="A65" t="s">
        <v>115</v>
      </c>
      <c r="B65" s="2"/>
      <c r="C65" s="2"/>
      <c r="G65" s="6" t="s">
        <v>115</v>
      </c>
      <c r="H65" s="2"/>
      <c r="I65" s="2"/>
      <c r="J65" s="6"/>
      <c r="K65" s="6"/>
      <c r="L65" s="6"/>
    </row>
    <row r="66" spans="1:12">
      <c r="A66" t="s">
        <v>116</v>
      </c>
      <c r="B66" s="2"/>
      <c r="C66" s="2"/>
      <c r="G66" s="6" t="s">
        <v>116</v>
      </c>
      <c r="H66" s="2"/>
      <c r="I66" s="2"/>
      <c r="J66" s="6"/>
      <c r="K66" s="6"/>
      <c r="L66" s="6"/>
    </row>
    <row r="67" spans="1:12">
      <c r="G67" s="6"/>
      <c r="H67" s="6"/>
      <c r="I67" s="6"/>
      <c r="J67" s="6"/>
      <c r="K67" s="6"/>
      <c r="L67" s="6"/>
    </row>
    <row r="68" spans="1:12">
      <c r="A68" t="s">
        <v>117</v>
      </c>
      <c r="G68" s="6" t="s">
        <v>117</v>
      </c>
      <c r="H68" s="6"/>
      <c r="I68" s="6"/>
      <c r="J68" s="6"/>
      <c r="K68" s="6"/>
      <c r="L68" s="6"/>
    </row>
    <row r="69" spans="1:12">
      <c r="B69" t="s">
        <v>126</v>
      </c>
      <c r="C69" t="s">
        <v>127</v>
      </c>
      <c r="G69" s="6"/>
      <c r="H69" s="6" t="s">
        <v>126</v>
      </c>
      <c r="I69" s="6" t="s">
        <v>127</v>
      </c>
      <c r="J69" s="6"/>
      <c r="K69" s="6"/>
      <c r="L69" s="6"/>
    </row>
    <row r="70" spans="1:12">
      <c r="C70" t="s">
        <v>128</v>
      </c>
      <c r="G70" s="6"/>
      <c r="H70" s="6"/>
      <c r="I70" s="6" t="s">
        <v>128</v>
      </c>
      <c r="J70" s="6"/>
      <c r="K70" s="6"/>
      <c r="L70" s="6"/>
    </row>
    <row r="71" spans="1:12">
      <c r="A71" t="s">
        <v>57</v>
      </c>
      <c r="B71" s="2"/>
      <c r="C71" s="2"/>
      <c r="G71" s="6" t="s">
        <v>57</v>
      </c>
      <c r="H71" s="2"/>
      <c r="I71" s="2"/>
      <c r="J71" s="6"/>
      <c r="K71" s="6"/>
      <c r="L71" s="6"/>
    </row>
    <row r="72" spans="1:12">
      <c r="A72" t="s">
        <v>58</v>
      </c>
      <c r="B72" s="2"/>
      <c r="C72" s="2"/>
      <c r="G72" s="6" t="s">
        <v>58</v>
      </c>
      <c r="H72" s="2"/>
      <c r="I72" s="2"/>
      <c r="J72" s="6"/>
      <c r="K72" s="6"/>
      <c r="L72" s="6"/>
    </row>
    <row r="73" spans="1:12">
      <c r="A73" t="s">
        <v>59</v>
      </c>
      <c r="B73" s="2"/>
      <c r="C73" s="2"/>
      <c r="E73" t="s">
        <v>46</v>
      </c>
      <c r="G73" s="6" t="s">
        <v>59</v>
      </c>
      <c r="H73" s="2"/>
      <c r="I73" s="2"/>
      <c r="J73" s="6"/>
      <c r="K73" s="6" t="s">
        <v>46</v>
      </c>
      <c r="L73" s="6"/>
    </row>
    <row r="74" spans="1:12">
      <c r="A74" t="s">
        <v>60</v>
      </c>
      <c r="B74" s="2"/>
      <c r="C74" s="2"/>
      <c r="E74" t="s">
        <v>43</v>
      </c>
      <c r="F74" s="3">
        <f>SUM(C71:C80)</f>
        <v>0</v>
      </c>
      <c r="G74" s="6" t="s">
        <v>60</v>
      </c>
      <c r="H74" s="2"/>
      <c r="I74" s="2"/>
      <c r="J74" s="6"/>
      <c r="K74" s="6" t="s">
        <v>43</v>
      </c>
      <c r="L74" s="3">
        <f>SUM(I71:I80)</f>
        <v>0</v>
      </c>
    </row>
    <row r="75" spans="1:12">
      <c r="A75" t="s">
        <v>61</v>
      </c>
      <c r="B75" s="2"/>
      <c r="C75" s="2"/>
      <c r="G75" s="6" t="s">
        <v>61</v>
      </c>
      <c r="H75" s="2"/>
      <c r="I75" s="2"/>
      <c r="J75" s="6"/>
      <c r="K75" s="6"/>
      <c r="L75" s="6"/>
    </row>
    <row r="76" spans="1:12">
      <c r="A76" t="s">
        <v>62</v>
      </c>
      <c r="B76" s="2"/>
      <c r="C76" s="2"/>
      <c r="G76" s="6" t="s">
        <v>62</v>
      </c>
      <c r="H76" s="2"/>
      <c r="I76" s="2"/>
      <c r="J76" s="6"/>
      <c r="K76" s="6"/>
      <c r="L76" s="6"/>
    </row>
    <row r="77" spans="1:12">
      <c r="A77" t="s">
        <v>63</v>
      </c>
      <c r="B77" s="2"/>
      <c r="C77" s="2"/>
      <c r="G77" s="6" t="s">
        <v>63</v>
      </c>
      <c r="H77" s="2"/>
      <c r="I77" s="2"/>
      <c r="J77" s="6"/>
      <c r="K77" s="6"/>
      <c r="L77" s="6"/>
    </row>
    <row r="78" spans="1:12">
      <c r="A78" t="s">
        <v>64</v>
      </c>
      <c r="B78" s="2"/>
      <c r="C78" s="2"/>
      <c r="G78" s="6" t="s">
        <v>64</v>
      </c>
      <c r="H78" s="2"/>
      <c r="I78" s="2"/>
      <c r="J78" s="6"/>
      <c r="K78" s="6"/>
      <c r="L78" s="6"/>
    </row>
    <row r="79" spans="1:12">
      <c r="A79" t="s">
        <v>65</v>
      </c>
      <c r="B79" s="2"/>
      <c r="C79" s="2"/>
      <c r="G79" s="6" t="s">
        <v>65</v>
      </c>
      <c r="H79" s="2"/>
      <c r="I79" s="2"/>
      <c r="J79" s="6"/>
      <c r="K79" s="6"/>
      <c r="L79" s="6"/>
    </row>
    <row r="80" spans="1:12">
      <c r="A80" t="s">
        <v>66</v>
      </c>
      <c r="B80" s="2"/>
      <c r="C80" s="2"/>
      <c r="G80" s="6" t="s">
        <v>66</v>
      </c>
      <c r="H80" s="2"/>
      <c r="I80" s="2"/>
      <c r="J80" s="6"/>
      <c r="K80" s="6"/>
      <c r="L80" s="6"/>
    </row>
    <row r="81" spans="1:12">
      <c r="G81" s="6"/>
      <c r="H81" s="6"/>
      <c r="I81" s="6"/>
      <c r="J81" s="6"/>
      <c r="K81" s="6"/>
      <c r="L81" s="6"/>
    </row>
    <row r="82" spans="1:12">
      <c r="A82" t="s">
        <v>69</v>
      </c>
      <c r="G82" s="6" t="s">
        <v>69</v>
      </c>
      <c r="H82" s="6"/>
      <c r="I82" s="6"/>
      <c r="J82" s="6"/>
      <c r="K82" s="6"/>
      <c r="L82" s="6"/>
    </row>
    <row r="83" spans="1:12">
      <c r="G83" s="6"/>
      <c r="H83" s="6"/>
      <c r="I83" s="6"/>
      <c r="J83" s="6"/>
      <c r="K83" s="6"/>
      <c r="L83" s="6"/>
    </row>
    <row r="84" spans="1:12">
      <c r="B84" t="s">
        <v>105</v>
      </c>
      <c r="C84" t="s">
        <v>106</v>
      </c>
      <c r="G84" s="6"/>
      <c r="H84" s="6" t="s">
        <v>105</v>
      </c>
      <c r="I84" s="6" t="s">
        <v>106</v>
      </c>
      <c r="J84" s="6"/>
      <c r="K84" s="6"/>
      <c r="L84" s="6"/>
    </row>
    <row r="85" spans="1:12">
      <c r="G85" s="6"/>
      <c r="H85" s="6"/>
      <c r="I85" s="6"/>
      <c r="J85" s="6"/>
      <c r="K85" s="6"/>
      <c r="L85" s="6"/>
    </row>
    <row r="86" spans="1:12">
      <c r="A86" t="s">
        <v>76</v>
      </c>
      <c r="B86" s="2"/>
      <c r="C86" s="2"/>
      <c r="G86" s="6" t="s">
        <v>76</v>
      </c>
      <c r="H86" s="2"/>
      <c r="I86" s="2"/>
      <c r="J86" s="6"/>
      <c r="K86" s="6"/>
      <c r="L86" s="6"/>
    </row>
    <row r="87" spans="1:12">
      <c r="A87" t="s">
        <v>77</v>
      </c>
      <c r="B87" s="2"/>
      <c r="C87" s="2"/>
      <c r="E87" t="s">
        <v>44</v>
      </c>
      <c r="G87" s="6" t="s">
        <v>77</v>
      </c>
      <c r="H87" s="2"/>
      <c r="I87" s="2"/>
      <c r="J87" s="6"/>
      <c r="K87" s="6" t="s">
        <v>44</v>
      </c>
      <c r="L87" s="6"/>
    </row>
    <row r="88" spans="1:12">
      <c r="A88" t="s">
        <v>78</v>
      </c>
      <c r="B88" s="2"/>
      <c r="C88" s="2"/>
      <c r="E88" t="s">
        <v>45</v>
      </c>
      <c r="F88" s="3">
        <f>SUM(C86:C95)</f>
        <v>0</v>
      </c>
      <c r="G88" s="6" t="s">
        <v>78</v>
      </c>
      <c r="H88" s="2"/>
      <c r="I88" s="2"/>
      <c r="J88" s="6"/>
      <c r="K88" s="6" t="s">
        <v>45</v>
      </c>
      <c r="L88" s="3">
        <f>SUM(I86:I95)</f>
        <v>0</v>
      </c>
    </row>
    <row r="89" spans="1:12">
      <c r="A89" t="s">
        <v>79</v>
      </c>
      <c r="B89" s="2"/>
      <c r="C89" s="2"/>
      <c r="G89" s="6" t="s">
        <v>79</v>
      </c>
      <c r="H89" s="2"/>
      <c r="I89" s="2"/>
      <c r="J89" s="6"/>
      <c r="K89" s="6"/>
      <c r="L89" s="6"/>
    </row>
    <row r="90" spans="1:12">
      <c r="A90" t="s">
        <v>80</v>
      </c>
      <c r="B90" s="2"/>
      <c r="C90" s="2"/>
      <c r="G90" s="6" t="s">
        <v>80</v>
      </c>
      <c r="H90" s="2"/>
      <c r="I90" s="2"/>
      <c r="J90" s="6"/>
      <c r="K90" s="6"/>
      <c r="L90" s="6"/>
    </row>
    <row r="91" spans="1:12">
      <c r="A91" t="s">
        <v>81</v>
      </c>
      <c r="B91" s="2"/>
      <c r="C91" s="2"/>
      <c r="G91" s="6" t="s">
        <v>81</v>
      </c>
      <c r="H91" s="2"/>
      <c r="I91" s="2"/>
      <c r="J91" s="6"/>
      <c r="K91" s="6"/>
      <c r="L91" s="6"/>
    </row>
    <row r="92" spans="1:12">
      <c r="A92" t="s">
        <v>82</v>
      </c>
      <c r="B92" s="2"/>
      <c r="C92" s="2"/>
      <c r="G92" s="6" t="s">
        <v>82</v>
      </c>
      <c r="H92" s="2"/>
      <c r="I92" s="2"/>
      <c r="J92" s="6"/>
      <c r="K92" s="6"/>
      <c r="L92" s="6"/>
    </row>
    <row r="93" spans="1:12">
      <c r="A93" t="s">
        <v>83</v>
      </c>
      <c r="B93" s="2"/>
      <c r="C93" s="2"/>
      <c r="G93" s="6" t="s">
        <v>83</v>
      </c>
      <c r="H93" s="2"/>
      <c r="I93" s="2"/>
      <c r="J93" s="6"/>
      <c r="K93" s="6"/>
      <c r="L93" s="6"/>
    </row>
    <row r="94" spans="1:12">
      <c r="A94" t="s">
        <v>84</v>
      </c>
      <c r="B94" s="2"/>
      <c r="C94" s="2"/>
      <c r="G94" s="6" t="s">
        <v>84</v>
      </c>
      <c r="H94" s="2"/>
      <c r="I94" s="2"/>
      <c r="J94" s="6"/>
      <c r="K94" s="6"/>
      <c r="L94" s="6"/>
    </row>
    <row r="95" spans="1:12">
      <c r="A95" t="s">
        <v>85</v>
      </c>
      <c r="B95" s="2"/>
      <c r="C95" s="2"/>
      <c r="G95" s="6" t="s">
        <v>85</v>
      </c>
      <c r="H95" s="2"/>
      <c r="I95" s="2"/>
      <c r="J95" s="6"/>
      <c r="K95" s="6"/>
      <c r="L95" s="6"/>
    </row>
    <row r="96" spans="1:12">
      <c r="G96" s="6"/>
      <c r="H96" s="6"/>
      <c r="I96" s="6"/>
      <c r="J96" s="6"/>
      <c r="K96" s="6"/>
      <c r="L96" s="6"/>
    </row>
    <row r="97" spans="1:12">
      <c r="A97" t="s">
        <v>86</v>
      </c>
      <c r="G97" s="6" t="s">
        <v>86</v>
      </c>
      <c r="H97" s="6"/>
      <c r="I97" s="6"/>
      <c r="J97" s="6"/>
      <c r="K97" s="6"/>
      <c r="L97" s="6"/>
    </row>
    <row r="98" spans="1:12">
      <c r="B98" t="s">
        <v>126</v>
      </c>
      <c r="C98" t="s">
        <v>90</v>
      </c>
      <c r="G98" s="6"/>
      <c r="H98" s="6" t="s">
        <v>126</v>
      </c>
      <c r="I98" s="6" t="s">
        <v>90</v>
      </c>
      <c r="J98" s="6"/>
      <c r="K98" s="6"/>
      <c r="L98" s="6"/>
    </row>
    <row r="99" spans="1:12">
      <c r="B99" s="2"/>
      <c r="C99" s="2"/>
      <c r="G99" s="6"/>
      <c r="H99" s="2"/>
      <c r="I99" s="2"/>
      <c r="J99" s="6"/>
      <c r="K99" s="6"/>
      <c r="L99" s="6"/>
    </row>
    <row r="100" spans="1:12">
      <c r="G100" s="6"/>
      <c r="H100" s="6"/>
      <c r="I100" s="6"/>
      <c r="J100" s="6"/>
      <c r="K100" s="6"/>
      <c r="L100" s="6"/>
    </row>
    <row r="101" spans="1:12">
      <c r="G101" s="6"/>
      <c r="H101" s="6"/>
      <c r="I101" s="6"/>
      <c r="J101" s="6"/>
      <c r="K101" s="6"/>
      <c r="L101" s="6"/>
    </row>
    <row r="102" spans="1:12">
      <c r="A102" t="s">
        <v>87</v>
      </c>
      <c r="G102" s="6" t="s">
        <v>87</v>
      </c>
      <c r="H102" s="6"/>
      <c r="I102" s="6"/>
      <c r="J102" s="6"/>
      <c r="K102" s="6"/>
      <c r="L102" s="6"/>
    </row>
    <row r="103" spans="1:12">
      <c r="B103" t="s">
        <v>126</v>
      </c>
      <c r="C103" t="s">
        <v>90</v>
      </c>
      <c r="G103" s="6"/>
      <c r="H103" s="6" t="s">
        <v>126</v>
      </c>
      <c r="I103" s="6" t="s">
        <v>90</v>
      </c>
      <c r="J103" s="6"/>
      <c r="K103" s="6"/>
      <c r="L103" s="6"/>
    </row>
    <row r="104" spans="1:12">
      <c r="B104" s="2"/>
      <c r="C104" s="2"/>
      <c r="G104" s="6"/>
      <c r="H104" s="2"/>
      <c r="I104" s="2"/>
      <c r="J104" s="6"/>
      <c r="K104" s="6"/>
      <c r="L104" s="6"/>
    </row>
    <row r="105" spans="1:12">
      <c r="G105" s="6"/>
      <c r="H105" s="6"/>
      <c r="I105" s="6"/>
      <c r="J105" s="6"/>
      <c r="K105" s="6"/>
      <c r="L105" s="6"/>
    </row>
    <row r="106" spans="1:12">
      <c r="G106" s="6"/>
      <c r="H106" s="6"/>
      <c r="I106" s="6"/>
      <c r="J106" s="6"/>
      <c r="K106" s="6"/>
      <c r="L106" s="6"/>
    </row>
    <row r="107" spans="1:12">
      <c r="A107" t="s">
        <v>88</v>
      </c>
      <c r="G107" s="6" t="s">
        <v>88</v>
      </c>
      <c r="H107" s="6"/>
      <c r="I107" s="6"/>
      <c r="J107" s="6"/>
      <c r="K107" s="6"/>
      <c r="L107" s="6"/>
    </row>
    <row r="108" spans="1:12">
      <c r="B108" t="s">
        <v>126</v>
      </c>
      <c r="C108" t="s">
        <v>34</v>
      </c>
      <c r="G108" s="6"/>
      <c r="H108" s="6" t="s">
        <v>126</v>
      </c>
      <c r="I108" s="6" t="s">
        <v>34</v>
      </c>
      <c r="J108" s="6"/>
      <c r="K108" s="6"/>
      <c r="L108" s="6"/>
    </row>
    <row r="109" spans="1:12">
      <c r="B109" s="2"/>
      <c r="C109" s="2"/>
      <c r="G109" s="6"/>
      <c r="H109" s="2"/>
      <c r="I109" s="2"/>
      <c r="J109" s="6"/>
      <c r="K109" s="6"/>
      <c r="L109" s="6"/>
    </row>
    <row r="110" spans="1:12">
      <c r="G110" s="6"/>
      <c r="H110" s="6"/>
      <c r="I110" s="6"/>
      <c r="J110" s="6"/>
      <c r="K110" s="6"/>
      <c r="L110" s="6"/>
    </row>
    <row r="111" spans="1:12">
      <c r="G111" s="6"/>
      <c r="H111" s="6"/>
      <c r="I111" s="6"/>
      <c r="J111" s="6"/>
      <c r="K111" s="6"/>
      <c r="L111" s="6"/>
    </row>
    <row r="112" spans="1:12">
      <c r="A112" t="s">
        <v>89</v>
      </c>
      <c r="G112" s="6" t="s">
        <v>89</v>
      </c>
      <c r="H112" s="6"/>
      <c r="I112" s="6"/>
      <c r="J112" s="6"/>
      <c r="K112" s="6"/>
      <c r="L112" s="6"/>
    </row>
    <row r="113" spans="1:12">
      <c r="B113" t="s">
        <v>126</v>
      </c>
      <c r="C113" t="s">
        <v>33</v>
      </c>
      <c r="G113" s="6"/>
      <c r="H113" s="6" t="s">
        <v>126</v>
      </c>
      <c r="I113" s="6" t="s">
        <v>33</v>
      </c>
      <c r="J113" s="6"/>
      <c r="K113" s="6"/>
      <c r="L113" s="6"/>
    </row>
    <row r="114" spans="1:12">
      <c r="A114" t="s">
        <v>35</v>
      </c>
      <c r="B114" s="2"/>
      <c r="C114" s="2"/>
      <c r="G114" s="6" t="s">
        <v>35</v>
      </c>
      <c r="H114" s="2"/>
      <c r="I114" s="2"/>
      <c r="J114" s="6"/>
      <c r="K114" s="6"/>
      <c r="L114" s="6"/>
    </row>
    <row r="115" spans="1:12">
      <c r="A115" t="s">
        <v>36</v>
      </c>
      <c r="B115" s="2"/>
      <c r="C115" s="2"/>
      <c r="E115" t="s">
        <v>47</v>
      </c>
      <c r="G115" s="6" t="s">
        <v>36</v>
      </c>
      <c r="H115" s="2"/>
      <c r="I115" s="2"/>
      <c r="J115" s="6"/>
      <c r="K115" s="6" t="s">
        <v>47</v>
      </c>
      <c r="L115" s="6"/>
    </row>
    <row r="116" spans="1:12">
      <c r="A116" t="s">
        <v>37</v>
      </c>
      <c r="B116" s="2"/>
      <c r="C116" s="2"/>
      <c r="E116" t="s">
        <v>48</v>
      </c>
      <c r="F116" s="3">
        <f>SUM(C114:C118)</f>
        <v>0</v>
      </c>
      <c r="G116" s="6" t="s">
        <v>37</v>
      </c>
      <c r="H116" s="2"/>
      <c r="I116" s="2"/>
      <c r="J116" s="6"/>
      <c r="K116" s="6" t="s">
        <v>48</v>
      </c>
      <c r="L116" s="3">
        <f>SUM(I114:I118)</f>
        <v>0</v>
      </c>
    </row>
    <row r="117" spans="1:12">
      <c r="A117" t="s">
        <v>38</v>
      </c>
      <c r="B117" s="2"/>
      <c r="C117" s="2"/>
      <c r="G117" s="6" t="s">
        <v>38</v>
      </c>
      <c r="H117" s="2"/>
      <c r="I117" s="2"/>
      <c r="J117" s="6"/>
      <c r="K117" s="6"/>
      <c r="L117" s="6"/>
    </row>
    <row r="118" spans="1:12">
      <c r="A118" t="s">
        <v>39</v>
      </c>
      <c r="B118" s="2"/>
      <c r="C118" s="2"/>
      <c r="G118" s="6" t="s">
        <v>39</v>
      </c>
      <c r="H118" s="2"/>
      <c r="I118" s="2"/>
      <c r="J118" s="6"/>
      <c r="K118" s="6"/>
      <c r="L118" s="6"/>
    </row>
    <row r="119" spans="1:12">
      <c r="G119" s="6"/>
      <c r="H119" s="6"/>
      <c r="I119" s="6"/>
      <c r="J119" s="6"/>
      <c r="K119" s="6"/>
      <c r="L119" s="6"/>
    </row>
    <row r="120" spans="1:12">
      <c r="G120" s="6"/>
      <c r="H120" s="6"/>
      <c r="I120" s="6"/>
      <c r="J120" s="6"/>
      <c r="K120" s="6"/>
      <c r="L120" s="6"/>
    </row>
    <row r="121" spans="1:12">
      <c r="A121" s="1" t="s">
        <v>68</v>
      </c>
      <c r="G121" s="1" t="s">
        <v>68</v>
      </c>
      <c r="H121" s="6"/>
      <c r="I121" s="6"/>
      <c r="J121" s="6"/>
      <c r="K121" s="6"/>
      <c r="L121" s="6"/>
    </row>
    <row r="122" spans="1:12">
      <c r="G122" s="6"/>
      <c r="H122" s="6"/>
      <c r="I122" s="6"/>
      <c r="J122" s="6"/>
      <c r="K122" s="6"/>
      <c r="L122" s="6"/>
    </row>
    <row r="123" spans="1:12">
      <c r="A123" t="s">
        <v>139</v>
      </c>
      <c r="F123" s="2"/>
      <c r="G123" s="6" t="s">
        <v>139</v>
      </c>
      <c r="H123" s="6"/>
      <c r="I123" s="6"/>
      <c r="J123" s="6"/>
      <c r="K123" s="6"/>
      <c r="L123" s="2"/>
    </row>
    <row r="124" spans="1:12">
      <c r="A124" t="s">
        <v>140</v>
      </c>
      <c r="G124" s="6" t="s">
        <v>140</v>
      </c>
      <c r="H124" s="6"/>
      <c r="I124" s="6"/>
      <c r="J124" s="6"/>
      <c r="K124" s="6"/>
      <c r="L124" s="6"/>
    </row>
    <row r="125" spans="1:12">
      <c r="G125" s="6"/>
      <c r="H125" s="6"/>
      <c r="I125" s="6"/>
      <c r="J125" s="6"/>
      <c r="K125" s="6"/>
      <c r="L125" s="6"/>
    </row>
    <row r="126" spans="1:12">
      <c r="A126" t="s">
        <v>141</v>
      </c>
      <c r="F126" s="2"/>
      <c r="G126" s="6" t="s">
        <v>141</v>
      </c>
      <c r="H126" s="6"/>
      <c r="I126" s="6"/>
      <c r="J126" s="6"/>
      <c r="K126" s="6"/>
      <c r="L126" s="2"/>
    </row>
    <row r="127" spans="1:12">
      <c r="G127" s="6"/>
      <c r="H127" s="6"/>
      <c r="I127" s="6"/>
      <c r="J127" s="6"/>
      <c r="K127" s="6"/>
      <c r="L127" s="6"/>
    </row>
    <row r="128" spans="1:12">
      <c r="A128" t="s">
        <v>53</v>
      </c>
      <c r="F128" s="4">
        <v>1300</v>
      </c>
      <c r="G128" s="6" t="s">
        <v>53</v>
      </c>
      <c r="H128" s="6"/>
      <c r="I128" s="6"/>
      <c r="J128" s="6"/>
      <c r="K128" s="6"/>
      <c r="L128" s="4">
        <v>1300</v>
      </c>
    </row>
    <row r="129" spans="1:12">
      <c r="G129" s="6"/>
      <c r="H129" s="6"/>
      <c r="I129" s="6"/>
      <c r="J129" s="6"/>
      <c r="K129" s="6"/>
      <c r="L129" s="6"/>
    </row>
    <row r="130" spans="1:12">
      <c r="A130" t="s">
        <v>91</v>
      </c>
      <c r="F130" s="2"/>
      <c r="G130" s="6" t="s">
        <v>91</v>
      </c>
      <c r="H130" s="6"/>
      <c r="I130" s="6"/>
      <c r="J130" s="6"/>
      <c r="K130" s="6"/>
      <c r="L130" s="2"/>
    </row>
    <row r="131" spans="1:12">
      <c r="A131" t="s">
        <v>144</v>
      </c>
      <c r="F131" s="5"/>
      <c r="G131" s="6" t="s">
        <v>144</v>
      </c>
      <c r="H131" s="6"/>
      <c r="I131" s="6"/>
      <c r="J131" s="6"/>
      <c r="K131" s="6"/>
      <c r="L131" s="5"/>
    </row>
    <row r="132" spans="1:12">
      <c r="G132" s="6"/>
      <c r="H132" s="6"/>
      <c r="I132" s="6"/>
      <c r="J132" s="6"/>
      <c r="K132" s="6"/>
      <c r="L132" s="6"/>
    </row>
    <row r="133" spans="1:12">
      <c r="A133" t="s">
        <v>54</v>
      </c>
      <c r="F133" s="2"/>
      <c r="G133" s="6" t="s">
        <v>54</v>
      </c>
      <c r="H133" s="6"/>
      <c r="I133" s="6"/>
      <c r="J133" s="6"/>
      <c r="K133" s="6"/>
      <c r="L133" s="2"/>
    </row>
    <row r="134" spans="1:12">
      <c r="G134" s="6"/>
      <c r="H134" s="6"/>
      <c r="I134" s="6"/>
      <c r="J134" s="6"/>
      <c r="K134" s="6"/>
      <c r="L134" s="6"/>
    </row>
    <row r="135" spans="1:12">
      <c r="G135" s="6"/>
      <c r="H135" s="6"/>
      <c r="I135" s="6"/>
      <c r="J135" s="6"/>
      <c r="K135" s="6"/>
      <c r="L135" s="6"/>
    </row>
    <row r="136" spans="1:12">
      <c r="G136" s="6"/>
      <c r="H136" s="6"/>
      <c r="I136" s="6"/>
      <c r="J136" s="6"/>
      <c r="K136" s="6"/>
      <c r="L136" s="6"/>
    </row>
    <row r="137" spans="1:12">
      <c r="D137" t="s">
        <v>70</v>
      </c>
      <c r="F137" s="3">
        <f>(F26*F123)</f>
        <v>0</v>
      </c>
      <c r="G137" s="6"/>
      <c r="H137" s="6"/>
      <c r="I137" s="6"/>
      <c r="J137" s="6" t="s">
        <v>70</v>
      </c>
      <c r="K137" s="6"/>
      <c r="L137" s="3">
        <f>(L26*L123)</f>
        <v>0</v>
      </c>
    </row>
    <row r="138" spans="1:12">
      <c r="G138" s="6"/>
      <c r="H138" s="6"/>
      <c r="I138" s="6"/>
      <c r="J138" s="6"/>
      <c r="K138" s="6"/>
      <c r="L138" s="6"/>
    </row>
    <row r="139" spans="1:12">
      <c r="D139" t="s">
        <v>71</v>
      </c>
      <c r="F139" s="3">
        <f>F41*F130</f>
        <v>0</v>
      </c>
      <c r="G139" s="6"/>
      <c r="H139" s="6"/>
      <c r="I139" s="6"/>
      <c r="J139" s="6" t="s">
        <v>71</v>
      </c>
      <c r="K139" s="6"/>
      <c r="L139" s="3">
        <f>L41*L130</f>
        <v>0</v>
      </c>
    </row>
    <row r="140" spans="1:12">
      <c r="G140" s="6"/>
      <c r="H140" s="6"/>
      <c r="I140" s="6"/>
      <c r="J140" s="6"/>
      <c r="K140" s="6"/>
      <c r="L140" s="6"/>
    </row>
    <row r="141" spans="1:12">
      <c r="D141" t="s">
        <v>72</v>
      </c>
      <c r="F141" s="3">
        <f>F59*F133</f>
        <v>0</v>
      </c>
      <c r="G141" s="6"/>
      <c r="H141" s="6"/>
      <c r="I141" s="6"/>
      <c r="J141" s="6" t="s">
        <v>72</v>
      </c>
      <c r="K141" s="6"/>
      <c r="L141" s="3">
        <f>L59*L133</f>
        <v>0</v>
      </c>
    </row>
    <row r="142" spans="1:12">
      <c r="G142" s="6"/>
      <c r="H142" s="6"/>
      <c r="I142" s="6"/>
      <c r="J142" s="6"/>
      <c r="K142" s="6"/>
      <c r="L142" s="6"/>
    </row>
    <row r="143" spans="1:12">
      <c r="D143" t="s">
        <v>73</v>
      </c>
      <c r="F143" s="3">
        <f>F74*F126</f>
        <v>0</v>
      </c>
      <c r="G143" s="6"/>
      <c r="H143" s="6"/>
      <c r="I143" s="6"/>
      <c r="J143" s="6" t="s">
        <v>73</v>
      </c>
      <c r="K143" s="6"/>
      <c r="L143" s="3">
        <f>L74*L126</f>
        <v>0</v>
      </c>
    </row>
    <row r="144" spans="1:12">
      <c r="G144" s="6"/>
      <c r="H144" s="6"/>
      <c r="I144" s="6"/>
      <c r="J144" s="6"/>
      <c r="K144" s="6"/>
      <c r="L144" s="6"/>
    </row>
    <row r="145" spans="1:12">
      <c r="D145" t="s">
        <v>74</v>
      </c>
      <c r="F145" s="3">
        <f>F88*F128</f>
        <v>0</v>
      </c>
      <c r="G145" s="6"/>
      <c r="H145" s="6"/>
      <c r="I145" s="6"/>
      <c r="J145" s="6" t="s">
        <v>74</v>
      </c>
      <c r="K145" s="6"/>
      <c r="L145" s="3">
        <f>L88*L128</f>
        <v>0</v>
      </c>
    </row>
    <row r="146" spans="1:12">
      <c r="F146" s="5"/>
      <c r="G146" s="6"/>
      <c r="H146" s="6"/>
      <c r="I146" s="6"/>
      <c r="J146" s="6"/>
      <c r="K146" s="6"/>
      <c r="L146" s="5"/>
    </row>
    <row r="147" spans="1:12">
      <c r="D147" t="s">
        <v>49</v>
      </c>
      <c r="F147" s="3">
        <f>(C99*F123)+(C104*F130)+C109</f>
        <v>0</v>
      </c>
      <c r="G147" s="6"/>
      <c r="H147" s="6"/>
      <c r="I147" s="6"/>
      <c r="J147" s="6" t="s">
        <v>49</v>
      </c>
      <c r="K147" s="6"/>
      <c r="L147" s="3">
        <f>(I99*L123)+(I104*L130)+I109</f>
        <v>0</v>
      </c>
    </row>
    <row r="148" spans="1:12">
      <c r="F148" s="5"/>
      <c r="G148" s="6"/>
      <c r="H148" s="6"/>
      <c r="I148" s="6"/>
      <c r="J148" s="6"/>
      <c r="K148" s="6"/>
      <c r="L148" s="5"/>
    </row>
    <row r="149" spans="1:12" ht="13" customHeight="1">
      <c r="D149" t="s">
        <v>75</v>
      </c>
      <c r="F149" s="3">
        <f>F116</f>
        <v>0</v>
      </c>
      <c r="G149" s="6"/>
      <c r="H149" s="6"/>
      <c r="I149" s="6"/>
      <c r="J149" s="6" t="s">
        <v>75</v>
      </c>
      <c r="K149" s="6"/>
      <c r="L149" s="3">
        <f>L116</f>
        <v>0</v>
      </c>
    </row>
    <row r="150" spans="1:12" ht="13" customHeight="1">
      <c r="G150" s="6"/>
      <c r="H150" s="6"/>
      <c r="I150" s="6"/>
      <c r="J150" s="6"/>
      <c r="K150" s="6"/>
      <c r="L150" s="6"/>
    </row>
    <row r="151" spans="1:12" ht="13" customHeight="1">
      <c r="A151" s="1" t="s">
        <v>55</v>
      </c>
      <c r="F151" s="3">
        <f>F137+F139+F141+F143+F145+F147+F149</f>
        <v>0</v>
      </c>
      <c r="G151" s="1" t="s">
        <v>55</v>
      </c>
      <c r="H151" s="6"/>
      <c r="I151" s="6"/>
      <c r="J151" s="6"/>
      <c r="K151" s="6"/>
      <c r="L151" s="3">
        <f>L137+L139+L141+L143+L145+L147+L149</f>
        <v>0</v>
      </c>
    </row>
    <row r="152" spans="1:12" ht="13" customHeight="1">
      <c r="A152" s="1"/>
      <c r="G152" s="1"/>
      <c r="H152" s="6"/>
      <c r="I152" s="6"/>
      <c r="J152" s="6"/>
      <c r="K152" s="6"/>
      <c r="L152" s="6"/>
    </row>
    <row r="153" spans="1:12">
      <c r="A153" s="1" t="s">
        <v>56</v>
      </c>
      <c r="F153" s="3" t="e">
        <f>F151/E12</f>
        <v>#DIV/0!</v>
      </c>
      <c r="G153" s="1" t="s">
        <v>56</v>
      </c>
      <c r="H153" s="6"/>
      <c r="I153" s="6"/>
      <c r="J153" s="6"/>
      <c r="K153" s="6"/>
      <c r="L153" s="3" t="e">
        <f>L151/K12</f>
        <v>#DIV/0!</v>
      </c>
    </row>
    <row r="156" spans="1:12">
      <c r="A156" s="1" t="s">
        <v>149</v>
      </c>
    </row>
    <row r="157" spans="1:12">
      <c r="A157" s="10"/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view="pageLayout" workbookViewId="0">
      <selection activeCell="G58" sqref="G58"/>
    </sheetView>
  </sheetViews>
  <sheetFormatPr baseColWidth="10" defaultRowHeight="13" x14ac:dyDescent="0"/>
  <sheetData>
    <row r="1" spans="1:12">
      <c r="B1" s="1" t="s">
        <v>2</v>
      </c>
    </row>
    <row r="2" spans="1:12">
      <c r="B2" s="1" t="s">
        <v>118</v>
      </c>
      <c r="H2" s="1" t="s">
        <v>92</v>
      </c>
    </row>
    <row r="3" spans="1:12">
      <c r="B3" t="s">
        <v>50</v>
      </c>
    </row>
    <row r="4" spans="1:12">
      <c r="B4" t="s">
        <v>123</v>
      </c>
      <c r="H4" s="1" t="s">
        <v>142</v>
      </c>
      <c r="L4" s="9">
        <f>F76-L75</f>
        <v>0</v>
      </c>
    </row>
    <row r="6" spans="1:12">
      <c r="B6" s="1" t="s">
        <v>20</v>
      </c>
    </row>
    <row r="7" spans="1:12">
      <c r="B7" s="1" t="s">
        <v>19</v>
      </c>
    </row>
    <row r="8" spans="1:12">
      <c r="G8" s="1" t="s">
        <v>18</v>
      </c>
      <c r="H8" s="6"/>
      <c r="I8" s="6"/>
      <c r="J8" s="2"/>
      <c r="K8" s="6"/>
      <c r="L8" s="6"/>
    </row>
    <row r="9" spans="1:12">
      <c r="A9" s="1" t="s">
        <v>18</v>
      </c>
      <c r="D9" s="2"/>
      <c r="G9" s="6"/>
      <c r="H9" s="6"/>
      <c r="I9" s="6"/>
      <c r="J9" s="6"/>
      <c r="K9" s="6"/>
      <c r="L9" s="6"/>
    </row>
    <row r="10" spans="1:12">
      <c r="G10" s="6"/>
      <c r="H10" s="6"/>
      <c r="I10" s="6"/>
      <c r="J10" s="6"/>
      <c r="K10" s="6"/>
      <c r="L10" s="6"/>
    </row>
    <row r="11" spans="1:12">
      <c r="G11" s="1" t="s">
        <v>27</v>
      </c>
      <c r="H11" s="6"/>
      <c r="I11" s="6"/>
      <c r="J11" s="6"/>
      <c r="K11" s="6"/>
      <c r="L11" s="6"/>
    </row>
    <row r="12" spans="1:12">
      <c r="A12" s="1" t="s">
        <v>27</v>
      </c>
      <c r="G12" s="6"/>
      <c r="H12" s="6"/>
      <c r="I12" s="6"/>
      <c r="J12" s="6" t="s">
        <v>21</v>
      </c>
      <c r="K12" s="6"/>
      <c r="L12" s="6"/>
    </row>
    <row r="13" spans="1:12">
      <c r="D13" t="s">
        <v>21</v>
      </c>
      <c r="G13" s="6"/>
      <c r="H13" s="6"/>
      <c r="I13" s="6"/>
      <c r="J13" s="6"/>
      <c r="K13" s="6"/>
      <c r="L13" s="6"/>
    </row>
    <row r="14" spans="1:12">
      <c r="G14" s="6" t="s">
        <v>22</v>
      </c>
      <c r="H14" s="6"/>
      <c r="I14" s="6"/>
      <c r="J14" s="2"/>
      <c r="K14" s="6"/>
      <c r="L14" s="6"/>
    </row>
    <row r="15" spans="1:12">
      <c r="A15" t="s">
        <v>22</v>
      </c>
      <c r="D15" s="2"/>
      <c r="G15" s="6" t="s">
        <v>23</v>
      </c>
      <c r="H15" s="6"/>
      <c r="I15" s="6"/>
      <c r="J15" s="2"/>
      <c r="K15" s="6"/>
      <c r="L15" s="6"/>
    </row>
    <row r="16" spans="1:12">
      <c r="A16" t="s">
        <v>23</v>
      </c>
      <c r="D16" s="2"/>
      <c r="G16" s="6" t="s">
        <v>24</v>
      </c>
      <c r="H16" s="6"/>
      <c r="I16" s="6"/>
      <c r="J16" s="2"/>
      <c r="K16" s="6"/>
      <c r="L16" s="6"/>
    </row>
    <row r="17" spans="1:12">
      <c r="A17" t="s">
        <v>24</v>
      </c>
      <c r="D17" s="2"/>
      <c r="G17" s="6" t="s">
        <v>25</v>
      </c>
      <c r="H17" s="6"/>
      <c r="I17" s="6"/>
      <c r="J17" s="2"/>
      <c r="K17" s="6"/>
      <c r="L17" s="6"/>
    </row>
    <row r="18" spans="1:12">
      <c r="A18" t="s">
        <v>25</v>
      </c>
      <c r="D18" s="2"/>
      <c r="G18" s="6" t="s">
        <v>26</v>
      </c>
      <c r="H18" s="6"/>
      <c r="I18" s="6"/>
      <c r="J18" s="2"/>
      <c r="K18" s="6"/>
      <c r="L18" s="6"/>
    </row>
    <row r="19" spans="1:12">
      <c r="A19" t="s">
        <v>26</v>
      </c>
      <c r="D19" s="2"/>
      <c r="G19" s="6" t="s">
        <v>28</v>
      </c>
      <c r="H19" s="6"/>
      <c r="I19" s="6"/>
      <c r="J19" s="2"/>
      <c r="K19" s="6"/>
      <c r="L19" s="6"/>
    </row>
    <row r="20" spans="1:12">
      <c r="A20" t="s">
        <v>28</v>
      </c>
      <c r="D20" s="2"/>
      <c r="G20" s="6" t="s">
        <v>3</v>
      </c>
      <c r="H20" s="6"/>
      <c r="I20" s="6"/>
      <c r="J20" s="2"/>
      <c r="K20" s="6"/>
      <c r="L20" s="6"/>
    </row>
    <row r="21" spans="1:12">
      <c r="A21" t="s">
        <v>3</v>
      </c>
      <c r="D21" s="2"/>
      <c r="G21" s="6" t="s">
        <v>5</v>
      </c>
      <c r="H21" s="6"/>
      <c r="I21" s="6"/>
      <c r="J21" s="2"/>
      <c r="K21" s="6"/>
      <c r="L21" s="6"/>
    </row>
    <row r="22" spans="1:12">
      <c r="A22" t="s">
        <v>5</v>
      </c>
      <c r="D22" s="2"/>
      <c r="G22" s="2"/>
      <c r="H22" s="6"/>
      <c r="I22" s="6"/>
      <c r="J22" s="2"/>
      <c r="K22" s="6"/>
      <c r="L22" s="6"/>
    </row>
    <row r="23" spans="1:12">
      <c r="A23" s="2"/>
      <c r="D23" s="2"/>
      <c r="G23" s="2"/>
      <c r="H23" s="6"/>
      <c r="I23" s="6"/>
      <c r="J23" s="2"/>
      <c r="K23" s="6"/>
      <c r="L23" s="6"/>
    </row>
    <row r="24" spans="1:12">
      <c r="A24" s="2"/>
      <c r="D24" s="2"/>
      <c r="G24" s="2"/>
      <c r="H24" s="6"/>
      <c r="I24" s="6"/>
      <c r="J24" s="2"/>
      <c r="K24" s="6"/>
      <c r="L24" s="6"/>
    </row>
    <row r="25" spans="1:12">
      <c r="A25" s="2"/>
      <c r="D25" s="2"/>
      <c r="G25" s="2"/>
      <c r="H25" s="6"/>
      <c r="I25" s="6"/>
      <c r="J25" s="2"/>
      <c r="K25" s="6"/>
      <c r="L25" s="6"/>
    </row>
    <row r="26" spans="1:12">
      <c r="A26" s="2"/>
      <c r="D26" s="2"/>
      <c r="G26" s="6"/>
      <c r="H26" s="6"/>
      <c r="I26" s="6" t="s">
        <v>32</v>
      </c>
      <c r="J26" s="6"/>
      <c r="K26" s="6"/>
      <c r="L26" s="3">
        <f>SUM(J14:J25)</f>
        <v>0</v>
      </c>
    </row>
    <row r="27" spans="1:12">
      <c r="C27" t="s">
        <v>32</v>
      </c>
      <c r="F27" s="3">
        <f>SUM(D15:D26)</f>
        <v>0</v>
      </c>
      <c r="G27" s="6"/>
      <c r="H27" s="6"/>
      <c r="I27" s="6"/>
      <c r="J27" s="6"/>
      <c r="K27" s="6"/>
      <c r="L27" s="6"/>
    </row>
    <row r="28" spans="1:12">
      <c r="G28" s="6"/>
      <c r="H28" s="6"/>
      <c r="I28" s="6"/>
      <c r="J28" s="6"/>
      <c r="K28" s="6"/>
      <c r="L28" s="6"/>
    </row>
    <row r="29" spans="1:12">
      <c r="G29" s="1" t="s">
        <v>6</v>
      </c>
      <c r="H29" s="6"/>
      <c r="I29" s="6"/>
      <c r="J29" s="6"/>
      <c r="K29" s="6"/>
      <c r="L29" s="6"/>
    </row>
    <row r="30" spans="1:12">
      <c r="A30" s="1" t="s">
        <v>6</v>
      </c>
      <c r="G30" s="1"/>
      <c r="H30" s="6"/>
      <c r="I30" s="6"/>
      <c r="J30" s="6"/>
      <c r="K30" s="6"/>
      <c r="L30" s="6"/>
    </row>
    <row r="31" spans="1:12">
      <c r="A31" s="1"/>
      <c r="G31" s="8" t="s">
        <v>14</v>
      </c>
      <c r="H31" s="6"/>
      <c r="I31" s="6"/>
      <c r="J31" s="2"/>
      <c r="K31" s="6"/>
      <c r="L31" s="6"/>
    </row>
    <row r="32" spans="1:12">
      <c r="A32" s="8" t="s">
        <v>14</v>
      </c>
      <c r="D32" s="2"/>
      <c r="G32" s="8" t="s">
        <v>15</v>
      </c>
      <c r="H32" s="6"/>
      <c r="I32" s="6"/>
      <c r="J32" s="6"/>
      <c r="K32" s="6"/>
      <c r="L32" s="6"/>
    </row>
    <row r="33" spans="1:12">
      <c r="A33" s="8" t="s">
        <v>15</v>
      </c>
      <c r="G33" s="8" t="s">
        <v>16</v>
      </c>
      <c r="H33" s="6"/>
      <c r="I33" s="6"/>
      <c r="J33" s="6"/>
      <c r="K33" s="6"/>
      <c r="L33" s="6"/>
    </row>
    <row r="34" spans="1:12">
      <c r="A34" s="8" t="s">
        <v>16</v>
      </c>
      <c r="G34" s="8" t="s">
        <v>17</v>
      </c>
      <c r="H34" s="6"/>
      <c r="I34" s="6"/>
      <c r="J34" s="2"/>
      <c r="K34" s="6"/>
      <c r="L34" s="6"/>
    </row>
    <row r="35" spans="1:12">
      <c r="A35" s="8" t="s">
        <v>17</v>
      </c>
      <c r="D35" s="2"/>
      <c r="G35" s="6"/>
      <c r="H35" s="6"/>
      <c r="I35" s="6"/>
      <c r="J35" s="6"/>
      <c r="K35" s="6"/>
      <c r="L35" s="6"/>
    </row>
    <row r="36" spans="1:12">
      <c r="G36" s="6"/>
      <c r="H36" s="6"/>
      <c r="I36" s="6"/>
      <c r="J36" s="6"/>
      <c r="K36" s="6"/>
      <c r="L36" s="6"/>
    </row>
    <row r="37" spans="1:12">
      <c r="G37" s="6"/>
      <c r="H37" s="6"/>
      <c r="I37" s="6" t="s">
        <v>32</v>
      </c>
      <c r="J37" s="6"/>
      <c r="K37" s="6"/>
      <c r="L37" s="3">
        <f>(J31*15)+J34</f>
        <v>0</v>
      </c>
    </row>
    <row r="38" spans="1:12">
      <c r="C38" t="s">
        <v>32</v>
      </c>
      <c r="F38" s="3">
        <f>(D32*15)+D35</f>
        <v>0</v>
      </c>
      <c r="G38" s="6"/>
      <c r="H38" s="6"/>
      <c r="I38" s="6"/>
      <c r="J38" s="6"/>
      <c r="K38" s="6"/>
      <c r="L38" s="6"/>
    </row>
    <row r="39" spans="1:12">
      <c r="G39" s="1" t="s">
        <v>10</v>
      </c>
      <c r="H39" s="6"/>
      <c r="I39" s="6"/>
      <c r="J39" s="6"/>
      <c r="K39" s="6"/>
      <c r="L39" s="6"/>
    </row>
    <row r="40" spans="1:12">
      <c r="A40" s="1" t="s">
        <v>10</v>
      </c>
      <c r="G40" s="6" t="s">
        <v>7</v>
      </c>
      <c r="H40" s="6"/>
      <c r="I40" s="6"/>
      <c r="J40" s="2"/>
      <c r="K40" s="6"/>
      <c r="L40" s="6"/>
    </row>
    <row r="41" spans="1:12">
      <c r="A41" t="s">
        <v>7</v>
      </c>
      <c r="D41" s="2"/>
      <c r="G41" s="6" t="s">
        <v>8</v>
      </c>
      <c r="H41" s="6"/>
      <c r="I41" s="6"/>
      <c r="J41" s="2"/>
      <c r="K41" s="6"/>
      <c r="L41" s="6"/>
    </row>
    <row r="42" spans="1:12">
      <c r="A42" t="s">
        <v>8</v>
      </c>
      <c r="D42" s="2"/>
      <c r="G42" s="6" t="s">
        <v>9</v>
      </c>
      <c r="H42" s="6"/>
      <c r="I42" s="6"/>
      <c r="J42" s="2"/>
      <c r="K42" s="6"/>
      <c r="L42" s="6"/>
    </row>
    <row r="43" spans="1:12">
      <c r="A43" t="s">
        <v>9</v>
      </c>
      <c r="D43" s="2"/>
      <c r="G43" s="6" t="s">
        <v>11</v>
      </c>
      <c r="H43" s="6"/>
      <c r="I43" s="6"/>
      <c r="J43" s="2"/>
      <c r="K43" s="6"/>
      <c r="L43" s="6"/>
    </row>
    <row r="44" spans="1:12">
      <c r="A44" t="s">
        <v>11</v>
      </c>
      <c r="D44" s="2"/>
      <c r="G44" s="6" t="s">
        <v>12</v>
      </c>
      <c r="H44" s="6"/>
      <c r="I44" s="6"/>
      <c r="J44" s="2"/>
      <c r="K44" s="6"/>
      <c r="L44" s="6"/>
    </row>
    <row r="45" spans="1:12">
      <c r="A45" t="s">
        <v>12</v>
      </c>
      <c r="D45" s="2"/>
      <c r="G45" s="6" t="s">
        <v>13</v>
      </c>
      <c r="H45" s="6"/>
      <c r="I45" s="6"/>
      <c r="J45" s="2"/>
      <c r="K45" s="6"/>
      <c r="L45" s="6"/>
    </row>
    <row r="46" spans="1:12">
      <c r="A46" t="s">
        <v>13</v>
      </c>
      <c r="D46" s="2"/>
      <c r="G46" s="11" t="s">
        <v>4</v>
      </c>
      <c r="H46" s="11"/>
      <c r="I46" s="6"/>
      <c r="J46" s="2"/>
      <c r="K46" s="6"/>
      <c r="L46" s="6"/>
    </row>
    <row r="47" spans="1:12">
      <c r="A47" s="11" t="s">
        <v>4</v>
      </c>
      <c r="B47" s="11"/>
      <c r="D47" s="2"/>
      <c r="G47" s="2"/>
      <c r="H47" s="6"/>
      <c r="I47" s="6"/>
      <c r="J47" s="2"/>
      <c r="K47" s="6"/>
      <c r="L47" s="6"/>
    </row>
    <row r="48" spans="1:12">
      <c r="A48" s="2"/>
      <c r="D48" s="2"/>
      <c r="G48" s="2"/>
      <c r="H48" s="6"/>
      <c r="I48" s="6"/>
      <c r="J48" s="2"/>
      <c r="K48" s="6"/>
      <c r="L48" s="6"/>
    </row>
    <row r="49" spans="1:12">
      <c r="A49" s="2"/>
      <c r="D49" s="2"/>
      <c r="G49" s="2"/>
      <c r="H49" s="6"/>
      <c r="I49" s="6"/>
      <c r="J49" s="2"/>
      <c r="K49" s="6"/>
      <c r="L49" s="6"/>
    </row>
    <row r="50" spans="1:12">
      <c r="A50" s="2"/>
      <c r="D50" s="2"/>
      <c r="G50" s="2"/>
      <c r="H50" s="6"/>
      <c r="I50" s="6"/>
      <c r="J50" s="2"/>
      <c r="K50" s="6"/>
      <c r="L50" s="6"/>
    </row>
    <row r="51" spans="1:12">
      <c r="A51" s="2"/>
      <c r="D51" s="2"/>
      <c r="G51" s="6"/>
      <c r="H51" s="6"/>
      <c r="I51" s="6" t="s">
        <v>32</v>
      </c>
      <c r="J51" s="6"/>
      <c r="K51" s="6"/>
      <c r="L51" s="3">
        <f>SUM(J40:J50)</f>
        <v>0</v>
      </c>
    </row>
    <row r="52" spans="1:12">
      <c r="C52" t="s">
        <v>32</v>
      </c>
      <c r="F52" s="3">
        <f>SUM(D41:D51)</f>
        <v>0</v>
      </c>
      <c r="G52" s="6"/>
      <c r="H52" s="6"/>
      <c r="I52" s="6"/>
      <c r="J52" s="6"/>
      <c r="K52" s="6"/>
      <c r="L52" s="6"/>
    </row>
    <row r="53" spans="1:12">
      <c r="G53" s="1" t="s">
        <v>29</v>
      </c>
      <c r="H53" s="6"/>
      <c r="I53" s="6"/>
      <c r="J53" s="6"/>
      <c r="K53" s="6"/>
      <c r="L53" s="6"/>
    </row>
    <row r="54" spans="1:12">
      <c r="A54" s="1" t="s">
        <v>29</v>
      </c>
      <c r="G54" s="6" t="s">
        <v>30</v>
      </c>
      <c r="H54" s="6"/>
      <c r="I54" s="6"/>
      <c r="J54" s="6"/>
      <c r="K54" s="6"/>
      <c r="L54" s="6"/>
    </row>
    <row r="55" spans="1:12">
      <c r="A55" t="s">
        <v>30</v>
      </c>
      <c r="G55" s="6"/>
      <c r="H55" s="6"/>
      <c r="I55" s="6"/>
      <c r="J55" s="6"/>
      <c r="K55" s="6"/>
      <c r="L55" s="6"/>
    </row>
    <row r="56" spans="1:12">
      <c r="G56" s="6" t="s">
        <v>22</v>
      </c>
      <c r="H56" s="6"/>
      <c r="I56" s="6"/>
      <c r="J56" s="2"/>
      <c r="K56" s="6"/>
      <c r="L56" s="6"/>
    </row>
    <row r="57" spans="1:12">
      <c r="A57" t="s">
        <v>22</v>
      </c>
      <c r="D57" s="2"/>
      <c r="G57" s="6" t="s">
        <v>23</v>
      </c>
      <c r="H57" s="6"/>
      <c r="I57" s="6"/>
      <c r="J57" s="2"/>
      <c r="K57" s="6"/>
      <c r="L57" s="6"/>
    </row>
    <row r="58" spans="1:12">
      <c r="A58" t="s">
        <v>23</v>
      </c>
      <c r="D58" s="2"/>
      <c r="G58" s="6" t="s">
        <v>143</v>
      </c>
      <c r="H58" s="6"/>
      <c r="I58" s="6"/>
      <c r="J58" s="2"/>
      <c r="K58" s="6"/>
      <c r="L58" s="6"/>
    </row>
    <row r="59" spans="1:12">
      <c r="A59" t="s">
        <v>143</v>
      </c>
      <c r="D59" s="2"/>
      <c r="G59" s="6" t="s">
        <v>25</v>
      </c>
      <c r="H59" s="6"/>
      <c r="I59" s="6"/>
      <c r="J59" s="2"/>
      <c r="K59" s="6"/>
      <c r="L59" s="6"/>
    </row>
    <row r="60" spans="1:12">
      <c r="A60" t="s">
        <v>25</v>
      </c>
      <c r="D60" s="2"/>
      <c r="G60" s="6" t="s">
        <v>26</v>
      </c>
      <c r="H60" s="6"/>
      <c r="I60" s="6"/>
      <c r="J60" s="2"/>
      <c r="K60" s="6"/>
      <c r="L60" s="6"/>
    </row>
    <row r="61" spans="1:12">
      <c r="A61" t="s">
        <v>26</v>
      </c>
      <c r="D61" s="2"/>
      <c r="G61" s="6" t="s">
        <v>28</v>
      </c>
      <c r="H61" s="6"/>
      <c r="I61" s="6"/>
      <c r="J61" s="2"/>
      <c r="K61" s="6"/>
      <c r="L61" s="6"/>
    </row>
    <row r="62" spans="1:12">
      <c r="A62" t="s">
        <v>28</v>
      </c>
      <c r="D62" s="2"/>
      <c r="G62" s="6" t="s">
        <v>31</v>
      </c>
      <c r="H62" s="6"/>
      <c r="I62" s="6"/>
      <c r="J62" s="2"/>
      <c r="K62" s="6"/>
      <c r="L62" s="6"/>
    </row>
    <row r="63" spans="1:12">
      <c r="A63" t="s">
        <v>31</v>
      </c>
      <c r="D63" s="2"/>
      <c r="G63" s="11" t="s">
        <v>4</v>
      </c>
      <c r="H63" s="11"/>
      <c r="I63" s="6"/>
      <c r="J63" s="2"/>
      <c r="K63" s="6"/>
      <c r="L63" s="6"/>
    </row>
    <row r="64" spans="1:12">
      <c r="A64" s="11" t="s">
        <v>4</v>
      </c>
      <c r="B64" s="11"/>
      <c r="D64" s="2"/>
      <c r="G64" s="2"/>
      <c r="H64" s="6"/>
      <c r="I64" s="6"/>
      <c r="J64" s="2"/>
      <c r="K64" s="6"/>
      <c r="L64" s="6"/>
    </row>
    <row r="65" spans="1:12">
      <c r="A65" s="2"/>
      <c r="D65" s="2"/>
      <c r="G65" s="2"/>
      <c r="H65" s="6"/>
      <c r="I65" s="6"/>
      <c r="J65" s="2"/>
      <c r="K65" s="6"/>
      <c r="L65" s="6"/>
    </row>
    <row r="66" spans="1:12">
      <c r="A66" s="2"/>
      <c r="D66" s="2"/>
      <c r="G66" s="2"/>
      <c r="H66" s="6"/>
      <c r="I66" s="6"/>
      <c r="J66" s="2"/>
      <c r="K66" s="6"/>
      <c r="L66" s="6"/>
    </row>
    <row r="67" spans="1:12">
      <c r="A67" s="2"/>
      <c r="D67" s="2"/>
      <c r="G67" s="2"/>
      <c r="H67" s="6"/>
      <c r="I67" s="6"/>
      <c r="J67" s="2"/>
      <c r="K67" s="6"/>
      <c r="L67" s="6"/>
    </row>
    <row r="68" spans="1:12">
      <c r="A68" s="2"/>
      <c r="D68" s="2"/>
      <c r="G68" s="6"/>
      <c r="H68" s="6"/>
      <c r="I68" s="6"/>
      <c r="J68" s="6" t="s">
        <v>0</v>
      </c>
      <c r="K68" s="6"/>
      <c r="L68" s="3">
        <f>SUM(J56:J67)</f>
        <v>0</v>
      </c>
    </row>
    <row r="69" spans="1:12">
      <c r="D69" t="s">
        <v>0</v>
      </c>
      <c r="F69" s="3">
        <f>SUM(D57:D68)</f>
        <v>0</v>
      </c>
      <c r="G69" s="6"/>
      <c r="H69" s="6"/>
      <c r="I69" s="6"/>
      <c r="J69" s="6"/>
      <c r="K69" s="6"/>
      <c r="L69" s="6"/>
    </row>
    <row r="70" spans="1:12">
      <c r="G70" s="6"/>
      <c r="H70" s="6"/>
      <c r="I70" s="6"/>
      <c r="J70" s="6"/>
      <c r="K70" s="6"/>
      <c r="L70" s="6"/>
    </row>
    <row r="71" spans="1:12">
      <c r="G71" s="6"/>
      <c r="H71" s="6"/>
      <c r="I71" s="6"/>
      <c r="J71" s="6"/>
      <c r="K71" s="6"/>
      <c r="L71" s="5"/>
    </row>
    <row r="72" spans="1:12">
      <c r="F72" s="5"/>
      <c r="G72" s="6"/>
      <c r="H72" s="6"/>
      <c r="I72" s="6"/>
      <c r="J72" s="6"/>
      <c r="K72" s="6"/>
      <c r="L72" s="6"/>
    </row>
    <row r="73" spans="1:12">
      <c r="G73" s="6"/>
      <c r="H73" s="6"/>
      <c r="I73" s="6"/>
      <c r="J73" s="6"/>
      <c r="K73" s="6"/>
      <c r="L73" s="6"/>
    </row>
    <row r="74" spans="1:12">
      <c r="G74" s="6"/>
      <c r="H74" s="6"/>
      <c r="I74" s="6"/>
      <c r="J74" s="6"/>
      <c r="K74" s="6"/>
      <c r="L74" s="6"/>
    </row>
    <row r="75" spans="1:12">
      <c r="G75" s="6"/>
      <c r="H75" s="6"/>
      <c r="I75" s="6"/>
      <c r="J75" s="6" t="s">
        <v>1</v>
      </c>
      <c r="K75" s="6"/>
      <c r="L75" s="3">
        <f>(J8*(L26+L37+L51))+L68</f>
        <v>0</v>
      </c>
    </row>
    <row r="76" spans="1:12">
      <c r="D76" t="s">
        <v>1</v>
      </c>
      <c r="F76" s="3">
        <f>(D9*(F27+F38+F52))+F69</f>
        <v>0</v>
      </c>
    </row>
  </sheetData>
  <mergeCells count="4">
    <mergeCell ref="A47:B47"/>
    <mergeCell ref="A64:B64"/>
    <mergeCell ref="G46:H46"/>
    <mergeCell ref="G63:H63"/>
  </mergeCells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Staffing Costs</vt:lpstr>
      <vt:lpstr>Time Costs</vt:lpstr>
    </vt:vector>
  </TitlesOfParts>
  <Company>NAU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Miller</dc:creator>
  <cp:lastModifiedBy>Lorraine Elder</cp:lastModifiedBy>
  <dcterms:created xsi:type="dcterms:W3CDTF">2012-09-01T23:04:44Z</dcterms:created>
  <dcterms:modified xsi:type="dcterms:W3CDTF">2012-09-27T22:52:10Z</dcterms:modified>
</cp:coreProperties>
</file>