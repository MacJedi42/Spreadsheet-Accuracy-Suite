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3955" windowHeight="11055"/>
  </bookViews>
  <sheets>
    <sheet name="Sheet1" sheetId="1" r:id="rId1"/>
  </sheets>
  <externalReferences>
    <externalReference r:id="rId2"/>
    <externalReference r:id="rId3"/>
    <externalReference r:id="rId4"/>
  </externalReferences>
  <calcPr calcId="145621"/>
</workbook>
</file>

<file path=xl/calcChain.xml><?xml version="1.0" encoding="utf-8"?>
<calcChain xmlns="http://schemas.openxmlformats.org/spreadsheetml/2006/main">
  <c r="S26" i="1" l="1"/>
  <c r="R8" i="1"/>
  <c r="S8" i="1"/>
  <c r="T8" i="1"/>
  <c r="U8" i="1"/>
  <c r="Q8" i="1"/>
  <c r="K9" i="1" l="1"/>
  <c r="O26" i="1"/>
  <c r="P26" i="1"/>
  <c r="O5" i="1"/>
  <c r="P5" i="1"/>
  <c r="O6" i="1"/>
  <c r="P6" i="1"/>
  <c r="O7" i="1"/>
  <c r="P7" i="1"/>
  <c r="O8" i="1"/>
  <c r="P8" i="1"/>
  <c r="P17" i="1" l="1"/>
  <c r="P16" i="1"/>
  <c r="P15" i="1"/>
  <c r="O17" i="1"/>
  <c r="O16" i="1"/>
  <c r="O15" i="1"/>
  <c r="N8" i="1"/>
  <c r="M8" i="1"/>
  <c r="L8" i="1"/>
  <c r="K8" i="1"/>
  <c r="J8" i="1"/>
  <c r="I8" i="1"/>
  <c r="H8" i="1"/>
  <c r="G8" i="1"/>
  <c r="F8" i="1"/>
  <c r="E8" i="1"/>
  <c r="D8" i="1"/>
  <c r="C8" i="1"/>
  <c r="B8" i="1"/>
  <c r="N7" i="1"/>
  <c r="M7" i="1"/>
  <c r="L7" i="1"/>
  <c r="K7" i="1"/>
  <c r="J7" i="1"/>
  <c r="I7" i="1"/>
  <c r="H7" i="1"/>
  <c r="G7" i="1"/>
  <c r="F7" i="1"/>
  <c r="E7" i="1"/>
  <c r="D7" i="1"/>
  <c r="C7" i="1"/>
  <c r="B7" i="1"/>
  <c r="N6" i="1"/>
  <c r="M6" i="1"/>
  <c r="L6" i="1"/>
  <c r="K6" i="1"/>
  <c r="J6" i="1"/>
  <c r="I6" i="1"/>
  <c r="H6" i="1"/>
  <c r="G6" i="1"/>
  <c r="F6" i="1"/>
  <c r="E6" i="1"/>
  <c r="D6" i="1"/>
  <c r="C6" i="1"/>
  <c r="B6" i="1"/>
  <c r="N5" i="1"/>
  <c r="M5" i="1"/>
  <c r="L5" i="1"/>
  <c r="K5" i="1"/>
  <c r="J5" i="1"/>
  <c r="I5" i="1"/>
  <c r="H5" i="1"/>
  <c r="G5" i="1"/>
  <c r="F5" i="1"/>
  <c r="E5" i="1"/>
  <c r="D5" i="1"/>
  <c r="C5" i="1"/>
  <c r="B5" i="1"/>
  <c r="H9" i="1"/>
  <c r="E9" i="1"/>
  <c r="B9" i="1"/>
  <c r="D15" i="1" l="1"/>
  <c r="F15" i="1"/>
  <c r="H15" i="1"/>
  <c r="J15" i="1"/>
  <c r="L15" i="1"/>
  <c r="N15" i="1"/>
  <c r="B15" i="1"/>
  <c r="M17" i="1" l="1"/>
  <c r="K17" i="1"/>
  <c r="I17" i="1"/>
  <c r="G17" i="1"/>
  <c r="E17" i="1"/>
  <c r="C17" i="1"/>
  <c r="M16" i="1"/>
  <c r="K16" i="1"/>
  <c r="I16" i="1"/>
  <c r="G16" i="1"/>
  <c r="E16" i="1"/>
  <c r="C16" i="1"/>
  <c r="M15" i="1"/>
  <c r="K15" i="1"/>
  <c r="I15" i="1"/>
  <c r="G15" i="1"/>
  <c r="E15" i="1"/>
  <c r="C15" i="1"/>
  <c r="N17" i="1"/>
  <c r="L17" i="1"/>
  <c r="J17" i="1"/>
  <c r="H17" i="1"/>
  <c r="F17" i="1"/>
  <c r="D17" i="1"/>
  <c r="B17" i="1"/>
  <c r="N16" i="1"/>
  <c r="L16" i="1"/>
  <c r="J16" i="1"/>
  <c r="H16" i="1"/>
  <c r="F16" i="1"/>
  <c r="D16" i="1"/>
  <c r="B16" i="1"/>
  <c r="E26" i="1"/>
  <c r="F26" i="1"/>
  <c r="G26" i="1"/>
  <c r="H26" i="1"/>
  <c r="I26" i="1"/>
  <c r="J26" i="1"/>
  <c r="K26" i="1"/>
  <c r="L26" i="1"/>
  <c r="M26" i="1"/>
  <c r="N26" i="1"/>
  <c r="C26" i="1"/>
  <c r="D26" i="1"/>
  <c r="B26" i="1"/>
</calcChain>
</file>

<file path=xl/sharedStrings.xml><?xml version="1.0" encoding="utf-8"?>
<sst xmlns="http://schemas.openxmlformats.org/spreadsheetml/2006/main" count="109" uniqueCount="42">
  <si>
    <t>Credit  Headcount At Census</t>
  </si>
  <si>
    <t>AY07-08</t>
  </si>
  <si>
    <t>AY08-09</t>
  </si>
  <si>
    <t>AY09-10</t>
  </si>
  <si>
    <t>AY10-11</t>
  </si>
  <si>
    <t>AY11-12</t>
  </si>
  <si>
    <t>Academic Year</t>
  </si>
  <si>
    <t>Gender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</si>
  <si>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</si>
  <si>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</si>
  <si>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</si>
  <si>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</si>
  <si>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</si>
  <si>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</si>
  <si>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</si>
  <si>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</si>
  <si>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</si>
  <si>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</si>
  <si>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</si>
  <si>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</si>
  <si>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</si>
  <si>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</si>
  <si>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</si>
  <si>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Male</t>
  </si>
  <si>
    <t>Female</t>
  </si>
  <si>
    <t>Undeclared</t>
  </si>
  <si>
    <t>Term Total</t>
  </si>
  <si>
    <t>% of Total</t>
  </si>
  <si>
    <t>Credit Headcount % of Total</t>
  </si>
  <si>
    <t>Success Rate</t>
  </si>
  <si>
    <t>Term Average</t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</si>
  <si>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</si>
  <si>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rPr>
        <b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</si>
  <si>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rFont val="Calibri"/>
        <family val="2"/>
        <scheme val="minor"/>
      </rPr>
      <t>MSJC SJC Total</t>
    </r>
    <r>
      <rPr>
        <b/>
        <sz val="12"/>
        <color theme="5" tint="-0.249977111117893"/>
        <rFont val="Calibri"/>
        <family val="2"/>
        <scheme val="minor"/>
      </rPr>
      <t xml:space="preserve"> by Gender</t>
    </r>
  </si>
  <si>
    <t>AY12-13</t>
  </si>
  <si>
    <t>AY13-14</t>
  </si>
  <si>
    <t>SU12</t>
  </si>
  <si>
    <t>FA12</t>
  </si>
  <si>
    <t>SP13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</si>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</sst>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C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1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43" fontId="21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" fillId="0" borderId="0"/>
    <xf numFmtId="0" fontId="18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/>
    <xf numFmtId="3" fontId="0" fillId="0" borderId="0" xfId="0" applyNumberFormat="1"/>
    <xf numFmtId="164" fontId="0" fillId="0" borderId="0" xfId="0" applyNumberFormat="1"/>
    <xf numFmtId="0" fontId="28" fillId="0" borderId="0" xfId="0" applyFont="1" applyAlignment="1">
      <alignment vertical="center"/>
    </xf>
    <xf numFmtId="0" fontId="30" fillId="0" borderId="0" xfId="56" applyFont="1"/>
    <xf numFmtId="0" fontId="25" fillId="0" borderId="13" xfId="46" applyFont="1" applyBorder="1" applyAlignment="1" applyProtection="1"/>
    <xf numFmtId="9" fontId="23" fillId="0" borderId="23" xfId="1" applyNumberFormat="1" applyFont="1" applyBorder="1" applyAlignment="1" applyProtection="1">
      <alignment horizontal="center" vertical="center"/>
    </xf>
    <xf numFmtId="0" fontId="25" fillId="0" borderId="47" xfId="46" applyFont="1" applyBorder="1" applyAlignment="1" applyProtection="1"/>
    <xf numFmtId="9" fontId="23" fillId="0" borderId="43" xfId="1" applyNumberFormat="1" applyFont="1" applyBorder="1" applyAlignment="1" applyProtection="1">
      <alignment horizontal="center" vertical="center"/>
    </xf>
    <xf numFmtId="164" fontId="23" fillId="0" borderId="17" xfId="1" applyNumberFormat="1" applyFont="1" applyBorder="1" applyAlignment="1" applyProtection="1">
      <alignment horizontal="center" vertical="center"/>
    </xf>
    <xf numFmtId="164" fontId="23" fillId="0" borderId="19" xfId="1" applyNumberFormat="1" applyFont="1" applyBorder="1" applyAlignment="1" applyProtection="1">
      <alignment horizontal="center" vertical="center"/>
    </xf>
    <xf numFmtId="0" fontId="16" fillId="0" borderId="41" xfId="44" applyFont="1" applyBorder="1" applyAlignment="1">
      <alignment horizontal="center" vertical="center"/>
    </xf>
    <xf numFmtId="0" fontId="25" fillId="0" borderId="22" xfId="46" applyFont="1" applyBorder="1" applyAlignment="1" applyProtection="1"/>
    <xf numFmtId="0" fontId="25" fillId="0" borderId="25" xfId="46" applyFont="1" applyBorder="1" applyAlignment="1" applyProtection="1"/>
    <xf numFmtId="0" fontId="25" fillId="0" borderId="21" xfId="46" applyFont="1" applyBorder="1" applyAlignment="1" applyProtection="1"/>
    <xf numFmtId="0" fontId="27" fillId="0" borderId="21" xfId="46" applyFont="1" applyBorder="1" applyAlignment="1" applyProtection="1">
      <alignment horizontal="center" vertical="center"/>
    </xf>
    <xf numFmtId="164" fontId="23" fillId="0" borderId="10" xfId="1" applyNumberFormat="1" applyFont="1" applyBorder="1" applyAlignment="1" applyProtection="1">
      <alignment horizontal="center" vertical="center"/>
    </xf>
    <xf numFmtId="164" fontId="23" fillId="0" borderId="15" xfId="1" applyNumberFormat="1" applyFont="1" applyBorder="1" applyAlignment="1" applyProtection="1">
      <alignment horizontal="center" vertical="center"/>
    </xf>
    <xf numFmtId="164" fontId="23" fillId="0" borderId="16" xfId="1" applyNumberFormat="1" applyFont="1" applyBorder="1" applyAlignment="1" applyProtection="1">
      <alignment horizontal="center" vertical="center"/>
    </xf>
    <xf numFmtId="164" fontId="23" fillId="0" borderId="18" xfId="1" applyNumberFormat="1" applyFont="1" applyBorder="1" applyAlignment="1" applyProtection="1">
      <alignment horizontal="center" vertical="center"/>
    </xf>
    <xf numFmtId="164" fontId="23" fillId="0" borderId="32" xfId="1" applyNumberFormat="1" applyFont="1" applyBorder="1" applyAlignment="1" applyProtection="1">
      <alignment horizontal="center" vertical="center"/>
    </xf>
    <xf numFmtId="164" fontId="23" fillId="0" borderId="30" xfId="1" applyNumberFormat="1" applyFont="1" applyBorder="1" applyAlignment="1" applyProtection="1">
      <alignment horizontal="center" vertical="center"/>
    </xf>
    <xf numFmtId="164" fontId="23" fillId="0" borderId="31" xfId="1" applyNumberFormat="1" applyFont="1" applyBorder="1" applyAlignment="1" applyProtection="1">
      <alignment horizontal="center" vertical="center"/>
    </xf>
    <xf numFmtId="164" fontId="23" fillId="0" borderId="29" xfId="1" applyNumberFormat="1" applyFont="1" applyBorder="1" applyAlignment="1" applyProtection="1">
      <alignment horizontal="center" vertical="center"/>
    </xf>
    <xf numFmtId="164" fontId="25" fillId="0" borderId="24" xfId="1" applyNumberFormat="1" applyFont="1" applyBorder="1" applyAlignment="1" applyProtection="1">
      <alignment horizontal="center" vertical="center"/>
    </xf>
    <xf numFmtId="164" fontId="25" fillId="0" borderId="33" xfId="1" applyNumberFormat="1" applyFont="1" applyBorder="1" applyAlignment="1" applyProtection="1">
      <alignment horizontal="center" vertical="center"/>
    </xf>
    <xf numFmtId="164" fontId="25" fillId="0" borderId="34" xfId="1" applyNumberFormat="1" applyFont="1" applyBorder="1" applyAlignment="1" applyProtection="1">
      <alignment horizontal="center" vertical="center"/>
    </xf>
    <xf numFmtId="164" fontId="25" fillId="0" borderId="36" xfId="1" applyNumberFormat="1" applyFont="1" applyBorder="1" applyAlignment="1" applyProtection="1">
      <alignment horizontal="center" vertical="center"/>
    </xf>
    <xf numFmtId="164" fontId="25" fillId="0" borderId="35" xfId="1" applyNumberFormat="1" applyFont="1" applyBorder="1" applyAlignment="1" applyProtection="1">
      <alignment horizontal="center" vertical="center"/>
    </xf>
    <xf numFmtId="0" fontId="22" fillId="35" borderId="43" xfId="44" applyFont="1" applyFill="1" applyBorder="1" applyAlignment="1">
      <alignment horizontal="center" vertical="center"/>
    </xf>
    <xf numFmtId="0" fontId="22" fillId="35" borderId="44" xfId="44" applyFont="1" applyFill="1" applyBorder="1" applyAlignment="1">
      <alignment horizontal="center" vertical="center"/>
    </xf>
    <xf numFmtId="0" fontId="22" fillId="35" borderId="42" xfId="44" applyFont="1" applyFill="1" applyBorder="1" applyAlignment="1">
      <alignment horizontal="center" vertical="center"/>
    </xf>
    <xf numFmtId="0" fontId="22" fillId="0" borderId="43" xfId="44" applyFont="1" applyFill="1" applyBorder="1" applyAlignment="1">
      <alignment horizontal="center" vertical="center"/>
    </xf>
    <xf numFmtId="0" fontId="22" fillId="0" borderId="44" xfId="44" applyFont="1" applyFill="1" applyBorder="1" applyAlignment="1">
      <alignment horizontal="center" vertical="center"/>
    </xf>
    <xf numFmtId="0" fontId="22" fillId="0" borderId="42" xfId="44" applyFont="1" applyFill="1" applyBorder="1" applyAlignment="1">
      <alignment horizontal="center" vertical="center"/>
    </xf>
    <xf numFmtId="164" fontId="23" fillId="0" borderId="46" xfId="1" applyNumberFormat="1" applyFont="1" applyBorder="1" applyAlignment="1" applyProtection="1">
      <alignment horizontal="center" vertical="center"/>
    </xf>
    <xf numFmtId="0" fontId="22" fillId="35" borderId="45" xfId="44" applyFont="1" applyFill="1" applyBorder="1" applyAlignment="1">
      <alignment horizontal="center" vertical="center"/>
    </xf>
    <xf numFmtId="165" fontId="23" fillId="0" borderId="17" xfId="1" applyNumberFormat="1" applyFont="1" applyBorder="1" applyAlignment="1" applyProtection="1">
      <alignment horizontal="center" vertical="center"/>
    </xf>
    <xf numFmtId="165" fontId="23" fillId="0" borderId="16" xfId="1" applyNumberFormat="1" applyFont="1" applyBorder="1" applyAlignment="1" applyProtection="1">
      <alignment horizontal="center" vertical="center"/>
    </xf>
    <xf numFmtId="165" fontId="23" fillId="0" borderId="19" xfId="1" applyNumberFormat="1" applyFont="1" applyBorder="1" applyAlignment="1" applyProtection="1">
      <alignment horizontal="center" vertical="center"/>
    </xf>
    <xf numFmtId="0" fontId="25" fillId="0" borderId="40" xfId="46" applyFont="1" applyBorder="1" applyAlignment="1" applyProtection="1"/>
    <xf numFmtId="165" fontId="23" fillId="0" borderId="15" xfId="1" applyNumberFormat="1" applyFont="1" applyBorder="1" applyAlignment="1" applyProtection="1">
      <alignment horizontal="center" vertical="center"/>
    </xf>
    <xf numFmtId="165" fontId="23" fillId="0" borderId="10" xfId="1" applyNumberFormat="1" applyFont="1" applyBorder="1" applyAlignment="1" applyProtection="1">
      <alignment horizontal="center" vertical="center"/>
    </xf>
    <xf numFmtId="165" fontId="23" fillId="0" borderId="18" xfId="1" applyNumberFormat="1" applyFont="1" applyBorder="1" applyAlignment="1" applyProtection="1">
      <alignment horizontal="center" vertical="center"/>
    </xf>
    <xf numFmtId="165" fontId="23" fillId="0" borderId="32" xfId="1" applyNumberFormat="1" applyFont="1" applyBorder="1" applyAlignment="1" applyProtection="1">
      <alignment horizontal="center" vertical="center"/>
    </xf>
    <xf numFmtId="165" fontId="23" fillId="0" borderId="30" xfId="1" applyNumberFormat="1" applyFont="1" applyBorder="1" applyAlignment="1" applyProtection="1">
      <alignment horizontal="center" vertical="center"/>
    </xf>
    <xf numFmtId="165" fontId="23" fillId="0" borderId="31" xfId="1" applyNumberFormat="1" applyFont="1" applyBorder="1" applyAlignment="1" applyProtection="1">
      <alignment horizontal="center" vertical="center"/>
    </xf>
    <xf numFmtId="165" fontId="23" fillId="0" borderId="29" xfId="1" applyNumberFormat="1" applyFont="1" applyBorder="1" applyAlignment="1" applyProtection="1">
      <alignment horizontal="center" vertical="center"/>
    </xf>
    <xf numFmtId="165" fontId="23" fillId="0" borderId="46" xfId="1" applyNumberFormat="1" applyFont="1" applyBorder="1" applyAlignment="1" applyProtection="1">
      <alignment horizontal="center" vertical="center"/>
    </xf>
    <xf numFmtId="0" fontId="16" fillId="0" borderId="21" xfId="44" applyFont="1" applyBorder="1" applyAlignment="1">
      <alignment horizontal="center" vertical="center"/>
    </xf>
    <xf numFmtId="9" fontId="23" fillId="0" borderId="18" xfId="1" applyNumberFormat="1" applyFont="1" applyBorder="1" applyAlignment="1" applyProtection="1">
      <alignment horizontal="center" vertical="center"/>
    </xf>
    <xf numFmtId="9" fontId="23" fillId="0" borderId="18" xfId="114" applyFont="1" applyBorder="1" applyAlignment="1" applyProtection="1">
      <alignment horizontal="center" vertical="center"/>
    </xf>
    <xf numFmtId="9" fontId="23" fillId="0" borderId="10" xfId="114" applyFont="1" applyBorder="1" applyAlignment="1" applyProtection="1">
      <alignment horizontal="center" vertical="center"/>
    </xf>
    <xf numFmtId="9" fontId="23" fillId="0" borderId="19" xfId="114" applyFont="1" applyBorder="1" applyAlignment="1" applyProtection="1">
      <alignment horizontal="center" vertical="center"/>
    </xf>
    <xf numFmtId="9" fontId="23" fillId="0" borderId="23" xfId="114" applyFont="1" applyBorder="1" applyAlignment="1" applyProtection="1">
      <alignment horizontal="center" vertical="center"/>
    </xf>
    <xf numFmtId="9" fontId="23" fillId="0" borderId="48" xfId="114" applyFont="1" applyBorder="1" applyAlignment="1" applyProtection="1">
      <alignment horizontal="center" vertical="center"/>
    </xf>
    <xf numFmtId="9" fontId="23" fillId="0" borderId="49" xfId="114" applyFont="1" applyBorder="1" applyAlignment="1" applyProtection="1">
      <alignment horizontal="center" vertical="center"/>
    </xf>
    <xf numFmtId="0" fontId="22" fillId="0" borderId="26" xfId="44" applyFont="1" applyFill="1" applyBorder="1" applyAlignment="1">
      <alignment horizontal="center" vertical="center"/>
    </xf>
    <xf numFmtId="0" fontId="22" fillId="0" borderId="27" xfId="44" applyFont="1" applyFill="1" applyBorder="1" applyAlignment="1">
      <alignment horizontal="center" vertical="center"/>
    </xf>
    <xf numFmtId="0" fontId="22" fillId="0" borderId="28" xfId="44" applyFont="1" applyFill="1" applyBorder="1" applyAlignment="1">
      <alignment horizontal="center" vertical="center"/>
    </xf>
    <xf numFmtId="0" fontId="22" fillId="35" borderId="26" xfId="44" applyFont="1" applyFill="1" applyBorder="1" applyAlignment="1">
      <alignment horizontal="center" vertical="center"/>
    </xf>
    <xf numFmtId="0" fontId="22" fillId="35" borderId="27" xfId="44" applyFont="1" applyFill="1" applyBorder="1" applyAlignment="1">
      <alignment horizontal="center" vertical="center"/>
    </xf>
    <xf numFmtId="0" fontId="22" fillId="35" borderId="46" xfId="44" applyFont="1" applyFill="1" applyBorder="1" applyAlignment="1">
      <alignment horizontal="center" vertical="center"/>
    </xf>
    <xf numFmtId="0" fontId="19" fillId="34" borderId="20" xfId="44" applyFont="1" applyFill="1" applyBorder="1" applyAlignment="1">
      <alignment horizontal="center"/>
    </xf>
    <xf numFmtId="0" fontId="19" fillId="34" borderId="0" xfId="44" applyFont="1" applyFill="1" applyBorder="1" applyAlignment="1">
      <alignment horizontal="center"/>
    </xf>
    <xf numFmtId="0" fontId="19" fillId="34" borderId="13" xfId="44" applyFont="1" applyFill="1" applyBorder="1" applyAlignment="1">
      <alignment horizontal="center"/>
    </xf>
    <xf numFmtId="0" fontId="19" fillId="34" borderId="14" xfId="44" applyFont="1" applyFill="1" applyBorder="1" applyAlignment="1">
      <alignment horizontal="center"/>
    </xf>
    <xf numFmtId="3" fontId="27" fillId="0" borderId="37" xfId="1" applyNumberFormat="1" applyFont="1" applyFill="1" applyBorder="1" applyAlignment="1" applyProtection="1">
      <alignment horizontal="center" vertical="center"/>
    </xf>
    <xf numFmtId="3" fontId="27" fillId="0" borderId="38" xfId="1" applyNumberFormat="1" applyFont="1" applyFill="1" applyBorder="1" applyAlignment="1" applyProtection="1">
      <alignment horizontal="center" vertical="center"/>
    </xf>
    <xf numFmtId="3" fontId="27" fillId="0" borderId="39" xfId="1" applyNumberFormat="1" applyFont="1" applyFill="1" applyBorder="1" applyAlignment="1" applyProtection="1">
      <alignment horizontal="center" vertical="center"/>
    </xf>
    <xf numFmtId="0" fontId="26" fillId="33" borderId="11" xfId="9" applyFont="1" applyFill="1" applyBorder="1" applyAlignment="1">
      <alignment horizontal="center" vertical="center" wrapText="1"/>
    </xf>
    <xf numFmtId="0" fontId="26" fillId="33" borderId="12" xfId="9" applyFont="1" applyFill="1" applyBorder="1" applyAlignment="1">
      <alignment horizontal="center" vertical="center" wrapText="1"/>
    </xf>
    <xf numFmtId="0" fontId="26" fillId="33" borderId="13" xfId="9" applyFont="1" applyFill="1" applyBorder="1" applyAlignment="1">
      <alignment horizontal="center" vertical="center" wrapText="1"/>
    </xf>
    <xf numFmtId="0" fontId="22" fillId="33" borderId="11" xfId="9" applyFont="1" applyFill="1" applyBorder="1" applyAlignment="1">
      <alignment horizontal="center" vertical="center" wrapText="1"/>
    </xf>
    <xf numFmtId="0" fontId="22" fillId="33" borderId="12" xfId="9" applyFont="1" applyFill="1" applyBorder="1" applyAlignment="1">
      <alignment horizontal="center" vertical="center" wrapText="1"/>
    </xf>
    <xf numFmtId="0" fontId="22" fillId="33" borderId="13" xfId="9" applyFont="1" applyFill="1" applyBorder="1" applyAlignment="1">
      <alignment horizontal="center" vertical="center" wrapText="1"/>
    </xf>
  </cellXfs>
  <cellStyles count="115">
    <cellStyle name="20% - Accent1" xfId="20" builtinId="30" customBuiltin="1"/>
    <cellStyle name="20% - Accent1 2" xfId="75"/>
    <cellStyle name="20% - Accent2" xfId="24" builtinId="34" customBuiltin="1"/>
    <cellStyle name="20% - Accent2 2" xfId="79"/>
    <cellStyle name="20% - Accent3" xfId="28" builtinId="38" customBuiltin="1"/>
    <cellStyle name="20% - Accent3 2" xfId="83"/>
    <cellStyle name="20% - Accent4" xfId="32" builtinId="42" customBuiltin="1"/>
    <cellStyle name="20% - Accent4 2" xfId="87"/>
    <cellStyle name="20% - Accent5" xfId="36" builtinId="46" customBuiltin="1"/>
    <cellStyle name="20% - Accent5 2" xfId="91"/>
    <cellStyle name="20% - Accent6" xfId="40" builtinId="50" customBuiltin="1"/>
    <cellStyle name="20% - Accent6 2" xfId="95"/>
    <cellStyle name="40% - Accent1" xfId="21" builtinId="31" customBuiltin="1"/>
    <cellStyle name="40% - Accent1 2" xfId="76"/>
    <cellStyle name="40% - Accent2" xfId="25" builtinId="35" customBuiltin="1"/>
    <cellStyle name="40% - Accent2 2" xfId="80"/>
    <cellStyle name="40% - Accent3" xfId="29" builtinId="39" customBuiltin="1"/>
    <cellStyle name="40% - Accent3 2" xfId="84"/>
    <cellStyle name="40% - Accent4" xfId="33" builtinId="43" customBuiltin="1"/>
    <cellStyle name="40% - Accent4 2" xfId="88"/>
    <cellStyle name="40% - Accent5" xfId="37" builtinId="47" customBuiltin="1"/>
    <cellStyle name="40% - Accent5 2" xfId="92"/>
    <cellStyle name="40% - Accent6" xfId="41" builtinId="51" customBuiltin="1"/>
    <cellStyle name="40% - Accent6 2" xfId="96"/>
    <cellStyle name="60% - Accent1" xfId="22" builtinId="32" customBuiltin="1"/>
    <cellStyle name="60% - Accent1 2" xfId="77"/>
    <cellStyle name="60% - Accent2" xfId="26" builtinId="36" customBuiltin="1"/>
    <cellStyle name="60% - Accent2 2" xfId="81"/>
    <cellStyle name="60% - Accent3" xfId="30" builtinId="40" customBuiltin="1"/>
    <cellStyle name="60% - Accent3 2" xfId="85"/>
    <cellStyle name="60% - Accent4" xfId="34" builtinId="44" customBuiltin="1"/>
    <cellStyle name="60% - Accent4 2" xfId="89"/>
    <cellStyle name="60% - Accent5" xfId="38" builtinId="48" customBuiltin="1"/>
    <cellStyle name="60% - Accent5 2" xfId="93"/>
    <cellStyle name="60% - Accent6" xfId="42" builtinId="52" customBuiltin="1"/>
    <cellStyle name="60% - Accent6 2" xfId="97"/>
    <cellStyle name="Accent1" xfId="19" builtinId="29" customBuiltin="1"/>
    <cellStyle name="Accent1 2" xfId="74"/>
    <cellStyle name="Accent2" xfId="23" builtinId="33" customBuiltin="1"/>
    <cellStyle name="Accent2 2" xfId="78"/>
    <cellStyle name="Accent3" xfId="27" builtinId="37" customBuiltin="1"/>
    <cellStyle name="Accent3 2" xfId="82"/>
    <cellStyle name="Accent4" xfId="31" builtinId="41" customBuiltin="1"/>
    <cellStyle name="Accent4 2" xfId="86"/>
    <cellStyle name="Accent5" xfId="35" builtinId="45" customBuiltin="1"/>
    <cellStyle name="Accent5 2" xfId="90"/>
    <cellStyle name="Accent6" xfId="39" builtinId="49" customBuiltin="1"/>
    <cellStyle name="Accent6 2" xfId="94"/>
    <cellStyle name="Bad" xfId="8" builtinId="27" customBuiltin="1"/>
    <cellStyle name="Bad 2" xfId="63"/>
    <cellStyle name="Calculation" xfId="12" builtinId="22" customBuiltin="1"/>
    <cellStyle name="Calculation 2" xfId="67"/>
    <cellStyle name="Check Cell" xfId="14" builtinId="23" customBuiltin="1"/>
    <cellStyle name="Check Cell 2" xfId="69"/>
    <cellStyle name="Comma" xfId="1" builtinId="3"/>
    <cellStyle name="Comma 2" xfId="49"/>
    <cellStyle name="Comma 2 2" xfId="52"/>
    <cellStyle name="Comma 3" xfId="98"/>
    <cellStyle name="Explanatory Text" xfId="17" builtinId="53" customBuiltin="1"/>
    <cellStyle name="Explanatory Text 2" xfId="72"/>
    <cellStyle name="Good" xfId="7" builtinId="26" customBuiltin="1"/>
    <cellStyle name="Good 2" xfId="62"/>
    <cellStyle name="Heading 1" xfId="3" builtinId="16" customBuiltin="1"/>
    <cellStyle name="Heading 1 2" xfId="58"/>
    <cellStyle name="Heading 2" xfId="4" builtinId="17" customBuiltin="1"/>
    <cellStyle name="Heading 2 2" xfId="59"/>
    <cellStyle name="Heading 3" xfId="5" builtinId="18" customBuiltin="1"/>
    <cellStyle name="Heading 3 2" xfId="60"/>
    <cellStyle name="Heading 4" xfId="6" builtinId="19" customBuiltin="1"/>
    <cellStyle name="Heading 4 2" xfId="61"/>
    <cellStyle name="Hyperlink" xfId="46" builtinId="8"/>
    <cellStyle name="Hyperlink 2" xfId="50"/>
    <cellStyle name="Input" xfId="10" builtinId="20" customBuiltin="1"/>
    <cellStyle name="Input 2" xfId="65"/>
    <cellStyle name="Linked Cell" xfId="13" builtinId="24" customBuiltin="1"/>
    <cellStyle name="Linked Cell 2" xfId="68"/>
    <cellStyle name="Neutral" xfId="9" builtinId="28" customBuiltin="1"/>
    <cellStyle name="Neutral 2" xfId="53"/>
    <cellStyle name="Neutral 3" xfId="64"/>
    <cellStyle name="Normal" xfId="0" builtinId="0"/>
    <cellStyle name="Normal 2" xfId="44"/>
    <cellStyle name="Normal 2 2" xfId="48"/>
    <cellStyle name="Normal 2 2 2" xfId="51"/>
    <cellStyle name="Normal 3" xfId="43"/>
    <cellStyle name="Normal 3 2" xfId="54"/>
    <cellStyle name="Normal 3 2 2" xfId="104"/>
    <cellStyle name="Normal 3 3" xfId="106"/>
    <cellStyle name="Normal 3 4" xfId="112"/>
    <cellStyle name="Normal 3 5" xfId="108"/>
    <cellStyle name="Normal 3 6" xfId="99"/>
    <cellStyle name="Normal 4" xfId="56"/>
    <cellStyle name="Normal 5" xfId="102"/>
    <cellStyle name="Normal 6" xfId="103"/>
    <cellStyle name="Normal 7" xfId="109"/>
    <cellStyle name="Normal 8" xfId="111"/>
    <cellStyle name="Normal 9" xfId="57"/>
    <cellStyle name="Note" xfId="16" builtinId="10" customBuiltin="1"/>
    <cellStyle name="Note 2" xfId="45"/>
    <cellStyle name="Note 3" xfId="71"/>
    <cellStyle name="Output" xfId="11" builtinId="21" customBuiltin="1"/>
    <cellStyle name="Output 2" xfId="66"/>
    <cellStyle name="Percent" xfId="114" builtinId="5"/>
    <cellStyle name="Percent 2" xfId="47"/>
    <cellStyle name="Percent 2 2" xfId="55"/>
    <cellStyle name="Percent 2 2 2" xfId="105"/>
    <cellStyle name="Percent 2 3" xfId="107"/>
    <cellStyle name="Percent 2 4" xfId="113"/>
    <cellStyle name="Percent 2 5" xfId="110"/>
    <cellStyle name="Percent 2 6" xfId="100"/>
    <cellStyle name="Percent 3" xfId="101"/>
    <cellStyle name="Title" xfId="2" builtinId="15" customBuiltin="1"/>
    <cellStyle name="Total" xfId="18" builtinId="25" customBuiltin="1"/>
    <cellStyle name="Total 2" xfId="73"/>
    <cellStyle name="Warning Text" xfId="15" builtinId="11" customBuiltin="1"/>
    <cellStyle name="Warning Text 2" xfId="7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k%20Mesaris\_Master%20Data%20Program\SJC%20Service%20Area\Demographics\All%20Students\Unduplicated%20Headcount\edit\sort.gender.headcount.demographi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k%20Mesaris\_Master%20Data%20Program\SJC%20Service%20Area\Demographics\All%20Students\Ethnicity\edit.sjc.ethnic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success.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Sheet3"/>
    </sheetNames>
    <sheetDataSet>
      <sheetData sheetId="0">
        <row r="1">
          <cell r="A1" t="str">
            <v>Gender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Gender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Male</v>
          </cell>
          <cell r="B4">
            <v>553</v>
          </cell>
          <cell r="C4">
            <v>2070</v>
          </cell>
          <cell r="D4">
            <v>2060</v>
          </cell>
          <cell r="E4">
            <v>663</v>
          </cell>
          <cell r="F4">
            <v>2224</v>
          </cell>
          <cell r="G4">
            <v>2533</v>
          </cell>
          <cell r="H4">
            <v>563</v>
          </cell>
          <cell r="I4">
            <v>2764</v>
          </cell>
          <cell r="J4">
            <v>2823</v>
          </cell>
          <cell r="K4">
            <v>393</v>
          </cell>
          <cell r="L4">
            <v>2441</v>
          </cell>
          <cell r="M4">
            <v>2440</v>
          </cell>
          <cell r="N4">
            <v>156</v>
          </cell>
          <cell r="O4">
            <v>2316</v>
          </cell>
          <cell r="P4">
            <v>2424</v>
          </cell>
        </row>
        <row r="5">
          <cell r="A5" t="str">
            <v>Female</v>
          </cell>
          <cell r="B5">
            <v>710</v>
          </cell>
          <cell r="C5">
            <v>3035</v>
          </cell>
          <cell r="D5">
            <v>2855</v>
          </cell>
          <cell r="E5">
            <v>924</v>
          </cell>
          <cell r="F5">
            <v>3248</v>
          </cell>
          <cell r="G5">
            <v>3537</v>
          </cell>
          <cell r="H5">
            <v>638</v>
          </cell>
          <cell r="I5">
            <v>3710</v>
          </cell>
          <cell r="J5">
            <v>3622</v>
          </cell>
          <cell r="K5">
            <v>382</v>
          </cell>
          <cell r="L5">
            <v>3216</v>
          </cell>
          <cell r="M5">
            <v>3066</v>
          </cell>
          <cell r="N5">
            <v>31</v>
          </cell>
          <cell r="O5">
            <v>3028</v>
          </cell>
          <cell r="P5">
            <v>3061</v>
          </cell>
        </row>
        <row r="6">
          <cell r="A6" t="str">
            <v>Undeclared</v>
          </cell>
          <cell r="B6">
            <v>13</v>
          </cell>
          <cell r="C6">
            <v>47</v>
          </cell>
          <cell r="D6">
            <v>67</v>
          </cell>
          <cell r="E6">
            <v>23</v>
          </cell>
          <cell r="F6">
            <v>113</v>
          </cell>
          <cell r="G6">
            <v>101</v>
          </cell>
          <cell r="H6">
            <v>14</v>
          </cell>
          <cell r="I6">
            <v>90</v>
          </cell>
          <cell r="J6">
            <v>81</v>
          </cell>
          <cell r="K6">
            <v>11</v>
          </cell>
          <cell r="L6">
            <v>69</v>
          </cell>
          <cell r="M6">
            <v>76</v>
          </cell>
          <cell r="N6">
            <v>1</v>
          </cell>
          <cell r="O6">
            <v>50</v>
          </cell>
          <cell r="P6">
            <v>59</v>
          </cell>
        </row>
        <row r="7">
          <cell r="A7" t="str">
            <v>Term Total</v>
          </cell>
          <cell r="B7">
            <v>1276</v>
          </cell>
          <cell r="C7">
            <v>5152</v>
          </cell>
          <cell r="D7">
            <v>4982</v>
          </cell>
          <cell r="E7">
            <v>1610</v>
          </cell>
          <cell r="F7">
            <v>5585</v>
          </cell>
          <cell r="G7">
            <v>6171</v>
          </cell>
          <cell r="H7">
            <v>1215</v>
          </cell>
          <cell r="I7">
            <v>6564</v>
          </cell>
          <cell r="J7">
            <v>6526</v>
          </cell>
          <cell r="K7">
            <v>786</v>
          </cell>
          <cell r="L7">
            <v>5726</v>
          </cell>
          <cell r="M7">
            <v>5582</v>
          </cell>
          <cell r="N7">
            <v>188</v>
          </cell>
          <cell r="O7">
            <v>5394</v>
          </cell>
          <cell r="P7">
            <v>5544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"/>
      <sheetName val="edit.sjc.ethnicity"/>
    </sheetNames>
    <sheetDataSet>
      <sheetData sheetId="0">
        <row r="15">
          <cell r="B15">
            <v>7858</v>
          </cell>
          <cell r="E15">
            <v>9192</v>
          </cell>
          <cell r="H15">
            <v>9871</v>
          </cell>
          <cell r="K15">
            <v>8204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ccess rates"/>
      <sheetName val="graded seats"/>
      <sheetName val="success seats"/>
      <sheetName val="success.rate"/>
      <sheetName val="credit ethnic success seats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Ethnic Groups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White</v>
          </cell>
          <cell r="B4">
            <v>0.73534532791642482</v>
          </cell>
          <cell r="C4">
            <v>0.6156888595912986</v>
          </cell>
          <cell r="D4">
            <v>0.65194501316174325</v>
          </cell>
          <cell r="E4">
            <v>0.79763912310286678</v>
          </cell>
          <cell r="F4">
            <v>0.66129504834456487</v>
          </cell>
          <cell r="G4">
            <v>0.67527576002152279</v>
          </cell>
          <cell r="H4">
            <v>0.76276771004942334</v>
          </cell>
          <cell r="I4">
            <v>0.66326797385620917</v>
          </cell>
          <cell r="J4">
            <v>0.64610133893410349</v>
          </cell>
          <cell r="K4">
            <v>0.81052631578947365</v>
          </cell>
          <cell r="L4">
            <v>0.67768115942028984</v>
          </cell>
          <cell r="M4">
            <v>0.67250074161969742</v>
          </cell>
          <cell r="N4" t="str">
            <v/>
          </cell>
          <cell r="O4">
            <v>0.68433333333333335</v>
          </cell>
          <cell r="P4">
            <v>0.64702290076335878</v>
          </cell>
        </row>
        <row r="5">
          <cell r="A5" t="str">
            <v>Hispanic</v>
          </cell>
          <cell r="B5">
            <v>0.67804154302670627</v>
          </cell>
          <cell r="C5">
            <v>0.54315196998123827</v>
          </cell>
          <cell r="D5">
            <v>0.5470543228768171</v>
          </cell>
          <cell r="E5">
            <v>0.68831168831168832</v>
          </cell>
          <cell r="F5">
            <v>0.57066309444072338</v>
          </cell>
          <cell r="G5">
            <v>0.59617918313570484</v>
          </cell>
          <cell r="H5">
            <v>0.67218543046357615</v>
          </cell>
          <cell r="I5">
            <v>0.60237946149029431</v>
          </cell>
          <cell r="J5">
            <v>0.58077360637087605</v>
          </cell>
          <cell r="K5">
            <v>0.78395061728395066</v>
          </cell>
          <cell r="L5">
            <v>0.61428571428571432</v>
          </cell>
          <cell r="M5">
            <v>0.62606232294617559</v>
          </cell>
          <cell r="N5" t="str">
            <v/>
          </cell>
          <cell r="O5">
            <v>0.62647887323943663</v>
          </cell>
          <cell r="P5">
            <v>0.58711566617862376</v>
          </cell>
        </row>
        <row r="6">
          <cell r="A6" t="str">
            <v>African American</v>
          </cell>
          <cell r="B6">
            <v>0.51724137931034486</v>
          </cell>
          <cell r="C6">
            <v>0.42619047619047618</v>
          </cell>
          <cell r="D6">
            <v>0.43468950749464669</v>
          </cell>
          <cell r="E6">
            <v>0.62408759124087587</v>
          </cell>
          <cell r="F6">
            <v>0.44216417910447764</v>
          </cell>
          <cell r="G6">
            <v>0.41612903225806452</v>
          </cell>
          <cell r="H6">
            <v>0.7350427350427351</v>
          </cell>
          <cell r="I6">
            <v>0.51898734177215189</v>
          </cell>
          <cell r="J6">
            <v>0.44935805991440797</v>
          </cell>
          <cell r="K6">
            <v>0.69230769230769229</v>
          </cell>
          <cell r="L6">
            <v>0.50082918739635163</v>
          </cell>
          <cell r="M6">
            <v>0.50269299820466784</v>
          </cell>
          <cell r="N6" t="str">
            <v/>
          </cell>
          <cell r="O6">
            <v>0.47674418604651164</v>
          </cell>
          <cell r="P6">
            <v>0.4336569579288026</v>
          </cell>
        </row>
        <row r="7">
          <cell r="A7" t="str">
            <v>Asian</v>
          </cell>
          <cell r="B7">
            <v>0.8314606741573034</v>
          </cell>
          <cell r="C7">
            <v>0.68965517241379315</v>
          </cell>
          <cell r="D7">
            <v>0.67808219178082196</v>
          </cell>
          <cell r="E7">
            <v>0.80582524271844658</v>
          </cell>
          <cell r="F7">
            <v>0.71724137931034482</v>
          </cell>
          <cell r="G7">
            <v>0.69590643274853803</v>
          </cell>
          <cell r="H7">
            <v>0.82352941176470584</v>
          </cell>
          <cell r="I7">
            <v>0.72499999999999998</v>
          </cell>
          <cell r="J7">
            <v>0.64215686274509809</v>
          </cell>
          <cell r="K7">
            <v>0.90909090909090906</v>
          </cell>
          <cell r="L7">
            <v>0.73770491803278693</v>
          </cell>
          <cell r="M7">
            <v>0.80097087378640774</v>
          </cell>
          <cell r="N7" t="str">
            <v/>
          </cell>
          <cell r="O7">
            <v>0.7142857142857143</v>
          </cell>
          <cell r="P7">
            <v>0.67741935483870963</v>
          </cell>
        </row>
        <row r="8">
          <cell r="A8" t="str">
            <v>Native American</v>
          </cell>
          <cell r="B8">
            <v>0.42307692307692307</v>
          </cell>
          <cell r="C8">
            <v>0.61363636363636365</v>
          </cell>
          <cell r="D8">
            <v>0.60606060606060608</v>
          </cell>
          <cell r="E8">
            <v>0.73684210526315785</v>
          </cell>
          <cell r="F8">
            <v>0.66666666666666663</v>
          </cell>
          <cell r="G8">
            <v>0.63157894736842102</v>
          </cell>
          <cell r="H8">
            <v>0.73913043478260865</v>
          </cell>
          <cell r="I8">
            <v>0.57692307692307687</v>
          </cell>
          <cell r="J8">
            <v>0.65476190476190477</v>
          </cell>
          <cell r="K8">
            <v>0.77777777777777779</v>
          </cell>
          <cell r="L8">
            <v>0.61538461538461542</v>
          </cell>
          <cell r="M8">
            <v>0.59139784946236562</v>
          </cell>
          <cell r="N8" t="str">
            <v/>
          </cell>
          <cell r="O8">
            <v>0.57894736842105265</v>
          </cell>
          <cell r="P8">
            <v>0.42622950819672129</v>
          </cell>
        </row>
        <row r="9">
          <cell r="A9" t="str">
            <v>Filipino</v>
          </cell>
          <cell r="B9">
            <v>0.72972972972972971</v>
          </cell>
          <cell r="C9">
            <v>0.56382978723404253</v>
          </cell>
          <cell r="D9">
            <v>0.65957446808510634</v>
          </cell>
          <cell r="E9">
            <v>0.79136690647482011</v>
          </cell>
          <cell r="F9">
            <v>0.65420560747663548</v>
          </cell>
          <cell r="G9">
            <v>0.70631970260223054</v>
          </cell>
          <cell r="H9">
            <v>0.78048780487804881</v>
          </cell>
          <cell r="I9">
            <v>0.60888888888888892</v>
          </cell>
          <cell r="J9">
            <v>0.63306451612903225</v>
          </cell>
          <cell r="K9">
            <v>0.92307692307692313</v>
          </cell>
          <cell r="L9">
            <v>0.69902912621359226</v>
          </cell>
          <cell r="M9">
            <v>0.60851063829787233</v>
          </cell>
          <cell r="N9" t="str">
            <v/>
          </cell>
          <cell r="O9">
            <v>0.61111111111111116</v>
          </cell>
          <cell r="P9">
            <v>0.58064516129032262</v>
          </cell>
        </row>
        <row r="10">
          <cell r="A10" t="str">
            <v>Pacific Islander</v>
          </cell>
          <cell r="B10">
            <v>0.76190476190476186</v>
          </cell>
          <cell r="C10">
            <v>0.60606060606060608</v>
          </cell>
          <cell r="D10">
            <v>0.7142857142857143</v>
          </cell>
          <cell r="E10">
            <v>0.52173913043478259</v>
          </cell>
          <cell r="F10">
            <v>0.42592592592592593</v>
          </cell>
          <cell r="G10">
            <v>0.46666666666666667</v>
          </cell>
          <cell r="H10">
            <v>1</v>
          </cell>
          <cell r="I10">
            <v>0.61016949152542377</v>
          </cell>
          <cell r="J10">
            <v>0.52777777777777779</v>
          </cell>
          <cell r="K10">
            <v>0.5</v>
          </cell>
          <cell r="L10">
            <v>0.56097560975609762</v>
          </cell>
          <cell r="M10">
            <v>0.55319148936170215</v>
          </cell>
          <cell r="N10" t="str">
            <v/>
          </cell>
          <cell r="O10">
            <v>0.66666666666666663</v>
          </cell>
          <cell r="P10">
            <v>0.59523809523809523</v>
          </cell>
        </row>
        <row r="11">
          <cell r="A11" t="str">
            <v>Multi-Race</v>
          </cell>
          <cell r="B11">
            <v>0.64150943396226412</v>
          </cell>
          <cell r="C11">
            <v>0.63063063063063063</v>
          </cell>
          <cell r="D11">
            <v>0.50909090909090904</v>
          </cell>
          <cell r="E11">
            <v>0.70833333333333337</v>
          </cell>
          <cell r="F11">
            <v>0.45945945945945948</v>
          </cell>
          <cell r="G11">
            <v>0.5393258426966292</v>
          </cell>
          <cell r="H11">
            <v>0.5625</v>
          </cell>
          <cell r="I11">
            <v>0.53237410071942448</v>
          </cell>
          <cell r="J11">
            <v>0.53503184713375795</v>
          </cell>
          <cell r="K11">
            <v>0.61111111111111116</v>
          </cell>
          <cell r="L11">
            <v>0.5267857142857143</v>
          </cell>
          <cell r="M11">
            <v>0.51550387596899228</v>
          </cell>
          <cell r="N11" t="str">
            <v/>
          </cell>
          <cell r="O11">
            <v>0.61010830324909748</v>
          </cell>
          <cell r="P11">
            <v>0.546875</v>
          </cell>
        </row>
        <row r="12">
          <cell r="A12" t="str">
            <v>Unknown</v>
          </cell>
          <cell r="B12">
            <v>0.74248927038626611</v>
          </cell>
          <cell r="C12">
            <v>0.61818181818181817</v>
          </cell>
          <cell r="D12">
            <v>0.66247379454926625</v>
          </cell>
          <cell r="E12">
            <v>0.7436823104693141</v>
          </cell>
          <cell r="F12">
            <v>0.66795366795366795</v>
          </cell>
          <cell r="G12">
            <v>0.67012089810017272</v>
          </cell>
          <cell r="H12">
            <v>0.68518518518518523</v>
          </cell>
          <cell r="I12">
            <v>0.70668953687821612</v>
          </cell>
          <cell r="J12">
            <v>0.62541254125412538</v>
          </cell>
          <cell r="K12">
            <v>0.65909090909090906</v>
          </cell>
          <cell r="L12">
            <v>0.66589861751152069</v>
          </cell>
          <cell r="M12">
            <v>0.65356265356265353</v>
          </cell>
          <cell r="N12" t="str">
            <v/>
          </cell>
          <cell r="O12">
            <v>0.6887417218543046</v>
          </cell>
          <cell r="P12">
            <v>0.69259259259259254</v>
          </cell>
        </row>
        <row r="13">
          <cell r="A13" t="str">
            <v>Term Total</v>
          </cell>
          <cell r="B13">
            <v>0.7061986084756483</v>
          </cell>
          <cell r="C13">
            <v>0.58680748564017049</v>
          </cell>
          <cell r="D13">
            <v>0.61255028157683022</v>
          </cell>
          <cell r="E13">
            <v>0.75145687645687642</v>
          </cell>
          <cell r="F13">
            <v>0.61901859189271569</v>
          </cell>
          <cell r="G13">
            <v>0.63339920948616601</v>
          </cell>
          <cell r="H13">
            <v>0.73141486810551559</v>
          </cell>
          <cell r="I13">
            <v>0.63803850948884888</v>
          </cell>
          <cell r="J13">
            <v>0.60754025395994238</v>
          </cell>
          <cell r="K13">
            <v>0.77724358974358976</v>
          </cell>
          <cell r="L13">
            <v>0.64197709813016379</v>
          </cell>
          <cell r="M13">
            <v>0.63986165153480323</v>
          </cell>
          <cell r="N13" t="str">
            <v/>
          </cell>
          <cell r="O13">
            <v>0.64544875875238705</v>
          </cell>
          <cell r="P13">
            <v>0.60468103325246181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tabSelected="1" workbookViewId="0">
      <selection sqref="A1:A3"/>
    </sheetView>
  </sheetViews>
  <sheetFormatPr defaultRowHeight="15" x14ac:dyDescent="0.25"/>
  <cols>
    <col min="1" max="1" width="14.1406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42578125" bestFit="1" customWidth="1"/>
    <col min="15" max="15" width="7.5703125" bestFit="1" customWidth="1"/>
    <col min="16" max="16" width="8" customWidth="1"/>
  </cols>
  <sheetData>
    <row r="1" spans="1:22" ht="15.75" x14ac:dyDescent="0.25">
      <c r="A1" s="74"/>
      <c r="B1" s="64" t="s">
        <v>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</row>
    <row r="2" spans="1:22" ht="16.5" thickBot="1" x14ac:dyDescent="0.3">
      <c r="A2" s="75"/>
      <c r="B2" s="66" t="s">
        <v>33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</row>
    <row r="3" spans="1:22" ht="15.75" thickBot="1" x14ac:dyDescent="0.3">
      <c r="A3" s="76"/>
      <c r="B3" s="61" t="s">
        <v>1</v>
      </c>
      <c r="C3" s="62"/>
      <c r="D3" s="63"/>
      <c r="E3" s="58" t="s">
        <v>2</v>
      </c>
      <c r="F3" s="59"/>
      <c r="G3" s="60"/>
      <c r="H3" s="61" t="s">
        <v>3</v>
      </c>
      <c r="I3" s="62"/>
      <c r="J3" s="63"/>
      <c r="K3" s="58" t="s">
        <v>4</v>
      </c>
      <c r="L3" s="59"/>
      <c r="M3" s="60"/>
      <c r="N3" s="61" t="s">
        <v>5</v>
      </c>
      <c r="O3" s="62"/>
      <c r="P3" s="63"/>
      <c r="Q3" s="58" t="s">
        <v>34</v>
      </c>
      <c r="R3" s="59"/>
      <c r="S3" s="60"/>
      <c r="T3" s="61" t="s">
        <v>35</v>
      </c>
      <c r="U3" s="62"/>
      <c r="V3" s="63"/>
    </row>
    <row r="4" spans="1:22" ht="15.75" thickBot="1" x14ac:dyDescent="0.3">
      <c r="A4" s="12" t="s">
        <v>7</v>
      </c>
      <c r="B4" s="30" t="s">
        <v>8</v>
      </c>
      <c r="C4" s="31" t="s">
        <v>9</v>
      </c>
      <c r="D4" s="32" t="s">
        <v>10</v>
      </c>
      <c r="E4" s="33" t="s">
        <v>11</v>
      </c>
      <c r="F4" s="34" t="s">
        <v>12</v>
      </c>
      <c r="G4" s="35" t="s">
        <v>13</v>
      </c>
      <c r="H4" s="30" t="s">
        <v>14</v>
      </c>
      <c r="I4" s="31" t="s">
        <v>15</v>
      </c>
      <c r="J4" s="32" t="s">
        <v>16</v>
      </c>
      <c r="K4" s="33" t="s">
        <v>17</v>
      </c>
      <c r="L4" s="34" t="s">
        <v>18</v>
      </c>
      <c r="M4" s="35" t="s">
        <v>19</v>
      </c>
      <c r="N4" s="30" t="s">
        <v>20</v>
      </c>
      <c r="O4" s="31" t="s">
        <v>21</v>
      </c>
      <c r="P4" s="37" t="s">
        <v>22</v>
      </c>
      <c r="Q4" s="33" t="s">
        <v>36</v>
      </c>
      <c r="R4" s="34" t="s">
        <v>37</v>
      </c>
      <c r="S4" s="35" t="s">
        <v>38</v>
      </c>
      <c r="T4" s="30" t="s">
        <v>39</v>
      </c>
      <c r="U4" s="31" t="s">
        <v>40</v>
      </c>
      <c r="V4" s="37" t="s">
        <v>41</v>
      </c>
    </row>
    <row r="5" spans="1:22" x14ac:dyDescent="0.25">
      <c r="A5" s="14" t="s">
        <v>23</v>
      </c>
      <c r="B5" s="10">
        <f>VLOOKUP($A5,'[1]credit ethnic graded seats'!$A:$P,HLOOKUP(B$4,'[1]credit ethnic graded seats'!$1:$2,2,FALSE),FALSE)</f>
        <v>553</v>
      </c>
      <c r="C5" s="18">
        <f>VLOOKUP($A5,'[1]credit ethnic graded seats'!$A:$P,HLOOKUP(C$4,'[1]credit ethnic graded seats'!$1:$2,2,FALSE),FALSE)</f>
        <v>2070</v>
      </c>
      <c r="D5" s="21">
        <f>VLOOKUP($A5,'[1]credit ethnic graded seats'!$A:$P,HLOOKUP(D$4,'[1]credit ethnic graded seats'!$1:$2,2,FALSE),FALSE)</f>
        <v>2060</v>
      </c>
      <c r="E5" s="10">
        <f>VLOOKUP($A5,'[1]credit ethnic graded seats'!$A:$P,HLOOKUP(E$4,'[1]credit ethnic graded seats'!$1:$2,2,FALSE),FALSE)</f>
        <v>663</v>
      </c>
      <c r="F5" s="18">
        <f>VLOOKUP($A5,'[1]credit ethnic graded seats'!$A:$P,HLOOKUP(F$4,'[1]credit ethnic graded seats'!$1:$2,2,FALSE),FALSE)</f>
        <v>2224</v>
      </c>
      <c r="G5" s="18">
        <f>VLOOKUP($A5,'[1]credit ethnic graded seats'!$A:$P,HLOOKUP(G$4,'[1]credit ethnic graded seats'!$1:$2,2,FALSE),FALSE)</f>
        <v>2533</v>
      </c>
      <c r="H5" s="18">
        <f>VLOOKUP($A5,'[1]credit ethnic graded seats'!$A:$P,HLOOKUP(H$4,'[1]credit ethnic graded seats'!$1:$2,2,FALSE),FALSE)</f>
        <v>563</v>
      </c>
      <c r="I5" s="18">
        <f>VLOOKUP($A5,'[1]credit ethnic graded seats'!$A:$P,HLOOKUP(I$4,'[1]credit ethnic graded seats'!$1:$2,2,FALSE),FALSE)</f>
        <v>2764</v>
      </c>
      <c r="J5" s="19">
        <f>VLOOKUP($A5,'[1]credit ethnic graded seats'!$A:$P,HLOOKUP(J$4,'[1]credit ethnic graded seats'!$1:$2,2,FALSE),FALSE)</f>
        <v>2823</v>
      </c>
      <c r="K5" s="10">
        <f>VLOOKUP($A5,'[1]credit ethnic graded seats'!$A:$P,HLOOKUP(K$4,'[1]credit ethnic graded seats'!$1:$2,2,FALSE),FALSE)</f>
        <v>393</v>
      </c>
      <c r="L5" s="18">
        <f>VLOOKUP($A5,'[1]credit ethnic graded seats'!$A:$P,HLOOKUP(L$4,'[1]credit ethnic graded seats'!$1:$2,2,FALSE),FALSE)</f>
        <v>2441</v>
      </c>
      <c r="M5" s="19">
        <f>VLOOKUP($A5,'[1]credit ethnic graded seats'!$A:$P,HLOOKUP(M$4,'[1]credit ethnic graded seats'!$1:$2,2,FALSE),FALSE)</f>
        <v>2440</v>
      </c>
      <c r="N5" s="23">
        <f>VLOOKUP($A5,'[1]credit ethnic graded seats'!$A:$P,HLOOKUP(N$4,'[1]credit ethnic graded seats'!$1:$2,2,FALSE),FALSE)</f>
        <v>156</v>
      </c>
      <c r="O5" s="18">
        <f>VLOOKUP($A5,'[1]credit ethnic graded seats'!$A:$P,HLOOKUP(O$4,'[1]credit ethnic graded seats'!$1:$2,2,FALSE),FALSE)</f>
        <v>2316</v>
      </c>
      <c r="P5" s="36">
        <f>VLOOKUP($A5,'[1]credit ethnic graded seats'!$A:$P,HLOOKUP(P$4,'[1]credit ethnic graded seats'!$1:$2,2,FALSE),FALSE)</f>
        <v>2424</v>
      </c>
      <c r="Q5" s="10">
        <v>332</v>
      </c>
      <c r="R5" s="18">
        <v>2178</v>
      </c>
      <c r="S5" s="19">
        <v>2177</v>
      </c>
      <c r="T5" s="23">
        <v>132</v>
      </c>
      <c r="U5" s="18">
        <v>2286</v>
      </c>
      <c r="V5" s="36">
        <v>2304</v>
      </c>
    </row>
    <row r="6" spans="1:22" x14ac:dyDescent="0.25">
      <c r="A6" s="13" t="s">
        <v>24</v>
      </c>
      <c r="B6" s="20">
        <f>VLOOKUP($A6,'[1]credit ethnic graded seats'!$A:$P,HLOOKUP(B$4,'[1]credit ethnic graded seats'!$1:$2,2,FALSE),FALSE)</f>
        <v>710</v>
      </c>
      <c r="C6" s="17">
        <f>VLOOKUP($A6,'[1]credit ethnic graded seats'!$A:$P,HLOOKUP(C$4,'[1]credit ethnic graded seats'!$1:$2,2,FALSE),FALSE)</f>
        <v>3035</v>
      </c>
      <c r="D6" s="22">
        <f>VLOOKUP($A6,'[1]credit ethnic graded seats'!$A:$P,HLOOKUP(D$4,'[1]credit ethnic graded seats'!$1:$2,2,FALSE),FALSE)</f>
        <v>2855</v>
      </c>
      <c r="E6" s="20">
        <f>VLOOKUP($A6,'[1]credit ethnic graded seats'!$A:$P,HLOOKUP(E$4,'[1]credit ethnic graded seats'!$1:$2,2,FALSE),FALSE)</f>
        <v>924</v>
      </c>
      <c r="F6" s="17">
        <f>VLOOKUP($A6,'[1]credit ethnic graded seats'!$A:$P,HLOOKUP(F$4,'[1]credit ethnic graded seats'!$1:$2,2,FALSE),FALSE)</f>
        <v>3248</v>
      </c>
      <c r="G6" s="17">
        <f>VLOOKUP($A6,'[1]credit ethnic graded seats'!$A:$P,HLOOKUP(G$4,'[1]credit ethnic graded seats'!$1:$2,2,FALSE),FALSE)</f>
        <v>3537</v>
      </c>
      <c r="H6" s="17">
        <f>VLOOKUP($A6,'[1]credit ethnic graded seats'!$A:$P,HLOOKUP(H$4,'[1]credit ethnic graded seats'!$1:$2,2,FALSE),FALSE)</f>
        <v>638</v>
      </c>
      <c r="I6" s="17">
        <f>VLOOKUP($A6,'[1]credit ethnic graded seats'!$A:$P,HLOOKUP(I$4,'[1]credit ethnic graded seats'!$1:$2,2,FALSE),FALSE)</f>
        <v>3710</v>
      </c>
      <c r="J6" s="11">
        <f>VLOOKUP($A6,'[1]credit ethnic graded seats'!$A:$P,HLOOKUP(J$4,'[1]credit ethnic graded seats'!$1:$2,2,FALSE),FALSE)</f>
        <v>3622</v>
      </c>
      <c r="K6" s="20">
        <f>VLOOKUP($A6,'[1]credit ethnic graded seats'!$A:$P,HLOOKUP(K$4,'[1]credit ethnic graded seats'!$1:$2,2,FALSE),FALSE)</f>
        <v>382</v>
      </c>
      <c r="L6" s="17">
        <f>VLOOKUP($A6,'[1]credit ethnic graded seats'!$A:$P,HLOOKUP(L$4,'[1]credit ethnic graded seats'!$1:$2,2,FALSE),FALSE)</f>
        <v>3216</v>
      </c>
      <c r="M6" s="11">
        <f>VLOOKUP($A6,'[1]credit ethnic graded seats'!$A:$P,HLOOKUP(M$4,'[1]credit ethnic graded seats'!$1:$2,2,FALSE),FALSE)</f>
        <v>3066</v>
      </c>
      <c r="N6" s="24">
        <f>VLOOKUP($A6,'[1]credit ethnic graded seats'!$A:$P,HLOOKUP(N$4,'[1]credit ethnic graded seats'!$1:$2,2,FALSE),FALSE)</f>
        <v>31</v>
      </c>
      <c r="O6" s="17">
        <f>VLOOKUP($A6,'[1]credit ethnic graded seats'!$A:$P,HLOOKUP(O$4,'[1]credit ethnic graded seats'!$1:$2,2,FALSE),FALSE)</f>
        <v>3028</v>
      </c>
      <c r="P6" s="22">
        <f>VLOOKUP($A6,'[1]credit ethnic graded seats'!$A:$P,HLOOKUP(P$4,'[1]credit ethnic graded seats'!$1:$2,2,FALSE),FALSE)</f>
        <v>3061</v>
      </c>
      <c r="Q6" s="20">
        <v>307</v>
      </c>
      <c r="R6" s="17">
        <v>2626</v>
      </c>
      <c r="S6" s="11">
        <v>2653</v>
      </c>
      <c r="T6" s="24">
        <v>33</v>
      </c>
      <c r="U6" s="17">
        <v>2744</v>
      </c>
      <c r="V6" s="22">
        <v>2789</v>
      </c>
    </row>
    <row r="7" spans="1:22" ht="15.75" thickBot="1" x14ac:dyDescent="0.3">
      <c r="A7" s="13" t="s">
        <v>25</v>
      </c>
      <c r="B7" s="20">
        <f>VLOOKUP($A7,'[1]credit ethnic graded seats'!$A:$P,HLOOKUP(B$4,'[1]credit ethnic graded seats'!$1:$2,2,FALSE),FALSE)</f>
        <v>13</v>
      </c>
      <c r="C7" s="17">
        <f>VLOOKUP($A7,'[1]credit ethnic graded seats'!$A:$P,HLOOKUP(C$4,'[1]credit ethnic graded seats'!$1:$2,2,FALSE),FALSE)</f>
        <v>47</v>
      </c>
      <c r="D7" s="22">
        <f>VLOOKUP($A7,'[1]credit ethnic graded seats'!$A:$P,HLOOKUP(D$4,'[1]credit ethnic graded seats'!$1:$2,2,FALSE),FALSE)</f>
        <v>67</v>
      </c>
      <c r="E7" s="20">
        <f>VLOOKUP($A7,'[1]credit ethnic graded seats'!$A:$P,HLOOKUP(E$4,'[1]credit ethnic graded seats'!$1:$2,2,FALSE),FALSE)</f>
        <v>23</v>
      </c>
      <c r="F7" s="17">
        <f>VLOOKUP($A7,'[1]credit ethnic graded seats'!$A:$P,HLOOKUP(F$4,'[1]credit ethnic graded seats'!$1:$2,2,FALSE),FALSE)</f>
        <v>113</v>
      </c>
      <c r="G7" s="17">
        <f>VLOOKUP($A7,'[1]credit ethnic graded seats'!$A:$P,HLOOKUP(G$4,'[1]credit ethnic graded seats'!$1:$2,2,FALSE),FALSE)</f>
        <v>101</v>
      </c>
      <c r="H7" s="17">
        <f>VLOOKUP($A7,'[1]credit ethnic graded seats'!$A:$P,HLOOKUP(H$4,'[1]credit ethnic graded seats'!$1:$2,2,FALSE),FALSE)</f>
        <v>14</v>
      </c>
      <c r="I7" s="17">
        <f>VLOOKUP($A7,'[1]credit ethnic graded seats'!$A:$P,HLOOKUP(I$4,'[1]credit ethnic graded seats'!$1:$2,2,FALSE),FALSE)</f>
        <v>90</v>
      </c>
      <c r="J7" s="11">
        <f>VLOOKUP($A7,'[1]credit ethnic graded seats'!$A:$P,HLOOKUP(J$4,'[1]credit ethnic graded seats'!$1:$2,2,FALSE),FALSE)</f>
        <v>81</v>
      </c>
      <c r="K7" s="20">
        <f>VLOOKUP($A7,'[1]credit ethnic graded seats'!$A:$P,HLOOKUP(K$4,'[1]credit ethnic graded seats'!$1:$2,2,FALSE),FALSE)</f>
        <v>11</v>
      </c>
      <c r="L7" s="17">
        <f>VLOOKUP($A7,'[1]credit ethnic graded seats'!$A:$P,HLOOKUP(L$4,'[1]credit ethnic graded seats'!$1:$2,2,FALSE),FALSE)</f>
        <v>69</v>
      </c>
      <c r="M7" s="11">
        <f>VLOOKUP($A7,'[1]credit ethnic graded seats'!$A:$P,HLOOKUP(M$4,'[1]credit ethnic graded seats'!$1:$2,2,FALSE),FALSE)</f>
        <v>76</v>
      </c>
      <c r="N7" s="24">
        <f>VLOOKUP($A7,'[1]credit ethnic graded seats'!$A:$P,HLOOKUP(N$4,'[1]credit ethnic graded seats'!$1:$2,2,FALSE),FALSE)</f>
        <v>1</v>
      </c>
      <c r="O7" s="17">
        <f>VLOOKUP($A7,'[1]credit ethnic graded seats'!$A:$P,HLOOKUP(O$4,'[1]credit ethnic graded seats'!$1:$2,2,FALSE),FALSE)</f>
        <v>50</v>
      </c>
      <c r="P7" s="22">
        <f>VLOOKUP($A7,'[1]credit ethnic graded seats'!$A:$P,HLOOKUP(P$4,'[1]credit ethnic graded seats'!$1:$2,2,FALSE),FALSE)</f>
        <v>59</v>
      </c>
      <c r="Q7" s="20">
        <v>6</v>
      </c>
      <c r="R7" s="17">
        <v>50</v>
      </c>
      <c r="S7" s="11">
        <v>47</v>
      </c>
      <c r="T7" s="24">
        <v>0</v>
      </c>
      <c r="U7" s="17">
        <v>41</v>
      </c>
      <c r="V7" s="22">
        <v>40</v>
      </c>
    </row>
    <row r="8" spans="1:22" ht="15.75" thickBot="1" x14ac:dyDescent="0.3">
      <c r="A8" s="6" t="s">
        <v>26</v>
      </c>
      <c r="B8" s="26">
        <f>VLOOKUP($A8,'[1]credit ethnic graded seats'!$A:$P,HLOOKUP(B$4,'[1]credit ethnic graded seats'!$1:$2,2,FALSE),FALSE)</f>
        <v>1276</v>
      </c>
      <c r="C8" s="27">
        <f>VLOOKUP($A8,'[1]credit ethnic graded seats'!$A:$P,HLOOKUP(C$4,'[1]credit ethnic graded seats'!$1:$2,2,FALSE),FALSE)</f>
        <v>5152</v>
      </c>
      <c r="D8" s="25">
        <f>VLOOKUP($A8,'[1]credit ethnic graded seats'!$A:$P,HLOOKUP(D$4,'[1]credit ethnic graded seats'!$1:$2,2,FALSE),FALSE)</f>
        <v>4982</v>
      </c>
      <c r="E8" s="29">
        <f>VLOOKUP($A8,'[1]credit ethnic graded seats'!$A:$P,HLOOKUP(E$4,'[1]credit ethnic graded seats'!$1:$2,2,FALSE),FALSE)</f>
        <v>1610</v>
      </c>
      <c r="F8" s="27">
        <f>VLOOKUP($A8,'[1]credit ethnic graded seats'!$A:$P,HLOOKUP(F$4,'[1]credit ethnic graded seats'!$1:$2,2,FALSE),FALSE)</f>
        <v>5585</v>
      </c>
      <c r="G8" s="28">
        <f>VLOOKUP($A8,'[1]credit ethnic graded seats'!$A:$P,HLOOKUP(G$4,'[1]credit ethnic graded seats'!$1:$2,2,FALSE),FALSE)</f>
        <v>6171</v>
      </c>
      <c r="H8" s="26">
        <f>VLOOKUP($A8,'[1]credit ethnic graded seats'!$A:$P,HLOOKUP(H$4,'[1]credit ethnic graded seats'!$1:$2,2,FALSE),FALSE)</f>
        <v>1215</v>
      </c>
      <c r="I8" s="27">
        <f>VLOOKUP($A8,'[1]credit ethnic graded seats'!$A:$P,HLOOKUP(I$4,'[1]credit ethnic graded seats'!$1:$2,2,FALSE),FALSE)</f>
        <v>6564</v>
      </c>
      <c r="J8" s="25">
        <f>VLOOKUP($A8,'[1]credit ethnic graded seats'!$A:$P,HLOOKUP(J$4,'[1]credit ethnic graded seats'!$1:$2,2,FALSE),FALSE)</f>
        <v>6526</v>
      </c>
      <c r="K8" s="29">
        <f>VLOOKUP($A8,'[1]credit ethnic graded seats'!$A:$P,HLOOKUP(K$4,'[1]credit ethnic graded seats'!$1:$2,2,FALSE),FALSE)</f>
        <v>786</v>
      </c>
      <c r="L8" s="27">
        <f>VLOOKUP($A8,'[1]credit ethnic graded seats'!$A:$P,HLOOKUP(L$4,'[1]credit ethnic graded seats'!$1:$2,2,FALSE),FALSE)</f>
        <v>5726</v>
      </c>
      <c r="M8" s="28">
        <f>VLOOKUP($A8,'[1]credit ethnic graded seats'!$A:$P,HLOOKUP(M$4,'[1]credit ethnic graded seats'!$1:$2,2,FALSE),FALSE)</f>
        <v>5582</v>
      </c>
      <c r="N8" s="26">
        <f>VLOOKUP($A8,'[1]credit ethnic graded seats'!$A:$P,HLOOKUP(N$4,'[1]credit ethnic graded seats'!$1:$2,2,FALSE),FALSE)</f>
        <v>188</v>
      </c>
      <c r="O8" s="26">
        <f>VLOOKUP($A8,'[1]credit ethnic graded seats'!$A:$P,HLOOKUP(O$4,'[1]credit ethnic graded seats'!$1:$2,2,FALSE),FALSE)</f>
        <v>5394</v>
      </c>
      <c r="P8" s="26">
        <f>VLOOKUP($A8,'[1]credit ethnic graded seats'!$A:$P,HLOOKUP(P$4,'[1]credit ethnic graded seats'!$1:$2,2,FALSE),FALSE)</f>
        <v>5544</v>
      </c>
      <c r="Q8" s="29">
        <f>SUM(Q5:Q7)</f>
        <v>645</v>
      </c>
      <c r="R8" s="29">
        <f t="shared" ref="R8:U8" si="0">SUM(R5:R7)</f>
        <v>4854</v>
      </c>
      <c r="S8" s="29">
        <f t="shared" si="0"/>
        <v>4877</v>
      </c>
      <c r="T8" s="29">
        <f t="shared" si="0"/>
        <v>165</v>
      </c>
      <c r="U8" s="29">
        <f t="shared" si="0"/>
        <v>5071</v>
      </c>
      <c r="V8" s="29">
        <v>5133</v>
      </c>
    </row>
    <row r="9" spans="1:22" s="1" customFormat="1" ht="16.5" thickTop="1" thickBot="1" x14ac:dyDescent="0.3">
      <c r="A9" s="16" t="s">
        <v>6</v>
      </c>
      <c r="B9" s="68">
        <f>[2]Totals!B$15</f>
        <v>7858</v>
      </c>
      <c r="C9" s="69"/>
      <c r="D9" s="70"/>
      <c r="E9" s="68">
        <f>[2]Totals!E$15</f>
        <v>9192</v>
      </c>
      <c r="F9" s="69"/>
      <c r="G9" s="70"/>
      <c r="H9" s="68">
        <f>[2]Totals!H$15</f>
        <v>9871</v>
      </c>
      <c r="I9" s="69"/>
      <c r="J9" s="70"/>
      <c r="K9" s="68">
        <f>[2]Totals!K$15</f>
        <v>8204</v>
      </c>
      <c r="L9" s="69"/>
      <c r="M9" s="70"/>
      <c r="N9" s="68">
        <v>7485</v>
      </c>
      <c r="O9" s="69"/>
      <c r="P9" s="70"/>
      <c r="Q9" s="68">
        <v>7031</v>
      </c>
      <c r="R9" s="69"/>
      <c r="S9" s="70"/>
      <c r="T9" s="68">
        <v>7213</v>
      </c>
      <c r="U9" s="69"/>
      <c r="V9" s="70"/>
    </row>
    <row r="10" spans="1:22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22" ht="15.75" x14ac:dyDescent="0.25">
      <c r="A11" s="71" t="s">
        <v>27</v>
      </c>
      <c r="B11" s="64" t="s">
        <v>28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</row>
    <row r="12" spans="1:22" ht="16.5" thickBot="1" x14ac:dyDescent="0.3">
      <c r="A12" s="72"/>
      <c r="B12" s="66" t="s">
        <v>33</v>
      </c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</row>
    <row r="13" spans="1:22" ht="15.75" thickBot="1" x14ac:dyDescent="0.3">
      <c r="A13" s="73"/>
      <c r="B13" s="61" t="s">
        <v>1</v>
      </c>
      <c r="C13" s="62"/>
      <c r="D13" s="63"/>
      <c r="E13" s="58" t="s">
        <v>2</v>
      </c>
      <c r="F13" s="59"/>
      <c r="G13" s="60"/>
      <c r="H13" s="61" t="s">
        <v>3</v>
      </c>
      <c r="I13" s="62"/>
      <c r="J13" s="63"/>
      <c r="K13" s="58" t="s">
        <v>4</v>
      </c>
      <c r="L13" s="59"/>
      <c r="M13" s="60"/>
      <c r="N13" s="61" t="s">
        <v>5</v>
      </c>
      <c r="O13" s="62"/>
      <c r="P13" s="63"/>
      <c r="Q13" s="58" t="s">
        <v>34</v>
      </c>
      <c r="R13" s="59"/>
      <c r="S13" s="60"/>
      <c r="T13" s="61" t="s">
        <v>35</v>
      </c>
      <c r="U13" s="62"/>
      <c r="V13" s="63"/>
    </row>
    <row r="14" spans="1:22" ht="15.75" thickBot="1" x14ac:dyDescent="0.3">
      <c r="A14" s="12" t="s">
        <v>7</v>
      </c>
      <c r="B14" s="30" t="s">
        <v>8</v>
      </c>
      <c r="C14" s="31" t="s">
        <v>9</v>
      </c>
      <c r="D14" s="32" t="s">
        <v>10</v>
      </c>
      <c r="E14" s="33" t="s">
        <v>11</v>
      </c>
      <c r="F14" s="34" t="s">
        <v>12</v>
      </c>
      <c r="G14" s="35" t="s">
        <v>13</v>
      </c>
      <c r="H14" s="30" t="s">
        <v>14</v>
      </c>
      <c r="I14" s="31" t="s">
        <v>15</v>
      </c>
      <c r="J14" s="32" t="s">
        <v>16</v>
      </c>
      <c r="K14" s="33" t="s">
        <v>17</v>
      </c>
      <c r="L14" s="34" t="s">
        <v>18</v>
      </c>
      <c r="M14" s="35" t="s">
        <v>19</v>
      </c>
      <c r="N14" s="30" t="s">
        <v>20</v>
      </c>
      <c r="O14" s="31" t="s">
        <v>21</v>
      </c>
      <c r="P14" s="32" t="s">
        <v>22</v>
      </c>
      <c r="Q14" s="33" t="s">
        <v>36</v>
      </c>
      <c r="R14" s="34" t="s">
        <v>37</v>
      </c>
      <c r="S14" s="35" t="s">
        <v>38</v>
      </c>
      <c r="T14" s="30" t="s">
        <v>39</v>
      </c>
      <c r="U14" s="31" t="s">
        <v>40</v>
      </c>
      <c r="V14" s="37" t="s">
        <v>41</v>
      </c>
    </row>
    <row r="15" spans="1:22" x14ac:dyDescent="0.25">
      <c r="A15" s="41" t="s">
        <v>23</v>
      </c>
      <c r="B15" s="38">
        <f>B5/B$8</f>
        <v>0.43338557993730409</v>
      </c>
      <c r="C15" s="42">
        <f t="shared" ref="C15:N15" si="1">C5/C$8</f>
        <v>0.4017857142857143</v>
      </c>
      <c r="D15" s="45">
        <f t="shared" si="1"/>
        <v>0.4134885588117222</v>
      </c>
      <c r="E15" s="38">
        <f t="shared" si="1"/>
        <v>0.41180124223602482</v>
      </c>
      <c r="F15" s="42">
        <f t="shared" si="1"/>
        <v>0.39820948970456582</v>
      </c>
      <c r="G15" s="39">
        <f t="shared" si="1"/>
        <v>0.41046831955922863</v>
      </c>
      <c r="H15" s="47">
        <f t="shared" si="1"/>
        <v>0.4633744855967078</v>
      </c>
      <c r="I15" s="42">
        <f t="shared" si="1"/>
        <v>0.42108470444850699</v>
      </c>
      <c r="J15" s="45">
        <f t="shared" si="1"/>
        <v>0.43257738277658597</v>
      </c>
      <c r="K15" s="38">
        <f t="shared" si="1"/>
        <v>0.5</v>
      </c>
      <c r="L15" s="42">
        <f t="shared" si="1"/>
        <v>0.42630108278030038</v>
      </c>
      <c r="M15" s="39">
        <f t="shared" si="1"/>
        <v>0.43711931207452526</v>
      </c>
      <c r="N15" s="47">
        <f t="shared" si="1"/>
        <v>0.82978723404255317</v>
      </c>
      <c r="O15" s="42">
        <f t="shared" ref="O15:P15" si="2">O5/O$8</f>
        <v>0.42936596218020023</v>
      </c>
      <c r="P15" s="49">
        <f t="shared" si="2"/>
        <v>0.43722943722943725</v>
      </c>
      <c r="Q15" s="38">
        <v>0.51400000000000001</v>
      </c>
      <c r="R15" s="42">
        <v>0.44919999999999999</v>
      </c>
      <c r="S15" s="39">
        <v>0.44590000000000002</v>
      </c>
      <c r="T15" s="47">
        <v>0.79290000000000005</v>
      </c>
      <c r="U15" s="42">
        <v>0.44929999999999998</v>
      </c>
      <c r="V15" s="49">
        <v>0.44890000000000002</v>
      </c>
    </row>
    <row r="16" spans="1:22" x14ac:dyDescent="0.25">
      <c r="A16" s="13" t="s">
        <v>24</v>
      </c>
      <c r="B16" s="44">
        <f t="shared" ref="B16:N17" si="3">B6/B$8</f>
        <v>0.55642633228840122</v>
      </c>
      <c r="C16" s="43">
        <f t="shared" si="3"/>
        <v>0.58909161490683226</v>
      </c>
      <c r="D16" s="46">
        <f t="shared" si="3"/>
        <v>0.57306302689682853</v>
      </c>
      <c r="E16" s="44">
        <f t="shared" si="3"/>
        <v>0.57391304347826089</v>
      </c>
      <c r="F16" s="43">
        <f t="shared" si="3"/>
        <v>0.58155774395702775</v>
      </c>
      <c r="G16" s="40">
        <f t="shared" si="3"/>
        <v>0.57316480311132723</v>
      </c>
      <c r="H16" s="48">
        <f t="shared" si="3"/>
        <v>0.52510288065843624</v>
      </c>
      <c r="I16" s="43">
        <f t="shared" si="3"/>
        <v>0.56520414381474715</v>
      </c>
      <c r="J16" s="46">
        <f t="shared" si="3"/>
        <v>0.55501072632546733</v>
      </c>
      <c r="K16" s="44">
        <f t="shared" si="3"/>
        <v>0.48600508905852419</v>
      </c>
      <c r="L16" s="43">
        <f t="shared" si="3"/>
        <v>0.56164862032832696</v>
      </c>
      <c r="M16" s="40">
        <f t="shared" si="3"/>
        <v>0.54926549623790755</v>
      </c>
      <c r="N16" s="48">
        <f t="shared" si="3"/>
        <v>0.16489361702127658</v>
      </c>
      <c r="O16" s="43">
        <f t="shared" ref="O16:P16" si="4">O6/O$8</f>
        <v>0.56136447905079723</v>
      </c>
      <c r="P16" s="46">
        <f t="shared" si="4"/>
        <v>0.55212842712842713</v>
      </c>
      <c r="Q16" s="44">
        <v>0.4768</v>
      </c>
      <c r="R16" s="43">
        <v>0.54059999999999997</v>
      </c>
      <c r="S16" s="40">
        <v>0.54420000000000002</v>
      </c>
      <c r="T16" s="48">
        <v>0.20710000000000001</v>
      </c>
      <c r="U16" s="43">
        <v>0.54259999999999997</v>
      </c>
      <c r="V16" s="46">
        <v>0.54330000000000001</v>
      </c>
    </row>
    <row r="17" spans="1:22" x14ac:dyDescent="0.25">
      <c r="A17" s="13" t="s">
        <v>25</v>
      </c>
      <c r="B17" s="44">
        <f t="shared" si="3"/>
        <v>1.018808777429467E-2</v>
      </c>
      <c r="C17" s="43">
        <f t="shared" si="3"/>
        <v>9.122670807453416E-3</v>
      </c>
      <c r="D17" s="46">
        <f t="shared" si="3"/>
        <v>1.3448414291449218E-2</v>
      </c>
      <c r="E17" s="44">
        <f t="shared" si="3"/>
        <v>1.4285714285714285E-2</v>
      </c>
      <c r="F17" s="43">
        <f t="shared" si="3"/>
        <v>2.0232766338406444E-2</v>
      </c>
      <c r="G17" s="40">
        <f t="shared" si="3"/>
        <v>1.6366877329444175E-2</v>
      </c>
      <c r="H17" s="48">
        <f t="shared" si="3"/>
        <v>1.1522633744855968E-2</v>
      </c>
      <c r="I17" s="43">
        <f t="shared" si="3"/>
        <v>1.3711151736745886E-2</v>
      </c>
      <c r="J17" s="46">
        <f t="shared" si="3"/>
        <v>1.2411890897946675E-2</v>
      </c>
      <c r="K17" s="44">
        <f t="shared" si="3"/>
        <v>1.3994910941475827E-2</v>
      </c>
      <c r="L17" s="43">
        <f t="shared" si="3"/>
        <v>1.2050296891372686E-2</v>
      </c>
      <c r="M17" s="40">
        <f t="shared" si="3"/>
        <v>1.3615191687567181E-2</v>
      </c>
      <c r="N17" s="48">
        <f t="shared" si="3"/>
        <v>5.3191489361702126E-3</v>
      </c>
      <c r="O17" s="43">
        <f t="shared" ref="O17:P17" si="5">O7/O$8</f>
        <v>9.2695587690025949E-3</v>
      </c>
      <c r="P17" s="46">
        <f t="shared" si="5"/>
        <v>1.0642135642135642E-2</v>
      </c>
      <c r="Q17" s="44">
        <v>0.93</v>
      </c>
      <c r="R17" s="43">
        <v>1.0200000000000001E-2</v>
      </c>
      <c r="S17" s="40">
        <v>9.7999999999999997E-3</v>
      </c>
      <c r="T17" s="48">
        <v>0</v>
      </c>
      <c r="U17" s="43">
        <v>8.0999999999999996E-3</v>
      </c>
      <c r="V17" s="46">
        <v>7.7999999999999996E-3</v>
      </c>
    </row>
    <row r="18" spans="1:22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22" ht="15.75" x14ac:dyDescent="0.25">
      <c r="A19" s="71" t="s">
        <v>29</v>
      </c>
      <c r="B19" s="64" t="s">
        <v>29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</row>
    <row r="20" spans="1:22" ht="16.5" thickBot="1" x14ac:dyDescent="0.3">
      <c r="A20" s="72"/>
      <c r="B20" s="66" t="s">
        <v>33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</row>
    <row r="21" spans="1:22" ht="15.75" thickBot="1" x14ac:dyDescent="0.3">
      <c r="A21" s="73"/>
      <c r="B21" s="61" t="s">
        <v>1</v>
      </c>
      <c r="C21" s="62"/>
      <c r="D21" s="63"/>
      <c r="E21" s="58" t="s">
        <v>2</v>
      </c>
      <c r="F21" s="59"/>
      <c r="G21" s="60"/>
      <c r="H21" s="61" t="s">
        <v>3</v>
      </c>
      <c r="I21" s="62"/>
      <c r="J21" s="63"/>
      <c r="K21" s="58" t="s">
        <v>4</v>
      </c>
      <c r="L21" s="59"/>
      <c r="M21" s="60"/>
      <c r="N21" s="61" t="s">
        <v>5</v>
      </c>
      <c r="O21" s="62"/>
      <c r="P21" s="63"/>
      <c r="Q21" s="58" t="s">
        <v>34</v>
      </c>
      <c r="R21" s="59"/>
      <c r="S21" s="60"/>
      <c r="T21" s="61" t="s">
        <v>35</v>
      </c>
      <c r="U21" s="62"/>
      <c r="V21" s="63"/>
    </row>
    <row r="22" spans="1:22" ht="15.75" thickBot="1" x14ac:dyDescent="0.3">
      <c r="A22" s="50" t="s">
        <v>7</v>
      </c>
      <c r="B22" s="30" t="s">
        <v>8</v>
      </c>
      <c r="C22" s="31" t="s">
        <v>9</v>
      </c>
      <c r="D22" s="32" t="s">
        <v>10</v>
      </c>
      <c r="E22" s="33" t="s">
        <v>11</v>
      </c>
      <c r="F22" s="34" t="s">
        <v>12</v>
      </c>
      <c r="G22" s="35" t="s">
        <v>13</v>
      </c>
      <c r="H22" s="30" t="s">
        <v>14</v>
      </c>
      <c r="I22" s="31" t="s">
        <v>15</v>
      </c>
      <c r="J22" s="32" t="s">
        <v>16</v>
      </c>
      <c r="K22" s="33" t="s">
        <v>17</v>
      </c>
      <c r="L22" s="34" t="s">
        <v>18</v>
      </c>
      <c r="M22" s="35" t="s">
        <v>19</v>
      </c>
      <c r="N22" s="30" t="s">
        <v>20</v>
      </c>
      <c r="O22" s="31" t="s">
        <v>21</v>
      </c>
      <c r="P22" s="32" t="s">
        <v>22</v>
      </c>
      <c r="Q22" s="33" t="s">
        <v>36</v>
      </c>
      <c r="R22" s="34" t="s">
        <v>37</v>
      </c>
      <c r="S22" s="35" t="s">
        <v>38</v>
      </c>
      <c r="T22" s="30" t="s">
        <v>39</v>
      </c>
      <c r="U22" s="31" t="s">
        <v>40</v>
      </c>
      <c r="V22" s="37" t="s">
        <v>41</v>
      </c>
    </row>
    <row r="23" spans="1:22" x14ac:dyDescent="0.25">
      <c r="A23" s="41" t="s">
        <v>23</v>
      </c>
      <c r="B23" s="52">
        <v>0.85029239766081877</v>
      </c>
      <c r="C23" s="53">
        <v>0.61632825719120132</v>
      </c>
      <c r="D23" s="54">
        <v>0.61806451612903224</v>
      </c>
      <c r="E23" s="52">
        <v>0.83996212121212122</v>
      </c>
      <c r="F23" s="53">
        <v>0.61401296829971186</v>
      </c>
      <c r="G23" s="54">
        <v>0.6316227924025325</v>
      </c>
      <c r="H23" s="52">
        <v>0.85297549591598598</v>
      </c>
      <c r="I23" s="53">
        <v>0.61283218323300548</v>
      </c>
      <c r="J23" s="54">
        <v>0.62788605697151423</v>
      </c>
      <c r="K23" s="52">
        <v>0.87179487179487181</v>
      </c>
      <c r="L23" s="53">
        <v>0.70160871821484172</v>
      </c>
      <c r="M23" s="54">
        <v>0.6625877271909304</v>
      </c>
      <c r="N23" s="52">
        <v>0.97854077253218885</v>
      </c>
      <c r="O23" s="52">
        <v>0.69817546583850931</v>
      </c>
      <c r="P23" s="52">
        <v>0.66861451460885957</v>
      </c>
      <c r="Q23" s="51">
        <v>0.87</v>
      </c>
      <c r="R23" s="51">
        <v>0.69</v>
      </c>
      <c r="S23" s="51">
        <v>0.65</v>
      </c>
      <c r="T23" s="51">
        <v>0.96</v>
      </c>
      <c r="U23" s="51">
        <v>0.64</v>
      </c>
      <c r="V23" s="51">
        <v>0.63</v>
      </c>
    </row>
    <row r="24" spans="1:22" x14ac:dyDescent="0.25">
      <c r="A24" s="13" t="s">
        <v>24</v>
      </c>
      <c r="B24" s="52">
        <v>0.78329571106094809</v>
      </c>
      <c r="C24" s="53">
        <v>0.64076644538322269</v>
      </c>
      <c r="D24" s="54">
        <v>0.63696851671535215</v>
      </c>
      <c r="E24" s="52">
        <v>0.79884105960264906</v>
      </c>
      <c r="F24" s="53">
        <v>0.64402287627284138</v>
      </c>
      <c r="G24" s="54">
        <v>0.64513193812556868</v>
      </c>
      <c r="H24" s="52">
        <v>0.79396984924623115</v>
      </c>
      <c r="I24" s="53">
        <v>0.66774116523400195</v>
      </c>
      <c r="J24" s="54">
        <v>0.65222681917741543</v>
      </c>
      <c r="K24" s="52">
        <v>0.81704781704781704</v>
      </c>
      <c r="L24" s="53">
        <v>0.7240022484541877</v>
      </c>
      <c r="M24" s="54">
        <v>0.68080625752105894</v>
      </c>
      <c r="N24" s="52">
        <v>1.0344827586206897</v>
      </c>
      <c r="O24" s="52">
        <v>0.71159533073929959</v>
      </c>
      <c r="P24" s="52">
        <v>0.67902717309713256</v>
      </c>
      <c r="Q24" s="51">
        <v>0.83</v>
      </c>
      <c r="R24" s="51">
        <v>0.71</v>
      </c>
      <c r="S24" s="51">
        <v>0.68</v>
      </c>
      <c r="T24" s="51">
        <v>1</v>
      </c>
      <c r="U24" s="51">
        <v>0.67</v>
      </c>
      <c r="V24" s="51">
        <v>0.64</v>
      </c>
    </row>
    <row r="25" spans="1:22" ht="15.75" thickBot="1" x14ac:dyDescent="0.3">
      <c r="A25" s="8" t="s">
        <v>25</v>
      </c>
      <c r="B25" s="55">
        <v>0.94736842105263153</v>
      </c>
      <c r="C25" s="56">
        <v>0.60176991150442483</v>
      </c>
      <c r="D25" s="57">
        <v>0.60273972602739723</v>
      </c>
      <c r="E25" s="55">
        <v>0.8571428571428571</v>
      </c>
      <c r="F25" s="56">
        <v>0.63043478260869568</v>
      </c>
      <c r="G25" s="57">
        <v>0.7</v>
      </c>
      <c r="H25" s="55">
        <v>0.83333333333333337</v>
      </c>
      <c r="I25" s="56">
        <v>0.71782178217821779</v>
      </c>
      <c r="J25" s="57">
        <v>0.67326732673267331</v>
      </c>
      <c r="K25" s="55">
        <v>0.5714285714285714</v>
      </c>
      <c r="L25" s="56">
        <v>0.7975460122699386</v>
      </c>
      <c r="M25" s="57">
        <v>0.66666666666666663</v>
      </c>
      <c r="N25" s="55">
        <v>1</v>
      </c>
      <c r="O25" s="55">
        <v>0.76146788990825687</v>
      </c>
      <c r="P25" s="55">
        <v>0.85</v>
      </c>
      <c r="Q25" s="7">
        <v>0.83</v>
      </c>
      <c r="R25" s="7">
        <v>0.75</v>
      </c>
      <c r="S25" s="7">
        <v>0.68</v>
      </c>
      <c r="T25" s="7"/>
      <c r="U25" s="7">
        <v>0.64</v>
      </c>
      <c r="V25" s="7">
        <v>0.65</v>
      </c>
    </row>
    <row r="26" spans="1:22" s="1" customFormat="1" ht="15.75" thickBot="1" x14ac:dyDescent="0.3">
      <c r="A26" s="15" t="s">
        <v>30</v>
      </c>
      <c r="B26" s="9">
        <f>VLOOKUP('[3]success rates'!$A$7,'[3]success rates'!$A:$P,HLOOKUP(B$22,'[3]success rates'!$1:$2,2,FALSE),FALSE)</f>
        <v>0.8314606741573034</v>
      </c>
      <c r="C26" s="9">
        <f>VLOOKUP('[3]success rates'!$A$7,'[3]success rates'!$A:$P,HLOOKUP(C$22,'[3]success rates'!$1:$2,2,FALSE),FALSE)</f>
        <v>0.68965517241379315</v>
      </c>
      <c r="D26" s="9">
        <f>VLOOKUP('[3]success rates'!$A$7,'[3]success rates'!$A:$P,HLOOKUP(D$22,'[3]success rates'!$1:$2,2,FALSE),FALSE)</f>
        <v>0.67808219178082196</v>
      </c>
      <c r="E26" s="9">
        <f>VLOOKUP('[3]success rates'!$A$7,'[3]success rates'!$A:$P,HLOOKUP(E$22,'[3]success rates'!$1:$2,2,FALSE),FALSE)</f>
        <v>0.80582524271844658</v>
      </c>
      <c r="F26" s="9">
        <f>VLOOKUP('[3]success rates'!$A$7,'[3]success rates'!$A:$P,HLOOKUP(F$22,'[3]success rates'!$1:$2,2,FALSE),FALSE)</f>
        <v>0.71724137931034482</v>
      </c>
      <c r="G26" s="9">
        <f>VLOOKUP('[3]success rates'!$A$7,'[3]success rates'!$A:$P,HLOOKUP(G$22,'[3]success rates'!$1:$2,2,FALSE),FALSE)</f>
        <v>0.69590643274853803</v>
      </c>
      <c r="H26" s="9">
        <f>VLOOKUP('[3]success rates'!$A$7,'[3]success rates'!$A:$P,HLOOKUP(H$22,'[3]success rates'!$1:$2,2,FALSE),FALSE)</f>
        <v>0.82352941176470584</v>
      </c>
      <c r="I26" s="9">
        <f>VLOOKUP('[3]success rates'!$A$7,'[3]success rates'!$A:$P,HLOOKUP(I$22,'[3]success rates'!$1:$2,2,FALSE),FALSE)</f>
        <v>0.72499999999999998</v>
      </c>
      <c r="J26" s="9">
        <f>VLOOKUP('[3]success rates'!$A$7,'[3]success rates'!$A:$P,HLOOKUP(J$22,'[3]success rates'!$1:$2,2,FALSE),FALSE)</f>
        <v>0.64215686274509809</v>
      </c>
      <c r="K26" s="9">
        <f>VLOOKUP('[3]success rates'!$A$7,'[3]success rates'!$A:$P,HLOOKUP(K$22,'[3]success rates'!$1:$2,2,FALSE),FALSE)</f>
        <v>0.90909090909090906</v>
      </c>
      <c r="L26" s="9">
        <f>VLOOKUP('[3]success rates'!$A$7,'[3]success rates'!$A:$P,HLOOKUP(L$22,'[3]success rates'!$1:$2,2,FALSE),FALSE)</f>
        <v>0.73770491803278693</v>
      </c>
      <c r="M26" s="9">
        <f>VLOOKUP('[3]success rates'!$A$7,'[3]success rates'!$A:$P,HLOOKUP(M$22,'[3]success rates'!$1:$2,2,FALSE),FALSE)</f>
        <v>0.80097087378640774</v>
      </c>
      <c r="N26" s="9" t="str">
        <f>VLOOKUP('[3]success rates'!$A$7,'[3]success rates'!$A:$P,HLOOKUP(N$22,'[3]success rates'!$1:$2,2,FALSE),FALSE)</f>
        <v/>
      </c>
      <c r="O26" s="9">
        <f>VLOOKUP('[3]success rates'!$A$7,'[3]success rates'!$A:$P,HLOOKUP(O$22,'[3]success rates'!$1:$2,2,FALSE),FALSE)</f>
        <v>0.7142857142857143</v>
      </c>
      <c r="P26" s="9">
        <f>VLOOKUP('[3]success rates'!$A$7,'[3]success rates'!$A:$P,HLOOKUP(P$22,'[3]success rates'!$1:$2,2,FALSE),FALSE)</f>
        <v>0.67741935483870963</v>
      </c>
      <c r="Q26" s="9">
        <v>0.85</v>
      </c>
      <c r="R26" s="9">
        <v>0.7</v>
      </c>
      <c r="S26" s="9">
        <f t="shared" ref="S26" si="6">AVERAGE(S23:S25)</f>
        <v>0.67</v>
      </c>
      <c r="T26" s="9">
        <v>0.97</v>
      </c>
      <c r="U26" s="9">
        <v>0.66</v>
      </c>
      <c r="V26" s="9">
        <v>0.64</v>
      </c>
    </row>
    <row r="27" spans="1:22" x14ac:dyDescent="0.25">
      <c r="A27" s="4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22" x14ac:dyDescent="0.25">
      <c r="A28" s="5" t="s">
        <v>32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1"/>
    </row>
    <row r="29" spans="1:22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1"/>
    </row>
  </sheetData>
  <mergeCells count="37">
    <mergeCell ref="N21:P21"/>
    <mergeCell ref="B9:D9"/>
    <mergeCell ref="E9:G9"/>
    <mergeCell ref="H9:J9"/>
    <mergeCell ref="K9:M9"/>
    <mergeCell ref="N9:P9"/>
    <mergeCell ref="A19:A21"/>
    <mergeCell ref="B21:D21"/>
    <mergeCell ref="E21:G21"/>
    <mergeCell ref="H21:J21"/>
    <mergeCell ref="K21:M21"/>
    <mergeCell ref="A1:A3"/>
    <mergeCell ref="B3:D3"/>
    <mergeCell ref="E3:G3"/>
    <mergeCell ref="H3:J3"/>
    <mergeCell ref="K3:M3"/>
    <mergeCell ref="A11:A13"/>
    <mergeCell ref="B13:D13"/>
    <mergeCell ref="E13:G13"/>
    <mergeCell ref="H13:J13"/>
    <mergeCell ref="K13:M13"/>
    <mergeCell ref="Q21:S21"/>
    <mergeCell ref="T21:V21"/>
    <mergeCell ref="B1:V1"/>
    <mergeCell ref="B2:V2"/>
    <mergeCell ref="B11:V11"/>
    <mergeCell ref="B12:V12"/>
    <mergeCell ref="B19:V19"/>
    <mergeCell ref="B20:V20"/>
    <mergeCell ref="Q3:S3"/>
    <mergeCell ref="T3:V3"/>
    <mergeCell ref="Q9:S9"/>
    <mergeCell ref="T9:V9"/>
    <mergeCell ref="Q13:S13"/>
    <mergeCell ref="T13:V13"/>
    <mergeCell ref="N13:P13"/>
    <mergeCell ref="N3:P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DBF6AE9-9D98-44B1-8516-62E22755EA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FD9396-20BC-4858-A0B2-863A1A8242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06EF75-25D0-436F-8E17-959DBF83286A}">
  <ds:schemaRefs>
    <ds:schemaRef ds:uri="http://schemas.microsoft.com/sharepoint/v3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LIVE.sjc.gender</dc:title>
  <dc:creator>nmesaris</dc:creator>
  <cp:lastModifiedBy>Wesley Klein</cp:lastModifiedBy>
  <dcterms:created xsi:type="dcterms:W3CDTF">2012-03-22T21:49:41Z</dcterms:created>
  <dcterms:modified xsi:type="dcterms:W3CDTF">2014-07-22T16:56:39Z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