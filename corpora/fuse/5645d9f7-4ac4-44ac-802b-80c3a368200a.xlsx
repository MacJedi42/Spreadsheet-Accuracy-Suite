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50" yWindow="-190" windowWidth="13190" windowHeight="5350" tabRatio="617" firstSheet="1" activeTab="6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AP547" i="8"/>
  <c r="AM547" i="8" s="1"/>
  <c r="AO547" i="8"/>
  <c r="AF547" i="8"/>
  <c r="AC547" i="8" s="1"/>
  <c r="AA547" i="8"/>
  <c r="Z547" i="8"/>
  <c r="Y547" i="8"/>
  <c r="X547" i="8"/>
  <c r="W547" i="8"/>
  <c r="V547" i="8"/>
  <c r="U547" i="8"/>
  <c r="T547" i="8"/>
  <c r="P547" i="8"/>
  <c r="L547" i="8"/>
  <c r="I547" i="8"/>
  <c r="AU547" i="8" s="1"/>
  <c r="H547" i="8"/>
  <c r="Q547" i="8" s="1"/>
  <c r="G547" i="8"/>
  <c r="AI547" i="8" s="1"/>
  <c r="F547" i="8"/>
  <c r="AR547" i="8" s="1"/>
  <c r="E547" i="8"/>
  <c r="AQ547" i="8" s="1"/>
  <c r="D547" i="8"/>
  <c r="M547" i="8" s="1"/>
  <c r="C547" i="8"/>
  <c r="AE547" i="8" s="1"/>
  <c r="B547" i="8"/>
  <c r="AN547" i="8" s="1"/>
  <c r="A547" i="8"/>
  <c r="I759" i="6"/>
  <c r="E759" i="6"/>
  <c r="D759" i="6"/>
  <c r="F759" i="6" s="1"/>
  <c r="B759" i="6"/>
  <c r="H759" i="6" s="1"/>
  <c r="A759" i="6"/>
  <c r="A492" i="3"/>
  <c r="A492" i="2"/>
  <c r="A492" i="1"/>
  <c r="O547" i="8" l="1"/>
  <c r="AG547" i="8"/>
  <c r="AH547" i="8"/>
  <c r="AJ547" i="8"/>
  <c r="AS547" i="8"/>
  <c r="K547" i="8"/>
  <c r="AK547" i="8"/>
  <c r="AT547" i="8"/>
  <c r="AD547" i="8"/>
  <c r="N547" i="8"/>
  <c r="R547" i="8"/>
  <c r="C759" i="6"/>
  <c r="G759" i="6"/>
  <c r="D10" i="5"/>
  <c r="C10" i="5"/>
  <c r="E9" i="5"/>
  <c r="AQ546" i="8"/>
  <c r="AP546" i="8"/>
  <c r="AM546" i="8" s="1"/>
  <c r="AG546" i="8"/>
  <c r="AA546" i="8"/>
  <c r="Z546" i="8"/>
  <c r="Y546" i="8"/>
  <c r="X546" i="8"/>
  <c r="W546" i="8"/>
  <c r="V546" i="8"/>
  <c r="U546" i="8"/>
  <c r="T546" i="8"/>
  <c r="Q546" i="8"/>
  <c r="P546" i="8"/>
  <c r="I546" i="8"/>
  <c r="AU546" i="8" s="1"/>
  <c r="H546" i="8"/>
  <c r="AT546" i="8" s="1"/>
  <c r="G546" i="8"/>
  <c r="AS546" i="8" s="1"/>
  <c r="F546" i="8"/>
  <c r="AH546" i="8" s="1"/>
  <c r="E546" i="8"/>
  <c r="N546" i="8" s="1"/>
  <c r="D546" i="8"/>
  <c r="AF546" i="8" s="1"/>
  <c r="AC546" i="8" s="1"/>
  <c r="C546" i="8"/>
  <c r="AO546" i="8" s="1"/>
  <c r="B546" i="8"/>
  <c r="AN546" i="8" s="1"/>
  <c r="A546" i="8"/>
  <c r="E758" i="6"/>
  <c r="D758" i="6"/>
  <c r="F758" i="6" s="1"/>
  <c r="B758" i="6"/>
  <c r="I758" i="6" s="1"/>
  <c r="A758" i="6"/>
  <c r="A491" i="3"/>
  <c r="A491" i="2"/>
  <c r="A491" i="1"/>
  <c r="O546" i="8" l="1"/>
  <c r="AI546" i="8"/>
  <c r="AR546" i="8"/>
  <c r="R546" i="8"/>
  <c r="AJ546" i="8"/>
  <c r="K546" i="8"/>
  <c r="AK546" i="8"/>
  <c r="L546" i="8"/>
  <c r="AD546" i="8"/>
  <c r="M546" i="8"/>
  <c r="AE546" i="8"/>
  <c r="C758" i="6"/>
  <c r="G758" i="6"/>
  <c r="H758" i="6"/>
  <c r="AS545" i="8"/>
  <c r="AR545" i="8"/>
  <c r="AI545" i="8"/>
  <c r="AA545" i="8"/>
  <c r="Z545" i="8"/>
  <c r="Y545" i="8"/>
  <c r="X545" i="8"/>
  <c r="W545" i="8"/>
  <c r="V545" i="8"/>
  <c r="U545" i="8"/>
  <c r="T545" i="8"/>
  <c r="K545" i="8"/>
  <c r="I545" i="8"/>
  <c r="AK545" i="8" s="1"/>
  <c r="H545" i="8"/>
  <c r="AT545" i="8" s="1"/>
  <c r="G545" i="8"/>
  <c r="P545" i="8" s="1"/>
  <c r="F545" i="8"/>
  <c r="AH545" i="8" s="1"/>
  <c r="E545" i="8"/>
  <c r="AQ545" i="8" s="1"/>
  <c r="D545" i="8"/>
  <c r="AP545" i="8" s="1"/>
  <c r="AM545" i="8" s="1"/>
  <c r="C545" i="8"/>
  <c r="AO545" i="8" s="1"/>
  <c r="B545" i="8"/>
  <c r="AN545" i="8" s="1"/>
  <c r="A545" i="8"/>
  <c r="E757" i="6"/>
  <c r="D757" i="6"/>
  <c r="F757" i="6" s="1"/>
  <c r="B757" i="6"/>
  <c r="I757" i="6" s="1"/>
  <c r="A757" i="6"/>
  <c r="A490" i="3"/>
  <c r="A490" i="2"/>
  <c r="A490" i="1"/>
  <c r="L545" i="8" l="1"/>
  <c r="AD545" i="8"/>
  <c r="AU545" i="8"/>
  <c r="M545" i="8"/>
  <c r="AE545" i="8"/>
  <c r="N545" i="8"/>
  <c r="AF545" i="8"/>
  <c r="AC545" i="8" s="1"/>
  <c r="O545" i="8"/>
  <c r="AG545" i="8"/>
  <c r="Q545" i="8"/>
  <c r="R545" i="8"/>
  <c r="AJ545" i="8"/>
  <c r="C757" i="6"/>
  <c r="G757" i="6"/>
  <c r="H757" i="6"/>
  <c r="B7" i="5" l="1"/>
  <c r="B10" i="5" s="1"/>
  <c r="B9" i="5"/>
  <c r="C9" i="5"/>
  <c r="D9" i="5"/>
  <c r="F9" i="5"/>
  <c r="G9" i="5"/>
  <c r="H9" i="5"/>
  <c r="I9" i="5"/>
  <c r="F10" i="5"/>
  <c r="G10" i="5"/>
  <c r="H10" i="5"/>
  <c r="I10" i="5"/>
  <c r="F16" i="5"/>
  <c r="G16" i="5"/>
  <c r="H16" i="5"/>
  <c r="AU544" i="8"/>
  <c r="AT544" i="8"/>
  <c r="AQ544" i="8"/>
  <c r="AP544" i="8"/>
  <c r="AM544" i="8" s="1"/>
  <c r="AK544" i="8"/>
  <c r="AG544" i="8"/>
  <c r="AA544" i="8"/>
  <c r="Z544" i="8"/>
  <c r="Y544" i="8"/>
  <c r="X544" i="8"/>
  <c r="W544" i="8"/>
  <c r="V544" i="8"/>
  <c r="U544" i="8"/>
  <c r="T544" i="8"/>
  <c r="I544" i="8"/>
  <c r="R544" i="8" s="1"/>
  <c r="H544" i="8"/>
  <c r="AJ544" i="8" s="1"/>
  <c r="G544" i="8"/>
  <c r="AS544" i="8" s="1"/>
  <c r="F544" i="8"/>
  <c r="AR544" i="8" s="1"/>
  <c r="E544" i="8"/>
  <c r="N544" i="8" s="1"/>
  <c r="D544" i="8"/>
  <c r="AF544" i="8" s="1"/>
  <c r="AC544" i="8" s="1"/>
  <c r="C544" i="8"/>
  <c r="AO544" i="8" s="1"/>
  <c r="B544" i="8"/>
  <c r="K544" i="8" s="1"/>
  <c r="A544" i="8"/>
  <c r="E756" i="6"/>
  <c r="D756" i="6"/>
  <c r="F756" i="6" s="1"/>
  <c r="B756" i="6"/>
  <c r="I756" i="6" s="1"/>
  <c r="A756" i="6"/>
  <c r="A489" i="2"/>
  <c r="A489" i="3"/>
  <c r="A489" i="1"/>
  <c r="L544" i="8" l="1"/>
  <c r="AD544" i="8"/>
  <c r="AN544" i="8"/>
  <c r="M544" i="8"/>
  <c r="AE544" i="8"/>
  <c r="O544" i="8"/>
  <c r="P544" i="8"/>
  <c r="AH544" i="8"/>
  <c r="Q544" i="8"/>
  <c r="AI544" i="8"/>
  <c r="C756" i="6"/>
  <c r="G756" i="6"/>
  <c r="H756" i="6"/>
  <c r="AS543" i="8"/>
  <c r="AR543" i="8"/>
  <c r="AI543" i="8"/>
  <c r="AA543" i="8"/>
  <c r="Z543" i="8"/>
  <c r="Y543" i="8"/>
  <c r="X543" i="8"/>
  <c r="W543" i="8"/>
  <c r="V543" i="8"/>
  <c r="U543" i="8"/>
  <c r="T543" i="8"/>
  <c r="Q543" i="8"/>
  <c r="M543" i="8"/>
  <c r="I543" i="8"/>
  <c r="AU543" i="8" s="1"/>
  <c r="H543" i="8"/>
  <c r="AJ543" i="8" s="1"/>
  <c r="G543" i="8"/>
  <c r="P543" i="8" s="1"/>
  <c r="F543" i="8"/>
  <c r="AH543" i="8" s="1"/>
  <c r="E543" i="8"/>
  <c r="AQ543" i="8" s="1"/>
  <c r="D543" i="8"/>
  <c r="AF543" i="8" s="1"/>
  <c r="AC543" i="8" s="1"/>
  <c r="C543" i="8"/>
  <c r="L543" i="8" s="1"/>
  <c r="B543" i="8"/>
  <c r="AD543" i="8" s="1"/>
  <c r="A543" i="8"/>
  <c r="E755" i="6"/>
  <c r="D755" i="6"/>
  <c r="F755" i="6" s="1"/>
  <c r="B755" i="6"/>
  <c r="I755" i="6" s="1"/>
  <c r="A755" i="6"/>
  <c r="A488" i="3"/>
  <c r="A488" i="2"/>
  <c r="A488" i="1"/>
  <c r="AT543" i="8" l="1"/>
  <c r="AE543" i="8"/>
  <c r="AN543" i="8"/>
  <c r="AO543" i="8"/>
  <c r="AP543" i="8"/>
  <c r="AM543" i="8" s="1"/>
  <c r="R543" i="8"/>
  <c r="K543" i="8"/>
  <c r="AK543" i="8"/>
  <c r="N543" i="8"/>
  <c r="O543" i="8"/>
  <c r="AG543" i="8"/>
  <c r="C755" i="6"/>
  <c r="G755" i="6"/>
  <c r="H755" i="6"/>
  <c r="AD542" i="8"/>
  <c r="AQ542" i="8"/>
  <c r="AP542" i="8"/>
  <c r="AM542" i="8" s="1"/>
  <c r="AG542" i="8"/>
  <c r="AA542" i="8"/>
  <c r="Z542" i="8"/>
  <c r="Y542" i="8"/>
  <c r="X542" i="8"/>
  <c r="W542" i="8"/>
  <c r="V542" i="8"/>
  <c r="U542" i="8"/>
  <c r="T542" i="8"/>
  <c r="Q542" i="8"/>
  <c r="O542" i="8"/>
  <c r="I542" i="8"/>
  <c r="AK542" i="8" s="1"/>
  <c r="H542" i="8"/>
  <c r="AT542" i="8" s="1"/>
  <c r="G542" i="8"/>
  <c r="AS542" i="8" s="1"/>
  <c r="F542" i="8"/>
  <c r="AH542" i="8" s="1"/>
  <c r="E542" i="8"/>
  <c r="N542" i="8" s="1"/>
  <c r="D542" i="8"/>
  <c r="AF542" i="8" s="1"/>
  <c r="AC542" i="8" s="1"/>
  <c r="C542" i="8"/>
  <c r="AO542" i="8" s="1"/>
  <c r="B542" i="8"/>
  <c r="K542" i="8" s="1"/>
  <c r="A542" i="8"/>
  <c r="H754" i="6"/>
  <c r="G754" i="6"/>
  <c r="E754" i="6"/>
  <c r="D754" i="6"/>
  <c r="I754" i="6" s="1"/>
  <c r="B754" i="6"/>
  <c r="C754" i="6" s="1"/>
  <c r="A754" i="6"/>
  <c r="A487" i="3"/>
  <c r="A487" i="2"/>
  <c r="A487" i="1"/>
  <c r="AI542" i="8" l="1"/>
  <c r="AR542" i="8"/>
  <c r="R542" i="8"/>
  <c r="AJ542" i="8"/>
  <c r="L542" i="8"/>
  <c r="AU542" i="8"/>
  <c r="M542" i="8"/>
  <c r="AE542" i="8"/>
  <c r="AN542" i="8"/>
  <c r="P542" i="8"/>
  <c r="F754" i="6"/>
  <c r="AR541" i="8"/>
  <c r="AQ541" i="8"/>
  <c r="AH541" i="8"/>
  <c r="AA541" i="8"/>
  <c r="Z541" i="8"/>
  <c r="Y541" i="8"/>
  <c r="X541" i="8"/>
  <c r="W541" i="8"/>
  <c r="V541" i="8"/>
  <c r="U541" i="8"/>
  <c r="T541" i="8"/>
  <c r="M541" i="8"/>
  <c r="I541" i="8"/>
  <c r="AU541" i="8" s="1"/>
  <c r="H541" i="8"/>
  <c r="AT541" i="8" s="1"/>
  <c r="G541" i="8"/>
  <c r="AI541" i="8" s="1"/>
  <c r="F541" i="8"/>
  <c r="O541" i="8" s="1"/>
  <c r="E541" i="8"/>
  <c r="AG541" i="8" s="1"/>
  <c r="D541" i="8"/>
  <c r="AP541" i="8" s="1"/>
  <c r="AM541" i="8" s="1"/>
  <c r="C541" i="8"/>
  <c r="L541" i="8" s="1"/>
  <c r="B541" i="8"/>
  <c r="AD541" i="8" s="1"/>
  <c r="A541" i="8"/>
  <c r="I753" i="6"/>
  <c r="H753" i="6"/>
  <c r="E753" i="6"/>
  <c r="D753" i="6"/>
  <c r="F753" i="6" s="1"/>
  <c r="B753" i="6"/>
  <c r="G753" i="6" s="1"/>
  <c r="A753" i="6"/>
  <c r="A486" i="3"/>
  <c r="A486" i="2"/>
  <c r="A486" i="1"/>
  <c r="Q541" i="8" l="1"/>
  <c r="AE541" i="8"/>
  <c r="AN541" i="8"/>
  <c r="AS541" i="8"/>
  <c r="AF541" i="8"/>
  <c r="AC541" i="8" s="1"/>
  <c r="AO541" i="8"/>
  <c r="P541" i="8"/>
  <c r="R541" i="8"/>
  <c r="AJ541" i="8"/>
  <c r="K541" i="8"/>
  <c r="N541" i="8"/>
  <c r="AK541" i="8"/>
  <c r="C753" i="6"/>
  <c r="I540" i="8" l="1"/>
  <c r="H540" i="8"/>
  <c r="G540" i="8"/>
  <c r="F540" i="8"/>
  <c r="E540" i="8"/>
  <c r="D540" i="8"/>
  <c r="C540" i="8"/>
  <c r="B540" i="8"/>
  <c r="A540" i="8"/>
  <c r="E752" i="6"/>
  <c r="B752" i="6"/>
  <c r="A752" i="6"/>
  <c r="A485" i="3"/>
  <c r="A485" i="2"/>
  <c r="I539" i="8" l="1"/>
  <c r="H539" i="8"/>
  <c r="G539" i="8"/>
  <c r="F539" i="8"/>
  <c r="E539" i="8"/>
  <c r="D539" i="8"/>
  <c r="C539" i="8"/>
  <c r="B539" i="8"/>
  <c r="A539" i="8"/>
  <c r="E751" i="6"/>
  <c r="B751" i="6"/>
  <c r="A751" i="6"/>
  <c r="A484" i="3"/>
  <c r="A484" i="2"/>
  <c r="G752" i="6" l="1"/>
  <c r="T538" i="8"/>
  <c r="I538" i="8"/>
  <c r="H538" i="8"/>
  <c r="G538" i="8"/>
  <c r="F538" i="8"/>
  <c r="E538" i="8"/>
  <c r="D538" i="8"/>
  <c r="C538" i="8"/>
  <c r="B538" i="8"/>
  <c r="AN538" i="8" s="1"/>
  <c r="A538" i="8"/>
  <c r="E750" i="6"/>
  <c r="B750" i="6"/>
  <c r="A750" i="6"/>
  <c r="A483" i="3"/>
  <c r="A483" i="2"/>
  <c r="G751" i="6" l="1"/>
  <c r="AD538" i="8"/>
  <c r="U537" i="8" l="1"/>
  <c r="T537" i="8"/>
  <c r="I537" i="8"/>
  <c r="H537" i="8"/>
  <c r="Q540" i="8" s="1"/>
  <c r="G537" i="8"/>
  <c r="F537" i="8"/>
  <c r="E537" i="8"/>
  <c r="D537" i="8"/>
  <c r="C537" i="8"/>
  <c r="B537" i="8"/>
  <c r="A537" i="8"/>
  <c r="A536" i="8"/>
  <c r="B536" i="8"/>
  <c r="K539" i="8" s="1"/>
  <c r="C536" i="8"/>
  <c r="L539" i="8" s="1"/>
  <c r="D536" i="8"/>
  <c r="M539" i="8" s="1"/>
  <c r="E536" i="8"/>
  <c r="F536" i="8"/>
  <c r="G536" i="8"/>
  <c r="H536" i="8"/>
  <c r="I536" i="8"/>
  <c r="R539" i="8" s="1"/>
  <c r="E749" i="6"/>
  <c r="B749" i="6"/>
  <c r="A749" i="6"/>
  <c r="A482" i="3"/>
  <c r="A481" i="2"/>
  <c r="A482" i="2" s="1"/>
  <c r="P540" i="8" l="1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E748" i="6"/>
  <c r="B748" i="6"/>
  <c r="A748" i="6"/>
  <c r="A481" i="3"/>
  <c r="C751" i="6" l="1"/>
  <c r="G749" i="6"/>
  <c r="AD536" i="8"/>
  <c r="AE536" i="8"/>
  <c r="E747" i="6"/>
  <c r="B747" i="6"/>
  <c r="A747" i="6"/>
  <c r="U535" i="8"/>
  <c r="T535" i="8"/>
  <c r="I535" i="8"/>
  <c r="H535" i="8"/>
  <c r="G535" i="8"/>
  <c r="F535" i="8"/>
  <c r="E535" i="8"/>
  <c r="D535" i="8"/>
  <c r="C535" i="8"/>
  <c r="B535" i="8"/>
  <c r="A535" i="8"/>
  <c r="A480" i="3"/>
  <c r="A480" i="2"/>
  <c r="G748" i="6" l="1"/>
  <c r="C750" i="6"/>
  <c r="R538" i="8"/>
  <c r="AD535" i="8"/>
  <c r="K538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H534" i="8"/>
  <c r="G534" i="8"/>
  <c r="F534" i="8"/>
  <c r="E534" i="8"/>
  <c r="D534" i="8"/>
  <c r="C534" i="8"/>
  <c r="B534" i="8"/>
  <c r="A534" i="8"/>
  <c r="E746" i="6"/>
  <c r="B746" i="6"/>
  <c r="G747" i="6" s="1"/>
  <c r="A746" i="6"/>
  <c r="A479" i="3"/>
  <c r="A479" i="2"/>
  <c r="R537" i="8" l="1"/>
  <c r="AN534" i="8"/>
  <c r="K537" i="8"/>
  <c r="M537" i="8"/>
  <c r="N537" i="8"/>
  <c r="O537" i="8"/>
  <c r="AO534" i="8"/>
  <c r="L537" i="8"/>
  <c r="P537" i="8"/>
  <c r="C749" i="6"/>
  <c r="Q537" i="8"/>
  <c r="AD534" i="8"/>
  <c r="AE534" i="8"/>
  <c r="U533" i="8"/>
  <c r="T533" i="8"/>
  <c r="I533" i="8"/>
  <c r="H533" i="8"/>
  <c r="G533" i="8"/>
  <c r="F533" i="8"/>
  <c r="E533" i="8"/>
  <c r="D533" i="8"/>
  <c r="C533" i="8"/>
  <c r="B533" i="8"/>
  <c r="A533" i="8"/>
  <c r="E745" i="6"/>
  <c r="B745" i="6"/>
  <c r="A745" i="6"/>
  <c r="A478" i="3"/>
  <c r="A478" i="2"/>
  <c r="R536" i="8" l="1"/>
  <c r="P536" i="8"/>
  <c r="Q536" i="8"/>
  <c r="C748" i="6"/>
  <c r="AE533" i="8"/>
  <c r="L536" i="8"/>
  <c r="M536" i="8"/>
  <c r="AO533" i="8"/>
  <c r="N536" i="8"/>
  <c r="AN533" i="8"/>
  <c r="K536" i="8"/>
  <c r="O536" i="8"/>
  <c r="G746" i="6"/>
  <c r="AD533" i="8"/>
  <c r="U532" i="8"/>
  <c r="T532" i="8"/>
  <c r="I532" i="8"/>
  <c r="H532" i="8"/>
  <c r="G532" i="8"/>
  <c r="F532" i="8"/>
  <c r="E532" i="8"/>
  <c r="D532" i="8"/>
  <c r="C532" i="8"/>
  <c r="AO532" i="8" s="1"/>
  <c r="B532" i="8"/>
  <c r="A532" i="8"/>
  <c r="E744" i="6"/>
  <c r="B744" i="6"/>
  <c r="C747" i="6" s="1"/>
  <c r="A744" i="6"/>
  <c r="A477" i="3"/>
  <c r="A477" i="2"/>
  <c r="Q535" i="8" l="1"/>
  <c r="R535" i="8"/>
  <c r="AN532" i="8"/>
  <c r="K535" i="8"/>
  <c r="N535" i="8"/>
  <c r="AE532" i="8"/>
  <c r="L535" i="8"/>
  <c r="M535" i="8"/>
  <c r="G745" i="6"/>
  <c r="O535" i="8"/>
  <c r="P535" i="8"/>
  <c r="AD532" i="8"/>
  <c r="U531" i="8"/>
  <c r="T531" i="8"/>
  <c r="I531" i="8"/>
  <c r="H531" i="8"/>
  <c r="G531" i="8"/>
  <c r="F531" i="8"/>
  <c r="E531" i="8"/>
  <c r="D531" i="8"/>
  <c r="C531" i="8"/>
  <c r="B531" i="8"/>
  <c r="A531" i="8"/>
  <c r="E743" i="6"/>
  <c r="B743" i="6"/>
  <c r="A743" i="6"/>
  <c r="A476" i="3"/>
  <c r="A476" i="2"/>
  <c r="Q534" i="8" l="1"/>
  <c r="R534" i="8"/>
  <c r="AD531" i="8"/>
  <c r="K534" i="8"/>
  <c r="M534" i="8"/>
  <c r="C746" i="6"/>
  <c r="N534" i="8"/>
  <c r="P534" i="8"/>
  <c r="L534" i="8"/>
  <c r="O534" i="8"/>
  <c r="G744" i="6"/>
  <c r="AE531" i="8"/>
  <c r="AN531" i="8"/>
  <c r="AO531" i="8"/>
  <c r="U530" i="8"/>
  <c r="T530" i="8"/>
  <c r="I530" i="8"/>
  <c r="H530" i="8"/>
  <c r="G530" i="8"/>
  <c r="F530" i="8"/>
  <c r="E530" i="8"/>
  <c r="D530" i="8"/>
  <c r="C530" i="8"/>
  <c r="B530" i="8"/>
  <c r="A530" i="8"/>
  <c r="E742" i="6"/>
  <c r="B742" i="6"/>
  <c r="A742" i="6"/>
  <c r="A475" i="3"/>
  <c r="A475" i="2"/>
  <c r="A474" i="2"/>
  <c r="M533" i="8" l="1"/>
  <c r="R533" i="8"/>
  <c r="K533" i="8"/>
  <c r="L533" i="8"/>
  <c r="N533" i="8"/>
  <c r="O533" i="8"/>
  <c r="C745" i="6"/>
  <c r="G743" i="6"/>
  <c r="P533" i="8"/>
  <c r="Q533" i="8"/>
  <c r="AD530" i="8"/>
  <c r="AE530" i="8"/>
  <c r="AN530" i="8"/>
  <c r="AO530" i="8"/>
  <c r="AE529" i="8"/>
  <c r="U529" i="8"/>
  <c r="T529" i="8"/>
  <c r="I529" i="8"/>
  <c r="H529" i="8"/>
  <c r="G529" i="8"/>
  <c r="F529" i="8"/>
  <c r="E529" i="8"/>
  <c r="D529" i="8"/>
  <c r="C529" i="8"/>
  <c r="B529" i="8"/>
  <c r="A529" i="8"/>
  <c r="P532" i="8" l="1"/>
  <c r="Q532" i="8"/>
  <c r="AD529" i="8"/>
  <c r="K532" i="8"/>
  <c r="L532" i="8"/>
  <c r="AN529" i="8"/>
  <c r="M532" i="8"/>
  <c r="AO529" i="8"/>
  <c r="N532" i="8"/>
  <c r="R532" i="8"/>
  <c r="O532" i="8"/>
  <c r="E741" i="6"/>
  <c r="B741" i="6"/>
  <c r="A741" i="6"/>
  <c r="A474" i="3"/>
  <c r="C744" i="6" l="1"/>
  <c r="G742" i="6"/>
  <c r="U528" i="8"/>
  <c r="T528" i="8"/>
  <c r="I528" i="8"/>
  <c r="H528" i="8"/>
  <c r="G528" i="8"/>
  <c r="F528" i="8"/>
  <c r="E528" i="8"/>
  <c r="D528" i="8"/>
  <c r="C528" i="8"/>
  <c r="B528" i="8"/>
  <c r="A528" i="8"/>
  <c r="E740" i="6"/>
  <c r="B740" i="6"/>
  <c r="A740" i="6"/>
  <c r="A472" i="2"/>
  <c r="A473" i="2" s="1"/>
  <c r="A473" i="3"/>
  <c r="M531" i="8" l="1"/>
  <c r="C743" i="6"/>
  <c r="N531" i="8"/>
  <c r="P531" i="8"/>
  <c r="Q531" i="8"/>
  <c r="G741" i="6"/>
  <c r="R531" i="8"/>
  <c r="O531" i="8"/>
  <c r="AD528" i="8"/>
  <c r="K531" i="8"/>
  <c r="AE528" i="8"/>
  <c r="L531" i="8"/>
  <c r="AN528" i="8"/>
  <c r="AO528" i="8"/>
  <c r="E739" i="6"/>
  <c r="B739" i="6"/>
  <c r="G740" i="6" s="1"/>
  <c r="A739" i="6"/>
  <c r="C742" i="6" l="1"/>
  <c r="A472" i="3"/>
  <c r="T527" i="8"/>
  <c r="I527" i="8"/>
  <c r="H527" i="8"/>
  <c r="G527" i="8"/>
  <c r="F527" i="8"/>
  <c r="E527" i="8"/>
  <c r="D527" i="8"/>
  <c r="C527" i="8"/>
  <c r="B527" i="8"/>
  <c r="AN527" i="8" s="1"/>
  <c r="A527" i="8"/>
  <c r="L530" i="8" l="1"/>
  <c r="AD527" i="8"/>
  <c r="N530" i="8"/>
  <c r="O530" i="8"/>
  <c r="P530" i="8"/>
  <c r="Q530" i="8"/>
  <c r="K530" i="8"/>
  <c r="M530" i="8"/>
  <c r="R530" i="8"/>
  <c r="AO527" i="8"/>
  <c r="AO526" i="8"/>
  <c r="T526" i="8"/>
  <c r="I526" i="8"/>
  <c r="H526" i="8"/>
  <c r="G526" i="8"/>
  <c r="F526" i="8"/>
  <c r="E526" i="8"/>
  <c r="D526" i="8"/>
  <c r="C526" i="8"/>
  <c r="B526" i="8"/>
  <c r="A526" i="8"/>
  <c r="E738" i="6"/>
  <c r="B738" i="6"/>
  <c r="A738" i="6"/>
  <c r="A471" i="3"/>
  <c r="A471" i="2"/>
  <c r="O529" i="8" l="1"/>
  <c r="Q529" i="8"/>
  <c r="P529" i="8"/>
  <c r="R529" i="8"/>
  <c r="M529" i="8"/>
  <c r="AN526" i="8"/>
  <c r="K529" i="8"/>
  <c r="N529" i="8"/>
  <c r="C741" i="6"/>
  <c r="G739" i="6"/>
  <c r="L529" i="8"/>
  <c r="AD526" i="8"/>
  <c r="I525" i="8"/>
  <c r="H525" i="8"/>
  <c r="G525" i="8"/>
  <c r="F525" i="8"/>
  <c r="E525" i="8"/>
  <c r="D525" i="8"/>
  <c r="C525" i="8"/>
  <c r="B525" i="8"/>
  <c r="A525" i="8"/>
  <c r="E737" i="6"/>
  <c r="B737" i="6"/>
  <c r="A737" i="6"/>
  <c r="A470" i="3"/>
  <c r="A470" i="2"/>
  <c r="P528" i="8" l="1"/>
  <c r="Q528" i="8"/>
  <c r="M528" i="8"/>
  <c r="R528" i="8"/>
  <c r="AN525" i="8"/>
  <c r="K528" i="8"/>
  <c r="AO525" i="8"/>
  <c r="L528" i="8"/>
  <c r="C740" i="6"/>
  <c r="G738" i="6"/>
  <c r="N528" i="8"/>
  <c r="O528" i="8"/>
  <c r="I524" i="8" l="1"/>
  <c r="H524" i="8"/>
  <c r="G524" i="8"/>
  <c r="F524" i="8"/>
  <c r="E524" i="8"/>
  <c r="D524" i="8"/>
  <c r="C524" i="8"/>
  <c r="B524" i="8"/>
  <c r="A524" i="8"/>
  <c r="E736" i="6"/>
  <c r="B736" i="6"/>
  <c r="A736" i="6"/>
  <c r="A469" i="2"/>
  <c r="A469" i="3"/>
  <c r="Q527" i="8" l="1"/>
  <c r="N527" i="8"/>
  <c r="R527" i="8"/>
  <c r="M527" i="8"/>
  <c r="C739" i="6"/>
  <c r="G737" i="6"/>
  <c r="AN524" i="8"/>
  <c r="K527" i="8"/>
  <c r="O527" i="8"/>
  <c r="P527" i="8"/>
  <c r="AO524" i="8"/>
  <c r="L527" i="8"/>
  <c r="G736" i="6"/>
  <c r="I523" i="8"/>
  <c r="H523" i="8"/>
  <c r="G523" i="8"/>
  <c r="F523" i="8"/>
  <c r="E523" i="8"/>
  <c r="D523" i="8"/>
  <c r="C523" i="8"/>
  <c r="B523" i="8"/>
  <c r="A523" i="8"/>
  <c r="E735" i="6"/>
  <c r="B735" i="6"/>
  <c r="A735" i="6"/>
  <c r="A468" i="3"/>
  <c r="A468" i="2"/>
  <c r="N526" i="8" l="1"/>
  <c r="O526" i="8"/>
  <c r="Q526" i="8"/>
  <c r="R526" i="8"/>
  <c r="P526" i="8"/>
  <c r="AN523" i="8"/>
  <c r="K526" i="8"/>
  <c r="C738" i="6"/>
  <c r="AO523" i="8"/>
  <c r="L526" i="8"/>
  <c r="M526" i="8"/>
  <c r="A467" i="2"/>
  <c r="I522" i="8"/>
  <c r="H522" i="8"/>
  <c r="G522" i="8"/>
  <c r="F522" i="8"/>
  <c r="E522" i="8"/>
  <c r="D522" i="8"/>
  <c r="C522" i="8"/>
  <c r="B522" i="8"/>
  <c r="A522" i="8"/>
  <c r="E734" i="6"/>
  <c r="B734" i="6"/>
  <c r="A734" i="6"/>
  <c r="A467" i="3"/>
  <c r="Q525" i="8" l="1"/>
  <c r="R525" i="8"/>
  <c r="N525" i="8"/>
  <c r="L525" i="8"/>
  <c r="M525" i="8"/>
  <c r="O525" i="8"/>
  <c r="AN522" i="8"/>
  <c r="K525" i="8"/>
  <c r="C737" i="6"/>
  <c r="G735" i="6"/>
  <c r="P525" i="8"/>
  <c r="I521" i="8"/>
  <c r="H521" i="8"/>
  <c r="G521" i="8"/>
  <c r="F521" i="8"/>
  <c r="E521" i="8"/>
  <c r="D521" i="8"/>
  <c r="C521" i="8"/>
  <c r="B521" i="8"/>
  <c r="A521" i="8"/>
  <c r="L524" i="8" l="1"/>
  <c r="N524" i="8"/>
  <c r="K524" i="8"/>
  <c r="R524" i="8"/>
  <c r="P524" i="8"/>
  <c r="M524" i="8"/>
  <c r="O524" i="8"/>
  <c r="Q524" i="8"/>
  <c r="E733" i="6"/>
  <c r="B733" i="6"/>
  <c r="A733" i="6"/>
  <c r="A466" i="3"/>
  <c r="A466" i="2"/>
  <c r="C736" i="6" l="1"/>
  <c r="G734" i="6"/>
  <c r="I520" i="8"/>
  <c r="H520" i="8"/>
  <c r="G520" i="8"/>
  <c r="F520" i="8"/>
  <c r="E520" i="8"/>
  <c r="D520" i="8"/>
  <c r="C520" i="8"/>
  <c r="B520" i="8"/>
  <c r="A520" i="8"/>
  <c r="E732" i="6"/>
  <c r="B732" i="6"/>
  <c r="G733" i="6" s="1"/>
  <c r="A732" i="6"/>
  <c r="A465" i="3"/>
  <c r="A465" i="2"/>
  <c r="K523" i="8" l="1"/>
  <c r="O523" i="8"/>
  <c r="M523" i="8"/>
  <c r="C735" i="6"/>
  <c r="N523" i="8"/>
  <c r="P523" i="8"/>
  <c r="L523" i="8"/>
  <c r="Q523" i="8"/>
  <c r="R523" i="8"/>
  <c r="I519" i="8"/>
  <c r="H519" i="8"/>
  <c r="G519" i="8"/>
  <c r="F519" i="8"/>
  <c r="E519" i="8"/>
  <c r="D519" i="8"/>
  <c r="C519" i="8"/>
  <c r="B519" i="8"/>
  <c r="A519" i="8"/>
  <c r="E731" i="6"/>
  <c r="B731" i="6"/>
  <c r="C734" i="6" s="1"/>
  <c r="A731" i="6"/>
  <c r="K522" i="8" l="1"/>
  <c r="L522" i="8"/>
  <c r="P522" i="8"/>
  <c r="M522" i="8"/>
  <c r="O522" i="8"/>
  <c r="Q522" i="8"/>
  <c r="R522" i="8"/>
  <c r="N522" i="8"/>
  <c r="G732" i="6"/>
  <c r="A464" i="3" l="1"/>
  <c r="A464" i="2"/>
  <c r="I518" i="8" l="1"/>
  <c r="H518" i="8"/>
  <c r="G518" i="8"/>
  <c r="F518" i="8"/>
  <c r="E518" i="8"/>
  <c r="D518" i="8"/>
  <c r="C518" i="8"/>
  <c r="B518" i="8"/>
  <c r="A518" i="8"/>
  <c r="E730" i="6"/>
  <c r="B730" i="6"/>
  <c r="A730" i="6"/>
  <c r="A463" i="3"/>
  <c r="A463" i="2"/>
  <c r="Q521" i="8" l="1"/>
  <c r="R521" i="8"/>
  <c r="K521" i="8"/>
  <c r="M521" i="8"/>
  <c r="L521" i="8"/>
  <c r="G730" i="6"/>
  <c r="C733" i="6"/>
  <c r="G731" i="6"/>
  <c r="O521" i="8"/>
  <c r="N521" i="8"/>
  <c r="P521" i="8"/>
  <c r="I517" i="8"/>
  <c r="H517" i="8"/>
  <c r="G517" i="8"/>
  <c r="F517" i="8"/>
  <c r="E517" i="8"/>
  <c r="D517" i="8"/>
  <c r="C517" i="8"/>
  <c r="B517" i="8"/>
  <c r="A517" i="8"/>
  <c r="E729" i="6"/>
  <c r="B729" i="6"/>
  <c r="A729" i="6"/>
  <c r="A462" i="3"/>
  <c r="A462" i="2"/>
  <c r="K520" i="8" l="1"/>
  <c r="L520" i="8"/>
  <c r="O520" i="8"/>
  <c r="R520" i="8"/>
  <c r="M520" i="8"/>
  <c r="N520" i="8"/>
  <c r="G729" i="6"/>
  <c r="C732" i="6"/>
  <c r="P520" i="8"/>
  <c r="Q520" i="8"/>
  <c r="I516" i="8"/>
  <c r="H516" i="8"/>
  <c r="G516" i="8"/>
  <c r="F516" i="8"/>
  <c r="E516" i="8"/>
  <c r="D516" i="8"/>
  <c r="C516" i="8"/>
  <c r="B516" i="8"/>
  <c r="A516" i="8"/>
  <c r="E728" i="6"/>
  <c r="B728" i="6"/>
  <c r="A728" i="6"/>
  <c r="A461" i="3"/>
  <c r="A461" i="2"/>
  <c r="L519" i="8" l="1"/>
  <c r="M519" i="8"/>
  <c r="Q519" i="8"/>
  <c r="K519" i="8"/>
  <c r="N519" i="8"/>
  <c r="R519" i="8"/>
  <c r="C731" i="6"/>
  <c r="O519" i="8"/>
  <c r="P519" i="8"/>
  <c r="I515" i="8" l="1"/>
  <c r="H515" i="8"/>
  <c r="G515" i="8"/>
  <c r="F515" i="8"/>
  <c r="E515" i="8"/>
  <c r="D515" i="8"/>
  <c r="C515" i="8"/>
  <c r="B515" i="8"/>
  <c r="A515" i="8"/>
  <c r="E727" i="6"/>
  <c r="B727" i="6"/>
  <c r="A727" i="6"/>
  <c r="A460" i="3"/>
  <c r="A460" i="2"/>
  <c r="C730" i="6" l="1"/>
  <c r="G728" i="6"/>
  <c r="N518" i="8"/>
  <c r="O518" i="8"/>
  <c r="P518" i="8"/>
  <c r="Q518" i="8"/>
  <c r="R518" i="8"/>
  <c r="K518" i="8"/>
  <c r="L518" i="8"/>
  <c r="M518" i="8"/>
  <c r="I514" i="8"/>
  <c r="H514" i="8"/>
  <c r="G514" i="8"/>
  <c r="F514" i="8"/>
  <c r="E514" i="8"/>
  <c r="D514" i="8"/>
  <c r="C514" i="8"/>
  <c r="B514" i="8"/>
  <c r="A514" i="8"/>
  <c r="E726" i="6"/>
  <c r="B726" i="6"/>
  <c r="A726" i="6"/>
  <c r="A459" i="3"/>
  <c r="A459" i="2"/>
  <c r="L517" i="8" l="1"/>
  <c r="M517" i="8"/>
  <c r="N517" i="8"/>
  <c r="Q517" i="8"/>
  <c r="C729" i="6"/>
  <c r="O517" i="8"/>
  <c r="G727" i="6"/>
  <c r="P517" i="8"/>
  <c r="R517" i="8"/>
  <c r="K517" i="8"/>
  <c r="I513" i="8"/>
  <c r="H513" i="8"/>
  <c r="G513" i="8"/>
  <c r="F513" i="8"/>
  <c r="E513" i="8"/>
  <c r="D513" i="8"/>
  <c r="C513" i="8"/>
  <c r="B513" i="8"/>
  <c r="A513" i="8"/>
  <c r="E725" i="6"/>
  <c r="B725" i="6"/>
  <c r="A725" i="6"/>
  <c r="A458" i="3"/>
  <c r="A458" i="2"/>
  <c r="L516" i="8" l="1"/>
  <c r="C728" i="6"/>
  <c r="M516" i="8"/>
  <c r="O516" i="8"/>
  <c r="N516" i="8"/>
  <c r="P516" i="8"/>
  <c r="G726" i="6"/>
  <c r="Q516" i="8"/>
  <c r="R516" i="8"/>
  <c r="K516" i="8"/>
  <c r="I512" i="8"/>
  <c r="H512" i="8"/>
  <c r="G512" i="8"/>
  <c r="F512" i="8"/>
  <c r="E512" i="8"/>
  <c r="D512" i="8"/>
  <c r="C512" i="8"/>
  <c r="B512" i="8"/>
  <c r="A512" i="8"/>
  <c r="E724" i="6"/>
  <c r="B724" i="6"/>
  <c r="A724" i="6"/>
  <c r="A457" i="3"/>
  <c r="A457" i="2"/>
  <c r="L515" i="8" l="1"/>
  <c r="M515" i="8"/>
  <c r="P515" i="8"/>
  <c r="Q515" i="8"/>
  <c r="G725" i="6"/>
  <c r="N515" i="8"/>
  <c r="O515" i="8"/>
  <c r="R515" i="8"/>
  <c r="C727" i="6"/>
  <c r="K515" i="8"/>
  <c r="I511" i="8" l="1"/>
  <c r="H511" i="8"/>
  <c r="G511" i="8"/>
  <c r="F511" i="8"/>
  <c r="E511" i="8"/>
  <c r="D511" i="8"/>
  <c r="C511" i="8"/>
  <c r="B511" i="8"/>
  <c r="A511" i="8"/>
  <c r="E723" i="6"/>
  <c r="B723" i="6"/>
  <c r="A723" i="6"/>
  <c r="A456" i="3"/>
  <c r="A456" i="2"/>
  <c r="P514" i="8" l="1"/>
  <c r="R514" i="8"/>
  <c r="C726" i="6"/>
  <c r="G724" i="6"/>
  <c r="L514" i="8"/>
  <c r="M514" i="8"/>
  <c r="Q514" i="8"/>
  <c r="N514" i="8"/>
  <c r="K514" i="8"/>
  <c r="G723" i="6"/>
  <c r="O514" i="8"/>
  <c r="B722" i="6"/>
  <c r="C725" i="6" s="1"/>
  <c r="B721" i="6"/>
  <c r="I510" i="8"/>
  <c r="H510" i="8"/>
  <c r="G510" i="8"/>
  <c r="F510" i="8"/>
  <c r="E510" i="8"/>
  <c r="D510" i="8"/>
  <c r="C510" i="8"/>
  <c r="B510" i="8"/>
  <c r="A510" i="8"/>
  <c r="G722" i="6"/>
  <c r="E722" i="6"/>
  <c r="A722" i="6"/>
  <c r="A455" i="3"/>
  <c r="A455" i="2"/>
  <c r="K513" i="8" l="1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L512" i="8" s="1"/>
  <c r="D509" i="8"/>
  <c r="M512" i="8" s="1"/>
  <c r="E509" i="8"/>
  <c r="N512" i="8" s="1"/>
  <c r="F509" i="8"/>
  <c r="O512" i="8" s="1"/>
  <c r="G509" i="8"/>
  <c r="H509" i="8"/>
  <c r="I509" i="8"/>
  <c r="R512" i="8" s="1"/>
  <c r="K509" i="8"/>
  <c r="L509" i="8"/>
  <c r="E721" i="6"/>
  <c r="A721" i="6"/>
  <c r="A454" i="3"/>
  <c r="A454" i="2"/>
  <c r="Q512" i="8" l="1"/>
  <c r="P512" i="8"/>
  <c r="K512" i="8"/>
  <c r="E720" i="6" l="1"/>
  <c r="B720" i="6"/>
  <c r="A720" i="6"/>
  <c r="I508" i="8"/>
  <c r="H508" i="8"/>
  <c r="G508" i="8"/>
  <c r="F508" i="8"/>
  <c r="E508" i="8"/>
  <c r="N511" i="8" s="1"/>
  <c r="D508" i="8"/>
  <c r="C508" i="8"/>
  <c r="B508" i="8"/>
  <c r="A508" i="8"/>
  <c r="A453" i="2"/>
  <c r="A453" i="3"/>
  <c r="M511" i="8" l="1"/>
  <c r="P511" i="8"/>
  <c r="Q511" i="8"/>
  <c r="R511" i="8"/>
  <c r="O511" i="8"/>
  <c r="C723" i="6"/>
  <c r="G721" i="6"/>
  <c r="K511" i="8"/>
  <c r="L508" i="8"/>
  <c r="L511" i="8"/>
  <c r="K508" i="8"/>
  <c r="I507" i="8"/>
  <c r="H507" i="8"/>
  <c r="Q510" i="8" s="1"/>
  <c r="G507" i="8"/>
  <c r="P510" i="8" s="1"/>
  <c r="F507" i="8"/>
  <c r="O510" i="8" s="1"/>
  <c r="E507" i="8"/>
  <c r="D507" i="8"/>
  <c r="M510" i="8" s="1"/>
  <c r="C507" i="8"/>
  <c r="B507" i="8"/>
  <c r="A507" i="8"/>
  <c r="E719" i="6"/>
  <c r="B719" i="6"/>
  <c r="C722" i="6" s="1"/>
  <c r="A719" i="6"/>
  <c r="A452" i="3"/>
  <c r="A452" i="2"/>
  <c r="N510" i="8" l="1"/>
  <c r="R510" i="8"/>
  <c r="G720" i="6"/>
  <c r="K507" i="8"/>
  <c r="L507" i="8"/>
  <c r="I506" i="8"/>
  <c r="H506" i="8"/>
  <c r="G506" i="8"/>
  <c r="F506" i="8"/>
  <c r="E506" i="8"/>
  <c r="D506" i="8"/>
  <c r="C506" i="8"/>
  <c r="B506" i="8"/>
  <c r="A506" i="8"/>
  <c r="E718" i="6"/>
  <c r="B718" i="6"/>
  <c r="A718" i="6"/>
  <c r="A451" i="3"/>
  <c r="A451" i="2"/>
  <c r="O509" i="8" l="1"/>
  <c r="P509" i="8"/>
  <c r="C721" i="6"/>
  <c r="N509" i="8"/>
  <c r="Q509" i="8"/>
  <c r="G719" i="6"/>
  <c r="M509" i="8"/>
  <c r="R509" i="8"/>
  <c r="L506" i="8"/>
  <c r="K506" i="8"/>
  <c r="I505" i="8" l="1"/>
  <c r="H505" i="8"/>
  <c r="G505" i="8"/>
  <c r="F505" i="8"/>
  <c r="E505" i="8"/>
  <c r="D505" i="8"/>
  <c r="C505" i="8"/>
  <c r="B505" i="8"/>
  <c r="A505" i="8"/>
  <c r="E717" i="6"/>
  <c r="B717" i="6"/>
  <c r="A717" i="6"/>
  <c r="A450" i="3"/>
  <c r="A450" i="2"/>
  <c r="P508" i="8" l="1"/>
  <c r="Q508" i="8"/>
  <c r="R508" i="8"/>
  <c r="O508" i="8"/>
  <c r="C720" i="6"/>
  <c r="G718" i="6"/>
  <c r="M508" i="8"/>
  <c r="N508" i="8"/>
  <c r="K505" i="8"/>
  <c r="L505" i="8"/>
  <c r="I504" i="8" l="1"/>
  <c r="H504" i="8"/>
  <c r="G504" i="8"/>
  <c r="F504" i="8"/>
  <c r="E504" i="8"/>
  <c r="D504" i="8"/>
  <c r="C504" i="8"/>
  <c r="B504" i="8"/>
  <c r="K504" i="8" s="1"/>
  <c r="A504" i="8"/>
  <c r="E716" i="6"/>
  <c r="B716" i="6"/>
  <c r="A716" i="6"/>
  <c r="A449" i="3"/>
  <c r="A449" i="2"/>
  <c r="C719" i="6" l="1"/>
  <c r="G717" i="6"/>
  <c r="O507" i="8"/>
  <c r="P507" i="8"/>
  <c r="Q507" i="8"/>
  <c r="R507" i="8"/>
  <c r="N507" i="8"/>
  <c r="M507" i="8"/>
  <c r="L504" i="8"/>
  <c r="E715" i="6"/>
  <c r="B715" i="6"/>
  <c r="A715" i="6"/>
  <c r="L503" i="8"/>
  <c r="I503" i="8"/>
  <c r="H503" i="8"/>
  <c r="G503" i="8"/>
  <c r="F503" i="8"/>
  <c r="E503" i="8"/>
  <c r="D503" i="8"/>
  <c r="C503" i="8"/>
  <c r="B503" i="8"/>
  <c r="A503" i="8"/>
  <c r="A448" i="3"/>
  <c r="A448" i="2"/>
  <c r="N506" i="8" l="1"/>
  <c r="O506" i="8"/>
  <c r="P506" i="8"/>
  <c r="Q506" i="8"/>
  <c r="C718" i="6"/>
  <c r="G716" i="6"/>
  <c r="M506" i="8"/>
  <c r="R506" i="8"/>
  <c r="K503" i="8"/>
  <c r="I502" i="8" l="1"/>
  <c r="H502" i="8"/>
  <c r="G502" i="8"/>
  <c r="F502" i="8"/>
  <c r="E502" i="8"/>
  <c r="D502" i="8"/>
  <c r="C502" i="8"/>
  <c r="B502" i="8"/>
  <c r="A502" i="8"/>
  <c r="E714" i="6"/>
  <c r="B714" i="6"/>
  <c r="A714" i="6"/>
  <c r="A447" i="2"/>
  <c r="A447" i="3"/>
  <c r="O505" i="8" l="1"/>
  <c r="P505" i="8"/>
  <c r="Q505" i="8"/>
  <c r="R505" i="8"/>
  <c r="N505" i="8"/>
  <c r="C717" i="6"/>
  <c r="G715" i="6"/>
  <c r="M505" i="8"/>
  <c r="K502" i="8"/>
  <c r="L502" i="8"/>
  <c r="I501" i="8"/>
  <c r="H501" i="8"/>
  <c r="G501" i="8"/>
  <c r="F501" i="8"/>
  <c r="E501" i="8"/>
  <c r="D501" i="8"/>
  <c r="C501" i="8"/>
  <c r="B501" i="8"/>
  <c r="K501" i="8" s="1"/>
  <c r="A501" i="8"/>
  <c r="E713" i="6"/>
  <c r="B713" i="6"/>
  <c r="A713" i="6"/>
  <c r="A446" i="3"/>
  <c r="A446" i="2"/>
  <c r="M504" i="8" l="1"/>
  <c r="C716" i="6"/>
  <c r="O504" i="8"/>
  <c r="P504" i="8"/>
  <c r="Q504" i="8"/>
  <c r="G714" i="6"/>
  <c r="N504" i="8"/>
  <c r="R504" i="8"/>
  <c r="L501" i="8"/>
  <c r="I500" i="8" l="1"/>
  <c r="H500" i="8"/>
  <c r="G500" i="8"/>
  <c r="F500" i="8"/>
  <c r="E500" i="8"/>
  <c r="D500" i="8"/>
  <c r="C500" i="8"/>
  <c r="B500" i="8"/>
  <c r="A500" i="8"/>
  <c r="E712" i="6"/>
  <c r="B712" i="6"/>
  <c r="A712" i="6"/>
  <c r="A445" i="3"/>
  <c r="A445" i="2"/>
  <c r="O503" i="8" l="1"/>
  <c r="P503" i="8"/>
  <c r="R503" i="8"/>
  <c r="N503" i="8"/>
  <c r="Q503" i="8"/>
  <c r="C715" i="6"/>
  <c r="G713" i="6"/>
  <c r="M503" i="8"/>
  <c r="K500" i="8"/>
  <c r="L500" i="8"/>
  <c r="I499" i="8"/>
  <c r="H499" i="8"/>
  <c r="G499" i="8"/>
  <c r="F499" i="8"/>
  <c r="E499" i="8"/>
  <c r="D499" i="8"/>
  <c r="C499" i="8"/>
  <c r="B499" i="8"/>
  <c r="A499" i="8"/>
  <c r="E711" i="6"/>
  <c r="B711" i="6"/>
  <c r="A711" i="6"/>
  <c r="A444" i="3"/>
  <c r="A444" i="2"/>
  <c r="P502" i="8" l="1"/>
  <c r="R502" i="8"/>
  <c r="C714" i="6"/>
  <c r="G712" i="6"/>
  <c r="M502" i="8"/>
  <c r="O502" i="8"/>
  <c r="Q502" i="8"/>
  <c r="N502" i="8"/>
  <c r="K499" i="8"/>
  <c r="L499" i="8"/>
  <c r="I498" i="8"/>
  <c r="H498" i="8"/>
  <c r="G498" i="8"/>
  <c r="F498" i="8"/>
  <c r="E498" i="8"/>
  <c r="D498" i="8"/>
  <c r="C498" i="8"/>
  <c r="B498" i="8"/>
  <c r="A498" i="8"/>
  <c r="E710" i="6"/>
  <c r="B710" i="6"/>
  <c r="A710" i="6"/>
  <c r="A443" i="3"/>
  <c r="A443" i="2"/>
  <c r="P501" i="8" l="1"/>
  <c r="Q501" i="8"/>
  <c r="R501" i="8"/>
  <c r="C713" i="6"/>
  <c r="G711" i="6"/>
  <c r="M501" i="8"/>
  <c r="N501" i="8"/>
  <c r="O501" i="8"/>
  <c r="L498" i="8"/>
  <c r="K498" i="8"/>
  <c r="I497" i="8"/>
  <c r="H497" i="8"/>
  <c r="G497" i="8"/>
  <c r="F497" i="8"/>
  <c r="E497" i="8"/>
  <c r="D497" i="8"/>
  <c r="C497" i="8"/>
  <c r="L497" i="8" s="1"/>
  <c r="B497" i="8"/>
  <c r="A497" i="8"/>
  <c r="E709" i="6"/>
  <c r="B709" i="6"/>
  <c r="G710" i="6" s="1"/>
  <c r="A709" i="6"/>
  <c r="A442" i="3"/>
  <c r="A442" i="2"/>
  <c r="O500" i="8" l="1"/>
  <c r="P500" i="8"/>
  <c r="R500" i="8"/>
  <c r="M500" i="8"/>
  <c r="Q500" i="8"/>
  <c r="C712" i="6"/>
  <c r="N500" i="8"/>
  <c r="K497" i="8"/>
  <c r="I496" i="8"/>
  <c r="H496" i="8"/>
  <c r="G496" i="8"/>
  <c r="F496" i="8"/>
  <c r="E496" i="8"/>
  <c r="D496" i="8"/>
  <c r="C496" i="8"/>
  <c r="B496" i="8"/>
  <c r="K496" i="8" s="1"/>
  <c r="A496" i="8"/>
  <c r="E708" i="6"/>
  <c r="B708" i="6"/>
  <c r="A708" i="6"/>
  <c r="A441" i="3"/>
  <c r="A441" i="2"/>
  <c r="Q499" i="8" l="1"/>
  <c r="R499" i="8"/>
  <c r="N499" i="8"/>
  <c r="M499" i="8"/>
  <c r="C711" i="6"/>
  <c r="G709" i="6"/>
  <c r="O499" i="8"/>
  <c r="P499" i="8"/>
  <c r="L496" i="8"/>
  <c r="G708" i="6"/>
  <c r="I495" i="8"/>
  <c r="H495" i="8"/>
  <c r="G495" i="8"/>
  <c r="F495" i="8"/>
  <c r="E495" i="8"/>
  <c r="D495" i="8"/>
  <c r="C495" i="8"/>
  <c r="B495" i="8"/>
  <c r="K495" i="8" s="1"/>
  <c r="A495" i="8"/>
  <c r="E707" i="6"/>
  <c r="B707" i="6"/>
  <c r="C710" i="6" s="1"/>
  <c r="A707" i="6"/>
  <c r="A440" i="3"/>
  <c r="A440" i="2"/>
  <c r="R498" i="8" l="1"/>
  <c r="P498" i="8"/>
  <c r="Q498" i="8"/>
  <c r="M498" i="8"/>
  <c r="N498" i="8"/>
  <c r="O498" i="8"/>
  <c r="L495" i="8"/>
  <c r="I494" i="8" l="1"/>
  <c r="H494" i="8"/>
  <c r="G494" i="8"/>
  <c r="F494" i="8"/>
  <c r="E494" i="8"/>
  <c r="D494" i="8"/>
  <c r="C494" i="8"/>
  <c r="B494" i="8"/>
  <c r="A494" i="8"/>
  <c r="E706" i="6"/>
  <c r="B706" i="6"/>
  <c r="A706" i="6"/>
  <c r="A439" i="3"/>
  <c r="A439" i="2"/>
  <c r="R497" i="8" l="1"/>
  <c r="M497" i="8"/>
  <c r="O497" i="8"/>
  <c r="N497" i="8"/>
  <c r="C709" i="6"/>
  <c r="G707" i="6"/>
  <c r="P497" i="8"/>
  <c r="Q497" i="8"/>
  <c r="K494" i="8"/>
  <c r="L494" i="8"/>
  <c r="G706" i="6"/>
  <c r="I493" i="8"/>
  <c r="H493" i="8"/>
  <c r="G493" i="8"/>
  <c r="F493" i="8"/>
  <c r="E493" i="8"/>
  <c r="D493" i="8"/>
  <c r="C493" i="8"/>
  <c r="B493" i="8"/>
  <c r="A493" i="8"/>
  <c r="E705" i="6"/>
  <c r="B705" i="6"/>
  <c r="A705" i="6"/>
  <c r="A438" i="3"/>
  <c r="A438" i="2"/>
  <c r="P496" i="8" l="1"/>
  <c r="Q496" i="8"/>
  <c r="R496" i="8"/>
  <c r="M496" i="8"/>
  <c r="C708" i="6"/>
  <c r="N496" i="8"/>
  <c r="O496" i="8"/>
  <c r="K493" i="8"/>
  <c r="L493" i="8"/>
  <c r="A437" i="2"/>
  <c r="I492" i="8"/>
  <c r="H492" i="8"/>
  <c r="G492" i="8"/>
  <c r="F492" i="8"/>
  <c r="E492" i="8"/>
  <c r="D492" i="8"/>
  <c r="C492" i="8"/>
  <c r="B492" i="8"/>
  <c r="A492" i="8"/>
  <c r="E704" i="6"/>
  <c r="B704" i="6"/>
  <c r="G705" i="6" s="1"/>
  <c r="A704" i="6"/>
  <c r="A437" i="3"/>
  <c r="R495" i="8" l="1"/>
  <c r="M495" i="8"/>
  <c r="N495" i="8"/>
  <c r="C707" i="6"/>
  <c r="O495" i="8"/>
  <c r="P495" i="8"/>
  <c r="Q495" i="8"/>
  <c r="K492" i="8"/>
  <c r="L492" i="8"/>
  <c r="I491" i="8" l="1"/>
  <c r="H491" i="8"/>
  <c r="G491" i="8"/>
  <c r="F491" i="8"/>
  <c r="E491" i="8"/>
  <c r="D491" i="8"/>
  <c r="C491" i="8"/>
  <c r="B491" i="8"/>
  <c r="A491" i="8"/>
  <c r="E703" i="6"/>
  <c r="B703" i="6"/>
  <c r="A703" i="6"/>
  <c r="A436" i="3"/>
  <c r="A436" i="2"/>
  <c r="O494" i="8" l="1"/>
  <c r="N494" i="8"/>
  <c r="P494" i="8"/>
  <c r="Q494" i="8"/>
  <c r="R494" i="8"/>
  <c r="C706" i="6"/>
  <c r="G704" i="6"/>
  <c r="M494" i="8"/>
  <c r="K491" i="8"/>
  <c r="L491" i="8"/>
  <c r="I490" i="8"/>
  <c r="H490" i="8"/>
  <c r="G490" i="8"/>
  <c r="F490" i="8"/>
  <c r="E490" i="8"/>
  <c r="D490" i="8"/>
  <c r="C490" i="8"/>
  <c r="B490" i="8"/>
  <c r="A490" i="8"/>
  <c r="E702" i="6"/>
  <c r="B702" i="6"/>
  <c r="A702" i="6"/>
  <c r="A435" i="2"/>
  <c r="A435" i="3"/>
  <c r="Q493" i="8" l="1"/>
  <c r="P493" i="8"/>
  <c r="R493" i="8"/>
  <c r="M493" i="8"/>
  <c r="O493" i="8"/>
  <c r="C705" i="6"/>
  <c r="G703" i="6"/>
  <c r="N493" i="8"/>
  <c r="K490" i="8"/>
  <c r="L490" i="8"/>
  <c r="I489" i="8"/>
  <c r="H489" i="8"/>
  <c r="G489" i="8"/>
  <c r="F489" i="8"/>
  <c r="E489" i="8"/>
  <c r="D489" i="8"/>
  <c r="C489" i="8"/>
  <c r="B489" i="8"/>
  <c r="A489" i="8"/>
  <c r="E701" i="6"/>
  <c r="B701" i="6"/>
  <c r="A701" i="6"/>
  <c r="A434" i="3"/>
  <c r="A434" i="2"/>
  <c r="R492" i="8" l="1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E700" i="6"/>
  <c r="B700" i="6"/>
  <c r="A700" i="6"/>
  <c r="A433" i="3"/>
  <c r="A433" i="2"/>
  <c r="H752" i="6" l="1"/>
  <c r="C703" i="6"/>
  <c r="AN540" i="8"/>
  <c r="K488" i="8"/>
  <c r="T540" i="8" s="1"/>
  <c r="AD540" i="8" s="1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AM540" i="8" l="1"/>
  <c r="I487" i="8"/>
  <c r="H487" i="8"/>
  <c r="G487" i="8"/>
  <c r="F487" i="8"/>
  <c r="E487" i="8"/>
  <c r="D487" i="8"/>
  <c r="C487" i="8"/>
  <c r="B487" i="8"/>
  <c r="A487" i="8"/>
  <c r="E699" i="6"/>
  <c r="B699" i="6"/>
  <c r="A699" i="6"/>
  <c r="A432" i="3"/>
  <c r="A432" i="2"/>
  <c r="AN539" i="8" l="1"/>
  <c r="AR539" i="8"/>
  <c r="O490" i="8"/>
  <c r="H751" i="6"/>
  <c r="C702" i="6"/>
  <c r="G700" i="6"/>
  <c r="AO539" i="8"/>
  <c r="AQ539" i="8"/>
  <c r="N490" i="8"/>
  <c r="AP539" i="8"/>
  <c r="AM539" i="8" s="1"/>
  <c r="M490" i="8"/>
  <c r="AT539" i="8"/>
  <c r="Q490" i="8"/>
  <c r="AS539" i="8"/>
  <c r="P490" i="8"/>
  <c r="AU539" i="8"/>
  <c r="R490" i="8"/>
  <c r="K487" i="8"/>
  <c r="T539" i="8" s="1"/>
  <c r="AD539" i="8" s="1"/>
  <c r="L487" i="8"/>
  <c r="I486" i="8"/>
  <c r="H486" i="8"/>
  <c r="G486" i="8"/>
  <c r="F486" i="8"/>
  <c r="E486" i="8"/>
  <c r="D486" i="8"/>
  <c r="C486" i="8"/>
  <c r="AO538" i="8" s="1"/>
  <c r="A486" i="8"/>
  <c r="E698" i="6"/>
  <c r="B698" i="6"/>
  <c r="A698" i="6"/>
  <c r="A431" i="3"/>
  <c r="A431" i="2"/>
  <c r="AR538" i="8" l="1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U538" i="8" s="1"/>
  <c r="AE538" i="8" s="1"/>
  <c r="E697" i="6"/>
  <c r="B697" i="6"/>
  <c r="A697" i="6"/>
  <c r="I485" i="8"/>
  <c r="H485" i="8"/>
  <c r="G485" i="8"/>
  <c r="F485" i="8"/>
  <c r="E485" i="8"/>
  <c r="D485" i="8"/>
  <c r="A485" i="8"/>
  <c r="A430" i="3"/>
  <c r="A430" i="2"/>
  <c r="AS537" i="8" l="1"/>
  <c r="P488" i="8"/>
  <c r="AT537" i="8"/>
  <c r="Q488" i="8"/>
  <c r="AU537" i="8"/>
  <c r="R488" i="8"/>
  <c r="AR537" i="8"/>
  <c r="O488" i="8"/>
  <c r="AP537" i="8"/>
  <c r="AM537" i="8" s="1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E696" i="6"/>
  <c r="B696" i="6"/>
  <c r="A696" i="6"/>
  <c r="A429" i="3"/>
  <c r="A429" i="2"/>
  <c r="AS535" i="8" l="1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A428" i="3"/>
  <c r="E695" i="6"/>
  <c r="B695" i="6"/>
  <c r="A695" i="6"/>
  <c r="A428" i="2"/>
  <c r="H747" i="6" l="1"/>
  <c r="AM535" i="8" s="1"/>
  <c r="C698" i="6"/>
  <c r="G696" i="6"/>
  <c r="G695" i="6"/>
  <c r="I482" i="8"/>
  <c r="H482" i="8"/>
  <c r="G482" i="8"/>
  <c r="F482" i="8"/>
  <c r="E482" i="8"/>
  <c r="D482" i="8"/>
  <c r="E694" i="6"/>
  <c r="B694" i="6"/>
  <c r="A694" i="6"/>
  <c r="A427" i="3"/>
  <c r="A427" i="2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E693" i="6"/>
  <c r="B693" i="6"/>
  <c r="A693" i="6"/>
  <c r="A426" i="3"/>
  <c r="A426" i="2"/>
  <c r="AU533" i="8" l="1"/>
  <c r="R484" i="8"/>
  <c r="AP533" i="8"/>
  <c r="AM533" i="8" s="1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E692" i="6"/>
  <c r="B692" i="6"/>
  <c r="A692" i="6"/>
  <c r="A425" i="3"/>
  <c r="A425" i="2"/>
  <c r="AR532" i="8" l="1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A424" i="3"/>
  <c r="A424" i="2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A423" i="3"/>
  <c r="A423" i="2"/>
  <c r="H742" i="6" l="1"/>
  <c r="C693" i="6"/>
  <c r="AM530" i="8"/>
  <c r="N481" i="8"/>
  <c r="O481" i="8"/>
  <c r="P481" i="8"/>
  <c r="Q481" i="8"/>
  <c r="R481" i="8"/>
  <c r="M481" i="8"/>
  <c r="G691" i="6"/>
  <c r="A422" i="2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A422" i="3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AM528" i="8" s="1"/>
  <c r="B688" i="6"/>
  <c r="H740" i="6" s="1"/>
  <c r="A421" i="3"/>
  <c r="A421" i="2"/>
  <c r="R479" i="8" l="1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A420" i="3"/>
  <c r="A420" i="2"/>
  <c r="G688" i="6" l="1"/>
  <c r="H739" i="6"/>
  <c r="AM527" i="8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A419" i="3"/>
  <c r="A419" i="2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A418" i="2"/>
  <c r="A418" i="3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A417" i="3"/>
  <c r="A417" i="2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416" i="3"/>
  <c r="A416" i="2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A415" i="2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AM521" i="8" s="1"/>
  <c r="C469" i="8"/>
  <c r="AO521" i="8" s="1"/>
  <c r="B469" i="8"/>
  <c r="AN521" i="8" s="1"/>
  <c r="B681" i="6"/>
  <c r="H733" i="6" s="1"/>
  <c r="A414" i="2"/>
  <c r="M472" i="8" l="1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A413" i="2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412" i="2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411" i="2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A410" i="2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AM516" i="8" s="1"/>
  <c r="C464" i="8"/>
  <c r="AO516" i="8" s="1"/>
  <c r="B464" i="8"/>
  <c r="AN516" i="8" s="1"/>
  <c r="B676" i="6"/>
  <c r="H728" i="6" s="1"/>
  <c r="A409" i="2"/>
  <c r="Q467" i="8" l="1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AM515" i="8" s="1"/>
  <c r="C463" i="8"/>
  <c r="AO515" i="8" s="1"/>
  <c r="B463" i="8"/>
  <c r="AN515" i="8" s="1"/>
  <c r="B675" i="6"/>
  <c r="H727" i="6" s="1"/>
  <c r="A408" i="2"/>
  <c r="N466" i="8" l="1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A407" i="2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/>
  <c r="M464" i="8"/>
  <c r="N464" i="8"/>
  <c r="O464" i="8"/>
  <c r="P464" i="8"/>
  <c r="Q464" i="8"/>
  <c r="R464" i="8"/>
  <c r="G674" i="6"/>
  <c r="K461" i="8"/>
  <c r="L461" i="8"/>
  <c r="A406" i="2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K457" i="8"/>
  <c r="L457" i="8"/>
  <c r="B669" i="6"/>
  <c r="Q460" i="8" l="1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AM506" i="8" s="1"/>
  <c r="C454" i="8"/>
  <c r="AO506" i="8" s="1"/>
  <c r="B454" i="8"/>
  <c r="AN506" i="8" s="1"/>
  <c r="B666" i="6"/>
  <c r="H718" i="6" s="1"/>
  <c r="C669" i="6" l="1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AM505" i="8" s="1"/>
  <c r="C453" i="8"/>
  <c r="AO505" i="8" s="1"/>
  <c r="B453" i="8"/>
  <c r="AN505" i="8" s="1"/>
  <c r="B665" i="6"/>
  <c r="H717" i="6" s="1"/>
  <c r="M456" i="8" l="1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AM504" i="8" s="1"/>
  <c r="C452" i="8"/>
  <c r="AO504" i="8" s="1"/>
  <c r="B452" i="8"/>
  <c r="AN504" i="8" s="1"/>
  <c r="B664" i="6"/>
  <c r="H716" i="6" s="1"/>
  <c r="C667" i="6" l="1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AM503" i="8" s="1"/>
  <c r="C451" i="8"/>
  <c r="AO503" i="8" s="1"/>
  <c r="B451" i="8"/>
  <c r="AN503" i="8" s="1"/>
  <c r="B663" i="6"/>
  <c r="H715" i="6" s="1"/>
  <c r="M454" i="8" l="1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AM502" i="8" s="1"/>
  <c r="C450" i="8"/>
  <c r="AO502" i="8" s="1"/>
  <c r="B450" i="8"/>
  <c r="AN502" i="8" s="1"/>
  <c r="B662" i="6"/>
  <c r="H714" i="6" s="1"/>
  <c r="C665" i="6" l="1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AM498" i="8" s="1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M448" i="8" l="1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L442" i="8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O442" i="8"/>
  <c r="Q442" i="8"/>
  <c r="C654" i="6"/>
  <c r="G652" i="6"/>
  <c r="N442" i="8"/>
  <c r="P442" i="8"/>
  <c r="R442" i="8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AM490" i="8" l="1"/>
  <c r="M441" i="8"/>
  <c r="O441" i="8"/>
  <c r="Q441" i="8"/>
  <c r="C653" i="6"/>
  <c r="N441" i="8"/>
  <c r="P441" i="8"/>
  <c r="R441" i="8"/>
  <c r="G651" i="6"/>
  <c r="L438" i="8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G650" i="6" l="1"/>
  <c r="H701" i="6"/>
  <c r="AM489" i="8" s="1"/>
  <c r="N440" i="8"/>
  <c r="P440" i="8"/>
  <c r="R440" i="8"/>
  <c r="C652" i="6"/>
  <c r="M440" i="8"/>
  <c r="O440" i="8"/>
  <c r="Q440" i="8"/>
  <c r="L437" i="8"/>
  <c r="I436" i="8" l="1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U540" i="8" s="1"/>
  <c r="AE540" i="8" s="1"/>
  <c r="AO488" i="8"/>
  <c r="N439" i="8"/>
  <c r="P439" i="8"/>
  <c r="R439" i="8"/>
  <c r="C651" i="6"/>
  <c r="G649" i="6"/>
  <c r="M439" i="8"/>
  <c r="O439" i="8"/>
  <c r="Q439" i="8"/>
  <c r="I435" i="8"/>
  <c r="H435" i="8"/>
  <c r="G435" i="8"/>
  <c r="F435" i="8"/>
  <c r="E435" i="8"/>
  <c r="D435" i="8"/>
  <c r="C435" i="8"/>
  <c r="B435" i="8"/>
  <c r="AN487" i="8" s="1"/>
  <c r="B647" i="6"/>
  <c r="N438" i="8" l="1"/>
  <c r="AQ487" i="8"/>
  <c r="L435" i="8"/>
  <c r="U539" i="8" s="1"/>
  <c r="AE539" i="8" s="1"/>
  <c r="AO487" i="8"/>
  <c r="M438" i="8"/>
  <c r="AP487" i="8"/>
  <c r="AM487" i="8" s="1"/>
  <c r="Q438" i="8"/>
  <c r="AT487" i="8"/>
  <c r="C650" i="6"/>
  <c r="H699" i="6"/>
  <c r="R438" i="8"/>
  <c r="AU487" i="8"/>
  <c r="O438" i="8"/>
  <c r="AR487" i="8"/>
  <c r="P438" i="8"/>
  <c r="AS487" i="8"/>
  <c r="G648" i="6"/>
  <c r="I434" i="8"/>
  <c r="H434" i="8"/>
  <c r="G434" i="8"/>
  <c r="F434" i="8"/>
  <c r="E434" i="8"/>
  <c r="D434" i="8"/>
  <c r="C434" i="8"/>
  <c r="B434" i="8"/>
  <c r="B646" i="6"/>
  <c r="N437" i="8" l="1"/>
  <c r="AQ486" i="8"/>
  <c r="P437" i="8"/>
  <c r="AS486" i="8"/>
  <c r="Q437" i="8"/>
  <c r="AT486" i="8"/>
  <c r="C649" i="6"/>
  <c r="H698" i="6"/>
  <c r="R437" i="8"/>
  <c r="AU486" i="8"/>
  <c r="M437" i="8"/>
  <c r="AP486" i="8"/>
  <c r="O437" i="8"/>
  <c r="AR486" i="8"/>
  <c r="G647" i="6"/>
  <c r="I433" i="8"/>
  <c r="H433" i="8"/>
  <c r="G433" i="8"/>
  <c r="F433" i="8"/>
  <c r="E433" i="8"/>
  <c r="D433" i="8"/>
  <c r="C433" i="8"/>
  <c r="B433" i="8"/>
  <c r="B645" i="6"/>
  <c r="C648" i="6" l="1"/>
  <c r="H697" i="6"/>
  <c r="N436" i="8"/>
  <c r="AQ485" i="8"/>
  <c r="AM486" i="8"/>
  <c r="P436" i="8"/>
  <c r="AS485" i="8"/>
  <c r="R436" i="8"/>
  <c r="AU485" i="8"/>
  <c r="M436" i="8"/>
  <c r="AP485" i="8"/>
  <c r="AM485" i="8" s="1"/>
  <c r="O436" i="8"/>
  <c r="AR485" i="8"/>
  <c r="Q436" i="8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AM484" i="8" s="1"/>
  <c r="C432" i="8"/>
  <c r="B432" i="8"/>
  <c r="B644" i="6"/>
  <c r="H696" i="6" s="1"/>
  <c r="N435" i="8" l="1"/>
  <c r="R435" i="8"/>
  <c r="M435" i="8"/>
  <c r="O435" i="8"/>
  <c r="Q435" i="8"/>
  <c r="P435" i="8"/>
  <c r="C647" i="6"/>
  <c r="G645" i="6"/>
  <c r="I431" i="8" l="1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AM483" i="8" s="1"/>
  <c r="C431" i="8"/>
  <c r="B431" i="8"/>
  <c r="B643" i="6"/>
  <c r="H695" i="6" s="1"/>
  <c r="M434" i="8" l="1"/>
  <c r="O434" i="8"/>
  <c r="Q434" i="8"/>
  <c r="N434" i="8"/>
  <c r="P434" i="8"/>
  <c r="R434" i="8"/>
  <c r="C646" i="6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M433" i="8" l="1"/>
  <c r="O433" i="8"/>
  <c r="Q433" i="8"/>
  <c r="N433" i="8"/>
  <c r="P433" i="8"/>
  <c r="R433" i="8"/>
  <c r="C645" i="6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AM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N431" i="8" l="1"/>
  <c r="P431" i="8"/>
  <c r="R431" i="8"/>
  <c r="N432" i="8"/>
  <c r="P432" i="8"/>
  <c r="R432" i="8"/>
  <c r="M431" i="8"/>
  <c r="O431" i="8"/>
  <c r="Q431" i="8"/>
  <c r="M432" i="8"/>
  <c r="O432" i="8"/>
  <c r="Q432" i="8"/>
  <c r="C644" i="6"/>
  <c r="G642" i="6"/>
  <c r="B640" i="6"/>
  <c r="H692" i="6" s="1"/>
  <c r="AM480" i="8" s="1"/>
  <c r="C643" i="6" l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AM479" i="8" l="1"/>
  <c r="M430" i="8"/>
  <c r="O430" i="8"/>
  <c r="Q430" i="8"/>
  <c r="N430" i="8"/>
  <c r="P430" i="8"/>
  <c r="R430" i="8"/>
  <c r="C642" i="6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AM478" i="8" l="1"/>
  <c r="N429" i="8"/>
  <c r="P429" i="8"/>
  <c r="R429" i="8"/>
  <c r="M429" i="8"/>
  <c r="O429" i="8"/>
  <c r="Q429" i="8"/>
  <c r="C641" i="6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AM477" i="8" l="1"/>
  <c r="N428" i="8"/>
  <c r="P428" i="8"/>
  <c r="R428" i="8"/>
  <c r="M428" i="8"/>
  <c r="O428" i="8"/>
  <c r="Q428" i="8"/>
  <c r="C640" i="6"/>
  <c r="G638" i="6"/>
  <c r="I424" i="8" l="1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O427" i="8"/>
  <c r="Q427" i="8"/>
  <c r="N427" i="8"/>
  <c r="P427" i="8"/>
  <c r="R427" i="8"/>
  <c r="C639" i="6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AM475" i="8" l="1"/>
  <c r="M426" i="8"/>
  <c r="O426" i="8"/>
  <c r="Q426" i="8"/>
  <c r="N426" i="8"/>
  <c r="P426" i="8"/>
  <c r="R426" i="8"/>
  <c r="C638" i="6"/>
  <c r="G636" i="6"/>
  <c r="I422" i="8"/>
  <c r="H422" i="8"/>
  <c r="G422" i="8"/>
  <c r="F422" i="8"/>
  <c r="E422" i="8"/>
  <c r="D422" i="8"/>
  <c r="C422" i="8"/>
  <c r="B422" i="8"/>
  <c r="B634" i="6"/>
  <c r="N425" i="8" l="1"/>
  <c r="AQ474" i="8"/>
  <c r="O425" i="8"/>
  <c r="AR474" i="8"/>
  <c r="P425" i="8"/>
  <c r="AS474" i="8"/>
  <c r="Q425" i="8"/>
  <c r="AT474" i="8"/>
  <c r="M425" i="8"/>
  <c r="AP474" i="8"/>
  <c r="R425" i="8"/>
  <c r="AU474" i="8"/>
  <c r="C637" i="6"/>
  <c r="H686" i="6"/>
  <c r="AM474" i="8" s="1"/>
  <c r="G635" i="6"/>
  <c r="I421" i="8"/>
  <c r="H421" i="8"/>
  <c r="G421" i="8"/>
  <c r="F421" i="8"/>
  <c r="E421" i="8"/>
  <c r="D421" i="8"/>
  <c r="C421" i="8"/>
  <c r="B421" i="8"/>
  <c r="B633" i="6"/>
  <c r="R424" i="8" l="1"/>
  <c r="AU473" i="8"/>
  <c r="M424" i="8"/>
  <c r="AP473" i="8"/>
  <c r="N424" i="8"/>
  <c r="AQ473" i="8"/>
  <c r="O424" i="8"/>
  <c r="AR473" i="8"/>
  <c r="P424" i="8"/>
  <c r="AS473" i="8"/>
  <c r="Q424" i="8"/>
  <c r="AT473" i="8"/>
  <c r="C636" i="6"/>
  <c r="H685" i="6"/>
  <c r="AM473" i="8" s="1"/>
  <c r="G634" i="6"/>
  <c r="I420" i="8"/>
  <c r="H420" i="8"/>
  <c r="G420" i="8"/>
  <c r="F420" i="8"/>
  <c r="E420" i="8"/>
  <c r="D420" i="8"/>
  <c r="C420" i="8"/>
  <c r="B420" i="8"/>
  <c r="B632" i="6"/>
  <c r="R423" i="8" l="1"/>
  <c r="AU472" i="8"/>
  <c r="M423" i="8"/>
  <c r="AP472" i="8"/>
  <c r="P423" i="8"/>
  <c r="AS472" i="8"/>
  <c r="N423" i="8"/>
  <c r="AQ472" i="8"/>
  <c r="O423" i="8"/>
  <c r="AR472" i="8"/>
  <c r="Q423" i="8"/>
  <c r="AT472" i="8"/>
  <c r="C635" i="6"/>
  <c r="H684" i="6"/>
  <c r="AM472" i="8" s="1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s="1"/>
  <c r="L422" i="8" l="1"/>
  <c r="N422" i="8"/>
  <c r="P422" i="8"/>
  <c r="R422" i="8"/>
  <c r="C634" i="6"/>
  <c r="M422" i="8"/>
  <c r="O422" i="8"/>
  <c r="Q422" i="8"/>
  <c r="G632" i="6"/>
  <c r="I418" i="8"/>
  <c r="H418" i="8"/>
  <c r="G418" i="8"/>
  <c r="F418" i="8"/>
  <c r="E418" i="8"/>
  <c r="D418" i="8"/>
  <c r="C418" i="8"/>
  <c r="B418" i="8"/>
  <c r="K421" i="8" s="1"/>
  <c r="T525" i="8" s="1"/>
  <c r="AD525" i="8" s="1"/>
  <c r="B630" i="6"/>
  <c r="N421" i="8" l="1"/>
  <c r="AQ470" i="8"/>
  <c r="M421" i="8"/>
  <c r="AP470" i="8"/>
  <c r="R421" i="8"/>
  <c r="AU470" i="8"/>
  <c r="O421" i="8"/>
  <c r="AR470" i="8"/>
  <c r="P421" i="8"/>
  <c r="AS470" i="8"/>
  <c r="Q421" i="8"/>
  <c r="AT470" i="8"/>
  <c r="L421" i="8"/>
  <c r="AO470" i="8"/>
  <c r="C633" i="6"/>
  <c r="H682" i="6"/>
  <c r="AM470" i="8" s="1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AM467" i="8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AM466" i="8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L420" i="8" l="1"/>
  <c r="AO469" i="8"/>
  <c r="AM464" i="8"/>
  <c r="N419" i="8"/>
  <c r="AQ468" i="8"/>
  <c r="M420" i="8"/>
  <c r="AP469" i="8"/>
  <c r="AM468" i="8"/>
  <c r="R419" i="8"/>
  <c r="AU468" i="8"/>
  <c r="Q420" i="8"/>
  <c r="AT469" i="8"/>
  <c r="AM465" i="8"/>
  <c r="N420" i="8"/>
  <c r="AQ469" i="8"/>
  <c r="P420" i="8"/>
  <c r="AS469" i="8"/>
  <c r="R420" i="8"/>
  <c r="AU469" i="8"/>
  <c r="P419" i="8"/>
  <c r="AS468" i="8"/>
  <c r="O420" i="8"/>
  <c r="AR469" i="8"/>
  <c r="L419" i="8"/>
  <c r="AO468" i="8"/>
  <c r="K420" i="8"/>
  <c r="AN469" i="8"/>
  <c r="C632" i="6"/>
  <c r="H681" i="6"/>
  <c r="AM469" i="8" s="1"/>
  <c r="C631" i="6"/>
  <c r="C630" i="6"/>
  <c r="L418" i="8"/>
  <c r="N418" i="8"/>
  <c r="P418" i="8"/>
  <c r="R418" i="8"/>
  <c r="K419" i="8"/>
  <c r="O419" i="8"/>
  <c r="M418" i="8"/>
  <c r="M419" i="8"/>
  <c r="Q418" i="8"/>
  <c r="Q419" i="8"/>
  <c r="K418" i="8"/>
  <c r="O418" i="8"/>
  <c r="G630" i="6"/>
  <c r="K417" i="8"/>
  <c r="M417" i="8"/>
  <c r="O417" i="8"/>
  <c r="Q417" i="8"/>
  <c r="L417" i="8"/>
  <c r="N417" i="8"/>
  <c r="P417" i="8"/>
  <c r="R417" i="8"/>
  <c r="C629" i="6"/>
  <c r="G629" i="6"/>
  <c r="L416" i="8"/>
  <c r="N416" i="8"/>
  <c r="P416" i="8"/>
  <c r="R416" i="8"/>
  <c r="K416" i="8"/>
  <c r="M416" i="8"/>
  <c r="O416" i="8"/>
  <c r="Q416" i="8"/>
  <c r="C628" i="6"/>
  <c r="G628" i="6"/>
  <c r="G625" i="6"/>
  <c r="M415" i="8"/>
  <c r="L415" i="8"/>
  <c r="N415" i="8"/>
  <c r="P415" i="8"/>
  <c r="R415" i="8"/>
  <c r="K415" i="8"/>
  <c r="O415" i="8"/>
  <c r="Q415" i="8"/>
  <c r="C627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AM462" i="8" l="1"/>
  <c r="O414" i="8"/>
  <c r="AR463" i="8"/>
  <c r="AM461" i="8"/>
  <c r="P414" i="8"/>
  <c r="AS463" i="8"/>
  <c r="L414" i="8"/>
  <c r="AO463" i="8"/>
  <c r="M414" i="8"/>
  <c r="AP463" i="8"/>
  <c r="Q414" i="8"/>
  <c r="AT463" i="8"/>
  <c r="R414" i="8"/>
  <c r="AU463" i="8"/>
  <c r="K414" i="8"/>
  <c r="AN463" i="8"/>
  <c r="N414" i="8"/>
  <c r="AQ463" i="8"/>
  <c r="G624" i="6"/>
  <c r="H675" i="6"/>
  <c r="AM463" i="8" s="1"/>
  <c r="AM458" i="8"/>
  <c r="AM456" i="8"/>
  <c r="AM457" i="8"/>
  <c r="AM459" i="8"/>
  <c r="AM460" i="8"/>
  <c r="K413" i="8"/>
  <c r="M413" i="8"/>
  <c r="O413" i="8"/>
  <c r="Q413" i="8"/>
  <c r="K412" i="8"/>
  <c r="M412" i="8"/>
  <c r="O412" i="8"/>
  <c r="Q412" i="8"/>
  <c r="C625" i="6"/>
  <c r="L413" i="8"/>
  <c r="N413" i="8"/>
  <c r="P413" i="8"/>
  <c r="R413" i="8"/>
  <c r="C626" i="6"/>
  <c r="C624" i="6"/>
  <c r="L412" i="8"/>
  <c r="N412" i="8"/>
  <c r="P412" i="8"/>
  <c r="R412" i="8"/>
  <c r="L411" i="8"/>
  <c r="N411" i="8"/>
  <c r="P411" i="8"/>
  <c r="R411" i="8"/>
  <c r="K411" i="8"/>
  <c r="M411" i="8"/>
  <c r="O411" i="8"/>
  <c r="Q411" i="8"/>
  <c r="C623" i="6"/>
  <c r="G623" i="6"/>
  <c r="N410" i="8"/>
  <c r="R410" i="8"/>
  <c r="L410" i="8"/>
  <c r="P410" i="8"/>
  <c r="K410" i="8"/>
  <c r="M410" i="8"/>
  <c r="O410" i="8"/>
  <c r="Q410" i="8"/>
  <c r="C622" i="6"/>
  <c r="G622" i="6"/>
  <c r="C620" i="6"/>
  <c r="L409" i="8"/>
  <c r="N409" i="8"/>
  <c r="P409" i="8"/>
  <c r="R409" i="8"/>
  <c r="K409" i="8"/>
  <c r="M409" i="8"/>
  <c r="O409" i="8"/>
  <c r="Q409" i="8"/>
  <c r="C621" i="6"/>
  <c r="G621" i="6"/>
  <c r="L408" i="8"/>
  <c r="N408" i="8"/>
  <c r="P408" i="8"/>
  <c r="R408" i="8"/>
  <c r="K408" i="8"/>
  <c r="M408" i="8"/>
  <c r="O408" i="8"/>
  <c r="Q408" i="8"/>
  <c r="G620" i="6"/>
  <c r="L407" i="8"/>
  <c r="N407" i="8"/>
  <c r="P407" i="8"/>
  <c r="R407" i="8"/>
  <c r="K407" i="8"/>
  <c r="M407" i="8"/>
  <c r="O407" i="8"/>
  <c r="Q407" i="8"/>
  <c r="C619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AM450" i="8" l="1"/>
  <c r="AM451" i="8"/>
  <c r="C615" i="6"/>
  <c r="H664" i="6"/>
  <c r="AM452" i="8" s="1"/>
  <c r="AM453" i="8"/>
  <c r="C617" i="6"/>
  <c r="H666" i="6"/>
  <c r="AM454" i="8" s="1"/>
  <c r="L405" i="8"/>
  <c r="AO454" i="8"/>
  <c r="N405" i="8"/>
  <c r="AQ454" i="8"/>
  <c r="P405" i="8"/>
  <c r="AS454" i="8"/>
  <c r="R405" i="8"/>
  <c r="AU454" i="8"/>
  <c r="K406" i="8"/>
  <c r="AN455" i="8"/>
  <c r="M406" i="8"/>
  <c r="AP455" i="8"/>
  <c r="AM455" i="8" s="1"/>
  <c r="O406" i="8"/>
  <c r="AR455" i="8"/>
  <c r="Q406" i="8"/>
  <c r="AT455" i="8"/>
  <c r="L406" i="8"/>
  <c r="AO455" i="8"/>
  <c r="N406" i="8"/>
  <c r="AQ455" i="8"/>
  <c r="P406" i="8"/>
  <c r="AS455" i="8"/>
  <c r="R406" i="8"/>
  <c r="AU455" i="8"/>
  <c r="C616" i="6"/>
  <c r="L404" i="8"/>
  <c r="N404" i="8"/>
  <c r="K405" i="8"/>
  <c r="M405" i="8"/>
  <c r="O405" i="8"/>
  <c r="Q405" i="8"/>
  <c r="G616" i="6"/>
  <c r="C618" i="6"/>
  <c r="K404" i="8"/>
  <c r="M404" i="8"/>
  <c r="O404" i="8"/>
  <c r="Q404" i="8"/>
  <c r="P404" i="8"/>
  <c r="R404" i="8"/>
  <c r="C614" i="6"/>
  <c r="G615" i="6"/>
  <c r="L403" i="8"/>
  <c r="N403" i="8"/>
  <c r="P403" i="8"/>
  <c r="R403" i="8"/>
  <c r="K403" i="8"/>
  <c r="M403" i="8"/>
  <c r="O403" i="8"/>
  <c r="Q403" i="8"/>
  <c r="N402" i="8"/>
  <c r="P402" i="8"/>
  <c r="R402" i="8"/>
  <c r="L402" i="8"/>
  <c r="K402" i="8"/>
  <c r="M402" i="8"/>
  <c r="O402" i="8"/>
  <c r="Q402" i="8"/>
  <c r="G614" i="6"/>
  <c r="L401" i="8"/>
  <c r="N401" i="8"/>
  <c r="P401" i="8"/>
  <c r="R401" i="8"/>
  <c r="K401" i="8"/>
  <c r="M401" i="8"/>
  <c r="O401" i="8"/>
  <c r="Q401" i="8"/>
  <c r="C613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AM447" i="8" l="1"/>
  <c r="AM448" i="8"/>
  <c r="C612" i="6"/>
  <c r="H661" i="6"/>
  <c r="L400" i="8"/>
  <c r="AO449" i="8"/>
  <c r="N400" i="8"/>
  <c r="AQ449" i="8"/>
  <c r="P400" i="8"/>
  <c r="AS449" i="8"/>
  <c r="R400" i="8"/>
  <c r="AU449" i="8"/>
  <c r="K400" i="8"/>
  <c r="AN449" i="8"/>
  <c r="M400" i="8"/>
  <c r="AP449" i="8"/>
  <c r="AM449" i="8" s="1"/>
  <c r="O400" i="8"/>
  <c r="AR449" i="8"/>
  <c r="Q400" i="8"/>
  <c r="AT449" i="8"/>
  <c r="C611" i="6"/>
  <c r="K398" i="8"/>
  <c r="M398" i="8"/>
  <c r="O398" i="8"/>
  <c r="Q398" i="8"/>
  <c r="L399" i="8"/>
  <c r="N399" i="8"/>
  <c r="P399" i="8"/>
  <c r="R399" i="8"/>
  <c r="C610" i="6"/>
  <c r="L398" i="8"/>
  <c r="N398" i="8"/>
  <c r="P398" i="8"/>
  <c r="R398" i="8"/>
  <c r="K399" i="8"/>
  <c r="M399" i="8"/>
  <c r="O399" i="8"/>
  <c r="Q399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AM436" i="8" l="1"/>
  <c r="AM438" i="8"/>
  <c r="AM440" i="8"/>
  <c r="AM441" i="8"/>
  <c r="AM443" i="8"/>
  <c r="K397" i="8"/>
  <c r="AN446" i="8"/>
  <c r="M397" i="8"/>
  <c r="AP446" i="8"/>
  <c r="O397" i="8"/>
  <c r="AR446" i="8"/>
  <c r="Q397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AO446" i="8"/>
  <c r="N397" i="8"/>
  <c r="AQ446" i="8"/>
  <c r="P397" i="8"/>
  <c r="AS446" i="8"/>
  <c r="R397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N396" i="8"/>
  <c r="P396" i="8"/>
  <c r="R396" i="8"/>
  <c r="C608" i="6"/>
  <c r="M396" i="8"/>
  <c r="Q396" i="8"/>
  <c r="C609" i="6"/>
  <c r="K396" i="8"/>
  <c r="O396" i="8"/>
  <c r="C607" i="6"/>
  <c r="L395" i="8"/>
  <c r="N395" i="8"/>
  <c r="P395" i="8"/>
  <c r="R395" i="8"/>
  <c r="C606" i="6"/>
  <c r="K395" i="8"/>
  <c r="M395" i="8"/>
  <c r="O395" i="8"/>
  <c r="Q395" i="8"/>
  <c r="L394" i="8"/>
  <c r="N394" i="8"/>
  <c r="P394" i="8"/>
  <c r="R394" i="8"/>
  <c r="K394" i="8"/>
  <c r="M394" i="8"/>
  <c r="O394" i="8"/>
  <c r="Q394" i="8"/>
  <c r="G606" i="6"/>
  <c r="L393" i="8"/>
  <c r="N393" i="8"/>
  <c r="P393" i="8"/>
  <c r="R393" i="8"/>
  <c r="K393" i="8"/>
  <c r="M393" i="8"/>
  <c r="O393" i="8"/>
  <c r="Q393" i="8"/>
  <c r="C605" i="6"/>
  <c r="G605" i="6"/>
  <c r="L392" i="8"/>
  <c r="N392" i="8"/>
  <c r="P392" i="8"/>
  <c r="R392" i="8"/>
  <c r="K392" i="8"/>
  <c r="M392" i="8"/>
  <c r="O392" i="8"/>
  <c r="Q392" i="8"/>
  <c r="C604" i="6"/>
  <c r="G604" i="6"/>
  <c r="L391" i="8"/>
  <c r="N391" i="8"/>
  <c r="P391" i="8"/>
  <c r="R391" i="8"/>
  <c r="K391" i="8"/>
  <c r="M391" i="8"/>
  <c r="O391" i="8"/>
  <c r="Q391" i="8"/>
  <c r="C603" i="6"/>
  <c r="G603" i="6"/>
  <c r="L390" i="8"/>
  <c r="N390" i="8"/>
  <c r="P390" i="8"/>
  <c r="R390" i="8"/>
  <c r="K390" i="8"/>
  <c r="M390" i="8"/>
  <c r="O390" i="8"/>
  <c r="Q390" i="8"/>
  <c r="C602" i="6"/>
  <c r="G602" i="6"/>
  <c r="L389" i="8"/>
  <c r="N389" i="8"/>
  <c r="P389" i="8"/>
  <c r="R389" i="8"/>
  <c r="K389" i="8"/>
  <c r="M389" i="8"/>
  <c r="O389" i="8"/>
  <c r="Q389" i="8"/>
  <c r="G601" i="6"/>
  <c r="C601" i="6"/>
  <c r="L388" i="8"/>
  <c r="N388" i="8"/>
  <c r="P388" i="8"/>
  <c r="R388" i="8"/>
  <c r="M388" i="8"/>
  <c r="O388" i="8"/>
  <c r="Q388" i="8"/>
  <c r="C600" i="6"/>
  <c r="G600" i="6"/>
  <c r="L387" i="8"/>
  <c r="N387" i="8"/>
  <c r="P387" i="8"/>
  <c r="R387" i="8"/>
  <c r="M387" i="8"/>
  <c r="O387" i="8"/>
  <c r="Q387" i="8"/>
  <c r="C599" i="6"/>
  <c r="G599" i="6"/>
  <c r="L386" i="8"/>
  <c r="N386" i="8"/>
  <c r="P386" i="8"/>
  <c r="R386" i="8"/>
  <c r="M386" i="8"/>
  <c r="O386" i="8"/>
  <c r="Q386" i="8"/>
  <c r="C598" i="6"/>
  <c r="G598" i="6"/>
  <c r="C597" i="6"/>
  <c r="G597" i="6"/>
  <c r="L385" i="8"/>
  <c r="N385" i="8"/>
  <c r="P385" i="8"/>
  <c r="R385" i="8"/>
  <c r="M385" i="8"/>
  <c r="O385" i="8"/>
  <c r="Q385" i="8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38" i="6" l="1"/>
  <c r="F738" i="6"/>
  <c r="I736" i="6"/>
  <c r="F736" i="6"/>
  <c r="AC532" i="8"/>
  <c r="AC539" i="8"/>
  <c r="AC540" i="8"/>
  <c r="AC523" i="8"/>
  <c r="AC526" i="8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F744" i="6"/>
  <c r="F746" i="6"/>
  <c r="I746" i="6"/>
  <c r="AC534" i="8" s="1"/>
  <c r="I747" i="6"/>
  <c r="AC535" i="8" s="1"/>
  <c r="F747" i="6"/>
  <c r="F748" i="6"/>
  <c r="I748" i="6"/>
  <c r="F749" i="6"/>
  <c r="I749" i="6"/>
  <c r="AC537" i="8" s="1"/>
  <c r="I750" i="6"/>
  <c r="AC538" i="8" s="1"/>
  <c r="F750" i="6"/>
  <c r="F751" i="6"/>
  <c r="I751" i="6"/>
  <c r="I752" i="6"/>
  <c r="F752" i="6"/>
  <c r="F737" i="6"/>
  <c r="I737" i="6"/>
  <c r="AC525" i="8" s="1"/>
  <c r="F734" i="6"/>
  <c r="I734" i="6"/>
  <c r="I739" i="6"/>
  <c r="AC527" i="8" s="1"/>
  <c r="F739" i="6"/>
  <c r="F735" i="6"/>
  <c r="I735" i="6"/>
  <c r="F745" i="6"/>
  <c r="I745" i="6"/>
  <c r="AC533" i="8" s="1"/>
  <c r="AC536" i="8"/>
  <c r="AC522" i="8"/>
  <c r="AC524" i="8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AC517" i="8"/>
  <c r="F733" i="6"/>
  <c r="I733" i="6"/>
  <c r="I728" i="6"/>
  <c r="F728" i="6"/>
  <c r="F730" i="6"/>
  <c r="I730" i="6"/>
  <c r="AC518" i="8" s="1"/>
  <c r="AC521" i="8"/>
  <c r="AC516" i="8"/>
  <c r="AC514" i="8"/>
  <c r="F726" i="6"/>
  <c r="I726" i="6"/>
  <c r="I731" i="6"/>
  <c r="AC519" i="8" s="1"/>
  <c r="F731" i="6"/>
  <c r="I729" i="6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I715" i="6"/>
  <c r="F715" i="6"/>
  <c r="F720" i="6"/>
  <c r="I720" i="6"/>
  <c r="AC508" i="8" s="1"/>
  <c r="F721" i="6"/>
  <c r="I721" i="6"/>
  <c r="AC509" i="8" s="1"/>
  <c r="AC506" i="8"/>
  <c r="F719" i="6"/>
  <c r="I719" i="6"/>
  <c r="AC507" i="8" s="1"/>
  <c r="AC510" i="8"/>
  <c r="F717" i="6"/>
  <c r="I717" i="6"/>
  <c r="F716" i="6"/>
  <c r="I716" i="6"/>
  <c r="AC504" i="8" s="1"/>
  <c r="I722" i="6"/>
  <c r="F722" i="6"/>
  <c r="AC505" i="8"/>
  <c r="AC503" i="8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AC499" i="8"/>
  <c r="F711" i="6"/>
  <c r="I711" i="6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P339" i="8"/>
  <c r="Y495" i="8" s="1"/>
  <c r="AI495" i="8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AR264" i="8" s="1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AU261" i="8" s="1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K264" i="8" s="1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C473" i="6" s="1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O156" i="8" s="1"/>
  <c r="F205" i="8"/>
  <c r="F257" i="8"/>
  <c r="E153" i="8"/>
  <c r="E205" i="8"/>
  <c r="E257" i="8"/>
  <c r="D153" i="8"/>
  <c r="D205" i="8"/>
  <c r="D257" i="8"/>
  <c r="M260" i="8" s="1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P312" i="8" s="1"/>
  <c r="Y468" i="8" s="1"/>
  <c r="AI468" i="8" s="1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N207" i="8" s="1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AP308" i="8" s="1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O154" i="8" s="1"/>
  <c r="F203" i="8"/>
  <c r="F255" i="8"/>
  <c r="E151" i="8"/>
  <c r="E203" i="8"/>
  <c r="E255" i="8"/>
  <c r="D151" i="8"/>
  <c r="D203" i="8"/>
  <c r="M206" i="8" s="1"/>
  <c r="D255" i="8"/>
  <c r="M258" i="8" s="1"/>
  <c r="C151" i="8"/>
  <c r="L153" i="8" s="1"/>
  <c r="C203" i="8"/>
  <c r="C255" i="8"/>
  <c r="B151" i="8"/>
  <c r="B203" i="8"/>
  <c r="B255" i="8"/>
  <c r="I151" i="8"/>
  <c r="I203" i="8"/>
  <c r="R206" i="8" s="1"/>
  <c r="I255" i="8"/>
  <c r="R256" i="8" s="1"/>
  <c r="B363" i="6"/>
  <c r="B415" i="6"/>
  <c r="B467" i="6"/>
  <c r="I307" i="8"/>
  <c r="H307" i="8"/>
  <c r="G307" i="8"/>
  <c r="P310" i="8" s="1"/>
  <c r="Y466" i="8" s="1"/>
  <c r="AI466" i="8" s="1"/>
  <c r="F307" i="8"/>
  <c r="O310" i="8" s="1"/>
  <c r="X466" i="8" s="1"/>
  <c r="AH466" i="8" s="1"/>
  <c r="E307" i="8"/>
  <c r="D307" i="8"/>
  <c r="C307" i="8"/>
  <c r="B307" i="8"/>
  <c r="B519" i="6"/>
  <c r="H150" i="8"/>
  <c r="H202" i="8"/>
  <c r="Q205" i="8" s="1"/>
  <c r="H254" i="8"/>
  <c r="Q257" i="8" s="1"/>
  <c r="G150" i="8"/>
  <c r="G202" i="8"/>
  <c r="G254" i="8"/>
  <c r="F150" i="8"/>
  <c r="F202" i="8"/>
  <c r="F254" i="8"/>
  <c r="E150" i="8"/>
  <c r="E202" i="8"/>
  <c r="N205" i="8" s="1"/>
  <c r="E254" i="8"/>
  <c r="D150" i="8"/>
  <c r="D202" i="8"/>
  <c r="D254" i="8"/>
  <c r="C150" i="8"/>
  <c r="C202" i="8"/>
  <c r="C254" i="8"/>
  <c r="L257" i="8" s="1"/>
  <c r="B150" i="8"/>
  <c r="K153" i="8" s="1"/>
  <c r="B202" i="8"/>
  <c r="B254" i="8"/>
  <c r="I150" i="8"/>
  <c r="I202" i="8"/>
  <c r="I254" i="8"/>
  <c r="B362" i="6"/>
  <c r="B414" i="6"/>
  <c r="B466" i="6"/>
  <c r="C469" i="6" s="1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C415" i="6" s="1"/>
  <c r="B464" i="6"/>
  <c r="C467" i="6" s="1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R150" i="8" s="1"/>
  <c r="I199" i="8"/>
  <c r="R202" i="8" s="1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C465" i="6" s="1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N148" i="8" s="1"/>
  <c r="E197" i="8"/>
  <c r="N200" i="8" s="1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M199" i="8" s="1"/>
  <c r="D248" i="8"/>
  <c r="M251" i="8" s="1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N198" i="8" s="1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AP299" i="8" s="1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C351" i="6" s="1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O137" i="8" s="1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AO282" i="8" s="1"/>
  <c r="B282" i="8"/>
  <c r="B494" i="6"/>
  <c r="H125" i="8"/>
  <c r="H177" i="8"/>
  <c r="H229" i="8"/>
  <c r="G125" i="8"/>
  <c r="G177" i="8"/>
  <c r="G229" i="8"/>
  <c r="P232" i="8" s="1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AT281" i="8" s="1"/>
  <c r="G281" i="8"/>
  <c r="F281" i="8"/>
  <c r="E281" i="8"/>
  <c r="D281" i="8"/>
  <c r="C281" i="8"/>
  <c r="B281" i="8"/>
  <c r="B493" i="6"/>
  <c r="H124" i="8"/>
  <c r="H176" i="8"/>
  <c r="Q179" i="8" s="1"/>
  <c r="H228" i="8"/>
  <c r="Q231" i="8" s="1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L231" i="8" s="1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L282" i="8" s="1"/>
  <c r="B280" i="8"/>
  <c r="B492" i="6"/>
  <c r="C495" i="6" s="1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489" i="6" s="1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AP275" i="8" s="1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M171" i="8" s="1"/>
  <c r="D220" i="8"/>
  <c r="M223" i="8" s="1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AS272" i="8" s="1"/>
  <c r="F272" i="8"/>
  <c r="E272" i="8"/>
  <c r="N275" i="8" s="1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N118" i="8" s="1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M221" i="8" s="1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O89" i="8" s="1"/>
  <c r="E86" i="8"/>
  <c r="N89" i="8" s="1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C280" i="6" s="1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P258" i="8"/>
  <c r="Y414" i="8" s="1"/>
  <c r="AI414" i="8" s="1"/>
  <c r="AS301" i="8"/>
  <c r="AQ303" i="8"/>
  <c r="AQ331" i="8"/>
  <c r="P126" i="8" l="1"/>
  <c r="AQ280" i="8"/>
  <c r="R231" i="8"/>
  <c r="L137" i="8"/>
  <c r="N304" i="8"/>
  <c r="W460" i="8" s="1"/>
  <c r="AG460" i="8" s="1"/>
  <c r="R253" i="8"/>
  <c r="AA305" i="8" s="1"/>
  <c r="AK305" i="8" s="1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AC496" i="8"/>
  <c r="F708" i="6"/>
  <c r="I708" i="6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AC495" i="8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X414" i="8" s="1"/>
  <c r="AH414" i="8" s="1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Y274" i="8" s="1"/>
  <c r="AI274" i="8" s="1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M262" i="8" s="1"/>
  <c r="AS263" i="8"/>
  <c r="AT275" i="8"/>
  <c r="P178" i="8"/>
  <c r="Q188" i="8"/>
  <c r="K152" i="8"/>
  <c r="O257" i="8"/>
  <c r="P206" i="8"/>
  <c r="Y362" i="8" s="1"/>
  <c r="AI362" i="8" s="1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AA309" i="8" s="1"/>
  <c r="AK309" i="8" s="1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U309" i="8" s="1"/>
  <c r="AE309" i="8" s="1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V304" i="8" s="1"/>
  <c r="AF304" i="8" s="1"/>
  <c r="R149" i="8"/>
  <c r="R151" i="8"/>
  <c r="R152" i="8"/>
  <c r="R153" i="8"/>
  <c r="M205" i="8"/>
  <c r="L310" i="8"/>
  <c r="U466" i="8" s="1"/>
  <c r="AE466" i="8" s="1"/>
  <c r="L258" i="8"/>
  <c r="U310" i="8" s="1"/>
  <c r="AE310" i="8" s="1"/>
  <c r="N154" i="8"/>
  <c r="W310" i="8" s="1"/>
  <c r="AG310" i="8" s="1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D518" i="6" s="1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D331" i="6"/>
  <c r="D332" i="6"/>
  <c r="D333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D489" i="6" s="1"/>
  <c r="F489" i="6" s="1"/>
  <c r="C438" i="6"/>
  <c r="D542" i="6" s="1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V273" i="8" s="1"/>
  <c r="AF273" i="8" s="1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Z361" i="8"/>
  <c r="AJ361" i="8" s="1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AM299" i="8" s="1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AM308" i="8" s="1"/>
  <c r="H521" i="6"/>
  <c r="AM309" i="8" s="1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T405" i="8" s="1"/>
  <c r="AD405" i="8" s="1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V258" i="8" s="1"/>
  <c r="AF258" i="8" s="1"/>
  <c r="C444" i="6"/>
  <c r="Q192" i="8"/>
  <c r="L298" i="8"/>
  <c r="U454" i="8" s="1"/>
  <c r="AE454" i="8" s="1"/>
  <c r="O198" i="8"/>
  <c r="X354" i="8" s="1"/>
  <c r="AH354" i="8" s="1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M253" i="8" s="1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T258" i="8" s="1"/>
  <c r="AD258" i="8" s="1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AM290" i="8" s="1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Z332" i="8" s="1"/>
  <c r="AJ332" i="8" s="1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T408" i="8" s="1"/>
  <c r="AD408" i="8" s="1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X408" i="8" s="1"/>
  <c r="AH408" i="8" s="1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X238" i="8" s="1"/>
  <c r="AH238" i="8" s="1"/>
  <c r="O135" i="8"/>
  <c r="P165" i="8"/>
  <c r="R114" i="8"/>
  <c r="K114" i="8"/>
  <c r="N239" i="8"/>
  <c r="O239" i="8"/>
  <c r="Q238" i="8"/>
  <c r="K192" i="8"/>
  <c r="Q140" i="8"/>
  <c r="Z296" i="8" s="1"/>
  <c r="AJ296" i="8" s="1"/>
  <c r="N139" i="8"/>
  <c r="R194" i="8"/>
  <c r="K305" i="8"/>
  <c r="T461" i="8" s="1"/>
  <c r="AD461" i="8" s="1"/>
  <c r="Q305" i="8"/>
  <c r="Z461" i="8" s="1"/>
  <c r="AJ461" i="8" s="1"/>
  <c r="L201" i="8"/>
  <c r="M149" i="8"/>
  <c r="V305" i="8" s="1"/>
  <c r="AF305" i="8" s="1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D520" i="6" s="1"/>
  <c r="K324" i="8"/>
  <c r="H523" i="6"/>
  <c r="L312" i="8"/>
  <c r="U468" i="8" s="1"/>
  <c r="AE468" i="8" s="1"/>
  <c r="Q96" i="8"/>
  <c r="Z252" i="8" s="1"/>
  <c r="AJ252" i="8" s="1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P87" i="8"/>
  <c r="M88" i="8"/>
  <c r="N93" i="8"/>
  <c r="R95" i="8"/>
  <c r="K95" i="8"/>
  <c r="O93" i="8"/>
  <c r="R96" i="8"/>
  <c r="AA252" i="8" s="1"/>
  <c r="AK252" i="8" s="1"/>
  <c r="L96" i="8"/>
  <c r="R98" i="8"/>
  <c r="AA254" i="8" s="1"/>
  <c r="AK254" i="8" s="1"/>
  <c r="L99" i="8"/>
  <c r="L100" i="8"/>
  <c r="P100" i="8"/>
  <c r="K101" i="8"/>
  <c r="T257" i="8" s="1"/>
  <c r="AD257" i="8" s="1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M325" i="8" s="1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Y441" i="8" s="1"/>
  <c r="AI441" i="8" s="1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Y286" i="8" s="1"/>
  <c r="AI286" i="8" s="1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U304" i="8" s="1"/>
  <c r="AE304" i="8" s="1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W434" i="8" s="1"/>
  <c r="AG434" i="8" s="1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AA390" i="8" s="1"/>
  <c r="AK390" i="8" s="1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T308" i="8"/>
  <c r="AD308" i="8" s="1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M323" i="8" s="1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T256" i="8" s="1"/>
  <c r="AD256" i="8" s="1"/>
  <c r="L172" i="8"/>
  <c r="O105" i="8"/>
  <c r="AT219" i="8"/>
  <c r="AS217" i="8"/>
  <c r="AO290" i="8"/>
  <c r="AQ318" i="8"/>
  <c r="N269" i="8"/>
  <c r="W425" i="8" s="1"/>
  <c r="AG425" i="8" s="1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M291" i="8" s="1"/>
  <c r="AT242" i="8"/>
  <c r="Q193" i="8"/>
  <c r="Z349" i="8" s="1"/>
  <c r="AJ349" i="8" s="1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Y304" i="8" s="1"/>
  <c r="AI304" i="8" s="1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D481" i="6"/>
  <c r="F481" i="6" s="1"/>
  <c r="C273" i="6"/>
  <c r="D326" i="6" s="1"/>
  <c r="C290" i="6"/>
  <c r="C305" i="6"/>
  <c r="D358" i="6" s="1"/>
  <c r="AQ317" i="8"/>
  <c r="H427" i="6"/>
  <c r="C431" i="6"/>
  <c r="H534" i="6"/>
  <c r="AM322" i="8" s="1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D385" i="6"/>
  <c r="F385" i="6" s="1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AA253" i="8" s="1"/>
  <c r="AK253" i="8" s="1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AM256" i="8" s="1"/>
  <c r="M116" i="8"/>
  <c r="V272" i="8" s="1"/>
  <c r="AF272" i="8" s="1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W252" i="8" s="1"/>
  <c r="AG252" i="8" s="1"/>
  <c r="P95" i="8"/>
  <c r="K98" i="8"/>
  <c r="K99" i="8"/>
  <c r="O99" i="8"/>
  <c r="X255" i="8" s="1"/>
  <c r="AH255" i="8" s="1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D636" i="6" s="1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Y321" i="8" s="1"/>
  <c r="AI321" i="8" s="1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Y427" i="8" s="1"/>
  <c r="AI427" i="8" s="1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245" i="8" s="1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D403" i="6" s="1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V427" i="8" s="1"/>
  <c r="AF427" i="8" s="1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AM223" i="8" s="1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Z432" i="8" s="1"/>
  <c r="AJ432" i="8" s="1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AM318" i="8" s="1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D522" i="6"/>
  <c r="F522" i="6" s="1"/>
  <c r="AM297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X254" i="8" s="1"/>
  <c r="AH254" i="8" s="1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D519" i="6"/>
  <c r="I519" i="6" s="1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X252" i="8" s="1"/>
  <c r="AH252" i="8" s="1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W427" i="8" s="1"/>
  <c r="AG427" i="8" s="1"/>
  <c r="P270" i="8"/>
  <c r="Y426" i="8" s="1"/>
  <c r="AI426" i="8" s="1"/>
  <c r="K116" i="8"/>
  <c r="AU218" i="8"/>
  <c r="O169" i="8"/>
  <c r="C434" i="6"/>
  <c r="D590" i="6" s="1"/>
  <c r="O221" i="8"/>
  <c r="C435" i="6"/>
  <c r="AU220" i="8"/>
  <c r="AS220" i="8"/>
  <c r="AU221" i="8"/>
  <c r="M224" i="8"/>
  <c r="V380" i="8" s="1"/>
  <c r="AF380" i="8" s="1"/>
  <c r="M120" i="8"/>
  <c r="N172" i="8"/>
  <c r="O120" i="8"/>
  <c r="AT221" i="8"/>
  <c r="Q120" i="8"/>
  <c r="N173" i="8"/>
  <c r="Q225" i="8"/>
  <c r="M278" i="8"/>
  <c r="V434" i="8" s="1"/>
  <c r="AF434" i="8" s="1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D638" i="6" s="1"/>
  <c r="C485" i="6"/>
  <c r="D641" i="6" s="1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X441" i="8" s="1"/>
  <c r="AH441" i="8" s="1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V310" i="8"/>
  <c r="AF310" i="8" s="1"/>
  <c r="T270" i="8"/>
  <c r="Q68" i="8"/>
  <c r="R63" i="8"/>
  <c r="L86" i="8"/>
  <c r="L61" i="8"/>
  <c r="Q272" i="8"/>
  <c r="P272" i="8"/>
  <c r="O271" i="8"/>
  <c r="X427" i="8" s="1"/>
  <c r="AH427" i="8" s="1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U412" i="8" s="1"/>
  <c r="AE412" i="8" s="1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T267" i="8" s="1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D410" i="6" s="1"/>
  <c r="F410" i="6" s="1"/>
  <c r="C307" i="6"/>
  <c r="D411" i="6" s="1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AM282" i="8" s="1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AM288" i="8" s="1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AM294" i="8" s="1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AA246" i="8" s="1"/>
  <c r="AK246" i="8" s="1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W348" i="8" s="1"/>
  <c r="AG348" i="8" s="1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W404" i="8" s="1"/>
  <c r="AG404" i="8" s="1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D634" i="6" s="1"/>
  <c r="H473" i="6"/>
  <c r="C474" i="6"/>
  <c r="H525" i="6"/>
  <c r="G424" i="6"/>
  <c r="G423" i="6"/>
  <c r="H423" i="6"/>
  <c r="G422" i="6"/>
  <c r="G421" i="6"/>
  <c r="C424" i="6"/>
  <c r="C371" i="6"/>
  <c r="C369" i="6"/>
  <c r="T420" i="8"/>
  <c r="AD420" i="8" s="1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V422" i="8" s="1"/>
  <c r="AF422" i="8" s="1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Z421" i="8" s="1"/>
  <c r="AJ421" i="8" s="1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D350" i="6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AM263" i="8" s="1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A307" i="8"/>
  <c r="AK307" i="8" s="1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X246" i="8" s="1"/>
  <c r="AH246" i="8" s="1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W304" i="8"/>
  <c r="AG304" i="8" s="1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U416" i="8" s="1"/>
  <c r="AE416" i="8" s="1"/>
  <c r="L248" i="8"/>
  <c r="U404" i="8" s="1"/>
  <c r="AE404" i="8" s="1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W240" i="8" s="1"/>
  <c r="AG240" i="8" s="1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AA240" i="8" s="1"/>
  <c r="AK240" i="8" s="1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U395" i="8" s="1"/>
  <c r="AE395" i="8" s="1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AM258" i="8" s="1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T221" i="8" s="1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AM330" i="8" s="1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W392" i="8" s="1"/>
  <c r="AG392" i="8" s="1"/>
  <c r="O184" i="8"/>
  <c r="C397" i="6"/>
  <c r="M133" i="8"/>
  <c r="V289" i="8" s="1"/>
  <c r="AF289" i="8" s="1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AM224" i="8" s="1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Z309" i="8"/>
  <c r="AJ309" i="8" s="1"/>
  <c r="M64" i="8"/>
  <c r="N66" i="8"/>
  <c r="W222" i="8" s="1"/>
  <c r="AG222" i="8" s="1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X361" i="8" l="1"/>
  <c r="AH361" i="8" s="1"/>
  <c r="D400" i="6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AC488" i="8"/>
  <c r="W309" i="8"/>
  <c r="AG309" i="8" s="1"/>
  <c r="AC490" i="8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AC485" i="8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D695" i="6"/>
  <c r="D352" i="6"/>
  <c r="X250" i="8"/>
  <c r="AH250" i="8" s="1"/>
  <c r="V435" i="8"/>
  <c r="AF435" i="8" s="1"/>
  <c r="V487" i="8"/>
  <c r="AF487" i="8" s="1"/>
  <c r="AC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/>
  <c r="D533" i="6"/>
  <c r="I533" i="6" s="1"/>
  <c r="D386" i="6"/>
  <c r="F386" i="6" s="1"/>
  <c r="D651" i="6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C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D608" i="6"/>
  <c r="D614" i="6"/>
  <c r="I691" i="6"/>
  <c r="AC479" i="8" s="1"/>
  <c r="F691" i="6"/>
  <c r="D334" i="6"/>
  <c r="D624" i="6"/>
  <c r="I624" i="6" s="1"/>
  <c r="D676" i="6"/>
  <c r="D437" i="6"/>
  <c r="D616" i="6"/>
  <c r="D417" i="6"/>
  <c r="F686" i="6"/>
  <c r="I686" i="6"/>
  <c r="AC474" i="8" s="1"/>
  <c r="D644" i="6"/>
  <c r="F644" i="6" s="1"/>
  <c r="D585" i="6"/>
  <c r="F585" i="6" s="1"/>
  <c r="D689" i="6"/>
  <c r="D570" i="6"/>
  <c r="D674" i="6"/>
  <c r="F685" i="6"/>
  <c r="I685" i="6"/>
  <c r="AC473" i="8" s="1"/>
  <c r="I682" i="6"/>
  <c r="AC470" i="8" s="1"/>
  <c r="F682" i="6"/>
  <c r="F679" i="6"/>
  <c r="I679" i="6"/>
  <c r="AC467" i="8" s="1"/>
  <c r="D567" i="6"/>
  <c r="D571" i="6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I651" i="6"/>
  <c r="AA440" i="8"/>
  <c r="AK440" i="8" s="1"/>
  <c r="D343" i="6"/>
  <c r="D394" i="6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I520" i="6"/>
  <c r="F520" i="6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AC427" i="8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F643" i="6"/>
  <c r="I643" i="6"/>
  <c r="I642" i="6"/>
  <c r="AC430" i="8" s="1"/>
  <c r="F641" i="6"/>
  <c r="I641" i="6"/>
  <c r="D647" i="6"/>
  <c r="D640" i="6"/>
  <c r="F639" i="6"/>
  <c r="D637" i="6"/>
  <c r="D635" i="6"/>
  <c r="D630" i="6"/>
  <c r="F630" i="6" s="1"/>
  <c r="F638" i="6"/>
  <c r="I638" i="6"/>
  <c r="D551" i="6"/>
  <c r="F551" i="6" s="1"/>
  <c r="F636" i="6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F634" i="6"/>
  <c r="I634" i="6"/>
  <c r="AC422" i="8" s="1"/>
  <c r="Y419" i="8"/>
  <c r="AI419" i="8" s="1"/>
  <c r="W422" i="8"/>
  <c r="AG422" i="8" s="1"/>
  <c r="X420" i="8"/>
  <c r="AH420" i="8" s="1"/>
  <c r="Y422" i="8"/>
  <c r="AI422" i="8" s="1"/>
  <c r="I632" i="6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I629" i="6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F627" i="6"/>
  <c r="I627" i="6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F624" i="6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AC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F620" i="6"/>
  <c r="I620" i="6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I616" i="6"/>
  <c r="AC404" i="8" s="1"/>
  <c r="F616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F615" i="6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F614" i="6"/>
  <c r="I614" i="6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F608" i="6"/>
  <c r="I608" i="6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F490" i="6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AC335" i="8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F591" i="6"/>
  <c r="Y378" i="8"/>
  <c r="AI378" i="8" s="1"/>
  <c r="D537" i="6"/>
  <c r="F537" i="6" s="1"/>
  <c r="AA376" i="8"/>
  <c r="AK376" i="8" s="1"/>
  <c r="Y372" i="8"/>
  <c r="AI372" i="8" s="1"/>
  <c r="AA287" i="8"/>
  <c r="AK287" i="8" s="1"/>
  <c r="F590" i="6"/>
  <c r="I590" i="6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F571" i="6"/>
  <c r="I571" i="6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F570" i="6"/>
  <c r="I570" i="6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I481" i="6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F533" i="6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C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F567" i="6"/>
  <c r="I567" i="6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AC274" i="8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F559" i="6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AC327" i="8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C273" i="8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AC304" i="8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AC310" i="8" s="1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C272" i="8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C326" i="8" s="1"/>
  <c r="AM233" i="8"/>
  <c r="D432" i="6"/>
  <c r="I432" i="6" s="1"/>
  <c r="D483" i="6"/>
  <c r="I483" i="6" s="1"/>
  <c r="AC271" i="8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I438" i="6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AC321" i="8"/>
  <c r="Z340" i="8"/>
  <c r="AJ340" i="8" s="1"/>
  <c r="D445" i="6"/>
  <c r="I445" i="6" s="1"/>
  <c r="AC233" i="8" s="1"/>
  <c r="D509" i="6"/>
  <c r="F509" i="6" s="1"/>
  <c r="AM230" i="8"/>
  <c r="F519" i="6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I410" i="6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I551" i="6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F394" i="6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I492" i="6"/>
  <c r="AC280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I518" i="6"/>
  <c r="F518" i="6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AC308" i="8" s="1"/>
  <c r="F411" i="6"/>
  <c r="I411" i="6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F542" i="6"/>
  <c r="I542" i="6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F437" i="6"/>
  <c r="I437" i="6"/>
  <c r="I40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I400" i="6"/>
  <c r="F400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I417" i="6"/>
  <c r="F417" i="6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I439" i="6" l="1"/>
  <c r="AC314" i="8"/>
  <c r="F607" i="6"/>
  <c r="F611" i="6"/>
  <c r="I703" i="6"/>
  <c r="AC491" i="8" s="1"/>
  <c r="F703" i="6"/>
  <c r="F695" i="6"/>
  <c r="I695" i="6"/>
  <c r="AC483" i="8" s="1"/>
  <c r="AC424" i="8"/>
  <c r="AC355" i="8"/>
  <c r="I644" i="6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417" i="8"/>
  <c r="AC227" i="8"/>
  <c r="AC378" i="8"/>
  <c r="AC468" i="8"/>
  <c r="AC432" i="8"/>
  <c r="AC360" i="8"/>
  <c r="AC431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AC429" i="8"/>
  <c r="F645" i="6"/>
  <c r="I645" i="6"/>
  <c r="AC433" i="8" s="1"/>
  <c r="F635" i="6"/>
  <c r="I635" i="6"/>
  <c r="AC423" i="8" s="1"/>
  <c r="F640" i="6"/>
  <c r="I640" i="6"/>
  <c r="AC428" i="8" s="1"/>
  <c r="AC420" i="8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AC418" i="8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AC226" i="8"/>
  <c r="F619" i="6"/>
  <c r="I619" i="6"/>
  <c r="AC407" i="8" s="1"/>
  <c r="AC408" i="8"/>
  <c r="AC406" i="8"/>
  <c r="F459" i="6"/>
  <c r="F488" i="6"/>
  <c r="F455" i="6"/>
  <c r="I447" i="6"/>
  <c r="AC235" i="8" s="1"/>
  <c r="AC339" i="8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AC269" i="8"/>
  <c r="F560" i="6"/>
  <c r="AC397" i="8"/>
  <c r="AC403" i="8"/>
  <c r="AC402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9" i="8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<sst xmlns="http://schemas.openxmlformats.org/spreadsheetml/2006/main" count="284" uniqueCount="68">
  <si>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</si>
  <si>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</si>
  <si>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</si>
  <si>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</si>
  <si>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</si>
  <si>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</si>
  <si>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</si>
  <si>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</si>
  <si>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</si>
  <si>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</si>
  <si>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</si>
  <si>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</si>
  <si>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</si>
  <si>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</si>
  <si>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</si>
  <si>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</si>
  <si>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</si>
  <si>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</si>
  <si>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</si>
  <si>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</si>
  <si>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</si>
  <si>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</si>
  <si>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</si>
  <si>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</si>
  <si>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</si>
  <si>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</si>
  <si>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</si>
  <si>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</si>
  <si>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</si>
  <si>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</si>
  <si>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</si>
  <si>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</si>
  <si>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</si>
  <si>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</si>
  <si>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</si>
  <si>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</si>
  <si>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</si>
  <si>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</si>
  <si>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</si>
  <si>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</si>
  <si>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</si>
  <si>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</si>
  <si>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</si>
  <si>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</si>
  <si>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</si>
  <si>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</si>
  <si>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</si>
  <si>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</si>
  <si>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</si>
  <si>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</si>
  <si>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</si>
  <si>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</si>
  <si>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</si>
  <si>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</si>
  <si>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</si>
  <si>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</si>
  <si>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</si>
  <si>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</si>
  <si>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</si>
  <si>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</si>
  <si>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</si>
  <si>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</si>
  <si>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Week ending April 9: up 9 percent from last week, down 11 percent</t>
  </si>
  <si>
    <t>from last year, and down 22 percent from the 3-yr average</t>
  </si>
  <si>
    <t>June</t>
  </si>
  <si>
    <t>August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</si>
  <si>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average; ton = 2,000 pounds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</si>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</sst>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37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2" fontId="4" fillId="2" borderId="0" xfId="0" quotePrefix="1" applyNumberFormat="1" applyFont="1" applyFill="1" applyAlignment="1">
      <alignment horizontal="right"/>
    </xf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5438742870653217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8_data'!$A$707:$A$759</c:f>
              <c:numCache>
                <c:formatCode>m/d/yyyy</c:formatCode>
                <c:ptCount val="53"/>
                <c:pt idx="0">
                  <c:v>41044</c:v>
                </c:pt>
                <c:pt idx="1">
                  <c:v>41051</c:v>
                </c:pt>
                <c:pt idx="2">
                  <c:v>41058</c:v>
                </c:pt>
                <c:pt idx="3">
                  <c:v>41065</c:v>
                </c:pt>
                <c:pt idx="4">
                  <c:v>41072</c:v>
                </c:pt>
                <c:pt idx="5">
                  <c:v>41079</c:v>
                </c:pt>
                <c:pt idx="6">
                  <c:v>41086</c:v>
                </c:pt>
                <c:pt idx="7">
                  <c:v>41093</c:v>
                </c:pt>
                <c:pt idx="8">
                  <c:v>41100</c:v>
                </c:pt>
                <c:pt idx="9">
                  <c:v>41107</c:v>
                </c:pt>
                <c:pt idx="10">
                  <c:v>41114</c:v>
                </c:pt>
                <c:pt idx="11">
                  <c:v>41121</c:v>
                </c:pt>
                <c:pt idx="12">
                  <c:v>41128</c:v>
                </c:pt>
                <c:pt idx="13">
                  <c:v>41135</c:v>
                </c:pt>
                <c:pt idx="14">
                  <c:v>41142</c:v>
                </c:pt>
                <c:pt idx="15">
                  <c:v>41149</c:v>
                </c:pt>
                <c:pt idx="16">
                  <c:v>41156</c:v>
                </c:pt>
                <c:pt idx="17">
                  <c:v>41163</c:v>
                </c:pt>
                <c:pt idx="18">
                  <c:v>41170</c:v>
                </c:pt>
                <c:pt idx="19">
                  <c:v>41177</c:v>
                </c:pt>
                <c:pt idx="20">
                  <c:v>41184</c:v>
                </c:pt>
                <c:pt idx="21">
                  <c:v>41191</c:v>
                </c:pt>
                <c:pt idx="22">
                  <c:v>41198</c:v>
                </c:pt>
                <c:pt idx="23">
                  <c:v>41205</c:v>
                </c:pt>
                <c:pt idx="24">
                  <c:v>41212</c:v>
                </c:pt>
                <c:pt idx="25">
                  <c:v>41219</c:v>
                </c:pt>
                <c:pt idx="26">
                  <c:v>41226</c:v>
                </c:pt>
                <c:pt idx="27">
                  <c:v>41233</c:v>
                </c:pt>
                <c:pt idx="28">
                  <c:v>41240</c:v>
                </c:pt>
                <c:pt idx="29">
                  <c:v>41247</c:v>
                </c:pt>
                <c:pt idx="30">
                  <c:v>41254</c:v>
                </c:pt>
                <c:pt idx="31">
                  <c:v>41261</c:v>
                </c:pt>
                <c:pt idx="32">
                  <c:v>41268</c:v>
                </c:pt>
                <c:pt idx="33">
                  <c:v>41275</c:v>
                </c:pt>
                <c:pt idx="34">
                  <c:v>41282</c:v>
                </c:pt>
                <c:pt idx="35">
                  <c:v>41289</c:v>
                </c:pt>
                <c:pt idx="36">
                  <c:v>41296</c:v>
                </c:pt>
                <c:pt idx="37">
                  <c:v>41303</c:v>
                </c:pt>
                <c:pt idx="38">
                  <c:v>41310</c:v>
                </c:pt>
                <c:pt idx="39">
                  <c:v>41317</c:v>
                </c:pt>
                <c:pt idx="40">
                  <c:v>41324</c:v>
                </c:pt>
                <c:pt idx="41">
                  <c:v>41331</c:v>
                </c:pt>
                <c:pt idx="42">
                  <c:v>41338</c:v>
                </c:pt>
                <c:pt idx="43">
                  <c:v>41345</c:v>
                </c:pt>
                <c:pt idx="44">
                  <c:v>41352</c:v>
                </c:pt>
                <c:pt idx="45">
                  <c:v>41359</c:v>
                </c:pt>
                <c:pt idx="46">
                  <c:v>41366</c:v>
                </c:pt>
                <c:pt idx="47">
                  <c:v>41373</c:v>
                </c:pt>
                <c:pt idx="48">
                  <c:v>41380</c:v>
                </c:pt>
                <c:pt idx="49">
                  <c:v>41387</c:v>
                </c:pt>
                <c:pt idx="50">
                  <c:v>41394</c:v>
                </c:pt>
                <c:pt idx="51">
                  <c:v>41401</c:v>
                </c:pt>
                <c:pt idx="52">
                  <c:v>41408</c:v>
                </c:pt>
              </c:numCache>
            </c:numRef>
          </c:cat>
          <c:val>
            <c:numRef>
              <c:f>'Figure 8_data'!$B$707:$B$759</c:f>
              <c:numCache>
                <c:formatCode>0</c:formatCode>
                <c:ptCount val="53"/>
                <c:pt idx="0">
                  <c:v>343.33333333333331</c:v>
                </c:pt>
                <c:pt idx="1">
                  <c:v>323</c:v>
                </c:pt>
                <c:pt idx="2">
                  <c:v>330</c:v>
                </c:pt>
                <c:pt idx="3">
                  <c:v>285</c:v>
                </c:pt>
                <c:pt idx="4">
                  <c:v>283.75</c:v>
                </c:pt>
                <c:pt idx="5">
                  <c:v>276.66666666666669</c:v>
                </c:pt>
                <c:pt idx="6">
                  <c:v>270</c:v>
                </c:pt>
                <c:pt idx="7">
                  <c:v>320</c:v>
                </c:pt>
                <c:pt idx="8">
                  <c:v>353.33333333333331</c:v>
                </c:pt>
                <c:pt idx="9">
                  <c:v>408.75</c:v>
                </c:pt>
                <c:pt idx="10">
                  <c:v>356.66666666666669</c:v>
                </c:pt>
                <c:pt idx="11">
                  <c:v>355</c:v>
                </c:pt>
                <c:pt idx="12">
                  <c:v>305</c:v>
                </c:pt>
                <c:pt idx="13">
                  <c:v>365</c:v>
                </c:pt>
                <c:pt idx="14">
                  <c:v>330</c:v>
                </c:pt>
                <c:pt idx="15">
                  <c:v>437.5</c:v>
                </c:pt>
                <c:pt idx="16">
                  <c:v>500</c:v>
                </c:pt>
                <c:pt idx="17">
                  <c:v>550</c:v>
                </c:pt>
                <c:pt idx="18">
                  <c:v>625</c:v>
                </c:pt>
                <c:pt idx="19">
                  <c:v>608.33333333333337</c:v>
                </c:pt>
                <c:pt idx="20">
                  <c:v>633.33333333333337</c:v>
                </c:pt>
                <c:pt idx="21">
                  <c:v>512.5</c:v>
                </c:pt>
                <c:pt idx="22">
                  <c:v>500</c:v>
                </c:pt>
                <c:pt idx="23">
                  <c:v>587.5</c:v>
                </c:pt>
                <c:pt idx="24">
                  <c:v>546.66666666666663</c:v>
                </c:pt>
                <c:pt idx="25">
                  <c:v>595</c:v>
                </c:pt>
                <c:pt idx="26">
                  <c:v>533.33333333333337</c:v>
                </c:pt>
                <c:pt idx="27">
                  <c:v>600</c:v>
                </c:pt>
                <c:pt idx="28">
                  <c:v>613</c:v>
                </c:pt>
                <c:pt idx="29">
                  <c:v>575</c:v>
                </c:pt>
                <c:pt idx="30">
                  <c:v>600</c:v>
                </c:pt>
                <c:pt idx="31">
                  <c:v>575</c:v>
                </c:pt>
                <c:pt idx="32">
                  <c:v>563</c:v>
                </c:pt>
                <c:pt idx="33">
                  <c:v>500</c:v>
                </c:pt>
                <c:pt idx="34">
                  <c:v>372.5</c:v>
                </c:pt>
                <c:pt idx="35">
                  <c:v>347.5</c:v>
                </c:pt>
                <c:pt idx="36">
                  <c:v>333</c:v>
                </c:pt>
                <c:pt idx="37">
                  <c:v>330</c:v>
                </c:pt>
                <c:pt idx="38">
                  <c:v>323.33333333333331</c:v>
                </c:pt>
                <c:pt idx="39">
                  <c:v>325</c:v>
                </c:pt>
                <c:pt idx="40">
                  <c:v>325</c:v>
                </c:pt>
                <c:pt idx="41">
                  <c:v>326.66666666666669</c:v>
                </c:pt>
                <c:pt idx="42">
                  <c:v>325</c:v>
                </c:pt>
                <c:pt idx="43">
                  <c:v>325</c:v>
                </c:pt>
                <c:pt idx="44">
                  <c:v>307</c:v>
                </c:pt>
                <c:pt idx="45">
                  <c:v>293.33333333333331</c:v>
                </c:pt>
                <c:pt idx="46">
                  <c:v>262.5</c:v>
                </c:pt>
                <c:pt idx="47">
                  <c:v>285</c:v>
                </c:pt>
                <c:pt idx="48">
                  <c:v>273.33333333333331</c:v>
                </c:pt>
                <c:pt idx="49">
                  <c:v>0</c:v>
                </c:pt>
                <c:pt idx="50">
                  <c:v>0</c:v>
                </c:pt>
                <c:pt idx="51">
                  <c:v>287.5</c:v>
                </c:pt>
                <c:pt idx="52">
                  <c:v>277.5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44960"/>
        <c:axId val="36346496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8_data'!$A$706:$A$758</c:f>
              <c:numCache>
                <c:formatCode>m/d/yyyy</c:formatCode>
                <c:ptCount val="53"/>
                <c:pt idx="0">
                  <c:v>41037</c:v>
                </c:pt>
                <c:pt idx="1">
                  <c:v>41044</c:v>
                </c:pt>
                <c:pt idx="2">
                  <c:v>41051</c:v>
                </c:pt>
                <c:pt idx="3">
                  <c:v>41058</c:v>
                </c:pt>
                <c:pt idx="4">
                  <c:v>41065</c:v>
                </c:pt>
                <c:pt idx="5">
                  <c:v>41072</c:v>
                </c:pt>
                <c:pt idx="6">
                  <c:v>41079</c:v>
                </c:pt>
                <c:pt idx="7">
                  <c:v>41086</c:v>
                </c:pt>
                <c:pt idx="8">
                  <c:v>41093</c:v>
                </c:pt>
                <c:pt idx="9">
                  <c:v>41100</c:v>
                </c:pt>
                <c:pt idx="10">
                  <c:v>41107</c:v>
                </c:pt>
                <c:pt idx="11">
                  <c:v>41114</c:v>
                </c:pt>
                <c:pt idx="12">
                  <c:v>41121</c:v>
                </c:pt>
                <c:pt idx="13">
                  <c:v>41128</c:v>
                </c:pt>
                <c:pt idx="14">
                  <c:v>41135</c:v>
                </c:pt>
                <c:pt idx="15">
                  <c:v>41142</c:v>
                </c:pt>
                <c:pt idx="16">
                  <c:v>41149</c:v>
                </c:pt>
                <c:pt idx="17">
                  <c:v>41156</c:v>
                </c:pt>
                <c:pt idx="18">
                  <c:v>41163</c:v>
                </c:pt>
                <c:pt idx="19">
                  <c:v>41170</c:v>
                </c:pt>
                <c:pt idx="20">
                  <c:v>41177</c:v>
                </c:pt>
                <c:pt idx="21">
                  <c:v>41184</c:v>
                </c:pt>
                <c:pt idx="22">
                  <c:v>41191</c:v>
                </c:pt>
                <c:pt idx="23">
                  <c:v>41198</c:v>
                </c:pt>
                <c:pt idx="24">
                  <c:v>41205</c:v>
                </c:pt>
                <c:pt idx="25">
                  <c:v>41212</c:v>
                </c:pt>
                <c:pt idx="26">
                  <c:v>41219</c:v>
                </c:pt>
                <c:pt idx="27">
                  <c:v>41226</c:v>
                </c:pt>
                <c:pt idx="28">
                  <c:v>41233</c:v>
                </c:pt>
                <c:pt idx="29">
                  <c:v>41240</c:v>
                </c:pt>
                <c:pt idx="30">
                  <c:v>41247</c:v>
                </c:pt>
                <c:pt idx="31">
                  <c:v>41254</c:v>
                </c:pt>
                <c:pt idx="32">
                  <c:v>41261</c:v>
                </c:pt>
                <c:pt idx="33">
                  <c:v>41268</c:v>
                </c:pt>
                <c:pt idx="34">
                  <c:v>41275</c:v>
                </c:pt>
                <c:pt idx="35">
                  <c:v>41282</c:v>
                </c:pt>
                <c:pt idx="36">
                  <c:v>41289</c:v>
                </c:pt>
                <c:pt idx="37">
                  <c:v>41296</c:v>
                </c:pt>
                <c:pt idx="38">
                  <c:v>41303</c:v>
                </c:pt>
                <c:pt idx="39">
                  <c:v>41310</c:v>
                </c:pt>
                <c:pt idx="40">
                  <c:v>41317</c:v>
                </c:pt>
                <c:pt idx="41">
                  <c:v>41324</c:v>
                </c:pt>
                <c:pt idx="42">
                  <c:v>41331</c:v>
                </c:pt>
                <c:pt idx="43">
                  <c:v>41338</c:v>
                </c:pt>
                <c:pt idx="44">
                  <c:v>41345</c:v>
                </c:pt>
                <c:pt idx="45">
                  <c:v>41352</c:v>
                </c:pt>
                <c:pt idx="46">
                  <c:v>41359</c:v>
                </c:pt>
                <c:pt idx="47">
                  <c:v>41366</c:v>
                </c:pt>
                <c:pt idx="48">
                  <c:v>41373</c:v>
                </c:pt>
                <c:pt idx="49">
                  <c:v>41380</c:v>
                </c:pt>
                <c:pt idx="50">
                  <c:v>41387</c:v>
                </c:pt>
                <c:pt idx="51">
                  <c:v>41394</c:v>
                </c:pt>
                <c:pt idx="52">
                  <c:v>41401</c:v>
                </c:pt>
              </c:numCache>
            </c:numRef>
          </c:cat>
          <c:val>
            <c:numRef>
              <c:f>'Figure 8_data'!$D$707:$D$759</c:f>
              <c:numCache>
                <c:formatCode>0</c:formatCode>
                <c:ptCount val="53"/>
                <c:pt idx="0">
                  <c:v>349.90277777777783</c:v>
                </c:pt>
                <c:pt idx="1">
                  <c:v>358.08333333333331</c:v>
                </c:pt>
                <c:pt idx="2">
                  <c:v>357.39583333333331</c:v>
                </c:pt>
                <c:pt idx="3">
                  <c:v>351.41666666666669</c:v>
                </c:pt>
                <c:pt idx="4">
                  <c:v>345.16666666666669</c:v>
                </c:pt>
                <c:pt idx="5">
                  <c:v>342.42361111111109</c:v>
                </c:pt>
                <c:pt idx="6">
                  <c:v>339.36111111111109</c:v>
                </c:pt>
                <c:pt idx="7">
                  <c:v>341.46527777777777</c:v>
                </c:pt>
                <c:pt idx="8">
                  <c:v>347.40277777777777</c:v>
                </c:pt>
                <c:pt idx="9">
                  <c:v>358.1875</c:v>
                </c:pt>
                <c:pt idx="10">
                  <c:v>363.34027777777777</c:v>
                </c:pt>
                <c:pt idx="11">
                  <c:v>361.27083333333331</c:v>
                </c:pt>
                <c:pt idx="12">
                  <c:v>359.88888888888886</c:v>
                </c:pt>
                <c:pt idx="13">
                  <c:v>362.18055555555549</c:v>
                </c:pt>
                <c:pt idx="14">
                  <c:v>375.96527777777783</c:v>
                </c:pt>
                <c:pt idx="15">
                  <c:v>401.83333333333331</c:v>
                </c:pt>
                <c:pt idx="16">
                  <c:v>418.6319444444444</c:v>
                </c:pt>
                <c:pt idx="17">
                  <c:v>427.98611111111109</c:v>
                </c:pt>
                <c:pt idx="18">
                  <c:v>446.38888888888886</c:v>
                </c:pt>
                <c:pt idx="19">
                  <c:v>467.22222222222223</c:v>
                </c:pt>
                <c:pt idx="20">
                  <c:v>498.98611111111114</c:v>
                </c:pt>
                <c:pt idx="21">
                  <c:v>519.9861111111112</c:v>
                </c:pt>
                <c:pt idx="22">
                  <c:v>523.95833333333337</c:v>
                </c:pt>
                <c:pt idx="23">
                  <c:v>512.9513888888888</c:v>
                </c:pt>
                <c:pt idx="24">
                  <c:v>487.4375</c:v>
                </c:pt>
                <c:pt idx="25">
                  <c:v>487.93055555555549</c:v>
                </c:pt>
                <c:pt idx="26">
                  <c:v>469.58333333333331</c:v>
                </c:pt>
                <c:pt idx="27">
                  <c:v>457.02083333333331</c:v>
                </c:pt>
                <c:pt idx="28">
                  <c:v>449.10416666666669</c:v>
                </c:pt>
                <c:pt idx="29">
                  <c:v>433.8819444444444</c:v>
                </c:pt>
                <c:pt idx="30">
                  <c:v>437.4930555555556</c:v>
                </c:pt>
                <c:pt idx="31">
                  <c:v>432.8055555555556</c:v>
                </c:pt>
                <c:pt idx="32">
                  <c:v>425.6180555555556</c:v>
                </c:pt>
                <c:pt idx="33">
                  <c:v>406.1875</c:v>
                </c:pt>
                <c:pt idx="34">
                  <c:v>395.90972222222217</c:v>
                </c:pt>
                <c:pt idx="35">
                  <c:v>394.23611111111109</c:v>
                </c:pt>
                <c:pt idx="36">
                  <c:v>399.7569444444444</c:v>
                </c:pt>
                <c:pt idx="37">
                  <c:v>422.77083333333331</c:v>
                </c:pt>
                <c:pt idx="38">
                  <c:v>430.34722222222223</c:v>
                </c:pt>
                <c:pt idx="39">
                  <c:v>438.8194444444444</c:v>
                </c:pt>
                <c:pt idx="40">
                  <c:v>439.5069444444444</c:v>
                </c:pt>
                <c:pt idx="41">
                  <c:v>423.96527777777777</c:v>
                </c:pt>
                <c:pt idx="42">
                  <c:v>424.15972222222223</c:v>
                </c:pt>
                <c:pt idx="43">
                  <c:v>413.46527777777783</c:v>
                </c:pt>
                <c:pt idx="44">
                  <c:v>402.66666666666669</c:v>
                </c:pt>
                <c:pt idx="45">
                  <c:v>395.20138888888891</c:v>
                </c:pt>
                <c:pt idx="46">
                  <c:v>376.77083333333331</c:v>
                </c:pt>
                <c:pt idx="47">
                  <c:v>363.4375</c:v>
                </c:pt>
                <c:pt idx="48">
                  <c:v>353.97222222222223</c:v>
                </c:pt>
                <c:pt idx="49">
                  <c:v>345.45138888888886</c:v>
                </c:pt>
                <c:pt idx="50">
                  <c:v>350.89583333333331</c:v>
                </c:pt>
                <c:pt idx="51">
                  <c:v>362.04166666666669</c:v>
                </c:pt>
                <c:pt idx="52">
                  <c:v>375.81944444444451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56864"/>
        <c:axId val="36358400"/>
      </c:lineChart>
      <c:catAx>
        <c:axId val="3634496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46496"/>
        <c:crosses val="autoZero"/>
        <c:auto val="0"/>
        <c:lblAlgn val="ctr"/>
        <c:lblOffset val="100"/>
        <c:tickMarkSkip val="5"/>
        <c:noMultiLvlLbl val="0"/>
      </c:catAx>
      <c:valAx>
        <c:axId val="36346496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44960"/>
        <c:crosses val="autoZero"/>
        <c:crossBetween val="between"/>
      </c:valAx>
      <c:catAx>
        <c:axId val="363568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36358400"/>
        <c:crosses val="autoZero"/>
        <c:auto val="0"/>
        <c:lblAlgn val="ctr"/>
        <c:lblOffset val="100"/>
        <c:noMultiLvlLbl val="0"/>
      </c:catAx>
      <c:valAx>
        <c:axId val="3635840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63568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84224"/>
        <c:axId val="36485760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92032"/>
        <c:axId val="36493568"/>
      </c:lineChart>
      <c:catAx>
        <c:axId val="3648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48576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36485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484224"/>
        <c:crosses val="autoZero"/>
        <c:crossBetween val="between"/>
      </c:valAx>
      <c:catAx>
        <c:axId val="36492032"/>
        <c:scaling>
          <c:orientation val="minMax"/>
        </c:scaling>
        <c:delete val="1"/>
        <c:axPos val="b"/>
        <c:majorTickMark val="out"/>
        <c:minorTickMark val="none"/>
        <c:tickLblPos val="none"/>
        <c:crossAx val="36493568"/>
        <c:crosses val="autoZero"/>
        <c:auto val="0"/>
        <c:lblAlgn val="ctr"/>
        <c:lblOffset val="100"/>
        <c:noMultiLvlLbl val="0"/>
      </c:catAx>
      <c:valAx>
        <c:axId val="3649356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6492032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19262</xdr:rowOff>
    </xdr:from>
    <xdr:to>
      <xdr:col>8</xdr:col>
      <xdr:colOff>103717</xdr:colOff>
      <xdr:row>14</xdr:row>
      <xdr:rowOff>151342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220218</xdr:colOff>
      <xdr:row>4</xdr:row>
      <xdr:rowOff>47625</xdr:rowOff>
    </xdr:from>
    <xdr:to>
      <xdr:col>7</xdr:col>
      <xdr:colOff>472440</xdr:colOff>
      <xdr:row>5</xdr:row>
      <xdr:rowOff>151638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77618" y="771525"/>
          <a:ext cx="2995422" cy="300863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May 14: down 3 percent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from last week, down 19 from last year and down 26 percent from the 3-yr average  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5"/>
  <sheetViews>
    <sheetView workbookViewId="0">
      <pane xSplit="1" ySplit="3" topLeftCell="B489" activePane="bottomRight" state="frozen"/>
      <selection pane="topRight" activeCell="B1" sqref="B1"/>
      <selection pane="bottomLeft" activeCell="A4" sqref="A4"/>
      <selection pane="bottomRight" activeCell="B494" sqref="B494:I495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2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B493" s="23"/>
      <c r="C493" s="23"/>
      <c r="D493" s="23"/>
      <c r="E493" s="23"/>
      <c r="F493" s="23"/>
      <c r="G493" s="23"/>
      <c r="H493" s="23"/>
      <c r="I493" s="23"/>
    </row>
    <row r="494" spans="1:9" x14ac:dyDescent="0.3">
      <c r="B494" s="23"/>
      <c r="C494" s="23"/>
      <c r="D494" s="23"/>
      <c r="E494" s="23"/>
      <c r="F494" s="23"/>
      <c r="G494" s="23"/>
      <c r="H494" s="23"/>
      <c r="I494" s="23"/>
    </row>
    <row r="495" spans="1:9" x14ac:dyDescent="0.3">
      <c r="B495" s="23"/>
      <c r="C495" s="23"/>
      <c r="D495" s="23"/>
      <c r="E495" s="23"/>
      <c r="F495" s="23"/>
      <c r="G495" s="23"/>
      <c r="H495" s="23"/>
      <c r="I495" s="23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2"/>
  <sheetViews>
    <sheetView workbookViewId="0">
      <pane xSplit="2" ySplit="3" topLeftCell="C491" activePane="bottomRight" state="frozen"/>
      <selection pane="topRight" activeCell="C1" sqref="C1"/>
      <selection pane="bottomLeft" activeCell="A4" sqref="A4"/>
      <selection pane="bottomRight" activeCell="A492" sqref="A492:B492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492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5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5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2"/>
  <sheetViews>
    <sheetView workbookViewId="0">
      <pane xSplit="1" ySplit="3" topLeftCell="B489" activePane="bottomRight" state="frozen"/>
      <selection pane="topRight" activeCell="B1" sqref="B1"/>
      <selection pane="bottomLeft" activeCell="A4" sqref="A4"/>
      <selection pane="bottomRight" activeCell="A492" sqref="A492:B492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492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7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7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7"/>
  <sheetViews>
    <sheetView topLeftCell="A4" zoomScale="120" zoomScaleNormal="120" workbookViewId="0">
      <selection activeCell="A2" sqref="A2:I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6" spans="1:11" x14ac:dyDescent="0.25">
      <c r="A26" t="s">
        <v>62</v>
      </c>
    </row>
    <row r="27" spans="1:11" x14ac:dyDescent="0.25">
      <c r="A27" t="s">
        <v>63</v>
      </c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9"/>
  <sheetViews>
    <sheetView workbookViewId="0">
      <pane ySplit="5" topLeftCell="A737" activePane="bottomLeft" state="frozen"/>
      <selection pane="bottomLeft" activeCell="A759" sqref="A759:I759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32" t="s">
        <v>27</v>
      </c>
      <c r="H4" s="132"/>
      <c r="I4" s="132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f t="shared" ref="E480:E485" si="90">+E479+1</f>
        <v>53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si="90"/>
        <v>54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55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56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57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58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59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60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61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62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63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64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65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66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67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68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69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70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71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72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73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74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75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76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77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78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79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80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81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82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83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84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85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86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87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88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89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90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91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92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93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94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95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96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97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98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99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100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101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102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103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5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f t="shared" si="153"/>
        <v>53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54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55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56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57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58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59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60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61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62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63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64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65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66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67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68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69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70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71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72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73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74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75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76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77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78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79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80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81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82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83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84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85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86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87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88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89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90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91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92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93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94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95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96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97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98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99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100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101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102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103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104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f t="shared" si="153"/>
        <v>105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106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107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108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109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110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111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112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113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114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115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116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117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118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119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120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121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122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123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124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125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126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127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128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129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130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131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132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133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134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135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136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137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138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139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140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141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142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143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59" si="920">E674+1</f>
        <v>144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145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146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147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148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149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150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151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152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153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154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155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156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f t="shared" si="920"/>
        <v>157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158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159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160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161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162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163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164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165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166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167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168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169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170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171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172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173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174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175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176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177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178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179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180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181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182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183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184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185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186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187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188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189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190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191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192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193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194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195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196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197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198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199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200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201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202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203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204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205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206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207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208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f t="shared" si="920"/>
        <v>209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210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211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212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213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214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215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216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217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218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219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220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221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222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223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224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8">
        <f>TWK!D489</f>
        <v>0</v>
      </c>
      <c r="C756" s="8">
        <f t="shared" ref="C756" si="1393">AVERAGE(B753:B756)</f>
        <v>205.20833333333331</v>
      </c>
      <c r="D756" s="8">
        <f t="shared" ref="D756" si="1394">(C600+C652+C704)/3</f>
        <v>345.45138888888886</v>
      </c>
      <c r="E756" s="8">
        <f t="shared" si="920"/>
        <v>225</v>
      </c>
      <c r="F756" s="8">
        <f t="shared" ref="F756" si="1395">SUM(D756-B756)</f>
        <v>345.45138888888886</v>
      </c>
      <c r="G756" s="20">
        <f t="shared" ref="G756" si="1396">(B756/B755-1)*100</f>
        <v>-100</v>
      </c>
      <c r="H756" s="20">
        <f t="shared" ref="H756" si="1397">(B756/B704-1)*100</f>
        <v>-100</v>
      </c>
      <c r="I756" s="20">
        <f t="shared" ref="I756" si="1398">(B756/D756-1)*100</f>
        <v>-100</v>
      </c>
    </row>
    <row r="757" spans="1:9" x14ac:dyDescent="0.3">
      <c r="A757" s="13">
        <f t="shared" si="205"/>
        <v>41394</v>
      </c>
      <c r="B757" s="8">
        <f>TWK!D490</f>
        <v>0</v>
      </c>
      <c r="C757" s="8">
        <f t="shared" ref="C757" si="1399">AVERAGE(B754:B757)</f>
        <v>139.58333333333331</v>
      </c>
      <c r="D757" s="8">
        <f t="shared" ref="D757" si="1400">(C601+C653+C705)/3</f>
        <v>350.89583333333331</v>
      </c>
      <c r="E757" s="8">
        <f t="shared" si="920"/>
        <v>226</v>
      </c>
      <c r="F757" s="8">
        <f t="shared" ref="F757" si="1401">SUM(D757-B757)</f>
        <v>350.89583333333331</v>
      </c>
      <c r="G757" s="20" t="e">
        <f t="shared" ref="G757" si="1402">(B757/B756-1)*100</f>
        <v>#DIV/0!</v>
      </c>
      <c r="H757" s="20">
        <f t="shared" ref="H757" si="1403">(B757/B705-1)*100</f>
        <v>-100</v>
      </c>
      <c r="I757" s="20">
        <f t="shared" ref="I757" si="1404">(B757/D757-1)*100</f>
        <v>-100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5">AVERAGE(B755:B758)</f>
        <v>140.20833333333331</v>
      </c>
      <c r="D758" s="8">
        <f t="shared" ref="D758" si="1406">(C602+C654+C706)/3</f>
        <v>362.04166666666669</v>
      </c>
      <c r="E758" s="8">
        <f t="shared" si="920"/>
        <v>227</v>
      </c>
      <c r="F758" s="8">
        <f t="shared" ref="F758" si="1407">SUM(D758-B758)</f>
        <v>74.541666666666686</v>
      </c>
      <c r="G758" s="20" t="e">
        <f t="shared" ref="G758" si="1408">(B758/B757-1)*100</f>
        <v>#DIV/0!</v>
      </c>
      <c r="H758" s="20">
        <f t="shared" ref="H758" si="1409">(B758/B706-1)*100</f>
        <v>-17.857142857142861</v>
      </c>
      <c r="I758" s="20">
        <f t="shared" ref="I758" si="1410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11">AVERAGE(B756:B759)</f>
        <v>141.25</v>
      </c>
      <c r="D759" s="8">
        <f t="shared" ref="D759" si="1412">(C603+C655+C707)/3</f>
        <v>375.81944444444451</v>
      </c>
      <c r="E759" s="8">
        <f t="shared" si="920"/>
        <v>228</v>
      </c>
      <c r="F759" s="8">
        <f t="shared" ref="F759" si="1413">SUM(D759-B759)</f>
        <v>98.319444444444514</v>
      </c>
      <c r="G759" s="20">
        <f t="shared" ref="G759" si="1414">(B759/B758-1)*100</f>
        <v>-3.4782608695652195</v>
      </c>
      <c r="H759" s="20">
        <f t="shared" ref="H759" si="1415">(B759/B707-1)*100</f>
        <v>-19.17475728155339</v>
      </c>
      <c r="I759" s="20">
        <f t="shared" ref="I759" si="1416">(B759/D759-1)*100</f>
        <v>-26.161351121623134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47"/>
  <sheetViews>
    <sheetView zoomScaleNormal="100" workbookViewId="0">
      <pane xSplit="1" ySplit="3" topLeftCell="V543" activePane="bottomRight" state="frozen"/>
      <selection pane="topRight" activeCell="C1" sqref="C1"/>
      <selection pane="bottomLeft" activeCell="A4" sqref="A4"/>
      <selection pane="bottomRight" activeCell="A547" sqref="A547:XFD547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33" t="s">
        <v>56</v>
      </c>
      <c r="AL1" s="96"/>
      <c r="AM1" s="133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34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34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34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34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35" t="s">
        <v>61</v>
      </c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4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95">
        <f>TWK!B489</f>
        <v>0</v>
      </c>
      <c r="C544" s="95">
        <f>TWK!C489</f>
        <v>0</v>
      </c>
      <c r="D544" s="95">
        <f>TWK!D489</f>
        <v>0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2">AVERAGE(B541:B544)</f>
        <v>186.66666666666669</v>
      </c>
      <c r="L544" s="95">
        <f t="shared" ref="L544" si="6813">AVERAGE(C541:C544)</f>
        <v>223.54166666666669</v>
      </c>
      <c r="M544" s="95">
        <f t="shared" ref="M544" si="6814">AVERAGE(D541:D544)</f>
        <v>205.20833333333331</v>
      </c>
      <c r="N544" s="95">
        <f t="shared" ref="N544" si="6815">AVERAGE(E541:E544)</f>
        <v>227</v>
      </c>
      <c r="O544" s="95">
        <f t="shared" ref="O544" si="6816">AVERAGE(F541:F544)</f>
        <v>195.66666666666666</v>
      </c>
      <c r="P544" s="95">
        <f t="shared" ref="P544" si="6817">AVERAGE(G541:G544)</f>
        <v>195.66666666666666</v>
      </c>
      <c r="Q544" s="95">
        <f t="shared" ref="Q544" si="6818">AVERAGE(H541:H544)</f>
        <v>180.41666666666666</v>
      </c>
      <c r="R544" s="95">
        <f t="shared" ref="R544" si="6819">AVERAGE(I541:I544)</f>
        <v>247.43049490538576</v>
      </c>
      <c r="T544" s="95">
        <f t="shared" ref="T544" si="6820">AVERAGE(K388,K440,K492)</f>
        <v>423.33333333333331</v>
      </c>
      <c r="U544" s="95">
        <f t="shared" ref="U544" si="6821">AVERAGE(L388,L440,L492)</f>
        <v>321.04166666666669</v>
      </c>
      <c r="V544" s="95">
        <f t="shared" ref="V544" si="6822">(M388+M440+M492)/3</f>
        <v>345.45138888888886</v>
      </c>
      <c r="W544" s="95">
        <f t="shared" ref="W544" si="6823">(N388+N440+N492)/3</f>
        <v>251.04166666666666</v>
      </c>
      <c r="X544" s="95">
        <f t="shared" ref="X544" si="6824">(O388+O440+O492)/3</f>
        <v>280.23611111111114</v>
      </c>
      <c r="Y544" s="95">
        <f t="shared" ref="Y544" si="6825">(P388+P440+P492)/3</f>
        <v>280.65277777777777</v>
      </c>
      <c r="Z544" s="95">
        <f t="shared" ref="Z544" si="6826">(Q388+Q440+Q492)/3</f>
        <v>202.83333333333334</v>
      </c>
      <c r="AA544" s="95">
        <f t="shared" ref="AA544" si="6827">(R388+R440+R492)/3</f>
        <v>275.16266375545848</v>
      </c>
      <c r="AC544" s="115">
        <f>+AF544-'Figure 8_data'!I756</f>
        <v>0</v>
      </c>
      <c r="AD544" s="95">
        <f t="shared" ref="AD544" si="6828">(B544/T544-1)*100</f>
        <v>-100</v>
      </c>
      <c r="AE544" s="95">
        <f t="shared" ref="AE544" si="6829">(C544/U544-1)*100</f>
        <v>-100</v>
      </c>
      <c r="AF544" s="95">
        <f t="shared" ref="AF544" si="6830">(D544/V544-1)*100</f>
        <v>-100</v>
      </c>
      <c r="AG544" s="95">
        <f t="shared" ref="AG544" si="6831">(E544/W544-1)*100</f>
        <v>-11.170124481327793</v>
      </c>
      <c r="AH544" s="95">
        <f t="shared" ref="AH544" si="6832">(F544/X544-1)*100</f>
        <v>-30.415819993061412</v>
      </c>
      <c r="AI544" s="95">
        <f t="shared" ref="AI544" si="6833">(G544/Y544-1)*100</f>
        <v>-30.519127035185821</v>
      </c>
      <c r="AJ544" s="95">
        <f t="shared" ref="AJ544" si="6834">(H544/Z544-1)*100</f>
        <v>-11.257189811010681</v>
      </c>
      <c r="AK544" s="95">
        <f t="shared" ref="AK544" si="6835">(I544/AA544-1)*100</f>
        <v>-10.234914639613713</v>
      </c>
      <c r="AM544" s="115">
        <f>AP544-'Figure 8_data'!H756</f>
        <v>0</v>
      </c>
      <c r="AN544" s="95">
        <f t="shared" ref="AN544" si="6836">(B544/B492-1)*100</f>
        <v>-100</v>
      </c>
      <c r="AO544" s="95">
        <f t="shared" ref="AO544" si="6837">(C544/C492-1)*100</f>
        <v>-100</v>
      </c>
      <c r="AP544" s="95">
        <f t="shared" ref="AP544" si="6838">(D544/D492-1)*100</f>
        <v>-100</v>
      </c>
      <c r="AQ544" s="95">
        <f t="shared" ref="AQ544" si="6839">(E544/E492-1)*100</f>
        <v>-5.106382978723401</v>
      </c>
      <c r="AR544" s="95">
        <f t="shared" ref="AR544" si="6840">(F544/F492-1)*100</f>
        <v>-29.09090909090909</v>
      </c>
      <c r="AS544" s="95">
        <f t="shared" ref="AS544" si="6841">(G544/G492-1)*100</f>
        <v>-29.09090909090909</v>
      </c>
      <c r="AT544" s="95">
        <f t="shared" ref="AT544" si="6842">(H544/H492-1)*100</f>
        <v>-12.195121951219512</v>
      </c>
      <c r="AU544" s="95">
        <f t="shared" ref="AU544" si="6843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95">
        <f>TWK!D490</f>
        <v>0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4">AVERAGE(B542:B545)</f>
        <v>292.91666666666669</v>
      </c>
      <c r="L545" s="95">
        <f t="shared" ref="L545" si="6845">AVERAGE(C542:C545)</f>
        <v>229.16666666666669</v>
      </c>
      <c r="M545" s="95">
        <f t="shared" ref="M545" si="6846">AVERAGE(D542:D545)</f>
        <v>139.58333333333331</v>
      </c>
      <c r="N545" s="95">
        <f t="shared" ref="N545" si="6847">AVERAGE(E542:E545)</f>
        <v>223.875</v>
      </c>
      <c r="O545" s="95">
        <f t="shared" ref="O545" si="6848">AVERAGE(F542:F545)</f>
        <v>195.41666666666666</v>
      </c>
      <c r="P545" s="95">
        <f t="shared" ref="P545" si="6849">AVERAGE(G542:G545)</f>
        <v>195.41666666666666</v>
      </c>
      <c r="Q545" s="95">
        <f t="shared" ref="Q545" si="6850">AVERAGE(H542:H545)</f>
        <v>180.41666666666666</v>
      </c>
      <c r="R545" s="95">
        <f t="shared" ref="R545" si="6851">AVERAGE(I542:I545)</f>
        <v>247.43049490538573</v>
      </c>
      <c r="T545" s="95">
        <f t="shared" ref="T545" si="6852">AVERAGE(K389,K441,K493)</f>
        <v>379.07291666666663</v>
      </c>
      <c r="U545" s="95">
        <f t="shared" ref="U545" si="6853">AVERAGE(L389,L441,L493)</f>
        <v>374.81944444444451</v>
      </c>
      <c r="V545" s="95">
        <f t="shared" ref="V545" si="6854">(M389+M441+M493)/3</f>
        <v>350.89583333333331</v>
      </c>
      <c r="W545" s="95">
        <f t="shared" ref="W545" si="6855">(N389+N441+N493)/3</f>
        <v>251.9652777777778</v>
      </c>
      <c r="X545" s="95">
        <f t="shared" ref="X545" si="6856">(O389+O441+O493)/3</f>
        <v>272.1805555555556</v>
      </c>
      <c r="Y545" s="95">
        <f t="shared" ref="Y545" si="6857">(P389+P441+P493)/3</f>
        <v>272.59722222222223</v>
      </c>
      <c r="Z545" s="95">
        <f t="shared" ref="Z545" si="6858">(Q389+Q441+Q493)/3</f>
        <v>177.55555555555554</v>
      </c>
      <c r="AA545" s="95">
        <f t="shared" ref="AA545" si="6859">(R389+R441+R493)/3</f>
        <v>240.50230470645317</v>
      </c>
      <c r="AC545" s="115">
        <f>+AF545-'Figure 8_data'!I757</f>
        <v>0</v>
      </c>
      <c r="AD545" s="95">
        <f t="shared" ref="AD545" si="6860">(B545/T545-1)*100</f>
        <v>12.115632986177904</v>
      </c>
      <c r="AE545" s="95">
        <f t="shared" ref="AE545" si="6861">(C545/U545-1)*100</f>
        <v>-16.626523881869058</v>
      </c>
      <c r="AF545" s="95">
        <f t="shared" ref="AF545" si="6862">(D545/V545-1)*100</f>
        <v>-100</v>
      </c>
      <c r="AG545" s="95">
        <f t="shared" ref="AG545" si="6863">(E545/W545-1)*100</f>
        <v>-12.686382052200763</v>
      </c>
      <c r="AH545" s="95">
        <f t="shared" ref="AH545" si="6864">(F545/X545-1)*100</f>
        <v>-29.274889013624549</v>
      </c>
      <c r="AI545" s="95">
        <f t="shared" ref="AI545" si="6865">(G545/Y545-1)*100</f>
        <v>-29.382992816018749</v>
      </c>
      <c r="AJ545" s="95">
        <f t="shared" ref="AJ545" si="6866">(H545/Z545-1)*100</f>
        <v>1.3767209011264159</v>
      </c>
      <c r="AK545" s="95">
        <f t="shared" ref="AK545" si="6867">(I545/AA545-1)*100</f>
        <v>2.6236432018746259</v>
      </c>
      <c r="AM545" s="115">
        <f>AP545-'Figure 8_data'!H757</f>
        <v>0</v>
      </c>
      <c r="AN545" s="95">
        <f t="shared" ref="AN545" si="6868">(B545/B493-1)*100</f>
        <v>-0.46838407494145251</v>
      </c>
      <c r="AO545" s="95">
        <f t="shared" ref="AO545" si="6869">(C545/C493-1)*100</f>
        <v>-12.709497206703912</v>
      </c>
      <c r="AP545" s="95">
        <f t="shared" ref="AP545" si="6870">(D545/D493-1)*100</f>
        <v>-100</v>
      </c>
      <c r="AQ545" s="95">
        <f t="shared" ref="AQ545" si="6871">(E545/E493-1)*100</f>
        <v>-9.0909090909090935</v>
      </c>
      <c r="AR545" s="95">
        <f t="shared" ref="AR545" si="6872">(F545/F493-1)*100</f>
        <v>-32.456140350877192</v>
      </c>
      <c r="AS545" s="95">
        <f t="shared" ref="AS545" si="6873">(G545/G493-1)*100</f>
        <v>-32.456140350877192</v>
      </c>
      <c r="AT545" s="95">
        <f t="shared" ref="AT545" si="6874">(H545/H493-1)*100</f>
        <v>-15.094339622641506</v>
      </c>
      <c r="AU545" s="95">
        <f t="shared" ref="AU545" si="6875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6">AVERAGE(B543:B546)</f>
        <v>301.04166666666669</v>
      </c>
      <c r="L546" s="95">
        <f t="shared" ref="L546" si="6877">AVERAGE(C543:C546)</f>
        <v>232.29166666666669</v>
      </c>
      <c r="M546" s="95">
        <f t="shared" ref="M546" si="6878">AVERAGE(D543:D546)</f>
        <v>140.20833333333331</v>
      </c>
      <c r="N546" s="95">
        <f t="shared" ref="N546" si="6879">AVERAGE(E543:E546)</f>
        <v>222</v>
      </c>
      <c r="O546" s="95">
        <f t="shared" ref="O546" si="6880">AVERAGE(F543:F546)</f>
        <v>193.54166666666666</v>
      </c>
      <c r="P546" s="95">
        <f t="shared" ref="P546" si="6881">AVERAGE(G543:G546)</f>
        <v>193.54166666666666</v>
      </c>
      <c r="Q546" s="95">
        <f t="shared" ref="Q546" si="6882">AVERAGE(H543:H546)</f>
        <v>180.41666666666666</v>
      </c>
      <c r="R546" s="95">
        <f t="shared" ref="R546" si="6883">AVERAGE(I543:I546)</f>
        <v>247.43049490538573</v>
      </c>
      <c r="T546" s="95">
        <f t="shared" ref="T546" si="6884">AVERAGE(K390,K442,K494)</f>
        <v>448.8819444444444</v>
      </c>
      <c r="U546" s="95">
        <f t="shared" ref="U546" si="6885">AVERAGE(L390,L442,L494)</f>
        <v>379.29861111111114</v>
      </c>
      <c r="V546" s="95">
        <f t="shared" ref="V546" si="6886">(M390+M442+M494)/3</f>
        <v>362.04166666666669</v>
      </c>
      <c r="W546" s="95">
        <f t="shared" ref="W546" si="6887">(N390+N442+N494)/3</f>
        <v>259.63194444444446</v>
      </c>
      <c r="X546" s="95">
        <f t="shared" ref="X546" si="6888">(O390+O442+O494)/3</f>
        <v>272.07638888888891</v>
      </c>
      <c r="Y546" s="95">
        <f t="shared" ref="Y546" si="6889">(P390+P442+P494)/3</f>
        <v>272.90972222222223</v>
      </c>
      <c r="Z546" s="95">
        <f t="shared" ref="Z546" si="6890">(Q390+Q442+Q494)/3</f>
        <v>183.70138888888889</v>
      </c>
      <c r="AA546" s="95">
        <f t="shared" ref="AA546" si="6891">(R390+R442+R494)/3</f>
        <v>217.48538330907323</v>
      </c>
      <c r="AC546" s="115">
        <f>+AF546-'Figure 8_data'!I758</f>
        <v>0</v>
      </c>
      <c r="AD546" s="95">
        <f t="shared" ref="AD546" si="6892">(B546/T546-1)*100</f>
        <v>-13.674407091693864</v>
      </c>
      <c r="AE546" s="95">
        <f t="shared" ref="AE546" si="6893">(C546/U546-1)*100</f>
        <v>-19.588421611527128</v>
      </c>
      <c r="AF546" s="95">
        <f t="shared" ref="AF546" si="6894">(D546/V546-1)*100</f>
        <v>-20.589250776844292</v>
      </c>
      <c r="AG546" s="95">
        <f t="shared" ref="AG546" si="6895">(E546/W546-1)*100</f>
        <v>-15.264664188086774</v>
      </c>
      <c r="AH546" s="95">
        <f t="shared" ref="AH546" si="6896">(F546/X546-1)*100</f>
        <v>-30.166670920646265</v>
      </c>
      <c r="AI546" s="95">
        <f t="shared" ref="AI546" si="6897">(G546/Y546-1)*100</f>
        <v>-30.379907885696845</v>
      </c>
      <c r="AJ546" s="95">
        <f t="shared" ref="AJ546" si="6898">(H546/Z546-1)*100</f>
        <v>-2.0148943409065145</v>
      </c>
      <c r="AK546" s="95">
        <f t="shared" ref="AK546" si="6899">(I546/AA546-1)*100</f>
        <v>13.484512530888381</v>
      </c>
      <c r="AM546" s="115">
        <f>AP546-'Figure 8_data'!H758</f>
        <v>0</v>
      </c>
      <c r="AN546" s="95">
        <f t="shared" ref="AN546" si="6900">(B546/B494-1)*100</f>
        <v>-11.529680365296802</v>
      </c>
      <c r="AO546" s="95">
        <f t="shared" ref="AO546" si="6901">(C546/C494-1)*100</f>
        <v>-17.119565217391308</v>
      </c>
      <c r="AP546" s="95">
        <f t="shared" ref="AP546" si="6902">(D546/D494-1)*100</f>
        <v>-17.857142857142861</v>
      </c>
      <c r="AQ546" s="95">
        <f t="shared" ref="AQ546" si="6903">(E546/E494-1)*100</f>
        <v>-9.0909090909090935</v>
      </c>
      <c r="AR546" s="95">
        <f t="shared" ref="AR546" si="6904">(F546/F494-1)*100</f>
        <v>-32.142857142857139</v>
      </c>
      <c r="AS546" s="95">
        <f t="shared" ref="AS546" si="6905">(G546/G494-1)*100</f>
        <v>-32.142857142857139</v>
      </c>
      <c r="AT546" s="95">
        <f t="shared" ref="AT546" si="6906">(H546/H494-1)*100</f>
        <v>-14.28571428571429</v>
      </c>
      <c r="AU546" s="95">
        <f t="shared" ref="AU546" si="6907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8">AVERAGE(B544:B547)</f>
        <v>293.75</v>
      </c>
      <c r="L547" s="95">
        <f t="shared" ref="L547" si="6909">AVERAGE(C544:C547)</f>
        <v>226.875</v>
      </c>
      <c r="M547" s="95">
        <f t="shared" ref="M547" si="6910">AVERAGE(D544:D547)</f>
        <v>141.25</v>
      </c>
      <c r="N547" s="95">
        <f t="shared" ref="N547" si="6911">AVERAGE(E544:E547)</f>
        <v>220.75</v>
      </c>
      <c r="O547" s="95">
        <f t="shared" ref="O547" si="6912">AVERAGE(F544:F547)</f>
        <v>191.875</v>
      </c>
      <c r="P547" s="95">
        <f t="shared" ref="P547" si="6913">AVERAGE(G544:G547)</f>
        <v>191.875</v>
      </c>
      <c r="Q547" s="95">
        <f t="shared" ref="Q547" si="6914">AVERAGE(H544:H547)</f>
        <v>179.375</v>
      </c>
      <c r="R547" s="95">
        <f t="shared" ref="R547" si="6915">AVERAGE(I544:I547)</f>
        <v>246.00218340611355</v>
      </c>
      <c r="T547" s="95">
        <f t="shared" ref="T547" si="6916">AVERAGE(K391,K443,K495)</f>
        <v>460.9375</v>
      </c>
      <c r="U547" s="95">
        <f t="shared" ref="U547" si="6917">AVERAGE(L391,L443,L495)</f>
        <v>385.9375</v>
      </c>
      <c r="V547" s="95">
        <f t="shared" ref="V547" si="6918">(M391+M443+M495)/3</f>
        <v>375.81944444444451</v>
      </c>
      <c r="W547" s="95">
        <f t="shared" ref="W547" si="6919">(N391+N443+N495)/3</f>
        <v>270.85416666666669</v>
      </c>
      <c r="X547" s="95">
        <f t="shared" ref="X547" si="6920">(O391+O443+O495)/3</f>
        <v>283.57638888888891</v>
      </c>
      <c r="Y547" s="95">
        <f t="shared" ref="Y547" si="6921">(P391+P443+P495)/3</f>
        <v>283.9930555555556</v>
      </c>
      <c r="Z547" s="95">
        <f t="shared" ref="Z547" si="6922">(Q391+Q443+Q495)/3</f>
        <v>194.8125</v>
      </c>
      <c r="AA547" s="95">
        <f t="shared" ref="AA547" si="6923">(R391+R443+R495)/3</f>
        <v>199.42485443959245</v>
      </c>
      <c r="AC547" s="115">
        <f>+AF547-'Figure 8_data'!I759</f>
        <v>0</v>
      </c>
      <c r="AD547" s="95">
        <f t="shared" ref="AD547" si="6924">(B547/T547-1)*100</f>
        <v>-21.355932203389827</v>
      </c>
      <c r="AE547" s="95">
        <f t="shared" ref="AE547" si="6925">(C547/U547-1)*100</f>
        <v>-24.858299595141698</v>
      </c>
      <c r="AF547" s="95">
        <f t="shared" ref="AF547" si="6926">(D547/V547-1)*100</f>
        <v>-26.161351121623134</v>
      </c>
      <c r="AG547" s="95">
        <f t="shared" ref="AG547" si="6927">(E547/W547-1)*100</f>
        <v>-18.775478809322365</v>
      </c>
      <c r="AH547" s="95">
        <f t="shared" ref="AH547" si="6928">(F547/X547-1)*100</f>
        <v>-32.99865311619935</v>
      </c>
      <c r="AI547" s="95">
        <f t="shared" ref="AI547" si="6929">(G547/Y547-1)*100</f>
        <v>-33.096955618046231</v>
      </c>
      <c r="AJ547" s="95">
        <f t="shared" ref="AJ547" si="6930">(H547/Z547-1)*100</f>
        <v>-8.8867500802053296</v>
      </c>
      <c r="AK547" s="95">
        <f t="shared" ref="AK547" si="6931">(I547/AA547-1)*100</f>
        <v>22.043102480842357</v>
      </c>
      <c r="AM547" s="115">
        <f>AP547-'Figure 8_data'!H759</f>
        <v>0</v>
      </c>
      <c r="AN547" s="95">
        <f t="shared" ref="AN547" si="6932">(B547/B495-1)*100</f>
        <v>-16.984732824427486</v>
      </c>
      <c r="AO547" s="95">
        <f t="shared" ref="AO547" si="6933">(C547/C495-1)*100</f>
        <v>-20.547945205479458</v>
      </c>
      <c r="AP547" s="95">
        <f t="shared" ref="AP547" si="6934">(D547/D495-1)*100</f>
        <v>-19.17475728155339</v>
      </c>
      <c r="AQ547" s="95">
        <f t="shared" ref="AQ547" si="6935">(E547/E495-1)*100</f>
        <v>-12</v>
      </c>
      <c r="AR547" s="95">
        <f t="shared" ref="AR547" si="6936">(F547/F495-1)*100</f>
        <v>-31.325301204819279</v>
      </c>
      <c r="AS547" s="95">
        <f t="shared" ref="AS547" si="6937">(G547/G495-1)*100</f>
        <v>-31.325301204819279</v>
      </c>
      <c r="AT547" s="95">
        <f t="shared" ref="AT547" si="6938">(H547/H495-1)*100</f>
        <v>-18.702290076335881</v>
      </c>
      <c r="AU547" s="95">
        <f t="shared" ref="AU547" si="6939">(I547/I495-1)*100</f>
        <v>-18.702290076335871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tabSelected="1"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9" width="10.36328125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41408</v>
      </c>
      <c r="C6" s="36">
        <f>+TWK!B492</f>
        <v>362.5</v>
      </c>
      <c r="D6" s="36">
        <f>+TWK!C492</f>
        <v>290</v>
      </c>
      <c r="E6" s="36">
        <f>+TWK!D492</f>
        <v>277.5</v>
      </c>
      <c r="F6" s="36">
        <f>+TWK!E492</f>
        <v>220</v>
      </c>
      <c r="G6" s="36">
        <f>+TWK!F492</f>
        <v>190</v>
      </c>
      <c r="H6" s="36">
        <f>+TWK!G492</f>
        <v>190</v>
      </c>
      <c r="I6" s="36">
        <f>+TWK!H492</f>
        <v>177.5</v>
      </c>
      <c r="J6" s="15"/>
      <c r="N6" s="130"/>
    </row>
    <row r="7" spans="1:14" s="3" customFormat="1" ht="13.5" customHeight="1" x14ac:dyDescent="0.3">
      <c r="A7" s="34"/>
      <c r="B7" s="37">
        <f>+B6-7</f>
        <v>41401</v>
      </c>
      <c r="C7" s="45">
        <f>+TWK!B491</f>
        <v>387.5</v>
      </c>
      <c r="D7" s="45">
        <f>+TWK!C491</f>
        <v>305</v>
      </c>
      <c r="E7" s="45">
        <f>+TWK!D491</f>
        <v>287.5</v>
      </c>
      <c r="F7" s="45">
        <f>+TWK!E491</f>
        <v>220</v>
      </c>
      <c r="G7" s="45">
        <f>+TWK!F491</f>
        <v>190</v>
      </c>
      <c r="H7" s="45">
        <f>+TWK!G491</f>
        <v>190</v>
      </c>
      <c r="I7" s="45">
        <f>+TWK!H491</f>
        <v>180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41408</v>
      </c>
      <c r="C9" s="39">
        <f t="shared" ref="C9:I10" si="0">(ROUND(C6,0))*C$24/100</f>
        <v>22.469700000000003</v>
      </c>
      <c r="D9" s="39">
        <f t="shared" si="0"/>
        <v>15.428000000000003</v>
      </c>
      <c r="E9" s="39">
        <f t="shared" si="0"/>
        <v>12.899199999999999</v>
      </c>
      <c r="F9" s="39">
        <f t="shared" si="0"/>
        <v>8.7780000000000005</v>
      </c>
      <c r="G9" s="39">
        <f t="shared" si="0"/>
        <v>8.9109999999999996</v>
      </c>
      <c r="H9" s="39">
        <f t="shared" si="0"/>
        <v>7.6760000000000002</v>
      </c>
      <c r="I9" s="39">
        <f t="shared" si="0"/>
        <v>5.5892000000000008</v>
      </c>
      <c r="J9" s="15"/>
    </row>
    <row r="10" spans="1:14" s="3" customFormat="1" ht="13.5" customHeight="1" x14ac:dyDescent="0.3">
      <c r="A10" s="34"/>
      <c r="B10" s="37">
        <f>B7</f>
        <v>41401</v>
      </c>
      <c r="C10" s="39">
        <f t="shared" si="0"/>
        <v>24.017200000000003</v>
      </c>
      <c r="D10" s="39">
        <f t="shared" si="0"/>
        <v>16.226000000000003</v>
      </c>
      <c r="E10" s="131" t="s">
        <v>67</v>
      </c>
      <c r="F10" s="39">
        <f t="shared" ref="F10" si="1">(ROUND(F7,0))*F$24/100</f>
        <v>8.7780000000000005</v>
      </c>
      <c r="G10" s="39">
        <f t="shared" si="0"/>
        <v>8.9109999999999996</v>
      </c>
      <c r="H10" s="39">
        <f t="shared" si="0"/>
        <v>7.6760000000000002</v>
      </c>
      <c r="I10" s="39">
        <f t="shared" si="0"/>
        <v>5.6520000000000001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58">
        <f>+'Table 9_data'!AN547</f>
        <v>-16.984732824427486</v>
      </c>
      <c r="D14" s="58">
        <f>+'Table 9_data'!AO547</f>
        <v>-20.547945205479458</v>
      </c>
      <c r="E14" s="58">
        <f>+'Table 9_data'!AP547</f>
        <v>-19.17475728155339</v>
      </c>
      <c r="F14" s="58">
        <f>+'Table 9_data'!AQ547</f>
        <v>-12</v>
      </c>
      <c r="G14" s="58">
        <f>+'Table 9_data'!AR547</f>
        <v>-31.325301204819279</v>
      </c>
      <c r="H14" s="58">
        <f>+'Table 9_data'!AS547</f>
        <v>-31.325301204819279</v>
      </c>
      <c r="I14" s="58">
        <f>+'Table 9_data'!AT547</f>
        <v>-18.702290076335881</v>
      </c>
      <c r="J14" s="58"/>
    </row>
    <row r="15" spans="1:14" ht="13.25" customHeight="1" x14ac:dyDescent="0.3">
      <c r="A15" s="34"/>
      <c r="B15" s="44" t="s">
        <v>39</v>
      </c>
      <c r="C15" s="45">
        <f>+'Table 9_data'!AD547</f>
        <v>-21.355932203389827</v>
      </c>
      <c r="D15" s="45">
        <f>+'Table 9_data'!AE547</f>
        <v>-24.858299595141698</v>
      </c>
      <c r="E15" s="45">
        <f>+'Table 9_data'!AF547</f>
        <v>-26.161351121623134</v>
      </c>
      <c r="F15" s="45">
        <f>+'Table 9_data'!AG547</f>
        <v>-18.775478809322365</v>
      </c>
      <c r="G15" s="45">
        <f>+'Table 9_data'!AH547</f>
        <v>-32.99865311619935</v>
      </c>
      <c r="H15" s="45">
        <f>+'Table 9_data'!AI547</f>
        <v>-33.096955618046231</v>
      </c>
      <c r="I15" s="45">
        <f>+'Table 9_data'!AJ547</f>
        <v>-8.8867500802053296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64</v>
      </c>
      <c r="C17" s="45">
        <f>+NXTMONTH!C492</f>
        <v>345</v>
      </c>
      <c r="D17" s="45">
        <f>+NXTMONTH!D492</f>
        <v>287.5</v>
      </c>
      <c r="E17" s="45">
        <f>+NXTMONTH!E492</f>
        <v>275</v>
      </c>
      <c r="F17" s="45">
        <f>+NXTMONTH!F492</f>
        <v>220</v>
      </c>
      <c r="G17" s="45">
        <f>+NXTMONTH!G492</f>
        <v>197.5</v>
      </c>
      <c r="H17" s="45">
        <f>+NXTMONTH!H492</f>
        <v>197.5</v>
      </c>
      <c r="I17" s="45">
        <f>+NXTMONTH!I492</f>
        <v>180</v>
      </c>
      <c r="J17" s="45"/>
    </row>
    <row r="18" spans="1:10" ht="13" x14ac:dyDescent="0.3">
      <c r="A18" s="46"/>
      <c r="B18" s="47" t="s">
        <v>65</v>
      </c>
      <c r="C18" s="59">
        <f>+THREEMONTH!C492</f>
        <v>400</v>
      </c>
      <c r="D18" s="59">
        <f>+THREEMONTH!D492</f>
        <v>337.5</v>
      </c>
      <c r="E18" s="59">
        <f>+THREEMONTH!E492</f>
        <v>325</v>
      </c>
      <c r="F18" s="59">
        <f>+THREEMONTH!F492</f>
        <v>287.5</v>
      </c>
      <c r="G18" s="59">
        <f>+THREEMONTH!G492</f>
        <v>317.5</v>
      </c>
      <c r="H18" s="59">
        <f>+THREEMONTH!H492</f>
        <v>317.5</v>
      </c>
      <c r="I18" s="59">
        <f>+THREEMONTH!I492</f>
        <v>255</v>
      </c>
      <c r="J18" s="59"/>
    </row>
    <row r="19" spans="1:10" ht="12.65" customHeight="1" x14ac:dyDescent="0.3">
      <c r="A19" s="48" t="s">
        <v>66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x14ac:dyDescent="0.25">
      <c r="B28" s="23"/>
      <c r="C28" s="23"/>
      <c r="D28" s="23"/>
      <c r="E28" s="23"/>
      <c r="F28" s="23"/>
      <c r="G28" s="23"/>
      <c r="H28" s="23"/>
      <c r="I28" s="23"/>
    </row>
    <row r="29" spans="1:10" x14ac:dyDescent="0.25">
      <c r="B29" s="23"/>
      <c r="C29" s="23"/>
      <c r="D29" s="23"/>
      <c r="E29" s="23"/>
      <c r="F29" s="23"/>
      <c r="G29" s="23"/>
      <c r="H29" s="23"/>
      <c r="I29" s="23"/>
    </row>
    <row r="30" spans="1:10" ht="14" x14ac:dyDescent="0.3">
      <c r="C30" s="66"/>
      <c r="D30" s="66"/>
      <c r="E30" s="71"/>
      <c r="F30" s="71"/>
      <c r="G30" s="71"/>
      <c r="H30" s="71"/>
      <c r="I30" s="71"/>
    </row>
    <row r="31" spans="1:10" x14ac:dyDescent="0.25">
      <c r="B31" s="23"/>
      <c r="C31" s="23"/>
      <c r="D31" s="23"/>
      <c r="E31" s="23"/>
      <c r="F31" s="23"/>
      <c r="G31" s="23"/>
      <c r="H31" s="23"/>
      <c r="I31" s="23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2013-03-27T13:04:47Z</cp:lastPrinted>
  <dcterms:created xsi:type="dcterms:W3CDTF">2001-05-02T19:10:15Z</dcterms:created>
  <dcterms:modified xsi:type="dcterms:W3CDTF">2013-05-15T13:30:31Z</dcterms:modified>
</cp:coreProperties>
</file>