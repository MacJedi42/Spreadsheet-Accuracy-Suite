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48" windowWidth="14628" windowHeight="6336"/>
  </bookViews>
  <sheets>
    <sheet name="Simple RERD Calculator" sheetId="1" r:id="rId1"/>
  </sheets>
  <calcPr calcId="125725"/>
</workbook>
</file>

<file path=xl/calcChain.xml><?xml version="1.0" encoding="utf-8"?>
<calcChain xmlns="http://schemas.openxmlformats.org/spreadsheetml/2006/main">
  <c r="B8" i="1"/>
  <c r="B7"/>
  <c r="B6"/>
  <c r="B5"/>
  <c r="B9" s="1"/>
</calcChain>
</file>

<file path=xl/sharedStrings.xml><?xml version="1.0" encoding="utf-8"?>
<sst xmlns="http://schemas.openxmlformats.org/spreadsheetml/2006/main" count="8" uniqueCount="8">
  <si>
    <t>D_mm Reflector</t>
  </si>
  <si>
    <t>CO 0.00-0.99</t>
  </si>
  <si>
    <t>Surface Equivalent D_mm Refractor</t>
  </si>
  <si>
    <t>Equivalent D_mm Refractor regarding energy in Airy Disk in relation to size</t>
  </si>
  <si>
    <t>Equivalent D_mm Refractor regarding energy in Airy Disk</t>
  </si>
  <si>
    <t>Simple Reflector Equivalent Refractor Diameter Calculator</t>
  </si>
  <si>
    <t>Relative energy in Airy Disk compared with CO=0</t>
  </si>
  <si>
    <t>Relative size of Airy Disk compared with CO=0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</si>
</sst>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A2" sqref="A2"/>
    </sheetView>
  </sheetViews>
  <sheetFormatPr baseColWidth="10" defaultRowHeight="15" customHeight="1"/>
  <cols>
    <col min="1" max="1" width="61.6640625" customWidth="1"/>
  </cols>
  <sheetData>
    <row r="1" spans="1:2" ht="15" customHeight="1">
      <c r="A1" t="s">
        <v>5</v>
      </c>
    </row>
    <row r="3" spans="1:2" ht="15" customHeight="1">
      <c r="A3" t="s">
        <v>0</v>
      </c>
      <c r="B3" s="1">
        <v>235</v>
      </c>
    </row>
    <row r="4" spans="1:2" ht="15" customHeight="1">
      <c r="A4" t="s">
        <v>1</v>
      </c>
      <c r="B4" s="1">
        <v>0.38</v>
      </c>
    </row>
    <row r="5" spans="1:2" ht="15" customHeight="1">
      <c r="A5" t="s">
        <v>2</v>
      </c>
      <c r="B5" s="2">
        <f>SQRT(((B3/2)^2*3.1416-(B3/2*B4)^2*3.1416)/3.1416)*2</f>
        <v>217.37182430112694</v>
      </c>
    </row>
    <row r="6" spans="1:2" ht="15" customHeight="1">
      <c r="A6" t="s">
        <v>6</v>
      </c>
      <c r="B6" s="3">
        <f>(83.8-115.836919327369*B4^1.67728414995279)/100/0.838</f>
        <v>0.72724000902158681</v>
      </c>
    </row>
    <row r="7" spans="1:2" ht="15" customHeight="1">
      <c r="A7" s="4" t="s">
        <v>7</v>
      </c>
      <c r="B7" s="3">
        <f>(0.0950502775050452+(1.12627632206642)/((1+(B4/0.302756091410027)^2.26536793426585)^0.152776210790626))/1.22</f>
        <v>0.87231637442690146</v>
      </c>
    </row>
    <row r="8" spans="1:2" ht="15" customHeight="1">
      <c r="A8" s="4" t="s">
        <v>3</v>
      </c>
      <c r="B8" s="2">
        <f>B5*2*(SQRT((83.8-115.836919327369*B4^1.67728414995279)/83.8/3.1416))/1.12837785/B7</f>
        <v>212.50448788262565</v>
      </c>
    </row>
    <row r="9" spans="1:2" ht="15" customHeight="1">
      <c r="A9" s="4" t="s">
        <v>4</v>
      </c>
      <c r="B9" s="2">
        <f>B5*2*(SQRT((83.8-115.836919327369*B4^1.67728414995279)/83.8/3.1416))/1.12837785</f>
        <v>185.37114441921742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Simple RERD Calculator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Knapp</dc:creator>
  <cp:lastModifiedBy>Wilfried Knapp</cp:lastModifiedBy>
  <dcterms:created xsi:type="dcterms:W3CDTF">2013-07-11T14:23:55Z</dcterms:created>
  <dcterms:modified xsi:type="dcterms:W3CDTF">2013-07-11T15:04:57Z</dcterms:modified>
</cp:coreProperties>
</file>