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172" windowHeight="6852" firstSheet="5" activeTab="7"/>
  </bookViews>
  <sheets>
    <sheet name="Data" sheetId="1" r:id="rId1"/>
    <sheet name="Chart Fall 2008" sheetId="5" r:id="rId2"/>
    <sheet name="Chart Spring 2009" sheetId="7" r:id="rId3"/>
    <sheet name="Chart Fall 2009 " sheetId="9" r:id="rId4"/>
    <sheet name="Chart Spring 2010" sheetId="10" r:id="rId5"/>
    <sheet name="Chart Fall 2010" sheetId="11" r:id="rId6"/>
    <sheet name="Chart Spring 2011" sheetId="12" r:id="rId7"/>
    <sheet name="Chart Fall 2011" sheetId="13" r:id="rId8"/>
  </sheets>
  <calcPr calcId="145621"/>
</workbook>
</file>

<file path=xl/calcChain.xml><?xml version="1.0" encoding="utf-8"?>
<calcChain xmlns="http://schemas.openxmlformats.org/spreadsheetml/2006/main">
  <c r="C77" i="1" l="1"/>
  <c r="D88" i="1" s="1"/>
  <c r="D90" i="1"/>
  <c r="D89" i="1"/>
  <c r="D83" i="1"/>
  <c r="D82" i="1"/>
  <c r="C64" i="1"/>
  <c r="D57" i="1" s="1"/>
  <c r="C51" i="1"/>
  <c r="D43" i="1" s="1"/>
  <c r="C38" i="1"/>
  <c r="F39" i="1" s="1"/>
  <c r="C25" i="1"/>
  <c r="D17" i="1" s="1"/>
  <c r="C12" i="1"/>
  <c r="D4" i="1" s="1"/>
  <c r="D84" i="1" l="1"/>
  <c r="D87" i="1"/>
  <c r="D85" i="1"/>
  <c r="D86" i="1"/>
  <c r="F92" i="1"/>
  <c r="D55" i="1"/>
  <c r="D64" i="1"/>
  <c r="D62" i="1"/>
  <c r="D60" i="1"/>
  <c r="D58" i="1"/>
  <c r="D56" i="1"/>
  <c r="D63" i="1"/>
  <c r="D61" i="1"/>
  <c r="D59" i="1"/>
  <c r="F13" i="1"/>
  <c r="F26" i="1"/>
  <c r="D50" i="1"/>
  <c r="D48" i="1"/>
  <c r="D46" i="1"/>
  <c r="D44" i="1"/>
  <c r="D51" i="1"/>
  <c r="D42" i="1"/>
  <c r="D49" i="1"/>
  <c r="D47" i="1"/>
  <c r="D45" i="1"/>
  <c r="D37" i="1"/>
  <c r="D35" i="1"/>
  <c r="D33" i="1"/>
  <c r="D31" i="1"/>
  <c r="D29" i="1"/>
  <c r="D38" i="1"/>
  <c r="D36" i="1"/>
  <c r="D34" i="1"/>
  <c r="D32" i="1"/>
  <c r="D30" i="1"/>
  <c r="F52" i="1"/>
  <c r="D24" i="1"/>
  <c r="D22" i="1"/>
  <c r="D20" i="1"/>
  <c r="D18" i="1"/>
  <c r="D16" i="1"/>
  <c r="D25" i="1"/>
  <c r="D23" i="1"/>
  <c r="D21" i="1"/>
  <c r="D19" i="1"/>
  <c r="D10" i="1"/>
  <c r="D12" i="1"/>
  <c r="D8" i="1"/>
  <c r="D3" i="1"/>
  <c r="D11" i="1"/>
  <c r="D9" i="1"/>
  <c r="D7" i="1"/>
  <c r="D5" i="1"/>
  <c r="D6" i="1"/>
  <c r="F65" i="1" l="1"/>
  <c r="D68" i="1" l="1"/>
  <c r="D77" i="1"/>
  <c r="D69" i="1"/>
  <c r="F78" i="1"/>
  <c r="D72" i="1"/>
  <c r="D71" i="1"/>
  <c r="D70" i="1"/>
  <c r="D73" i="1"/>
  <c r="D74" i="1"/>
  <c r="D75" i="1"/>
  <c r="D76" i="1"/>
</calcChain>
</file>

<file path=xl/comments1.xml><?xml version="1.0" encoding="utf-8"?>
<comments xmlns="http://schemas.openxmlformats.org/spreadsheetml/2006/main">
  <authors>
    <author>Pilgrim, Mark</author>
  </authors>
  <commentList>
    <comment ref="C91" authorId="0">
      <text>
        <r>
          <rPr>
            <sz val="9"/>
            <color indexed="81"/>
            <rFont val="Tahoma"/>
            <charset val="1"/>
          </rPr>
          <t xml:space="preserve">Students may select more than one survey response.
</t>
        </r>
      </text>
    </comment>
  </commentList>
</comments>
</file>

<file path=xl/sharedStrings.xml><?xml version="1.0" encoding="utf-8"?>
<sst xmlns="http://schemas.openxmlformats.org/spreadsheetml/2006/main" count="177" uniqueCount="26">
  <si>
    <t>Graduating Term</t>
  </si>
  <si>
    <t>Fall 2008</t>
  </si>
  <si>
    <t>Employment, Full time</t>
  </si>
  <si>
    <t>Employment, Part time</t>
  </si>
  <si>
    <t># surveyed</t>
  </si>
  <si>
    <t>Future Plans</t>
  </si>
  <si>
    <t>% indicating this future plan</t>
  </si>
  <si>
    <t>Graduate school, Full time</t>
  </si>
  <si>
    <t>Graduate school, Part time</t>
  </si>
  <si>
    <t>Additional Undergraduate coursework</t>
  </si>
  <si>
    <t>Military Service</t>
  </si>
  <si>
    <t>Volunteer activity</t>
  </si>
  <si>
    <t>Starting or raising a family</t>
  </si>
  <si>
    <t>Other</t>
  </si>
  <si>
    <t>Spring 2009</t>
  </si>
  <si>
    <t>% survey participation =</t>
  </si>
  <si>
    <t>% survey participation=</t>
  </si>
  <si>
    <t>Total responses</t>
  </si>
  <si>
    <t>Fall 2009</t>
  </si>
  <si>
    <t>Spring 2010</t>
  </si>
  <si>
    <t>Total completing survey</t>
  </si>
  <si>
    <t>Fall 2010</t>
  </si>
  <si>
    <t>Spring 2011</t>
  </si>
  <si>
    <t>Note: Spring 2011 data as of 2-15-2011</t>
  </si>
  <si>
    <t>Fall 2011</t>
  </si>
  <si>
    <t>Note: Fall 2011 data as of 12-16-2011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</si>
</sst>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/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Border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42">
    <dxf>
      <numFmt numFmtId="13" formatCode="0%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numFmt numFmtId="13" formatCode="0%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numFmt numFmtId="13" formatCode="0%"/>
      <alignment horizontal="center" vertical="bottom" textRotation="0" wrapText="0" relativeIndent="0" justifyLastLine="0" shrinkToFit="0" readingOrder="0"/>
    </dxf>
    <dxf>
      <numFmt numFmtId="0" formatCode="General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numFmt numFmtId="13" formatCode="0%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numFmt numFmtId="13" formatCode="0%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numFmt numFmtId="13" formatCode="0%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4.xml"/><Relationship Id="rId10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00" baseline="0"/>
            </a:pPr>
            <a:r>
              <a:rPr lang="en-US" sz="1900" baseline="0"/>
              <a:t>Percentage indicating this future plan from Fall 2008 application for graduation survey</a:t>
            </a:r>
          </a:p>
        </c:rich>
      </c:tx>
      <c:overlay val="0"/>
    </c:title>
    <c:autoTitleDeleted val="0"/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Data!$D$2</c:f>
              <c:strCache>
                <c:ptCount val="1"/>
                <c:pt idx="0">
                  <c:v>% indicating this future plan</c:v>
                </c:pt>
              </c:strCache>
            </c:strRef>
          </c:tx>
          <c:explosion val="25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Data!$A$3:$A$11</c:f>
              <c:strCache>
                <c:ptCount val="9"/>
                <c:pt idx="0">
                  <c:v>Employment, Full time</c:v>
                </c:pt>
                <c:pt idx="1">
                  <c:v>Employment, Part time</c:v>
                </c:pt>
                <c:pt idx="2">
                  <c:v>Graduate school, Full time</c:v>
                </c:pt>
                <c:pt idx="3">
                  <c:v>Graduate school, Part time</c:v>
                </c:pt>
                <c:pt idx="4">
                  <c:v>Additional Undergraduate coursework</c:v>
                </c:pt>
                <c:pt idx="5">
                  <c:v>Military Service</c:v>
                </c:pt>
                <c:pt idx="6">
                  <c:v>Volunteer activity</c:v>
                </c:pt>
                <c:pt idx="7">
                  <c:v>Starting or raising a family</c:v>
                </c:pt>
                <c:pt idx="8">
                  <c:v>Other</c:v>
                </c:pt>
              </c:strCache>
            </c:strRef>
          </c:cat>
          <c:val>
            <c:numRef>
              <c:f>Data!$D$3:$D$11</c:f>
              <c:numCache>
                <c:formatCode>0%</c:formatCode>
                <c:ptCount val="9"/>
                <c:pt idx="0">
                  <c:v>0.75312500000000004</c:v>
                </c:pt>
                <c:pt idx="1">
                  <c:v>4.0625000000000001E-2</c:v>
                </c:pt>
                <c:pt idx="2">
                  <c:v>0.13750000000000001</c:v>
                </c:pt>
                <c:pt idx="3">
                  <c:v>9.3749999999999997E-3</c:v>
                </c:pt>
                <c:pt idx="4">
                  <c:v>6.2500000000000003E-3</c:v>
                </c:pt>
                <c:pt idx="5">
                  <c:v>1.5625E-2</c:v>
                </c:pt>
                <c:pt idx="6">
                  <c:v>6.2500000000000003E-3</c:v>
                </c:pt>
                <c:pt idx="7">
                  <c:v>6.2500000000000003E-3</c:v>
                </c:pt>
                <c:pt idx="8">
                  <c:v>2.5000000000000001E-2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442269549898858"/>
          <c:y val="0.19460286652613731"/>
          <c:w val="0.26364401462411619"/>
          <c:h val="0.72239485641589385"/>
        </c:manualLayout>
      </c:layout>
      <c:overlay val="0"/>
      <c:txPr>
        <a:bodyPr/>
        <a:lstStyle/>
        <a:p>
          <a:pPr>
            <a:defRPr sz="1400" baseline="0"/>
          </a:pPr>
          <a:endParaRPr lang="en-US"/>
        </a:p>
      </c:txPr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00" baseline="0"/>
            </a:pPr>
            <a:r>
              <a:rPr lang="en-US" sz="1900" baseline="0"/>
              <a:t>Percentage indicating this future plan from Spring 2009</a:t>
            </a:r>
          </a:p>
          <a:p>
            <a:pPr>
              <a:defRPr sz="1900" baseline="0"/>
            </a:pPr>
            <a:r>
              <a:rPr lang="en-US" sz="1900" baseline="0"/>
              <a:t> application for graduation survey</a:t>
            </a:r>
          </a:p>
        </c:rich>
      </c:tx>
      <c:overlay val="0"/>
    </c:title>
    <c:autoTitleDeleted val="0"/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1"/>
          <c:order val="1"/>
          <c:tx>
            <c:strRef>
              <c:f>Data!$C$15</c:f>
              <c:strCache>
                <c:ptCount val="1"/>
                <c:pt idx="0">
                  <c:v># surveyed</c:v>
                </c:pt>
              </c:strCache>
            </c:strRef>
          </c:tx>
          <c:explosion val="25"/>
          <c:dLbls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Data!$A$16:$A$24</c:f>
              <c:strCache>
                <c:ptCount val="9"/>
                <c:pt idx="0">
                  <c:v>Employment, Full time</c:v>
                </c:pt>
                <c:pt idx="1">
                  <c:v>Employment, Part time</c:v>
                </c:pt>
                <c:pt idx="2">
                  <c:v>Graduate school, Full time</c:v>
                </c:pt>
                <c:pt idx="3">
                  <c:v>Graduate school, Part time</c:v>
                </c:pt>
                <c:pt idx="4">
                  <c:v>Additional Undergraduate coursework</c:v>
                </c:pt>
                <c:pt idx="5">
                  <c:v>Military Service</c:v>
                </c:pt>
                <c:pt idx="6">
                  <c:v>Volunteer activity</c:v>
                </c:pt>
                <c:pt idx="7">
                  <c:v>Starting or raising a family</c:v>
                </c:pt>
                <c:pt idx="8">
                  <c:v>Other</c:v>
                </c:pt>
              </c:strCache>
            </c:strRef>
          </c:cat>
          <c:val>
            <c:numRef>
              <c:f>Data!$C$16:$C$24</c:f>
              <c:numCache>
                <c:formatCode>General</c:formatCode>
                <c:ptCount val="9"/>
                <c:pt idx="0">
                  <c:v>617</c:v>
                </c:pt>
                <c:pt idx="1">
                  <c:v>9</c:v>
                </c:pt>
                <c:pt idx="2">
                  <c:v>161</c:v>
                </c:pt>
                <c:pt idx="3">
                  <c:v>18</c:v>
                </c:pt>
                <c:pt idx="4">
                  <c:v>3</c:v>
                </c:pt>
                <c:pt idx="5">
                  <c:v>12</c:v>
                </c:pt>
                <c:pt idx="6">
                  <c:v>4</c:v>
                </c:pt>
                <c:pt idx="7">
                  <c:v>3</c:v>
                </c:pt>
                <c:pt idx="8">
                  <c:v>11</c:v>
                </c:pt>
              </c:numCache>
            </c:numRef>
          </c:val>
        </c:ser>
        <c:ser>
          <c:idx val="2"/>
          <c:order val="2"/>
          <c:tx>
            <c:strRef>
              <c:f>Data!$D$15</c:f>
              <c:strCache>
                <c:ptCount val="1"/>
                <c:pt idx="0">
                  <c:v>% indicating this future plan</c:v>
                </c:pt>
              </c:strCache>
            </c:strRef>
          </c:tx>
          <c:explosion val="25"/>
          <c:cat>
            <c:strRef>
              <c:f>Data!$A$16:$A$24</c:f>
              <c:strCache>
                <c:ptCount val="9"/>
                <c:pt idx="0">
                  <c:v>Employment, Full time</c:v>
                </c:pt>
                <c:pt idx="1">
                  <c:v>Employment, Part time</c:v>
                </c:pt>
                <c:pt idx="2">
                  <c:v>Graduate school, Full time</c:v>
                </c:pt>
                <c:pt idx="3">
                  <c:v>Graduate school, Part time</c:v>
                </c:pt>
                <c:pt idx="4">
                  <c:v>Additional Undergraduate coursework</c:v>
                </c:pt>
                <c:pt idx="5">
                  <c:v>Military Service</c:v>
                </c:pt>
                <c:pt idx="6">
                  <c:v>Volunteer activity</c:v>
                </c:pt>
                <c:pt idx="7">
                  <c:v>Starting or raising a family</c:v>
                </c:pt>
                <c:pt idx="8">
                  <c:v>Other</c:v>
                </c:pt>
              </c:strCache>
            </c:strRef>
          </c:cat>
          <c:val>
            <c:numRef>
              <c:f>Data!$D$16:$D$24</c:f>
              <c:numCache>
                <c:formatCode>0%</c:formatCode>
                <c:ptCount val="9"/>
                <c:pt idx="0">
                  <c:v>0.73627684964200479</c:v>
                </c:pt>
                <c:pt idx="1">
                  <c:v>1.0739856801909307E-2</c:v>
                </c:pt>
                <c:pt idx="2">
                  <c:v>0.19212410501193317</c:v>
                </c:pt>
                <c:pt idx="3">
                  <c:v>2.1479713603818614E-2</c:v>
                </c:pt>
                <c:pt idx="4">
                  <c:v>3.5799522673031028E-3</c:v>
                </c:pt>
                <c:pt idx="5">
                  <c:v>1.4319809069212411E-2</c:v>
                </c:pt>
                <c:pt idx="6">
                  <c:v>4.7732696897374704E-3</c:v>
                </c:pt>
                <c:pt idx="7">
                  <c:v>3.5799522673031028E-3</c:v>
                </c:pt>
                <c:pt idx="8">
                  <c:v>1.3126491646778043E-2</c:v>
                </c:pt>
              </c:numCache>
            </c:numRef>
          </c:val>
        </c:ser>
        <c:ser>
          <c:idx val="0"/>
          <c:order val="0"/>
          <c:tx>
            <c:strRef>
              <c:f>Data!$D$2</c:f>
              <c:strCache>
                <c:ptCount val="1"/>
                <c:pt idx="0">
                  <c:v>% indicating this future plan</c:v>
                </c:pt>
              </c:strCache>
            </c:strRef>
          </c:tx>
          <c:explosion val="25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Data!$A$3:$A$11</c:f>
              <c:strCache>
                <c:ptCount val="9"/>
                <c:pt idx="0">
                  <c:v>Employment, Full time</c:v>
                </c:pt>
                <c:pt idx="1">
                  <c:v>Employment, Part time</c:v>
                </c:pt>
                <c:pt idx="2">
                  <c:v>Graduate school, Full time</c:v>
                </c:pt>
                <c:pt idx="3">
                  <c:v>Graduate school, Part time</c:v>
                </c:pt>
                <c:pt idx="4">
                  <c:v>Additional Undergraduate coursework</c:v>
                </c:pt>
                <c:pt idx="5">
                  <c:v>Military Service</c:v>
                </c:pt>
                <c:pt idx="6">
                  <c:v>Volunteer activity</c:v>
                </c:pt>
                <c:pt idx="7">
                  <c:v>Starting or raising a family</c:v>
                </c:pt>
                <c:pt idx="8">
                  <c:v>Other</c:v>
                </c:pt>
              </c:strCache>
            </c:strRef>
          </c:cat>
          <c:val>
            <c:numRef>
              <c:f>Data!$D$3:$D$11</c:f>
              <c:numCache>
                <c:formatCode>0%</c:formatCode>
                <c:ptCount val="9"/>
                <c:pt idx="0">
                  <c:v>0.75312500000000004</c:v>
                </c:pt>
                <c:pt idx="1">
                  <c:v>4.0625000000000001E-2</c:v>
                </c:pt>
                <c:pt idx="2">
                  <c:v>0.13750000000000001</c:v>
                </c:pt>
                <c:pt idx="3">
                  <c:v>9.3749999999999997E-3</c:v>
                </c:pt>
                <c:pt idx="4">
                  <c:v>6.2500000000000003E-3</c:v>
                </c:pt>
                <c:pt idx="5">
                  <c:v>1.5625E-2</c:v>
                </c:pt>
                <c:pt idx="6">
                  <c:v>6.2500000000000003E-3</c:v>
                </c:pt>
                <c:pt idx="7">
                  <c:v>6.2500000000000003E-3</c:v>
                </c:pt>
                <c:pt idx="8">
                  <c:v>2.5000000000000001E-2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4422695498988602"/>
          <c:y val="0.19460286652613731"/>
          <c:w val="0.25386355634980751"/>
          <c:h val="0.72349387501918616"/>
        </c:manualLayout>
      </c:layout>
      <c:overlay val="0"/>
      <c:txPr>
        <a:bodyPr/>
        <a:lstStyle/>
        <a:p>
          <a:pPr rtl="0">
            <a:defRPr sz="1400" baseline="0"/>
          </a:pPr>
          <a:endParaRPr lang="en-US"/>
        </a:p>
      </c:txPr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00" baseline="0"/>
            </a:pPr>
            <a:r>
              <a:rPr lang="en-US" sz="1900" baseline="0"/>
              <a:t>Percentage indicating this future plan from Fall 2009 application for graduation survey</a:t>
            </a:r>
          </a:p>
        </c:rich>
      </c:tx>
      <c:overlay val="0"/>
    </c:title>
    <c:autoTitleDeleted val="0"/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Data!$D$2</c:f>
              <c:strCache>
                <c:ptCount val="1"/>
                <c:pt idx="0">
                  <c:v>% indicating this future plan</c:v>
                </c:pt>
              </c:strCache>
            </c:strRef>
          </c:tx>
          <c:explosion val="25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Data!$A$3:$A$11</c:f>
              <c:strCache>
                <c:ptCount val="9"/>
                <c:pt idx="0">
                  <c:v>Employment, Full time</c:v>
                </c:pt>
                <c:pt idx="1">
                  <c:v>Employment, Part time</c:v>
                </c:pt>
                <c:pt idx="2">
                  <c:v>Graduate school, Full time</c:v>
                </c:pt>
                <c:pt idx="3">
                  <c:v>Graduate school, Part time</c:v>
                </c:pt>
                <c:pt idx="4">
                  <c:v>Additional Undergraduate coursework</c:v>
                </c:pt>
                <c:pt idx="5">
                  <c:v>Military Service</c:v>
                </c:pt>
                <c:pt idx="6">
                  <c:v>Volunteer activity</c:v>
                </c:pt>
                <c:pt idx="7">
                  <c:v>Starting or raising a family</c:v>
                </c:pt>
                <c:pt idx="8">
                  <c:v>Other</c:v>
                </c:pt>
              </c:strCache>
            </c:strRef>
          </c:cat>
          <c:val>
            <c:numRef>
              <c:f>Data!$D$29:$D$37</c:f>
              <c:numCache>
                <c:formatCode>0%</c:formatCode>
                <c:ptCount val="9"/>
                <c:pt idx="0">
                  <c:v>0.77118644067796616</c:v>
                </c:pt>
                <c:pt idx="1">
                  <c:v>3.6723163841807911E-2</c:v>
                </c:pt>
                <c:pt idx="2">
                  <c:v>0.12429378531073447</c:v>
                </c:pt>
                <c:pt idx="3">
                  <c:v>1.977401129943503E-2</c:v>
                </c:pt>
                <c:pt idx="4">
                  <c:v>5.6497175141242938E-3</c:v>
                </c:pt>
                <c:pt idx="5">
                  <c:v>1.4124293785310734E-2</c:v>
                </c:pt>
                <c:pt idx="6">
                  <c:v>8.4745762711864406E-3</c:v>
                </c:pt>
                <c:pt idx="7">
                  <c:v>2.8248587570621469E-3</c:v>
                </c:pt>
                <c:pt idx="8">
                  <c:v>1.6949152542372881E-2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4422695498988591"/>
          <c:y val="0.19460286652613731"/>
          <c:w val="0.26364401462411619"/>
          <c:h val="0.72239485641589407"/>
        </c:manualLayout>
      </c:layout>
      <c:overlay val="0"/>
      <c:txPr>
        <a:bodyPr/>
        <a:lstStyle/>
        <a:p>
          <a:pPr rtl="0">
            <a:defRPr sz="1400" baseline="0"/>
          </a:pPr>
          <a:endParaRPr lang="en-US"/>
        </a:p>
      </c:txPr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00" baseline="0"/>
            </a:pPr>
            <a:r>
              <a:rPr lang="en-US" sz="1900" baseline="0"/>
              <a:t>Percentage indicating this future plan from Spring 2010</a:t>
            </a:r>
          </a:p>
          <a:p>
            <a:pPr>
              <a:defRPr sz="1900" baseline="0"/>
            </a:pPr>
            <a:r>
              <a:rPr lang="en-US" sz="1900" baseline="0"/>
              <a:t> application for graduation survey</a:t>
            </a:r>
          </a:p>
        </c:rich>
      </c:tx>
      <c:overlay val="0"/>
    </c:title>
    <c:autoTitleDeleted val="0"/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1"/>
          <c:order val="1"/>
          <c:tx>
            <c:strRef>
              <c:f>Data!$C$15</c:f>
              <c:strCache>
                <c:ptCount val="1"/>
                <c:pt idx="0">
                  <c:v># surveyed</c:v>
                </c:pt>
              </c:strCache>
            </c:strRef>
          </c:tx>
          <c:explosion val="25"/>
          <c:dLbls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Data!$A$42:$A$50</c:f>
              <c:strCache>
                <c:ptCount val="9"/>
                <c:pt idx="0">
                  <c:v>Employment, Full time</c:v>
                </c:pt>
                <c:pt idx="1">
                  <c:v>Employment, Part time</c:v>
                </c:pt>
                <c:pt idx="2">
                  <c:v>Graduate school, Full time</c:v>
                </c:pt>
                <c:pt idx="3">
                  <c:v>Graduate school, Part time</c:v>
                </c:pt>
                <c:pt idx="4">
                  <c:v>Additional Undergraduate coursework</c:v>
                </c:pt>
                <c:pt idx="5">
                  <c:v>Military Service</c:v>
                </c:pt>
                <c:pt idx="6">
                  <c:v>Volunteer activity</c:v>
                </c:pt>
                <c:pt idx="7">
                  <c:v>Starting or raising a family</c:v>
                </c:pt>
                <c:pt idx="8">
                  <c:v>Other</c:v>
                </c:pt>
              </c:strCache>
            </c:strRef>
          </c:cat>
          <c:val>
            <c:numRef>
              <c:f>Data!$C$16:$C$24</c:f>
              <c:numCache>
                <c:formatCode>General</c:formatCode>
                <c:ptCount val="9"/>
                <c:pt idx="0">
                  <c:v>617</c:v>
                </c:pt>
                <c:pt idx="1">
                  <c:v>9</c:v>
                </c:pt>
                <c:pt idx="2">
                  <c:v>161</c:v>
                </c:pt>
                <c:pt idx="3">
                  <c:v>18</c:v>
                </c:pt>
                <c:pt idx="4">
                  <c:v>3</c:v>
                </c:pt>
                <c:pt idx="5">
                  <c:v>12</c:v>
                </c:pt>
                <c:pt idx="6">
                  <c:v>4</c:v>
                </c:pt>
                <c:pt idx="7">
                  <c:v>3</c:v>
                </c:pt>
                <c:pt idx="8">
                  <c:v>11</c:v>
                </c:pt>
              </c:numCache>
            </c:numRef>
          </c:val>
        </c:ser>
        <c:ser>
          <c:idx val="2"/>
          <c:order val="2"/>
          <c:tx>
            <c:strRef>
              <c:f>Data!$D$15</c:f>
              <c:strCache>
                <c:ptCount val="1"/>
                <c:pt idx="0">
                  <c:v>% indicating this future plan</c:v>
                </c:pt>
              </c:strCache>
            </c:strRef>
          </c:tx>
          <c:explosion val="25"/>
          <c:cat>
            <c:strRef>
              <c:f>Data!$A$42:$A$50</c:f>
              <c:strCache>
                <c:ptCount val="9"/>
                <c:pt idx="0">
                  <c:v>Employment, Full time</c:v>
                </c:pt>
                <c:pt idx="1">
                  <c:v>Employment, Part time</c:v>
                </c:pt>
                <c:pt idx="2">
                  <c:v>Graduate school, Full time</c:v>
                </c:pt>
                <c:pt idx="3">
                  <c:v>Graduate school, Part time</c:v>
                </c:pt>
                <c:pt idx="4">
                  <c:v>Additional Undergraduate coursework</c:v>
                </c:pt>
                <c:pt idx="5">
                  <c:v>Military Service</c:v>
                </c:pt>
                <c:pt idx="6">
                  <c:v>Volunteer activity</c:v>
                </c:pt>
                <c:pt idx="7">
                  <c:v>Starting or raising a family</c:v>
                </c:pt>
                <c:pt idx="8">
                  <c:v>Other</c:v>
                </c:pt>
              </c:strCache>
            </c:strRef>
          </c:cat>
          <c:val>
            <c:numRef>
              <c:f>Data!$D$16:$D$24</c:f>
              <c:numCache>
                <c:formatCode>0%</c:formatCode>
                <c:ptCount val="9"/>
                <c:pt idx="0">
                  <c:v>0.73627684964200479</c:v>
                </c:pt>
                <c:pt idx="1">
                  <c:v>1.0739856801909307E-2</c:v>
                </c:pt>
                <c:pt idx="2">
                  <c:v>0.19212410501193317</c:v>
                </c:pt>
                <c:pt idx="3">
                  <c:v>2.1479713603818614E-2</c:v>
                </c:pt>
                <c:pt idx="4">
                  <c:v>3.5799522673031028E-3</c:v>
                </c:pt>
                <c:pt idx="5">
                  <c:v>1.4319809069212411E-2</c:v>
                </c:pt>
                <c:pt idx="6">
                  <c:v>4.7732696897374704E-3</c:v>
                </c:pt>
                <c:pt idx="7">
                  <c:v>3.5799522673031028E-3</c:v>
                </c:pt>
                <c:pt idx="8">
                  <c:v>1.3126491646778043E-2</c:v>
                </c:pt>
              </c:numCache>
            </c:numRef>
          </c:val>
        </c:ser>
        <c:ser>
          <c:idx val="0"/>
          <c:order val="0"/>
          <c:tx>
            <c:strRef>
              <c:f>Data!$D$2</c:f>
              <c:strCache>
                <c:ptCount val="1"/>
                <c:pt idx="0">
                  <c:v>% indicating this future plan</c:v>
                </c:pt>
              </c:strCache>
            </c:strRef>
          </c:tx>
          <c:explosion val="25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Data!$A$42:$A$50</c:f>
              <c:strCache>
                <c:ptCount val="9"/>
                <c:pt idx="0">
                  <c:v>Employment, Full time</c:v>
                </c:pt>
                <c:pt idx="1">
                  <c:v>Employment, Part time</c:v>
                </c:pt>
                <c:pt idx="2">
                  <c:v>Graduate school, Full time</c:v>
                </c:pt>
                <c:pt idx="3">
                  <c:v>Graduate school, Part time</c:v>
                </c:pt>
                <c:pt idx="4">
                  <c:v>Additional Undergraduate coursework</c:v>
                </c:pt>
                <c:pt idx="5">
                  <c:v>Military Service</c:v>
                </c:pt>
                <c:pt idx="6">
                  <c:v>Volunteer activity</c:v>
                </c:pt>
                <c:pt idx="7">
                  <c:v>Starting or raising a family</c:v>
                </c:pt>
                <c:pt idx="8">
                  <c:v>Other</c:v>
                </c:pt>
              </c:strCache>
            </c:strRef>
          </c:cat>
          <c:val>
            <c:numRef>
              <c:f>Data!$D$42:$D$50</c:f>
              <c:numCache>
                <c:formatCode>0%</c:formatCode>
                <c:ptCount val="9"/>
                <c:pt idx="0">
                  <c:v>0.75395987328405489</c:v>
                </c:pt>
                <c:pt idx="1">
                  <c:v>2.5343189017951427E-2</c:v>
                </c:pt>
                <c:pt idx="2">
                  <c:v>0.15945089757127773</c:v>
                </c:pt>
                <c:pt idx="3">
                  <c:v>2.0063357972544878E-2</c:v>
                </c:pt>
                <c:pt idx="4">
                  <c:v>3.1678986272439284E-3</c:v>
                </c:pt>
                <c:pt idx="5">
                  <c:v>1.7951425554382259E-2</c:v>
                </c:pt>
                <c:pt idx="6">
                  <c:v>6.3357972544878568E-3</c:v>
                </c:pt>
                <c:pt idx="7">
                  <c:v>1.0559662090813093E-3</c:v>
                </c:pt>
                <c:pt idx="8">
                  <c:v>1.2671594508975714E-2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4422695498988614"/>
          <c:y val="0.19460286652613731"/>
          <c:w val="0.25386355634980756"/>
          <c:h val="0.72349387501918638"/>
        </c:manualLayout>
      </c:layout>
      <c:overlay val="0"/>
      <c:txPr>
        <a:bodyPr/>
        <a:lstStyle/>
        <a:p>
          <a:pPr rtl="0">
            <a:defRPr sz="1400" baseline="0"/>
          </a:pPr>
          <a:endParaRPr lang="en-US"/>
        </a:p>
      </c:txPr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indicating this future plan from Fall 2010 application for graduation survey</a:t>
            </a:r>
          </a:p>
        </c:rich>
      </c:tx>
      <c:overlay val="0"/>
    </c:title>
    <c:autoTitleDeleted val="0"/>
    <c:view3D>
      <c:rotX val="60"/>
      <c:rotY val="0"/>
      <c:rAngAx val="1"/>
    </c:view3D>
    <c:floor>
      <c:thickness val="0"/>
    </c:floor>
    <c:sideWall>
      <c:thickness val="0"/>
      <c:spPr>
        <a:scene3d>
          <a:camera prst="orthographicFront"/>
          <a:lightRig rig="threePt" dir="t"/>
        </a:scene3d>
        <a:sp3d>
          <a:bevelT w="165100" prst="coolSlant"/>
        </a:sp3d>
      </c:spPr>
    </c:sideWall>
    <c:backWall>
      <c:thickness val="0"/>
      <c:spPr>
        <a:scene3d>
          <a:camera prst="orthographicFront"/>
          <a:lightRig rig="threePt" dir="t"/>
        </a:scene3d>
        <a:sp3d>
          <a:bevelT w="165100" prst="coolSlant"/>
        </a:sp3d>
      </c:spPr>
    </c:backWall>
    <c:plotArea>
      <c:layout/>
      <c:pie3DChart>
        <c:varyColors val="1"/>
        <c:ser>
          <c:idx val="1"/>
          <c:order val="0"/>
          <c:tx>
            <c:strRef>
              <c:f>Data!$D$54</c:f>
              <c:strCache>
                <c:ptCount val="1"/>
                <c:pt idx="0">
                  <c:v>% indicating this future plan</c:v>
                </c:pt>
              </c:strCache>
            </c:strRef>
          </c:tx>
          <c:explosion val="25"/>
          <c:dLbls>
            <c:txPr>
              <a:bodyPr/>
              <a:lstStyle/>
              <a:p>
                <a:pPr>
                  <a:defRPr sz="1100" b="1" i="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Data!$A$55:$A$63</c:f>
              <c:strCache>
                <c:ptCount val="9"/>
                <c:pt idx="0">
                  <c:v>Employment, Full time</c:v>
                </c:pt>
                <c:pt idx="1">
                  <c:v>Employment, Part time</c:v>
                </c:pt>
                <c:pt idx="2">
                  <c:v>Graduate school, Full time</c:v>
                </c:pt>
                <c:pt idx="3">
                  <c:v>Graduate school, Part time</c:v>
                </c:pt>
                <c:pt idx="4">
                  <c:v>Additional Undergraduate coursework</c:v>
                </c:pt>
                <c:pt idx="5">
                  <c:v>Military Service</c:v>
                </c:pt>
                <c:pt idx="6">
                  <c:v>Volunteer activity</c:v>
                </c:pt>
                <c:pt idx="7">
                  <c:v>Starting or raising a family</c:v>
                </c:pt>
                <c:pt idx="8">
                  <c:v>Other</c:v>
                </c:pt>
              </c:strCache>
            </c:strRef>
          </c:cat>
          <c:val>
            <c:numRef>
              <c:f>Data!$D$55:$D$63</c:f>
              <c:numCache>
                <c:formatCode>0%</c:formatCode>
                <c:ptCount val="9"/>
                <c:pt idx="0">
                  <c:v>0.72364672364672367</c:v>
                </c:pt>
                <c:pt idx="1">
                  <c:v>6.8376068376068383E-2</c:v>
                </c:pt>
                <c:pt idx="2">
                  <c:v>0.13675213675213677</c:v>
                </c:pt>
                <c:pt idx="3">
                  <c:v>1.9943019943019943E-2</c:v>
                </c:pt>
                <c:pt idx="4">
                  <c:v>1.1396011396011397E-2</c:v>
                </c:pt>
                <c:pt idx="5">
                  <c:v>1.4245014245014245E-2</c:v>
                </c:pt>
                <c:pt idx="6">
                  <c:v>5.6980056980056983E-3</c:v>
                </c:pt>
                <c:pt idx="7" formatCode="0.0%">
                  <c:v>2.8490028490028491E-3</c:v>
                </c:pt>
                <c:pt idx="8">
                  <c:v>1.7094017094017096E-2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>
            <a:defRPr sz="1200" b="1" i="0" baseline="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indicating this future plan From Spring 2011</a:t>
            </a:r>
            <a:r>
              <a:rPr lang="en-US" baseline="0"/>
              <a:t> application for graduation survey </a:t>
            </a:r>
            <a:r>
              <a:rPr lang="en-US" sz="1200" baseline="0"/>
              <a:t>(as of 2-15-2011)</a:t>
            </a:r>
            <a:endParaRPr lang="en-US" sz="1200"/>
          </a:p>
        </c:rich>
      </c:tx>
      <c:overlay val="0"/>
    </c:title>
    <c:autoTitleDeleted val="0"/>
    <c:view3D>
      <c:rotX val="60"/>
      <c:rotY val="0"/>
      <c:rAngAx val="0"/>
      <c:perspective val="5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1"/>
          <c:order val="0"/>
          <c:tx>
            <c:strRef>
              <c:f>Data!$D$67</c:f>
              <c:strCache>
                <c:ptCount val="1"/>
                <c:pt idx="0">
                  <c:v>% indicating this future plan</c:v>
                </c:pt>
              </c:strCache>
            </c:strRef>
          </c:tx>
          <c:explosion val="25"/>
          <c:dLbls>
            <c:txPr>
              <a:bodyPr/>
              <a:lstStyle/>
              <a:p>
                <a:pPr>
                  <a:defRPr sz="1200" b="1" i="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Data!$A$68:$A$76</c:f>
              <c:strCache>
                <c:ptCount val="9"/>
                <c:pt idx="0">
                  <c:v>Employment, Full time</c:v>
                </c:pt>
                <c:pt idx="1">
                  <c:v>Employment, Part time</c:v>
                </c:pt>
                <c:pt idx="2">
                  <c:v>Graduate school, Full time</c:v>
                </c:pt>
                <c:pt idx="3">
                  <c:v>Graduate school, Part time</c:v>
                </c:pt>
                <c:pt idx="4">
                  <c:v>Additional Undergraduate coursework</c:v>
                </c:pt>
                <c:pt idx="5">
                  <c:v>Military Service</c:v>
                </c:pt>
                <c:pt idx="6">
                  <c:v>Volunteer activity</c:v>
                </c:pt>
                <c:pt idx="7">
                  <c:v>Starting or raising a family</c:v>
                </c:pt>
                <c:pt idx="8">
                  <c:v>Other</c:v>
                </c:pt>
              </c:strCache>
            </c:strRef>
          </c:cat>
          <c:val>
            <c:numRef>
              <c:f>Data!$D$68:$D$76</c:f>
              <c:numCache>
                <c:formatCode>0%</c:formatCode>
                <c:ptCount val="9"/>
                <c:pt idx="0">
                  <c:v>0.73541247484909456</c:v>
                </c:pt>
                <c:pt idx="1">
                  <c:v>3.9235412474849095E-2</c:v>
                </c:pt>
                <c:pt idx="2">
                  <c:v>0.15191146881287726</c:v>
                </c:pt>
                <c:pt idx="3">
                  <c:v>2.9175050301810865E-2</c:v>
                </c:pt>
                <c:pt idx="4">
                  <c:v>1.3078470824949699E-2</c:v>
                </c:pt>
                <c:pt idx="5">
                  <c:v>1.3078470824949699E-2</c:v>
                </c:pt>
                <c:pt idx="6" formatCode="0.0%">
                  <c:v>3.0181086519114686E-3</c:v>
                </c:pt>
                <c:pt idx="7" formatCode="0.0%">
                  <c:v>3.0181086519114686E-3</c:v>
                </c:pt>
                <c:pt idx="8">
                  <c:v>1.2072434607645875E-2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>
            <a:defRPr sz="1200" b="1" i="0" baseline="0"/>
          </a:pPr>
          <a:endParaRPr lang="en-US"/>
        </a:p>
      </c:txPr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Percentage indicating this future plan from Fall 2011 application for graduation survey </a:t>
            </a:r>
            <a:r>
              <a:rPr lang="en-US" sz="1400" b="1" i="0" baseline="0">
                <a:effectLst/>
              </a:rPr>
              <a:t>(as of 12-16-2011)</a:t>
            </a:r>
            <a:endParaRPr lang="en-US" sz="1400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</c:title>
    <c:autoTitleDeleted val="0"/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1"/>
          <c:order val="0"/>
          <c:tx>
            <c:strRef>
              <c:f>Data!$D$81</c:f>
              <c:strCache>
                <c:ptCount val="1"/>
                <c:pt idx="0">
                  <c:v>% indicating this future plan</c:v>
                </c:pt>
              </c:strCache>
            </c:strRef>
          </c:tx>
          <c:explosion val="25"/>
          <c:dLbls>
            <c:txPr>
              <a:bodyPr/>
              <a:lstStyle/>
              <a:p>
                <a:pPr>
                  <a:defRPr sz="1400" b="1" i="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Data!$A$82:$A$90</c:f>
              <c:strCache>
                <c:ptCount val="9"/>
                <c:pt idx="0">
                  <c:v>Employment, Full time</c:v>
                </c:pt>
                <c:pt idx="1">
                  <c:v>Employment, Part time</c:v>
                </c:pt>
                <c:pt idx="2">
                  <c:v>Graduate school, Full time</c:v>
                </c:pt>
                <c:pt idx="3">
                  <c:v>Graduate school, Part time</c:v>
                </c:pt>
                <c:pt idx="4">
                  <c:v>Additional Undergraduate coursework</c:v>
                </c:pt>
                <c:pt idx="5">
                  <c:v>Military Service</c:v>
                </c:pt>
                <c:pt idx="6">
                  <c:v>Volunteer activity</c:v>
                </c:pt>
                <c:pt idx="7">
                  <c:v>Starting or raising a family</c:v>
                </c:pt>
                <c:pt idx="8">
                  <c:v>Other</c:v>
                </c:pt>
              </c:strCache>
            </c:strRef>
          </c:cat>
          <c:val>
            <c:numRef>
              <c:f>Data!$D$82:$D$90</c:f>
              <c:numCache>
                <c:formatCode>0.0%</c:formatCode>
                <c:ptCount val="9"/>
                <c:pt idx="0">
                  <c:v>0.12776659959758552</c:v>
                </c:pt>
                <c:pt idx="1">
                  <c:v>5.6338028169014086E-2</c:v>
                </c:pt>
                <c:pt idx="2">
                  <c:v>3.2193158953722337E-2</c:v>
                </c:pt>
                <c:pt idx="3">
                  <c:v>2.6156941649899398E-2</c:v>
                </c:pt>
                <c:pt idx="4">
                  <c:v>6.0362173038229373E-3</c:v>
                </c:pt>
                <c:pt idx="5">
                  <c:v>4.0241448692152921E-3</c:v>
                </c:pt>
                <c:pt idx="6">
                  <c:v>4.0241448692152921E-3</c:v>
                </c:pt>
                <c:pt idx="7">
                  <c:v>2.0120724346076459E-2</c:v>
                </c:pt>
                <c:pt idx="8">
                  <c:v>8.0482897384305842E-3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>
            <a:defRPr sz="1200" b="1" i="0" baseline="0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tabSelected="1"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4559" cy="63033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84559" cy="63033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28063" cy="626268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28063" cy="626268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738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1" name="Table1" displayName="Table1" ref="A2:D12" totalsRowShown="0" headerRowDxfId="41" dataDxfId="40">
  <tableColumns count="4">
    <tableColumn id="1" name="Future Plans" dataDxfId="39"/>
    <tableColumn id="2" name="Graduating Term" dataDxfId="38"/>
    <tableColumn id="3" name="# surveyed" dataDxfId="37"/>
    <tableColumn id="4" name="% indicating this future plan" dataDxfId="36" dataCellStyle="Percent">
      <calculatedColumnFormula>C3/$C$12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5:D25" totalsRowShown="0" headerRowDxfId="35" dataDxfId="34">
  <tableColumns count="4">
    <tableColumn id="1" name="Future Plans" dataDxfId="33"/>
    <tableColumn id="2" name="Graduating Term" dataDxfId="32"/>
    <tableColumn id="3" name="# surveyed" dataDxfId="31"/>
    <tableColumn id="4" name="% indicating this future plan" dataDxfId="30">
      <calculatedColumnFormula>Table2[[#This Row],['# surveyed]]/$C$25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24" displayName="Table24" ref="A28:D39" totalsRowShown="0" headerRowDxfId="29" dataDxfId="28">
  <tableColumns count="4">
    <tableColumn id="1" name="Future Plans" dataDxfId="27"/>
    <tableColumn id="2" name="Graduating Term" dataDxfId="26"/>
    <tableColumn id="3" name="# surveyed" dataDxfId="25"/>
    <tableColumn id="4" name="% indicating this future plan" dataDxfId="24">
      <calculatedColumnFormula>Table24[[#This Row],['# surveyed]]/$C$38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able25" displayName="Table25" ref="A41:D52" totalsRowShown="0" headerRowDxfId="23" dataDxfId="22">
  <tableColumns count="4">
    <tableColumn id="1" name="Future Plans" dataDxfId="21"/>
    <tableColumn id="2" name="Graduating Term" dataDxfId="20"/>
    <tableColumn id="3" name="# surveyed" dataDxfId="19"/>
    <tableColumn id="4" name="% indicating this future plan" dataDxfId="18">
      <calculatedColumnFormula>Table25[[#This Row],['# surveyed]]/$C$25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Table246" displayName="Table246" ref="A54:D65" totalsRowShown="0" headerRowDxfId="17" dataDxfId="16">
  <tableColumns count="4">
    <tableColumn id="1" name="Future Plans" dataDxfId="15"/>
    <tableColumn id="2" name="Graduating Term" dataDxfId="14"/>
    <tableColumn id="3" name="# surveyed" dataDxfId="13">
      <calculatedColumnFormula>SUM(C46:C54)</calculatedColumnFormula>
    </tableColumn>
    <tableColumn id="4" name="% indicating this future plan" dataDxfId="12">
      <calculatedColumnFormula>Table246[[#This Row],['# surveyed]]/$C$38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257" displayName="Table257" ref="A67:D79" totalsRowShown="0" headerRowDxfId="11" dataDxfId="10">
  <tableColumns count="4">
    <tableColumn id="1" name="Future Plans" dataDxfId="9"/>
    <tableColumn id="2" name="Graduating Term" dataDxfId="8"/>
    <tableColumn id="3" name="# surveyed" dataDxfId="7"/>
    <tableColumn id="4" name="% indicating this future plan" dataDxfId="6">
      <calculatedColumnFormula>Table257[[#This Row],['# surveyed]]/$C$25</calculatedColumnFormula>
    </tableColumn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id="7" name="Table2578" displayName="Table2578" ref="A81:D93" totalsRowShown="0" headerRowDxfId="5" dataDxfId="4">
  <tableColumns count="4">
    <tableColumn id="1" name="Future Plans" dataDxfId="3"/>
    <tableColumn id="2" name="Graduating Term" dataDxfId="2"/>
    <tableColumn id="3" name="# surveyed" dataDxfId="1"/>
    <tableColumn id="4" name="% indicating this future plan" dataDxfId="0">
      <calculatedColumnFormula>Table2578[[#This Row],['# surveyed]]/$C$25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comments" Target="../comments1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F93"/>
  <sheetViews>
    <sheetView topLeftCell="A66" workbookViewId="0">
      <selection activeCell="C92" sqref="C92"/>
    </sheetView>
  </sheetViews>
  <sheetFormatPr defaultRowHeight="14.4" x14ac:dyDescent="0.3"/>
  <cols>
    <col min="1" max="1" width="35.5546875" style="1" bestFit="1" customWidth="1"/>
    <col min="2" max="2" width="26.5546875" customWidth="1"/>
    <col min="3" max="3" width="18.33203125" customWidth="1"/>
    <col min="4" max="4" width="27.88671875" customWidth="1"/>
    <col min="5" max="5" width="21.88671875" bestFit="1" customWidth="1"/>
  </cols>
  <sheetData>
    <row r="2" spans="1:6" x14ac:dyDescent="0.3">
      <c r="A2" s="2" t="s">
        <v>5</v>
      </c>
      <c r="B2" s="2" t="s">
        <v>0</v>
      </c>
      <c r="C2" s="2" t="s">
        <v>4</v>
      </c>
      <c r="D2" s="2" t="s">
        <v>6</v>
      </c>
    </row>
    <row r="3" spans="1:6" x14ac:dyDescent="0.3">
      <c r="A3" s="1" t="s">
        <v>2</v>
      </c>
      <c r="B3" s="1" t="s">
        <v>1</v>
      </c>
      <c r="C3" s="1">
        <v>241</v>
      </c>
      <c r="D3" s="4">
        <f>C3/$C$12</f>
        <v>0.75312500000000004</v>
      </c>
    </row>
    <row r="4" spans="1:6" x14ac:dyDescent="0.3">
      <c r="A4" s="1" t="s">
        <v>3</v>
      </c>
      <c r="B4" s="1" t="s">
        <v>1</v>
      </c>
      <c r="C4" s="1">
        <v>13</v>
      </c>
      <c r="D4" s="4">
        <f t="shared" ref="D4:D12" si="0">C4/$C$12</f>
        <v>4.0625000000000001E-2</v>
      </c>
    </row>
    <row r="5" spans="1:6" x14ac:dyDescent="0.3">
      <c r="A5" s="1" t="s">
        <v>7</v>
      </c>
      <c r="B5" s="1" t="s">
        <v>1</v>
      </c>
      <c r="C5" s="1">
        <v>44</v>
      </c>
      <c r="D5" s="4">
        <f t="shared" si="0"/>
        <v>0.13750000000000001</v>
      </c>
    </row>
    <row r="6" spans="1:6" x14ac:dyDescent="0.3">
      <c r="A6" s="1" t="s">
        <v>8</v>
      </c>
      <c r="B6" s="1" t="s">
        <v>1</v>
      </c>
      <c r="C6" s="1">
        <v>3</v>
      </c>
      <c r="D6" s="4">
        <f t="shared" si="0"/>
        <v>9.3749999999999997E-3</v>
      </c>
    </row>
    <row r="7" spans="1:6" x14ac:dyDescent="0.3">
      <c r="A7" s="1" t="s">
        <v>9</v>
      </c>
      <c r="B7" s="1" t="s">
        <v>1</v>
      </c>
      <c r="C7" s="1">
        <v>2</v>
      </c>
      <c r="D7" s="4">
        <f t="shared" si="0"/>
        <v>6.2500000000000003E-3</v>
      </c>
    </row>
    <row r="8" spans="1:6" x14ac:dyDescent="0.3">
      <c r="A8" s="1" t="s">
        <v>10</v>
      </c>
      <c r="B8" s="1" t="s">
        <v>1</v>
      </c>
      <c r="C8" s="1">
        <v>5</v>
      </c>
      <c r="D8" s="4">
        <f t="shared" si="0"/>
        <v>1.5625E-2</v>
      </c>
    </row>
    <row r="9" spans="1:6" x14ac:dyDescent="0.3">
      <c r="A9" s="1" t="s">
        <v>11</v>
      </c>
      <c r="B9" s="1" t="s">
        <v>1</v>
      </c>
      <c r="C9" s="1">
        <v>2</v>
      </c>
      <c r="D9" s="4">
        <f t="shared" si="0"/>
        <v>6.2500000000000003E-3</v>
      </c>
    </row>
    <row r="10" spans="1:6" x14ac:dyDescent="0.3">
      <c r="A10" s="1" t="s">
        <v>12</v>
      </c>
      <c r="B10" s="1" t="s">
        <v>1</v>
      </c>
      <c r="C10" s="1">
        <v>2</v>
      </c>
      <c r="D10" s="4">
        <f t="shared" si="0"/>
        <v>6.2500000000000003E-3</v>
      </c>
    </row>
    <row r="11" spans="1:6" x14ac:dyDescent="0.3">
      <c r="A11" s="1" t="s">
        <v>13</v>
      </c>
      <c r="B11" s="1" t="s">
        <v>1</v>
      </c>
      <c r="C11" s="1">
        <v>8</v>
      </c>
      <c r="D11" s="4">
        <f t="shared" si="0"/>
        <v>2.5000000000000001E-2</v>
      </c>
    </row>
    <row r="12" spans="1:6" x14ac:dyDescent="0.3">
      <c r="B12" s="1" t="s">
        <v>17</v>
      </c>
      <c r="C12" s="1">
        <f>SUM(C3:C11)</f>
        <v>320</v>
      </c>
      <c r="D12" s="4">
        <f t="shared" si="0"/>
        <v>1</v>
      </c>
    </row>
    <row r="13" spans="1:6" x14ac:dyDescent="0.3">
      <c r="B13" s="1" t="s">
        <v>20</v>
      </c>
      <c r="C13" s="1">
        <v>352</v>
      </c>
      <c r="D13" s="4"/>
      <c r="E13" t="s">
        <v>15</v>
      </c>
      <c r="F13" s="3">
        <f>C12/C13</f>
        <v>0.90909090909090906</v>
      </c>
    </row>
    <row r="14" spans="1:6" ht="7.5" customHeight="1" x14ac:dyDescent="0.3">
      <c r="B14" s="1"/>
    </row>
    <row r="15" spans="1:6" x14ac:dyDescent="0.3">
      <c r="A15" s="2" t="s">
        <v>5</v>
      </c>
      <c r="B15" s="2" t="s">
        <v>0</v>
      </c>
      <c r="C15" s="2" t="s">
        <v>4</v>
      </c>
      <c r="D15" s="2" t="s">
        <v>6</v>
      </c>
    </row>
    <row r="16" spans="1:6" x14ac:dyDescent="0.3">
      <c r="A16" s="1" t="s">
        <v>2</v>
      </c>
      <c r="B16" s="1" t="s">
        <v>14</v>
      </c>
      <c r="C16" s="1">
        <v>617</v>
      </c>
      <c r="D16" s="4">
        <f>Table2[[#This Row],['# surveyed]]/$C$25</f>
        <v>0.73627684964200479</v>
      </c>
    </row>
    <row r="17" spans="1:6" x14ac:dyDescent="0.3">
      <c r="A17" s="1" t="s">
        <v>3</v>
      </c>
      <c r="B17" s="1" t="s">
        <v>14</v>
      </c>
      <c r="C17" s="1">
        <v>9</v>
      </c>
      <c r="D17" s="5">
        <f>Table2[[#This Row],['# surveyed]]/$C$25</f>
        <v>1.0739856801909307E-2</v>
      </c>
    </row>
    <row r="18" spans="1:6" x14ac:dyDescent="0.3">
      <c r="A18" s="1" t="s">
        <v>7</v>
      </c>
      <c r="B18" s="1" t="s">
        <v>14</v>
      </c>
      <c r="C18" s="1">
        <v>161</v>
      </c>
      <c r="D18" s="5">
        <f>Table2[[#This Row],['# surveyed]]/$C$25</f>
        <v>0.19212410501193317</v>
      </c>
    </row>
    <row r="19" spans="1:6" x14ac:dyDescent="0.3">
      <c r="A19" s="1" t="s">
        <v>8</v>
      </c>
      <c r="B19" s="1" t="s">
        <v>14</v>
      </c>
      <c r="C19" s="1">
        <v>18</v>
      </c>
      <c r="D19" s="5">
        <f>Table2[[#This Row],['# surveyed]]/$C$25</f>
        <v>2.1479713603818614E-2</v>
      </c>
    </row>
    <row r="20" spans="1:6" x14ac:dyDescent="0.3">
      <c r="A20" s="1" t="s">
        <v>9</v>
      </c>
      <c r="B20" s="1" t="s">
        <v>14</v>
      </c>
      <c r="C20" s="1">
        <v>3</v>
      </c>
      <c r="D20" s="5">
        <f>Table2[[#This Row],['# surveyed]]/$C$25</f>
        <v>3.5799522673031028E-3</v>
      </c>
    </row>
    <row r="21" spans="1:6" x14ac:dyDescent="0.3">
      <c r="A21" s="1" t="s">
        <v>10</v>
      </c>
      <c r="B21" s="1" t="s">
        <v>14</v>
      </c>
      <c r="C21" s="1">
        <v>12</v>
      </c>
      <c r="D21" s="5">
        <f>Table2[[#This Row],['# surveyed]]/$C$25</f>
        <v>1.4319809069212411E-2</v>
      </c>
    </row>
    <row r="22" spans="1:6" x14ac:dyDescent="0.3">
      <c r="A22" s="1" t="s">
        <v>11</v>
      </c>
      <c r="B22" s="1" t="s">
        <v>14</v>
      </c>
      <c r="C22" s="1">
        <v>4</v>
      </c>
      <c r="D22" s="5">
        <f>Table2[[#This Row],['# surveyed]]/$C$25</f>
        <v>4.7732696897374704E-3</v>
      </c>
    </row>
    <row r="23" spans="1:6" x14ac:dyDescent="0.3">
      <c r="A23" s="1" t="s">
        <v>12</v>
      </c>
      <c r="B23" s="1" t="s">
        <v>14</v>
      </c>
      <c r="C23" s="1">
        <v>3</v>
      </c>
      <c r="D23" s="5">
        <f>Table2[[#This Row],['# surveyed]]/$C$25</f>
        <v>3.5799522673031028E-3</v>
      </c>
    </row>
    <row r="24" spans="1:6" x14ac:dyDescent="0.3">
      <c r="A24" s="1" t="s">
        <v>13</v>
      </c>
      <c r="B24" s="1" t="s">
        <v>14</v>
      </c>
      <c r="C24" s="1">
        <v>11</v>
      </c>
      <c r="D24" s="5">
        <f>Table2[[#This Row],['# surveyed]]/$C$25</f>
        <v>1.3126491646778043E-2</v>
      </c>
    </row>
    <row r="25" spans="1:6" x14ac:dyDescent="0.3">
      <c r="B25" s="1" t="s">
        <v>17</v>
      </c>
      <c r="C25" s="1">
        <f>SUBTOTAL(109,C16:C24)</f>
        <v>838</v>
      </c>
      <c r="D25" s="5">
        <f>Table2[[#This Row],['# surveyed]]/$C$25</f>
        <v>1</v>
      </c>
    </row>
    <row r="26" spans="1:6" x14ac:dyDescent="0.3">
      <c r="B26" s="1" t="s">
        <v>20</v>
      </c>
      <c r="C26" s="1">
        <v>859</v>
      </c>
      <c r="D26" s="1"/>
      <c r="E26" t="s">
        <v>16</v>
      </c>
      <c r="F26" s="3">
        <f>C25/C26</f>
        <v>0.97555296856810247</v>
      </c>
    </row>
    <row r="28" spans="1:6" x14ac:dyDescent="0.3">
      <c r="A28" s="2" t="s">
        <v>5</v>
      </c>
      <c r="B28" s="2" t="s">
        <v>0</v>
      </c>
      <c r="C28" s="2" t="s">
        <v>4</v>
      </c>
      <c r="D28" s="2" t="s">
        <v>6</v>
      </c>
    </row>
    <row r="29" spans="1:6" x14ac:dyDescent="0.3">
      <c r="A29" s="1" t="s">
        <v>2</v>
      </c>
      <c r="B29" s="1" t="s">
        <v>18</v>
      </c>
      <c r="C29" s="1">
        <v>273</v>
      </c>
      <c r="D29" s="4">
        <f>Table24[[#This Row],['# surveyed]]/$C$38</f>
        <v>0.77118644067796616</v>
      </c>
    </row>
    <row r="30" spans="1:6" x14ac:dyDescent="0.3">
      <c r="A30" s="1" t="s">
        <v>3</v>
      </c>
      <c r="B30" s="1" t="s">
        <v>18</v>
      </c>
      <c r="C30" s="1">
        <v>13</v>
      </c>
      <c r="D30" s="5">
        <f>Table24[[#This Row],['# surveyed]]/$C$38</f>
        <v>3.6723163841807911E-2</v>
      </c>
    </row>
    <row r="31" spans="1:6" x14ac:dyDescent="0.3">
      <c r="A31" s="1" t="s">
        <v>7</v>
      </c>
      <c r="B31" s="1" t="s">
        <v>18</v>
      </c>
      <c r="C31" s="1">
        <v>44</v>
      </c>
      <c r="D31" s="5">
        <f>Table24[[#This Row],['# surveyed]]/$C$38</f>
        <v>0.12429378531073447</v>
      </c>
    </row>
    <row r="32" spans="1:6" x14ac:dyDescent="0.3">
      <c r="A32" s="1" t="s">
        <v>8</v>
      </c>
      <c r="B32" s="1" t="s">
        <v>18</v>
      </c>
      <c r="C32" s="1">
        <v>7</v>
      </c>
      <c r="D32" s="5">
        <f>Table24[[#This Row],['# surveyed]]/$C$38</f>
        <v>1.977401129943503E-2</v>
      </c>
    </row>
    <row r="33" spans="1:6" x14ac:dyDescent="0.3">
      <c r="A33" s="1" t="s">
        <v>9</v>
      </c>
      <c r="B33" s="1" t="s">
        <v>18</v>
      </c>
      <c r="C33" s="1">
        <v>2</v>
      </c>
      <c r="D33" s="5">
        <f>Table24[[#This Row],['# surveyed]]/$C$38</f>
        <v>5.6497175141242938E-3</v>
      </c>
    </row>
    <row r="34" spans="1:6" x14ac:dyDescent="0.3">
      <c r="A34" s="1" t="s">
        <v>10</v>
      </c>
      <c r="B34" s="1" t="s">
        <v>18</v>
      </c>
      <c r="C34" s="1">
        <v>5</v>
      </c>
      <c r="D34" s="5">
        <f>Table24[[#This Row],['# surveyed]]/$C$38</f>
        <v>1.4124293785310734E-2</v>
      </c>
    </row>
    <row r="35" spans="1:6" x14ac:dyDescent="0.3">
      <c r="A35" s="1" t="s">
        <v>11</v>
      </c>
      <c r="B35" s="1" t="s">
        <v>18</v>
      </c>
      <c r="C35" s="1">
        <v>3</v>
      </c>
      <c r="D35" s="5">
        <f>Table24[[#This Row],['# surveyed]]/$C$38</f>
        <v>8.4745762711864406E-3</v>
      </c>
    </row>
    <row r="36" spans="1:6" x14ac:dyDescent="0.3">
      <c r="A36" s="1" t="s">
        <v>12</v>
      </c>
      <c r="B36" s="1" t="s">
        <v>18</v>
      </c>
      <c r="C36" s="1">
        <v>1</v>
      </c>
      <c r="D36" s="5">
        <f>Table24[[#This Row],['# surveyed]]/$C$38</f>
        <v>2.8248587570621469E-3</v>
      </c>
    </row>
    <row r="37" spans="1:6" x14ac:dyDescent="0.3">
      <c r="A37" s="1" t="s">
        <v>13</v>
      </c>
      <c r="B37" s="1" t="s">
        <v>18</v>
      </c>
      <c r="C37" s="1">
        <v>6</v>
      </c>
      <c r="D37" s="5">
        <f>Table24[[#This Row],['# surveyed]]/$C$38</f>
        <v>1.6949152542372881E-2</v>
      </c>
    </row>
    <row r="38" spans="1:6" x14ac:dyDescent="0.3">
      <c r="B38" s="1" t="s">
        <v>17</v>
      </c>
      <c r="C38" s="1">
        <f>SUBTOTAL(109,C29:C37)</f>
        <v>354</v>
      </c>
      <c r="D38" s="5">
        <f>Table24[[#This Row],['# surveyed]]/$C$38</f>
        <v>1</v>
      </c>
    </row>
    <row r="39" spans="1:6" x14ac:dyDescent="0.3">
      <c r="A39" s="6"/>
      <c r="B39" s="6" t="s">
        <v>20</v>
      </c>
      <c r="C39" s="6">
        <v>364</v>
      </c>
      <c r="D39" s="7"/>
      <c r="E39" t="s">
        <v>16</v>
      </c>
      <c r="F39" s="3">
        <f>C38/C39</f>
        <v>0.97252747252747251</v>
      </c>
    </row>
    <row r="41" spans="1:6" x14ac:dyDescent="0.3">
      <c r="A41" s="2" t="s">
        <v>5</v>
      </c>
      <c r="B41" s="2" t="s">
        <v>0</v>
      </c>
      <c r="C41" s="2" t="s">
        <v>4</v>
      </c>
      <c r="D41" s="2" t="s">
        <v>6</v>
      </c>
    </row>
    <row r="42" spans="1:6" x14ac:dyDescent="0.3">
      <c r="A42" s="1" t="s">
        <v>2</v>
      </c>
      <c r="B42" s="1" t="s">
        <v>19</v>
      </c>
      <c r="C42" s="1">
        <v>714</v>
      </c>
      <c r="D42" s="4">
        <f>Table25[[#This Row],['# surveyed]]/$C$51</f>
        <v>0.75395987328405489</v>
      </c>
    </row>
    <row r="43" spans="1:6" x14ac:dyDescent="0.3">
      <c r="A43" s="1" t="s">
        <v>3</v>
      </c>
      <c r="B43" s="1" t="s">
        <v>19</v>
      </c>
      <c r="C43" s="1">
        <v>24</v>
      </c>
      <c r="D43" s="4">
        <f>Table25[[#This Row],['# surveyed]]/$C$51</f>
        <v>2.5343189017951427E-2</v>
      </c>
    </row>
    <row r="44" spans="1:6" x14ac:dyDescent="0.3">
      <c r="A44" s="1" t="s">
        <v>7</v>
      </c>
      <c r="B44" s="1" t="s">
        <v>19</v>
      </c>
      <c r="C44" s="1">
        <v>151</v>
      </c>
      <c r="D44" s="4">
        <f>Table25[[#This Row],['# surveyed]]/$C$51</f>
        <v>0.15945089757127773</v>
      </c>
    </row>
    <row r="45" spans="1:6" x14ac:dyDescent="0.3">
      <c r="A45" s="1" t="s">
        <v>8</v>
      </c>
      <c r="B45" s="1" t="s">
        <v>19</v>
      </c>
      <c r="C45" s="1">
        <v>19</v>
      </c>
      <c r="D45" s="4">
        <f>Table25[[#This Row],['# surveyed]]/$C$51</f>
        <v>2.0063357972544878E-2</v>
      </c>
    </row>
    <row r="46" spans="1:6" x14ac:dyDescent="0.3">
      <c r="A46" s="1" t="s">
        <v>9</v>
      </c>
      <c r="B46" s="1" t="s">
        <v>19</v>
      </c>
      <c r="C46" s="1">
        <v>3</v>
      </c>
      <c r="D46" s="4">
        <f>Table25[[#This Row],['# surveyed]]/$C$51</f>
        <v>3.1678986272439284E-3</v>
      </c>
    </row>
    <row r="47" spans="1:6" x14ac:dyDescent="0.3">
      <c r="A47" s="1" t="s">
        <v>10</v>
      </c>
      <c r="B47" s="1" t="s">
        <v>19</v>
      </c>
      <c r="C47" s="1">
        <v>17</v>
      </c>
      <c r="D47" s="4">
        <f>Table25[[#This Row],['# surveyed]]/$C$51</f>
        <v>1.7951425554382259E-2</v>
      </c>
    </row>
    <row r="48" spans="1:6" x14ac:dyDescent="0.3">
      <c r="A48" s="1" t="s">
        <v>11</v>
      </c>
      <c r="B48" s="1" t="s">
        <v>19</v>
      </c>
      <c r="C48" s="1">
        <v>6</v>
      </c>
      <c r="D48" s="4">
        <f>Table25[[#This Row],['# surveyed]]/$C$51</f>
        <v>6.3357972544878568E-3</v>
      </c>
    </row>
    <row r="49" spans="1:6" x14ac:dyDescent="0.3">
      <c r="A49" s="1" t="s">
        <v>12</v>
      </c>
      <c r="B49" s="1" t="s">
        <v>19</v>
      </c>
      <c r="C49" s="1">
        <v>1</v>
      </c>
      <c r="D49" s="4">
        <f>Table25[[#This Row],['# surveyed]]/$C$51</f>
        <v>1.0559662090813093E-3</v>
      </c>
    </row>
    <row r="50" spans="1:6" x14ac:dyDescent="0.3">
      <c r="A50" s="1" t="s">
        <v>13</v>
      </c>
      <c r="B50" s="1" t="s">
        <v>19</v>
      </c>
      <c r="C50" s="1">
        <v>12</v>
      </c>
      <c r="D50" s="4">
        <f>Table25[[#This Row],['# surveyed]]/$C$51</f>
        <v>1.2671594508975714E-2</v>
      </c>
    </row>
    <row r="51" spans="1:6" x14ac:dyDescent="0.3">
      <c r="B51" s="1" t="s">
        <v>17</v>
      </c>
      <c r="C51" s="1">
        <f>SUBTOTAL(109,C42:C50)</f>
        <v>947</v>
      </c>
      <c r="D51" s="4">
        <f>Table25[[#This Row],['# surveyed]]/$C$51</f>
        <v>1</v>
      </c>
    </row>
    <row r="52" spans="1:6" x14ac:dyDescent="0.3">
      <c r="A52" s="6"/>
      <c r="B52" s="6" t="s">
        <v>20</v>
      </c>
      <c r="C52" s="6">
        <v>961</v>
      </c>
      <c r="D52" s="7"/>
      <c r="E52" t="s">
        <v>16</v>
      </c>
      <c r="F52" s="3">
        <f>C51/C52</f>
        <v>0.98543184183142563</v>
      </c>
    </row>
    <row r="54" spans="1:6" x14ac:dyDescent="0.3">
      <c r="A54" s="2" t="s">
        <v>5</v>
      </c>
      <c r="B54" s="2" t="s">
        <v>0</v>
      </c>
      <c r="C54" s="2" t="s">
        <v>4</v>
      </c>
      <c r="D54" s="2" t="s">
        <v>6</v>
      </c>
    </row>
    <row r="55" spans="1:6" x14ac:dyDescent="0.3">
      <c r="A55" s="1" t="s">
        <v>2</v>
      </c>
      <c r="B55" s="1" t="s">
        <v>21</v>
      </c>
      <c r="C55" s="8">
        <v>254</v>
      </c>
      <c r="D55" s="4">
        <f>Table246[[#This Row],['# surveyed]]/$C$64</f>
        <v>0.72364672364672367</v>
      </c>
    </row>
    <row r="56" spans="1:6" x14ac:dyDescent="0.3">
      <c r="A56" s="1" t="s">
        <v>3</v>
      </c>
      <c r="B56" s="1" t="s">
        <v>21</v>
      </c>
      <c r="C56" s="8">
        <v>24</v>
      </c>
      <c r="D56" s="4">
        <f>Table246[[#This Row],['# surveyed]]/$C$64</f>
        <v>6.8376068376068383E-2</v>
      </c>
    </row>
    <row r="57" spans="1:6" x14ac:dyDescent="0.3">
      <c r="A57" s="1" t="s">
        <v>7</v>
      </c>
      <c r="B57" s="1" t="s">
        <v>21</v>
      </c>
      <c r="C57" s="8">
        <v>48</v>
      </c>
      <c r="D57" s="4">
        <f>Table246[[#This Row],['# surveyed]]/$C$64</f>
        <v>0.13675213675213677</v>
      </c>
    </row>
    <row r="58" spans="1:6" x14ac:dyDescent="0.3">
      <c r="A58" s="1" t="s">
        <v>8</v>
      </c>
      <c r="B58" s="1" t="s">
        <v>21</v>
      </c>
      <c r="C58" s="8">
        <v>7</v>
      </c>
      <c r="D58" s="4">
        <f>Table246[[#This Row],['# surveyed]]/$C$64</f>
        <v>1.9943019943019943E-2</v>
      </c>
    </row>
    <row r="59" spans="1:6" x14ac:dyDescent="0.3">
      <c r="A59" s="1" t="s">
        <v>9</v>
      </c>
      <c r="B59" s="1" t="s">
        <v>21</v>
      </c>
      <c r="C59" s="8">
        <v>4</v>
      </c>
      <c r="D59" s="4">
        <f>Table246[[#This Row],['# surveyed]]/$C$64</f>
        <v>1.1396011396011397E-2</v>
      </c>
    </row>
    <row r="60" spans="1:6" x14ac:dyDescent="0.3">
      <c r="A60" s="1" t="s">
        <v>10</v>
      </c>
      <c r="B60" s="1" t="s">
        <v>21</v>
      </c>
      <c r="C60" s="8">
        <v>5</v>
      </c>
      <c r="D60" s="4">
        <f>Table246[[#This Row],['# surveyed]]/$C$64</f>
        <v>1.4245014245014245E-2</v>
      </c>
    </row>
    <row r="61" spans="1:6" x14ac:dyDescent="0.3">
      <c r="A61" s="1" t="s">
        <v>11</v>
      </c>
      <c r="B61" s="1" t="s">
        <v>21</v>
      </c>
      <c r="C61" s="8">
        <v>2</v>
      </c>
      <c r="D61" s="4">
        <f>Table246[[#This Row],['# surveyed]]/$C$64</f>
        <v>5.6980056980056983E-3</v>
      </c>
    </row>
    <row r="62" spans="1:6" x14ac:dyDescent="0.3">
      <c r="A62" s="1" t="s">
        <v>12</v>
      </c>
      <c r="B62" s="1" t="s">
        <v>21</v>
      </c>
      <c r="C62" s="8">
        <v>1</v>
      </c>
      <c r="D62" s="10">
        <f>Table246[[#This Row],['# surveyed]]/$C$64</f>
        <v>2.8490028490028491E-3</v>
      </c>
    </row>
    <row r="63" spans="1:6" x14ac:dyDescent="0.3">
      <c r="A63" s="1" t="s">
        <v>13</v>
      </c>
      <c r="B63" s="1" t="s">
        <v>21</v>
      </c>
      <c r="C63" s="8">
        <v>6</v>
      </c>
      <c r="D63" s="4">
        <f>Table246[[#This Row],['# surveyed]]/$C$64</f>
        <v>1.7094017094017096E-2</v>
      </c>
    </row>
    <row r="64" spans="1:6" x14ac:dyDescent="0.3">
      <c r="B64" s="1" t="s">
        <v>17</v>
      </c>
      <c r="C64" s="8">
        <f>SUM(C55:C63)</f>
        <v>351</v>
      </c>
      <c r="D64" s="4">
        <f>Table246[[#This Row],['# surveyed]]/$C$64</f>
        <v>1</v>
      </c>
    </row>
    <row r="65" spans="1:6" x14ac:dyDescent="0.3">
      <c r="A65" s="6"/>
      <c r="B65" s="6" t="s">
        <v>20</v>
      </c>
      <c r="C65" s="9">
        <v>362</v>
      </c>
      <c r="D65" s="7"/>
      <c r="E65" t="s">
        <v>16</v>
      </c>
      <c r="F65" s="3">
        <f>C64/C65</f>
        <v>0.96961325966850831</v>
      </c>
    </row>
    <row r="67" spans="1:6" x14ac:dyDescent="0.3">
      <c r="A67" s="2" t="s">
        <v>5</v>
      </c>
      <c r="B67" s="2" t="s">
        <v>0</v>
      </c>
      <c r="C67" s="2" t="s">
        <v>4</v>
      </c>
      <c r="D67" s="2" t="s">
        <v>6</v>
      </c>
    </row>
    <row r="68" spans="1:6" x14ac:dyDescent="0.3">
      <c r="A68" s="1" t="s">
        <v>2</v>
      </c>
      <c r="B68" s="1" t="s">
        <v>22</v>
      </c>
      <c r="C68" s="1">
        <v>731</v>
      </c>
      <c r="D68" s="4">
        <f>Table257[[#This Row],['# surveyed]]/$C$77</f>
        <v>0.73541247484909456</v>
      </c>
    </row>
    <row r="69" spans="1:6" x14ac:dyDescent="0.3">
      <c r="A69" s="1" t="s">
        <v>3</v>
      </c>
      <c r="B69" s="1" t="s">
        <v>22</v>
      </c>
      <c r="C69" s="1">
        <v>39</v>
      </c>
      <c r="D69" s="4">
        <f>Table257[[#This Row],['# surveyed]]/$C$77</f>
        <v>3.9235412474849095E-2</v>
      </c>
    </row>
    <row r="70" spans="1:6" x14ac:dyDescent="0.3">
      <c r="A70" s="1" t="s">
        <v>7</v>
      </c>
      <c r="B70" s="1" t="s">
        <v>22</v>
      </c>
      <c r="C70" s="1">
        <v>151</v>
      </c>
      <c r="D70" s="4">
        <f>Table257[[#This Row],['# surveyed]]/$C$77</f>
        <v>0.15191146881287726</v>
      </c>
    </row>
    <row r="71" spans="1:6" x14ac:dyDescent="0.3">
      <c r="A71" s="1" t="s">
        <v>8</v>
      </c>
      <c r="B71" s="1" t="s">
        <v>22</v>
      </c>
      <c r="C71" s="1">
        <v>29</v>
      </c>
      <c r="D71" s="4">
        <f>Table257[[#This Row],['# surveyed]]/$C$77</f>
        <v>2.9175050301810865E-2</v>
      </c>
    </row>
    <row r="72" spans="1:6" x14ac:dyDescent="0.3">
      <c r="A72" s="1" t="s">
        <v>9</v>
      </c>
      <c r="B72" s="1" t="s">
        <v>22</v>
      </c>
      <c r="C72" s="1">
        <v>13</v>
      </c>
      <c r="D72" s="4">
        <f>Table257[[#This Row],['# surveyed]]/$C$77</f>
        <v>1.3078470824949699E-2</v>
      </c>
    </row>
    <row r="73" spans="1:6" x14ac:dyDescent="0.3">
      <c r="A73" s="1" t="s">
        <v>10</v>
      </c>
      <c r="B73" s="1" t="s">
        <v>22</v>
      </c>
      <c r="C73" s="1">
        <v>13</v>
      </c>
      <c r="D73" s="4">
        <f>Table257[[#This Row],['# surveyed]]/$C$77</f>
        <v>1.3078470824949699E-2</v>
      </c>
    </row>
    <row r="74" spans="1:6" x14ac:dyDescent="0.3">
      <c r="A74" s="1" t="s">
        <v>11</v>
      </c>
      <c r="B74" s="1" t="s">
        <v>22</v>
      </c>
      <c r="C74" s="1">
        <v>3</v>
      </c>
      <c r="D74" s="10">
        <f>Table257[[#This Row],['# surveyed]]/$C$77</f>
        <v>3.0181086519114686E-3</v>
      </c>
    </row>
    <row r="75" spans="1:6" x14ac:dyDescent="0.3">
      <c r="A75" s="1" t="s">
        <v>12</v>
      </c>
      <c r="B75" s="1" t="s">
        <v>22</v>
      </c>
      <c r="C75" s="1">
        <v>3</v>
      </c>
      <c r="D75" s="10">
        <f>Table257[[#This Row],['# surveyed]]/$C$77</f>
        <v>3.0181086519114686E-3</v>
      </c>
    </row>
    <row r="76" spans="1:6" x14ac:dyDescent="0.3">
      <c r="A76" s="1" t="s">
        <v>13</v>
      </c>
      <c r="B76" s="1" t="s">
        <v>22</v>
      </c>
      <c r="C76" s="1">
        <v>12</v>
      </c>
      <c r="D76" s="4">
        <f>Table257[[#This Row],['# surveyed]]/$C$77</f>
        <v>1.2072434607645875E-2</v>
      </c>
    </row>
    <row r="77" spans="1:6" x14ac:dyDescent="0.3">
      <c r="B77" s="1" t="s">
        <v>17</v>
      </c>
      <c r="C77" s="1">
        <f>SUM(C68:C76)</f>
        <v>994</v>
      </c>
      <c r="D77" s="4">
        <f>Table257[[#This Row],['# surveyed]]/$C$77</f>
        <v>1</v>
      </c>
    </row>
    <row r="78" spans="1:6" x14ac:dyDescent="0.3">
      <c r="A78" s="6"/>
      <c r="B78" s="6" t="s">
        <v>20</v>
      </c>
      <c r="C78" s="6">
        <v>1001</v>
      </c>
      <c r="D78" s="7"/>
      <c r="E78" t="s">
        <v>16</v>
      </c>
      <c r="F78" s="3">
        <f>C77/C78</f>
        <v>0.99300699300699302</v>
      </c>
    </row>
    <row r="79" spans="1:6" x14ac:dyDescent="0.3">
      <c r="A79" s="6" t="s">
        <v>23</v>
      </c>
      <c r="B79" s="6"/>
      <c r="C79" s="6"/>
      <c r="D79" s="7"/>
    </row>
    <row r="81" spans="1:6" x14ac:dyDescent="0.3">
      <c r="A81" s="2" t="s">
        <v>5</v>
      </c>
      <c r="B81" s="2" t="s">
        <v>0</v>
      </c>
      <c r="C81" s="2" t="s">
        <v>4</v>
      </c>
      <c r="D81" s="2" t="s">
        <v>6</v>
      </c>
    </row>
    <row r="82" spans="1:6" x14ac:dyDescent="0.3">
      <c r="A82" s="1" t="s">
        <v>2</v>
      </c>
      <c r="B82" s="1" t="s">
        <v>24</v>
      </c>
      <c r="C82" s="1">
        <v>127</v>
      </c>
      <c r="D82" s="10">
        <f>Table2578[[#This Row],['# surveyed]]/$C$77</f>
        <v>0.12776659959758552</v>
      </c>
    </row>
    <row r="83" spans="1:6" x14ac:dyDescent="0.3">
      <c r="A83" s="1" t="s">
        <v>3</v>
      </c>
      <c r="B83" s="1" t="s">
        <v>24</v>
      </c>
      <c r="C83" s="1">
        <v>56</v>
      </c>
      <c r="D83" s="10">
        <f>Table2578[[#This Row],['# surveyed]]/$C$77</f>
        <v>5.6338028169014086E-2</v>
      </c>
    </row>
    <row r="84" spans="1:6" x14ac:dyDescent="0.3">
      <c r="A84" s="1" t="s">
        <v>7</v>
      </c>
      <c r="B84" s="1" t="s">
        <v>24</v>
      </c>
      <c r="C84" s="1">
        <v>32</v>
      </c>
      <c r="D84" s="10">
        <f>Table2578[[#This Row],['# surveyed]]/$C$77</f>
        <v>3.2193158953722337E-2</v>
      </c>
    </row>
    <row r="85" spans="1:6" x14ac:dyDescent="0.3">
      <c r="A85" s="1" t="s">
        <v>8</v>
      </c>
      <c r="B85" s="1" t="s">
        <v>24</v>
      </c>
      <c r="C85" s="1">
        <v>26</v>
      </c>
      <c r="D85" s="10">
        <f>Table2578[[#This Row],['# surveyed]]/$C$77</f>
        <v>2.6156941649899398E-2</v>
      </c>
    </row>
    <row r="86" spans="1:6" x14ac:dyDescent="0.3">
      <c r="A86" s="1" t="s">
        <v>9</v>
      </c>
      <c r="B86" s="1" t="s">
        <v>24</v>
      </c>
      <c r="C86" s="1">
        <v>6</v>
      </c>
      <c r="D86" s="10">
        <f>Table2578[[#This Row],['# surveyed]]/$C$77</f>
        <v>6.0362173038229373E-3</v>
      </c>
    </row>
    <row r="87" spans="1:6" x14ac:dyDescent="0.3">
      <c r="A87" s="1" t="s">
        <v>10</v>
      </c>
      <c r="B87" s="1" t="s">
        <v>24</v>
      </c>
      <c r="C87" s="1">
        <v>4</v>
      </c>
      <c r="D87" s="10">
        <f>Table2578[[#This Row],['# surveyed]]/$C$77</f>
        <v>4.0241448692152921E-3</v>
      </c>
    </row>
    <row r="88" spans="1:6" x14ac:dyDescent="0.3">
      <c r="A88" s="1" t="s">
        <v>11</v>
      </c>
      <c r="B88" s="1" t="s">
        <v>24</v>
      </c>
      <c r="C88" s="1">
        <v>4</v>
      </c>
      <c r="D88" s="10">
        <f>Table2578[[#This Row],['# surveyed]]/$C$77</f>
        <v>4.0241448692152921E-3</v>
      </c>
    </row>
    <row r="89" spans="1:6" x14ac:dyDescent="0.3">
      <c r="A89" s="1" t="s">
        <v>12</v>
      </c>
      <c r="B89" s="1" t="s">
        <v>24</v>
      </c>
      <c r="C89" s="1">
        <v>20</v>
      </c>
      <c r="D89" s="10">
        <f>Table2578[[#This Row],['# surveyed]]/$C$77</f>
        <v>2.0120724346076459E-2</v>
      </c>
    </row>
    <row r="90" spans="1:6" x14ac:dyDescent="0.3">
      <c r="A90" s="1" t="s">
        <v>13</v>
      </c>
      <c r="B90" s="1" t="s">
        <v>24</v>
      </c>
      <c r="C90" s="1">
        <v>8</v>
      </c>
      <c r="D90" s="10">
        <f>Table2578[[#This Row],['# surveyed]]/$C$77</f>
        <v>8.0482897384305842E-3</v>
      </c>
    </row>
    <row r="91" spans="1:6" x14ac:dyDescent="0.3">
      <c r="B91" s="1" t="s">
        <v>17</v>
      </c>
      <c r="C91" s="1">
        <v>179</v>
      </c>
      <c r="D91" s="4"/>
    </row>
    <row r="92" spans="1:6" x14ac:dyDescent="0.3">
      <c r="A92" s="6"/>
      <c r="B92" s="6" t="s">
        <v>20</v>
      </c>
      <c r="C92" s="6">
        <v>208</v>
      </c>
      <c r="D92" s="7"/>
      <c r="E92" t="s">
        <v>16</v>
      </c>
      <c r="F92" s="3">
        <f>C91/C92</f>
        <v>0.86057692307692313</v>
      </c>
    </row>
    <row r="93" spans="1:6" x14ac:dyDescent="0.3">
      <c r="A93" s="6" t="s">
        <v>25</v>
      </c>
      <c r="B93" s="6"/>
      <c r="C93" s="6"/>
      <c r="D93" s="7"/>
    </row>
  </sheetData>
  <pageMargins left="0.7" right="0.7" top="0.75" bottom="0.75" header="0.3" footer="0.3"/>
  <pageSetup scale="44" orientation="landscape" r:id="rId1"/>
  <legacy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7</vt:i4>
      </vt:variant>
    </vt:vector>
  </HeadingPairs>
  <TitlesOfParts>
    <vt:vector size="8" baseType="lpstr">
      <vt:lpstr>Data</vt:lpstr>
      <vt:lpstr>Chart Fall 2008</vt:lpstr>
      <vt:lpstr>Chart Spring 2009</vt:lpstr>
      <vt:lpstr>Chart Fall 2009 </vt:lpstr>
      <vt:lpstr>Chart Spring 2010</vt:lpstr>
      <vt:lpstr>Chart Fall 2010</vt:lpstr>
      <vt:lpstr>Chart Spring 2011</vt:lpstr>
      <vt:lpstr>Chart Fall 2011</vt:lpstr>
    </vt:vector>
  </TitlesOfParts>
  <Company>Shippensburg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MEPilg</dc:creator>
  <cp:lastModifiedBy>Pilgrim, Mark</cp:lastModifiedBy>
  <cp:lastPrinted>2012-03-02T12:47:14Z</cp:lastPrinted>
  <dcterms:created xsi:type="dcterms:W3CDTF">2008-11-10T18:44:02Z</dcterms:created>
  <dcterms:modified xsi:type="dcterms:W3CDTF">2012-03-02T13:09:07Z</dcterms:modified>
</cp:coreProperties>
</file>