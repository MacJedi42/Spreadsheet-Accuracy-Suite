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Sheet1" sheetId="1" r:id="rId1"/>
  </sheets>
  <definedNames>
    <definedName name="_xlnm.Print_Area" localSheetId="0">Sheet1!$C$1:$Q$52</definedName>
    <definedName name="_xlnm.Print_Titles" localSheetId="0">Sheet1!$3:$4</definedName>
  </definedNames>
  <calcPr calcId="125725" fullCalcOnLoad="1"/>
</workbook>
</file>

<file path=xl/calcChain.xml><?xml version="1.0" encoding="utf-8"?>
<calcChain xmlns="http://schemas.openxmlformats.org/spreadsheetml/2006/main">
  <c r="J49" i="1"/>
  <c r="J50"/>
  <c r="F49"/>
  <c r="F50"/>
  <c r="G49"/>
  <c r="G50"/>
  <c r="H49"/>
  <c r="I49"/>
  <c r="I50"/>
  <c r="E49"/>
  <c r="E50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H50"/>
  <c r="Q48"/>
  <c r="K49"/>
  <c r="L49"/>
  <c r="L50"/>
  <c r="M49"/>
  <c r="M50"/>
  <c r="N49"/>
  <c r="O49"/>
  <c r="O50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N50"/>
  <c r="K50"/>
  <c r="P50"/>
  <c r="P49"/>
  <c r="Q5"/>
  <c r="Q49"/>
  <c r="Q50"/>
</calcChain>
</file>

<file path=xl/sharedStrings.xml><?xml version="1.0" encoding="utf-8"?>
<sst xmlns="http://schemas.openxmlformats.org/spreadsheetml/2006/main" count="111" uniqueCount="110">
  <si>
    <t>122</t>
  </si>
  <si>
    <t>197</t>
  </si>
  <si>
    <t>205</t>
  </si>
  <si>
    <t>243</t>
  </si>
  <si>
    <t>279</t>
  </si>
  <si>
    <t>300</t>
  </si>
  <si>
    <t>308</t>
  </si>
  <si>
    <t>422</t>
  </si>
  <si>
    <t>442</t>
  </si>
  <si>
    <t>456</t>
  </si>
  <si>
    <t>468</t>
  </si>
  <si>
    <t>480</t>
  </si>
  <si>
    <t>635</t>
  </si>
  <si>
    <t>653</t>
  </si>
  <si>
    <t>765</t>
  </si>
  <si>
    <t>772</t>
  </si>
  <si>
    <t>783</t>
  </si>
  <si>
    <t>795</t>
  </si>
  <si>
    <t>800</t>
  </si>
  <si>
    <t>837</t>
  </si>
  <si>
    <t>849</t>
  </si>
  <si>
    <t>856</t>
  </si>
  <si>
    <t>865</t>
  </si>
  <si>
    <t>870</t>
  </si>
  <si>
    <t>880</t>
  </si>
  <si>
    <t>900</t>
  </si>
  <si>
    <t>921</t>
  </si>
  <si>
    <t>930</t>
  </si>
  <si>
    <t>940</t>
  </si>
  <si>
    <t>947</t>
  </si>
  <si>
    <t>972</t>
  </si>
  <si>
    <t>992</t>
  </si>
  <si>
    <t>1002</t>
  </si>
  <si>
    <t>1042</t>
  </si>
  <si>
    <t>1050</t>
  </si>
  <si>
    <t>1107</t>
  </si>
  <si>
    <t>1183</t>
  </si>
  <si>
    <t>1222</t>
  </si>
  <si>
    <t>1261</t>
  </si>
  <si>
    <t>1275</t>
  </si>
  <si>
    <t>1296</t>
  </si>
  <si>
    <t>186056</t>
  </si>
  <si>
    <t>186166</t>
  </si>
  <si>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</si>
  <si>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</si>
  <si>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</si>
  <si>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</si>
  <si>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</si>
  <si>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</si>
  <si>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</si>
  <si>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</si>
  <si>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</si>
  <si>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</si>
  <si>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</si>
  <si>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</si>
  <si>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</si>
  <si>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</si>
  <si>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</si>
  <si>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</si>
  <si>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Millard District</t>
  </si>
  <si>
    <t>Morgan District</t>
  </si>
  <si>
    <t>Nebo District</t>
  </si>
  <si>
    <t>North Sanpete District</t>
  </si>
  <si>
    <t>North Summit District</t>
  </si>
  <si>
    <t>Park City District</t>
  </si>
  <si>
    <t>Piute District</t>
  </si>
  <si>
    <t>Rich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</si>
  <si>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</si>
  <si>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</si>
  <si>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</si>
  <si>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</si>
  <si>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</si>
  <si>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</si>
  <si>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</si>
  <si>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</si>
  <si>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</si>
  <si>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</si>
  <si>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</si>
  <si>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Salt Lake District</t>
  </si>
  <si>
    <t>Ogden District</t>
  </si>
  <si>
    <t>Provo District</t>
  </si>
  <si>
    <t>Logan District</t>
  </si>
  <si>
    <t>Murray District</t>
  </si>
  <si>
    <t>Canyons District</t>
  </si>
  <si>
    <t>Regular Education</t>
  </si>
  <si>
    <t>Special Education</t>
  </si>
  <si>
    <t>Vocational Education</t>
  </si>
  <si>
    <t>Alternate Education</t>
  </si>
  <si>
    <t>YIC</t>
  </si>
  <si>
    <t>USDB</t>
  </si>
  <si>
    <t>UEHS</t>
  </si>
  <si>
    <t>Charter Schools</t>
  </si>
  <si>
    <t>District Schools</t>
  </si>
  <si>
    <t>Elementary</t>
  </si>
  <si>
    <t>Middle</t>
  </si>
  <si>
    <t>High</t>
  </si>
  <si>
    <t>K-12</t>
  </si>
  <si>
    <t>Pre-K</t>
  </si>
  <si>
    <t>Total Regular Education</t>
  </si>
  <si>
    <t>Grand Total</t>
  </si>
  <si>
    <t>Virtual*</t>
  </si>
  <si>
    <t>District Number</t>
  </si>
  <si>
    <t>District ID</t>
  </si>
  <si>
    <t>Special Purpose</t>
  </si>
  <si>
    <t>Total Special Purpose</t>
  </si>
  <si>
    <t>*In order to provide a distinct count, virtual schools were excluded in total counts</t>
  </si>
  <si>
    <t>LOCAL EDUCATION AGENCY</t>
  </si>
  <si>
    <t>Pre-K Combination**</t>
  </si>
  <si>
    <t>Schools by District, Grade, and Type: Fall 2011</t>
  </si>
  <si>
    <t>**Schools that serve a combination of preschoolers and higher grades were excluded from total counts</t>
  </si>
</sst>
</file>

<file path=xl/styles.xml><?xml version="1.0" encoding="utf-8"?>
<styleSheet xmlns="http://schemas.openxmlformats.org/spreadsheetml/2006/main">
  <numFmts count="1">
    <numFmt numFmtId="164" formatCode="###0"/>
  </numFmts>
  <fonts count="8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37" fontId="7" fillId="0" borderId="5" xfId="0" applyNumberFormat="1" applyFont="1" applyFill="1" applyBorder="1" applyAlignment="1">
      <alignment vertical="center"/>
    </xf>
    <xf numFmtId="37" fontId="7" fillId="0" borderId="6" xfId="0" applyNumberFormat="1" applyFont="1" applyFill="1" applyBorder="1" applyAlignment="1">
      <alignment vertical="center"/>
    </xf>
    <xf numFmtId="164" fontId="7" fillId="0" borderId="4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37" fontId="7" fillId="0" borderId="8" xfId="0" applyNumberFormat="1" applyFont="1" applyFill="1" applyBorder="1" applyAlignment="1">
      <alignment vertical="center"/>
    </xf>
    <xf numFmtId="37" fontId="7" fillId="0" borderId="9" xfId="0" applyNumberFormat="1" applyFont="1" applyFill="1" applyBorder="1" applyAlignment="1">
      <alignment vertical="center"/>
    </xf>
    <xf numFmtId="164" fontId="7" fillId="0" borderId="7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37" fontId="7" fillId="0" borderId="11" xfId="0" applyNumberFormat="1" applyFont="1" applyFill="1" applyBorder="1" applyAlignment="1">
      <alignment vertical="center"/>
    </xf>
    <xf numFmtId="37" fontId="7" fillId="0" borderId="12" xfId="0" applyNumberFormat="1" applyFont="1" applyFill="1" applyBorder="1" applyAlignment="1">
      <alignment vertical="center"/>
    </xf>
    <xf numFmtId="164" fontId="7" fillId="0" borderId="10" xfId="0" applyNumberFormat="1" applyFont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37" fontId="6" fillId="0" borderId="5" xfId="0" applyNumberFormat="1" applyFont="1" applyFill="1" applyBorder="1" applyAlignment="1">
      <alignment vertical="center"/>
    </xf>
    <xf numFmtId="37" fontId="6" fillId="0" borderId="6" xfId="0" applyNumberFormat="1" applyFont="1" applyFill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37" fontId="6" fillId="0" borderId="8" xfId="0" applyNumberFormat="1" applyFont="1" applyFill="1" applyBorder="1" applyAlignment="1">
      <alignment vertical="center"/>
    </xf>
    <xf numFmtId="37" fontId="6" fillId="0" borderId="9" xfId="0" applyNumberFormat="1" applyFont="1" applyFill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64" fontId="6" fillId="0" borderId="13" xfId="0" applyNumberFormat="1" applyFont="1" applyBorder="1" applyAlignment="1">
      <alignment vertical="center"/>
    </xf>
    <xf numFmtId="164" fontId="6" fillId="0" borderId="11" xfId="0" applyNumberFormat="1" applyFont="1" applyBorder="1" applyAlignment="1">
      <alignment vertical="center"/>
    </xf>
    <xf numFmtId="37" fontId="6" fillId="0" borderId="12" xfId="0" applyNumberFormat="1" applyFont="1" applyFill="1" applyBorder="1" applyAlignment="1">
      <alignment vertical="center"/>
    </xf>
    <xf numFmtId="164" fontId="6" fillId="0" borderId="10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37" fontId="6" fillId="0" borderId="3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6" fillId="0" borderId="20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164" fontId="6" fillId="0" borderId="20" xfId="0" applyNumberFormat="1" applyFont="1" applyBorder="1" applyAlignment="1">
      <alignment horizontal="right" vertical="center"/>
    </xf>
    <xf numFmtId="164" fontId="6" fillId="0" borderId="5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20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164" fontId="7" fillId="0" borderId="6" xfId="0" applyNumberFormat="1" applyFont="1" applyBorder="1" applyAlignment="1">
      <alignment horizontal="right" vertical="center"/>
    </xf>
    <xf numFmtId="164" fontId="7" fillId="0" borderId="23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right" vertical="center"/>
    </xf>
    <xf numFmtId="164" fontId="7" fillId="0" borderId="13" xfId="0" applyNumberFormat="1" applyFont="1" applyBorder="1" applyAlignment="1">
      <alignment horizontal="right" vertical="center"/>
    </xf>
    <xf numFmtId="164" fontId="7" fillId="0" borderId="11" xfId="0" applyNumberFormat="1" applyFont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right" vertical="center"/>
    </xf>
    <xf numFmtId="164" fontId="6" fillId="0" borderId="23" xfId="0" applyNumberFormat="1" applyFont="1" applyBorder="1" applyAlignment="1">
      <alignment horizontal="right" vertical="center"/>
    </xf>
    <xf numFmtId="164" fontId="6" fillId="0" borderId="8" xfId="0" applyNumberFormat="1" applyFont="1" applyBorder="1" applyAlignment="1">
      <alignment horizontal="right" vertical="center"/>
    </xf>
    <xf numFmtId="0" fontId="6" fillId="0" borderId="24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1" xfId="0" applyFont="1" applyFill="1" applyBorder="1" applyAlignment="1">
      <alignment vertical="center"/>
    </xf>
    <xf numFmtId="164" fontId="7" fillId="0" borderId="26" xfId="0" applyNumberFormat="1" applyFont="1" applyBorder="1" applyAlignment="1">
      <alignment horizontal="right" vertical="center"/>
    </xf>
    <xf numFmtId="164" fontId="7" fillId="0" borderId="24" xfId="0" applyNumberFormat="1" applyFont="1" applyBorder="1" applyAlignment="1">
      <alignment horizontal="right" vertical="center"/>
    </xf>
    <xf numFmtId="164" fontId="7" fillId="0" borderId="27" xfId="0" applyNumberFormat="1" applyFont="1" applyBorder="1" applyAlignment="1">
      <alignment horizontal="right" vertical="center"/>
    </xf>
    <xf numFmtId="164" fontId="7" fillId="0" borderId="9" xfId="0" applyNumberFormat="1" applyFont="1" applyBorder="1" applyAlignment="1">
      <alignment horizontal="right" vertical="center"/>
    </xf>
    <xf numFmtId="164" fontId="7" fillId="0" borderId="28" xfId="0" applyNumberFormat="1" applyFont="1" applyBorder="1" applyAlignment="1">
      <alignment horizontal="right" vertical="center"/>
    </xf>
    <xf numFmtId="164" fontId="7" fillId="0" borderId="29" xfId="0" applyNumberFormat="1" applyFont="1" applyBorder="1" applyAlignment="1">
      <alignment horizontal="right" vertical="center"/>
    </xf>
    <xf numFmtId="164" fontId="7" fillId="0" borderId="30" xfId="0" applyNumberFormat="1" applyFont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4"/>
  <sheetViews>
    <sheetView tabSelected="1" view="pageBreakPreview" topLeftCell="A19" zoomScaleNormal="100" zoomScaleSheetLayoutView="100" workbookViewId="0">
      <selection activeCell="I48" sqref="I48"/>
    </sheetView>
  </sheetViews>
  <sheetFormatPr defaultRowHeight="12.75"/>
  <cols>
    <col min="1" max="1" width="9.140625" style="43"/>
    <col min="2" max="2" width="8.5703125" style="49" customWidth="1"/>
    <col min="3" max="3" width="17" style="1" customWidth="1"/>
    <col min="4" max="4" width="9.28515625" style="1" customWidth="1"/>
    <col min="5" max="10" width="8.42578125" style="49" customWidth="1"/>
    <col min="11" max="15" width="9.5703125" style="49" customWidth="1"/>
    <col min="16" max="16384" width="9.140625" style="49"/>
  </cols>
  <sheetData>
    <row r="1" spans="1:17" ht="15.75">
      <c r="A1" s="49"/>
      <c r="B1" s="2"/>
      <c r="C1" s="88" t="s">
        <v>108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 spans="1:17" ht="13.5" thickBot="1">
      <c r="C2" s="3"/>
      <c r="D2" s="3"/>
      <c r="E2" s="4"/>
      <c r="F2" s="4"/>
      <c r="G2" s="4"/>
      <c r="H2" s="4"/>
      <c r="I2" s="4"/>
      <c r="J2" s="91"/>
      <c r="K2" s="91"/>
      <c r="L2" s="91"/>
      <c r="M2" s="91"/>
      <c r="N2" s="91"/>
      <c r="O2" s="5"/>
      <c r="P2" s="5"/>
      <c r="Q2" s="5"/>
    </row>
    <row r="3" spans="1:17" ht="13.5" customHeight="1" thickBot="1">
      <c r="C3" s="89" t="s">
        <v>106</v>
      </c>
      <c r="D3" s="50"/>
      <c r="E3" s="92" t="s">
        <v>84</v>
      </c>
      <c r="F3" s="93"/>
      <c r="G3" s="93"/>
      <c r="H3" s="93"/>
      <c r="I3" s="93"/>
      <c r="J3" s="94"/>
      <c r="K3" s="95" t="s">
        <v>103</v>
      </c>
      <c r="L3" s="96"/>
      <c r="M3" s="96"/>
      <c r="N3" s="96"/>
      <c r="O3" s="96"/>
      <c r="P3" s="97"/>
      <c r="Q3" s="86" t="s">
        <v>99</v>
      </c>
    </row>
    <row r="4" spans="1:17" ht="34.5" thickBot="1">
      <c r="A4" s="43" t="s">
        <v>101</v>
      </c>
      <c r="B4" s="49" t="s">
        <v>102</v>
      </c>
      <c r="C4" s="90"/>
      <c r="D4" s="73" t="s">
        <v>107</v>
      </c>
      <c r="E4" s="6" t="s">
        <v>97</v>
      </c>
      <c r="F4" s="7" t="s">
        <v>93</v>
      </c>
      <c r="G4" s="8" t="s">
        <v>94</v>
      </c>
      <c r="H4" s="8" t="s">
        <v>95</v>
      </c>
      <c r="I4" s="8" t="s">
        <v>96</v>
      </c>
      <c r="J4" s="54" t="s">
        <v>98</v>
      </c>
      <c r="K4" s="55" t="s">
        <v>85</v>
      </c>
      <c r="L4" s="7" t="s">
        <v>86</v>
      </c>
      <c r="M4" s="7" t="s">
        <v>87</v>
      </c>
      <c r="N4" s="7" t="s">
        <v>88</v>
      </c>
      <c r="O4" s="9" t="s">
        <v>100</v>
      </c>
      <c r="P4" s="10" t="s">
        <v>104</v>
      </c>
      <c r="Q4" s="87"/>
    </row>
    <row r="5" spans="1:17">
      <c r="A5" s="43">
        <v>1</v>
      </c>
      <c r="B5" s="44" t="s">
        <v>0</v>
      </c>
      <c r="C5" s="11" t="s">
        <v>43</v>
      </c>
      <c r="D5" s="74">
        <v>56</v>
      </c>
      <c r="E5" s="56"/>
      <c r="F5" s="57">
        <v>53</v>
      </c>
      <c r="G5" s="57">
        <v>11</v>
      </c>
      <c r="H5" s="57">
        <v>8</v>
      </c>
      <c r="I5" s="57">
        <v>2</v>
      </c>
      <c r="J5" s="58">
        <v>74</v>
      </c>
      <c r="K5" s="78">
        <v>4</v>
      </c>
      <c r="L5" s="57">
        <v>9</v>
      </c>
      <c r="M5" s="57">
        <v>1</v>
      </c>
      <c r="N5" s="57">
        <v>1</v>
      </c>
      <c r="O5" s="12">
        <v>1</v>
      </c>
      <c r="P5" s="13">
        <f>SUM(K5:N5)</f>
        <v>15</v>
      </c>
      <c r="Q5" s="14">
        <f t="shared" ref="Q5:Q48" si="0">SUM(J5:N5)</f>
        <v>89</v>
      </c>
    </row>
    <row r="6" spans="1:17">
      <c r="A6" s="43">
        <v>2</v>
      </c>
      <c r="B6" s="44" t="s">
        <v>1</v>
      </c>
      <c r="C6" s="15" t="s">
        <v>44</v>
      </c>
      <c r="D6" s="75">
        <v>1</v>
      </c>
      <c r="E6" s="59"/>
      <c r="F6" s="60">
        <v>3</v>
      </c>
      <c r="G6" s="60">
        <v>1</v>
      </c>
      <c r="H6" s="60">
        <v>2</v>
      </c>
      <c r="I6" s="60"/>
      <c r="J6" s="81">
        <v>6</v>
      </c>
      <c r="K6" s="79">
        <v>1</v>
      </c>
      <c r="L6" s="60">
        <v>1</v>
      </c>
      <c r="M6" s="60"/>
      <c r="N6" s="60"/>
      <c r="O6" s="16"/>
      <c r="P6" s="17">
        <f t="shared" ref="P6:P50" si="1">SUM(K6:N6)</f>
        <v>2</v>
      </c>
      <c r="Q6" s="18">
        <f t="shared" si="0"/>
        <v>8</v>
      </c>
    </row>
    <row r="7" spans="1:17">
      <c r="A7" s="43">
        <v>3</v>
      </c>
      <c r="B7" s="44" t="s">
        <v>2</v>
      </c>
      <c r="C7" s="15" t="s">
        <v>45</v>
      </c>
      <c r="D7" s="75">
        <v>1</v>
      </c>
      <c r="E7" s="59">
        <v>1</v>
      </c>
      <c r="F7" s="60">
        <v>15</v>
      </c>
      <c r="G7" s="60">
        <v>6</v>
      </c>
      <c r="H7" s="60">
        <v>3</v>
      </c>
      <c r="I7" s="60"/>
      <c r="J7" s="81">
        <v>25</v>
      </c>
      <c r="K7" s="79">
        <v>1</v>
      </c>
      <c r="L7" s="60">
        <v>3</v>
      </c>
      <c r="M7" s="60">
        <v>1</v>
      </c>
      <c r="N7" s="60"/>
      <c r="O7" s="16"/>
      <c r="P7" s="17">
        <f t="shared" si="1"/>
        <v>5</v>
      </c>
      <c r="Q7" s="18">
        <f t="shared" si="0"/>
        <v>30</v>
      </c>
    </row>
    <row r="8" spans="1:17">
      <c r="A8" s="43">
        <v>4</v>
      </c>
      <c r="B8" s="44" t="s">
        <v>3</v>
      </c>
      <c r="C8" s="15" t="s">
        <v>46</v>
      </c>
      <c r="D8" s="75">
        <v>1</v>
      </c>
      <c r="E8" s="59"/>
      <c r="F8" s="60">
        <v>16</v>
      </c>
      <c r="G8" s="60">
        <v>6</v>
      </c>
      <c r="H8" s="60">
        <v>2</v>
      </c>
      <c r="I8" s="60"/>
      <c r="J8" s="81">
        <v>24</v>
      </c>
      <c r="K8" s="79">
        <v>2</v>
      </c>
      <c r="L8" s="60">
        <v>3</v>
      </c>
      <c r="M8" s="60">
        <v>2</v>
      </c>
      <c r="N8" s="60"/>
      <c r="O8" s="16"/>
      <c r="P8" s="17">
        <f t="shared" si="1"/>
        <v>7</v>
      </c>
      <c r="Q8" s="18">
        <f t="shared" si="0"/>
        <v>31</v>
      </c>
    </row>
    <row r="9" spans="1:17" ht="13.5" thickBot="1">
      <c r="A9" s="43">
        <v>5</v>
      </c>
      <c r="B9" s="44" t="s">
        <v>4</v>
      </c>
      <c r="C9" s="19" t="s">
        <v>47</v>
      </c>
      <c r="D9" s="76">
        <v>2</v>
      </c>
      <c r="E9" s="61"/>
      <c r="F9" s="62">
        <v>5</v>
      </c>
      <c r="G9" s="62">
        <v>2</v>
      </c>
      <c r="H9" s="62">
        <v>1</v>
      </c>
      <c r="I9" s="62"/>
      <c r="J9" s="85">
        <v>8</v>
      </c>
      <c r="K9" s="80">
        <v>1</v>
      </c>
      <c r="L9" s="62">
        <v>1</v>
      </c>
      <c r="M9" s="62">
        <v>1</v>
      </c>
      <c r="N9" s="62"/>
      <c r="O9" s="20"/>
      <c r="P9" s="21">
        <f t="shared" si="1"/>
        <v>3</v>
      </c>
      <c r="Q9" s="22">
        <f t="shared" si="0"/>
        <v>11</v>
      </c>
    </row>
    <row r="10" spans="1:17">
      <c r="A10" s="43">
        <v>6</v>
      </c>
      <c r="B10" s="44" t="s">
        <v>5</v>
      </c>
      <c r="C10" s="11" t="s">
        <v>48</v>
      </c>
      <c r="D10" s="74">
        <v>1</v>
      </c>
      <c r="E10" s="56"/>
      <c r="F10" s="57">
        <v>2</v>
      </c>
      <c r="G10" s="57"/>
      <c r="H10" s="57">
        <v>1</v>
      </c>
      <c r="I10" s="82"/>
      <c r="J10" s="58">
        <v>3</v>
      </c>
      <c r="K10" s="78">
        <v>1</v>
      </c>
      <c r="L10" s="57">
        <v>1</v>
      </c>
      <c r="M10" s="57"/>
      <c r="N10" s="57"/>
      <c r="O10" s="12"/>
      <c r="P10" s="13">
        <f t="shared" si="1"/>
        <v>2</v>
      </c>
      <c r="Q10" s="14">
        <f t="shared" si="0"/>
        <v>5</v>
      </c>
    </row>
    <row r="11" spans="1:17">
      <c r="A11" s="43">
        <v>7</v>
      </c>
      <c r="B11" s="44" t="s">
        <v>6</v>
      </c>
      <c r="C11" s="15" t="s">
        <v>49</v>
      </c>
      <c r="D11" s="75">
        <v>39</v>
      </c>
      <c r="E11" s="59"/>
      <c r="F11" s="60">
        <v>60</v>
      </c>
      <c r="G11" s="60">
        <v>15</v>
      </c>
      <c r="H11" s="60">
        <v>8</v>
      </c>
      <c r="I11" s="83">
        <v>1</v>
      </c>
      <c r="J11" s="81">
        <v>84</v>
      </c>
      <c r="K11" s="79">
        <v>9</v>
      </c>
      <c r="L11" s="60">
        <v>2</v>
      </c>
      <c r="M11" s="60">
        <v>7</v>
      </c>
      <c r="N11" s="60"/>
      <c r="O11" s="16">
        <v>1</v>
      </c>
      <c r="P11" s="17">
        <f t="shared" si="1"/>
        <v>18</v>
      </c>
      <c r="Q11" s="18">
        <f t="shared" si="0"/>
        <v>102</v>
      </c>
    </row>
    <row r="12" spans="1:17">
      <c r="A12" s="43">
        <v>8</v>
      </c>
      <c r="B12" s="44" t="s">
        <v>7</v>
      </c>
      <c r="C12" s="15" t="s">
        <v>50</v>
      </c>
      <c r="D12" s="75">
        <v>1</v>
      </c>
      <c r="E12" s="59"/>
      <c r="F12" s="60">
        <v>7</v>
      </c>
      <c r="G12" s="60">
        <v>1</v>
      </c>
      <c r="H12" s="60">
        <v>4</v>
      </c>
      <c r="I12" s="83"/>
      <c r="J12" s="81">
        <v>12</v>
      </c>
      <c r="K12" s="79">
        <v>2</v>
      </c>
      <c r="L12" s="60">
        <v>1</v>
      </c>
      <c r="M12" s="60"/>
      <c r="N12" s="60"/>
      <c r="O12" s="16"/>
      <c r="P12" s="17">
        <f t="shared" si="1"/>
        <v>3</v>
      </c>
      <c r="Q12" s="18">
        <f t="shared" si="0"/>
        <v>15</v>
      </c>
    </row>
    <row r="13" spans="1:17">
      <c r="A13" s="43">
        <v>9</v>
      </c>
      <c r="B13" s="44" t="s">
        <v>8</v>
      </c>
      <c r="C13" s="15" t="s">
        <v>51</v>
      </c>
      <c r="D13" s="75">
        <v>5</v>
      </c>
      <c r="E13" s="59"/>
      <c r="F13" s="60">
        <v>6</v>
      </c>
      <c r="G13" s="60">
        <v>2</v>
      </c>
      <c r="H13" s="60">
        <v>2</v>
      </c>
      <c r="I13" s="83"/>
      <c r="J13" s="81">
        <v>10</v>
      </c>
      <c r="K13" s="79"/>
      <c r="L13" s="60">
        <v>1</v>
      </c>
      <c r="M13" s="60"/>
      <c r="N13" s="60"/>
      <c r="O13" s="16"/>
      <c r="P13" s="17">
        <f t="shared" si="1"/>
        <v>1</v>
      </c>
      <c r="Q13" s="18">
        <f t="shared" si="0"/>
        <v>11</v>
      </c>
    </row>
    <row r="14" spans="1:17" ht="13.5" thickBot="1">
      <c r="A14" s="43">
        <v>10</v>
      </c>
      <c r="B14" s="44" t="s">
        <v>9</v>
      </c>
      <c r="C14" s="19" t="s">
        <v>52</v>
      </c>
      <c r="D14" s="76">
        <v>2</v>
      </c>
      <c r="E14" s="61"/>
      <c r="F14" s="62">
        <v>5</v>
      </c>
      <c r="G14" s="62">
        <v>1</v>
      </c>
      <c r="H14" s="62">
        <v>3</v>
      </c>
      <c r="I14" s="84"/>
      <c r="J14" s="85">
        <v>9</v>
      </c>
      <c r="K14" s="80"/>
      <c r="L14" s="62">
        <v>1</v>
      </c>
      <c r="M14" s="62"/>
      <c r="N14" s="62"/>
      <c r="O14" s="20"/>
      <c r="P14" s="21">
        <f t="shared" si="1"/>
        <v>1</v>
      </c>
      <c r="Q14" s="22">
        <f t="shared" si="0"/>
        <v>10</v>
      </c>
    </row>
    <row r="15" spans="1:17">
      <c r="A15" s="43">
        <v>11</v>
      </c>
      <c r="B15" s="44" t="s">
        <v>10</v>
      </c>
      <c r="C15" s="11" t="s">
        <v>53</v>
      </c>
      <c r="D15" s="74">
        <v>1</v>
      </c>
      <c r="E15" s="56"/>
      <c r="F15" s="57">
        <v>1</v>
      </c>
      <c r="G15" s="57">
        <v>1</v>
      </c>
      <c r="H15" s="57">
        <v>1</v>
      </c>
      <c r="I15" s="82"/>
      <c r="J15" s="58">
        <v>3</v>
      </c>
      <c r="K15" s="78">
        <v>1</v>
      </c>
      <c r="L15" s="57">
        <v>1</v>
      </c>
      <c r="M15" s="57"/>
      <c r="N15" s="57"/>
      <c r="O15" s="12"/>
      <c r="P15" s="13">
        <f t="shared" si="1"/>
        <v>2</v>
      </c>
      <c r="Q15" s="14">
        <f t="shared" si="0"/>
        <v>5</v>
      </c>
    </row>
    <row r="16" spans="1:17">
      <c r="A16" s="43">
        <v>12</v>
      </c>
      <c r="B16" s="44" t="s">
        <v>11</v>
      </c>
      <c r="C16" s="15" t="s">
        <v>54</v>
      </c>
      <c r="D16" s="75">
        <v>29</v>
      </c>
      <c r="E16" s="59"/>
      <c r="F16" s="60">
        <v>64</v>
      </c>
      <c r="G16" s="60">
        <v>16</v>
      </c>
      <c r="H16" s="60">
        <v>8</v>
      </c>
      <c r="I16" s="83">
        <v>1</v>
      </c>
      <c r="J16" s="81">
        <v>89</v>
      </c>
      <c r="K16" s="79">
        <v>9</v>
      </c>
      <c r="L16" s="60">
        <v>3</v>
      </c>
      <c r="M16" s="60">
        <v>7</v>
      </c>
      <c r="N16" s="60">
        <v>1</v>
      </c>
      <c r="O16" s="16">
        <v>1</v>
      </c>
      <c r="P16" s="17">
        <f t="shared" si="1"/>
        <v>20</v>
      </c>
      <c r="Q16" s="18">
        <f t="shared" si="0"/>
        <v>109</v>
      </c>
    </row>
    <row r="17" spans="1:17">
      <c r="A17" s="43">
        <v>13</v>
      </c>
      <c r="B17" s="44" t="s">
        <v>12</v>
      </c>
      <c r="C17" s="15" t="s">
        <v>55</v>
      </c>
      <c r="D17" s="75">
        <v>3</v>
      </c>
      <c r="E17" s="59"/>
      <c r="F17" s="60">
        <v>9</v>
      </c>
      <c r="G17" s="60">
        <v>2</v>
      </c>
      <c r="H17" s="60">
        <v>3</v>
      </c>
      <c r="I17" s="83"/>
      <c r="J17" s="81">
        <v>14</v>
      </c>
      <c r="K17" s="79">
        <v>2</v>
      </c>
      <c r="L17" s="60">
        <v>1</v>
      </c>
      <c r="M17" s="60">
        <v>1</v>
      </c>
      <c r="N17" s="60"/>
      <c r="O17" s="16"/>
      <c r="P17" s="17">
        <f t="shared" si="1"/>
        <v>4</v>
      </c>
      <c r="Q17" s="18">
        <f t="shared" si="0"/>
        <v>18</v>
      </c>
    </row>
    <row r="18" spans="1:17">
      <c r="A18" s="43">
        <v>14</v>
      </c>
      <c r="B18" s="44" t="s">
        <v>13</v>
      </c>
      <c r="C18" s="15" t="s">
        <v>56</v>
      </c>
      <c r="D18" s="75">
        <v>1</v>
      </c>
      <c r="E18" s="59"/>
      <c r="F18" s="60">
        <v>33</v>
      </c>
      <c r="G18" s="60">
        <v>9</v>
      </c>
      <c r="H18" s="60">
        <v>5</v>
      </c>
      <c r="I18" s="83"/>
      <c r="J18" s="81">
        <v>47</v>
      </c>
      <c r="K18" s="79">
        <v>6</v>
      </c>
      <c r="L18" s="60">
        <v>3</v>
      </c>
      <c r="M18" s="60">
        <v>2</v>
      </c>
      <c r="N18" s="60"/>
      <c r="O18" s="16"/>
      <c r="P18" s="17">
        <f t="shared" si="1"/>
        <v>11</v>
      </c>
      <c r="Q18" s="18">
        <f t="shared" si="0"/>
        <v>58</v>
      </c>
    </row>
    <row r="19" spans="1:17" ht="13.5" thickBot="1">
      <c r="A19" s="43">
        <v>15</v>
      </c>
      <c r="B19" s="44" t="s">
        <v>14</v>
      </c>
      <c r="C19" s="19" t="s">
        <v>57</v>
      </c>
      <c r="D19" s="76">
        <v>1</v>
      </c>
      <c r="E19" s="61"/>
      <c r="F19" s="62">
        <v>3</v>
      </c>
      <c r="G19" s="62">
        <v>1</v>
      </c>
      <c r="H19" s="62">
        <v>1</v>
      </c>
      <c r="I19" s="84"/>
      <c r="J19" s="85">
        <v>5</v>
      </c>
      <c r="K19" s="80"/>
      <c r="L19" s="62">
        <v>1</v>
      </c>
      <c r="M19" s="62"/>
      <c r="N19" s="62"/>
      <c r="O19" s="20"/>
      <c r="P19" s="21">
        <f t="shared" si="1"/>
        <v>1</v>
      </c>
      <c r="Q19" s="22">
        <f t="shared" si="0"/>
        <v>6</v>
      </c>
    </row>
    <row r="20" spans="1:17">
      <c r="A20" s="43">
        <v>16</v>
      </c>
      <c r="B20" s="44" t="s">
        <v>15</v>
      </c>
      <c r="C20" s="11" t="s">
        <v>58</v>
      </c>
      <c r="D20" s="74">
        <v>1</v>
      </c>
      <c r="E20" s="56"/>
      <c r="F20" s="57">
        <v>4</v>
      </c>
      <c r="G20" s="57">
        <v>1</v>
      </c>
      <c r="H20" s="57">
        <v>4</v>
      </c>
      <c r="I20" s="82"/>
      <c r="J20" s="58">
        <v>9</v>
      </c>
      <c r="K20" s="78">
        <v>1</v>
      </c>
      <c r="L20" s="57">
        <v>1</v>
      </c>
      <c r="M20" s="57"/>
      <c r="N20" s="57"/>
      <c r="O20" s="12"/>
      <c r="P20" s="13">
        <f t="shared" si="1"/>
        <v>2</v>
      </c>
      <c r="Q20" s="14">
        <f t="shared" si="0"/>
        <v>11</v>
      </c>
    </row>
    <row r="21" spans="1:17">
      <c r="A21" s="43">
        <v>17</v>
      </c>
      <c r="B21" s="44" t="s">
        <v>16</v>
      </c>
      <c r="C21" s="15" t="s">
        <v>59</v>
      </c>
      <c r="D21" s="75">
        <v>2</v>
      </c>
      <c r="E21" s="59"/>
      <c r="F21" s="60">
        <v>4</v>
      </c>
      <c r="G21" s="60">
        <v>3</v>
      </c>
      <c r="H21" s="60">
        <v>3</v>
      </c>
      <c r="I21" s="83"/>
      <c r="J21" s="81">
        <v>10</v>
      </c>
      <c r="K21" s="79"/>
      <c r="L21" s="60">
        <v>1</v>
      </c>
      <c r="M21" s="60"/>
      <c r="N21" s="60"/>
      <c r="O21" s="16"/>
      <c r="P21" s="17">
        <f t="shared" si="1"/>
        <v>1</v>
      </c>
      <c r="Q21" s="18">
        <f t="shared" si="0"/>
        <v>11</v>
      </c>
    </row>
    <row r="22" spans="1:17">
      <c r="A22" s="43">
        <v>18</v>
      </c>
      <c r="B22" s="44" t="s">
        <v>17</v>
      </c>
      <c r="C22" s="15" t="s">
        <v>60</v>
      </c>
      <c r="D22" s="75">
        <v>1</v>
      </c>
      <c r="E22" s="59"/>
      <c r="F22" s="60">
        <v>2</v>
      </c>
      <c r="G22" s="60">
        <v>1</v>
      </c>
      <c r="H22" s="60">
        <v>1</v>
      </c>
      <c r="I22" s="83"/>
      <c r="J22" s="81">
        <v>4</v>
      </c>
      <c r="K22" s="79">
        <v>1</v>
      </c>
      <c r="L22" s="60">
        <v>1</v>
      </c>
      <c r="M22" s="60"/>
      <c r="N22" s="60"/>
      <c r="O22" s="16"/>
      <c r="P22" s="17">
        <f t="shared" si="1"/>
        <v>2</v>
      </c>
      <c r="Q22" s="18">
        <f t="shared" si="0"/>
        <v>6</v>
      </c>
    </row>
    <row r="23" spans="1:17">
      <c r="A23" s="43">
        <v>19</v>
      </c>
      <c r="B23" s="44" t="s">
        <v>18</v>
      </c>
      <c r="C23" s="15" t="s">
        <v>61</v>
      </c>
      <c r="D23" s="75">
        <v>18</v>
      </c>
      <c r="E23" s="59"/>
      <c r="F23" s="60">
        <v>26</v>
      </c>
      <c r="G23" s="60">
        <v>6</v>
      </c>
      <c r="H23" s="60">
        <v>5</v>
      </c>
      <c r="I23" s="83">
        <v>1</v>
      </c>
      <c r="J23" s="81">
        <v>38</v>
      </c>
      <c r="K23" s="79">
        <v>2</v>
      </c>
      <c r="L23" s="60">
        <v>2</v>
      </c>
      <c r="M23" s="60">
        <v>2</v>
      </c>
      <c r="N23" s="60"/>
      <c r="O23" s="16"/>
      <c r="P23" s="17">
        <f t="shared" si="1"/>
        <v>6</v>
      </c>
      <c r="Q23" s="18">
        <f t="shared" si="0"/>
        <v>44</v>
      </c>
    </row>
    <row r="24" spans="1:17" ht="13.5" thickBot="1">
      <c r="A24" s="43">
        <v>20</v>
      </c>
      <c r="B24" s="44" t="s">
        <v>19</v>
      </c>
      <c r="C24" s="19" t="s">
        <v>62</v>
      </c>
      <c r="D24" s="76">
        <v>2</v>
      </c>
      <c r="E24" s="61"/>
      <c r="F24" s="62">
        <v>5</v>
      </c>
      <c r="G24" s="62">
        <v>1</v>
      </c>
      <c r="H24" s="62">
        <v>1</v>
      </c>
      <c r="I24" s="84"/>
      <c r="J24" s="85">
        <v>7</v>
      </c>
      <c r="K24" s="80"/>
      <c r="L24" s="62">
        <v>2</v>
      </c>
      <c r="M24" s="62"/>
      <c r="N24" s="62"/>
      <c r="O24" s="20"/>
      <c r="P24" s="21">
        <f t="shared" si="1"/>
        <v>2</v>
      </c>
      <c r="Q24" s="22">
        <f t="shared" si="0"/>
        <v>9</v>
      </c>
    </row>
    <row r="25" spans="1:17">
      <c r="A25" s="43">
        <v>21</v>
      </c>
      <c r="B25" s="44" t="s">
        <v>20</v>
      </c>
      <c r="C25" s="11" t="s">
        <v>63</v>
      </c>
      <c r="D25" s="74">
        <v>1</v>
      </c>
      <c r="E25" s="56"/>
      <c r="F25" s="57">
        <v>1</v>
      </c>
      <c r="G25" s="57">
        <v>1</v>
      </c>
      <c r="H25" s="57">
        <v>1</v>
      </c>
      <c r="I25" s="82"/>
      <c r="J25" s="58">
        <v>3</v>
      </c>
      <c r="K25" s="78">
        <v>1</v>
      </c>
      <c r="L25" s="57">
        <v>2</v>
      </c>
      <c r="M25" s="57"/>
      <c r="N25" s="57"/>
      <c r="O25" s="12"/>
      <c r="P25" s="13">
        <f t="shared" si="1"/>
        <v>3</v>
      </c>
      <c r="Q25" s="14">
        <f t="shared" si="0"/>
        <v>6</v>
      </c>
    </row>
    <row r="26" spans="1:17">
      <c r="A26" s="43">
        <v>22</v>
      </c>
      <c r="B26" s="44" t="s">
        <v>21</v>
      </c>
      <c r="C26" s="15" t="s">
        <v>64</v>
      </c>
      <c r="D26" s="75">
        <v>6</v>
      </c>
      <c r="E26" s="59"/>
      <c r="F26" s="60">
        <v>4</v>
      </c>
      <c r="G26" s="60">
        <v>2</v>
      </c>
      <c r="H26" s="60">
        <v>1</v>
      </c>
      <c r="I26" s="83"/>
      <c r="J26" s="81">
        <v>7</v>
      </c>
      <c r="K26" s="79">
        <v>5</v>
      </c>
      <c r="L26" s="60">
        <v>1</v>
      </c>
      <c r="M26" s="60">
        <v>1</v>
      </c>
      <c r="N26" s="60"/>
      <c r="O26" s="16"/>
      <c r="P26" s="17">
        <f t="shared" si="1"/>
        <v>7</v>
      </c>
      <c r="Q26" s="18">
        <f t="shared" si="0"/>
        <v>14</v>
      </c>
    </row>
    <row r="27" spans="1:17">
      <c r="A27" s="43">
        <v>23</v>
      </c>
      <c r="B27" s="44" t="s">
        <v>22</v>
      </c>
      <c r="C27" s="15" t="s">
        <v>65</v>
      </c>
      <c r="D27" s="75">
        <v>2</v>
      </c>
      <c r="E27" s="59"/>
      <c r="F27" s="60">
        <v>2</v>
      </c>
      <c r="G27" s="60"/>
      <c r="H27" s="60">
        <v>1</v>
      </c>
      <c r="I27" s="83"/>
      <c r="J27" s="81">
        <v>3</v>
      </c>
      <c r="K27" s="79">
        <v>2</v>
      </c>
      <c r="L27" s="60">
        <v>1</v>
      </c>
      <c r="M27" s="60"/>
      <c r="N27" s="60"/>
      <c r="O27" s="16"/>
      <c r="P27" s="17">
        <f t="shared" si="1"/>
        <v>3</v>
      </c>
      <c r="Q27" s="18">
        <f t="shared" si="0"/>
        <v>6</v>
      </c>
    </row>
    <row r="28" spans="1:17">
      <c r="A28" s="43">
        <v>24</v>
      </c>
      <c r="B28" s="44" t="s">
        <v>23</v>
      </c>
      <c r="C28" s="15" t="s">
        <v>66</v>
      </c>
      <c r="D28" s="75">
        <v>1</v>
      </c>
      <c r="E28" s="59"/>
      <c r="F28" s="60">
        <v>2</v>
      </c>
      <c r="G28" s="60">
        <v>1</v>
      </c>
      <c r="H28" s="60">
        <v>1</v>
      </c>
      <c r="I28" s="83"/>
      <c r="J28" s="81">
        <v>4</v>
      </c>
      <c r="K28" s="79">
        <v>1</v>
      </c>
      <c r="L28" s="60">
        <v>2</v>
      </c>
      <c r="M28" s="60"/>
      <c r="N28" s="60"/>
      <c r="O28" s="16"/>
      <c r="P28" s="17">
        <f t="shared" si="1"/>
        <v>3</v>
      </c>
      <c r="Q28" s="18">
        <f t="shared" si="0"/>
        <v>7</v>
      </c>
    </row>
    <row r="29" spans="1:17" ht="13.5" thickBot="1">
      <c r="A29" s="43">
        <v>25</v>
      </c>
      <c r="B29" s="44" t="s">
        <v>24</v>
      </c>
      <c r="C29" s="19" t="s">
        <v>67</v>
      </c>
      <c r="D29" s="76">
        <v>6</v>
      </c>
      <c r="E29" s="61"/>
      <c r="F29" s="62">
        <v>5</v>
      </c>
      <c r="G29" s="62">
        <v>1</v>
      </c>
      <c r="H29" s="62">
        <v>4</v>
      </c>
      <c r="I29" s="84">
        <v>2</v>
      </c>
      <c r="J29" s="85">
        <v>12</v>
      </c>
      <c r="K29" s="80"/>
      <c r="L29" s="62">
        <v>1</v>
      </c>
      <c r="M29" s="62"/>
      <c r="N29" s="62"/>
      <c r="O29" s="20"/>
      <c r="P29" s="21">
        <f t="shared" si="1"/>
        <v>1</v>
      </c>
      <c r="Q29" s="22">
        <f t="shared" si="0"/>
        <v>13</v>
      </c>
    </row>
    <row r="30" spans="1:17">
      <c r="A30" s="43">
        <v>26</v>
      </c>
      <c r="B30" s="44" t="s">
        <v>25</v>
      </c>
      <c r="C30" s="11" t="s">
        <v>68</v>
      </c>
      <c r="D30" s="74">
        <v>1</v>
      </c>
      <c r="E30" s="56"/>
      <c r="F30" s="57">
        <v>5</v>
      </c>
      <c r="G30" s="57">
        <v>3</v>
      </c>
      <c r="H30" s="57">
        <v>3</v>
      </c>
      <c r="I30" s="82">
        <v>1</v>
      </c>
      <c r="J30" s="58">
        <v>12</v>
      </c>
      <c r="K30" s="78">
        <v>1</v>
      </c>
      <c r="L30" s="57">
        <v>2</v>
      </c>
      <c r="M30" s="57">
        <v>1</v>
      </c>
      <c r="N30" s="57"/>
      <c r="O30" s="12">
        <v>1</v>
      </c>
      <c r="P30" s="13">
        <f t="shared" si="1"/>
        <v>4</v>
      </c>
      <c r="Q30" s="14">
        <f t="shared" si="0"/>
        <v>16</v>
      </c>
    </row>
    <row r="31" spans="1:17">
      <c r="A31" s="43">
        <v>27</v>
      </c>
      <c r="B31" s="44" t="s">
        <v>26</v>
      </c>
      <c r="C31" s="15" t="s">
        <v>69</v>
      </c>
      <c r="D31" s="75">
        <v>3</v>
      </c>
      <c r="E31" s="59"/>
      <c r="F31" s="60">
        <v>3</v>
      </c>
      <c r="G31" s="60">
        <v>2</v>
      </c>
      <c r="H31" s="60">
        <v>2</v>
      </c>
      <c r="I31" s="83">
        <v>1</v>
      </c>
      <c r="J31" s="81">
        <v>8</v>
      </c>
      <c r="K31" s="79"/>
      <c r="L31" s="60">
        <v>2</v>
      </c>
      <c r="M31" s="60"/>
      <c r="N31" s="60"/>
      <c r="O31" s="16">
        <v>1</v>
      </c>
      <c r="P31" s="17">
        <f t="shared" si="1"/>
        <v>2</v>
      </c>
      <c r="Q31" s="18">
        <f t="shared" si="0"/>
        <v>10</v>
      </c>
    </row>
    <row r="32" spans="1:17">
      <c r="A32" s="43">
        <v>28</v>
      </c>
      <c r="B32" s="44" t="s">
        <v>27</v>
      </c>
      <c r="C32" s="15" t="s">
        <v>70</v>
      </c>
      <c r="D32" s="75">
        <v>2</v>
      </c>
      <c r="E32" s="59"/>
      <c r="F32" s="60">
        <v>2</v>
      </c>
      <c r="G32" s="60">
        <v>1</v>
      </c>
      <c r="H32" s="60">
        <v>2</v>
      </c>
      <c r="I32" s="83"/>
      <c r="J32" s="81">
        <v>5</v>
      </c>
      <c r="K32" s="79">
        <v>1</v>
      </c>
      <c r="L32" s="60">
        <v>2</v>
      </c>
      <c r="M32" s="60"/>
      <c r="N32" s="60"/>
      <c r="O32" s="16"/>
      <c r="P32" s="17">
        <f t="shared" si="1"/>
        <v>3</v>
      </c>
      <c r="Q32" s="18">
        <f t="shared" si="0"/>
        <v>8</v>
      </c>
    </row>
    <row r="33" spans="1:17">
      <c r="A33" s="43">
        <v>29</v>
      </c>
      <c r="B33" s="44" t="s">
        <v>28</v>
      </c>
      <c r="C33" s="15" t="s">
        <v>71</v>
      </c>
      <c r="D33" s="75">
        <v>1</v>
      </c>
      <c r="E33" s="59"/>
      <c r="F33" s="60">
        <v>2</v>
      </c>
      <c r="G33" s="60">
        <v>1</v>
      </c>
      <c r="H33" s="60">
        <v>2</v>
      </c>
      <c r="I33" s="83">
        <v>1</v>
      </c>
      <c r="J33" s="81">
        <v>6</v>
      </c>
      <c r="K33" s="79">
        <v>1</v>
      </c>
      <c r="L33" s="60">
        <v>0</v>
      </c>
      <c r="M33" s="60"/>
      <c r="N33" s="60"/>
      <c r="O33" s="16"/>
      <c r="P33" s="17">
        <f t="shared" si="1"/>
        <v>1</v>
      </c>
      <c r="Q33" s="18">
        <f t="shared" si="0"/>
        <v>7</v>
      </c>
    </row>
    <row r="34" spans="1:17" ht="13.5" thickBot="1">
      <c r="A34" s="43">
        <v>30</v>
      </c>
      <c r="B34" s="44" t="s">
        <v>29</v>
      </c>
      <c r="C34" s="19" t="s">
        <v>72</v>
      </c>
      <c r="D34" s="76">
        <v>1</v>
      </c>
      <c r="E34" s="61"/>
      <c r="F34" s="62">
        <v>16</v>
      </c>
      <c r="G34" s="62">
        <v>3</v>
      </c>
      <c r="H34" s="62">
        <v>6</v>
      </c>
      <c r="I34" s="84"/>
      <c r="J34" s="85">
        <v>25</v>
      </c>
      <c r="K34" s="80">
        <v>1</v>
      </c>
      <c r="L34" s="62">
        <v>1</v>
      </c>
      <c r="M34" s="62">
        <v>4</v>
      </c>
      <c r="N34" s="62"/>
      <c r="O34" s="20"/>
      <c r="P34" s="21">
        <f t="shared" si="1"/>
        <v>6</v>
      </c>
      <c r="Q34" s="22">
        <f t="shared" si="0"/>
        <v>31</v>
      </c>
    </row>
    <row r="35" spans="1:17">
      <c r="A35" s="43">
        <v>31</v>
      </c>
      <c r="B35" s="44" t="s">
        <v>30</v>
      </c>
      <c r="C35" s="11" t="s">
        <v>73</v>
      </c>
      <c r="D35" s="74">
        <v>2</v>
      </c>
      <c r="E35" s="56"/>
      <c r="F35" s="57">
        <v>8</v>
      </c>
      <c r="G35" s="57">
        <v>2</v>
      </c>
      <c r="H35" s="57">
        <v>1</v>
      </c>
      <c r="I35" s="82"/>
      <c r="J35" s="58">
        <v>11</v>
      </c>
      <c r="K35" s="78">
        <v>1</v>
      </c>
      <c r="L35" s="57">
        <v>1</v>
      </c>
      <c r="M35" s="57">
        <v>1</v>
      </c>
      <c r="N35" s="57"/>
      <c r="O35" s="12">
        <v>1</v>
      </c>
      <c r="P35" s="13">
        <f t="shared" si="1"/>
        <v>3</v>
      </c>
      <c r="Q35" s="14">
        <f t="shared" si="0"/>
        <v>14</v>
      </c>
    </row>
    <row r="36" spans="1:17">
      <c r="A36" s="43">
        <v>32</v>
      </c>
      <c r="B36" s="44" t="s">
        <v>31</v>
      </c>
      <c r="C36" s="15" t="s">
        <v>74</v>
      </c>
      <c r="D36" s="75"/>
      <c r="E36" s="59"/>
      <c r="F36" s="60">
        <v>5</v>
      </c>
      <c r="G36" s="60">
        <v>1</v>
      </c>
      <c r="H36" s="60">
        <v>1</v>
      </c>
      <c r="I36" s="83">
        <v>1</v>
      </c>
      <c r="J36" s="81">
        <v>8</v>
      </c>
      <c r="K36" s="79"/>
      <c r="L36" s="60">
        <v>1</v>
      </c>
      <c r="M36" s="60">
        <v>1</v>
      </c>
      <c r="N36" s="60"/>
      <c r="O36" s="16">
        <v>1</v>
      </c>
      <c r="P36" s="17">
        <f t="shared" si="1"/>
        <v>2</v>
      </c>
      <c r="Q36" s="18">
        <f t="shared" si="0"/>
        <v>10</v>
      </c>
    </row>
    <row r="37" spans="1:17">
      <c r="A37" s="43">
        <v>33</v>
      </c>
      <c r="B37" s="44" t="s">
        <v>32</v>
      </c>
      <c r="C37" s="15" t="s">
        <v>75</v>
      </c>
      <c r="D37" s="75">
        <v>3</v>
      </c>
      <c r="E37" s="59"/>
      <c r="F37" s="60">
        <v>23</v>
      </c>
      <c r="G37" s="60">
        <v>11</v>
      </c>
      <c r="H37" s="60">
        <v>6</v>
      </c>
      <c r="I37" s="83">
        <v>1</v>
      </c>
      <c r="J37" s="81">
        <v>41</v>
      </c>
      <c r="K37" s="79">
        <v>2</v>
      </c>
      <c r="L37" s="60">
        <v>1</v>
      </c>
      <c r="M37" s="60">
        <v>4</v>
      </c>
      <c r="N37" s="60"/>
      <c r="O37" s="16">
        <v>1</v>
      </c>
      <c r="P37" s="17">
        <f t="shared" si="1"/>
        <v>7</v>
      </c>
      <c r="Q37" s="18">
        <f t="shared" si="0"/>
        <v>48</v>
      </c>
    </row>
    <row r="38" spans="1:17">
      <c r="A38" s="43">
        <v>34</v>
      </c>
      <c r="B38" s="44" t="s">
        <v>33</v>
      </c>
      <c r="C38" s="15" t="s">
        <v>76</v>
      </c>
      <c r="D38" s="75">
        <v>2</v>
      </c>
      <c r="E38" s="59"/>
      <c r="F38" s="60">
        <v>2</v>
      </c>
      <c r="G38" s="60">
        <v>1</v>
      </c>
      <c r="H38" s="60">
        <v>1</v>
      </c>
      <c r="I38" s="83"/>
      <c r="J38" s="81">
        <v>4</v>
      </c>
      <c r="K38" s="79"/>
      <c r="L38" s="60">
        <v>1</v>
      </c>
      <c r="M38" s="60"/>
      <c r="N38" s="60"/>
      <c r="O38" s="16"/>
      <c r="P38" s="17">
        <f t="shared" si="1"/>
        <v>1</v>
      </c>
      <c r="Q38" s="18">
        <f t="shared" si="0"/>
        <v>5</v>
      </c>
    </row>
    <row r="39" spans="1:17" ht="13.5" thickBot="1">
      <c r="A39" s="43">
        <v>35</v>
      </c>
      <c r="B39" s="44" t="s">
        <v>34</v>
      </c>
      <c r="C39" s="19" t="s">
        <v>77</v>
      </c>
      <c r="D39" s="76">
        <v>2</v>
      </c>
      <c r="E39" s="61"/>
      <c r="F39" s="62">
        <v>29</v>
      </c>
      <c r="G39" s="62">
        <v>9</v>
      </c>
      <c r="H39" s="62">
        <v>4</v>
      </c>
      <c r="I39" s="84"/>
      <c r="J39" s="85">
        <v>42</v>
      </c>
      <c r="K39" s="80">
        <v>4</v>
      </c>
      <c r="L39" s="62">
        <v>3</v>
      </c>
      <c r="M39" s="62">
        <v>3</v>
      </c>
      <c r="N39" s="62"/>
      <c r="O39" s="20">
        <v>1</v>
      </c>
      <c r="P39" s="21">
        <f t="shared" si="1"/>
        <v>10</v>
      </c>
      <c r="Q39" s="22">
        <f t="shared" si="0"/>
        <v>52</v>
      </c>
    </row>
    <row r="40" spans="1:17">
      <c r="A40" s="43">
        <v>36</v>
      </c>
      <c r="B40" s="44" t="s">
        <v>35</v>
      </c>
      <c r="C40" s="15" t="s">
        <v>78</v>
      </c>
      <c r="D40" s="75">
        <v>20</v>
      </c>
      <c r="E40" s="59">
        <v>1</v>
      </c>
      <c r="F40" s="60">
        <v>28</v>
      </c>
      <c r="G40" s="60">
        <v>5</v>
      </c>
      <c r="H40" s="60">
        <v>3</v>
      </c>
      <c r="I40" s="83"/>
      <c r="J40" s="58">
        <v>37</v>
      </c>
      <c r="K40" s="79">
        <v>4</v>
      </c>
      <c r="L40" s="60">
        <v>3</v>
      </c>
      <c r="M40" s="60">
        <v>1</v>
      </c>
      <c r="N40" s="60"/>
      <c r="O40" s="16"/>
      <c r="P40" s="17">
        <f t="shared" si="1"/>
        <v>8</v>
      </c>
      <c r="Q40" s="18">
        <f t="shared" si="0"/>
        <v>45</v>
      </c>
    </row>
    <row r="41" spans="1:17">
      <c r="A41" s="43">
        <v>37</v>
      </c>
      <c r="B41" s="44" t="s">
        <v>36</v>
      </c>
      <c r="C41" s="15" t="s">
        <v>79</v>
      </c>
      <c r="D41" s="75">
        <v>1</v>
      </c>
      <c r="E41" s="59"/>
      <c r="F41" s="60">
        <v>14</v>
      </c>
      <c r="G41" s="60">
        <v>3</v>
      </c>
      <c r="H41" s="60">
        <v>3</v>
      </c>
      <c r="I41" s="83"/>
      <c r="J41" s="81">
        <v>20</v>
      </c>
      <c r="K41" s="79">
        <v>3</v>
      </c>
      <c r="L41" s="60">
        <v>2</v>
      </c>
      <c r="M41" s="60"/>
      <c r="N41" s="60"/>
      <c r="O41" s="16"/>
      <c r="P41" s="17">
        <f t="shared" si="1"/>
        <v>5</v>
      </c>
      <c r="Q41" s="18">
        <f t="shared" si="0"/>
        <v>25</v>
      </c>
    </row>
    <row r="42" spans="1:17">
      <c r="A42" s="43">
        <v>38</v>
      </c>
      <c r="B42" s="44" t="s">
        <v>37</v>
      </c>
      <c r="C42" s="15" t="s">
        <v>80</v>
      </c>
      <c r="D42" s="75">
        <v>1</v>
      </c>
      <c r="E42" s="59"/>
      <c r="F42" s="60">
        <v>13</v>
      </c>
      <c r="G42" s="60">
        <v>2</v>
      </c>
      <c r="H42" s="60">
        <v>2</v>
      </c>
      <c r="I42" s="83">
        <v>1</v>
      </c>
      <c r="J42" s="81">
        <v>18</v>
      </c>
      <c r="K42" s="79">
        <v>4</v>
      </c>
      <c r="L42" s="60">
        <v>1</v>
      </c>
      <c r="M42" s="60">
        <v>2</v>
      </c>
      <c r="N42" s="60"/>
      <c r="O42" s="16">
        <v>1</v>
      </c>
      <c r="P42" s="17">
        <f t="shared" si="1"/>
        <v>7</v>
      </c>
      <c r="Q42" s="18">
        <f t="shared" si="0"/>
        <v>25</v>
      </c>
    </row>
    <row r="43" spans="1:17">
      <c r="A43" s="43">
        <v>39</v>
      </c>
      <c r="B43" s="44" t="s">
        <v>38</v>
      </c>
      <c r="C43" s="15" t="s">
        <v>81</v>
      </c>
      <c r="D43" s="75">
        <v>1</v>
      </c>
      <c r="E43" s="59"/>
      <c r="F43" s="60">
        <v>6</v>
      </c>
      <c r="G43" s="60">
        <v>1</v>
      </c>
      <c r="H43" s="60">
        <v>1</v>
      </c>
      <c r="I43" s="83"/>
      <c r="J43" s="81">
        <v>8</v>
      </c>
      <c r="K43" s="79">
        <v>1</v>
      </c>
      <c r="L43" s="60">
        <v>2</v>
      </c>
      <c r="M43" s="60"/>
      <c r="N43" s="60"/>
      <c r="O43" s="16"/>
      <c r="P43" s="17">
        <f t="shared" si="1"/>
        <v>3</v>
      </c>
      <c r="Q43" s="18">
        <f t="shared" si="0"/>
        <v>11</v>
      </c>
    </row>
    <row r="44" spans="1:17">
      <c r="A44" s="43">
        <v>40</v>
      </c>
      <c r="B44" s="44" t="s">
        <v>39</v>
      </c>
      <c r="C44" s="15" t="s">
        <v>82</v>
      </c>
      <c r="D44" s="75">
        <v>1</v>
      </c>
      <c r="E44" s="59"/>
      <c r="F44" s="60">
        <v>7</v>
      </c>
      <c r="G44" s="60">
        <v>2</v>
      </c>
      <c r="H44" s="60">
        <v>1</v>
      </c>
      <c r="I44" s="83"/>
      <c r="J44" s="81">
        <v>10</v>
      </c>
      <c r="K44" s="79">
        <v>2</v>
      </c>
      <c r="L44" s="60">
        <v>2</v>
      </c>
      <c r="M44" s="60"/>
      <c r="N44" s="60"/>
      <c r="O44" s="16"/>
      <c r="P44" s="17">
        <f t="shared" si="1"/>
        <v>4</v>
      </c>
      <c r="Q44" s="18">
        <f t="shared" si="0"/>
        <v>14</v>
      </c>
    </row>
    <row r="45" spans="1:17" ht="13.5" thickBot="1">
      <c r="A45" s="63">
        <v>42</v>
      </c>
      <c r="B45" s="44" t="s">
        <v>41</v>
      </c>
      <c r="C45" s="23" t="s">
        <v>83</v>
      </c>
      <c r="D45" s="77">
        <v>2</v>
      </c>
      <c r="E45" s="61">
        <v>1</v>
      </c>
      <c r="F45" s="62">
        <v>30</v>
      </c>
      <c r="G45" s="62">
        <v>8</v>
      </c>
      <c r="H45" s="62">
        <v>4</v>
      </c>
      <c r="I45" s="84"/>
      <c r="J45" s="85">
        <v>43</v>
      </c>
      <c r="K45" s="79">
        <v>4</v>
      </c>
      <c r="L45" s="60">
        <v>1</v>
      </c>
      <c r="M45" s="60">
        <v>1</v>
      </c>
      <c r="N45" s="60"/>
      <c r="O45" s="16"/>
      <c r="P45" s="17">
        <f t="shared" si="1"/>
        <v>6</v>
      </c>
      <c r="Q45" s="18">
        <f t="shared" si="0"/>
        <v>49</v>
      </c>
    </row>
    <row r="46" spans="1:17">
      <c r="A46" s="43">
        <v>41</v>
      </c>
      <c r="B46" s="44" t="s">
        <v>40</v>
      </c>
      <c r="C46" s="11" t="s">
        <v>89</v>
      </c>
      <c r="D46" s="51"/>
      <c r="E46" s="45">
        <v>0</v>
      </c>
      <c r="F46" s="46">
        <v>0</v>
      </c>
      <c r="G46" s="46">
        <v>0</v>
      </c>
      <c r="H46" s="46">
        <v>0</v>
      </c>
      <c r="I46" s="46">
        <v>0</v>
      </c>
      <c r="J46" s="66">
        <v>0</v>
      </c>
      <c r="K46" s="47">
        <v>6</v>
      </c>
      <c r="L46" s="48">
        <v>0</v>
      </c>
      <c r="M46" s="48">
        <v>0</v>
      </c>
      <c r="N46" s="48">
        <v>0</v>
      </c>
      <c r="O46" s="24">
        <v>0</v>
      </c>
      <c r="P46" s="25">
        <f t="shared" si="1"/>
        <v>6</v>
      </c>
      <c r="Q46" s="26">
        <f t="shared" si="0"/>
        <v>6</v>
      </c>
    </row>
    <row r="47" spans="1:17">
      <c r="A47" s="43">
        <v>43</v>
      </c>
      <c r="B47" s="44" t="s">
        <v>42</v>
      </c>
      <c r="C47" s="15" t="s">
        <v>90</v>
      </c>
      <c r="D47" s="52"/>
      <c r="E47" s="64">
        <v>0</v>
      </c>
      <c r="F47" s="65">
        <v>0</v>
      </c>
      <c r="G47" s="65">
        <v>0</v>
      </c>
      <c r="H47" s="65">
        <v>0</v>
      </c>
      <c r="I47" s="65">
        <v>1</v>
      </c>
      <c r="J47" s="66">
        <v>1</v>
      </c>
      <c r="K47" s="67">
        <v>0</v>
      </c>
      <c r="L47" s="68">
        <v>0</v>
      </c>
      <c r="M47" s="68">
        <v>0</v>
      </c>
      <c r="N47" s="68">
        <v>0</v>
      </c>
      <c r="O47" s="27">
        <v>1</v>
      </c>
      <c r="P47" s="28">
        <f t="shared" si="1"/>
        <v>0</v>
      </c>
      <c r="Q47" s="29">
        <f t="shared" si="0"/>
        <v>1</v>
      </c>
    </row>
    <row r="48" spans="1:17">
      <c r="B48" s="44"/>
      <c r="C48" s="15" t="s">
        <v>91</v>
      </c>
      <c r="D48" s="52">
        <v>1</v>
      </c>
      <c r="E48" s="64">
        <v>0</v>
      </c>
      <c r="F48" s="65">
        <v>26</v>
      </c>
      <c r="G48" s="65">
        <v>24</v>
      </c>
      <c r="H48" s="65">
        <v>19</v>
      </c>
      <c r="I48" s="69">
        <v>11</v>
      </c>
      <c r="J48" s="69">
        <v>80</v>
      </c>
      <c r="K48" s="67">
        <v>1</v>
      </c>
      <c r="L48" s="68">
        <v>0</v>
      </c>
      <c r="M48" s="68">
        <v>1</v>
      </c>
      <c r="N48" s="68">
        <v>0</v>
      </c>
      <c r="O48" s="27">
        <v>4</v>
      </c>
      <c r="P48" s="28">
        <f t="shared" si="1"/>
        <v>2</v>
      </c>
      <c r="Q48" s="29">
        <f t="shared" si="0"/>
        <v>82</v>
      </c>
    </row>
    <row r="49" spans="1:17" ht="13.5" thickBot="1">
      <c r="A49" s="49"/>
      <c r="C49" s="30" t="s">
        <v>92</v>
      </c>
      <c r="D49" s="53"/>
      <c r="E49" s="70">
        <f t="shared" ref="E49:J49" si="2">SUM(E5:E45)</f>
        <v>3</v>
      </c>
      <c r="F49" s="71">
        <f t="shared" si="2"/>
        <v>530</v>
      </c>
      <c r="G49" s="71">
        <f t="shared" si="2"/>
        <v>146</v>
      </c>
      <c r="H49" s="71">
        <f t="shared" si="2"/>
        <v>116</v>
      </c>
      <c r="I49" s="71">
        <f t="shared" si="2"/>
        <v>13</v>
      </c>
      <c r="J49" s="72">
        <f t="shared" si="2"/>
        <v>808</v>
      </c>
      <c r="K49" s="33">
        <f t="shared" ref="K49:Q49" si="3">SUM(K5:K45)</f>
        <v>81</v>
      </c>
      <c r="L49" s="34">
        <f t="shared" si="3"/>
        <v>71</v>
      </c>
      <c r="M49" s="34">
        <f t="shared" si="3"/>
        <v>43</v>
      </c>
      <c r="N49" s="34">
        <f t="shared" si="3"/>
        <v>2</v>
      </c>
      <c r="O49" s="34">
        <f t="shared" si="3"/>
        <v>10</v>
      </c>
      <c r="P49" s="35">
        <f t="shared" si="1"/>
        <v>197</v>
      </c>
      <c r="Q49" s="36">
        <f t="shared" si="3"/>
        <v>1005</v>
      </c>
    </row>
    <row r="50" spans="1:17" ht="13.5" thickBot="1">
      <c r="A50" s="49"/>
      <c r="C50" s="30" t="s">
        <v>99</v>
      </c>
      <c r="D50" s="53"/>
      <c r="E50" s="31">
        <f>SUM(E46:E49)</f>
        <v>3</v>
      </c>
      <c r="F50" s="32">
        <f t="shared" ref="F50:Q50" si="4">SUM(F46:F49)</f>
        <v>556</v>
      </c>
      <c r="G50" s="32">
        <f t="shared" si="4"/>
        <v>170</v>
      </c>
      <c r="H50" s="32">
        <f t="shared" si="4"/>
        <v>135</v>
      </c>
      <c r="I50" s="32">
        <f t="shared" si="4"/>
        <v>25</v>
      </c>
      <c r="J50" s="37">
        <f t="shared" si="4"/>
        <v>889</v>
      </c>
      <c r="K50" s="38">
        <f t="shared" si="4"/>
        <v>88</v>
      </c>
      <c r="L50" s="39">
        <f t="shared" si="4"/>
        <v>71</v>
      </c>
      <c r="M50" s="39">
        <f t="shared" si="4"/>
        <v>44</v>
      </c>
      <c r="N50" s="39">
        <f t="shared" si="4"/>
        <v>2</v>
      </c>
      <c r="O50" s="39">
        <f t="shared" si="4"/>
        <v>15</v>
      </c>
      <c r="P50" s="40">
        <f t="shared" si="1"/>
        <v>205</v>
      </c>
      <c r="Q50" s="19">
        <f t="shared" si="4"/>
        <v>1094</v>
      </c>
    </row>
    <row r="51" spans="1:17" ht="15.95" customHeight="1">
      <c r="A51" s="49"/>
      <c r="C51" s="41" t="s">
        <v>105</v>
      </c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</row>
    <row r="52" spans="1:17" ht="15.95" customHeight="1">
      <c r="A52" s="49"/>
      <c r="C52" s="41" t="s">
        <v>109</v>
      </c>
    </row>
    <row r="53" spans="1:17" ht="15.95" customHeight="1">
      <c r="A53" s="49"/>
    </row>
    <row r="54" spans="1:17" ht="15.95" customHeight="1">
      <c r="A54" s="49"/>
    </row>
    <row r="55" spans="1:17" ht="15.95" customHeight="1">
      <c r="A55" s="49"/>
    </row>
    <row r="56" spans="1:17" ht="15.95" customHeight="1">
      <c r="A56" s="49"/>
    </row>
    <row r="57" spans="1:17" ht="15.95" customHeight="1">
      <c r="A57" s="49"/>
    </row>
    <row r="58" spans="1:17" ht="15.95" customHeight="1">
      <c r="A58" s="49"/>
    </row>
    <row r="59" spans="1:17" ht="15.95" customHeight="1">
      <c r="A59" s="49"/>
    </row>
    <row r="60" spans="1:17" ht="15.95" customHeight="1">
      <c r="A60" s="49"/>
    </row>
    <row r="61" spans="1:17" ht="15.95" customHeight="1">
      <c r="A61" s="49"/>
    </row>
    <row r="62" spans="1:17" ht="15.95" customHeight="1">
      <c r="A62" s="49"/>
    </row>
    <row r="63" spans="1:17" ht="15.95" customHeight="1">
      <c r="A63" s="49"/>
    </row>
    <row r="64" spans="1:17" ht="15.95" customHeight="1">
      <c r="A64" s="49"/>
      <c r="C64" s="49"/>
      <c r="D64" s="49"/>
    </row>
    <row r="65" spans="1:4" ht="15.95" customHeight="1">
      <c r="A65" s="49"/>
      <c r="C65" s="49"/>
      <c r="D65" s="49"/>
    </row>
    <row r="66" spans="1:4" ht="15.95" customHeight="1">
      <c r="A66" s="49"/>
      <c r="C66" s="49"/>
      <c r="D66" s="49"/>
    </row>
    <row r="67" spans="1:4" ht="15.95" customHeight="1">
      <c r="A67" s="49"/>
      <c r="C67" s="49"/>
      <c r="D67" s="49"/>
    </row>
    <row r="68" spans="1:4" ht="15.95" customHeight="1">
      <c r="A68" s="49"/>
      <c r="C68" s="49"/>
      <c r="D68" s="49"/>
    </row>
    <row r="69" spans="1:4" ht="15.95" customHeight="1">
      <c r="A69" s="49"/>
      <c r="C69" s="49"/>
      <c r="D69" s="49"/>
    </row>
    <row r="70" spans="1:4" ht="15.95" customHeight="1">
      <c r="A70" s="49"/>
      <c r="C70" s="49"/>
      <c r="D70" s="49"/>
    </row>
    <row r="71" spans="1:4" ht="15.95" customHeight="1">
      <c r="A71" s="49"/>
      <c r="C71" s="49"/>
      <c r="D71" s="49"/>
    </row>
    <row r="72" spans="1:4" ht="15.95" customHeight="1">
      <c r="A72" s="49"/>
      <c r="C72" s="49"/>
      <c r="D72" s="49"/>
    </row>
    <row r="73" spans="1:4" ht="15.95" customHeight="1">
      <c r="A73" s="49"/>
      <c r="C73" s="49"/>
      <c r="D73" s="49"/>
    </row>
    <row r="74" spans="1:4" ht="15.95" customHeight="1">
      <c r="A74" s="49"/>
      <c r="C74" s="49"/>
      <c r="D74" s="49"/>
    </row>
    <row r="75" spans="1:4" ht="15.95" customHeight="1">
      <c r="A75" s="49"/>
      <c r="C75" s="49"/>
      <c r="D75" s="49"/>
    </row>
    <row r="76" spans="1:4" ht="15.95" customHeight="1">
      <c r="A76" s="49"/>
      <c r="C76" s="49"/>
      <c r="D76" s="49"/>
    </row>
    <row r="77" spans="1:4" ht="15.95" customHeight="1">
      <c r="A77" s="49"/>
      <c r="C77" s="49"/>
      <c r="D77" s="49"/>
    </row>
    <row r="78" spans="1:4" ht="15.95" customHeight="1">
      <c r="A78" s="49"/>
      <c r="C78" s="49"/>
      <c r="D78" s="49"/>
    </row>
    <row r="79" spans="1:4" ht="15.95" customHeight="1">
      <c r="A79" s="49"/>
      <c r="C79" s="49"/>
      <c r="D79" s="49"/>
    </row>
    <row r="80" spans="1:4" ht="15.95" customHeight="1">
      <c r="A80" s="49"/>
      <c r="C80" s="49"/>
      <c r="D80" s="49"/>
    </row>
    <row r="81" spans="1:4" ht="15.95" customHeight="1">
      <c r="A81" s="49"/>
      <c r="C81" s="49"/>
      <c r="D81" s="49"/>
    </row>
    <row r="82" spans="1:4" ht="15.95" customHeight="1">
      <c r="A82" s="49"/>
      <c r="C82" s="49"/>
      <c r="D82" s="49"/>
    </row>
    <row r="83" spans="1:4" ht="15.95" customHeight="1">
      <c r="A83" s="49"/>
      <c r="C83" s="49"/>
      <c r="D83" s="49"/>
    </row>
    <row r="84" spans="1:4" ht="15.95" customHeight="1">
      <c r="A84" s="49"/>
      <c r="C84" s="49"/>
      <c r="D84" s="49"/>
    </row>
    <row r="85" spans="1:4" ht="15.95" customHeight="1">
      <c r="A85" s="49"/>
      <c r="C85" s="49"/>
      <c r="D85" s="49"/>
    </row>
    <row r="86" spans="1:4" ht="15.95" customHeight="1">
      <c r="A86" s="49"/>
      <c r="C86" s="49"/>
      <c r="D86" s="49"/>
    </row>
    <row r="87" spans="1:4" ht="15.95" customHeight="1">
      <c r="A87" s="49"/>
      <c r="C87" s="49"/>
      <c r="D87" s="49"/>
    </row>
    <row r="88" spans="1:4" ht="15.95" customHeight="1">
      <c r="A88" s="49"/>
      <c r="C88" s="49"/>
      <c r="D88" s="49"/>
    </row>
    <row r="89" spans="1:4" ht="15.95" customHeight="1">
      <c r="A89" s="49"/>
      <c r="C89" s="49"/>
      <c r="D89" s="49"/>
    </row>
    <row r="90" spans="1:4" ht="15.95" customHeight="1">
      <c r="A90" s="49"/>
      <c r="C90" s="49"/>
      <c r="D90" s="49"/>
    </row>
    <row r="91" spans="1:4" ht="15.95" customHeight="1">
      <c r="A91" s="49"/>
      <c r="C91" s="49"/>
      <c r="D91" s="49"/>
    </row>
    <row r="92" spans="1:4" ht="15.95" customHeight="1">
      <c r="A92" s="49"/>
      <c r="C92" s="49"/>
      <c r="D92" s="49"/>
    </row>
    <row r="93" spans="1:4" ht="15.95" customHeight="1">
      <c r="A93" s="49"/>
      <c r="C93" s="49"/>
      <c r="D93" s="49"/>
    </row>
    <row r="94" spans="1:4" ht="15.95" customHeight="1">
      <c r="A94" s="49"/>
      <c r="C94" s="49"/>
      <c r="D94" s="49"/>
    </row>
    <row r="95" spans="1:4" ht="15.95" customHeight="1">
      <c r="A95" s="49"/>
      <c r="C95" s="49"/>
      <c r="D95" s="49"/>
    </row>
    <row r="96" spans="1:4" ht="15.95" customHeight="1">
      <c r="A96" s="49"/>
      <c r="C96" s="49"/>
      <c r="D96" s="49"/>
    </row>
    <row r="97" spans="1:4" ht="15.95" customHeight="1">
      <c r="A97" s="49"/>
      <c r="C97" s="49"/>
      <c r="D97" s="49"/>
    </row>
    <row r="98" spans="1:4" ht="15.95" customHeight="1">
      <c r="A98" s="49"/>
      <c r="C98" s="49"/>
      <c r="D98" s="49"/>
    </row>
    <row r="99" spans="1:4" ht="15.95" customHeight="1">
      <c r="A99" s="49"/>
      <c r="C99" s="49"/>
      <c r="D99" s="49"/>
    </row>
    <row r="100" spans="1:4" ht="15.95" customHeight="1">
      <c r="A100" s="49"/>
      <c r="C100" s="49"/>
      <c r="D100" s="49"/>
    </row>
    <row r="101" spans="1:4" ht="15.95" customHeight="1">
      <c r="A101" s="49"/>
      <c r="C101" s="49"/>
      <c r="D101" s="49"/>
    </row>
    <row r="102" spans="1:4" ht="15.95" customHeight="1">
      <c r="A102" s="49"/>
      <c r="C102" s="49"/>
      <c r="D102" s="49"/>
    </row>
    <row r="103" spans="1:4" ht="15.95" customHeight="1">
      <c r="A103" s="49"/>
      <c r="C103" s="49"/>
      <c r="D103" s="49"/>
    </row>
    <row r="104" spans="1:4" ht="15.95" customHeight="1">
      <c r="A104" s="49"/>
      <c r="C104" s="49"/>
      <c r="D104" s="49"/>
    </row>
    <row r="105" spans="1:4" ht="15.95" customHeight="1">
      <c r="A105" s="49"/>
      <c r="C105" s="49"/>
      <c r="D105" s="49"/>
    </row>
    <row r="106" spans="1:4" ht="15.95" customHeight="1">
      <c r="A106" s="49"/>
      <c r="C106" s="49"/>
      <c r="D106" s="49"/>
    </row>
    <row r="107" spans="1:4" ht="15.95" customHeight="1">
      <c r="A107" s="49"/>
      <c r="C107" s="49"/>
      <c r="D107" s="49"/>
    </row>
    <row r="108" spans="1:4" ht="15.95" customHeight="1">
      <c r="A108" s="49"/>
      <c r="C108" s="49"/>
      <c r="D108" s="49"/>
    </row>
    <row r="109" spans="1:4" ht="15.95" customHeight="1">
      <c r="A109" s="49"/>
      <c r="C109" s="49"/>
      <c r="D109" s="49"/>
    </row>
    <row r="110" spans="1:4" ht="15.95" customHeight="1">
      <c r="A110" s="49"/>
      <c r="C110" s="49"/>
      <c r="D110" s="49"/>
    </row>
    <row r="111" spans="1:4" ht="15.95" customHeight="1">
      <c r="A111" s="49"/>
      <c r="C111" s="49"/>
      <c r="D111" s="49"/>
    </row>
    <row r="112" spans="1:4" ht="15.95" customHeight="1">
      <c r="A112" s="49"/>
      <c r="C112" s="49"/>
      <c r="D112" s="49"/>
    </row>
    <row r="113" spans="1:4" ht="15.95" customHeight="1">
      <c r="A113" s="49"/>
      <c r="C113" s="49"/>
      <c r="D113" s="49"/>
    </row>
    <row r="114" spans="1:4" ht="15.95" customHeight="1">
      <c r="A114" s="49"/>
      <c r="C114" s="49"/>
      <c r="D114" s="49"/>
    </row>
    <row r="115" spans="1:4" ht="15.95" customHeight="1">
      <c r="A115" s="49"/>
      <c r="C115" s="49"/>
      <c r="D115" s="49"/>
    </row>
    <row r="116" spans="1:4" ht="15.95" customHeight="1">
      <c r="A116" s="49"/>
      <c r="C116" s="49"/>
      <c r="D116" s="49"/>
    </row>
    <row r="117" spans="1:4" ht="15.95" customHeight="1">
      <c r="A117" s="49"/>
      <c r="C117" s="49"/>
      <c r="D117" s="49"/>
    </row>
    <row r="118" spans="1:4" ht="15.95" customHeight="1">
      <c r="A118" s="49"/>
      <c r="C118" s="49"/>
      <c r="D118" s="49"/>
    </row>
    <row r="119" spans="1:4" ht="15.95" customHeight="1">
      <c r="A119" s="49"/>
      <c r="C119" s="49"/>
      <c r="D119" s="49"/>
    </row>
    <row r="120" spans="1:4" ht="15.95" customHeight="1">
      <c r="A120" s="49"/>
      <c r="C120" s="49"/>
      <c r="D120" s="49"/>
    </row>
    <row r="121" spans="1:4" ht="15.95" customHeight="1">
      <c r="A121" s="49"/>
      <c r="C121" s="49"/>
      <c r="D121" s="49"/>
    </row>
    <row r="122" spans="1:4" ht="15.95" customHeight="1">
      <c r="A122" s="49"/>
      <c r="C122" s="49"/>
      <c r="D122" s="49"/>
    </row>
    <row r="123" spans="1:4" ht="15.95" customHeight="1">
      <c r="A123" s="49"/>
      <c r="C123" s="49"/>
      <c r="D123" s="49"/>
    </row>
    <row r="124" spans="1:4" ht="15.95" customHeight="1">
      <c r="A124" s="49"/>
      <c r="C124" s="49"/>
      <c r="D124" s="49"/>
    </row>
  </sheetData>
  <mergeCells count="6">
    <mergeCell ref="Q3:Q4"/>
    <mergeCell ref="C1:Q1"/>
    <mergeCell ref="C3:C4"/>
    <mergeCell ref="J2:N2"/>
    <mergeCell ref="E3:J3"/>
    <mergeCell ref="K3:P3"/>
  </mergeCells>
  <pageMargins left="1.17" right="0.25" top="0.75" bottom="0.75" header="0.3" footer="0.3"/>
  <pageSetup scale="70" orientation="landscape" horizontalDpi="300" verticalDpi="300" r:id="rId1"/>
  <headerFooter alignWithMargins="0">
    <oddFooter>&amp;CSource: CACTUS school and institution tables
Compiler: Data and Statistics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Tew, Emily</dc:creator>
  <cp:lastModifiedBy>Windows User</cp:lastModifiedBy>
  <cp:lastPrinted>2011-12-13T19:38:24Z</cp:lastPrinted>
  <dcterms:created xsi:type="dcterms:W3CDTF">2010-11-17T21:01:38Z</dcterms:created>
  <dcterms:modified xsi:type="dcterms:W3CDTF">2011-12-15T18:47:49Z</dcterms:modified>
</cp:coreProperties>
</file>