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1105"/>
  <workbookPr showInkAnnotation="0" autoCompressPictures="0"/>
  <bookViews>
    <workbookView xWindow="0" yWindow="0" windowWidth="24280" windowHeight="19540"/>
  </bookViews>
  <sheets>
    <sheet name="Summary" sheetId="26" r:id="rId1"/>
    <sheet name="ABC-CLIO" sheetId="1" r:id="rId2"/>
    <sheet name="CIAO" sheetId="8" r:id="rId3"/>
    <sheet name="Cochrane" sheetId="27" r:id="rId4"/>
    <sheet name="CollegeSource" sheetId="4" r:id="rId5"/>
    <sheet name="Compendex(EI)" sheetId="6" r:id="rId6"/>
    <sheet name="CSA" sheetId="16" r:id="rId7"/>
    <sheet name="EBSCOhost" sheetId="15" r:id="rId8"/>
    <sheet name="FirstSearch" sheetId="14" r:id="rId9"/>
    <sheet name="GroveMusic" sheetId="3" r:id="rId10"/>
    <sheet name="InfoTrac" sheetId="18" r:id="rId11"/>
    <sheet name="LexisNexis" sheetId="13" r:id="rId12"/>
    <sheet name="MathSciNet" sheetId="2" r:id="rId13"/>
    <sheet name="Mergent" sheetId="19" r:id="rId14"/>
    <sheet name="MINABS" sheetId="24" r:id="rId15"/>
    <sheet name="MusicIndex" sheetId="7" r:id="rId16"/>
    <sheet name="netLibrary" sheetId="20" r:id="rId17"/>
    <sheet name="OVID" sheetId="21" r:id="rId18"/>
    <sheet name="ProQuest" sheetId="17" r:id="rId19"/>
    <sheet name="ReferenceUSA" sheetId="9" r:id="rId20"/>
    <sheet name="RefWorks" sheetId="25" r:id="rId21"/>
    <sheet name="SciFinderScholar" sheetId="12" r:id="rId22"/>
    <sheet name="WebofScience" sheetId="11" r:id="rId23"/>
    <sheet name="WebSpirs" sheetId="10" r:id="rId24"/>
    <sheet name="WilsonWeb" sheetId="5" r:id="rId25"/>
  </sheets>
  <definedNames>
    <definedName name="_xlnm.Print_Area" localSheetId="1">'ABC-CLIO'!$A$1:$P$16</definedName>
    <definedName name="_xlnm.Print_Area" localSheetId="2">CIAO!$A$1:$Q$9</definedName>
    <definedName name="_xlnm.Print_Area" localSheetId="3">Cochrane!$A$1:$P$13</definedName>
    <definedName name="_xlnm.Print_Area" localSheetId="4">CollegeSource!$A$1:$P$9</definedName>
    <definedName name="_xlnm.Print_Area" localSheetId="5">'Compendex(EI)'!$A$1:$P$8</definedName>
    <definedName name="_xlnm.Print_Area" localSheetId="6">CSA!$A$1:$P$81</definedName>
    <definedName name="_xlnm.Print_Area" localSheetId="7">EBSCOhost!$A$1:$P$86</definedName>
    <definedName name="_xlnm.Print_Area" localSheetId="8">FirstSearch!$A$1:$P$134</definedName>
    <definedName name="_xlnm.Print_Area" localSheetId="9">GroveMusic!$A$1:$Q$9</definedName>
    <definedName name="_xlnm.Print_Area" localSheetId="10">InfoTrac!$A$1:$P$10</definedName>
    <definedName name="_xlnm.Print_Area" localSheetId="11">LexisNexis!$A$1:$P$13</definedName>
    <definedName name="_xlnm.Print_Area" localSheetId="12">MathSciNet!$A$1:$P$8</definedName>
    <definedName name="_xlnm.Print_Area" localSheetId="13">Mergent!$A$1:$P$9</definedName>
    <definedName name="_xlnm.Print_Area" localSheetId="14">MINABS!$A$1:$P$7</definedName>
    <definedName name="_xlnm.Print_Area" localSheetId="15">MusicIndex!$A$1:$P$8</definedName>
    <definedName name="_xlnm.Print_Area" localSheetId="16">netLibrary!$A$1:$P$11</definedName>
    <definedName name="_xlnm.Print_Area" localSheetId="17">OVID!$A$1:$N$45</definedName>
    <definedName name="_xlnm.Print_Area" localSheetId="18">ProQuest!$A$1:$P$49</definedName>
    <definedName name="_xlnm.Print_Area" localSheetId="19">ReferenceUSA!$A$1:$P$10</definedName>
    <definedName name="_xlnm.Print_Area" localSheetId="20">RefWorks!$A$1:$Q$68</definedName>
    <definedName name="_xlnm.Print_Area" localSheetId="21">SciFinderScholar!$A$1:$P$10</definedName>
    <definedName name="_xlnm.Print_Area" localSheetId="0">Summary!$A$1:$H$92</definedName>
    <definedName name="_xlnm.Print_Area" localSheetId="22">WebofScience!$A$1:$P$10</definedName>
    <definedName name="_xlnm.Print_Area" localSheetId="23">WebSpirs!$A$1:$P$9</definedName>
    <definedName name="_xlnm.Print_Area" localSheetId="24">WilsonWeb!$A$1:$P$24</definedName>
  </definedNames>
  <calcPr calcId="140001" concurrentCalc="0"/>
  <extLst>
    <ext xmlns:mx="http://schemas.microsoft.com/office/mac/excel/2008/main" uri="{7523E5D3-25F3-A5E0-1632-64F254C22452}">
      <mx:ArchID Flags="2"/>
    </ext>
  </extLst>
</workbook>
</file>

<file path=xl/calcChain.xml><?xml version="1.0" encoding="utf-8"?>
<calcChain xmlns="http://schemas.openxmlformats.org/spreadsheetml/2006/main">
  <c r="O86" i="15" l="1"/>
  <c r="N86" i="15"/>
  <c r="P86" i="15"/>
  <c r="N8" i="27"/>
  <c r="P8" i="27"/>
  <c r="H23" i="26"/>
  <c r="N9" i="27"/>
  <c r="F23" i="26"/>
  <c r="D23" i="26"/>
  <c r="N7" i="27"/>
  <c r="C23" i="26"/>
  <c r="P9" i="27"/>
  <c r="N10" i="18"/>
  <c r="P10" i="18"/>
  <c r="N8" i="15"/>
  <c r="P8" i="15"/>
  <c r="H7" i="26"/>
  <c r="G7" i="26"/>
  <c r="N9" i="15"/>
  <c r="F7" i="26"/>
  <c r="D7" i="26"/>
  <c r="N7" i="15"/>
  <c r="C7" i="26"/>
  <c r="N7" i="16"/>
  <c r="P7" i="16"/>
  <c r="H14" i="26"/>
  <c r="G14" i="26"/>
  <c r="D14" i="26"/>
  <c r="N50" i="15"/>
  <c r="P50" i="15"/>
  <c r="H21" i="26"/>
  <c r="G21" i="26"/>
  <c r="D21" i="26"/>
  <c r="N49" i="15"/>
  <c r="C21" i="26"/>
  <c r="N12" i="16"/>
  <c r="P12" i="16"/>
  <c r="H25" i="26"/>
  <c r="G25" i="26"/>
  <c r="D25" i="26"/>
  <c r="N15" i="15"/>
  <c r="D28" i="26"/>
  <c r="N14" i="15"/>
  <c r="C28" i="26"/>
  <c r="O85" i="15"/>
  <c r="N85" i="15"/>
  <c r="P85" i="15"/>
  <c r="H29" i="26"/>
  <c r="G29" i="26"/>
  <c r="F29" i="26"/>
  <c r="D29" i="26"/>
  <c r="N84" i="15"/>
  <c r="C29" i="26"/>
  <c r="N17" i="16"/>
  <c r="P17" i="16"/>
  <c r="H30" i="26"/>
  <c r="G30" i="26"/>
  <c r="D30" i="26"/>
  <c r="N22" i="16"/>
  <c r="D33" i="26"/>
  <c r="N22" i="15"/>
  <c r="D37" i="26"/>
  <c r="N21" i="15"/>
  <c r="C37" i="26"/>
  <c r="N27" i="16"/>
  <c r="P27" i="16"/>
  <c r="H43" i="26"/>
  <c r="G43" i="26"/>
  <c r="D43" i="26"/>
  <c r="N72" i="15"/>
  <c r="F47" i="26"/>
  <c r="N71" i="15"/>
  <c r="D47" i="26"/>
  <c r="N70" i="15"/>
  <c r="C47" i="26"/>
  <c r="N30" i="15"/>
  <c r="F50" i="26"/>
  <c r="N29" i="15"/>
  <c r="D50" i="26"/>
  <c r="N28" i="15"/>
  <c r="C50" i="26"/>
  <c r="N37" i="15"/>
  <c r="F57" i="26"/>
  <c r="N36" i="15"/>
  <c r="D57" i="26"/>
  <c r="N35" i="15"/>
  <c r="C57" i="26"/>
  <c r="N32" i="16"/>
  <c r="P32" i="16"/>
  <c r="H56" i="26"/>
  <c r="G56" i="26"/>
  <c r="D56" i="26"/>
  <c r="N37" i="16"/>
  <c r="D63" i="26"/>
  <c r="N42" i="16"/>
  <c r="P42" i="16"/>
  <c r="H65" i="26"/>
  <c r="G65" i="26"/>
  <c r="D65" i="26"/>
  <c r="N47" i="16"/>
  <c r="P47" i="16"/>
  <c r="H67" i="26"/>
  <c r="G67" i="26"/>
  <c r="D67" i="26"/>
  <c r="N52" i="16"/>
  <c r="P52" i="16"/>
  <c r="H68" i="26"/>
  <c r="G68" i="26"/>
  <c r="D68" i="26"/>
  <c r="N57" i="16"/>
  <c r="P57" i="16"/>
  <c r="H69" i="26"/>
  <c r="G69" i="26"/>
  <c r="D69" i="26"/>
  <c r="N57" i="15"/>
  <c r="D70" i="26"/>
  <c r="N56" i="15"/>
  <c r="C70" i="26"/>
  <c r="N44" i="15"/>
  <c r="F71" i="26"/>
  <c r="N43" i="15"/>
  <c r="D71" i="26"/>
  <c r="N42" i="15"/>
  <c r="C71" i="26"/>
  <c r="N62" i="16"/>
  <c r="P62" i="16"/>
  <c r="H77" i="26"/>
  <c r="G77" i="26"/>
  <c r="D77" i="26"/>
  <c r="N67" i="16"/>
  <c r="D83" i="26"/>
  <c r="N72" i="16"/>
  <c r="P72" i="16"/>
  <c r="H84" i="26"/>
  <c r="G84" i="26"/>
  <c r="D84" i="26"/>
  <c r="N64" i="15"/>
  <c r="P64" i="15"/>
  <c r="H85" i="26"/>
  <c r="G85" i="26"/>
  <c r="D85" i="26"/>
  <c r="N63" i="15"/>
  <c r="C85" i="26"/>
  <c r="O78" i="16"/>
  <c r="N78" i="16"/>
  <c r="P78" i="16"/>
  <c r="H27" i="26"/>
  <c r="G27" i="26"/>
  <c r="D27" i="26"/>
  <c r="N77" i="16"/>
  <c r="C27" i="26"/>
  <c r="N8" i="6"/>
  <c r="P8" i="6"/>
  <c r="H26" i="26"/>
  <c r="G26" i="26"/>
  <c r="D26" i="26"/>
  <c r="N7" i="6"/>
  <c r="C26" i="26"/>
  <c r="N7" i="4"/>
  <c r="P7" i="4"/>
  <c r="H24" i="26"/>
  <c r="G24" i="26"/>
  <c r="D24" i="26"/>
  <c r="N8" i="8"/>
  <c r="P8" i="8"/>
  <c r="H20" i="26"/>
  <c r="G20" i="26"/>
  <c r="D20" i="26"/>
  <c r="N7" i="8"/>
  <c r="C20" i="26"/>
  <c r="N14" i="1"/>
  <c r="D42" i="26"/>
  <c r="N13" i="1"/>
  <c r="C42" i="26"/>
  <c r="G10" i="26"/>
  <c r="G42" i="26"/>
  <c r="N8" i="1"/>
  <c r="D10" i="26"/>
  <c r="N7" i="1"/>
  <c r="C10" i="26"/>
  <c r="N12" i="14"/>
  <c r="D9" i="26"/>
  <c r="N7" i="14"/>
  <c r="D8" i="26"/>
  <c r="N20" i="14"/>
  <c r="E13" i="26"/>
  <c r="N18" i="14"/>
  <c r="D13" i="26"/>
  <c r="N17" i="14"/>
  <c r="C13" i="26"/>
  <c r="N36" i="14"/>
  <c r="E34" i="26"/>
  <c r="N34" i="14"/>
  <c r="D34" i="26"/>
  <c r="N33" i="14"/>
  <c r="C34" i="26"/>
  <c r="N28" i="14"/>
  <c r="E22" i="26"/>
  <c r="N26" i="14"/>
  <c r="D22" i="26"/>
  <c r="N25" i="14"/>
  <c r="C22" i="26"/>
  <c r="N44" i="14"/>
  <c r="E31" i="26"/>
  <c r="N42" i="14"/>
  <c r="D31" i="26"/>
  <c r="N41" i="14"/>
  <c r="C31" i="26"/>
  <c r="N52" i="14"/>
  <c r="E32" i="26"/>
  <c r="N50" i="14"/>
  <c r="D32" i="26"/>
  <c r="N49" i="14"/>
  <c r="C32" i="26"/>
  <c r="N57" i="14"/>
  <c r="D38" i="26"/>
  <c r="N65" i="14"/>
  <c r="E40" i="26"/>
  <c r="N63" i="14"/>
  <c r="D40" i="26"/>
  <c r="N62" i="14"/>
  <c r="C40" i="26"/>
  <c r="N71" i="14"/>
  <c r="P71" i="14"/>
  <c r="H59" i="26"/>
  <c r="G59" i="26"/>
  <c r="N73" i="14"/>
  <c r="E59" i="26"/>
  <c r="D59" i="26"/>
  <c r="N70" i="14"/>
  <c r="C59" i="26"/>
  <c r="N81" i="14"/>
  <c r="E52" i="26"/>
  <c r="N79" i="14"/>
  <c r="D52" i="26"/>
  <c r="N78" i="14"/>
  <c r="C52" i="26"/>
  <c r="N89" i="14"/>
  <c r="E66" i="26"/>
  <c r="N87" i="14"/>
  <c r="D66" i="26"/>
  <c r="N86" i="14"/>
  <c r="C66" i="26"/>
  <c r="N97" i="14"/>
  <c r="E72" i="26"/>
  <c r="N95" i="14"/>
  <c r="D72" i="26"/>
  <c r="N94" i="14"/>
  <c r="C72" i="26"/>
  <c r="N105" i="14"/>
  <c r="E88" i="26"/>
  <c r="N103" i="14"/>
  <c r="D88" i="26"/>
  <c r="N102" i="14"/>
  <c r="C88" i="26"/>
  <c r="N111" i="14"/>
  <c r="P111" i="14"/>
  <c r="H89" i="26"/>
  <c r="G89" i="26"/>
  <c r="N113" i="14"/>
  <c r="E89" i="26"/>
  <c r="D89" i="26"/>
  <c r="N110" i="14"/>
  <c r="C89" i="26"/>
  <c r="N121" i="14"/>
  <c r="E90" i="26"/>
  <c r="N119" i="14"/>
  <c r="D90" i="26"/>
  <c r="N118" i="14"/>
  <c r="C90" i="26"/>
  <c r="N134" i="14"/>
  <c r="D36" i="26"/>
  <c r="O127" i="14"/>
  <c r="N127" i="14"/>
  <c r="P127" i="14"/>
  <c r="H35" i="26"/>
  <c r="G35" i="26"/>
  <c r="N129" i="14"/>
  <c r="E35" i="26"/>
  <c r="D35" i="26"/>
  <c r="N126" i="14"/>
  <c r="C35" i="26"/>
  <c r="N8" i="3"/>
  <c r="P8" i="3"/>
  <c r="H41" i="26"/>
  <c r="G41" i="26"/>
  <c r="D41" i="26"/>
  <c r="N7" i="3"/>
  <c r="C41" i="26"/>
  <c r="N8" i="18"/>
  <c r="P8" i="18"/>
  <c r="H48" i="26"/>
  <c r="G48" i="26"/>
  <c r="F48" i="26"/>
  <c r="N9" i="18"/>
  <c r="E48" i="26"/>
  <c r="D48" i="26"/>
  <c r="N7" i="18"/>
  <c r="C48" i="26"/>
  <c r="O12" i="13"/>
  <c r="N12" i="13"/>
  <c r="P12" i="13"/>
  <c r="H46" i="26"/>
  <c r="G46" i="26"/>
  <c r="N13" i="13"/>
  <c r="F46" i="26"/>
  <c r="D46" i="26"/>
  <c r="N8" i="13"/>
  <c r="P8" i="13"/>
  <c r="H45" i="26"/>
  <c r="G45" i="26"/>
  <c r="N9" i="13"/>
  <c r="F45" i="26"/>
  <c r="D45" i="26"/>
  <c r="N8" i="2"/>
  <c r="P8" i="2"/>
  <c r="H51" i="26"/>
  <c r="G51" i="26"/>
  <c r="D51" i="26"/>
  <c r="N7" i="2"/>
  <c r="C51" i="26"/>
  <c r="N8" i="19"/>
  <c r="P8" i="19"/>
  <c r="H55" i="26"/>
  <c r="G55" i="26"/>
  <c r="N9" i="19"/>
  <c r="F55" i="26"/>
  <c r="D55" i="26"/>
  <c r="N7" i="19"/>
  <c r="C55" i="26"/>
  <c r="N7" i="24"/>
  <c r="P7" i="24"/>
  <c r="H58" i="26"/>
  <c r="G58" i="26"/>
  <c r="N8" i="7"/>
  <c r="P8" i="7"/>
  <c r="H60" i="26"/>
  <c r="G60" i="26"/>
  <c r="D60" i="26"/>
  <c r="N8" i="20"/>
  <c r="E62" i="26"/>
  <c r="N7" i="20"/>
  <c r="C62" i="26"/>
  <c r="N30" i="21"/>
  <c r="E64" i="26"/>
  <c r="N29" i="21"/>
  <c r="D64" i="26"/>
  <c r="N28" i="21"/>
  <c r="C64" i="26"/>
  <c r="N22" i="21"/>
  <c r="D54" i="26"/>
  <c r="N21" i="21"/>
  <c r="C54" i="26"/>
  <c r="N15" i="21"/>
  <c r="D53" i="26"/>
  <c r="N14" i="21"/>
  <c r="C53" i="26"/>
  <c r="N8" i="21"/>
  <c r="D18" i="26"/>
  <c r="N7" i="21"/>
  <c r="C18" i="26"/>
  <c r="N7" i="17"/>
  <c r="P7" i="17"/>
  <c r="H5" i="26"/>
  <c r="G5" i="26"/>
  <c r="D5" i="26"/>
  <c r="N12" i="17"/>
  <c r="D6" i="26"/>
  <c r="N17" i="17"/>
  <c r="P17" i="17"/>
  <c r="H74" i="26"/>
  <c r="G74" i="26"/>
  <c r="D74" i="26"/>
  <c r="N22" i="17"/>
  <c r="P22" i="17"/>
  <c r="H61" i="26"/>
  <c r="G61" i="26"/>
  <c r="D61" i="26"/>
  <c r="N27" i="17"/>
  <c r="D49" i="26"/>
  <c r="N32" i="17"/>
  <c r="P32" i="17"/>
  <c r="H76" i="26"/>
  <c r="G76" i="26"/>
  <c r="D76" i="26"/>
  <c r="N37" i="17"/>
  <c r="D86" i="26"/>
  <c r="G75" i="26"/>
  <c r="N42" i="17"/>
  <c r="D75" i="26"/>
  <c r="O48" i="17"/>
  <c r="N48" i="17"/>
  <c r="P48" i="17"/>
  <c r="H73" i="26"/>
  <c r="G73" i="26"/>
  <c r="N49" i="17"/>
  <c r="F73" i="26"/>
  <c r="D73" i="26"/>
  <c r="N47" i="17"/>
  <c r="C73" i="26"/>
  <c r="N8" i="9"/>
  <c r="P8" i="9"/>
  <c r="H80" i="26"/>
  <c r="G80" i="26"/>
  <c r="D80" i="26"/>
  <c r="N7" i="9"/>
  <c r="C80" i="26"/>
  <c r="G81" i="26"/>
  <c r="N8" i="12"/>
  <c r="P8" i="12"/>
  <c r="H82" i="26"/>
  <c r="G82" i="26"/>
  <c r="N9" i="12"/>
  <c r="E82" i="26"/>
  <c r="D82" i="26"/>
  <c r="N7" i="12"/>
  <c r="C82" i="26"/>
  <c r="N8" i="11"/>
  <c r="P8" i="11"/>
  <c r="H87" i="26"/>
  <c r="G87" i="26"/>
  <c r="N10" i="11"/>
  <c r="E87" i="26"/>
  <c r="D87" i="26"/>
  <c r="N7" i="11"/>
  <c r="C87" i="26"/>
  <c r="N8" i="10"/>
  <c r="P8" i="10"/>
  <c r="H16" i="26"/>
  <c r="G16" i="26"/>
  <c r="N9" i="10"/>
  <c r="E16" i="26"/>
  <c r="D16" i="26"/>
  <c r="N7" i="10"/>
  <c r="C16" i="26"/>
  <c r="N23" i="5"/>
  <c r="P23" i="5"/>
  <c r="H79" i="26"/>
  <c r="G79" i="26"/>
  <c r="N24" i="5"/>
  <c r="E79" i="26"/>
  <c r="D79" i="26"/>
  <c r="N22" i="5"/>
  <c r="C79" i="26"/>
  <c r="N18" i="5"/>
  <c r="P18" i="5"/>
  <c r="H17" i="26"/>
  <c r="G17" i="26"/>
  <c r="N19" i="5"/>
  <c r="E17" i="26"/>
  <c r="D17" i="26"/>
  <c r="N17" i="5"/>
  <c r="C17" i="26"/>
  <c r="G11" i="26"/>
  <c r="N13" i="5"/>
  <c r="P13" i="5"/>
  <c r="H11" i="26"/>
  <c r="N14" i="5"/>
  <c r="E11" i="26"/>
  <c r="D11" i="26"/>
  <c r="N12" i="5"/>
  <c r="C11" i="26"/>
  <c r="N8" i="5"/>
  <c r="P8" i="5"/>
  <c r="H12" i="26"/>
  <c r="G12" i="26"/>
  <c r="N9" i="5"/>
  <c r="E12" i="26"/>
  <c r="D12" i="26"/>
  <c r="N7" i="5"/>
  <c r="C12" i="26"/>
  <c r="H10" i="26"/>
  <c r="H42" i="26"/>
  <c r="O49" i="17"/>
  <c r="P49" i="17"/>
  <c r="P9" i="19"/>
  <c r="O13" i="13"/>
  <c r="P13" i="13"/>
  <c r="P9" i="13"/>
  <c r="N51" i="15"/>
  <c r="P51" i="15"/>
  <c r="P9" i="15"/>
  <c r="N7" i="25"/>
  <c r="P7" i="25"/>
  <c r="N8" i="25"/>
  <c r="P8" i="25"/>
  <c r="N9" i="25"/>
  <c r="P9" i="25"/>
  <c r="N10" i="25"/>
  <c r="P10" i="25"/>
  <c r="N11" i="25"/>
  <c r="P11" i="25"/>
  <c r="N12" i="25"/>
  <c r="P12" i="25"/>
  <c r="N13" i="25"/>
  <c r="P13" i="25"/>
  <c r="N45" i="21"/>
  <c r="N44" i="21"/>
  <c r="N43" i="21"/>
  <c r="N37" i="21"/>
  <c r="N36" i="21"/>
  <c r="N35" i="21"/>
  <c r="N23" i="21"/>
  <c r="N16" i="21"/>
  <c r="N9" i="21"/>
  <c r="H10" i="9"/>
  <c r="E10" i="9"/>
  <c r="D10" i="9"/>
  <c r="C10" i="9"/>
  <c r="H9" i="9"/>
  <c r="C9" i="9"/>
  <c r="N78" i="15"/>
  <c r="N77" i="15"/>
  <c r="P16" i="1"/>
  <c r="P8" i="1"/>
  <c r="N79" i="16"/>
  <c r="N9" i="11"/>
  <c r="N9" i="9"/>
  <c r="N10" i="9"/>
  <c r="N9" i="4"/>
  <c r="N8" i="4"/>
</calcChain>
</file>

<file path=xl/sharedStrings.xml><?xml version="1.0" encoding="utf-8"?>
<sst xmlns="http://schemas.openxmlformats.org/spreadsheetml/2006/main" count="1232" uniqueCount="234">
  <si>
    <t>ABC-CLIO</t>
  </si>
  <si>
    <t>Total</t>
  </si>
  <si>
    <t>Sessions</t>
  </si>
  <si>
    <t>Searches</t>
  </si>
  <si>
    <t>AHL Database</t>
  </si>
  <si>
    <t>HA Database</t>
  </si>
  <si>
    <t>MathSciNet</t>
  </si>
  <si>
    <t>Queries</t>
  </si>
  <si>
    <t>Grove Music</t>
  </si>
  <si>
    <t>CollegeSource</t>
  </si>
  <si>
    <t>Service Errors</t>
  </si>
  <si>
    <t>Turnaways</t>
  </si>
  <si>
    <t>WilsonWeb</t>
  </si>
  <si>
    <t>Art Abstracts</t>
  </si>
  <si>
    <t>Applied Science &amp; Technology Abstracts</t>
  </si>
  <si>
    <t>Biological &amp; Agricultural Index Plus</t>
  </si>
  <si>
    <t>Readers Guide Retrospective</t>
  </si>
  <si>
    <t>Compendex (Engineering Index)</t>
  </si>
  <si>
    <t>Music Index</t>
  </si>
  <si>
    <t>CIAO</t>
  </si>
  <si>
    <t>ReferenceUSA</t>
  </si>
  <si>
    <t>Residential Searches</t>
  </si>
  <si>
    <t>Business Searches</t>
  </si>
  <si>
    <t>Philosopher's Index</t>
  </si>
  <si>
    <t>Web of Science</t>
  </si>
  <si>
    <t>Maximum Contractual Users</t>
  </si>
  <si>
    <t>SciFinder Scholar</t>
  </si>
  <si>
    <t>LexisNexis</t>
  </si>
  <si>
    <t>Documents Retrieved</t>
  </si>
  <si>
    <t>Academic</t>
  </si>
  <si>
    <t>Congressional</t>
  </si>
  <si>
    <t>N/A</t>
  </si>
  <si>
    <t>FirstSearch</t>
  </si>
  <si>
    <t>Alternative Press Index</t>
  </si>
  <si>
    <t>WorldCat</t>
  </si>
  <si>
    <t>WorldAlmanac</t>
  </si>
  <si>
    <t>ProceedingsFirst</t>
  </si>
  <si>
    <t>PapersFirst</t>
  </si>
  <si>
    <t>MEDLINE</t>
  </si>
  <si>
    <t>MLA Bibliography</t>
  </si>
  <si>
    <t>GPO Monthly Catalog</t>
  </si>
  <si>
    <t>GEOBASE</t>
  </si>
  <si>
    <t>ERIC</t>
  </si>
  <si>
    <t>ArticleFirst</t>
  </si>
  <si>
    <t>Alternative Press Index Archive</t>
  </si>
  <si>
    <t>TOTAL FirstSearch</t>
  </si>
  <si>
    <t>2005-2006</t>
  </si>
  <si>
    <t>Biological Abstracts</t>
  </si>
  <si>
    <t>WebSPIRS (OVID)</t>
  </si>
  <si>
    <t>Clase and Periodica</t>
  </si>
  <si>
    <t>Electronic Books</t>
  </si>
  <si>
    <t>TOTAL FirstSearch Block Use</t>
  </si>
  <si>
    <t>Electronic Collections Online</t>
  </si>
  <si>
    <t>User Limit</t>
  </si>
  <si>
    <t>Academic Search Premier</t>
  </si>
  <si>
    <t>EBSCO Animals</t>
  </si>
  <si>
    <t>Funk &amp; Wagnall's New World Encyclopedia</t>
  </si>
  <si>
    <t>MAS Ultra - School Edition</t>
  </si>
  <si>
    <t>Military &amp; Government Collection</t>
  </si>
  <si>
    <t>Primary Search</t>
  </si>
  <si>
    <t>CINAHL</t>
  </si>
  <si>
    <t>Pre-CINAHL</t>
  </si>
  <si>
    <t>Textile Technology Index</t>
  </si>
  <si>
    <t>CSA Databases</t>
  </si>
  <si>
    <t>EBSCOhost Databases</t>
  </si>
  <si>
    <t>ASFA</t>
  </si>
  <si>
    <t>Communication Abstracts</t>
  </si>
  <si>
    <t>International Pharmaceutical Abstracts</t>
  </si>
  <si>
    <t>Oceanic Abstracts</t>
  </si>
  <si>
    <t>PAIS International</t>
  </si>
  <si>
    <t>Physical Education Index</t>
  </si>
  <si>
    <t>Pollution Abstracts</t>
  </si>
  <si>
    <t>PsycINFO</t>
  </si>
  <si>
    <t>Social Services Abstracts</t>
  </si>
  <si>
    <t>Sociological Abstracts</t>
  </si>
  <si>
    <t>CSA Databases total</t>
  </si>
  <si>
    <t>Meteorological &amp; Geoastrophysical Abstracts</t>
  </si>
  <si>
    <t>Session</t>
  </si>
  <si>
    <t>EconLit</t>
  </si>
  <si>
    <t>ProQuest databases</t>
  </si>
  <si>
    <t>ABI/INFORM Global</t>
  </si>
  <si>
    <t>ABI/INFORM Trade &amp; Industry</t>
  </si>
  <si>
    <t>ProQuest (all databases)</t>
  </si>
  <si>
    <t>ProQuest Dissertations &amp; Theses</t>
  </si>
  <si>
    <t>National Newspapers (5)</t>
  </si>
  <si>
    <t>Los Angeles Times</t>
  </si>
  <si>
    <t>Providence Journal-Bulletin</t>
  </si>
  <si>
    <t>Wall Street Journal</t>
  </si>
  <si>
    <t>ProQuest Historical Newspapers The New York Times (1851-2002)</t>
  </si>
  <si>
    <t>EBSCOhost databases (all)</t>
  </si>
  <si>
    <t>2005-2006 Price</t>
  </si>
  <si>
    <t>Price per search</t>
  </si>
  <si>
    <t>For both:</t>
  </si>
  <si>
    <t>2005-2006 price</t>
  </si>
  <si>
    <t>included with ASFA</t>
  </si>
  <si>
    <t>Note: Price is print. Online comes free with print.</t>
  </si>
  <si>
    <t>Max Ports in Use</t>
  </si>
  <si>
    <t>InfoTRAC</t>
  </si>
  <si>
    <t>Successful Full-Text Article Requests</t>
  </si>
  <si>
    <t>Mergent</t>
  </si>
  <si>
    <t>Companies Viewed</t>
  </si>
  <si>
    <t>NetLibrary</t>
  </si>
  <si>
    <t>All OVID Databases</t>
  </si>
  <si>
    <t>Price for 2005-2006</t>
  </si>
  <si>
    <t>Simultaneous users</t>
  </si>
  <si>
    <t>MINABS</t>
  </si>
  <si>
    <t>NOTE: CSA Databases totals do not equal the sum of the totals given for each database above because the CSA databases total includes searches of CSA's "Web Resources" databases and other "extras."</t>
  </si>
  <si>
    <t>Library, Info Sci &amp; Tech Abstracts</t>
  </si>
  <si>
    <r>
      <t xml:space="preserve">Literary Reference Center </t>
    </r>
    <r>
      <rPr>
        <b/>
        <sz val="10"/>
        <color indexed="10"/>
        <rFont val="Arial"/>
        <family val="2"/>
      </rPr>
      <t>(TRIAL)</t>
    </r>
  </si>
  <si>
    <t>WorldCat Dissertations &amp; Theses</t>
  </si>
  <si>
    <t>Note: We have 4,478 shared titles</t>
  </si>
  <si>
    <t>Accesses</t>
  </si>
  <si>
    <t>Ovid</t>
  </si>
  <si>
    <t>BIOSIS Previews</t>
  </si>
  <si>
    <t>Ovid MEDLINE</t>
  </si>
  <si>
    <t>Ovid MEDLINE In-Process</t>
  </si>
  <si>
    <t>Ovid OLDMEDLINE</t>
  </si>
  <si>
    <t>Journals@Ovid Full Text</t>
  </si>
  <si>
    <t>Cost per unit</t>
  </si>
  <si>
    <t>New Users</t>
  </si>
  <si>
    <t>Repeat Users</t>
  </si>
  <si>
    <t>Total Monthly Users</t>
  </si>
  <si>
    <t>per user</t>
  </si>
  <si>
    <t>Total Sessions per month</t>
  </si>
  <si>
    <t>per session</t>
  </si>
  <si>
    <t>Average Sessions Per User</t>
  </si>
  <si>
    <t>Total Subscriber References added</t>
  </si>
  <si>
    <t>per reference added</t>
  </si>
  <si>
    <t>Average References added per user</t>
  </si>
  <si>
    <t>Focus Area</t>
  </si>
  <si>
    <t>RefWorks (CSA)</t>
  </si>
  <si>
    <t> N/A**</t>
  </si>
  <si>
    <t> Etudiant deuxième cycle  </t>
  </si>
  <si>
    <t> College of Business Administration  </t>
  </si>
  <si>
    <t> Faculty Member  </t>
  </si>
  <si>
    <t> Business  </t>
  </si>
  <si>
    <t> College of Arts and Sciences  </t>
  </si>
  <si>
    <t> College of Human Science and Services  </t>
  </si>
  <si>
    <t> College of Nursing  </t>
  </si>
  <si>
    <t> Humanities  </t>
  </si>
  <si>
    <t> Medicine  </t>
  </si>
  <si>
    <t> Nursing  </t>
  </si>
  <si>
    <t> Other  </t>
  </si>
  <si>
    <t> Science &amp; Technology  </t>
  </si>
  <si>
    <t> Social Sciences  </t>
  </si>
  <si>
    <t> Graduate Student  </t>
  </si>
  <si>
    <t> College of Environment and Life Sciences  </t>
  </si>
  <si>
    <t> College of Pharmacy  </t>
  </si>
  <si>
    <t> Researcher  </t>
  </si>
  <si>
    <t> Undergraduate Student  </t>
  </si>
  <si>
    <t> College of Engineering  </t>
  </si>
  <si>
    <t> Select a Focus Area  </t>
  </si>
  <si>
    <t>User Type</t>
  </si>
  <si>
    <t>User Count</t>
  </si>
  <si>
    <t>User Type and Focus Area Summary (as of 9/5/06)</t>
  </si>
  <si>
    <t>Logins</t>
  </si>
  <si>
    <t>Successful full-text downloads</t>
  </si>
  <si>
    <t>not avail</t>
  </si>
  <si>
    <t>Database Statistics Summary</t>
  </si>
  <si>
    <t>Database Name</t>
  </si>
  <si>
    <t>Vendor</t>
  </si>
  <si>
    <t>Successful full-text article requests</t>
  </si>
  <si>
    <t>Price</t>
  </si>
  <si>
    <t>Cost per Search</t>
  </si>
  <si>
    <t>ProQuest</t>
  </si>
  <si>
    <t>EBSCOhost</t>
  </si>
  <si>
    <t>Not available</t>
  </si>
  <si>
    <t>America History &amp; Life</t>
  </si>
  <si>
    <t>ArticleFirst*</t>
  </si>
  <si>
    <t>ASFA: Aquatic Science &amp; Fisheries Abstracts</t>
  </si>
  <si>
    <t>CSA</t>
  </si>
  <si>
    <t>Bibliography &amp; Index of Micropaleontology</t>
  </si>
  <si>
    <t>—</t>
  </si>
  <si>
    <t>Biological Abstracts / BIOSIS</t>
  </si>
  <si>
    <t>Ovid WEBSPIRS</t>
  </si>
  <si>
    <t>Biological &amp; Agricultural Index Plus*</t>
  </si>
  <si>
    <t>ChoiceReviews.online</t>
  </si>
  <si>
    <t>Choice</t>
  </si>
  <si>
    <t>Clase and Periodica*</t>
  </si>
  <si>
    <t>Cochrane Library</t>
  </si>
  <si>
    <t>Wiley InterScience</t>
  </si>
  <si>
    <t>Compendex</t>
  </si>
  <si>
    <t>EI</t>
  </si>
  <si>
    <t>CSA (all databases)</t>
  </si>
  <si>
    <t>EBSCOhost (all databases)</t>
  </si>
  <si>
    <t>Electronic Books*</t>
  </si>
  <si>
    <t>Electronic Collections Online*</t>
  </si>
  <si>
    <t>URI does not subscribe to full text</t>
  </si>
  <si>
    <t>ERIC*</t>
  </si>
  <si>
    <t>FirstSearch (all databases)</t>
  </si>
  <si>
    <t>FirstSearch (“per-search” block searches)</t>
  </si>
  <si>
    <t>GeoRef</t>
  </si>
  <si>
    <t>Community of Science</t>
  </si>
  <si>
    <t>GPO Monthly Catalog*</t>
  </si>
  <si>
    <t>Oxford</t>
  </si>
  <si>
    <t>Historical Abstracts</t>
  </si>
  <si>
    <t>Labor and Employment Law Library</t>
  </si>
  <si>
    <t>BNA</t>
  </si>
  <si>
    <t>LexisNexis Academic</t>
  </si>
  <si>
    <t>LexisNexis Congressional</t>
  </si>
  <si>
    <t>Literature Resource Center</t>
  </si>
  <si>
    <t>InfoTrac</t>
  </si>
  <si>
    <t>MAS Ultra – School edition</t>
  </si>
  <si>
    <t>American Mathematical Society</t>
  </si>
  <si>
    <t>MEDLINE*</t>
  </si>
  <si>
    <t>Mergent Online</t>
  </si>
  <si>
    <t>MINABS Online</t>
  </si>
  <si>
    <t>Harmonie Park Press</t>
  </si>
  <si>
    <t>PapersFirst*</t>
  </si>
  <si>
    <t>ProceedingsFirst*</t>
  </si>
  <si>
    <t>ProQuest Historical Newspapers — The New York Times (1851-2002)</t>
  </si>
  <si>
    <t>PubMed</t>
  </si>
  <si>
    <t>NLM</t>
  </si>
  <si>
    <t>InfoUSA</t>
  </si>
  <si>
    <t>RefWorks</t>
  </si>
  <si>
    <t>SciFinder Scholar*</t>
  </si>
  <si>
    <t>CAS</t>
  </si>
  <si>
    <t>Web of Science*</t>
  </si>
  <si>
    <t>Thomson ISI</t>
  </si>
  <si>
    <t>World Almanac*</t>
  </si>
  <si>
    <t>WorldCat*</t>
  </si>
  <si>
    <t>WorldCat Dissertations &amp; Theses*</t>
  </si>
  <si>
    <t>* usage constrained by limitations on concurrent users</t>
  </si>
  <si>
    <t>OVID</t>
  </si>
  <si>
    <t>OLDMEDLINE</t>
  </si>
  <si>
    <t>MEDLINE In Process</t>
  </si>
  <si>
    <t>netLibrary</t>
  </si>
  <si>
    <t>Not avail.</t>
  </si>
  <si>
    <t>Price per unit</t>
  </si>
  <si>
    <t>Price per session</t>
  </si>
  <si>
    <t>Full-Text Articles Downloaded</t>
  </si>
  <si>
    <t>COUNTER-Compliant?:</t>
  </si>
  <si>
    <t>Yes</t>
  </si>
  <si>
    <t>GroveMusic</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</si>
</sst>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8" formatCode="&quot;$&quot;#,##0.00_);[Red]\(&quot;$&quot;#,##0.00\)"/>
    <numFmt numFmtId="165" formatCode="[$-409]mmm\-yy;@"/>
    <numFmt numFmtId="170" formatCode="&quot;$&quot;#,##0.00"/>
  </numFmts>
  <fonts count="15" x14ac:knownFonts="1">
    <font>
      <sz val="10"/>
      <name val="Arial"/>
    </font>
    <font>
      <sz val="10"/>
      <name val="Arial"/>
    </font>
    <font>
      <sz val="8"/>
      <name val="Arial"/>
    </font>
    <font>
      <b/>
      <sz val="10"/>
      <name val="Arial"/>
      <family val="2"/>
    </font>
    <font>
      <b/>
      <sz val="16"/>
      <name val="Arial"/>
      <family val="2"/>
    </font>
    <font>
      <b/>
      <sz val="14"/>
      <name val="Arial"/>
      <family val="2"/>
    </font>
    <font>
      <b/>
      <sz val="10"/>
      <name val="MS Sans Serif"/>
      <family val="2"/>
    </font>
    <font>
      <sz val="10"/>
      <color indexed="8"/>
      <name val="Arial"/>
      <family val="2"/>
    </font>
    <font>
      <sz val="10"/>
      <name val="Arial"/>
      <family val="2"/>
    </font>
    <font>
      <sz val="10"/>
      <name val="Arial Unicode MS"/>
    </font>
    <font>
      <b/>
      <sz val="10"/>
      <color indexed="10"/>
      <name val="Arial"/>
      <family val="2"/>
    </font>
    <font>
      <sz val="10"/>
      <name val="Courier New"/>
      <family val="3"/>
    </font>
    <font>
      <sz val="8"/>
      <name val="Verdana"/>
      <family val="2"/>
    </font>
    <font>
      <b/>
      <sz val="10"/>
      <name val="Verdana"/>
      <family val="2"/>
    </font>
    <font>
      <b/>
      <sz val="8"/>
      <name val="Verdana"/>
      <family val="2"/>
    </font>
  </fonts>
  <fills count="4">
    <fill>
      <patternFill patternType="none"/>
    </fill>
    <fill>
      <patternFill patternType="gray125"/>
    </fill>
    <fill>
      <patternFill patternType="solid">
        <fgColor indexed="22"/>
        <bgColor indexed="64"/>
      </patternFill>
    </fill>
    <fill>
      <patternFill patternType="solid">
        <fgColor indexed="9"/>
        <bgColor indexed="64"/>
      </patternFill>
    </fill>
  </fills>
  <borders count="31">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diagonal/>
    </border>
    <border>
      <left/>
      <right style="thin">
        <color indexed="8"/>
      </right>
      <top style="thin">
        <color indexed="8"/>
      </top>
      <bottom style="thin">
        <color indexed="8"/>
      </bottom>
      <diagonal/>
    </border>
    <border>
      <left/>
      <right style="thin">
        <color auto="1"/>
      </right>
      <top/>
      <bottom/>
      <diagonal/>
    </border>
    <border>
      <left style="thin">
        <color indexed="8"/>
      </left>
      <right style="thin">
        <color auto="1"/>
      </right>
      <top style="thin">
        <color indexed="8"/>
      </top>
      <bottom style="thin">
        <color indexed="8"/>
      </bottom>
      <diagonal/>
    </border>
    <border>
      <left style="thin">
        <color indexed="8"/>
      </left>
      <right/>
      <top style="thin">
        <color indexed="8"/>
      </top>
      <bottom/>
      <diagonal/>
    </border>
    <border>
      <left style="thin">
        <color auto="1"/>
      </left>
      <right style="thin">
        <color auto="1"/>
      </right>
      <top style="thin">
        <color auto="1"/>
      </top>
      <bottom/>
      <diagonal/>
    </border>
    <border>
      <left style="thin">
        <color indexed="8"/>
      </left>
      <right style="thin">
        <color indexed="8"/>
      </right>
      <top style="thin">
        <color auto="1"/>
      </top>
      <bottom style="thin">
        <color indexed="8"/>
      </bottom>
      <diagonal/>
    </border>
    <border>
      <left style="thin">
        <color auto="1"/>
      </left>
      <right style="thin">
        <color auto="1"/>
      </right>
      <top style="thin">
        <color auto="1"/>
      </top>
      <bottom style="thin">
        <color indexed="8"/>
      </bottom>
      <diagonal/>
    </border>
    <border>
      <left style="thin">
        <color indexed="8"/>
      </left>
      <right style="thin">
        <color indexed="8"/>
      </right>
      <top style="thin">
        <color indexed="8"/>
      </top>
      <bottom style="medium">
        <color indexed="8"/>
      </bottom>
      <diagonal/>
    </border>
    <border>
      <left style="thin">
        <color indexed="8"/>
      </left>
      <right style="thin">
        <color indexed="8"/>
      </right>
      <top style="medium">
        <color indexed="8"/>
      </top>
      <bottom style="thin">
        <color indexed="8"/>
      </bottom>
      <diagonal/>
    </border>
    <border>
      <left/>
      <right style="thin">
        <color indexed="8"/>
      </right>
      <top style="thin">
        <color indexed="8"/>
      </top>
      <bottom/>
      <diagonal/>
    </border>
    <border>
      <left/>
      <right style="thin">
        <color indexed="8"/>
      </right>
      <top style="thin">
        <color auto="1"/>
      </top>
      <bottom style="thin">
        <color indexed="8"/>
      </bottom>
      <diagonal/>
    </border>
    <border>
      <left style="thin">
        <color indexed="8"/>
      </left>
      <right style="thin">
        <color indexed="8"/>
      </right>
      <top/>
      <bottom style="thin">
        <color indexed="8"/>
      </bottom>
      <diagonal/>
    </border>
    <border>
      <left style="thin">
        <color indexed="8"/>
      </left>
      <right/>
      <top/>
      <bottom style="thin">
        <color indexed="8"/>
      </bottom>
      <diagonal/>
    </border>
    <border>
      <left/>
      <right style="thin">
        <color indexed="8"/>
      </right>
      <top/>
      <bottom/>
      <diagonal/>
    </border>
    <border>
      <left style="thin">
        <color indexed="8"/>
      </left>
      <right style="thin">
        <color indexed="8"/>
      </right>
      <top/>
      <bottom/>
      <diagonal/>
    </border>
    <border>
      <left style="thin">
        <color indexed="8"/>
      </left>
      <right/>
      <top/>
      <bottom/>
      <diagonal/>
    </border>
    <border>
      <left style="thin">
        <color indexed="8"/>
      </left>
      <right style="thin">
        <color indexed="8"/>
      </right>
      <top style="thin">
        <color indexed="8"/>
      </top>
      <bottom style="thin">
        <color auto="1"/>
      </bottom>
      <diagonal/>
    </border>
    <border>
      <left style="thin">
        <color indexed="8"/>
      </left>
      <right/>
      <top style="thin">
        <color indexed="8"/>
      </top>
      <bottom style="thin">
        <color auto="1"/>
      </bottom>
      <diagonal/>
    </border>
    <border>
      <left style="thin">
        <color indexed="8"/>
      </left>
      <right style="thin">
        <color auto="1"/>
      </right>
      <top style="thin">
        <color indexed="8"/>
      </top>
      <bottom style="thin">
        <color auto="1"/>
      </bottom>
      <diagonal/>
    </border>
    <border>
      <left/>
      <right style="thin">
        <color auto="1"/>
      </right>
      <top style="thin">
        <color auto="1"/>
      </top>
      <bottom style="thin">
        <color auto="1"/>
      </bottom>
      <diagonal/>
    </border>
    <border>
      <left/>
      <right/>
      <top style="thin">
        <color indexed="8"/>
      </top>
      <bottom style="thin">
        <color indexed="8"/>
      </bottom>
      <diagonal/>
    </border>
    <border>
      <left/>
      <right/>
      <top style="thin">
        <color auto="1"/>
      </top>
      <bottom/>
      <diagonal/>
    </border>
    <border>
      <left style="thin">
        <color indexed="8"/>
      </left>
      <right/>
      <top/>
      <bottom style="thin">
        <color auto="1"/>
      </bottom>
      <diagonal/>
    </border>
    <border>
      <left/>
      <right/>
      <top/>
      <bottom style="thin">
        <color auto="1"/>
      </bottom>
      <diagonal/>
    </border>
    <border>
      <left/>
      <right/>
      <top style="thin">
        <color auto="1"/>
      </top>
      <bottom style="thin">
        <color auto="1"/>
      </bottom>
      <diagonal/>
    </border>
    <border>
      <left/>
      <right/>
      <top style="thin">
        <color indexed="8"/>
      </top>
      <bottom style="thin">
        <color auto="1"/>
      </bottom>
      <diagonal/>
    </border>
  </borders>
  <cellStyleXfs count="1">
    <xf numFmtId="0" fontId="0" fillId="0" borderId="0"/>
  </cellStyleXfs>
  <cellXfs count="149">
    <xf numFmtId="0" fontId="0" fillId="0" borderId="0" xfId="0"/>
    <xf numFmtId="0" fontId="3" fillId="0" borderId="0" xfId="0" applyFont="1"/>
    <xf numFmtId="0" fontId="4" fillId="0" borderId="0" xfId="0" applyFont="1"/>
    <xf numFmtId="0" fontId="5" fillId="0" borderId="0" xfId="0" applyFont="1"/>
    <xf numFmtId="0" fontId="0" fillId="0" borderId="0" xfId="0" applyAlignment="1">
      <alignment vertical="top" wrapText="1"/>
    </xf>
    <xf numFmtId="0" fontId="0" fillId="0" borderId="0" xfId="0" applyAlignment="1">
      <alignment vertical="top"/>
    </xf>
    <xf numFmtId="0" fontId="0" fillId="0" borderId="1" xfId="0" applyBorder="1" applyAlignment="1">
      <alignment horizontal="right" vertical="top" wrapText="1"/>
    </xf>
    <xf numFmtId="0" fontId="0" fillId="0" borderId="2" xfId="0" applyBorder="1" applyAlignment="1">
      <alignment horizontal="right" vertical="top" wrapText="1"/>
    </xf>
    <xf numFmtId="0" fontId="0" fillId="2" borderId="3" xfId="0" applyFill="1" applyBorder="1"/>
    <xf numFmtId="1" fontId="0" fillId="2" borderId="3" xfId="0" applyNumberFormat="1" applyFill="1" applyBorder="1"/>
    <xf numFmtId="0" fontId="0" fillId="0" borderId="4" xfId="0" applyBorder="1" applyAlignment="1">
      <alignment horizontal="right" vertical="top" wrapText="1"/>
    </xf>
    <xf numFmtId="0" fontId="3" fillId="0" borderId="0" xfId="0" applyFont="1" applyFill="1"/>
    <xf numFmtId="1" fontId="0" fillId="0" borderId="0" xfId="0" applyNumberFormat="1" applyFill="1" applyBorder="1"/>
    <xf numFmtId="0" fontId="0" fillId="0" borderId="3" xfId="0" applyBorder="1"/>
    <xf numFmtId="0" fontId="3" fillId="0" borderId="0" xfId="0" applyFont="1" applyAlignment="1">
      <alignment horizontal="right" vertical="top"/>
    </xf>
    <xf numFmtId="0" fontId="0" fillId="0" borderId="0" xfId="0" applyAlignment="1">
      <alignment wrapText="1"/>
    </xf>
    <xf numFmtId="0" fontId="0" fillId="0" borderId="0" xfId="0" applyFill="1"/>
    <xf numFmtId="0" fontId="0" fillId="0" borderId="0" xfId="0" applyFill="1" applyBorder="1"/>
    <xf numFmtId="0" fontId="0" fillId="0" borderId="5" xfId="0" applyBorder="1" applyAlignment="1">
      <alignment horizontal="right" vertical="top" wrapText="1"/>
    </xf>
    <xf numFmtId="0" fontId="0" fillId="0" borderId="0" xfId="0" applyBorder="1" applyAlignment="1">
      <alignment horizontal="right" vertical="top" wrapText="1"/>
    </xf>
    <xf numFmtId="3" fontId="0" fillId="0" borderId="1" xfId="0" applyNumberFormat="1" applyBorder="1"/>
    <xf numFmtId="0" fontId="0" fillId="0" borderId="6" xfId="0" applyFill="1" applyBorder="1"/>
    <xf numFmtId="165" fontId="3" fillId="0" borderId="0" xfId="0" applyNumberFormat="1" applyFont="1" applyAlignment="1">
      <alignment horizontal="center" wrapText="1"/>
    </xf>
    <xf numFmtId="3" fontId="0" fillId="0" borderId="0" xfId="0" applyNumberFormat="1"/>
    <xf numFmtId="17" fontId="3" fillId="0" borderId="0" xfId="0" applyNumberFormat="1" applyFont="1" applyAlignment="1">
      <alignment horizontal="center" wrapText="1"/>
    </xf>
    <xf numFmtId="0" fontId="0" fillId="0" borderId="7" xfId="0" applyBorder="1" applyAlignment="1">
      <alignment horizontal="right" vertical="top" wrapText="1"/>
    </xf>
    <xf numFmtId="0" fontId="3" fillId="0" borderId="0" xfId="0" applyFont="1" applyAlignment="1">
      <alignment wrapText="1" shrinkToFit="1"/>
    </xf>
    <xf numFmtId="170" fontId="0" fillId="0" borderId="0" xfId="0" applyNumberFormat="1"/>
    <xf numFmtId="170" fontId="0" fillId="0" borderId="0" xfId="0" applyNumberFormat="1" applyAlignment="1">
      <alignment horizontal="right"/>
    </xf>
    <xf numFmtId="4" fontId="0" fillId="0" borderId="0" xfId="0" applyNumberFormat="1"/>
    <xf numFmtId="0" fontId="1" fillId="0" borderId="0" xfId="0" applyFont="1" applyAlignment="1">
      <alignment vertical="top"/>
    </xf>
    <xf numFmtId="0" fontId="0" fillId="0" borderId="0" xfId="0" applyAlignment="1">
      <alignment horizontal="left" indent="3"/>
    </xf>
    <xf numFmtId="0" fontId="8" fillId="0" borderId="0" xfId="0" applyFont="1" applyAlignment="1">
      <alignment horizontal="left" indent="3"/>
    </xf>
    <xf numFmtId="0" fontId="0" fillId="0" borderId="3" xfId="0" applyBorder="1" applyAlignment="1">
      <alignment horizontal="right" vertical="top" wrapText="1"/>
    </xf>
    <xf numFmtId="3" fontId="0" fillId="0" borderId="3" xfId="0" applyNumberFormat="1" applyBorder="1" applyAlignment="1">
      <alignment vertical="center"/>
    </xf>
    <xf numFmtId="3" fontId="0" fillId="2" borderId="3" xfId="0" applyNumberFormat="1" applyFill="1" applyBorder="1" applyAlignment="1">
      <alignment vertical="center"/>
    </xf>
    <xf numFmtId="3" fontId="0" fillId="0" borderId="3" xfId="0" applyNumberFormat="1" applyBorder="1"/>
    <xf numFmtId="170" fontId="0" fillId="0" borderId="3" xfId="0" applyNumberFormat="1" applyBorder="1"/>
    <xf numFmtId="0" fontId="9" fillId="0" borderId="0" xfId="0" applyFont="1"/>
    <xf numFmtId="0" fontId="3" fillId="0" borderId="0" xfId="0" applyFont="1" applyFill="1" applyBorder="1"/>
    <xf numFmtId="3" fontId="0" fillId="0" borderId="1" xfId="0" applyNumberFormat="1" applyBorder="1" applyAlignment="1">
      <alignment horizontal="right" vertical="top" wrapText="1"/>
    </xf>
    <xf numFmtId="3" fontId="0" fillId="0" borderId="2" xfId="0" applyNumberFormat="1" applyBorder="1" applyAlignment="1">
      <alignment horizontal="right" vertical="top" wrapText="1"/>
    </xf>
    <xf numFmtId="0" fontId="0" fillId="0" borderId="0" xfId="0" applyBorder="1"/>
    <xf numFmtId="3" fontId="0" fillId="0" borderId="3" xfId="0" applyNumberFormat="1" applyBorder="1" applyAlignment="1">
      <alignment vertical="top"/>
    </xf>
    <xf numFmtId="3" fontId="0" fillId="0" borderId="3" xfId="0" applyNumberFormat="1" applyBorder="1" applyAlignment="1">
      <alignment horizontal="right" vertical="top"/>
    </xf>
    <xf numFmtId="3" fontId="0" fillId="2" borderId="3" xfId="0" applyNumberFormat="1" applyFill="1" applyBorder="1"/>
    <xf numFmtId="8" fontId="0" fillId="0" borderId="3" xfId="0" applyNumberFormat="1" applyBorder="1" applyAlignment="1">
      <alignment horizontal="right"/>
    </xf>
    <xf numFmtId="3" fontId="0" fillId="0" borderId="3" xfId="0" applyNumberFormat="1" applyFill="1" applyBorder="1"/>
    <xf numFmtId="3" fontId="0" fillId="0" borderId="3" xfId="0" applyNumberFormat="1" applyFill="1" applyBorder="1" applyAlignment="1">
      <alignment horizontal="right"/>
    </xf>
    <xf numFmtId="3" fontId="0" fillId="0" borderId="3" xfId="0" applyNumberFormat="1" applyBorder="1" applyAlignment="1">
      <alignment horizontal="right" vertical="top" wrapText="1"/>
    </xf>
    <xf numFmtId="3" fontId="3" fillId="2" borderId="3" xfId="0" applyNumberFormat="1" applyFont="1" applyFill="1" applyBorder="1"/>
    <xf numFmtId="170" fontId="3" fillId="0" borderId="3" xfId="0" applyNumberFormat="1" applyFont="1" applyBorder="1"/>
    <xf numFmtId="4" fontId="0" fillId="0" borderId="3" xfId="0" applyNumberFormat="1" applyBorder="1"/>
    <xf numFmtId="4" fontId="0" fillId="2" borderId="3" xfId="0" applyNumberFormat="1" applyFill="1" applyBorder="1"/>
    <xf numFmtId="0" fontId="11" fillId="0" borderId="0" xfId="0" applyFont="1"/>
    <xf numFmtId="0" fontId="14" fillId="2" borderId="3" xfId="0" applyFont="1" applyFill="1" applyBorder="1" applyAlignment="1">
      <alignment wrapText="1"/>
    </xf>
    <xf numFmtId="0" fontId="14" fillId="2" borderId="3" xfId="0" applyFont="1" applyFill="1" applyBorder="1" applyAlignment="1">
      <alignment horizontal="right" wrapText="1"/>
    </xf>
    <xf numFmtId="0" fontId="12" fillId="0" borderId="3" xfId="0" applyFont="1" applyBorder="1" applyAlignment="1">
      <alignment wrapText="1"/>
    </xf>
    <xf numFmtId="0" fontId="12" fillId="0" borderId="3" xfId="0" applyFont="1" applyBorder="1" applyAlignment="1">
      <alignment horizontal="right" wrapText="1"/>
    </xf>
    <xf numFmtId="3" fontId="0" fillId="0" borderId="4" xfId="0" applyNumberFormat="1" applyBorder="1" applyAlignment="1">
      <alignment horizontal="right" vertical="top" wrapText="1"/>
    </xf>
    <xf numFmtId="3" fontId="0" fillId="0" borderId="8" xfId="0" applyNumberFormat="1" applyBorder="1" applyAlignment="1">
      <alignment horizontal="right" vertical="top" wrapText="1"/>
    </xf>
    <xf numFmtId="3" fontId="0" fillId="2" borderId="9" xfId="0" applyNumberFormat="1" applyFill="1" applyBorder="1"/>
    <xf numFmtId="3" fontId="0" fillId="0" borderId="10" xfId="0" applyNumberFormat="1" applyBorder="1" applyAlignment="1">
      <alignment horizontal="right" vertical="top" wrapText="1"/>
    </xf>
    <xf numFmtId="3" fontId="0" fillId="0" borderId="10" xfId="0" applyNumberFormat="1" applyBorder="1" applyAlignment="1">
      <alignment horizontal="center" vertical="top" wrapText="1"/>
    </xf>
    <xf numFmtId="3" fontId="0" fillId="2" borderId="3" xfId="0" applyNumberFormat="1" applyFill="1" applyBorder="1" applyAlignment="1">
      <alignment horizontal="center"/>
    </xf>
    <xf numFmtId="0" fontId="0" fillId="0" borderId="3" xfId="0" applyBorder="1" applyAlignment="1">
      <alignment horizontal="center" vertical="top" wrapText="1"/>
    </xf>
    <xf numFmtId="3" fontId="0" fillId="2" borderId="11" xfId="0" applyNumberFormat="1" applyFill="1" applyBorder="1"/>
    <xf numFmtId="0" fontId="3" fillId="0" borderId="12" xfId="0" applyFont="1" applyBorder="1" applyAlignment="1">
      <alignment horizontal="center" wrapText="1"/>
    </xf>
    <xf numFmtId="0" fontId="0" fillId="0" borderId="13" xfId="0" applyFill="1" applyBorder="1" applyAlignment="1">
      <alignment vertical="top" wrapText="1"/>
    </xf>
    <xf numFmtId="0" fontId="0" fillId="0" borderId="13" xfId="0" applyFill="1" applyBorder="1" applyAlignment="1">
      <alignment horizontal="center"/>
    </xf>
    <xf numFmtId="0" fontId="0" fillId="0" borderId="1" xfId="0" applyFill="1" applyBorder="1" applyAlignment="1">
      <alignment vertical="top" wrapText="1"/>
    </xf>
    <xf numFmtId="0" fontId="0" fillId="0" borderId="1" xfId="0" applyFill="1" applyBorder="1" applyAlignment="1">
      <alignment horizontal="center" vertical="top" wrapText="1"/>
    </xf>
    <xf numFmtId="3" fontId="0" fillId="0" borderId="1" xfId="0" applyNumberFormat="1" applyFill="1" applyBorder="1" applyAlignment="1">
      <alignment vertical="top" wrapText="1"/>
    </xf>
    <xf numFmtId="170" fontId="0" fillId="0" borderId="1" xfId="0" applyNumberFormat="1" applyFill="1" applyBorder="1" applyAlignment="1">
      <alignment vertical="top" wrapText="1"/>
    </xf>
    <xf numFmtId="1" fontId="0" fillId="0" borderId="1" xfId="0" applyNumberFormat="1" applyFill="1" applyBorder="1" applyAlignment="1">
      <alignment vertical="top" wrapText="1"/>
    </xf>
    <xf numFmtId="170" fontId="0" fillId="0" borderId="1" xfId="0" applyNumberFormat="1" applyFill="1" applyBorder="1" applyAlignment="1">
      <alignment horizontal="center" vertical="top" wrapText="1"/>
    </xf>
    <xf numFmtId="0" fontId="0" fillId="0" borderId="1" xfId="0" applyFill="1" applyBorder="1" applyAlignment="1">
      <alignment horizontal="center"/>
    </xf>
    <xf numFmtId="170" fontId="0" fillId="0" borderId="1" xfId="0" applyNumberFormat="1" applyFill="1" applyBorder="1" applyAlignment="1">
      <alignment horizontal="right" vertical="top" wrapText="1"/>
    </xf>
    <xf numFmtId="3" fontId="0" fillId="0" borderId="1" xfId="0" applyNumberFormat="1" applyFill="1" applyBorder="1" applyAlignment="1">
      <alignment horizontal="center" vertical="top" wrapText="1"/>
    </xf>
    <xf numFmtId="0" fontId="8" fillId="0" borderId="0" xfId="0" applyFont="1"/>
    <xf numFmtId="3" fontId="0" fillId="0" borderId="3" xfId="0" applyNumberFormat="1" applyFill="1" applyBorder="1" applyAlignment="1">
      <alignment vertical="top"/>
    </xf>
    <xf numFmtId="3" fontId="0" fillId="0" borderId="5" xfId="0" applyNumberFormat="1" applyBorder="1" applyAlignment="1">
      <alignment horizontal="right" vertical="top" wrapText="1"/>
    </xf>
    <xf numFmtId="3" fontId="0" fillId="0" borderId="14" xfId="0" applyNumberFormat="1" applyBorder="1" applyAlignment="1">
      <alignment horizontal="right" vertical="top" wrapText="1"/>
    </xf>
    <xf numFmtId="3" fontId="0" fillId="0" borderId="15" xfId="0" applyNumberFormat="1" applyBorder="1" applyAlignment="1">
      <alignment horizontal="right" vertical="top" wrapText="1"/>
    </xf>
    <xf numFmtId="3" fontId="8" fillId="0" borderId="1" xfId="0" applyNumberFormat="1" applyFont="1" applyBorder="1" applyAlignment="1">
      <alignment horizontal="right" wrapText="1"/>
    </xf>
    <xf numFmtId="3" fontId="0" fillId="0" borderId="16" xfId="0" applyNumberFormat="1" applyBorder="1" applyAlignment="1">
      <alignment horizontal="right" vertical="top" wrapText="1"/>
    </xf>
    <xf numFmtId="3" fontId="0" fillId="0" borderId="17" xfId="0" applyNumberFormat="1" applyBorder="1" applyAlignment="1">
      <alignment horizontal="right" vertical="top" wrapText="1"/>
    </xf>
    <xf numFmtId="3" fontId="0" fillId="0" borderId="9" xfId="0" applyNumberFormat="1" applyBorder="1"/>
    <xf numFmtId="3" fontId="0" fillId="0" borderId="18" xfId="0" applyNumberFormat="1" applyBorder="1" applyAlignment="1">
      <alignment horizontal="right" vertical="top" wrapText="1"/>
    </xf>
    <xf numFmtId="3" fontId="0" fillId="0" borderId="19" xfId="0" applyNumberFormat="1" applyBorder="1" applyAlignment="1">
      <alignment horizontal="right" vertical="top" wrapText="1"/>
    </xf>
    <xf numFmtId="3" fontId="0" fillId="0" borderId="20" xfId="0" applyNumberFormat="1" applyBorder="1" applyAlignment="1">
      <alignment horizontal="right" vertical="top" wrapText="1"/>
    </xf>
    <xf numFmtId="3" fontId="0" fillId="0" borderId="21" xfId="0" applyNumberFormat="1" applyBorder="1" applyAlignment="1">
      <alignment horizontal="right" vertical="top" wrapText="1"/>
    </xf>
    <xf numFmtId="3" fontId="0" fillId="0" borderId="22" xfId="0" applyNumberFormat="1" applyBorder="1" applyAlignment="1">
      <alignment horizontal="right" vertical="top" wrapText="1"/>
    </xf>
    <xf numFmtId="3" fontId="0" fillId="0" borderId="23" xfId="0" applyNumberFormat="1" applyBorder="1" applyAlignment="1">
      <alignment horizontal="right" vertical="top" wrapText="1"/>
    </xf>
    <xf numFmtId="3" fontId="0" fillId="2" borderId="24" xfId="0" applyNumberFormat="1" applyFill="1" applyBorder="1"/>
    <xf numFmtId="3" fontId="0" fillId="0" borderId="7" xfId="0" applyNumberFormat="1" applyBorder="1" applyAlignment="1">
      <alignment horizontal="right" vertical="top" wrapText="1"/>
    </xf>
    <xf numFmtId="3" fontId="0" fillId="0" borderId="1" xfId="0" applyNumberFormat="1" applyFill="1" applyBorder="1" applyAlignment="1">
      <alignment horizontal="right" vertical="top" wrapText="1"/>
    </xf>
    <xf numFmtId="3" fontId="0" fillId="0" borderId="2" xfId="0" applyNumberFormat="1" applyFill="1" applyBorder="1" applyAlignment="1">
      <alignment horizontal="right" vertical="top" wrapText="1"/>
    </xf>
    <xf numFmtId="3" fontId="0" fillId="0" borderId="4" xfId="0" applyNumberFormat="1" applyFill="1" applyBorder="1" applyAlignment="1">
      <alignment horizontal="right" vertical="top" wrapText="1"/>
    </xf>
    <xf numFmtId="3" fontId="0" fillId="0" borderId="8" xfId="0" applyNumberFormat="1" applyFill="1" applyBorder="1" applyAlignment="1">
      <alignment horizontal="right" vertical="top" wrapText="1"/>
    </xf>
    <xf numFmtId="3" fontId="0" fillId="0" borderId="7" xfId="0" applyNumberFormat="1" applyFill="1" applyBorder="1" applyAlignment="1">
      <alignment horizontal="right" vertical="top" wrapText="1"/>
    </xf>
    <xf numFmtId="3" fontId="7" fillId="3" borderId="3" xfId="0" applyNumberFormat="1" applyFont="1" applyFill="1" applyBorder="1" applyAlignment="1">
      <alignment horizontal="right" wrapText="1"/>
    </xf>
    <xf numFmtId="3" fontId="0" fillId="0" borderId="4" xfId="0" applyNumberFormat="1" applyBorder="1" applyAlignment="1">
      <alignment wrapText="1"/>
    </xf>
    <xf numFmtId="3" fontId="0" fillId="0" borderId="3" xfId="0" applyNumberFormat="1" applyBorder="1" applyAlignment="1">
      <alignment wrapText="1"/>
    </xf>
    <xf numFmtId="3" fontId="0" fillId="0" borderId="13" xfId="0" applyNumberFormat="1" applyFill="1" applyBorder="1"/>
    <xf numFmtId="0" fontId="0" fillId="0" borderId="13" xfId="0" applyFill="1" applyBorder="1"/>
    <xf numFmtId="170" fontId="0" fillId="0" borderId="13" xfId="0" applyNumberFormat="1" applyFill="1" applyBorder="1"/>
    <xf numFmtId="0" fontId="0" fillId="0" borderId="1" xfId="0" applyFill="1" applyBorder="1" applyAlignment="1">
      <alignment horizontal="right"/>
    </xf>
    <xf numFmtId="1" fontId="0" fillId="0" borderId="1" xfId="0" applyNumberFormat="1" applyFill="1" applyBorder="1" applyAlignment="1">
      <alignment horizontal="center" vertical="top" wrapText="1"/>
    </xf>
    <xf numFmtId="3" fontId="0" fillId="0" borderId="1" xfId="0" applyNumberFormat="1" applyFill="1" applyBorder="1" applyAlignment="1">
      <alignment horizontal="center"/>
    </xf>
    <xf numFmtId="3" fontId="0" fillId="0" borderId="1" xfId="0" applyNumberFormat="1" applyFill="1" applyBorder="1" applyAlignment="1">
      <alignment horizontal="right"/>
    </xf>
    <xf numFmtId="0" fontId="4" fillId="0" borderId="0" xfId="0" applyFont="1" applyFill="1"/>
    <xf numFmtId="0" fontId="6" fillId="0" borderId="25" xfId="0" applyFont="1" applyBorder="1" applyAlignment="1">
      <alignment horizontal="center" vertical="top" wrapText="1"/>
    </xf>
    <xf numFmtId="165" fontId="3" fillId="0" borderId="25" xfId="0" applyNumberFormat="1" applyFont="1" applyBorder="1" applyAlignment="1">
      <alignment horizontal="center" wrapText="1"/>
    </xf>
    <xf numFmtId="0" fontId="3" fillId="0" borderId="25" xfId="0" applyFont="1" applyBorder="1" applyAlignment="1">
      <alignment horizontal="center" wrapText="1"/>
    </xf>
    <xf numFmtId="0" fontId="3" fillId="0" borderId="25" xfId="0" applyFont="1" applyFill="1" applyBorder="1" applyAlignment="1">
      <alignment horizontal="center" wrapText="1"/>
    </xf>
    <xf numFmtId="0" fontId="0" fillId="0" borderId="1" xfId="0" applyFill="1" applyBorder="1" applyAlignment="1">
      <alignment horizontal="right" vertical="top" wrapText="1"/>
    </xf>
    <xf numFmtId="0" fontId="3" fillId="0" borderId="25" xfId="0" applyFont="1" applyBorder="1" applyAlignment="1">
      <alignment wrapText="1"/>
    </xf>
    <xf numFmtId="0" fontId="0" fillId="0" borderId="29" xfId="0" applyBorder="1"/>
    <xf numFmtId="165" fontId="3" fillId="0" borderId="29" xfId="0" applyNumberFormat="1" applyFont="1" applyBorder="1" applyAlignment="1">
      <alignment horizontal="center" wrapText="1"/>
    </xf>
    <xf numFmtId="0" fontId="3" fillId="0" borderId="29" xfId="0" applyFont="1" applyBorder="1" applyAlignment="1">
      <alignment horizontal="center" wrapText="1"/>
    </xf>
    <xf numFmtId="0" fontId="3" fillId="0" borderId="29" xfId="0" applyFont="1" applyBorder="1" applyAlignment="1">
      <alignment wrapText="1"/>
    </xf>
    <xf numFmtId="165" fontId="3" fillId="0" borderId="0" xfId="0" applyNumberFormat="1" applyFont="1" applyBorder="1" applyAlignment="1">
      <alignment horizontal="center" wrapText="1"/>
    </xf>
    <xf numFmtId="0" fontId="3" fillId="0" borderId="0" xfId="0" applyFont="1" applyBorder="1" applyAlignment="1">
      <alignment wrapText="1"/>
    </xf>
    <xf numFmtId="0" fontId="3" fillId="0" borderId="0" xfId="0" applyFont="1" applyBorder="1"/>
    <xf numFmtId="0" fontId="3" fillId="0" borderId="0" xfId="0" applyFont="1" applyBorder="1" applyAlignment="1">
      <alignment horizontal="center" wrapText="1"/>
    </xf>
    <xf numFmtId="3" fontId="8" fillId="0" borderId="3" xfId="0" applyNumberFormat="1" applyFont="1" applyBorder="1" applyAlignment="1">
      <alignment horizontal="right" wrapText="1"/>
    </xf>
    <xf numFmtId="0" fontId="3" fillId="0" borderId="0" xfId="0" applyFont="1" applyBorder="1" applyAlignment="1">
      <alignment horizontal="left" vertical="top" wrapText="1"/>
    </xf>
    <xf numFmtId="165" fontId="3" fillId="0" borderId="30" xfId="0" applyNumberFormat="1" applyFont="1" applyBorder="1" applyAlignment="1">
      <alignment horizontal="center" wrapText="1"/>
    </xf>
    <xf numFmtId="0" fontId="3" fillId="0" borderId="30" xfId="0" applyFont="1" applyBorder="1" applyAlignment="1">
      <alignment horizontal="center" wrapText="1"/>
    </xf>
    <xf numFmtId="0" fontId="3" fillId="0" borderId="30" xfId="0" applyFont="1" applyFill="1" applyBorder="1" applyAlignment="1">
      <alignment horizontal="center" wrapText="1"/>
    </xf>
    <xf numFmtId="0" fontId="0" fillId="0" borderId="29" xfId="0" applyFill="1" applyBorder="1"/>
    <xf numFmtId="17" fontId="3" fillId="0" borderId="29" xfId="0" applyNumberFormat="1" applyFont="1" applyBorder="1" applyAlignment="1">
      <alignment horizontal="center" wrapText="1"/>
    </xf>
    <xf numFmtId="3" fontId="0" fillId="0" borderId="0" xfId="0" applyNumberFormat="1" applyBorder="1" applyAlignment="1">
      <alignment horizontal="right" vertical="top" wrapText="1"/>
    </xf>
    <xf numFmtId="3" fontId="0" fillId="0" borderId="0" xfId="0" applyNumberFormat="1" applyFill="1" applyBorder="1"/>
    <xf numFmtId="0" fontId="6" fillId="0" borderId="29" xfId="0" applyFont="1" applyBorder="1" applyAlignment="1">
      <alignment horizontal="center" vertical="top" wrapText="1"/>
    </xf>
    <xf numFmtId="17" fontId="3" fillId="0" borderId="25" xfId="0" applyNumberFormat="1" applyFont="1" applyBorder="1" applyAlignment="1">
      <alignment horizontal="center" wrapText="1"/>
    </xf>
    <xf numFmtId="3" fontId="0" fillId="0" borderId="0" xfId="0" applyNumberFormat="1" applyFill="1" applyBorder="1" applyAlignment="1">
      <alignment horizontal="right"/>
    </xf>
    <xf numFmtId="0" fontId="3" fillId="0" borderId="29" xfId="0" applyFont="1" applyBorder="1" applyAlignment="1">
      <alignment horizontal="center"/>
    </xf>
    <xf numFmtId="3" fontId="0" fillId="0" borderId="0" xfId="0" applyNumberFormat="1" applyBorder="1" applyAlignment="1">
      <alignment horizontal="center" vertical="top" wrapText="1"/>
    </xf>
    <xf numFmtId="0" fontId="0" fillId="0" borderId="0" xfId="0" applyBorder="1" applyAlignment="1">
      <alignment horizontal="center" vertical="top" wrapText="1"/>
    </xf>
    <xf numFmtId="3" fontId="0" fillId="0" borderId="0" xfId="0" applyNumberFormat="1" applyFill="1" applyBorder="1" applyAlignment="1">
      <alignment horizontal="center"/>
    </xf>
    <xf numFmtId="1" fontId="3" fillId="0" borderId="29" xfId="0" applyNumberFormat="1" applyFont="1" applyFill="1" applyBorder="1" applyAlignment="1">
      <alignment horizontal="center"/>
    </xf>
    <xf numFmtId="0" fontId="0" fillId="0" borderId="26" xfId="0" applyBorder="1" applyAlignment="1">
      <alignment horizontal="left" vertical="top" wrapText="1"/>
    </xf>
    <xf numFmtId="0" fontId="0" fillId="0" borderId="0" xfId="0" applyAlignment="1">
      <alignment horizontal="left" vertical="top" wrapText="1"/>
    </xf>
    <xf numFmtId="0" fontId="12" fillId="0" borderId="3" xfId="0" applyFont="1" applyBorder="1" applyAlignment="1">
      <alignment horizontal="left" wrapText="1"/>
    </xf>
    <xf numFmtId="0" fontId="14" fillId="2" borderId="3" xfId="0" applyFont="1" applyFill="1" applyBorder="1" applyAlignment="1">
      <alignment horizontal="center" wrapText="1"/>
    </xf>
    <xf numFmtId="0" fontId="13" fillId="2" borderId="27" xfId="0" applyFont="1" applyFill="1" applyBorder="1" applyAlignment="1">
      <alignment horizontal="center" wrapText="1"/>
    </xf>
    <xf numFmtId="0" fontId="13" fillId="2" borderId="28" xfId="0" applyFont="1" applyFill="1" applyBorder="1" applyAlignment="1">
      <alignment horizontal="center" wrapText="1"/>
    </xf>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theme" Target="theme/theme1.xml"/><Relationship Id="rId27" Type="http://schemas.openxmlformats.org/officeDocument/2006/relationships/styles" Target="styles.xml"/><Relationship Id="rId28" Type="http://schemas.openxmlformats.org/officeDocument/2006/relationships/sharedStrings" Target="sharedStrings.xml"/><Relationship Id="rId29" Type="http://schemas.openxmlformats.org/officeDocument/2006/relationships/calcChain" Target="calcChain.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dr:oneCellAnchor>
    <xdr:from>
      <xdr:col>2</xdr:col>
      <xdr:colOff>342900</xdr:colOff>
      <xdr:row>20</xdr:row>
      <xdr:rowOff>50800</xdr:rowOff>
    </xdr:from>
    <xdr:ext cx="101600" cy="203200"/>
    <xdr:sp macro="" textlink="">
      <xdr:nvSpPr>
        <xdr:cNvPr id="25604" name="Text Box 4"/>
        <xdr:cNvSpPr txBox="1">
          <a:spLocks noChangeArrowheads="1"/>
        </xdr:cNvSpPr>
      </xdr:nvSpPr>
      <xdr:spPr bwMode="auto">
        <a:xfrm>
          <a:off x="3657600" y="3543300"/>
          <a:ext cx="101600" cy="2032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rtlCol="0"/>
        <a:lstStyle/>
        <a:p>
          <a:pPr algn="ctr"/>
          <a:endParaRPr lang="en-US"/>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I92"/>
  <sheetViews>
    <sheetView tabSelected="1" workbookViewId="0"/>
  </sheetViews>
  <sheetFormatPr baseColWidth="10" defaultColWidth="8.83203125" defaultRowHeight="12" x14ac:dyDescent="0"/>
  <cols>
    <col min="1" max="1" width="41" customWidth="1"/>
    <col min="2" max="2" width="21.5" customWidth="1"/>
    <col min="4" max="4" width="9.6640625" customWidth="1"/>
    <col min="5" max="5" width="10.83203125" bestFit="1" customWidth="1"/>
    <col min="6" max="6" width="15.83203125" customWidth="1"/>
    <col min="7" max="8" width="15.5" bestFit="1" customWidth="1"/>
  </cols>
  <sheetData>
    <row r="1" spans="1:8" ht="18">
      <c r="A1" s="2" t="s">
        <v>158</v>
      </c>
    </row>
    <row r="2" spans="1:8" ht="18">
      <c r="A2" s="2" t="s">
        <v>46</v>
      </c>
    </row>
    <row r="4" spans="1:8" ht="44.25" customHeight="1" thickBot="1">
      <c r="A4" s="67" t="s">
        <v>159</v>
      </c>
      <c r="B4" s="67" t="s">
        <v>160</v>
      </c>
      <c r="C4" s="67" t="s">
        <v>2</v>
      </c>
      <c r="D4" s="67" t="s">
        <v>3</v>
      </c>
      <c r="E4" s="67" t="s">
        <v>11</v>
      </c>
      <c r="F4" s="67" t="s">
        <v>161</v>
      </c>
      <c r="G4" s="67" t="s">
        <v>162</v>
      </c>
      <c r="H4" s="67" t="s">
        <v>163</v>
      </c>
    </row>
    <row r="5" spans="1:8">
      <c r="A5" s="68" t="s">
        <v>80</v>
      </c>
      <c r="B5" s="68" t="s">
        <v>164</v>
      </c>
      <c r="C5" s="69" t="s">
        <v>31</v>
      </c>
      <c r="D5" s="104">
        <f>ProQuest!N7</f>
        <v>32702</v>
      </c>
      <c r="E5" s="105">
        <v>0</v>
      </c>
      <c r="F5" s="71" t="s">
        <v>166</v>
      </c>
      <c r="G5" s="106">
        <f>ProQuest!O7</f>
        <v>17940</v>
      </c>
      <c r="H5" s="106">
        <f>ProQuest!P7</f>
        <v>0.54859030028744415</v>
      </c>
    </row>
    <row r="6" spans="1:8">
      <c r="A6" s="70" t="s">
        <v>81</v>
      </c>
      <c r="B6" s="70" t="s">
        <v>164</v>
      </c>
      <c r="C6" s="71" t="s">
        <v>31</v>
      </c>
      <c r="D6" s="72">
        <f>ProQuest!N12</f>
        <v>14416</v>
      </c>
      <c r="E6" s="70">
        <v>0</v>
      </c>
      <c r="F6" s="71" t="s">
        <v>166</v>
      </c>
      <c r="G6" s="73">
        <v>0</v>
      </c>
      <c r="H6" s="75" t="s">
        <v>31</v>
      </c>
    </row>
    <row r="7" spans="1:8">
      <c r="A7" s="70" t="s">
        <v>54</v>
      </c>
      <c r="B7" s="70" t="s">
        <v>165</v>
      </c>
      <c r="C7" s="72">
        <f>EBSCOhost!N7</f>
        <v>97878</v>
      </c>
      <c r="D7" s="72">
        <f>EBSCOhost!N8</f>
        <v>340317</v>
      </c>
      <c r="E7" s="70">
        <v>0</v>
      </c>
      <c r="F7" s="96">
        <f>EBSCOhost!N9</f>
        <v>228798</v>
      </c>
      <c r="G7" s="73">
        <f>EBSCOhost!O8</f>
        <v>18613</v>
      </c>
      <c r="H7" s="73">
        <f>EBSCOhost!P8</f>
        <v>5.4693124351707381E-2</v>
      </c>
    </row>
    <row r="8" spans="1:8" ht="12.75" customHeight="1">
      <c r="A8" s="70" t="s">
        <v>33</v>
      </c>
      <c r="B8" s="70" t="s">
        <v>32</v>
      </c>
      <c r="C8" s="71" t="s">
        <v>31</v>
      </c>
      <c r="D8" s="72">
        <f>FirstSearch!N7</f>
        <v>27</v>
      </c>
      <c r="E8" s="70">
        <v>0</v>
      </c>
      <c r="F8" s="71" t="s">
        <v>31</v>
      </c>
      <c r="G8" s="73">
        <v>27</v>
      </c>
      <c r="H8" s="73">
        <v>1</v>
      </c>
    </row>
    <row r="9" spans="1:8" ht="12.75" customHeight="1">
      <c r="A9" s="70" t="s">
        <v>44</v>
      </c>
      <c r="B9" s="70" t="s">
        <v>32</v>
      </c>
      <c r="C9" s="71" t="s">
        <v>31</v>
      </c>
      <c r="D9" s="70">
        <f>FirstSearch!N12</f>
        <v>11</v>
      </c>
      <c r="E9" s="70">
        <v>0</v>
      </c>
      <c r="F9" s="71" t="s">
        <v>31</v>
      </c>
      <c r="G9" s="73">
        <v>11</v>
      </c>
      <c r="H9" s="73">
        <v>1</v>
      </c>
    </row>
    <row r="10" spans="1:8">
      <c r="A10" s="70" t="s">
        <v>167</v>
      </c>
      <c r="B10" s="70" t="s">
        <v>0</v>
      </c>
      <c r="C10" s="72">
        <f>'ABC-CLIO'!N7</f>
        <v>2365</v>
      </c>
      <c r="D10" s="72">
        <f>'ABC-CLIO'!N8</f>
        <v>3829</v>
      </c>
      <c r="E10" s="70">
        <v>0</v>
      </c>
      <c r="F10" s="71" t="s">
        <v>31</v>
      </c>
      <c r="G10" s="73">
        <f>'ABC-CLIO'!O8/2</f>
        <v>6124</v>
      </c>
      <c r="H10" s="73">
        <f>G10/D10</f>
        <v>1.5993732044920346</v>
      </c>
    </row>
    <row r="11" spans="1:8">
      <c r="A11" s="70" t="s">
        <v>14</v>
      </c>
      <c r="B11" s="70" t="s">
        <v>12</v>
      </c>
      <c r="C11" s="72">
        <f>WilsonWeb!N12</f>
        <v>617</v>
      </c>
      <c r="D11" s="72">
        <f>WilsonWeb!N13</f>
        <v>2188</v>
      </c>
      <c r="E11" s="72">
        <f>WilsonWeb!N14</f>
        <v>0</v>
      </c>
      <c r="F11" s="71" t="s">
        <v>31</v>
      </c>
      <c r="G11" s="73">
        <f>WilsonWeb!O13</f>
        <v>5562</v>
      </c>
      <c r="H11" s="73">
        <f>WilsonWeb!P13</f>
        <v>2.5420475319926874</v>
      </c>
    </row>
    <row r="12" spans="1:8">
      <c r="A12" s="70" t="s">
        <v>13</v>
      </c>
      <c r="B12" s="70" t="s">
        <v>12</v>
      </c>
      <c r="C12" s="72">
        <f>WilsonWeb!N7</f>
        <v>995</v>
      </c>
      <c r="D12" s="72">
        <f>WilsonWeb!N8</f>
        <v>4280</v>
      </c>
      <c r="E12" s="72">
        <f>WilsonWeb!N9</f>
        <v>0</v>
      </c>
      <c r="F12" s="71" t="s">
        <v>31</v>
      </c>
      <c r="G12" s="73">
        <f>WilsonWeb!O8</f>
        <v>4977</v>
      </c>
      <c r="H12" s="73">
        <f>WilsonWeb!P8</f>
        <v>1.1628504672897195</v>
      </c>
    </row>
    <row r="13" spans="1:8">
      <c r="A13" s="70" t="s">
        <v>168</v>
      </c>
      <c r="B13" s="70" t="s">
        <v>32</v>
      </c>
      <c r="C13" s="72">
        <f>FirstSearch!N17</f>
        <v>4666</v>
      </c>
      <c r="D13" s="72">
        <f>FirstSearch!N18</f>
        <v>11414</v>
      </c>
      <c r="E13" s="74">
        <f>FirstSearch!N20</f>
        <v>507</v>
      </c>
      <c r="F13" s="71" t="s">
        <v>31</v>
      </c>
      <c r="G13" s="73">
        <v>0</v>
      </c>
      <c r="H13" s="75" t="s">
        <v>31</v>
      </c>
    </row>
    <row r="14" spans="1:8">
      <c r="A14" s="70" t="s">
        <v>169</v>
      </c>
      <c r="B14" s="70" t="s">
        <v>170</v>
      </c>
      <c r="C14" s="76" t="s">
        <v>31</v>
      </c>
      <c r="D14" s="72">
        <f>CSA!N7</f>
        <v>32527</v>
      </c>
      <c r="E14" s="72">
        <v>0</v>
      </c>
      <c r="F14" s="71" t="s">
        <v>31</v>
      </c>
      <c r="G14" s="73">
        <f>CSA!O7</f>
        <v>6908</v>
      </c>
      <c r="H14" s="73">
        <f>CSA!P7</f>
        <v>0.2123774095366926</v>
      </c>
    </row>
    <row r="15" spans="1:8" ht="12.75" customHeight="1">
      <c r="A15" s="70" t="s">
        <v>171</v>
      </c>
      <c r="B15" s="70" t="s">
        <v>172</v>
      </c>
      <c r="C15" s="71" t="s">
        <v>227</v>
      </c>
      <c r="D15" s="71" t="s">
        <v>227</v>
      </c>
      <c r="E15" s="71" t="s">
        <v>227</v>
      </c>
      <c r="F15" s="71" t="s">
        <v>31</v>
      </c>
      <c r="G15" s="73">
        <v>141.21</v>
      </c>
      <c r="H15" s="75" t="s">
        <v>31</v>
      </c>
    </row>
    <row r="16" spans="1:8">
      <c r="A16" s="70" t="s">
        <v>173</v>
      </c>
      <c r="B16" s="70" t="s">
        <v>174</v>
      </c>
      <c r="C16" s="72">
        <f>WebSpirs!N7</f>
        <v>2051</v>
      </c>
      <c r="D16" s="72">
        <f>WebSpirs!N8</f>
        <v>7022</v>
      </c>
      <c r="E16" s="72">
        <f>WebSpirs!N9</f>
        <v>0</v>
      </c>
      <c r="F16" s="71" t="s">
        <v>31</v>
      </c>
      <c r="G16" s="73">
        <f>WebSpirs!O8</f>
        <v>22306</v>
      </c>
      <c r="H16" s="73">
        <f>WebSpirs!P8</f>
        <v>3.1765878667046428</v>
      </c>
    </row>
    <row r="17" spans="1:8">
      <c r="A17" s="70" t="s">
        <v>175</v>
      </c>
      <c r="B17" s="70" t="s">
        <v>12</v>
      </c>
      <c r="C17" s="72">
        <f>WilsonWeb!N17</f>
        <v>560</v>
      </c>
      <c r="D17" s="72">
        <f>WilsonWeb!N18</f>
        <v>2000</v>
      </c>
      <c r="E17" s="72">
        <f>WilsonWeb!N19</f>
        <v>79</v>
      </c>
      <c r="F17" s="71" t="s">
        <v>31</v>
      </c>
      <c r="G17" s="73">
        <f>WilsonWeb!O18</f>
        <v>3291.75</v>
      </c>
      <c r="H17" s="73">
        <f>WilsonWeb!P18</f>
        <v>1.645875</v>
      </c>
    </row>
    <row r="18" spans="1:8">
      <c r="A18" s="70" t="s">
        <v>113</v>
      </c>
      <c r="B18" s="70" t="s">
        <v>223</v>
      </c>
      <c r="C18" s="72">
        <f>OVID!N7</f>
        <v>6</v>
      </c>
      <c r="D18" s="72">
        <f>OVID!N8</f>
        <v>9</v>
      </c>
      <c r="E18" s="72">
        <v>0</v>
      </c>
      <c r="F18" s="71" t="s">
        <v>31</v>
      </c>
      <c r="G18" s="73">
        <v>0</v>
      </c>
      <c r="H18" s="75" t="s">
        <v>31</v>
      </c>
    </row>
    <row r="19" spans="1:8">
      <c r="A19" s="70" t="s">
        <v>176</v>
      </c>
      <c r="B19" s="70" t="s">
        <v>177</v>
      </c>
      <c r="C19" s="71" t="s">
        <v>227</v>
      </c>
      <c r="D19" s="71" t="s">
        <v>227</v>
      </c>
      <c r="E19" s="71" t="s">
        <v>227</v>
      </c>
      <c r="F19" s="71" t="s">
        <v>31</v>
      </c>
      <c r="G19" s="73">
        <v>617.14</v>
      </c>
      <c r="H19" s="75" t="s">
        <v>31</v>
      </c>
    </row>
    <row r="20" spans="1:8">
      <c r="A20" s="70" t="s">
        <v>19</v>
      </c>
      <c r="B20" s="70" t="s">
        <v>19</v>
      </c>
      <c r="C20" s="72">
        <f>CIAO!N7</f>
        <v>1128</v>
      </c>
      <c r="D20" s="72">
        <f>CIAO!N8</f>
        <v>3055</v>
      </c>
      <c r="E20" s="70">
        <v>0</v>
      </c>
      <c r="F20" s="71" t="s">
        <v>31</v>
      </c>
      <c r="G20" s="73">
        <f>CIAO!O8</f>
        <v>898</v>
      </c>
      <c r="H20" s="73">
        <f>CIAO!P8</f>
        <v>0.29394435351882159</v>
      </c>
    </row>
    <row r="21" spans="1:8">
      <c r="A21" s="70" t="s">
        <v>60</v>
      </c>
      <c r="B21" s="70" t="s">
        <v>165</v>
      </c>
      <c r="C21" s="72">
        <f>EBSCOhost!N49</f>
        <v>9000</v>
      </c>
      <c r="D21" s="72">
        <f>EBSCOhost!N50</f>
        <v>40121</v>
      </c>
      <c r="E21" s="70">
        <v>0</v>
      </c>
      <c r="F21" s="71" t="s">
        <v>166</v>
      </c>
      <c r="G21" s="73">
        <f>EBSCOhost!O50</f>
        <v>5165</v>
      </c>
      <c r="H21" s="73">
        <f>EBSCOhost!P50</f>
        <v>0.12873557488596993</v>
      </c>
    </row>
    <row r="22" spans="1:8">
      <c r="A22" s="70" t="s">
        <v>178</v>
      </c>
      <c r="B22" s="70" t="s">
        <v>32</v>
      </c>
      <c r="C22" s="72">
        <f>FirstSearch!N25</f>
        <v>24</v>
      </c>
      <c r="D22" s="72">
        <f>FirstSearch!N26</f>
        <v>14</v>
      </c>
      <c r="E22" s="74">
        <f>FirstSearch!N28</f>
        <v>0</v>
      </c>
      <c r="F22" s="71" t="s">
        <v>31</v>
      </c>
      <c r="G22" s="73">
        <v>0</v>
      </c>
      <c r="H22" s="75" t="s">
        <v>31</v>
      </c>
    </row>
    <row r="23" spans="1:8">
      <c r="A23" s="70" t="s">
        <v>179</v>
      </c>
      <c r="B23" s="70" t="s">
        <v>180</v>
      </c>
      <c r="C23" s="96">
        <f>Cochrane!N7</f>
        <v>811</v>
      </c>
      <c r="D23" s="96">
        <f>Cochrane!N8</f>
        <v>246</v>
      </c>
      <c r="E23" s="116">
        <v>0</v>
      </c>
      <c r="F23" s="96">
        <f>Cochrane!N9</f>
        <v>676</v>
      </c>
      <c r="G23" s="77">
        <v>645</v>
      </c>
      <c r="H23" s="77">
        <f>Cochrane!P8</f>
        <v>9.4593495934959346</v>
      </c>
    </row>
    <row r="24" spans="1:8">
      <c r="A24" s="70" t="s">
        <v>9</v>
      </c>
      <c r="B24" s="70" t="s">
        <v>9</v>
      </c>
      <c r="C24" s="71" t="s">
        <v>31</v>
      </c>
      <c r="D24" s="72">
        <f>CollegeSource!N7</f>
        <v>446</v>
      </c>
      <c r="E24" s="70">
        <v>0</v>
      </c>
      <c r="F24" s="71" t="s">
        <v>31</v>
      </c>
      <c r="G24" s="73">
        <f>CollegeSource!O7</f>
        <v>1310.6400000000001</v>
      </c>
      <c r="H24" s="73">
        <f>CollegeSource!P7</f>
        <v>2.9386547085201795</v>
      </c>
    </row>
    <row r="25" spans="1:8">
      <c r="A25" s="70" t="s">
        <v>66</v>
      </c>
      <c r="B25" s="70" t="s">
        <v>170</v>
      </c>
      <c r="C25" s="76" t="s">
        <v>31</v>
      </c>
      <c r="D25" s="72">
        <f>CSA!N12</f>
        <v>10262</v>
      </c>
      <c r="E25" s="70">
        <v>0</v>
      </c>
      <c r="F25" s="71" t="s">
        <v>31</v>
      </c>
      <c r="G25" s="73">
        <f>CSA!O12</f>
        <v>2530</v>
      </c>
      <c r="H25" s="73">
        <f>CSA!P12</f>
        <v>0.24654063535373222</v>
      </c>
    </row>
    <row r="26" spans="1:8">
      <c r="A26" s="70" t="s">
        <v>181</v>
      </c>
      <c r="B26" s="70" t="s">
        <v>182</v>
      </c>
      <c r="C26" s="72">
        <f>'Compendex(EI)'!N7</f>
        <v>1538</v>
      </c>
      <c r="D26" s="72">
        <f>'Compendex(EI)'!N8</f>
        <v>5585</v>
      </c>
      <c r="E26" s="70">
        <v>0</v>
      </c>
      <c r="F26" s="71" t="s">
        <v>31</v>
      </c>
      <c r="G26" s="73">
        <f>'Compendex(EI)'!O8</f>
        <v>13625</v>
      </c>
      <c r="H26" s="73">
        <f>'Compendex(EI)'!P8</f>
        <v>2.4395702775290959</v>
      </c>
    </row>
    <row r="27" spans="1:8">
      <c r="A27" s="70" t="s">
        <v>183</v>
      </c>
      <c r="B27" s="70" t="s">
        <v>170</v>
      </c>
      <c r="C27" s="72">
        <f>CSA!N77</f>
        <v>23492</v>
      </c>
      <c r="D27" s="72">
        <f>CSA!N78</f>
        <v>70160</v>
      </c>
      <c r="E27" s="70">
        <v>0</v>
      </c>
      <c r="F27" s="71" t="s">
        <v>31</v>
      </c>
      <c r="G27" s="73">
        <f>CSA!O78</f>
        <v>27776.6</v>
      </c>
      <c r="H27" s="73">
        <f>CSA!P78</f>
        <v>0.3959036488027366</v>
      </c>
    </row>
    <row r="28" spans="1:8">
      <c r="A28" s="70" t="s">
        <v>55</v>
      </c>
      <c r="B28" s="70" t="s">
        <v>165</v>
      </c>
      <c r="C28" s="72">
        <f>EBSCOhost!N14</f>
        <v>1022</v>
      </c>
      <c r="D28" s="72">
        <f>EBSCOhost!N15</f>
        <v>3185</v>
      </c>
      <c r="E28" s="70">
        <v>0</v>
      </c>
      <c r="F28" s="71" t="s">
        <v>31</v>
      </c>
      <c r="G28" s="73">
        <v>0</v>
      </c>
      <c r="H28" s="75" t="s">
        <v>31</v>
      </c>
    </row>
    <row r="29" spans="1:8">
      <c r="A29" s="70" t="s">
        <v>184</v>
      </c>
      <c r="B29" s="70" t="s">
        <v>165</v>
      </c>
      <c r="C29" s="72">
        <f>EBSCOhost!N84</f>
        <v>129592</v>
      </c>
      <c r="D29" s="72">
        <f>EBSCOhost!N85</f>
        <v>397195</v>
      </c>
      <c r="E29" s="70">
        <v>0</v>
      </c>
      <c r="F29" s="96">
        <f>EBSCOhost!N86</f>
        <v>235489</v>
      </c>
      <c r="G29" s="73">
        <f>EBSCOhost!O85</f>
        <v>52416</v>
      </c>
      <c r="H29" s="73">
        <f>EBSCOhost!P85</f>
        <v>0.13196540741952945</v>
      </c>
    </row>
    <row r="30" spans="1:8">
      <c r="A30" s="70" t="s">
        <v>78</v>
      </c>
      <c r="B30" s="70" t="s">
        <v>170</v>
      </c>
      <c r="C30" s="76" t="s">
        <v>31</v>
      </c>
      <c r="D30" s="72">
        <f>CSA!N17</f>
        <v>6045</v>
      </c>
      <c r="E30" s="70">
        <v>0</v>
      </c>
      <c r="F30" s="71" t="s">
        <v>31</v>
      </c>
      <c r="G30" s="73">
        <f>CSA!O17</f>
        <v>3990</v>
      </c>
      <c r="H30" s="73">
        <f>CSA!P17</f>
        <v>0.66004962779156329</v>
      </c>
    </row>
    <row r="31" spans="1:8">
      <c r="A31" s="70" t="s">
        <v>185</v>
      </c>
      <c r="B31" s="70" t="s">
        <v>32</v>
      </c>
      <c r="C31" s="109">
        <f>FirstSearch!N41</f>
        <v>135</v>
      </c>
      <c r="D31" s="72">
        <f>FirstSearch!N42</f>
        <v>161</v>
      </c>
      <c r="E31" s="74">
        <f>FirstSearch!N44</f>
        <v>0</v>
      </c>
      <c r="F31" s="71" t="s">
        <v>31</v>
      </c>
      <c r="G31" s="73">
        <v>0</v>
      </c>
      <c r="H31" s="75" t="s">
        <v>31</v>
      </c>
    </row>
    <row r="32" spans="1:8" ht="36">
      <c r="A32" s="70" t="s">
        <v>186</v>
      </c>
      <c r="B32" s="70" t="s">
        <v>32</v>
      </c>
      <c r="C32" s="72">
        <f>FirstSearch!N49</f>
        <v>892</v>
      </c>
      <c r="D32" s="72">
        <f>FirstSearch!N50</f>
        <v>1326</v>
      </c>
      <c r="E32" s="74">
        <f>FirstSearch!N52</f>
        <v>9</v>
      </c>
      <c r="F32" s="71" t="s">
        <v>187</v>
      </c>
      <c r="G32" s="73">
        <v>0</v>
      </c>
      <c r="H32" s="75" t="s">
        <v>31</v>
      </c>
    </row>
    <row r="33" spans="1:8">
      <c r="A33" s="70" t="s">
        <v>42</v>
      </c>
      <c r="B33" s="70" t="s">
        <v>170</v>
      </c>
      <c r="C33" s="76" t="s">
        <v>31</v>
      </c>
      <c r="D33" s="72">
        <f>CSA!N22</f>
        <v>7061</v>
      </c>
      <c r="E33" s="70">
        <v>0</v>
      </c>
      <c r="F33" s="71" t="s">
        <v>31</v>
      </c>
      <c r="G33" s="73">
        <v>0</v>
      </c>
      <c r="H33" s="75" t="s">
        <v>31</v>
      </c>
    </row>
    <row r="34" spans="1:8">
      <c r="A34" s="70" t="s">
        <v>188</v>
      </c>
      <c r="B34" s="70" t="s">
        <v>32</v>
      </c>
      <c r="C34" s="72">
        <f>FirstSearch!N33</f>
        <v>2154</v>
      </c>
      <c r="D34" s="72">
        <f>FirstSearch!N34</f>
        <v>5312</v>
      </c>
      <c r="E34" s="74">
        <f>FirstSearch!N36</f>
        <v>474</v>
      </c>
      <c r="F34" s="71" t="s">
        <v>31</v>
      </c>
      <c r="G34" s="73">
        <v>0</v>
      </c>
      <c r="H34" s="75" t="s">
        <v>31</v>
      </c>
    </row>
    <row r="35" spans="1:8">
      <c r="A35" s="70" t="s">
        <v>189</v>
      </c>
      <c r="B35" s="70" t="s">
        <v>32</v>
      </c>
      <c r="C35" s="72">
        <f>FirstSearch!N126</f>
        <v>20189</v>
      </c>
      <c r="D35" s="72">
        <f>FirstSearch!N127</f>
        <v>52742</v>
      </c>
      <c r="E35" s="72">
        <f>FirstSearch!N129</f>
        <v>3614</v>
      </c>
      <c r="F35" s="71" t="s">
        <v>31</v>
      </c>
      <c r="G35" s="73">
        <f>FirstSearch!O127</f>
        <v>14661.25</v>
      </c>
      <c r="H35" s="73">
        <f>FirstSearch!P127</f>
        <v>0.27798054681278678</v>
      </c>
    </row>
    <row r="36" spans="1:8">
      <c r="A36" s="70" t="s">
        <v>190</v>
      </c>
      <c r="B36" s="70" t="s">
        <v>32</v>
      </c>
      <c r="C36" s="71" t="s">
        <v>31</v>
      </c>
      <c r="D36" s="72">
        <f>FirstSearch!N134</f>
        <v>247</v>
      </c>
      <c r="E36" s="70">
        <v>0</v>
      </c>
      <c r="F36" s="71" t="s">
        <v>31</v>
      </c>
      <c r="G36" s="73">
        <v>247</v>
      </c>
      <c r="H36" s="73">
        <v>1</v>
      </c>
    </row>
    <row r="37" spans="1:8">
      <c r="A37" s="70" t="s">
        <v>56</v>
      </c>
      <c r="B37" s="70" t="s">
        <v>165</v>
      </c>
      <c r="C37" s="72">
        <f>EBSCOhost!N21</f>
        <v>359</v>
      </c>
      <c r="D37" s="72">
        <f>EBSCOhost!N22</f>
        <v>1083</v>
      </c>
      <c r="E37" s="70">
        <v>0</v>
      </c>
      <c r="F37" s="71" t="s">
        <v>31</v>
      </c>
      <c r="G37" s="73">
        <v>0</v>
      </c>
      <c r="H37" s="75" t="s">
        <v>31</v>
      </c>
    </row>
    <row r="38" spans="1:8" ht="12.75" customHeight="1">
      <c r="A38" s="70" t="s">
        <v>41</v>
      </c>
      <c r="B38" s="70" t="s">
        <v>32</v>
      </c>
      <c r="C38" s="71" t="s">
        <v>31</v>
      </c>
      <c r="D38" s="72">
        <f>FirstSearch!N57</f>
        <v>207</v>
      </c>
      <c r="E38" s="70">
        <v>0</v>
      </c>
      <c r="F38" s="71" t="s">
        <v>31</v>
      </c>
      <c r="G38" s="77">
        <v>207</v>
      </c>
      <c r="H38" s="77">
        <v>1</v>
      </c>
    </row>
    <row r="39" spans="1:8" ht="12.75" customHeight="1">
      <c r="A39" s="70" t="s">
        <v>191</v>
      </c>
      <c r="B39" s="70" t="s">
        <v>192</v>
      </c>
      <c r="C39" s="71" t="s">
        <v>227</v>
      </c>
      <c r="D39" s="71" t="s">
        <v>227</v>
      </c>
      <c r="E39" s="71" t="s">
        <v>227</v>
      </c>
      <c r="F39" s="71" t="s">
        <v>31</v>
      </c>
      <c r="G39" s="73">
        <v>6100</v>
      </c>
      <c r="H39" s="75" t="s">
        <v>31</v>
      </c>
    </row>
    <row r="40" spans="1:8">
      <c r="A40" s="70" t="s">
        <v>193</v>
      </c>
      <c r="B40" s="70" t="s">
        <v>32</v>
      </c>
      <c r="C40" s="72">
        <f>FirstSearch!N62</f>
        <v>277</v>
      </c>
      <c r="D40" s="72">
        <f>FirstSearch!N63</f>
        <v>437</v>
      </c>
      <c r="E40" s="74">
        <f>FirstSearch!N65</f>
        <v>2</v>
      </c>
      <c r="F40" s="71" t="s">
        <v>31</v>
      </c>
      <c r="G40" s="73">
        <v>0</v>
      </c>
      <c r="H40" s="75" t="s">
        <v>31</v>
      </c>
    </row>
    <row r="41" spans="1:8">
      <c r="A41" s="70" t="s">
        <v>8</v>
      </c>
      <c r="B41" s="70" t="s">
        <v>194</v>
      </c>
      <c r="C41" s="72">
        <f>GroveMusic!N7</f>
        <v>434</v>
      </c>
      <c r="D41" s="72">
        <f>GroveMusic!N8</f>
        <v>748</v>
      </c>
      <c r="E41" s="70">
        <v>0</v>
      </c>
      <c r="F41" s="71" t="s">
        <v>31</v>
      </c>
      <c r="G41" s="73">
        <f>GroveMusic!O8</f>
        <v>1483</v>
      </c>
      <c r="H41" s="73">
        <f>GroveMusic!P8</f>
        <v>1.982620320855615</v>
      </c>
    </row>
    <row r="42" spans="1:8">
      <c r="A42" s="70" t="s">
        <v>195</v>
      </c>
      <c r="B42" s="70" t="s">
        <v>0</v>
      </c>
      <c r="C42" s="72">
        <f>'ABC-CLIO'!N13</f>
        <v>1226</v>
      </c>
      <c r="D42" s="72">
        <f>'ABC-CLIO'!N14</f>
        <v>1472</v>
      </c>
      <c r="E42" s="70">
        <v>0</v>
      </c>
      <c r="F42" s="71" t="s">
        <v>31</v>
      </c>
      <c r="G42" s="73">
        <f>G10</f>
        <v>6124</v>
      </c>
      <c r="H42" s="73">
        <f>G42/D42</f>
        <v>4.1603260869565215</v>
      </c>
    </row>
    <row r="43" spans="1:8">
      <c r="A43" s="70" t="s">
        <v>67</v>
      </c>
      <c r="B43" s="70" t="s">
        <v>170</v>
      </c>
      <c r="C43" s="78" t="s">
        <v>31</v>
      </c>
      <c r="D43" s="72">
        <f>CSA!N27</f>
        <v>2818</v>
      </c>
      <c r="E43" s="70">
        <v>0</v>
      </c>
      <c r="F43" s="71" t="s">
        <v>31</v>
      </c>
      <c r="G43" s="73">
        <f>CSA!O27</f>
        <v>3280</v>
      </c>
      <c r="H43" s="73">
        <f>CSA!P27</f>
        <v>1.1639460610361958</v>
      </c>
    </row>
    <row r="44" spans="1:8">
      <c r="A44" s="70" t="s">
        <v>196</v>
      </c>
      <c r="B44" s="70" t="s">
        <v>197</v>
      </c>
      <c r="C44" s="71" t="s">
        <v>227</v>
      </c>
      <c r="D44" s="71" t="s">
        <v>227</v>
      </c>
      <c r="E44" s="71" t="s">
        <v>227</v>
      </c>
      <c r="F44" s="71" t="s">
        <v>227</v>
      </c>
      <c r="G44" s="73">
        <v>7860</v>
      </c>
      <c r="H44" s="75" t="s">
        <v>31</v>
      </c>
    </row>
    <row r="45" spans="1:8">
      <c r="A45" s="70" t="s">
        <v>198</v>
      </c>
      <c r="B45" s="70" t="s">
        <v>27</v>
      </c>
      <c r="C45" s="78" t="s">
        <v>31</v>
      </c>
      <c r="D45" s="72">
        <f>LexisNexis!N8</f>
        <v>68934</v>
      </c>
      <c r="E45" s="70">
        <v>0</v>
      </c>
      <c r="F45" s="72">
        <f>LexisNexis!N9</f>
        <v>86206</v>
      </c>
      <c r="G45" s="73">
        <f>LexisNexis!O8</f>
        <v>22584</v>
      </c>
      <c r="H45" s="73">
        <f>LexisNexis!P8</f>
        <v>0.32761772129863348</v>
      </c>
    </row>
    <row r="46" spans="1:8">
      <c r="A46" s="70" t="s">
        <v>199</v>
      </c>
      <c r="B46" s="70" t="s">
        <v>27</v>
      </c>
      <c r="C46" s="78" t="s">
        <v>31</v>
      </c>
      <c r="D46" s="72">
        <f>LexisNexis!N12</f>
        <v>1683</v>
      </c>
      <c r="E46" s="70">
        <v>0</v>
      </c>
      <c r="F46" s="72">
        <f>LexisNexis!N13</f>
        <v>2095</v>
      </c>
      <c r="G46" s="73">
        <f>LexisNexis!O12</f>
        <v>8227.86</v>
      </c>
      <c r="H46" s="73">
        <f>LexisNexis!P12</f>
        <v>4.8888057040998225</v>
      </c>
    </row>
    <row r="47" spans="1:8">
      <c r="A47" s="70" t="s">
        <v>107</v>
      </c>
      <c r="B47" s="70" t="s">
        <v>165</v>
      </c>
      <c r="C47" s="72">
        <f>EBSCOhost!N70</f>
        <v>280</v>
      </c>
      <c r="D47" s="72">
        <f>EBSCOhost!N71</f>
        <v>1123</v>
      </c>
      <c r="E47" s="70">
        <v>0</v>
      </c>
      <c r="F47" s="96">
        <f>EBSCOhost!N72</f>
        <v>100</v>
      </c>
      <c r="G47" s="73">
        <v>0</v>
      </c>
      <c r="H47" s="75" t="s">
        <v>31</v>
      </c>
    </row>
    <row r="48" spans="1:8">
      <c r="A48" s="70" t="s">
        <v>200</v>
      </c>
      <c r="B48" s="70" t="s">
        <v>201</v>
      </c>
      <c r="C48" s="74">
        <f>InfoTrac!N7</f>
        <v>3160</v>
      </c>
      <c r="D48" s="74">
        <f>InfoTrac!N8</f>
        <v>17875</v>
      </c>
      <c r="E48" s="74">
        <f>InfoTrac!N9</f>
        <v>0</v>
      </c>
      <c r="F48" s="72">
        <f>InfoTrac!N10</f>
        <v>4552</v>
      </c>
      <c r="G48" s="73">
        <f>InfoTrac!O8</f>
        <v>4678</v>
      </c>
      <c r="H48" s="73">
        <f>InfoTrac!P8</f>
        <v>0.26170629370629372</v>
      </c>
    </row>
    <row r="49" spans="1:9">
      <c r="A49" s="70" t="s">
        <v>85</v>
      </c>
      <c r="B49" s="70" t="s">
        <v>164</v>
      </c>
      <c r="C49" s="71" t="s">
        <v>31</v>
      </c>
      <c r="D49" s="72">
        <f>ProQuest!N27</f>
        <v>12341</v>
      </c>
      <c r="E49" s="70">
        <v>0</v>
      </c>
      <c r="F49" s="71" t="s">
        <v>166</v>
      </c>
      <c r="G49" s="73">
        <v>0</v>
      </c>
      <c r="H49" s="75" t="s">
        <v>31</v>
      </c>
    </row>
    <row r="50" spans="1:9">
      <c r="A50" s="70" t="s">
        <v>202</v>
      </c>
      <c r="B50" s="70" t="s">
        <v>165</v>
      </c>
      <c r="C50" s="72">
        <f>EBSCOhost!N28</f>
        <v>745</v>
      </c>
      <c r="D50" s="72">
        <f>EBSCOhost!N29</f>
        <v>1805</v>
      </c>
      <c r="E50" s="70">
        <v>0</v>
      </c>
      <c r="F50" s="96">
        <f>EBSCOhost!N30</f>
        <v>1257</v>
      </c>
      <c r="G50" s="73">
        <v>0</v>
      </c>
      <c r="H50" s="75" t="s">
        <v>31</v>
      </c>
    </row>
    <row r="51" spans="1:9" ht="24">
      <c r="A51" s="70" t="s">
        <v>6</v>
      </c>
      <c r="B51" s="70" t="s">
        <v>203</v>
      </c>
      <c r="C51" s="72">
        <f>MathSciNet!N7</f>
        <v>3261</v>
      </c>
      <c r="D51" s="72">
        <f>MathSciNet!N8</f>
        <v>6063</v>
      </c>
      <c r="E51" s="70">
        <v>0</v>
      </c>
      <c r="F51" s="71" t="s">
        <v>31</v>
      </c>
      <c r="G51" s="73">
        <f>MathSciNet!O8</f>
        <v>6856</v>
      </c>
      <c r="H51" s="73">
        <f>MathSciNet!P8</f>
        <v>1.1307933366320304</v>
      </c>
    </row>
    <row r="52" spans="1:9">
      <c r="A52" s="70" t="s">
        <v>204</v>
      </c>
      <c r="B52" s="70" t="s">
        <v>32</v>
      </c>
      <c r="C52" s="72">
        <f>FirstSearch!N78</f>
        <v>3636</v>
      </c>
      <c r="D52" s="72">
        <f>FirstSearch!N79</f>
        <v>7767</v>
      </c>
      <c r="E52" s="74">
        <f>FirstSearch!N81</f>
        <v>554</v>
      </c>
      <c r="F52" s="71" t="s">
        <v>31</v>
      </c>
      <c r="G52" s="73">
        <v>0</v>
      </c>
      <c r="H52" s="75" t="s">
        <v>31</v>
      </c>
    </row>
    <row r="53" spans="1:9">
      <c r="A53" s="70" t="s">
        <v>38</v>
      </c>
      <c r="B53" s="70" t="s">
        <v>223</v>
      </c>
      <c r="C53" s="72">
        <f>OVID!N14</f>
        <v>6</v>
      </c>
      <c r="D53" s="72">
        <f>OVID!N15</f>
        <v>6</v>
      </c>
      <c r="E53" s="74">
        <v>0</v>
      </c>
      <c r="F53" s="71" t="s">
        <v>31</v>
      </c>
      <c r="G53" s="73">
        <v>0</v>
      </c>
      <c r="H53" s="75" t="s">
        <v>31</v>
      </c>
    </row>
    <row r="54" spans="1:9">
      <c r="A54" s="70" t="s">
        <v>225</v>
      </c>
      <c r="B54" s="70" t="s">
        <v>223</v>
      </c>
      <c r="C54" s="72">
        <f>OVID!N21</f>
        <v>0</v>
      </c>
      <c r="D54" s="72">
        <f>OVID!N22</f>
        <v>0</v>
      </c>
      <c r="E54" s="74">
        <v>0</v>
      </c>
      <c r="F54" s="71" t="s">
        <v>31</v>
      </c>
      <c r="G54" s="73">
        <v>0</v>
      </c>
      <c r="H54" s="75" t="s">
        <v>31</v>
      </c>
    </row>
    <row r="55" spans="1:9">
      <c r="A55" s="70" t="s">
        <v>205</v>
      </c>
      <c r="B55" s="70" t="s">
        <v>99</v>
      </c>
      <c r="C55" s="72">
        <f>Mergent!N7</f>
        <v>378</v>
      </c>
      <c r="D55" s="72">
        <f>Mergent!N8</f>
        <v>4519</v>
      </c>
      <c r="E55" s="70">
        <v>0</v>
      </c>
      <c r="F55" s="72">
        <f>Mergent!N9</f>
        <v>5073</v>
      </c>
      <c r="G55" s="73">
        <f>Mergent!O8</f>
        <v>10400</v>
      </c>
      <c r="H55" s="73">
        <f>Mergent!P8</f>
        <v>2.3013941137419782</v>
      </c>
    </row>
    <row r="56" spans="1:9">
      <c r="A56" s="70" t="s">
        <v>76</v>
      </c>
      <c r="B56" s="70" t="s">
        <v>170</v>
      </c>
      <c r="C56" s="76" t="s">
        <v>31</v>
      </c>
      <c r="D56" s="72">
        <f>CSA!N32</f>
        <v>9732</v>
      </c>
      <c r="E56" s="70">
        <v>0</v>
      </c>
      <c r="F56" s="71" t="s">
        <v>31</v>
      </c>
      <c r="G56" s="73">
        <f>CSA!O32</f>
        <v>3681</v>
      </c>
      <c r="H56" s="73">
        <f>CSA!P32</f>
        <v>0.3782367447595561</v>
      </c>
    </row>
    <row r="57" spans="1:9">
      <c r="A57" s="70" t="s">
        <v>58</v>
      </c>
      <c r="B57" s="70" t="s">
        <v>165</v>
      </c>
      <c r="C57" s="72">
        <f>EBSCOhost!N35</f>
        <v>614</v>
      </c>
      <c r="D57" s="72">
        <f>EBSCOhost!N36</f>
        <v>1967</v>
      </c>
      <c r="E57" s="70">
        <v>0</v>
      </c>
      <c r="F57" s="96">
        <f>EBSCOhost!N37</f>
        <v>1250</v>
      </c>
      <c r="G57" s="73">
        <v>0</v>
      </c>
      <c r="H57" s="75" t="s">
        <v>31</v>
      </c>
    </row>
    <row r="58" spans="1:9" ht="12.75" customHeight="1">
      <c r="A58" s="70" t="s">
        <v>206</v>
      </c>
      <c r="B58" s="70" t="s">
        <v>172</v>
      </c>
      <c r="C58" s="107">
        <v>4</v>
      </c>
      <c r="D58" s="71" t="s">
        <v>31</v>
      </c>
      <c r="E58" s="70">
        <v>0</v>
      </c>
      <c r="F58" s="71" t="s">
        <v>31</v>
      </c>
      <c r="G58" s="73">
        <f>MINABS!O7</f>
        <v>555.48</v>
      </c>
      <c r="H58" s="73">
        <f>MINABS!P7</f>
        <v>138.87</v>
      </c>
      <c r="I58" t="s">
        <v>124</v>
      </c>
    </row>
    <row r="59" spans="1:9">
      <c r="A59" s="70" t="s">
        <v>39</v>
      </c>
      <c r="B59" s="70" t="s">
        <v>32</v>
      </c>
      <c r="C59" s="72">
        <f>FirstSearch!N70</f>
        <v>3421</v>
      </c>
      <c r="D59" s="72">
        <f>FirstSearch!N71</f>
        <v>8420</v>
      </c>
      <c r="E59" s="72">
        <f>FirstSearch!N73</f>
        <v>1158</v>
      </c>
      <c r="F59" s="71" t="s">
        <v>31</v>
      </c>
      <c r="G59" s="73">
        <f>FirstSearch!O71</f>
        <v>5581.25</v>
      </c>
      <c r="H59" s="73">
        <f>FirstSearch!P71</f>
        <v>0.66285629453681705</v>
      </c>
    </row>
    <row r="60" spans="1:9">
      <c r="A60" s="70" t="s">
        <v>18</v>
      </c>
      <c r="B60" s="70" t="s">
        <v>207</v>
      </c>
      <c r="C60" s="76" t="s">
        <v>31</v>
      </c>
      <c r="D60" s="72">
        <f>MusicIndex!N8</f>
        <v>1710</v>
      </c>
      <c r="E60" s="70">
        <v>0</v>
      </c>
      <c r="F60" s="71" t="s">
        <v>31</v>
      </c>
      <c r="G60" s="73">
        <f>MusicIndex!O8</f>
        <v>1850</v>
      </c>
      <c r="H60" s="73">
        <f>MusicIndex!P8</f>
        <v>1.0818713450292399</v>
      </c>
    </row>
    <row r="61" spans="1:9">
      <c r="A61" s="70" t="s">
        <v>84</v>
      </c>
      <c r="B61" s="70" t="s">
        <v>164</v>
      </c>
      <c r="C61" s="71" t="s">
        <v>31</v>
      </c>
      <c r="D61" s="72">
        <f>ProQuest!N22</f>
        <v>15504</v>
      </c>
      <c r="E61" s="70">
        <v>0</v>
      </c>
      <c r="F61" s="71" t="s">
        <v>166</v>
      </c>
      <c r="G61" s="73">
        <f>ProQuest!O22</f>
        <v>3071</v>
      </c>
      <c r="H61" s="73">
        <f>ProQuest!P22</f>
        <v>0.19807791537667699</v>
      </c>
    </row>
    <row r="62" spans="1:9">
      <c r="A62" s="70" t="s">
        <v>226</v>
      </c>
      <c r="B62" s="70" t="s">
        <v>226</v>
      </c>
      <c r="C62" s="108">
        <f>netLibrary!N7</f>
        <v>1089</v>
      </c>
      <c r="D62" s="78" t="s">
        <v>31</v>
      </c>
      <c r="E62" s="74">
        <f>netLibrary!N8</f>
        <v>302</v>
      </c>
      <c r="F62" s="71" t="s">
        <v>31</v>
      </c>
      <c r="G62" s="73">
        <v>0</v>
      </c>
      <c r="H62" s="75" t="s">
        <v>31</v>
      </c>
    </row>
    <row r="63" spans="1:9">
      <c r="A63" s="70" t="s">
        <v>68</v>
      </c>
      <c r="B63" s="70" t="s">
        <v>170</v>
      </c>
      <c r="C63" s="76" t="s">
        <v>31</v>
      </c>
      <c r="D63" s="72">
        <f>CSA!N37</f>
        <v>10820</v>
      </c>
      <c r="E63" s="70">
        <v>0</v>
      </c>
      <c r="F63" s="71" t="s">
        <v>31</v>
      </c>
      <c r="G63" s="73">
        <v>0</v>
      </c>
      <c r="H63" s="75" t="s">
        <v>31</v>
      </c>
    </row>
    <row r="64" spans="1:9">
      <c r="A64" s="70" t="s">
        <v>224</v>
      </c>
      <c r="B64" s="70" t="s">
        <v>223</v>
      </c>
      <c r="C64" s="107">
        <f>OVID!N28</f>
        <v>0</v>
      </c>
      <c r="D64" s="72">
        <f>OVID!N29</f>
        <v>0</v>
      </c>
      <c r="E64" s="70">
        <f>OVID!N30</f>
        <v>0</v>
      </c>
      <c r="F64" s="71" t="s">
        <v>31</v>
      </c>
      <c r="G64" s="73">
        <v>0</v>
      </c>
      <c r="H64" s="75" t="s">
        <v>31</v>
      </c>
    </row>
    <row r="65" spans="1:8">
      <c r="A65" s="70" t="s">
        <v>69</v>
      </c>
      <c r="B65" s="70" t="s">
        <v>170</v>
      </c>
      <c r="C65" s="76" t="s">
        <v>31</v>
      </c>
      <c r="D65" s="72">
        <f>CSA!N42</f>
        <v>6713</v>
      </c>
      <c r="E65" s="70">
        <v>0</v>
      </c>
      <c r="F65" s="71" t="s">
        <v>31</v>
      </c>
      <c r="G65" s="73">
        <f>CSA!O42</f>
        <v>4920</v>
      </c>
      <c r="H65" s="73">
        <f>CSA!P42</f>
        <v>0.73290630120661404</v>
      </c>
    </row>
    <row r="66" spans="1:8">
      <c r="A66" s="70" t="s">
        <v>208</v>
      </c>
      <c r="B66" s="70" t="s">
        <v>32</v>
      </c>
      <c r="C66" s="72">
        <f>FirstSearch!N86</f>
        <v>157</v>
      </c>
      <c r="D66" s="72">
        <f>FirstSearch!N87</f>
        <v>183</v>
      </c>
      <c r="E66" s="74">
        <f>FirstSearch!N89</f>
        <v>2</v>
      </c>
      <c r="F66" s="71" t="s">
        <v>31</v>
      </c>
      <c r="G66" s="73">
        <v>0</v>
      </c>
      <c r="H66" s="75" t="s">
        <v>31</v>
      </c>
    </row>
    <row r="67" spans="1:8">
      <c r="A67" s="70" t="s">
        <v>23</v>
      </c>
      <c r="B67" s="70" t="s">
        <v>170</v>
      </c>
      <c r="C67" s="76" t="s">
        <v>31</v>
      </c>
      <c r="D67" s="72">
        <f>CSA!N47</f>
        <v>1531</v>
      </c>
      <c r="E67" s="70">
        <v>0</v>
      </c>
      <c r="F67" s="71" t="s">
        <v>31</v>
      </c>
      <c r="G67" s="73">
        <f>CSA!O47</f>
        <v>2550</v>
      </c>
      <c r="H67" s="73">
        <f>CSA!P47</f>
        <v>1.6655780535597648</v>
      </c>
    </row>
    <row r="68" spans="1:8">
      <c r="A68" s="70" t="s">
        <v>70</v>
      </c>
      <c r="B68" s="70" t="s">
        <v>170</v>
      </c>
      <c r="C68" s="76" t="s">
        <v>31</v>
      </c>
      <c r="D68" s="72">
        <f>CSA!N52</f>
        <v>5914</v>
      </c>
      <c r="E68" s="70">
        <v>0</v>
      </c>
      <c r="F68" s="71" t="s">
        <v>31</v>
      </c>
      <c r="G68" s="73">
        <f>CSA!O52</f>
        <v>975</v>
      </c>
      <c r="H68" s="73">
        <f>CSA!P52</f>
        <v>0.16486303686168413</v>
      </c>
    </row>
    <row r="69" spans="1:8">
      <c r="A69" s="70" t="s">
        <v>71</v>
      </c>
      <c r="B69" s="70" t="s">
        <v>170</v>
      </c>
      <c r="C69" s="76" t="s">
        <v>31</v>
      </c>
      <c r="D69" s="72">
        <f>CSA!N57</f>
        <v>925</v>
      </c>
      <c r="E69" s="70">
        <v>0</v>
      </c>
      <c r="F69" s="71" t="s">
        <v>31</v>
      </c>
      <c r="G69" s="73">
        <f>CSA!O57</f>
        <v>1673.6</v>
      </c>
      <c r="H69" s="73">
        <f>CSA!P57</f>
        <v>1.8092972972972972</v>
      </c>
    </row>
    <row r="70" spans="1:8">
      <c r="A70" s="70" t="s">
        <v>61</v>
      </c>
      <c r="B70" s="70" t="s">
        <v>165</v>
      </c>
      <c r="C70" s="110">
        <f>EBSCOhost!N56</f>
        <v>401</v>
      </c>
      <c r="D70" s="72">
        <f>EBSCOhost!N57</f>
        <v>1297</v>
      </c>
      <c r="E70" s="70">
        <v>0</v>
      </c>
      <c r="F70" s="71" t="s">
        <v>31</v>
      </c>
      <c r="G70" s="73">
        <v>0</v>
      </c>
      <c r="H70" s="75" t="s">
        <v>31</v>
      </c>
    </row>
    <row r="71" spans="1:8">
      <c r="A71" s="70" t="s">
        <v>59</v>
      </c>
      <c r="B71" s="70" t="s">
        <v>165</v>
      </c>
      <c r="C71" s="72">
        <f>EBSCOhost!N42</f>
        <v>569</v>
      </c>
      <c r="D71" s="72">
        <f>EBSCOhost!N43</f>
        <v>2225</v>
      </c>
      <c r="E71" s="70">
        <v>0</v>
      </c>
      <c r="F71" s="78">
        <f>EBSCOhost!N44</f>
        <v>387</v>
      </c>
      <c r="G71" s="73">
        <v>0</v>
      </c>
      <c r="H71" s="75" t="s">
        <v>31</v>
      </c>
    </row>
    <row r="72" spans="1:8">
      <c r="A72" s="70" t="s">
        <v>209</v>
      </c>
      <c r="B72" s="70" t="s">
        <v>32</v>
      </c>
      <c r="C72" s="72">
        <f>FirstSearch!N94</f>
        <v>52</v>
      </c>
      <c r="D72" s="72">
        <f>FirstSearch!N95</f>
        <v>40</v>
      </c>
      <c r="E72" s="74">
        <f>FirstSearch!N97</f>
        <v>1</v>
      </c>
      <c r="F72" s="71" t="s">
        <v>31</v>
      </c>
      <c r="G72" s="73">
        <v>0</v>
      </c>
      <c r="H72" s="75" t="s">
        <v>31</v>
      </c>
    </row>
    <row r="73" spans="1:8">
      <c r="A73" s="70" t="s">
        <v>82</v>
      </c>
      <c r="B73" s="70" t="s">
        <v>164</v>
      </c>
      <c r="C73" s="72">
        <f>ProQuest!N47</f>
        <v>18806</v>
      </c>
      <c r="D73" s="72">
        <f>ProQuest!N48</f>
        <v>45163</v>
      </c>
      <c r="E73" s="70">
        <v>0</v>
      </c>
      <c r="F73" s="72">
        <f>ProQuest!N49</f>
        <v>45484</v>
      </c>
      <c r="G73" s="73">
        <f>ProQuest!O48</f>
        <v>28306</v>
      </c>
      <c r="H73" s="73">
        <f>ProQuest!P48</f>
        <v>0.62675198724619707</v>
      </c>
    </row>
    <row r="74" spans="1:8">
      <c r="A74" s="70" t="s">
        <v>83</v>
      </c>
      <c r="B74" s="70" t="s">
        <v>164</v>
      </c>
      <c r="C74" s="71" t="s">
        <v>31</v>
      </c>
      <c r="D74" s="72">
        <f>ProQuest!N17</f>
        <v>10953</v>
      </c>
      <c r="E74" s="70">
        <v>0</v>
      </c>
      <c r="F74" s="71" t="s">
        <v>31</v>
      </c>
      <c r="G74" s="73">
        <f>ProQuest!O17</f>
        <v>5475</v>
      </c>
      <c r="H74" s="73">
        <f>ProQuest!P17</f>
        <v>0.49986305121884417</v>
      </c>
    </row>
    <row r="75" spans="1:8" ht="24">
      <c r="A75" s="70" t="s">
        <v>210</v>
      </c>
      <c r="B75" s="70" t="s">
        <v>164</v>
      </c>
      <c r="C75" s="71" t="s">
        <v>31</v>
      </c>
      <c r="D75" s="72">
        <f>ProQuest!N42</f>
        <v>1755</v>
      </c>
      <c r="E75" s="70">
        <v>0</v>
      </c>
      <c r="F75" s="71" t="s">
        <v>166</v>
      </c>
      <c r="G75" s="73">
        <f>ProQuest!O42</f>
        <v>0</v>
      </c>
      <c r="H75" s="75" t="s">
        <v>31</v>
      </c>
    </row>
    <row r="76" spans="1:8">
      <c r="A76" s="70" t="s">
        <v>86</v>
      </c>
      <c r="B76" s="70" t="s">
        <v>164</v>
      </c>
      <c r="C76" s="71" t="s">
        <v>31</v>
      </c>
      <c r="D76" s="72">
        <f>ProQuest!N32</f>
        <v>14953</v>
      </c>
      <c r="E76" s="70">
        <v>0</v>
      </c>
      <c r="F76" s="71" t="s">
        <v>166</v>
      </c>
      <c r="G76" s="73">
        <f>ProQuest!O32</f>
        <v>1820</v>
      </c>
      <c r="H76" s="73">
        <f>ProQuest!P32</f>
        <v>0.12171470607904768</v>
      </c>
    </row>
    <row r="77" spans="1:8">
      <c r="A77" s="70" t="s">
        <v>72</v>
      </c>
      <c r="B77" s="70" t="s">
        <v>170</v>
      </c>
      <c r="C77" s="76" t="s">
        <v>31</v>
      </c>
      <c r="D77" s="72">
        <f>CSA!N62</f>
        <v>31326</v>
      </c>
      <c r="E77" s="70">
        <v>0</v>
      </c>
      <c r="F77" s="71" t="s">
        <v>31</v>
      </c>
      <c r="G77" s="73">
        <f>CSA!O62</f>
        <v>13720</v>
      </c>
      <c r="H77" s="73">
        <f>CSA!P62</f>
        <v>0.43797484517653068</v>
      </c>
    </row>
    <row r="78" spans="1:8">
      <c r="A78" s="70" t="s">
        <v>211</v>
      </c>
      <c r="B78" s="70" t="s">
        <v>212</v>
      </c>
      <c r="C78" s="71" t="s">
        <v>227</v>
      </c>
      <c r="D78" s="78" t="s">
        <v>227</v>
      </c>
      <c r="E78" s="71" t="s">
        <v>31</v>
      </c>
      <c r="F78" s="71" t="s">
        <v>31</v>
      </c>
      <c r="G78" s="73">
        <v>0</v>
      </c>
      <c r="H78" s="75" t="s">
        <v>31</v>
      </c>
    </row>
    <row r="79" spans="1:8" ht="25.5" customHeight="1">
      <c r="A79" s="70" t="s">
        <v>16</v>
      </c>
      <c r="B79" s="70" t="s">
        <v>12</v>
      </c>
      <c r="C79" s="72">
        <f>WilsonWeb!N22</f>
        <v>292</v>
      </c>
      <c r="D79" s="72">
        <f>WilsonWeb!N23</f>
        <v>1050</v>
      </c>
      <c r="E79" s="74">
        <f>WilsonWeb!N24</f>
        <v>0</v>
      </c>
      <c r="F79" s="71" t="s">
        <v>31</v>
      </c>
      <c r="G79" s="73">
        <f>WilsonWeb!O23</f>
        <v>326</v>
      </c>
      <c r="H79" s="73">
        <f>WilsonWeb!P23</f>
        <v>0.31047619047619046</v>
      </c>
    </row>
    <row r="80" spans="1:8">
      <c r="A80" s="70" t="s">
        <v>20</v>
      </c>
      <c r="B80" s="70" t="s">
        <v>213</v>
      </c>
      <c r="C80" s="72">
        <f>ReferenceUSA!N7</f>
        <v>1689</v>
      </c>
      <c r="D80" s="72">
        <f>ReferenceUSA!N8</f>
        <v>4483</v>
      </c>
      <c r="E80" s="70">
        <v>0</v>
      </c>
      <c r="F80" s="71" t="s">
        <v>31</v>
      </c>
      <c r="G80" s="73">
        <f>ReferenceUSA!O8</f>
        <v>4792</v>
      </c>
      <c r="H80" s="73">
        <f>ReferenceUSA!P8</f>
        <v>1.0689270577738121</v>
      </c>
    </row>
    <row r="81" spans="1:8">
      <c r="A81" s="70" t="s">
        <v>214</v>
      </c>
      <c r="B81" s="70" t="s">
        <v>170</v>
      </c>
      <c r="C81" s="76" t="s">
        <v>31</v>
      </c>
      <c r="D81" s="71" t="s">
        <v>31</v>
      </c>
      <c r="E81" s="70">
        <v>0</v>
      </c>
      <c r="F81" s="71" t="s">
        <v>31</v>
      </c>
      <c r="G81" s="73">
        <f>RefWorks!O7</f>
        <v>10500</v>
      </c>
      <c r="H81" s="75" t="s">
        <v>31</v>
      </c>
    </row>
    <row r="82" spans="1:8">
      <c r="A82" s="70" t="s">
        <v>215</v>
      </c>
      <c r="B82" s="70" t="s">
        <v>216</v>
      </c>
      <c r="C82" s="72">
        <f>SciFinderScholar!N7</f>
        <v>2764</v>
      </c>
      <c r="D82" s="72">
        <f>SciFinderScholar!N8</f>
        <v>9263</v>
      </c>
      <c r="E82" s="72">
        <f>SciFinderScholar!N9</f>
        <v>1360</v>
      </c>
      <c r="F82" s="71" t="s">
        <v>31</v>
      </c>
      <c r="G82" s="73">
        <f>SciFinderScholar!O8</f>
        <v>29030</v>
      </c>
      <c r="H82" s="73">
        <f>SciFinderScholar!P8</f>
        <v>3.1339738745546799</v>
      </c>
    </row>
    <row r="83" spans="1:8">
      <c r="A83" s="70" t="s">
        <v>73</v>
      </c>
      <c r="B83" s="70" t="s">
        <v>170</v>
      </c>
      <c r="C83" s="76" t="s">
        <v>31</v>
      </c>
      <c r="D83" s="72">
        <f>CSA!N67</f>
        <v>5665</v>
      </c>
      <c r="E83" s="70">
        <v>0</v>
      </c>
      <c r="F83" s="71" t="s">
        <v>31</v>
      </c>
      <c r="G83" s="73">
        <v>0</v>
      </c>
      <c r="H83" s="75" t="s">
        <v>31</v>
      </c>
    </row>
    <row r="84" spans="1:8">
      <c r="A84" s="70" t="s">
        <v>74</v>
      </c>
      <c r="B84" s="70" t="s">
        <v>170</v>
      </c>
      <c r="C84" s="76" t="s">
        <v>31</v>
      </c>
      <c r="D84" s="72">
        <f>CSA!N72</f>
        <v>6883</v>
      </c>
      <c r="E84" s="70">
        <v>0</v>
      </c>
      <c r="F84" s="71" t="s">
        <v>31</v>
      </c>
      <c r="G84" s="73">
        <f>CSA!O72</f>
        <v>3938</v>
      </c>
      <c r="H84" s="73">
        <f>CSA!P72</f>
        <v>0.57213424378904543</v>
      </c>
    </row>
    <row r="85" spans="1:8">
      <c r="A85" s="70" t="s">
        <v>62</v>
      </c>
      <c r="B85" s="70" t="s">
        <v>165</v>
      </c>
      <c r="C85" s="72">
        <f>EBSCOhost!N63</f>
        <v>514</v>
      </c>
      <c r="D85" s="72">
        <f>EBSCOhost!N64</f>
        <v>1992</v>
      </c>
      <c r="E85" s="70">
        <v>0</v>
      </c>
      <c r="F85" s="71" t="s">
        <v>31</v>
      </c>
      <c r="G85" s="73">
        <f>EBSCOhost!O64</f>
        <v>2430</v>
      </c>
      <c r="H85" s="73">
        <f>EBSCOhost!P64</f>
        <v>1.2198795180722892</v>
      </c>
    </row>
    <row r="86" spans="1:8">
      <c r="A86" s="70" t="s">
        <v>87</v>
      </c>
      <c r="B86" s="70" t="s">
        <v>164</v>
      </c>
      <c r="C86" s="71" t="s">
        <v>31</v>
      </c>
      <c r="D86" s="72">
        <f>ProQuest!N37</f>
        <v>12526</v>
      </c>
      <c r="E86" s="70">
        <v>0</v>
      </c>
      <c r="F86" s="71" t="s">
        <v>166</v>
      </c>
      <c r="G86" s="73">
        <v>0</v>
      </c>
      <c r="H86" s="75" t="s">
        <v>31</v>
      </c>
    </row>
    <row r="87" spans="1:8">
      <c r="A87" s="70" t="s">
        <v>217</v>
      </c>
      <c r="B87" s="70" t="s">
        <v>218</v>
      </c>
      <c r="C87" s="72">
        <f>WebofScience!N7</f>
        <v>6522</v>
      </c>
      <c r="D87" s="72">
        <f>WebofScience!N8</f>
        <v>21578</v>
      </c>
      <c r="E87" s="72">
        <f>WebofScience!N10</f>
        <v>8816</v>
      </c>
      <c r="F87" s="71" t="s">
        <v>31</v>
      </c>
      <c r="G87" s="73">
        <f>WebofScience!O8</f>
        <v>90186</v>
      </c>
      <c r="H87" s="73">
        <f>WebofScience!P8</f>
        <v>4.1795347112800076</v>
      </c>
    </row>
    <row r="88" spans="1:8">
      <c r="A88" s="70" t="s">
        <v>219</v>
      </c>
      <c r="B88" s="70" t="s">
        <v>32</v>
      </c>
      <c r="C88" s="72">
        <f>FirstSearch!N102</f>
        <v>167</v>
      </c>
      <c r="D88" s="72">
        <f>FirstSearch!N103</f>
        <v>243</v>
      </c>
      <c r="E88" s="74">
        <f>FirstSearch!N105</f>
        <v>3</v>
      </c>
      <c r="F88" s="71" t="s">
        <v>31</v>
      </c>
      <c r="G88" s="73">
        <v>0</v>
      </c>
      <c r="H88" s="75" t="s">
        <v>31</v>
      </c>
    </row>
    <row r="89" spans="1:8">
      <c r="A89" s="70" t="s">
        <v>220</v>
      </c>
      <c r="B89" s="70" t="s">
        <v>32</v>
      </c>
      <c r="C89" s="72">
        <f>FirstSearch!N110</f>
        <v>4565</v>
      </c>
      <c r="D89" s="72">
        <f>FirstSearch!N111</f>
        <v>17315</v>
      </c>
      <c r="E89" s="74">
        <f>FirstSearch!N113</f>
        <v>904</v>
      </c>
      <c r="F89" s="71" t="s">
        <v>31</v>
      </c>
      <c r="G89" s="73">
        <f>FirstSearch!O111</f>
        <v>8835</v>
      </c>
      <c r="H89" s="75">
        <f>FirstSearch!P111</f>
        <v>0.51025122725960148</v>
      </c>
    </row>
    <row r="90" spans="1:8">
      <c r="A90" s="70" t="s">
        <v>221</v>
      </c>
      <c r="B90" s="70" t="s">
        <v>32</v>
      </c>
      <c r="C90" s="72">
        <f>FirstSearch!N118</f>
        <v>43</v>
      </c>
      <c r="D90" s="72">
        <f>FirstSearch!N119</f>
        <v>110</v>
      </c>
      <c r="E90" s="74">
        <f>FirstSearch!N121</f>
        <v>0</v>
      </c>
      <c r="F90" s="71" t="s">
        <v>31</v>
      </c>
      <c r="G90" s="73">
        <v>0</v>
      </c>
      <c r="H90" s="75" t="s">
        <v>31</v>
      </c>
    </row>
    <row r="92" spans="1:8">
      <c r="A92" s="79" t="s">
        <v>222</v>
      </c>
    </row>
  </sheetData>
  <sheetProtection sort="0" autoFilter="0" pivotTables="0"/>
  <phoneticPr fontId="2" type="noConversion"/>
  <pageMargins left="0.75" right="0.75" top="1" bottom="1" header="0.5" footer="0.5"/>
  <pageSetup scale="76" fitToHeight="2" orientation="landscape" horizontalDpi="1200" verticalDpi="1200"/>
  <headerFooter>
    <oddFooter>&amp;L&amp;K000000Reference Database Statistics&amp;R&amp;K0000002005-06</oddFooter>
  </headerFooter>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P22"/>
  <sheetViews>
    <sheetView workbookViewId="0">
      <selection activeCell="M24" sqref="M24"/>
    </sheetView>
  </sheetViews>
  <sheetFormatPr baseColWidth="10" defaultColWidth="8.83203125" defaultRowHeight="12" x14ac:dyDescent="0"/>
  <cols>
    <col min="1" max="1" width="14.83203125" bestFit="1" customWidth="1"/>
    <col min="2" max="2" width="6.1640625" bestFit="1" customWidth="1"/>
    <col min="3" max="3" width="7" bestFit="1" customWidth="1"/>
    <col min="4" max="4" width="6.6640625" bestFit="1" customWidth="1"/>
    <col min="5" max="5" width="6.5" bestFit="1" customWidth="1"/>
    <col min="6" max="6" width="6.83203125" bestFit="1" customWidth="1"/>
    <col min="7" max="7" width="6.6640625" bestFit="1" customWidth="1"/>
    <col min="8" max="8" width="6.5" bestFit="1" customWidth="1"/>
    <col min="9" max="10" width="6.6640625" bestFit="1" customWidth="1"/>
    <col min="11" max="11" width="6.5" bestFit="1" customWidth="1"/>
    <col min="12" max="12" width="7" bestFit="1" customWidth="1"/>
    <col min="13" max="13" width="6.6640625" bestFit="1" customWidth="1"/>
    <col min="14" max="14" width="5.5" bestFit="1" customWidth="1"/>
    <col min="15" max="15" width="9.6640625" bestFit="1" customWidth="1"/>
    <col min="16" max="16" width="8.33203125" bestFit="1" customWidth="1"/>
  </cols>
  <sheetData>
    <row r="1" spans="1:16" ht="18">
      <c r="A1" s="2" t="s">
        <v>0</v>
      </c>
    </row>
    <row r="2" spans="1:16" ht="17">
      <c r="A2" s="3" t="s">
        <v>46</v>
      </c>
    </row>
    <row r="5" spans="1:16" ht="31.5" customHeight="1">
      <c r="A5" s="112"/>
      <c r="B5" s="113">
        <v>38534</v>
      </c>
      <c r="C5" s="113">
        <v>38565</v>
      </c>
      <c r="D5" s="113">
        <v>38596</v>
      </c>
      <c r="E5" s="113">
        <v>38626</v>
      </c>
      <c r="F5" s="113">
        <v>38657</v>
      </c>
      <c r="G5" s="113">
        <v>38687</v>
      </c>
      <c r="H5" s="113">
        <v>38718</v>
      </c>
      <c r="I5" s="113">
        <v>38749</v>
      </c>
      <c r="J5" s="113">
        <v>38777</v>
      </c>
      <c r="K5" s="113">
        <v>38808</v>
      </c>
      <c r="L5" s="113">
        <v>38838</v>
      </c>
      <c r="M5" s="113">
        <v>38869</v>
      </c>
      <c r="N5" s="114" t="s">
        <v>1</v>
      </c>
      <c r="O5" s="115" t="s">
        <v>90</v>
      </c>
      <c r="P5" s="115" t="s">
        <v>91</v>
      </c>
    </row>
    <row r="6" spans="1:16">
      <c r="A6" s="11" t="s">
        <v>4</v>
      </c>
      <c r="B6" s="12"/>
      <c r="C6" s="12"/>
      <c r="D6" s="12"/>
      <c r="E6" s="12"/>
      <c r="F6" s="12"/>
      <c r="G6" s="12"/>
      <c r="H6" s="12"/>
      <c r="I6" s="12"/>
      <c r="J6" s="12"/>
      <c r="K6" s="12"/>
      <c r="L6" s="12"/>
      <c r="M6" s="12"/>
      <c r="N6" s="12"/>
    </row>
    <row r="7" spans="1:16">
      <c r="A7" t="s">
        <v>2</v>
      </c>
      <c r="B7" s="59">
        <v>104</v>
      </c>
      <c r="C7" s="59">
        <v>22</v>
      </c>
      <c r="D7" s="59">
        <v>274</v>
      </c>
      <c r="E7" s="59">
        <v>478</v>
      </c>
      <c r="F7" s="59">
        <v>415</v>
      </c>
      <c r="G7" s="60">
        <v>127</v>
      </c>
      <c r="H7" s="59">
        <v>73</v>
      </c>
      <c r="I7" s="59">
        <v>259</v>
      </c>
      <c r="J7" s="59">
        <v>259</v>
      </c>
      <c r="K7" s="59">
        <v>234</v>
      </c>
      <c r="L7" s="59">
        <v>70</v>
      </c>
      <c r="M7" s="60">
        <v>50</v>
      </c>
      <c r="N7" s="61">
        <f>SUM(B7:M7)</f>
        <v>2365</v>
      </c>
      <c r="O7" s="27"/>
      <c r="P7" s="27"/>
    </row>
    <row r="8" spans="1:16">
      <c r="A8" t="s">
        <v>3</v>
      </c>
      <c r="B8" s="49">
        <v>182</v>
      </c>
      <c r="C8" s="49">
        <v>43</v>
      </c>
      <c r="D8" s="49">
        <v>639</v>
      </c>
      <c r="E8" s="49">
        <v>662</v>
      </c>
      <c r="F8" s="49">
        <v>649</v>
      </c>
      <c r="G8" s="49">
        <v>132</v>
      </c>
      <c r="H8" s="49">
        <v>128</v>
      </c>
      <c r="I8" s="49">
        <v>559</v>
      </c>
      <c r="J8" s="49">
        <v>373</v>
      </c>
      <c r="K8" s="49">
        <v>289</v>
      </c>
      <c r="L8" s="49">
        <v>131</v>
      </c>
      <c r="M8" s="49">
        <v>42</v>
      </c>
      <c r="N8" s="45">
        <f>SUM(B8:M8)</f>
        <v>3829</v>
      </c>
      <c r="O8" s="27">
        <v>12248</v>
      </c>
      <c r="P8" s="27">
        <f>O8/N8</f>
        <v>3.1987464089840691</v>
      </c>
    </row>
    <row r="9" spans="1:16">
      <c r="B9" s="19"/>
      <c r="C9" s="19"/>
      <c r="D9" s="19"/>
      <c r="E9" s="19"/>
      <c r="F9" s="19"/>
      <c r="G9" s="19"/>
      <c r="H9" s="19"/>
      <c r="I9" s="19"/>
      <c r="J9" s="19"/>
      <c r="K9" s="19"/>
      <c r="L9" s="19"/>
      <c r="M9" s="19"/>
      <c r="N9" s="27"/>
      <c r="O9" s="27"/>
      <c r="P9" s="27"/>
    </row>
    <row r="10" spans="1:16">
      <c r="B10" s="19"/>
      <c r="C10" s="19"/>
      <c r="D10" s="19"/>
      <c r="E10" s="19"/>
      <c r="F10" s="19"/>
      <c r="G10" s="19"/>
      <c r="H10" s="19"/>
      <c r="I10" s="19"/>
      <c r="J10" s="19"/>
      <c r="K10" s="19"/>
      <c r="L10" s="19"/>
      <c r="M10" s="19"/>
      <c r="N10" s="27"/>
      <c r="O10" s="27"/>
      <c r="P10" s="27"/>
    </row>
    <row r="11" spans="1:16" ht="24">
      <c r="A11" s="112"/>
      <c r="B11" s="113">
        <v>38534</v>
      </c>
      <c r="C11" s="113">
        <v>38565</v>
      </c>
      <c r="D11" s="113">
        <v>38596</v>
      </c>
      <c r="E11" s="113">
        <v>38626</v>
      </c>
      <c r="F11" s="113">
        <v>38657</v>
      </c>
      <c r="G11" s="113">
        <v>38687</v>
      </c>
      <c r="H11" s="113">
        <v>38718</v>
      </c>
      <c r="I11" s="113">
        <v>38749</v>
      </c>
      <c r="J11" s="113">
        <v>38777</v>
      </c>
      <c r="K11" s="113">
        <v>38808</v>
      </c>
      <c r="L11" s="113">
        <v>38838</v>
      </c>
      <c r="M11" s="113">
        <v>38869</v>
      </c>
      <c r="N11" s="114" t="s">
        <v>1</v>
      </c>
      <c r="O11" s="115" t="s">
        <v>90</v>
      </c>
      <c r="P11" s="115" t="s">
        <v>91</v>
      </c>
    </row>
    <row r="12" spans="1:16">
      <c r="A12" s="1" t="s">
        <v>5</v>
      </c>
      <c r="O12" s="27"/>
      <c r="P12" s="27"/>
    </row>
    <row r="13" spans="1:16">
      <c r="A13" t="s">
        <v>2</v>
      </c>
      <c r="B13" s="49">
        <v>26</v>
      </c>
      <c r="C13" s="49">
        <v>4</v>
      </c>
      <c r="D13" s="49">
        <v>53</v>
      </c>
      <c r="E13" s="49">
        <v>230</v>
      </c>
      <c r="F13" s="49">
        <v>279</v>
      </c>
      <c r="G13" s="49">
        <v>83</v>
      </c>
      <c r="H13" s="49">
        <v>29</v>
      </c>
      <c r="I13" s="49">
        <v>85</v>
      </c>
      <c r="J13" s="49">
        <v>201</v>
      </c>
      <c r="K13" s="49">
        <v>165</v>
      </c>
      <c r="L13" s="49">
        <v>41</v>
      </c>
      <c r="M13" s="49">
        <v>30</v>
      </c>
      <c r="N13" s="45">
        <f>SUM(B13:M13)</f>
        <v>1226</v>
      </c>
      <c r="O13" s="27"/>
      <c r="P13" s="27"/>
    </row>
    <row r="14" spans="1:16">
      <c r="A14" t="s">
        <v>3</v>
      </c>
      <c r="B14" s="49">
        <v>26</v>
      </c>
      <c r="C14" s="49">
        <v>5</v>
      </c>
      <c r="D14" s="49">
        <v>74</v>
      </c>
      <c r="E14" s="49">
        <v>300</v>
      </c>
      <c r="F14" s="49">
        <v>381</v>
      </c>
      <c r="G14" s="49">
        <v>100</v>
      </c>
      <c r="H14" s="49">
        <v>30</v>
      </c>
      <c r="I14" s="49">
        <v>94</v>
      </c>
      <c r="J14" s="49">
        <v>214</v>
      </c>
      <c r="K14" s="49">
        <v>163</v>
      </c>
      <c r="L14" s="49">
        <v>44</v>
      </c>
      <c r="M14" s="49">
        <v>41</v>
      </c>
      <c r="N14" s="45">
        <f>SUM(B14:M14)</f>
        <v>1472</v>
      </c>
      <c r="O14" s="27">
        <v>0</v>
      </c>
      <c r="P14" s="28" t="s">
        <v>31</v>
      </c>
    </row>
    <row r="15" spans="1:16">
      <c r="O15" s="27"/>
      <c r="P15" s="27" t="s">
        <v>92</v>
      </c>
    </row>
    <row r="16" spans="1:16">
      <c r="O16" s="27"/>
      <c r="P16" s="27">
        <f>O8/(N8+N14)</f>
        <v>2.3105074514242596</v>
      </c>
    </row>
    <row r="17" spans="15:16">
      <c r="O17" s="27"/>
      <c r="P17" s="27"/>
    </row>
    <row r="18" spans="15:16">
      <c r="O18" s="27"/>
      <c r="P18" s="27"/>
    </row>
    <row r="19" spans="15:16">
      <c r="O19" s="27"/>
      <c r="P19" s="27"/>
    </row>
    <row r="20" spans="15:16">
      <c r="O20" s="27"/>
      <c r="P20" s="27"/>
    </row>
    <row r="21" spans="15:16">
      <c r="O21" s="27"/>
      <c r="P21" s="27"/>
    </row>
    <row r="22" spans="15:16">
      <c r="O22" s="27"/>
      <c r="P22" s="27"/>
    </row>
  </sheetData>
  <phoneticPr fontId="2" type="noConversion"/>
  <pageMargins left="0.75" right="0.75" top="1" bottom="1" header="0.5" footer="0.5"/>
  <pageSetup scale="96" orientation="landscape"/>
  <headerFooter>
    <oddFooter>&amp;L&amp;K000000ABC-CLIO&amp;R&amp;K0000002005-06 usage</oddFooter>
  </headerFooter>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P10"/>
  <sheetViews>
    <sheetView workbookViewId="0">
      <selection activeCell="J3" sqref="J3"/>
    </sheetView>
  </sheetViews>
  <sheetFormatPr baseColWidth="10" defaultColWidth="8.83203125" defaultRowHeight="12" x14ac:dyDescent="0"/>
  <cols>
    <col min="1" max="1" width="12.33203125" bestFit="1" customWidth="1"/>
    <col min="2" max="2" width="6.1640625" bestFit="1" customWidth="1"/>
    <col min="3" max="3" width="7" bestFit="1" customWidth="1"/>
    <col min="4" max="4" width="6.6640625" bestFit="1" customWidth="1"/>
    <col min="5" max="5" width="6.5" bestFit="1" customWidth="1"/>
    <col min="6" max="6" width="6.83203125" bestFit="1" customWidth="1"/>
    <col min="7" max="7" width="6.6640625" bestFit="1" customWidth="1"/>
    <col min="8" max="8" width="6.5" bestFit="1" customWidth="1"/>
    <col min="9" max="10" width="6.6640625" bestFit="1" customWidth="1"/>
    <col min="11" max="11" width="6.5" bestFit="1" customWidth="1"/>
    <col min="12" max="12" width="7" bestFit="1" customWidth="1"/>
    <col min="13" max="13" width="6.6640625" bestFit="1" customWidth="1"/>
    <col min="14" max="14" width="5.5" bestFit="1" customWidth="1"/>
    <col min="15" max="15" width="9.33203125" bestFit="1" customWidth="1"/>
    <col min="16" max="16" width="8.33203125" bestFit="1" customWidth="1"/>
  </cols>
  <sheetData>
    <row r="1" spans="1:16" ht="18">
      <c r="A1" s="2" t="s">
        <v>19</v>
      </c>
    </row>
    <row r="2" spans="1:16" ht="17">
      <c r="A2" s="3" t="s">
        <v>46</v>
      </c>
    </row>
    <row r="5" spans="1:16" ht="33" customHeight="1">
      <c r="A5" s="112"/>
      <c r="B5" s="113">
        <v>38534</v>
      </c>
      <c r="C5" s="113">
        <v>38565</v>
      </c>
      <c r="D5" s="113">
        <v>38596</v>
      </c>
      <c r="E5" s="113">
        <v>38626</v>
      </c>
      <c r="F5" s="113">
        <v>38657</v>
      </c>
      <c r="G5" s="113">
        <v>38687</v>
      </c>
      <c r="H5" s="113">
        <v>38718</v>
      </c>
      <c r="I5" s="113">
        <v>38749</v>
      </c>
      <c r="J5" s="113">
        <v>38777</v>
      </c>
      <c r="K5" s="113">
        <v>38808</v>
      </c>
      <c r="L5" s="113">
        <v>38838</v>
      </c>
      <c r="M5" s="113">
        <v>38869</v>
      </c>
      <c r="N5" s="114" t="s">
        <v>1</v>
      </c>
      <c r="O5" s="115" t="s">
        <v>93</v>
      </c>
      <c r="P5" s="115" t="s">
        <v>91</v>
      </c>
    </row>
    <row r="6" spans="1:16">
      <c r="A6" s="1" t="s">
        <v>19</v>
      </c>
      <c r="B6" s="5"/>
      <c r="C6" s="5"/>
      <c r="D6" s="5"/>
      <c r="E6" s="5"/>
      <c r="F6" s="5"/>
      <c r="G6" s="5"/>
      <c r="H6" s="5"/>
      <c r="I6" s="5"/>
      <c r="J6" s="5"/>
      <c r="K6" s="5"/>
      <c r="L6" s="5"/>
      <c r="M6" s="5"/>
      <c r="N6" s="5"/>
    </row>
    <row r="7" spans="1:16">
      <c r="A7" t="s">
        <v>2</v>
      </c>
      <c r="B7" s="102">
        <v>40</v>
      </c>
      <c r="C7" s="102">
        <v>9</v>
      </c>
      <c r="D7" s="102">
        <v>56</v>
      </c>
      <c r="E7" s="102">
        <v>120</v>
      </c>
      <c r="F7" s="102">
        <v>198</v>
      </c>
      <c r="G7" s="102">
        <v>92</v>
      </c>
      <c r="H7" s="59">
        <v>20</v>
      </c>
      <c r="I7" s="59">
        <v>83</v>
      </c>
      <c r="J7" s="59">
        <v>128</v>
      </c>
      <c r="K7" s="59">
        <v>289</v>
      </c>
      <c r="L7" s="59">
        <v>47</v>
      </c>
      <c r="M7" s="60">
        <v>46</v>
      </c>
      <c r="N7" s="61">
        <f>SUM(B7:M7)</f>
        <v>1128</v>
      </c>
      <c r="P7" s="27"/>
    </row>
    <row r="8" spans="1:16">
      <c r="A8" t="s">
        <v>3</v>
      </c>
      <c r="B8" s="103">
        <v>96</v>
      </c>
      <c r="C8" s="103">
        <v>15</v>
      </c>
      <c r="D8" s="103">
        <v>136</v>
      </c>
      <c r="E8" s="103">
        <v>284</v>
      </c>
      <c r="F8" s="103">
        <v>886</v>
      </c>
      <c r="G8" s="103">
        <v>271</v>
      </c>
      <c r="H8" s="49">
        <v>17</v>
      </c>
      <c r="I8" s="49">
        <v>142</v>
      </c>
      <c r="J8" s="49">
        <v>264</v>
      </c>
      <c r="K8" s="49">
        <v>763</v>
      </c>
      <c r="L8" s="49">
        <v>92</v>
      </c>
      <c r="M8" s="49">
        <v>89</v>
      </c>
      <c r="N8" s="45">
        <f>SUM(B8:M8)</f>
        <v>3055</v>
      </c>
      <c r="O8" s="27">
        <v>898</v>
      </c>
      <c r="P8" s="27">
        <f>O8/N8</f>
        <v>0.29394435351882159</v>
      </c>
    </row>
    <row r="10" spans="1:16">
      <c r="A10" s="14"/>
      <c r="B10" s="15"/>
    </row>
  </sheetData>
  <phoneticPr fontId="2" type="noConversion"/>
  <pageMargins left="0.75" right="0.75" top="1" bottom="1" header="0.5" footer="0.5"/>
  <pageSetup scale="91" orientation="landscape"/>
  <headerFooter>
    <oddFooter>&amp;L&amp;K000000CIAO&amp;R&amp;K0000002005-05 usage</oddFooter>
  </headerFooter>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P13"/>
  <sheetViews>
    <sheetView workbookViewId="0">
      <selection activeCell="F53" sqref="F53"/>
    </sheetView>
  </sheetViews>
  <sheetFormatPr baseColWidth="10" defaultColWidth="8.83203125" defaultRowHeight="12" x14ac:dyDescent="0"/>
  <cols>
    <col min="1" max="1" width="23.6640625" bestFit="1" customWidth="1"/>
    <col min="2" max="2" width="6.1640625" bestFit="1" customWidth="1"/>
    <col min="3" max="3" width="7" bestFit="1" customWidth="1"/>
    <col min="4" max="4" width="6.6640625" bestFit="1" customWidth="1"/>
    <col min="5" max="5" width="6.5" bestFit="1" customWidth="1"/>
    <col min="6" max="6" width="6.83203125" bestFit="1" customWidth="1"/>
    <col min="7" max="7" width="6.6640625" bestFit="1" customWidth="1"/>
    <col min="8" max="8" width="6.5" bestFit="1" customWidth="1"/>
    <col min="9" max="10" width="6.6640625" bestFit="1" customWidth="1"/>
    <col min="11" max="11" width="6.5" bestFit="1" customWidth="1"/>
    <col min="12" max="12" width="7" bestFit="1" customWidth="1"/>
    <col min="13" max="13" width="6.6640625" bestFit="1" customWidth="1"/>
    <col min="14" max="14" width="5.1640625" bestFit="1" customWidth="1"/>
    <col min="15" max="15" width="9.1640625" bestFit="1" customWidth="1"/>
    <col min="16" max="16" width="8.33203125" bestFit="1" customWidth="1"/>
  </cols>
  <sheetData>
    <row r="1" spans="1:16" ht="18">
      <c r="A1" s="111" t="s">
        <v>179</v>
      </c>
    </row>
    <row r="2" spans="1:16" ht="17">
      <c r="A2" s="3" t="s">
        <v>46</v>
      </c>
    </row>
    <row r="5" spans="1:16" ht="33" customHeight="1">
      <c r="A5" s="112"/>
      <c r="B5" s="113">
        <v>38534</v>
      </c>
      <c r="C5" s="113">
        <v>38565</v>
      </c>
      <c r="D5" s="113">
        <v>38596</v>
      </c>
      <c r="E5" s="113">
        <v>38626</v>
      </c>
      <c r="F5" s="113">
        <v>38657</v>
      </c>
      <c r="G5" s="113">
        <v>38687</v>
      </c>
      <c r="H5" s="113">
        <v>38718</v>
      </c>
      <c r="I5" s="113">
        <v>38749</v>
      </c>
      <c r="J5" s="113">
        <v>38777</v>
      </c>
      <c r="K5" s="113">
        <v>38808</v>
      </c>
      <c r="L5" s="113">
        <v>38838</v>
      </c>
      <c r="M5" s="113">
        <v>38869</v>
      </c>
      <c r="N5" s="114" t="s">
        <v>1</v>
      </c>
      <c r="O5" s="115" t="s">
        <v>93</v>
      </c>
      <c r="P5" s="115" t="s">
        <v>228</v>
      </c>
    </row>
    <row r="6" spans="1:16">
      <c r="A6" s="1" t="s">
        <v>179</v>
      </c>
      <c r="B6" s="5"/>
      <c r="C6" s="5"/>
      <c r="D6" s="5"/>
      <c r="E6" s="5"/>
      <c r="F6" s="5"/>
      <c r="G6" s="4"/>
      <c r="H6" s="5"/>
      <c r="I6" s="5"/>
      <c r="J6" s="5"/>
      <c r="K6" s="5"/>
      <c r="L6" s="5"/>
      <c r="M6" s="5"/>
      <c r="N6" s="5"/>
      <c r="O6" s="27"/>
      <c r="P6" s="27"/>
    </row>
    <row r="7" spans="1:16">
      <c r="A7" s="13" t="s">
        <v>2</v>
      </c>
      <c r="B7" s="36">
        <v>51</v>
      </c>
      <c r="C7" s="36">
        <v>10</v>
      </c>
      <c r="D7" s="36">
        <v>76</v>
      </c>
      <c r="E7" s="36">
        <v>89</v>
      </c>
      <c r="F7" s="36">
        <v>103</v>
      </c>
      <c r="G7" s="36">
        <v>31</v>
      </c>
      <c r="H7" s="36">
        <v>26</v>
      </c>
      <c r="I7" s="36">
        <v>79</v>
      </c>
      <c r="J7" s="36">
        <v>133</v>
      </c>
      <c r="K7" s="36">
        <v>130</v>
      </c>
      <c r="L7" s="36">
        <v>30</v>
      </c>
      <c r="M7" s="36">
        <v>53</v>
      </c>
      <c r="N7" s="45">
        <f>SUM(B7:M7)</f>
        <v>811</v>
      </c>
      <c r="O7" s="27"/>
      <c r="P7" s="27"/>
    </row>
    <row r="8" spans="1:16">
      <c r="A8" s="13" t="s">
        <v>3</v>
      </c>
      <c r="B8" s="36">
        <v>14</v>
      </c>
      <c r="C8" s="36">
        <v>2</v>
      </c>
      <c r="D8" s="36">
        <v>22</v>
      </c>
      <c r="E8" s="36">
        <v>8</v>
      </c>
      <c r="F8" s="36">
        <v>40</v>
      </c>
      <c r="G8" s="36">
        <v>2</v>
      </c>
      <c r="H8" s="36">
        <v>2</v>
      </c>
      <c r="I8" s="36">
        <v>25</v>
      </c>
      <c r="J8" s="36">
        <v>60</v>
      </c>
      <c r="K8" s="36">
        <v>42</v>
      </c>
      <c r="L8" s="36">
        <v>21</v>
      </c>
      <c r="M8" s="36">
        <v>8</v>
      </c>
      <c r="N8" s="45">
        <f>SUM(B8:M8)</f>
        <v>246</v>
      </c>
      <c r="O8" s="27">
        <v>2327</v>
      </c>
      <c r="P8" s="27">
        <f>O8/N8</f>
        <v>9.4593495934959346</v>
      </c>
    </row>
    <row r="9" spans="1:16">
      <c r="A9" s="13" t="s">
        <v>230</v>
      </c>
      <c r="B9" s="36">
        <v>60</v>
      </c>
      <c r="C9" s="36">
        <v>11</v>
      </c>
      <c r="D9" s="36">
        <v>50</v>
      </c>
      <c r="E9" s="36">
        <v>62</v>
      </c>
      <c r="F9" s="36">
        <v>87</v>
      </c>
      <c r="G9" s="36">
        <v>30</v>
      </c>
      <c r="H9" s="36">
        <v>1</v>
      </c>
      <c r="I9" s="36">
        <v>45</v>
      </c>
      <c r="J9" s="36">
        <v>130</v>
      </c>
      <c r="K9" s="36">
        <v>133</v>
      </c>
      <c r="L9" s="36">
        <v>23</v>
      </c>
      <c r="M9" s="36">
        <v>44</v>
      </c>
      <c r="N9" s="45">
        <f>SUM(B9:M9)</f>
        <v>676</v>
      </c>
      <c r="O9" s="27">
        <v>2327</v>
      </c>
      <c r="P9" s="27">
        <f>O9/N9</f>
        <v>3.4423076923076925</v>
      </c>
    </row>
    <row r="10" spans="1:16">
      <c r="A10" s="13" t="s">
        <v>11</v>
      </c>
      <c r="B10" s="36">
        <v>0</v>
      </c>
      <c r="C10" s="36">
        <v>0</v>
      </c>
      <c r="D10" s="36">
        <v>0</v>
      </c>
      <c r="E10" s="36">
        <v>0</v>
      </c>
      <c r="F10" s="36">
        <v>0</v>
      </c>
      <c r="G10" s="36">
        <v>0</v>
      </c>
      <c r="H10" s="36">
        <v>0</v>
      </c>
      <c r="I10" s="36">
        <v>0</v>
      </c>
      <c r="J10" s="36">
        <v>0</v>
      </c>
      <c r="K10" s="36">
        <v>0</v>
      </c>
      <c r="L10" s="36">
        <v>0</v>
      </c>
      <c r="M10" s="36">
        <v>0</v>
      </c>
      <c r="N10" s="45"/>
      <c r="O10" s="27"/>
      <c r="P10" s="27"/>
    </row>
    <row r="11" spans="1:16">
      <c r="P11" s="29"/>
    </row>
    <row r="13" spans="1:16">
      <c r="A13" t="s">
        <v>231</v>
      </c>
      <c r="B13" t="s">
        <v>232</v>
      </c>
    </row>
  </sheetData>
  <phoneticPr fontId="2" type="noConversion"/>
  <pageMargins left="0.5" right="0.5" top="0.5" bottom="0.5" header="0.5" footer="0.5"/>
  <pageSetup scale="94" orientation="landscape"/>
  <headerFooter>
    <oddFooter>&amp;L&amp;K000000Cochrane Library&amp;R&amp;K0000002005-06 usage</oddFooter>
  </headerFooter>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P10"/>
  <sheetViews>
    <sheetView workbookViewId="0"/>
  </sheetViews>
  <sheetFormatPr baseColWidth="10" defaultColWidth="8.83203125" defaultRowHeight="12" x14ac:dyDescent="0"/>
  <cols>
    <col min="1" max="1" width="20.33203125" bestFit="1" customWidth="1"/>
    <col min="2" max="2" width="6.1640625" bestFit="1" customWidth="1"/>
    <col min="3" max="3" width="7" bestFit="1" customWidth="1"/>
    <col min="4" max="4" width="6.6640625" bestFit="1" customWidth="1"/>
    <col min="5" max="5" width="6.5" bestFit="1" customWidth="1"/>
    <col min="6" max="6" width="6.83203125" bestFit="1" customWidth="1"/>
    <col min="7" max="7" width="6.6640625" bestFit="1" customWidth="1"/>
    <col min="8" max="8" width="6.5" bestFit="1" customWidth="1"/>
    <col min="9" max="10" width="6.6640625" bestFit="1" customWidth="1"/>
    <col min="11" max="11" width="6.5" bestFit="1" customWidth="1"/>
    <col min="12" max="12" width="7" bestFit="1" customWidth="1"/>
    <col min="13" max="13" width="6.6640625" bestFit="1" customWidth="1"/>
    <col min="14" max="14" width="5.1640625" bestFit="1" customWidth="1"/>
    <col min="15" max="15" width="9.33203125" bestFit="1" customWidth="1"/>
    <col min="16" max="16" width="8.33203125" bestFit="1" customWidth="1"/>
  </cols>
  <sheetData>
    <row r="1" spans="1:16" ht="18">
      <c r="A1" s="2" t="s">
        <v>9</v>
      </c>
    </row>
    <row r="2" spans="1:16" ht="17">
      <c r="A2" s="3" t="s">
        <v>46</v>
      </c>
    </row>
    <row r="5" spans="1:16" ht="31.5" customHeight="1">
      <c r="A5" s="112"/>
      <c r="B5" s="113">
        <v>38534</v>
      </c>
      <c r="C5" s="113">
        <v>38565</v>
      </c>
      <c r="D5" s="113">
        <v>38596</v>
      </c>
      <c r="E5" s="113">
        <v>38626</v>
      </c>
      <c r="F5" s="113">
        <v>38657</v>
      </c>
      <c r="G5" s="113">
        <v>38687</v>
      </c>
      <c r="H5" s="113">
        <v>38718</v>
      </c>
      <c r="I5" s="113">
        <v>38749</v>
      </c>
      <c r="J5" s="113">
        <v>38777</v>
      </c>
      <c r="K5" s="113">
        <v>38808</v>
      </c>
      <c r="L5" s="113">
        <v>38838</v>
      </c>
      <c r="M5" s="113">
        <v>38869</v>
      </c>
      <c r="N5" s="114" t="s">
        <v>1</v>
      </c>
      <c r="O5" s="115" t="s">
        <v>93</v>
      </c>
      <c r="P5" s="115" t="s">
        <v>91</v>
      </c>
    </row>
    <row r="6" spans="1:16">
      <c r="A6" s="1" t="s">
        <v>9</v>
      </c>
      <c r="B6" s="5"/>
      <c r="C6" s="5"/>
      <c r="D6" s="5"/>
      <c r="E6" s="5"/>
      <c r="F6" s="5"/>
      <c r="G6" s="4"/>
      <c r="H6" s="5"/>
      <c r="I6" s="5"/>
      <c r="J6" s="5"/>
      <c r="K6" s="5"/>
      <c r="L6" s="5"/>
      <c r="M6" s="5"/>
      <c r="N6" s="5"/>
      <c r="O6" s="27"/>
      <c r="P6" s="27"/>
    </row>
    <row r="7" spans="1:16">
      <c r="A7" s="13" t="s">
        <v>3</v>
      </c>
      <c r="B7" s="101">
        <v>87</v>
      </c>
      <c r="C7" s="101">
        <v>4</v>
      </c>
      <c r="D7" s="101">
        <v>77</v>
      </c>
      <c r="E7" s="101">
        <v>74</v>
      </c>
      <c r="F7" s="101">
        <v>72</v>
      </c>
      <c r="G7" s="101">
        <v>21</v>
      </c>
      <c r="H7" s="101">
        <v>5</v>
      </c>
      <c r="I7" s="101">
        <v>33</v>
      </c>
      <c r="J7" s="101">
        <v>25</v>
      </c>
      <c r="K7" s="101">
        <v>22</v>
      </c>
      <c r="L7" s="101">
        <v>19</v>
      </c>
      <c r="M7" s="101">
        <v>7</v>
      </c>
      <c r="N7" s="45">
        <f>SUM(B7:M7)</f>
        <v>446</v>
      </c>
      <c r="O7" s="27">
        <v>1310.6400000000001</v>
      </c>
      <c r="P7" s="27">
        <f>O7/N7</f>
        <v>2.9386547085201795</v>
      </c>
    </row>
    <row r="8" spans="1:16">
      <c r="A8" s="13" t="s">
        <v>10</v>
      </c>
      <c r="B8" s="101">
        <v>37</v>
      </c>
      <c r="C8" s="101">
        <v>2</v>
      </c>
      <c r="D8" s="101">
        <v>27</v>
      </c>
      <c r="E8" s="101">
        <v>25</v>
      </c>
      <c r="F8" s="101">
        <v>17</v>
      </c>
      <c r="G8" s="101">
        <v>7</v>
      </c>
      <c r="H8" s="101">
        <v>13</v>
      </c>
      <c r="I8" s="101">
        <v>3</v>
      </c>
      <c r="J8" s="101">
        <v>63</v>
      </c>
      <c r="K8" s="101">
        <v>19</v>
      </c>
      <c r="L8" s="101">
        <v>23</v>
      </c>
      <c r="M8" s="101">
        <v>8</v>
      </c>
      <c r="N8" s="45">
        <f>SUM(B8:M8)</f>
        <v>244</v>
      </c>
      <c r="O8" s="27"/>
      <c r="P8" s="27"/>
    </row>
    <row r="9" spans="1:16">
      <c r="A9" s="13" t="s">
        <v>11</v>
      </c>
      <c r="B9" s="101">
        <v>0</v>
      </c>
      <c r="C9" s="101">
        <v>0</v>
      </c>
      <c r="D9" s="101">
        <v>0</v>
      </c>
      <c r="E9" s="101">
        <v>0</v>
      </c>
      <c r="F9" s="101">
        <v>0</v>
      </c>
      <c r="G9" s="101">
        <v>0</v>
      </c>
      <c r="H9" s="101">
        <v>0</v>
      </c>
      <c r="I9" s="101">
        <v>0</v>
      </c>
      <c r="J9" s="101">
        <v>0</v>
      </c>
      <c r="K9" s="101">
        <v>0</v>
      </c>
      <c r="L9" s="101">
        <v>0</v>
      </c>
      <c r="M9" s="101">
        <v>0</v>
      </c>
      <c r="N9" s="45">
        <f>SUM(B9:M9)</f>
        <v>0</v>
      </c>
      <c r="O9" s="27"/>
      <c r="P9" s="27"/>
    </row>
    <row r="10" spans="1:16">
      <c r="P10" s="29"/>
    </row>
  </sheetData>
  <phoneticPr fontId="2" type="noConversion"/>
  <pageMargins left="0.5" right="0.5" top="0.5" bottom="0.5" header="0.5" footer="0.5"/>
  <pageSetup scale="96" orientation="landscape"/>
  <headerFooter>
    <oddFooter>&amp;L&amp;K000000CollegeSource&amp;R&amp;K0000002005-06 usage</oddFooter>
  </headerFooter>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P8"/>
  <sheetViews>
    <sheetView workbookViewId="0"/>
  </sheetViews>
  <sheetFormatPr baseColWidth="10" defaultColWidth="8.83203125" defaultRowHeight="12" x14ac:dyDescent="0"/>
  <cols>
    <col min="1" max="1" width="42.6640625" bestFit="1" customWidth="1"/>
    <col min="2" max="2" width="6.1640625" bestFit="1" customWidth="1"/>
    <col min="3" max="3" width="7" bestFit="1" customWidth="1"/>
    <col min="4" max="4" width="6.6640625" bestFit="1" customWidth="1"/>
    <col min="5" max="5" width="6.5" bestFit="1" customWidth="1"/>
    <col min="6" max="6" width="6.83203125" bestFit="1" customWidth="1"/>
    <col min="7" max="7" width="6.6640625" bestFit="1" customWidth="1"/>
    <col min="8" max="8" width="6.5" bestFit="1" customWidth="1"/>
    <col min="9" max="10" width="6.6640625" bestFit="1" customWidth="1"/>
    <col min="11" max="11" width="6.5" bestFit="1" customWidth="1"/>
    <col min="12" max="12" width="7" bestFit="1" customWidth="1"/>
    <col min="13" max="13" width="6.6640625" bestFit="1" customWidth="1"/>
    <col min="14" max="14" width="5.5" bestFit="1" customWidth="1"/>
    <col min="15" max="15" width="9.6640625" bestFit="1" customWidth="1"/>
    <col min="16" max="16" width="8.33203125" bestFit="1" customWidth="1"/>
  </cols>
  <sheetData>
    <row r="1" spans="1:16" ht="18">
      <c r="A1" s="2" t="s">
        <v>17</v>
      </c>
    </row>
    <row r="2" spans="1:16" ht="17">
      <c r="A2" s="3" t="s">
        <v>46</v>
      </c>
    </row>
    <row r="5" spans="1:16" ht="31.5" customHeight="1">
      <c r="A5" s="112"/>
      <c r="B5" s="113">
        <v>38534</v>
      </c>
      <c r="C5" s="113">
        <v>38565</v>
      </c>
      <c r="D5" s="113">
        <v>38596</v>
      </c>
      <c r="E5" s="113">
        <v>38626</v>
      </c>
      <c r="F5" s="113">
        <v>38657</v>
      </c>
      <c r="G5" s="113">
        <v>38687</v>
      </c>
      <c r="H5" s="113">
        <v>38718</v>
      </c>
      <c r="I5" s="113">
        <v>38749</v>
      </c>
      <c r="J5" s="113">
        <v>38777</v>
      </c>
      <c r="K5" s="113">
        <v>38808</v>
      </c>
      <c r="L5" s="113">
        <v>38838</v>
      </c>
      <c r="M5" s="113">
        <v>38869</v>
      </c>
      <c r="N5" s="114" t="s">
        <v>1</v>
      </c>
      <c r="O5" s="115" t="s">
        <v>90</v>
      </c>
      <c r="P5" s="115" t="s">
        <v>91</v>
      </c>
    </row>
    <row r="6" spans="1:16">
      <c r="A6" s="1" t="s">
        <v>181</v>
      </c>
      <c r="B6" s="5"/>
      <c r="C6" s="5"/>
      <c r="D6" s="5"/>
      <c r="E6" s="5"/>
      <c r="F6" s="5"/>
      <c r="G6" s="5"/>
      <c r="H6" s="5"/>
      <c r="I6" s="5"/>
      <c r="J6" s="5"/>
      <c r="K6" s="5"/>
      <c r="L6" s="5"/>
      <c r="M6" s="5"/>
      <c r="N6" s="5"/>
    </row>
    <row r="7" spans="1:16">
      <c r="A7" t="s">
        <v>2</v>
      </c>
      <c r="B7" s="49">
        <v>65</v>
      </c>
      <c r="C7" s="49">
        <v>86</v>
      </c>
      <c r="D7" s="49">
        <v>134</v>
      </c>
      <c r="E7" s="49">
        <v>370</v>
      </c>
      <c r="F7" s="49">
        <v>174</v>
      </c>
      <c r="G7" s="49">
        <v>81</v>
      </c>
      <c r="H7" s="49">
        <v>80</v>
      </c>
      <c r="I7" s="49">
        <v>114</v>
      </c>
      <c r="J7" s="49">
        <v>150</v>
      </c>
      <c r="K7" s="49">
        <v>131</v>
      </c>
      <c r="L7" s="49">
        <v>91</v>
      </c>
      <c r="M7" s="49">
        <v>62</v>
      </c>
      <c r="N7" s="45">
        <f>SUM(B7:M7)</f>
        <v>1538</v>
      </c>
      <c r="P7" s="27"/>
    </row>
    <row r="8" spans="1:16">
      <c r="A8" t="s">
        <v>3</v>
      </c>
      <c r="B8" s="49">
        <v>155</v>
      </c>
      <c r="C8" s="49">
        <v>219</v>
      </c>
      <c r="D8" s="49">
        <v>392</v>
      </c>
      <c r="E8" s="49">
        <v>2023</v>
      </c>
      <c r="F8" s="49">
        <v>589</v>
      </c>
      <c r="G8" s="49">
        <v>261</v>
      </c>
      <c r="H8" s="49">
        <v>272</v>
      </c>
      <c r="I8" s="49">
        <v>329</v>
      </c>
      <c r="J8" s="49">
        <v>528</v>
      </c>
      <c r="K8" s="49">
        <v>372</v>
      </c>
      <c r="L8" s="49">
        <v>262</v>
      </c>
      <c r="M8" s="49">
        <v>183</v>
      </c>
      <c r="N8" s="45">
        <f>SUM(B8:M8)</f>
        <v>5585</v>
      </c>
      <c r="O8" s="27">
        <v>13625</v>
      </c>
      <c r="P8" s="27">
        <f>O8/N8</f>
        <v>2.4395702775290959</v>
      </c>
    </row>
  </sheetData>
  <phoneticPr fontId="2" type="noConversion"/>
  <pageMargins left="0.75" right="0.75" top="1" bottom="1" header="0.5" footer="0.5"/>
  <pageSetup scale="77" orientation="landscape"/>
  <headerFooter>
    <oddFooter>&amp;L&amp;K000000Compendex&amp;R&amp;K0000002005-06 usage</oddFooter>
  </headerFooter>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P81"/>
  <sheetViews>
    <sheetView workbookViewId="0"/>
  </sheetViews>
  <sheetFormatPr baseColWidth="10" defaultColWidth="8.83203125" defaultRowHeight="12" x14ac:dyDescent="0"/>
  <cols>
    <col min="1" max="1" width="31.5" customWidth="1"/>
    <col min="2" max="2" width="6.33203125" bestFit="1" customWidth="1"/>
    <col min="3" max="3" width="7" bestFit="1" customWidth="1"/>
    <col min="4" max="4" width="6.6640625" bestFit="1" customWidth="1"/>
    <col min="5" max="5" width="6.5" bestFit="1" customWidth="1"/>
    <col min="6" max="6" width="6.83203125" bestFit="1" customWidth="1"/>
    <col min="7" max="7" width="6.6640625" bestFit="1" customWidth="1"/>
    <col min="8" max="8" width="6.5" bestFit="1" customWidth="1"/>
    <col min="9" max="10" width="6.6640625" bestFit="1" customWidth="1"/>
    <col min="11" max="11" width="6.5" bestFit="1" customWidth="1"/>
    <col min="12" max="12" width="7" bestFit="1" customWidth="1"/>
    <col min="13" max="13" width="7.83203125" customWidth="1"/>
    <col min="14" max="14" width="6.33203125" bestFit="1" customWidth="1"/>
    <col min="15" max="15" width="15.6640625" bestFit="1" customWidth="1"/>
    <col min="16" max="16" width="8.5" bestFit="1" customWidth="1"/>
  </cols>
  <sheetData>
    <row r="1" spans="1:16" ht="18">
      <c r="A1" s="2" t="s">
        <v>63</v>
      </c>
    </row>
    <row r="2" spans="1:16" ht="17">
      <c r="A2" s="3" t="s">
        <v>46</v>
      </c>
    </row>
    <row r="5" spans="1:16" ht="24">
      <c r="A5" s="131"/>
      <c r="B5" s="119">
        <v>38534</v>
      </c>
      <c r="C5" s="132">
        <v>38565</v>
      </c>
      <c r="D5" s="132">
        <v>38596</v>
      </c>
      <c r="E5" s="132">
        <v>38626</v>
      </c>
      <c r="F5" s="132">
        <v>38657</v>
      </c>
      <c r="G5" s="132">
        <v>38687</v>
      </c>
      <c r="H5" s="132">
        <v>38718</v>
      </c>
      <c r="I5" s="132">
        <v>38749</v>
      </c>
      <c r="J5" s="132">
        <v>38777</v>
      </c>
      <c r="K5" s="132">
        <v>38808</v>
      </c>
      <c r="L5" s="132">
        <v>38838</v>
      </c>
      <c r="M5" s="132">
        <v>38869</v>
      </c>
      <c r="N5" s="142" t="s">
        <v>1</v>
      </c>
      <c r="O5" s="121" t="s">
        <v>90</v>
      </c>
      <c r="P5" s="121" t="s">
        <v>91</v>
      </c>
    </row>
    <row r="6" spans="1:16">
      <c r="A6" s="1" t="s">
        <v>65</v>
      </c>
      <c r="O6" s="27"/>
      <c r="P6" s="27"/>
    </row>
    <row r="7" spans="1:16">
      <c r="A7" t="s">
        <v>3</v>
      </c>
      <c r="B7" s="91">
        <v>977</v>
      </c>
      <c r="C7" s="91">
        <v>1095</v>
      </c>
      <c r="D7" s="91">
        <v>3321</v>
      </c>
      <c r="E7" s="91">
        <v>6146</v>
      </c>
      <c r="F7" s="91">
        <v>4440</v>
      </c>
      <c r="G7" s="92">
        <v>3738</v>
      </c>
      <c r="H7" s="91">
        <v>2734</v>
      </c>
      <c r="I7" s="91">
        <v>3204</v>
      </c>
      <c r="J7" s="91">
        <v>2544</v>
      </c>
      <c r="K7" s="91">
        <v>1528</v>
      </c>
      <c r="L7" s="91">
        <v>1903</v>
      </c>
      <c r="M7" s="93">
        <v>897</v>
      </c>
      <c r="N7" s="45">
        <f>SUM(B7:M7)</f>
        <v>32527</v>
      </c>
      <c r="O7" s="27">
        <v>6908</v>
      </c>
      <c r="P7" s="27">
        <f>O7/N7</f>
        <v>0.2123774095366926</v>
      </c>
    </row>
    <row r="8" spans="1:16">
      <c r="B8" s="133"/>
      <c r="C8" s="133"/>
      <c r="D8" s="133"/>
      <c r="E8" s="133"/>
      <c r="F8" s="133"/>
      <c r="G8" s="133"/>
      <c r="H8" s="133"/>
      <c r="I8" s="133"/>
      <c r="J8" s="133"/>
      <c r="K8" s="133"/>
      <c r="L8" s="133"/>
      <c r="M8" s="133"/>
      <c r="N8" s="134"/>
      <c r="O8" s="27"/>
      <c r="P8" s="27"/>
    </row>
    <row r="9" spans="1:16">
      <c r="B9" s="133"/>
      <c r="C9" s="133"/>
      <c r="D9" s="133"/>
      <c r="E9" s="133"/>
      <c r="F9" s="133"/>
      <c r="G9" s="133"/>
      <c r="H9" s="133"/>
      <c r="I9" s="133"/>
      <c r="J9" s="133"/>
      <c r="K9" s="133"/>
      <c r="L9" s="133"/>
      <c r="M9" s="133"/>
      <c r="N9" s="134"/>
      <c r="O9" s="27"/>
      <c r="P9" s="27"/>
    </row>
    <row r="10" spans="1:16" ht="24">
      <c r="A10" s="131"/>
      <c r="B10" s="119">
        <v>38534</v>
      </c>
      <c r="C10" s="132">
        <v>38565</v>
      </c>
      <c r="D10" s="132">
        <v>38596</v>
      </c>
      <c r="E10" s="132">
        <v>38626</v>
      </c>
      <c r="F10" s="132">
        <v>38657</v>
      </c>
      <c r="G10" s="132">
        <v>38687</v>
      </c>
      <c r="H10" s="132">
        <v>38718</v>
      </c>
      <c r="I10" s="132">
        <v>38749</v>
      </c>
      <c r="J10" s="132">
        <v>38777</v>
      </c>
      <c r="K10" s="132">
        <v>38808</v>
      </c>
      <c r="L10" s="132">
        <v>38838</v>
      </c>
      <c r="M10" s="132">
        <v>38869</v>
      </c>
      <c r="N10" s="142" t="s">
        <v>1</v>
      </c>
      <c r="O10" s="121" t="s">
        <v>90</v>
      </c>
      <c r="P10" s="121" t="s">
        <v>91</v>
      </c>
    </row>
    <row r="11" spans="1:16">
      <c r="A11" s="1" t="s">
        <v>66</v>
      </c>
      <c r="B11" s="22"/>
      <c r="C11" s="24"/>
      <c r="D11" s="24"/>
      <c r="E11" s="24"/>
      <c r="F11" s="24"/>
      <c r="G11" s="24"/>
      <c r="H11" s="24"/>
      <c r="I11" s="24"/>
      <c r="J11" s="24"/>
      <c r="K11" s="24"/>
      <c r="L11" s="24"/>
      <c r="M11" s="24"/>
      <c r="O11" s="27"/>
      <c r="P11" s="27"/>
    </row>
    <row r="12" spans="1:16">
      <c r="A12" t="s">
        <v>3</v>
      </c>
      <c r="B12" s="91">
        <v>273</v>
      </c>
      <c r="C12" s="91">
        <v>70</v>
      </c>
      <c r="D12" s="91">
        <v>347</v>
      </c>
      <c r="E12" s="91">
        <v>1409</v>
      </c>
      <c r="F12" s="91">
        <v>2156</v>
      </c>
      <c r="G12" s="92">
        <v>1089</v>
      </c>
      <c r="H12" s="91">
        <v>131</v>
      </c>
      <c r="I12" s="91">
        <v>632</v>
      </c>
      <c r="J12" s="91">
        <v>922</v>
      </c>
      <c r="K12" s="91">
        <v>2764</v>
      </c>
      <c r="L12" s="91">
        <v>287</v>
      </c>
      <c r="M12" s="93">
        <v>182</v>
      </c>
      <c r="N12" s="45">
        <f>SUM(B12:M12)</f>
        <v>10262</v>
      </c>
      <c r="O12" s="27">
        <v>2530</v>
      </c>
      <c r="P12" s="27">
        <f>O12/N12</f>
        <v>0.24654063535373222</v>
      </c>
    </row>
    <row r="13" spans="1:16">
      <c r="B13" s="133"/>
      <c r="C13" s="133"/>
      <c r="D13" s="133"/>
      <c r="E13" s="133"/>
      <c r="F13" s="133"/>
      <c r="G13" s="133"/>
      <c r="H13" s="133"/>
      <c r="I13" s="133"/>
      <c r="J13" s="133"/>
      <c r="K13" s="133"/>
      <c r="L13" s="133"/>
      <c r="M13" s="133"/>
      <c r="N13" s="134"/>
      <c r="O13" s="27"/>
      <c r="P13" s="27"/>
    </row>
    <row r="14" spans="1:16">
      <c r="B14" s="133"/>
      <c r="C14" s="133"/>
      <c r="D14" s="133"/>
      <c r="E14" s="133"/>
      <c r="F14" s="133"/>
      <c r="G14" s="133"/>
      <c r="H14" s="133"/>
      <c r="I14" s="133"/>
      <c r="J14" s="133"/>
      <c r="K14" s="133"/>
      <c r="L14" s="133"/>
      <c r="M14" s="133"/>
      <c r="N14" s="134"/>
      <c r="O14" s="27"/>
      <c r="P14" s="27"/>
    </row>
    <row r="15" spans="1:16" ht="24">
      <c r="A15" s="131"/>
      <c r="B15" s="119">
        <v>38534</v>
      </c>
      <c r="C15" s="132">
        <v>38565</v>
      </c>
      <c r="D15" s="132">
        <v>38596</v>
      </c>
      <c r="E15" s="132">
        <v>38626</v>
      </c>
      <c r="F15" s="132">
        <v>38657</v>
      </c>
      <c r="G15" s="132">
        <v>38687</v>
      </c>
      <c r="H15" s="132">
        <v>38718</v>
      </c>
      <c r="I15" s="132">
        <v>38749</v>
      </c>
      <c r="J15" s="132">
        <v>38777</v>
      </c>
      <c r="K15" s="132">
        <v>38808</v>
      </c>
      <c r="L15" s="132">
        <v>38838</v>
      </c>
      <c r="M15" s="132">
        <v>38869</v>
      </c>
      <c r="N15" s="142" t="s">
        <v>1</v>
      </c>
      <c r="O15" s="121" t="s">
        <v>90</v>
      </c>
      <c r="P15" s="121" t="s">
        <v>91</v>
      </c>
    </row>
    <row r="16" spans="1:16">
      <c r="A16" s="1" t="s">
        <v>78</v>
      </c>
      <c r="B16" s="22"/>
      <c r="C16" s="24"/>
      <c r="D16" s="24"/>
      <c r="E16" s="24"/>
      <c r="F16" s="24"/>
      <c r="G16" s="24"/>
      <c r="H16" s="24"/>
      <c r="I16" s="24"/>
      <c r="J16" s="24"/>
      <c r="K16" s="24"/>
      <c r="L16" s="24"/>
      <c r="M16" s="24"/>
      <c r="O16" s="27"/>
      <c r="P16" s="27"/>
    </row>
    <row r="17" spans="1:16">
      <c r="A17" t="s">
        <v>3</v>
      </c>
      <c r="B17" s="91">
        <v>411</v>
      </c>
      <c r="C17" s="91">
        <v>163</v>
      </c>
      <c r="D17" s="91">
        <v>387</v>
      </c>
      <c r="E17" s="91">
        <v>919</v>
      </c>
      <c r="F17" s="91">
        <v>1024</v>
      </c>
      <c r="G17" s="92">
        <v>412</v>
      </c>
      <c r="H17" s="91">
        <v>206</v>
      </c>
      <c r="I17" s="91">
        <v>639</v>
      </c>
      <c r="J17" s="91">
        <v>515</v>
      </c>
      <c r="K17" s="91">
        <v>978</v>
      </c>
      <c r="L17" s="91">
        <v>282</v>
      </c>
      <c r="M17" s="93">
        <v>109</v>
      </c>
      <c r="N17" s="45">
        <f>SUM(B17:M17)</f>
        <v>6045</v>
      </c>
      <c r="O17" s="27">
        <v>3990</v>
      </c>
      <c r="P17" s="27">
        <f>O17/N17</f>
        <v>0.66004962779156329</v>
      </c>
    </row>
    <row r="18" spans="1:16">
      <c r="B18" s="133"/>
      <c r="C18" s="133"/>
      <c r="D18" s="133"/>
      <c r="E18" s="133"/>
      <c r="F18" s="133"/>
      <c r="G18" s="133"/>
      <c r="H18" s="133"/>
      <c r="I18" s="133"/>
      <c r="J18" s="133"/>
      <c r="K18" s="133"/>
      <c r="L18" s="133"/>
      <c r="M18" s="133"/>
      <c r="N18" s="134"/>
      <c r="O18" s="27"/>
      <c r="P18" s="27"/>
    </row>
    <row r="19" spans="1:16">
      <c r="B19" s="133"/>
      <c r="C19" s="133"/>
      <c r="D19" s="133"/>
      <c r="E19" s="133"/>
      <c r="F19" s="133"/>
      <c r="G19" s="133"/>
      <c r="H19" s="133"/>
      <c r="I19" s="133"/>
      <c r="J19" s="133"/>
      <c r="K19" s="133"/>
      <c r="L19" s="133"/>
      <c r="M19" s="133"/>
      <c r="N19" s="134"/>
      <c r="O19" s="27"/>
      <c r="P19" s="27"/>
    </row>
    <row r="20" spans="1:16" ht="24">
      <c r="A20" s="131"/>
      <c r="B20" s="119">
        <v>38534</v>
      </c>
      <c r="C20" s="132">
        <v>38565</v>
      </c>
      <c r="D20" s="132">
        <v>38596</v>
      </c>
      <c r="E20" s="132">
        <v>38626</v>
      </c>
      <c r="F20" s="132">
        <v>38657</v>
      </c>
      <c r="G20" s="132">
        <v>38687</v>
      </c>
      <c r="H20" s="132">
        <v>38718</v>
      </c>
      <c r="I20" s="132">
        <v>38749</v>
      </c>
      <c r="J20" s="132">
        <v>38777</v>
      </c>
      <c r="K20" s="132">
        <v>38808</v>
      </c>
      <c r="L20" s="132">
        <v>38838</v>
      </c>
      <c r="M20" s="132">
        <v>38869</v>
      </c>
      <c r="N20" s="142" t="s">
        <v>1</v>
      </c>
      <c r="O20" s="121" t="s">
        <v>90</v>
      </c>
      <c r="P20" s="121" t="s">
        <v>91</v>
      </c>
    </row>
    <row r="21" spans="1:16">
      <c r="A21" s="1" t="s">
        <v>42</v>
      </c>
      <c r="B21" s="22"/>
      <c r="C21" s="24"/>
      <c r="D21" s="24"/>
      <c r="E21" s="24"/>
      <c r="F21" s="24"/>
      <c r="G21" s="24"/>
      <c r="H21" s="24"/>
      <c r="I21" s="24"/>
      <c r="J21" s="24"/>
      <c r="K21" s="24"/>
      <c r="L21" s="24"/>
      <c r="M21" s="24"/>
      <c r="O21" s="27"/>
      <c r="P21" s="27"/>
    </row>
    <row r="22" spans="1:16">
      <c r="A22" t="s">
        <v>3</v>
      </c>
      <c r="B22" s="91">
        <v>204</v>
      </c>
      <c r="C22" s="91">
        <v>61</v>
      </c>
      <c r="D22" s="91">
        <v>231</v>
      </c>
      <c r="E22" s="91">
        <v>1328</v>
      </c>
      <c r="F22" s="91">
        <v>1266</v>
      </c>
      <c r="G22" s="92">
        <v>483</v>
      </c>
      <c r="H22" s="91">
        <v>150</v>
      </c>
      <c r="I22" s="91">
        <v>951</v>
      </c>
      <c r="J22" s="91">
        <v>772</v>
      </c>
      <c r="K22" s="91">
        <v>1145</v>
      </c>
      <c r="L22" s="91">
        <v>278</v>
      </c>
      <c r="M22" s="93">
        <v>192</v>
      </c>
      <c r="N22" s="45">
        <f>SUM(B22:M22)</f>
        <v>7061</v>
      </c>
      <c r="O22" s="27">
        <v>0</v>
      </c>
      <c r="P22" s="28" t="s">
        <v>31</v>
      </c>
    </row>
    <row r="23" spans="1:16">
      <c r="B23" s="133"/>
      <c r="C23" s="133"/>
      <c r="D23" s="133"/>
      <c r="E23" s="133"/>
      <c r="F23" s="133"/>
      <c r="G23" s="133"/>
      <c r="H23" s="133"/>
      <c r="I23" s="133"/>
      <c r="J23" s="133"/>
      <c r="K23" s="133"/>
      <c r="L23" s="133"/>
      <c r="M23" s="133"/>
      <c r="N23" s="134"/>
      <c r="O23" s="27"/>
      <c r="P23" s="28"/>
    </row>
    <row r="24" spans="1:16">
      <c r="B24" s="133"/>
      <c r="C24" s="133"/>
      <c r="D24" s="133"/>
      <c r="E24" s="133"/>
      <c r="F24" s="133"/>
      <c r="G24" s="133"/>
      <c r="H24" s="133"/>
      <c r="I24" s="133"/>
      <c r="J24" s="133"/>
      <c r="K24" s="133"/>
      <c r="L24" s="133"/>
      <c r="M24" s="133"/>
      <c r="N24" s="134"/>
      <c r="O24" s="27"/>
      <c r="P24" s="28"/>
    </row>
    <row r="25" spans="1:16" ht="24">
      <c r="A25" s="131"/>
      <c r="B25" s="119">
        <v>38534</v>
      </c>
      <c r="C25" s="132">
        <v>38565</v>
      </c>
      <c r="D25" s="132">
        <v>38596</v>
      </c>
      <c r="E25" s="132">
        <v>38626</v>
      </c>
      <c r="F25" s="132">
        <v>38657</v>
      </c>
      <c r="G25" s="132">
        <v>38687</v>
      </c>
      <c r="H25" s="132">
        <v>38718</v>
      </c>
      <c r="I25" s="132">
        <v>38749</v>
      </c>
      <c r="J25" s="132">
        <v>38777</v>
      </c>
      <c r="K25" s="132">
        <v>38808</v>
      </c>
      <c r="L25" s="132">
        <v>38838</v>
      </c>
      <c r="M25" s="132">
        <v>38869</v>
      </c>
      <c r="N25" s="142" t="s">
        <v>1</v>
      </c>
      <c r="O25" s="121" t="s">
        <v>90</v>
      </c>
      <c r="P25" s="121" t="s">
        <v>91</v>
      </c>
    </row>
    <row r="26" spans="1:16">
      <c r="A26" s="1" t="s">
        <v>67</v>
      </c>
      <c r="B26" s="22"/>
      <c r="C26" s="24"/>
      <c r="D26" s="24"/>
      <c r="E26" s="24"/>
      <c r="F26" s="24"/>
      <c r="G26" s="24"/>
      <c r="H26" s="24"/>
      <c r="I26" s="24"/>
      <c r="J26" s="24"/>
      <c r="K26" s="24"/>
      <c r="L26" s="24"/>
      <c r="M26" s="24"/>
      <c r="O26" s="27"/>
      <c r="P26" s="27"/>
    </row>
    <row r="27" spans="1:16">
      <c r="A27" t="s">
        <v>3</v>
      </c>
      <c r="B27" s="91">
        <v>144</v>
      </c>
      <c r="C27" s="91">
        <v>99</v>
      </c>
      <c r="D27" s="91">
        <v>191</v>
      </c>
      <c r="E27" s="91">
        <v>302</v>
      </c>
      <c r="F27" s="91">
        <v>268</v>
      </c>
      <c r="G27" s="92">
        <v>228</v>
      </c>
      <c r="H27" s="91">
        <v>124</v>
      </c>
      <c r="I27" s="91">
        <v>258</v>
      </c>
      <c r="J27" s="91">
        <v>495</v>
      </c>
      <c r="K27" s="91">
        <v>273</v>
      </c>
      <c r="L27" s="91">
        <v>296</v>
      </c>
      <c r="M27" s="93">
        <v>140</v>
      </c>
      <c r="N27" s="45">
        <f>SUM(B27:M27)</f>
        <v>2818</v>
      </c>
      <c r="O27" s="27">
        <v>3280</v>
      </c>
      <c r="P27" s="27">
        <f>O27/N27</f>
        <v>1.1639460610361958</v>
      </c>
    </row>
    <row r="28" spans="1:16">
      <c r="B28" s="133"/>
      <c r="C28" s="133"/>
      <c r="D28" s="133"/>
      <c r="E28" s="133"/>
      <c r="F28" s="133"/>
      <c r="G28" s="133"/>
      <c r="H28" s="133"/>
      <c r="I28" s="133"/>
      <c r="J28" s="133"/>
      <c r="K28" s="133"/>
      <c r="L28" s="133"/>
      <c r="M28" s="133"/>
      <c r="N28" s="134"/>
      <c r="O28" s="27"/>
      <c r="P28" s="27"/>
    </row>
    <row r="29" spans="1:16">
      <c r="B29" s="133"/>
      <c r="C29" s="133"/>
      <c r="D29" s="133"/>
      <c r="E29" s="133"/>
      <c r="F29" s="133"/>
      <c r="G29" s="133"/>
      <c r="H29" s="133"/>
      <c r="I29" s="133"/>
      <c r="J29" s="133"/>
      <c r="K29" s="133"/>
      <c r="L29" s="133"/>
      <c r="M29" s="133"/>
      <c r="N29" s="134"/>
      <c r="O29" s="27"/>
      <c r="P29" s="27"/>
    </row>
    <row r="30" spans="1:16" ht="24">
      <c r="A30" s="131"/>
      <c r="B30" s="119">
        <v>38534</v>
      </c>
      <c r="C30" s="132">
        <v>38565</v>
      </c>
      <c r="D30" s="132">
        <v>38596</v>
      </c>
      <c r="E30" s="132">
        <v>38626</v>
      </c>
      <c r="F30" s="132">
        <v>38657</v>
      </c>
      <c r="G30" s="132">
        <v>38687</v>
      </c>
      <c r="H30" s="132">
        <v>38718</v>
      </c>
      <c r="I30" s="132">
        <v>38749</v>
      </c>
      <c r="J30" s="132">
        <v>38777</v>
      </c>
      <c r="K30" s="132">
        <v>38808</v>
      </c>
      <c r="L30" s="132">
        <v>38838</v>
      </c>
      <c r="M30" s="132">
        <v>38869</v>
      </c>
      <c r="N30" s="142" t="s">
        <v>1</v>
      </c>
      <c r="O30" s="121" t="s">
        <v>90</v>
      </c>
      <c r="P30" s="121" t="s">
        <v>91</v>
      </c>
    </row>
    <row r="31" spans="1:16">
      <c r="A31" s="1" t="s">
        <v>76</v>
      </c>
      <c r="B31" s="22"/>
      <c r="C31" s="24"/>
      <c r="D31" s="24"/>
      <c r="E31" s="24"/>
      <c r="F31" s="24"/>
      <c r="G31" s="24"/>
      <c r="H31" s="24"/>
      <c r="I31" s="24"/>
      <c r="J31" s="24"/>
      <c r="K31" s="24"/>
      <c r="L31" s="24"/>
      <c r="M31" s="24"/>
      <c r="O31" s="27"/>
      <c r="P31" s="27"/>
    </row>
    <row r="32" spans="1:16">
      <c r="A32" t="s">
        <v>3</v>
      </c>
      <c r="B32" s="91">
        <v>415</v>
      </c>
      <c r="C32" s="91">
        <v>458</v>
      </c>
      <c r="D32" s="91">
        <v>611</v>
      </c>
      <c r="E32" s="91">
        <v>995</v>
      </c>
      <c r="F32" s="91">
        <v>953</v>
      </c>
      <c r="G32" s="92">
        <v>914</v>
      </c>
      <c r="H32" s="91">
        <v>651</v>
      </c>
      <c r="I32" s="91">
        <v>897</v>
      </c>
      <c r="J32" s="91">
        <v>1022</v>
      </c>
      <c r="K32" s="91">
        <v>795</v>
      </c>
      <c r="L32" s="91">
        <v>1456</v>
      </c>
      <c r="M32" s="93">
        <v>565</v>
      </c>
      <c r="N32" s="45">
        <f>SUM(B32:M32)</f>
        <v>9732</v>
      </c>
      <c r="O32" s="27">
        <v>3681</v>
      </c>
      <c r="P32" s="27">
        <f>O32/N32</f>
        <v>0.3782367447595561</v>
      </c>
    </row>
    <row r="33" spans="1:16">
      <c r="B33" s="133"/>
      <c r="C33" s="133"/>
      <c r="D33" s="133"/>
      <c r="E33" s="133"/>
      <c r="F33" s="133"/>
      <c r="G33" s="133"/>
      <c r="H33" s="133"/>
      <c r="I33" s="133"/>
      <c r="J33" s="133"/>
      <c r="K33" s="133"/>
      <c r="L33" s="133"/>
      <c r="M33" s="133"/>
      <c r="N33" s="134"/>
      <c r="O33" s="27"/>
      <c r="P33" s="27"/>
    </row>
    <row r="34" spans="1:16">
      <c r="B34" s="133"/>
      <c r="C34" s="133"/>
      <c r="D34" s="133"/>
      <c r="E34" s="133"/>
      <c r="F34" s="133"/>
      <c r="G34" s="133"/>
      <c r="H34" s="133"/>
      <c r="I34" s="133"/>
      <c r="J34" s="133"/>
      <c r="K34" s="133"/>
      <c r="L34" s="133"/>
      <c r="M34" s="133"/>
      <c r="N34" s="134"/>
      <c r="O34" s="27"/>
      <c r="P34" s="27"/>
    </row>
    <row r="35" spans="1:16" ht="24">
      <c r="A35" s="131"/>
      <c r="B35" s="119">
        <v>38534</v>
      </c>
      <c r="C35" s="132">
        <v>38565</v>
      </c>
      <c r="D35" s="132">
        <v>38596</v>
      </c>
      <c r="E35" s="132">
        <v>38626</v>
      </c>
      <c r="F35" s="132">
        <v>38657</v>
      </c>
      <c r="G35" s="132">
        <v>38687</v>
      </c>
      <c r="H35" s="132">
        <v>38718</v>
      </c>
      <c r="I35" s="132">
        <v>38749</v>
      </c>
      <c r="J35" s="132">
        <v>38777</v>
      </c>
      <c r="K35" s="132">
        <v>38808</v>
      </c>
      <c r="L35" s="132">
        <v>38838</v>
      </c>
      <c r="M35" s="132">
        <v>38869</v>
      </c>
      <c r="N35" s="142" t="s">
        <v>1</v>
      </c>
      <c r="O35" s="121" t="s">
        <v>90</v>
      </c>
      <c r="P35" s="121" t="s">
        <v>91</v>
      </c>
    </row>
    <row r="36" spans="1:16">
      <c r="A36" s="1" t="s">
        <v>68</v>
      </c>
      <c r="B36" s="22"/>
      <c r="C36" s="24"/>
      <c r="D36" s="24"/>
      <c r="E36" s="24"/>
      <c r="F36" s="24"/>
      <c r="G36" s="24"/>
      <c r="H36" s="24"/>
      <c r="I36" s="24"/>
      <c r="J36" s="24"/>
      <c r="K36" s="24"/>
      <c r="L36" s="24"/>
      <c r="M36" s="24"/>
      <c r="O36" s="27"/>
      <c r="P36" s="27"/>
    </row>
    <row r="37" spans="1:16">
      <c r="A37" t="s">
        <v>3</v>
      </c>
      <c r="B37" s="91">
        <v>450</v>
      </c>
      <c r="C37" s="91">
        <v>481</v>
      </c>
      <c r="D37" s="91">
        <v>655</v>
      </c>
      <c r="E37" s="91">
        <v>1117</v>
      </c>
      <c r="F37" s="91">
        <v>1191</v>
      </c>
      <c r="G37" s="92">
        <v>1025</v>
      </c>
      <c r="H37" s="91">
        <v>684</v>
      </c>
      <c r="I37" s="91">
        <v>942</v>
      </c>
      <c r="J37" s="91">
        <v>1254</v>
      </c>
      <c r="K37" s="91">
        <v>936</v>
      </c>
      <c r="L37" s="91">
        <v>1496</v>
      </c>
      <c r="M37" s="93">
        <v>589</v>
      </c>
      <c r="N37" s="45">
        <f>SUM(B37:M37)</f>
        <v>10820</v>
      </c>
      <c r="O37" s="27">
        <v>0</v>
      </c>
      <c r="P37" s="28" t="s">
        <v>31</v>
      </c>
    </row>
    <row r="38" spans="1:16">
      <c r="B38" s="133"/>
      <c r="C38" s="133"/>
      <c r="D38" s="133"/>
      <c r="E38" s="133"/>
      <c r="F38" s="133"/>
      <c r="G38" s="133"/>
      <c r="H38" s="133"/>
      <c r="I38" s="133"/>
      <c r="J38" s="133"/>
      <c r="K38" s="133"/>
      <c r="L38" s="133"/>
      <c r="M38" s="133"/>
      <c r="N38" s="134"/>
      <c r="O38" t="s">
        <v>94</v>
      </c>
      <c r="P38" s="28"/>
    </row>
    <row r="39" spans="1:16">
      <c r="B39" s="133"/>
      <c r="C39" s="133"/>
      <c r="D39" s="133"/>
      <c r="E39" s="133"/>
      <c r="F39" s="133"/>
      <c r="G39" s="133"/>
      <c r="H39" s="133"/>
      <c r="I39" s="133"/>
      <c r="J39" s="133"/>
      <c r="K39" s="133"/>
      <c r="L39" s="133"/>
      <c r="M39" s="133"/>
      <c r="N39" s="134"/>
      <c r="O39" s="27"/>
      <c r="P39" s="28"/>
    </row>
    <row r="40" spans="1:16" ht="24">
      <c r="A40" s="131"/>
      <c r="B40" s="119">
        <v>38534</v>
      </c>
      <c r="C40" s="132">
        <v>38565</v>
      </c>
      <c r="D40" s="132">
        <v>38596</v>
      </c>
      <c r="E40" s="132">
        <v>38626</v>
      </c>
      <c r="F40" s="132">
        <v>38657</v>
      </c>
      <c r="G40" s="132">
        <v>38687</v>
      </c>
      <c r="H40" s="132">
        <v>38718</v>
      </c>
      <c r="I40" s="132">
        <v>38749</v>
      </c>
      <c r="J40" s="132">
        <v>38777</v>
      </c>
      <c r="K40" s="132">
        <v>38808</v>
      </c>
      <c r="L40" s="132">
        <v>38838</v>
      </c>
      <c r="M40" s="132">
        <v>38869</v>
      </c>
      <c r="N40" s="142" t="s">
        <v>1</v>
      </c>
      <c r="O40" s="121" t="s">
        <v>90</v>
      </c>
      <c r="P40" s="121" t="s">
        <v>91</v>
      </c>
    </row>
    <row r="41" spans="1:16">
      <c r="A41" s="1" t="s">
        <v>69</v>
      </c>
      <c r="B41" s="22"/>
      <c r="C41" s="24"/>
      <c r="D41" s="24"/>
      <c r="E41" s="24"/>
      <c r="F41" s="24"/>
      <c r="G41" s="24"/>
      <c r="H41" s="24"/>
      <c r="I41" s="24"/>
      <c r="J41" s="24"/>
      <c r="K41" s="24"/>
      <c r="L41" s="24"/>
      <c r="M41" s="24"/>
      <c r="O41" s="27"/>
      <c r="P41" s="27"/>
    </row>
    <row r="42" spans="1:16">
      <c r="A42" t="s">
        <v>3</v>
      </c>
      <c r="B42" s="91">
        <v>225</v>
      </c>
      <c r="C42" s="91">
        <v>51</v>
      </c>
      <c r="D42" s="91">
        <v>439</v>
      </c>
      <c r="E42" s="91">
        <v>1070</v>
      </c>
      <c r="F42" s="91">
        <v>1571</v>
      </c>
      <c r="G42" s="92">
        <v>542</v>
      </c>
      <c r="H42" s="91">
        <v>119</v>
      </c>
      <c r="I42" s="91">
        <v>494</v>
      </c>
      <c r="J42" s="91">
        <v>548</v>
      </c>
      <c r="K42" s="91">
        <v>1165</v>
      </c>
      <c r="L42" s="91">
        <v>222</v>
      </c>
      <c r="M42" s="93">
        <v>267</v>
      </c>
      <c r="N42" s="45">
        <f>SUM(B42:M42)</f>
        <v>6713</v>
      </c>
      <c r="O42" s="27">
        <v>4920</v>
      </c>
      <c r="P42" s="27">
        <f>O42/N42</f>
        <v>0.73290630120661404</v>
      </c>
    </row>
    <row r="43" spans="1:16">
      <c r="B43" s="133"/>
      <c r="C43" s="133"/>
      <c r="D43" s="133"/>
      <c r="E43" s="133"/>
      <c r="F43" s="133"/>
      <c r="G43" s="133"/>
      <c r="H43" s="133"/>
      <c r="I43" s="133"/>
      <c r="J43" s="133"/>
      <c r="K43" s="133"/>
      <c r="L43" s="133"/>
      <c r="M43" s="133"/>
      <c r="N43" s="134"/>
      <c r="O43" s="27"/>
      <c r="P43" s="27"/>
    </row>
    <row r="44" spans="1:16">
      <c r="B44" s="133"/>
      <c r="C44" s="133"/>
      <c r="D44" s="133"/>
      <c r="E44" s="133"/>
      <c r="F44" s="133"/>
      <c r="G44" s="133"/>
      <c r="H44" s="133"/>
      <c r="I44" s="133"/>
      <c r="J44" s="133"/>
      <c r="K44" s="133"/>
      <c r="L44" s="133"/>
      <c r="M44" s="133"/>
      <c r="N44" s="134"/>
      <c r="O44" s="27"/>
      <c r="P44" s="27"/>
    </row>
    <row r="45" spans="1:16" ht="24">
      <c r="A45" s="131"/>
      <c r="B45" s="119">
        <v>38534</v>
      </c>
      <c r="C45" s="132">
        <v>38565</v>
      </c>
      <c r="D45" s="132">
        <v>38596</v>
      </c>
      <c r="E45" s="132">
        <v>38626</v>
      </c>
      <c r="F45" s="132">
        <v>38657</v>
      </c>
      <c r="G45" s="132">
        <v>38687</v>
      </c>
      <c r="H45" s="132">
        <v>38718</v>
      </c>
      <c r="I45" s="132">
        <v>38749</v>
      </c>
      <c r="J45" s="132">
        <v>38777</v>
      </c>
      <c r="K45" s="132">
        <v>38808</v>
      </c>
      <c r="L45" s="132">
        <v>38838</v>
      </c>
      <c r="M45" s="132">
        <v>38869</v>
      </c>
      <c r="N45" s="142" t="s">
        <v>1</v>
      </c>
      <c r="O45" s="121" t="s">
        <v>90</v>
      </c>
      <c r="P45" s="121" t="s">
        <v>91</v>
      </c>
    </row>
    <row r="46" spans="1:16">
      <c r="A46" s="1" t="s">
        <v>23</v>
      </c>
      <c r="B46" s="22"/>
      <c r="C46" s="24"/>
      <c r="D46" s="24"/>
      <c r="E46" s="24"/>
      <c r="F46" s="24"/>
      <c r="G46" s="24"/>
      <c r="H46" s="24"/>
      <c r="I46" s="24"/>
      <c r="J46" s="24"/>
      <c r="K46" s="24"/>
      <c r="L46" s="24"/>
      <c r="M46" s="24"/>
      <c r="O46" s="27"/>
      <c r="P46" s="27"/>
    </row>
    <row r="47" spans="1:16">
      <c r="A47" t="s">
        <v>3</v>
      </c>
      <c r="B47" s="91">
        <v>45</v>
      </c>
      <c r="C47" s="91">
        <v>6</v>
      </c>
      <c r="D47" s="91">
        <v>41</v>
      </c>
      <c r="E47" s="91">
        <v>150</v>
      </c>
      <c r="F47" s="91">
        <v>307</v>
      </c>
      <c r="G47" s="92">
        <v>185</v>
      </c>
      <c r="H47" s="91">
        <v>22</v>
      </c>
      <c r="I47" s="91">
        <v>101</v>
      </c>
      <c r="J47" s="91">
        <v>197</v>
      </c>
      <c r="K47" s="91">
        <v>308</v>
      </c>
      <c r="L47" s="91">
        <v>102</v>
      </c>
      <c r="M47" s="93">
        <v>67</v>
      </c>
      <c r="N47" s="45">
        <f>SUM(B47:M47)</f>
        <v>1531</v>
      </c>
      <c r="O47" s="27">
        <v>2550</v>
      </c>
      <c r="P47" s="27">
        <f>O47/N47</f>
        <v>1.6655780535597648</v>
      </c>
    </row>
    <row r="48" spans="1:16">
      <c r="B48" s="133"/>
      <c r="C48" s="133"/>
      <c r="D48" s="133"/>
      <c r="E48" s="133"/>
      <c r="F48" s="133"/>
      <c r="G48" s="133"/>
      <c r="H48" s="133"/>
      <c r="I48" s="133"/>
      <c r="J48" s="133"/>
      <c r="K48" s="133"/>
      <c r="L48" s="133"/>
      <c r="M48" s="133"/>
      <c r="N48" s="134"/>
      <c r="O48" s="27"/>
      <c r="P48" s="27"/>
    </row>
    <row r="49" spans="1:16">
      <c r="B49" s="133"/>
      <c r="C49" s="133"/>
      <c r="D49" s="133"/>
      <c r="E49" s="133"/>
      <c r="F49" s="133"/>
      <c r="G49" s="133"/>
      <c r="H49" s="133"/>
      <c r="I49" s="133"/>
      <c r="J49" s="133"/>
      <c r="K49" s="133"/>
      <c r="L49" s="133"/>
      <c r="M49" s="133"/>
      <c r="N49" s="134"/>
      <c r="O49" s="27"/>
      <c r="P49" s="27"/>
    </row>
    <row r="50" spans="1:16" ht="24">
      <c r="A50" s="131"/>
      <c r="B50" s="119">
        <v>38534</v>
      </c>
      <c r="C50" s="132">
        <v>38565</v>
      </c>
      <c r="D50" s="132">
        <v>38596</v>
      </c>
      <c r="E50" s="132">
        <v>38626</v>
      </c>
      <c r="F50" s="132">
        <v>38657</v>
      </c>
      <c r="G50" s="132">
        <v>38687</v>
      </c>
      <c r="H50" s="132">
        <v>38718</v>
      </c>
      <c r="I50" s="132">
        <v>38749</v>
      </c>
      <c r="J50" s="132">
        <v>38777</v>
      </c>
      <c r="K50" s="132">
        <v>38808</v>
      </c>
      <c r="L50" s="132">
        <v>38838</v>
      </c>
      <c r="M50" s="132">
        <v>38869</v>
      </c>
      <c r="N50" s="142" t="s">
        <v>1</v>
      </c>
      <c r="O50" s="121" t="s">
        <v>90</v>
      </c>
      <c r="P50" s="121" t="s">
        <v>91</v>
      </c>
    </row>
    <row r="51" spans="1:16">
      <c r="A51" s="1" t="s">
        <v>70</v>
      </c>
      <c r="B51" s="22"/>
      <c r="C51" s="24"/>
      <c r="D51" s="24"/>
      <c r="E51" s="24"/>
      <c r="F51" s="24"/>
      <c r="G51" s="24"/>
      <c r="H51" s="24"/>
      <c r="I51" s="24"/>
      <c r="J51" s="24"/>
      <c r="K51" s="24"/>
      <c r="L51" s="24"/>
      <c r="M51" s="24"/>
      <c r="O51" s="27"/>
      <c r="P51" s="27"/>
    </row>
    <row r="52" spans="1:16">
      <c r="A52" t="s">
        <v>3</v>
      </c>
      <c r="B52" s="91">
        <v>185</v>
      </c>
      <c r="C52" s="91">
        <v>122</v>
      </c>
      <c r="D52" s="91">
        <v>258</v>
      </c>
      <c r="E52" s="91">
        <v>1073</v>
      </c>
      <c r="F52" s="91">
        <v>993</v>
      </c>
      <c r="G52" s="92">
        <v>507</v>
      </c>
      <c r="H52" s="91">
        <v>167</v>
      </c>
      <c r="I52" s="91">
        <v>541</v>
      </c>
      <c r="J52" s="91">
        <v>592</v>
      </c>
      <c r="K52" s="91">
        <v>949</v>
      </c>
      <c r="L52" s="91">
        <v>418</v>
      </c>
      <c r="M52" s="93">
        <v>109</v>
      </c>
      <c r="N52" s="45">
        <f>SUM(B52:M52)</f>
        <v>5914</v>
      </c>
      <c r="O52" s="27">
        <v>975</v>
      </c>
      <c r="P52" s="27">
        <f>O52/N52</f>
        <v>0.16486303686168413</v>
      </c>
    </row>
    <row r="53" spans="1:16">
      <c r="B53" s="133"/>
      <c r="C53" s="133"/>
      <c r="D53" s="133"/>
      <c r="E53" s="133"/>
      <c r="F53" s="133"/>
      <c r="G53" s="133"/>
      <c r="H53" s="133"/>
      <c r="I53" s="133"/>
      <c r="J53" s="133"/>
      <c r="K53" s="133"/>
      <c r="L53" s="133"/>
      <c r="M53" s="133"/>
      <c r="N53" s="134"/>
      <c r="O53" s="27"/>
      <c r="P53" s="27"/>
    </row>
    <row r="54" spans="1:16">
      <c r="B54" s="133"/>
      <c r="C54" s="133"/>
      <c r="D54" s="133"/>
      <c r="E54" s="133"/>
      <c r="F54" s="133"/>
      <c r="G54" s="133"/>
      <c r="H54" s="133"/>
      <c r="I54" s="133"/>
      <c r="J54" s="133"/>
      <c r="K54" s="133"/>
      <c r="L54" s="133"/>
      <c r="M54" s="133"/>
      <c r="N54" s="134"/>
      <c r="O54" s="27"/>
      <c r="P54" s="27"/>
    </row>
    <row r="55" spans="1:16" ht="24">
      <c r="A55" s="131"/>
      <c r="B55" s="119">
        <v>38534</v>
      </c>
      <c r="C55" s="132">
        <v>38565</v>
      </c>
      <c r="D55" s="132">
        <v>38596</v>
      </c>
      <c r="E55" s="132">
        <v>38626</v>
      </c>
      <c r="F55" s="132">
        <v>38657</v>
      </c>
      <c r="G55" s="132">
        <v>38687</v>
      </c>
      <c r="H55" s="132">
        <v>38718</v>
      </c>
      <c r="I55" s="132">
        <v>38749</v>
      </c>
      <c r="J55" s="132">
        <v>38777</v>
      </c>
      <c r="K55" s="132">
        <v>38808</v>
      </c>
      <c r="L55" s="132">
        <v>38838</v>
      </c>
      <c r="M55" s="132">
        <v>38869</v>
      </c>
      <c r="N55" s="142" t="s">
        <v>1</v>
      </c>
      <c r="O55" s="121" t="s">
        <v>90</v>
      </c>
      <c r="P55" s="121" t="s">
        <v>91</v>
      </c>
    </row>
    <row r="56" spans="1:16">
      <c r="A56" s="1" t="s">
        <v>71</v>
      </c>
      <c r="B56" s="22"/>
      <c r="C56" s="24"/>
      <c r="D56" s="24"/>
      <c r="E56" s="24"/>
      <c r="F56" s="24"/>
      <c r="G56" s="24"/>
      <c r="H56" s="24"/>
      <c r="I56" s="24"/>
      <c r="J56" s="24"/>
      <c r="K56" s="24"/>
      <c r="L56" s="24"/>
      <c r="M56" s="24"/>
      <c r="O56" s="27"/>
      <c r="P56" s="27"/>
    </row>
    <row r="57" spans="1:16">
      <c r="A57" t="s">
        <v>3</v>
      </c>
      <c r="B57" s="91">
        <v>17</v>
      </c>
      <c r="C57" s="91">
        <v>9</v>
      </c>
      <c r="D57" s="91">
        <v>67</v>
      </c>
      <c r="E57" s="91">
        <v>126</v>
      </c>
      <c r="F57" s="91">
        <v>123</v>
      </c>
      <c r="G57" s="92">
        <v>96</v>
      </c>
      <c r="H57" s="91">
        <v>11</v>
      </c>
      <c r="I57" s="91">
        <v>97</v>
      </c>
      <c r="J57" s="91">
        <v>161</v>
      </c>
      <c r="K57" s="91">
        <v>166</v>
      </c>
      <c r="L57" s="91">
        <v>41</v>
      </c>
      <c r="M57" s="93">
        <v>11</v>
      </c>
      <c r="N57" s="45">
        <f>SUM(B57:M57)</f>
        <v>925</v>
      </c>
      <c r="O57" s="27">
        <v>1673.6</v>
      </c>
      <c r="P57" s="27">
        <f>O57/N57</f>
        <v>1.8092972972972972</v>
      </c>
    </row>
    <row r="58" spans="1:16">
      <c r="B58" s="133"/>
      <c r="C58" s="133"/>
      <c r="D58" s="133"/>
      <c r="E58" s="133"/>
      <c r="F58" s="133"/>
      <c r="G58" s="133"/>
      <c r="H58" s="133"/>
      <c r="I58" s="133"/>
      <c r="J58" s="133"/>
      <c r="K58" s="133"/>
      <c r="L58" s="133"/>
      <c r="M58" s="27" t="s">
        <v>95</v>
      </c>
      <c r="N58" s="134"/>
      <c r="P58" s="27"/>
    </row>
    <row r="59" spans="1:16">
      <c r="B59" s="133"/>
      <c r="C59" s="133"/>
      <c r="D59" s="133"/>
      <c r="E59" s="133"/>
      <c r="F59" s="133"/>
      <c r="G59" s="133"/>
      <c r="H59" s="133"/>
      <c r="I59" s="133"/>
      <c r="J59" s="133"/>
      <c r="K59" s="133"/>
      <c r="L59" s="133"/>
      <c r="M59" s="133"/>
      <c r="N59" s="134"/>
      <c r="O59" s="27"/>
      <c r="P59" s="27"/>
    </row>
    <row r="60" spans="1:16" ht="24">
      <c r="A60" s="131"/>
      <c r="B60" s="119">
        <v>38534</v>
      </c>
      <c r="C60" s="132">
        <v>38565</v>
      </c>
      <c r="D60" s="132">
        <v>38596</v>
      </c>
      <c r="E60" s="132">
        <v>38626</v>
      </c>
      <c r="F60" s="132">
        <v>38657</v>
      </c>
      <c r="G60" s="132">
        <v>38687</v>
      </c>
      <c r="H60" s="132">
        <v>38718</v>
      </c>
      <c r="I60" s="132">
        <v>38749</v>
      </c>
      <c r="J60" s="132">
        <v>38777</v>
      </c>
      <c r="K60" s="132">
        <v>38808</v>
      </c>
      <c r="L60" s="132">
        <v>38838</v>
      </c>
      <c r="M60" s="132">
        <v>38869</v>
      </c>
      <c r="N60" s="142" t="s">
        <v>1</v>
      </c>
      <c r="O60" s="121" t="s">
        <v>90</v>
      </c>
      <c r="P60" s="121" t="s">
        <v>91</v>
      </c>
    </row>
    <row r="61" spans="1:16">
      <c r="A61" s="1" t="s">
        <v>72</v>
      </c>
      <c r="B61" s="22"/>
      <c r="C61" s="24"/>
      <c r="D61" s="24"/>
      <c r="E61" s="24"/>
      <c r="F61" s="24"/>
      <c r="G61" s="24"/>
      <c r="H61" s="24"/>
      <c r="I61" s="24"/>
      <c r="J61" s="24"/>
      <c r="K61" s="24"/>
      <c r="L61" s="24"/>
      <c r="M61" s="24"/>
      <c r="O61" s="27"/>
      <c r="P61" s="27"/>
    </row>
    <row r="62" spans="1:16">
      <c r="A62" t="s">
        <v>3</v>
      </c>
      <c r="B62" s="91">
        <v>1075</v>
      </c>
      <c r="C62" s="91">
        <v>575</v>
      </c>
      <c r="D62" s="91">
        <v>1466</v>
      </c>
      <c r="E62" s="91">
        <v>4254</v>
      </c>
      <c r="F62" s="91">
        <v>5701</v>
      </c>
      <c r="G62" s="92">
        <v>2951</v>
      </c>
      <c r="H62" s="91">
        <v>1166</v>
      </c>
      <c r="I62" s="91">
        <v>3580</v>
      </c>
      <c r="J62" s="91">
        <v>3477</v>
      </c>
      <c r="K62" s="91">
        <v>4551</v>
      </c>
      <c r="L62" s="91">
        <v>1584</v>
      </c>
      <c r="M62" s="93">
        <v>946</v>
      </c>
      <c r="N62" s="45">
        <f>SUM(B62:M62)</f>
        <v>31326</v>
      </c>
      <c r="O62" s="27">
        <v>13720</v>
      </c>
      <c r="P62" s="27">
        <f>O62/N62</f>
        <v>0.43797484517653068</v>
      </c>
    </row>
    <row r="63" spans="1:16">
      <c r="B63" s="133"/>
      <c r="C63" s="133"/>
      <c r="D63" s="133"/>
      <c r="E63" s="133"/>
      <c r="F63" s="133"/>
      <c r="G63" s="133"/>
      <c r="H63" s="133"/>
      <c r="I63" s="133"/>
      <c r="J63" s="133"/>
      <c r="K63" s="133"/>
      <c r="L63" s="133"/>
      <c r="M63" s="133"/>
      <c r="N63" s="134"/>
      <c r="O63" s="27"/>
      <c r="P63" s="27"/>
    </row>
    <row r="64" spans="1:16">
      <c r="B64" s="133"/>
      <c r="C64" s="133"/>
      <c r="D64" s="133"/>
      <c r="E64" s="133"/>
      <c r="F64" s="133"/>
      <c r="G64" s="133"/>
      <c r="H64" s="133"/>
      <c r="I64" s="133"/>
      <c r="J64" s="133"/>
      <c r="K64" s="133"/>
      <c r="L64" s="133"/>
      <c r="M64" s="133"/>
      <c r="N64" s="134"/>
      <c r="O64" s="27"/>
      <c r="P64" s="27"/>
    </row>
    <row r="65" spans="1:16" ht="24">
      <c r="A65" s="131"/>
      <c r="B65" s="119">
        <v>38534</v>
      </c>
      <c r="C65" s="132">
        <v>38565</v>
      </c>
      <c r="D65" s="132">
        <v>38596</v>
      </c>
      <c r="E65" s="132">
        <v>38626</v>
      </c>
      <c r="F65" s="132">
        <v>38657</v>
      </c>
      <c r="G65" s="132">
        <v>38687</v>
      </c>
      <c r="H65" s="132">
        <v>38718</v>
      </c>
      <c r="I65" s="132">
        <v>38749</v>
      </c>
      <c r="J65" s="132">
        <v>38777</v>
      </c>
      <c r="K65" s="132">
        <v>38808</v>
      </c>
      <c r="L65" s="132">
        <v>38838</v>
      </c>
      <c r="M65" s="132">
        <v>38869</v>
      </c>
      <c r="N65" s="142" t="s">
        <v>1</v>
      </c>
      <c r="O65" s="121" t="s">
        <v>90</v>
      </c>
      <c r="P65" s="121" t="s">
        <v>91</v>
      </c>
    </row>
    <row r="66" spans="1:16">
      <c r="A66" s="1" t="s">
        <v>73</v>
      </c>
      <c r="B66" s="22"/>
      <c r="C66" s="24"/>
      <c r="D66" s="24"/>
      <c r="E66" s="24"/>
      <c r="F66" s="24"/>
      <c r="G66" s="24"/>
      <c r="H66" s="24"/>
      <c r="I66" s="24"/>
      <c r="J66" s="24"/>
      <c r="K66" s="24"/>
      <c r="L66" s="24"/>
      <c r="M66" s="24"/>
      <c r="O66" s="27"/>
      <c r="P66" s="27"/>
    </row>
    <row r="67" spans="1:16">
      <c r="A67" t="s">
        <v>3</v>
      </c>
      <c r="B67" s="91">
        <v>167</v>
      </c>
      <c r="C67" s="91">
        <v>50</v>
      </c>
      <c r="D67" s="91">
        <v>180</v>
      </c>
      <c r="E67" s="91">
        <v>990</v>
      </c>
      <c r="F67" s="91">
        <v>1155</v>
      </c>
      <c r="G67" s="92">
        <v>437</v>
      </c>
      <c r="H67" s="91">
        <v>125</v>
      </c>
      <c r="I67" s="91">
        <v>583</v>
      </c>
      <c r="J67" s="91">
        <v>598</v>
      </c>
      <c r="K67" s="91">
        <v>1034</v>
      </c>
      <c r="L67" s="91">
        <v>235</v>
      </c>
      <c r="M67" s="93">
        <v>111</v>
      </c>
      <c r="N67" s="45">
        <f>SUM(B67:M67)</f>
        <v>5665</v>
      </c>
      <c r="O67" s="27">
        <v>0</v>
      </c>
      <c r="P67" s="28" t="s">
        <v>31</v>
      </c>
    </row>
    <row r="68" spans="1:16">
      <c r="B68" s="133"/>
      <c r="C68" s="133"/>
      <c r="D68" s="133"/>
      <c r="E68" s="133"/>
      <c r="F68" s="133"/>
      <c r="G68" s="133"/>
      <c r="H68" s="133"/>
      <c r="I68" s="133"/>
      <c r="J68" s="133"/>
      <c r="K68" s="133"/>
      <c r="L68" s="133"/>
      <c r="M68" s="133"/>
      <c r="N68" s="134"/>
      <c r="O68" s="27"/>
      <c r="P68" s="28"/>
    </row>
    <row r="69" spans="1:16">
      <c r="B69" s="133"/>
      <c r="C69" s="133"/>
      <c r="D69" s="133"/>
      <c r="E69" s="133"/>
      <c r="F69" s="133"/>
      <c r="G69" s="133"/>
      <c r="H69" s="133"/>
      <c r="I69" s="133"/>
      <c r="J69" s="133"/>
      <c r="K69" s="133"/>
      <c r="L69" s="133"/>
      <c r="M69" s="133"/>
      <c r="N69" s="134"/>
      <c r="O69" s="27"/>
      <c r="P69" s="28"/>
    </row>
    <row r="70" spans="1:16" ht="24">
      <c r="A70" s="131"/>
      <c r="B70" s="119">
        <v>38534</v>
      </c>
      <c r="C70" s="132">
        <v>38565</v>
      </c>
      <c r="D70" s="132">
        <v>38596</v>
      </c>
      <c r="E70" s="132">
        <v>38626</v>
      </c>
      <c r="F70" s="132">
        <v>38657</v>
      </c>
      <c r="G70" s="132">
        <v>38687</v>
      </c>
      <c r="H70" s="132">
        <v>38718</v>
      </c>
      <c r="I70" s="132">
        <v>38749</v>
      </c>
      <c r="J70" s="132">
        <v>38777</v>
      </c>
      <c r="K70" s="132">
        <v>38808</v>
      </c>
      <c r="L70" s="132">
        <v>38838</v>
      </c>
      <c r="M70" s="132">
        <v>38869</v>
      </c>
      <c r="N70" s="142" t="s">
        <v>1</v>
      </c>
      <c r="O70" s="121" t="s">
        <v>90</v>
      </c>
      <c r="P70" s="121" t="s">
        <v>91</v>
      </c>
    </row>
    <row r="71" spans="1:16">
      <c r="A71" s="1" t="s">
        <v>74</v>
      </c>
      <c r="B71" s="22"/>
      <c r="C71" s="24"/>
      <c r="D71" s="24"/>
      <c r="E71" s="24"/>
      <c r="F71" s="24"/>
      <c r="G71" s="24"/>
      <c r="H71" s="24"/>
      <c r="I71" s="24"/>
      <c r="J71" s="24"/>
      <c r="K71" s="24"/>
      <c r="L71" s="24"/>
      <c r="M71" s="24"/>
      <c r="O71" s="27"/>
      <c r="P71" s="27"/>
    </row>
    <row r="72" spans="1:16">
      <c r="A72" t="s">
        <v>3</v>
      </c>
      <c r="B72" s="91">
        <v>253</v>
      </c>
      <c r="C72" s="91">
        <v>83</v>
      </c>
      <c r="D72" s="91">
        <v>242</v>
      </c>
      <c r="E72" s="91">
        <v>1107</v>
      </c>
      <c r="F72" s="91">
        <v>1403</v>
      </c>
      <c r="G72" s="92">
        <v>650</v>
      </c>
      <c r="H72" s="91">
        <v>151</v>
      </c>
      <c r="I72" s="91">
        <v>670</v>
      </c>
      <c r="J72" s="91">
        <v>741</v>
      </c>
      <c r="K72" s="91">
        <v>1160</v>
      </c>
      <c r="L72" s="91">
        <v>280</v>
      </c>
      <c r="M72" s="93">
        <v>143</v>
      </c>
      <c r="N72" s="45">
        <f>SUM(B72:M72)</f>
        <v>6883</v>
      </c>
      <c r="O72" s="27">
        <v>3938</v>
      </c>
      <c r="P72" s="27">
        <f>O72/N72</f>
        <v>0.57213424378904543</v>
      </c>
    </row>
    <row r="73" spans="1:16">
      <c r="B73" s="133"/>
      <c r="C73" s="133"/>
      <c r="D73" s="133"/>
      <c r="E73" s="133"/>
      <c r="F73" s="133"/>
      <c r="G73" s="133"/>
      <c r="H73" s="133"/>
      <c r="I73" s="133"/>
      <c r="J73" s="133"/>
      <c r="K73" s="133"/>
      <c r="L73" s="133"/>
      <c r="M73" s="133"/>
      <c r="N73" s="134"/>
      <c r="O73" s="27"/>
      <c r="P73" s="27"/>
    </row>
    <row r="74" spans="1:16">
      <c r="B74" s="133"/>
      <c r="C74" s="133"/>
      <c r="D74" s="133"/>
      <c r="E74" s="133"/>
      <c r="F74" s="133"/>
      <c r="G74" s="133"/>
      <c r="H74" s="133"/>
      <c r="I74" s="133"/>
      <c r="J74" s="133"/>
      <c r="K74" s="133"/>
      <c r="L74" s="133"/>
      <c r="M74" s="133"/>
      <c r="N74" s="134"/>
      <c r="O74" s="27"/>
      <c r="P74" s="27"/>
    </row>
    <row r="75" spans="1:16" ht="24">
      <c r="A75" s="131"/>
      <c r="B75" s="119">
        <v>38534</v>
      </c>
      <c r="C75" s="132">
        <v>38565</v>
      </c>
      <c r="D75" s="132">
        <v>38596</v>
      </c>
      <c r="E75" s="132">
        <v>38626</v>
      </c>
      <c r="F75" s="132">
        <v>38657</v>
      </c>
      <c r="G75" s="132">
        <v>38687</v>
      </c>
      <c r="H75" s="132">
        <v>38718</v>
      </c>
      <c r="I75" s="132">
        <v>38749</v>
      </c>
      <c r="J75" s="132">
        <v>38777</v>
      </c>
      <c r="K75" s="132">
        <v>38808</v>
      </c>
      <c r="L75" s="132">
        <v>38838</v>
      </c>
      <c r="M75" s="132">
        <v>38869</v>
      </c>
      <c r="N75" s="142" t="s">
        <v>1</v>
      </c>
      <c r="O75" s="121" t="s">
        <v>90</v>
      </c>
      <c r="P75" s="121" t="s">
        <v>91</v>
      </c>
    </row>
    <row r="76" spans="1:16">
      <c r="A76" s="1" t="s">
        <v>75</v>
      </c>
      <c r="B76" s="22"/>
      <c r="C76" s="24"/>
      <c r="D76" s="24"/>
      <c r="E76" s="24"/>
      <c r="F76" s="24"/>
      <c r="G76" s="24"/>
      <c r="H76" s="24"/>
      <c r="I76" s="24"/>
      <c r="J76" s="24"/>
      <c r="K76" s="24"/>
      <c r="L76" s="24"/>
      <c r="M76" s="24"/>
      <c r="O76" s="27"/>
      <c r="P76" s="27"/>
    </row>
    <row r="77" spans="1:16">
      <c r="A77" t="s">
        <v>77</v>
      </c>
      <c r="B77" s="91">
        <v>933</v>
      </c>
      <c r="C77" s="91">
        <v>551</v>
      </c>
      <c r="D77" s="91">
        <v>1457</v>
      </c>
      <c r="E77" s="91">
        <v>2852</v>
      </c>
      <c r="F77" s="91">
        <v>3669</v>
      </c>
      <c r="G77" s="92">
        <v>1957</v>
      </c>
      <c r="H77" s="91">
        <v>968</v>
      </c>
      <c r="I77" s="91">
        <v>2325</v>
      </c>
      <c r="J77" s="91">
        <v>2855</v>
      </c>
      <c r="K77" s="91">
        <v>3815</v>
      </c>
      <c r="L77" s="91">
        <v>1245</v>
      </c>
      <c r="M77" s="93">
        <v>865</v>
      </c>
      <c r="N77" s="45">
        <f>SUM(B77:M77)</f>
        <v>23492</v>
      </c>
      <c r="P77" s="27"/>
    </row>
    <row r="78" spans="1:16">
      <c r="A78" t="s">
        <v>3</v>
      </c>
      <c r="B78" s="91">
        <v>2640</v>
      </c>
      <c r="C78" s="91">
        <v>1448</v>
      </c>
      <c r="D78" s="91">
        <v>3815</v>
      </c>
      <c r="E78" s="91">
        <v>9015</v>
      </c>
      <c r="F78" s="91">
        <v>11824</v>
      </c>
      <c r="G78" s="92">
        <v>6783</v>
      </c>
      <c r="H78" s="91">
        <v>2656</v>
      </c>
      <c r="I78" s="91">
        <v>6815</v>
      </c>
      <c r="J78" s="91">
        <v>7840</v>
      </c>
      <c r="K78" s="91">
        <v>10421</v>
      </c>
      <c r="L78" s="91">
        <v>4232</v>
      </c>
      <c r="M78" s="93">
        <v>2671</v>
      </c>
      <c r="N78" s="45">
        <f>SUM(B78:M78)</f>
        <v>70160</v>
      </c>
      <c r="O78" s="27">
        <f>SUM(O36:O76)</f>
        <v>27776.6</v>
      </c>
      <c r="P78" s="27">
        <f>O78/N78</f>
        <v>0.3959036488027366</v>
      </c>
    </row>
    <row r="79" spans="1:16">
      <c r="A79" t="s">
        <v>7</v>
      </c>
      <c r="B79" s="91">
        <v>10074</v>
      </c>
      <c r="C79" s="91">
        <v>6259</v>
      </c>
      <c r="D79" s="91">
        <v>16050</v>
      </c>
      <c r="E79" s="91">
        <v>39141</v>
      </c>
      <c r="F79" s="91">
        <v>46138</v>
      </c>
      <c r="G79" s="92">
        <v>26554</v>
      </c>
      <c r="H79" s="91">
        <v>11826</v>
      </c>
      <c r="I79" s="91">
        <v>27234</v>
      </c>
      <c r="J79" s="91">
        <v>30666</v>
      </c>
      <c r="K79" s="91">
        <v>28709</v>
      </c>
      <c r="L79" s="91">
        <v>10687</v>
      </c>
      <c r="M79" s="93">
        <v>6042</v>
      </c>
      <c r="N79" s="45">
        <f>SUM(B79:M79)</f>
        <v>259380</v>
      </c>
      <c r="O79" s="27"/>
      <c r="P79" s="27"/>
    </row>
    <row r="80" spans="1:16">
      <c r="B80" s="143" t="s">
        <v>106</v>
      </c>
      <c r="C80" s="143"/>
      <c r="D80" s="143"/>
      <c r="E80" s="143"/>
      <c r="F80" s="143"/>
      <c r="G80" s="143"/>
      <c r="H80" s="143"/>
      <c r="I80" s="143"/>
      <c r="J80" s="143"/>
      <c r="K80" s="143"/>
      <c r="L80" s="143"/>
      <c r="M80" s="143"/>
      <c r="N80" s="143"/>
      <c r="O80" s="27"/>
      <c r="P80" s="27"/>
    </row>
    <row r="81" spans="2:14">
      <c r="B81" s="144"/>
      <c r="C81" s="144"/>
      <c r="D81" s="144"/>
      <c r="E81" s="144"/>
      <c r="F81" s="144"/>
      <c r="G81" s="144"/>
      <c r="H81" s="144"/>
      <c r="I81" s="144"/>
      <c r="J81" s="144"/>
      <c r="K81" s="144"/>
      <c r="L81" s="144"/>
      <c r="M81" s="144"/>
      <c r="N81" s="144"/>
    </row>
  </sheetData>
  <mergeCells count="1">
    <mergeCell ref="B80:N81"/>
  </mergeCells>
  <phoneticPr fontId="2" type="noConversion"/>
  <pageMargins left="0.75" right="0.75" top="1" bottom="1" header="0.5" footer="0.5"/>
  <pageSetup scale="79" fitToHeight="4" orientation="landscape"/>
  <headerFooter>
    <oddFooter>&amp;L&amp;K000000CSA Databases&amp;R&amp;K0000002005-06 usage</oddFooter>
  </headerFooter>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P86"/>
  <sheetViews>
    <sheetView workbookViewId="0">
      <selection activeCell="A2" sqref="A2"/>
    </sheetView>
  </sheetViews>
  <sheetFormatPr baseColWidth="10" defaultColWidth="8.83203125" defaultRowHeight="12" x14ac:dyDescent="0"/>
  <cols>
    <col min="1" max="1" width="31.83203125" customWidth="1"/>
    <col min="2" max="13" width="7.5" bestFit="1" customWidth="1"/>
    <col min="14" max="14" width="9.5" bestFit="1" customWidth="1"/>
    <col min="15" max="15" width="9.6640625" bestFit="1" customWidth="1"/>
    <col min="16" max="16" width="8.5" bestFit="1" customWidth="1"/>
  </cols>
  <sheetData>
    <row r="1" spans="1:16" ht="18">
      <c r="A1" s="2" t="s">
        <v>64</v>
      </c>
    </row>
    <row r="2" spans="1:16" ht="17">
      <c r="A2" s="3" t="s">
        <v>46</v>
      </c>
    </row>
    <row r="5" spans="1:16" ht="24">
      <c r="A5" s="118"/>
      <c r="B5" s="119">
        <v>38534</v>
      </c>
      <c r="C5" s="132">
        <v>38565</v>
      </c>
      <c r="D5" s="132">
        <v>38596</v>
      </c>
      <c r="E5" s="132">
        <v>38626</v>
      </c>
      <c r="F5" s="132">
        <v>38657</v>
      </c>
      <c r="G5" s="132">
        <v>38687</v>
      </c>
      <c r="H5" s="132">
        <v>38718</v>
      </c>
      <c r="I5" s="132">
        <v>38749</v>
      </c>
      <c r="J5" s="132">
        <v>38777</v>
      </c>
      <c r="K5" s="132">
        <v>38808</v>
      </c>
      <c r="L5" s="132">
        <v>38838</v>
      </c>
      <c r="M5" s="132">
        <v>38869</v>
      </c>
      <c r="N5" s="138" t="s">
        <v>1</v>
      </c>
      <c r="O5" s="121" t="s">
        <v>90</v>
      </c>
      <c r="P5" s="121" t="s">
        <v>228</v>
      </c>
    </row>
    <row r="6" spans="1:16">
      <c r="A6" s="1" t="s">
        <v>54</v>
      </c>
      <c r="B6" s="22"/>
      <c r="C6" s="24"/>
      <c r="D6" s="24"/>
      <c r="E6" s="24"/>
      <c r="F6" s="24"/>
      <c r="G6" s="24"/>
      <c r="H6" s="24"/>
      <c r="I6" s="24"/>
      <c r="J6" s="24"/>
      <c r="K6" s="24"/>
      <c r="L6" s="24"/>
      <c r="M6" s="24"/>
      <c r="O6" s="124"/>
      <c r="P6" s="123"/>
    </row>
    <row r="7" spans="1:16">
      <c r="A7" t="s">
        <v>2</v>
      </c>
      <c r="B7" s="59">
        <v>4062</v>
      </c>
      <c r="C7" s="59">
        <v>1089</v>
      </c>
      <c r="D7" s="59">
        <v>5297</v>
      </c>
      <c r="E7" s="59">
        <v>14508</v>
      </c>
      <c r="F7" s="59">
        <v>17275</v>
      </c>
      <c r="G7" s="60">
        <v>7973</v>
      </c>
      <c r="H7" s="59">
        <v>2545</v>
      </c>
      <c r="I7" s="59">
        <v>9748</v>
      </c>
      <c r="J7" s="59">
        <v>12381</v>
      </c>
      <c r="K7" s="59">
        <v>15774</v>
      </c>
      <c r="L7" s="59">
        <v>3755</v>
      </c>
      <c r="M7" s="60">
        <v>3471</v>
      </c>
      <c r="N7" s="61">
        <f>SUM(B7:M7)</f>
        <v>97878</v>
      </c>
      <c r="P7" s="28"/>
    </row>
    <row r="8" spans="1:16">
      <c r="A8" t="s">
        <v>3</v>
      </c>
      <c r="B8" s="49">
        <v>14867</v>
      </c>
      <c r="C8" s="49">
        <v>3172</v>
      </c>
      <c r="D8" s="49">
        <v>16104</v>
      </c>
      <c r="E8" s="49">
        <v>52328</v>
      </c>
      <c r="F8" s="49">
        <v>55624</v>
      </c>
      <c r="G8" s="49">
        <v>26389</v>
      </c>
      <c r="H8" s="49">
        <v>6564</v>
      </c>
      <c r="I8" s="49">
        <v>37772</v>
      </c>
      <c r="J8" s="49">
        <v>47307</v>
      </c>
      <c r="K8" s="49">
        <v>55480</v>
      </c>
      <c r="L8" s="49">
        <v>12634</v>
      </c>
      <c r="M8" s="49">
        <v>12076</v>
      </c>
      <c r="N8" s="45">
        <f>SUM(B8:M8)</f>
        <v>340317</v>
      </c>
      <c r="O8" s="28">
        <v>18613</v>
      </c>
      <c r="P8" s="28">
        <f>O8/N8</f>
        <v>5.4693124351707381E-2</v>
      </c>
    </row>
    <row r="9" spans="1:16">
      <c r="A9" t="s">
        <v>156</v>
      </c>
      <c r="B9" s="62">
        <v>11065</v>
      </c>
      <c r="C9" s="62">
        <v>1971</v>
      </c>
      <c r="D9" s="62">
        <v>11453</v>
      </c>
      <c r="E9" s="62">
        <v>32693</v>
      </c>
      <c r="F9" s="62">
        <v>44699</v>
      </c>
      <c r="G9" s="62">
        <v>21084</v>
      </c>
      <c r="H9" s="62">
        <v>5964</v>
      </c>
      <c r="I9" s="62">
        <v>25078</v>
      </c>
      <c r="J9" s="62">
        <v>28835</v>
      </c>
      <c r="K9" s="62">
        <v>32412</v>
      </c>
      <c r="L9" s="62">
        <v>7104</v>
      </c>
      <c r="M9" s="62">
        <v>6440</v>
      </c>
      <c r="N9" s="45">
        <f>SUM(B9:M9)</f>
        <v>228798</v>
      </c>
      <c r="O9" s="28">
        <v>18613</v>
      </c>
      <c r="P9" s="28">
        <f>O9/N9</f>
        <v>8.1351235587723669E-2</v>
      </c>
    </row>
    <row r="10" spans="1:16">
      <c r="B10" s="133"/>
      <c r="C10" s="133"/>
      <c r="D10" s="133"/>
      <c r="E10" s="133"/>
      <c r="F10" s="133"/>
      <c r="G10" s="133"/>
      <c r="H10" s="133"/>
      <c r="I10" s="133"/>
      <c r="J10" s="133"/>
      <c r="K10" s="133"/>
      <c r="L10" s="133"/>
      <c r="M10" s="133"/>
      <c r="N10" s="134"/>
      <c r="O10" s="28"/>
      <c r="P10" s="28"/>
    </row>
    <row r="11" spans="1:16">
      <c r="B11" s="133"/>
      <c r="C11" s="133"/>
      <c r="D11" s="133"/>
      <c r="E11" s="133"/>
      <c r="F11" s="133"/>
      <c r="G11" s="133"/>
      <c r="H11" s="133"/>
      <c r="I11" s="133"/>
      <c r="J11" s="133"/>
      <c r="K11" s="133"/>
      <c r="L11" s="133"/>
      <c r="M11" s="133"/>
      <c r="N11" s="134"/>
      <c r="O11" s="28"/>
      <c r="P11" s="28"/>
    </row>
    <row r="12" spans="1:16" ht="24">
      <c r="A12" s="118"/>
      <c r="B12" s="119">
        <v>38534</v>
      </c>
      <c r="C12" s="132">
        <v>38565</v>
      </c>
      <c r="D12" s="132">
        <v>38596</v>
      </c>
      <c r="E12" s="132">
        <v>38626</v>
      </c>
      <c r="F12" s="132">
        <v>38657</v>
      </c>
      <c r="G12" s="132">
        <v>38687</v>
      </c>
      <c r="H12" s="132">
        <v>38718</v>
      </c>
      <c r="I12" s="132">
        <v>38749</v>
      </c>
      <c r="J12" s="132">
        <v>38777</v>
      </c>
      <c r="K12" s="132">
        <v>38808</v>
      </c>
      <c r="L12" s="132">
        <v>38838</v>
      </c>
      <c r="M12" s="132">
        <v>38869</v>
      </c>
      <c r="N12" s="138" t="s">
        <v>1</v>
      </c>
      <c r="O12" s="121" t="s">
        <v>90</v>
      </c>
      <c r="P12" s="121" t="s">
        <v>228</v>
      </c>
    </row>
    <row r="13" spans="1:16">
      <c r="A13" s="1" t="s">
        <v>55</v>
      </c>
      <c r="B13" s="22"/>
      <c r="C13" s="24"/>
      <c r="D13" s="24"/>
      <c r="E13" s="24"/>
      <c r="F13" s="24"/>
      <c r="G13" s="24"/>
      <c r="H13" s="24"/>
      <c r="I13" s="24"/>
      <c r="J13" s="24"/>
      <c r="K13" s="24"/>
      <c r="L13" s="24"/>
      <c r="M13" s="24"/>
      <c r="O13" s="28"/>
      <c r="P13" s="28"/>
    </row>
    <row r="14" spans="1:16">
      <c r="A14" t="s">
        <v>2</v>
      </c>
      <c r="B14" s="59">
        <v>29</v>
      </c>
      <c r="C14" s="59">
        <v>9</v>
      </c>
      <c r="D14" s="59">
        <v>68</v>
      </c>
      <c r="E14" s="59">
        <v>172</v>
      </c>
      <c r="F14" s="59">
        <v>168</v>
      </c>
      <c r="G14" s="60">
        <v>69</v>
      </c>
      <c r="H14" s="59">
        <v>24</v>
      </c>
      <c r="I14" s="59">
        <v>114</v>
      </c>
      <c r="J14" s="59">
        <v>116</v>
      </c>
      <c r="K14" s="59">
        <v>193</v>
      </c>
      <c r="L14" s="59">
        <v>30</v>
      </c>
      <c r="M14" s="60">
        <v>30</v>
      </c>
      <c r="N14" s="61">
        <f>SUM(B14:M14)</f>
        <v>1022</v>
      </c>
    </row>
    <row r="15" spans="1:16">
      <c r="A15" t="s">
        <v>3</v>
      </c>
      <c r="B15" s="49">
        <v>59</v>
      </c>
      <c r="C15" s="49">
        <v>17</v>
      </c>
      <c r="D15" s="49">
        <v>248</v>
      </c>
      <c r="E15" s="49">
        <v>524</v>
      </c>
      <c r="F15" s="49">
        <v>506</v>
      </c>
      <c r="G15" s="49">
        <v>310</v>
      </c>
      <c r="H15" s="49">
        <v>59</v>
      </c>
      <c r="I15" s="49">
        <v>372</v>
      </c>
      <c r="J15" s="49">
        <v>368</v>
      </c>
      <c r="K15" s="49">
        <v>530</v>
      </c>
      <c r="L15" s="49">
        <v>109</v>
      </c>
      <c r="M15" s="49">
        <v>83</v>
      </c>
      <c r="N15" s="45">
        <f>SUM(B15:M15)</f>
        <v>3185</v>
      </c>
      <c r="O15" s="28">
        <v>0</v>
      </c>
      <c r="P15" s="28" t="s">
        <v>31</v>
      </c>
    </row>
    <row r="16" spans="1:16">
      <c r="A16" t="s">
        <v>156</v>
      </c>
      <c r="B16" s="63" t="s">
        <v>31</v>
      </c>
      <c r="C16" s="63" t="s">
        <v>31</v>
      </c>
      <c r="D16" s="63" t="s">
        <v>31</v>
      </c>
      <c r="E16" s="63" t="s">
        <v>31</v>
      </c>
      <c r="F16" s="63" t="s">
        <v>31</v>
      </c>
      <c r="G16" s="63" t="s">
        <v>31</v>
      </c>
      <c r="H16" s="63" t="s">
        <v>31</v>
      </c>
      <c r="I16" s="63" t="s">
        <v>31</v>
      </c>
      <c r="J16" s="63" t="s">
        <v>31</v>
      </c>
      <c r="K16" s="63" t="s">
        <v>31</v>
      </c>
      <c r="L16" s="63" t="s">
        <v>31</v>
      </c>
      <c r="M16" s="63" t="s">
        <v>31</v>
      </c>
      <c r="N16" s="64" t="s">
        <v>31</v>
      </c>
      <c r="O16" s="28">
        <v>0</v>
      </c>
      <c r="P16" s="28" t="s">
        <v>31</v>
      </c>
    </row>
    <row r="17" spans="1:16">
      <c r="B17" s="139"/>
      <c r="C17" s="139"/>
      <c r="D17" s="139"/>
      <c r="E17" s="139"/>
      <c r="F17" s="139"/>
      <c r="G17" s="139"/>
      <c r="H17" s="139"/>
      <c r="I17" s="139"/>
      <c r="J17" s="139"/>
      <c r="K17" s="139"/>
      <c r="L17" s="139"/>
      <c r="M17" s="139"/>
      <c r="N17" s="141"/>
      <c r="O17" s="28"/>
      <c r="P17" s="28"/>
    </row>
    <row r="18" spans="1:16">
      <c r="B18" s="139"/>
      <c r="C18" s="139"/>
      <c r="D18" s="139"/>
      <c r="E18" s="139"/>
      <c r="F18" s="139"/>
      <c r="G18" s="139"/>
      <c r="H18" s="139"/>
      <c r="I18" s="139"/>
      <c r="J18" s="139"/>
      <c r="K18" s="139"/>
      <c r="L18" s="139"/>
      <c r="M18" s="139"/>
      <c r="N18" s="141"/>
      <c r="O18" s="28"/>
      <c r="P18" s="28"/>
    </row>
    <row r="19" spans="1:16" ht="24">
      <c r="A19" s="118"/>
      <c r="B19" s="119">
        <v>38534</v>
      </c>
      <c r="C19" s="132">
        <v>38565</v>
      </c>
      <c r="D19" s="132">
        <v>38596</v>
      </c>
      <c r="E19" s="132">
        <v>38626</v>
      </c>
      <c r="F19" s="132">
        <v>38657</v>
      </c>
      <c r="G19" s="132">
        <v>38687</v>
      </c>
      <c r="H19" s="132">
        <v>38718</v>
      </c>
      <c r="I19" s="132">
        <v>38749</v>
      </c>
      <c r="J19" s="132">
        <v>38777</v>
      </c>
      <c r="K19" s="132">
        <v>38808</v>
      </c>
      <c r="L19" s="132">
        <v>38838</v>
      </c>
      <c r="M19" s="132">
        <v>38869</v>
      </c>
      <c r="N19" s="138" t="s">
        <v>1</v>
      </c>
      <c r="O19" s="121" t="s">
        <v>90</v>
      </c>
      <c r="P19" s="121" t="s">
        <v>228</v>
      </c>
    </row>
    <row r="20" spans="1:16">
      <c r="A20" s="1" t="s">
        <v>56</v>
      </c>
      <c r="B20" s="22"/>
      <c r="C20" s="24"/>
      <c r="D20" s="24"/>
      <c r="E20" s="24"/>
      <c r="F20" s="24"/>
      <c r="G20" s="24"/>
      <c r="H20" s="24"/>
      <c r="I20" s="24"/>
      <c r="J20" s="24"/>
      <c r="K20" s="24"/>
      <c r="L20" s="24"/>
      <c r="M20" s="24"/>
      <c r="O20" s="28"/>
      <c r="P20" s="28"/>
    </row>
    <row r="21" spans="1:16">
      <c r="A21" t="s">
        <v>2</v>
      </c>
      <c r="B21" s="59">
        <v>21</v>
      </c>
      <c r="C21" s="59">
        <v>2</v>
      </c>
      <c r="D21" s="59">
        <v>9</v>
      </c>
      <c r="E21" s="59">
        <v>28</v>
      </c>
      <c r="F21" s="59">
        <v>63</v>
      </c>
      <c r="G21" s="60">
        <v>18</v>
      </c>
      <c r="H21" s="59">
        <v>7</v>
      </c>
      <c r="I21" s="59">
        <v>29</v>
      </c>
      <c r="J21" s="59">
        <v>47</v>
      </c>
      <c r="K21" s="59">
        <v>60</v>
      </c>
      <c r="L21" s="59">
        <v>25</v>
      </c>
      <c r="M21" s="60">
        <v>50</v>
      </c>
      <c r="N21" s="61">
        <f>SUM(B21:M21)</f>
        <v>359</v>
      </c>
      <c r="O21" s="28"/>
      <c r="P21" s="28"/>
    </row>
    <row r="22" spans="1:16">
      <c r="A22" t="s">
        <v>3</v>
      </c>
      <c r="B22" s="49">
        <v>52</v>
      </c>
      <c r="C22" s="49">
        <v>6</v>
      </c>
      <c r="D22" s="49">
        <v>23</v>
      </c>
      <c r="E22" s="49">
        <v>71</v>
      </c>
      <c r="F22" s="49">
        <v>235</v>
      </c>
      <c r="G22" s="49">
        <v>46</v>
      </c>
      <c r="H22" s="49">
        <v>19</v>
      </c>
      <c r="I22" s="49">
        <v>73</v>
      </c>
      <c r="J22" s="49">
        <v>136</v>
      </c>
      <c r="K22" s="49">
        <v>160</v>
      </c>
      <c r="L22" s="49">
        <v>75</v>
      </c>
      <c r="M22" s="49">
        <v>187</v>
      </c>
      <c r="N22" s="45">
        <f>SUM(B22:M22)</f>
        <v>1083</v>
      </c>
      <c r="O22" s="28">
        <v>0</v>
      </c>
      <c r="P22" s="28" t="s">
        <v>31</v>
      </c>
    </row>
    <row r="23" spans="1:16">
      <c r="A23" t="s">
        <v>156</v>
      </c>
      <c r="B23" s="63" t="s">
        <v>31</v>
      </c>
      <c r="C23" s="63" t="s">
        <v>31</v>
      </c>
      <c r="D23" s="63" t="s">
        <v>31</v>
      </c>
      <c r="E23" s="63" t="s">
        <v>31</v>
      </c>
      <c r="F23" s="63" t="s">
        <v>31</v>
      </c>
      <c r="G23" s="63" t="s">
        <v>31</v>
      </c>
      <c r="H23" s="63" t="s">
        <v>31</v>
      </c>
      <c r="I23" s="63" t="s">
        <v>31</v>
      </c>
      <c r="J23" s="63" t="s">
        <v>31</v>
      </c>
      <c r="K23" s="63" t="s">
        <v>31</v>
      </c>
      <c r="L23" s="63" t="s">
        <v>31</v>
      </c>
      <c r="M23" s="63" t="s">
        <v>31</v>
      </c>
      <c r="N23" s="64" t="s">
        <v>31</v>
      </c>
      <c r="O23" s="28">
        <v>0</v>
      </c>
      <c r="P23" s="28" t="s">
        <v>31</v>
      </c>
    </row>
    <row r="24" spans="1:16">
      <c r="B24" s="139"/>
      <c r="C24" s="139"/>
      <c r="D24" s="139"/>
      <c r="E24" s="139"/>
      <c r="F24" s="139"/>
      <c r="G24" s="139"/>
      <c r="H24" s="139"/>
      <c r="I24" s="139"/>
      <c r="J24" s="139"/>
      <c r="K24" s="139"/>
      <c r="L24" s="139"/>
      <c r="M24" s="139"/>
      <c r="N24" s="141"/>
      <c r="O24" s="28"/>
      <c r="P24" s="28"/>
    </row>
    <row r="25" spans="1:16">
      <c r="B25" s="139"/>
      <c r="C25" s="139"/>
      <c r="D25" s="139"/>
      <c r="E25" s="139"/>
      <c r="F25" s="139"/>
      <c r="G25" s="139"/>
      <c r="H25" s="139"/>
      <c r="I25" s="139"/>
      <c r="J25" s="139"/>
      <c r="K25" s="139"/>
      <c r="L25" s="139"/>
      <c r="M25" s="139"/>
      <c r="N25" s="141"/>
      <c r="O25" s="28"/>
      <c r="P25" s="28"/>
    </row>
    <row r="26" spans="1:16" ht="24">
      <c r="A26" s="118"/>
      <c r="B26" s="119">
        <v>38534</v>
      </c>
      <c r="C26" s="132">
        <v>38565</v>
      </c>
      <c r="D26" s="132">
        <v>38596</v>
      </c>
      <c r="E26" s="132">
        <v>38626</v>
      </c>
      <c r="F26" s="132">
        <v>38657</v>
      </c>
      <c r="G26" s="132">
        <v>38687</v>
      </c>
      <c r="H26" s="132">
        <v>38718</v>
      </c>
      <c r="I26" s="132">
        <v>38749</v>
      </c>
      <c r="J26" s="132">
        <v>38777</v>
      </c>
      <c r="K26" s="132">
        <v>38808</v>
      </c>
      <c r="L26" s="132">
        <v>38838</v>
      </c>
      <c r="M26" s="132">
        <v>38869</v>
      </c>
      <c r="N26" s="138" t="s">
        <v>1</v>
      </c>
      <c r="O26" s="121" t="s">
        <v>90</v>
      </c>
      <c r="P26" s="121" t="s">
        <v>228</v>
      </c>
    </row>
    <row r="27" spans="1:16">
      <c r="A27" s="1" t="s">
        <v>57</v>
      </c>
      <c r="B27" s="22"/>
      <c r="C27" s="24"/>
      <c r="D27" s="24"/>
      <c r="E27" s="24"/>
      <c r="F27" s="24"/>
      <c r="G27" s="24"/>
      <c r="H27" s="24"/>
      <c r="I27" s="24"/>
      <c r="J27" s="24"/>
      <c r="K27" s="24"/>
      <c r="L27" s="24"/>
      <c r="M27" s="24"/>
      <c r="O27" s="28"/>
      <c r="P27" s="28"/>
    </row>
    <row r="28" spans="1:16">
      <c r="A28" t="s">
        <v>2</v>
      </c>
      <c r="B28" s="59">
        <v>30</v>
      </c>
      <c r="C28" s="59">
        <v>17</v>
      </c>
      <c r="D28" s="59">
        <v>34</v>
      </c>
      <c r="E28" s="59">
        <v>90</v>
      </c>
      <c r="F28" s="59">
        <v>114</v>
      </c>
      <c r="G28" s="60">
        <v>45</v>
      </c>
      <c r="H28" s="59">
        <v>15</v>
      </c>
      <c r="I28" s="59">
        <v>69</v>
      </c>
      <c r="J28" s="59">
        <v>120</v>
      </c>
      <c r="K28" s="59">
        <v>145</v>
      </c>
      <c r="L28" s="59">
        <v>37</v>
      </c>
      <c r="M28" s="60">
        <v>29</v>
      </c>
      <c r="N28" s="61">
        <f>SUM(B28:M28)</f>
        <v>745</v>
      </c>
      <c r="O28" s="28"/>
      <c r="P28" s="28"/>
    </row>
    <row r="29" spans="1:16">
      <c r="A29" t="s">
        <v>3</v>
      </c>
      <c r="B29" s="49">
        <v>157</v>
      </c>
      <c r="C29" s="49">
        <v>33</v>
      </c>
      <c r="D29" s="49">
        <v>82</v>
      </c>
      <c r="E29" s="49">
        <v>264</v>
      </c>
      <c r="F29" s="49">
        <v>322</v>
      </c>
      <c r="G29" s="49">
        <v>129</v>
      </c>
      <c r="H29" s="49">
        <v>26</v>
      </c>
      <c r="I29" s="49">
        <v>203</v>
      </c>
      <c r="J29" s="49">
        <v>183</v>
      </c>
      <c r="K29" s="49">
        <v>215</v>
      </c>
      <c r="L29" s="49">
        <v>100</v>
      </c>
      <c r="M29" s="49">
        <v>91</v>
      </c>
      <c r="N29" s="45">
        <f>SUM(B29:M29)</f>
        <v>1805</v>
      </c>
      <c r="O29" s="28">
        <v>0</v>
      </c>
      <c r="P29" s="28" t="s">
        <v>31</v>
      </c>
    </row>
    <row r="30" spans="1:16">
      <c r="A30" t="s">
        <v>156</v>
      </c>
      <c r="B30" s="49">
        <v>56</v>
      </c>
      <c r="C30" s="49">
        <v>11</v>
      </c>
      <c r="D30" s="49">
        <v>71</v>
      </c>
      <c r="E30" s="49">
        <v>150</v>
      </c>
      <c r="F30" s="49">
        <v>215</v>
      </c>
      <c r="G30" s="49">
        <v>171</v>
      </c>
      <c r="H30" s="49">
        <v>8</v>
      </c>
      <c r="I30" s="49">
        <v>208</v>
      </c>
      <c r="J30" s="49">
        <v>89</v>
      </c>
      <c r="K30" s="49">
        <v>186</v>
      </c>
      <c r="L30" s="49">
        <v>62</v>
      </c>
      <c r="M30" s="49">
        <v>30</v>
      </c>
      <c r="N30" s="45">
        <f>SUM(B30:M30)</f>
        <v>1257</v>
      </c>
      <c r="O30" s="28">
        <v>0</v>
      </c>
      <c r="P30" s="28" t="s">
        <v>31</v>
      </c>
    </row>
    <row r="31" spans="1:16">
      <c r="B31" s="133"/>
      <c r="C31" s="133"/>
      <c r="D31" s="133"/>
      <c r="E31" s="133"/>
      <c r="F31" s="133"/>
      <c r="G31" s="133"/>
      <c r="H31" s="133"/>
      <c r="I31" s="133"/>
      <c r="J31" s="133"/>
      <c r="K31" s="133"/>
      <c r="L31" s="133"/>
      <c r="M31" s="133"/>
      <c r="N31" s="134"/>
      <c r="O31" s="28"/>
      <c r="P31" s="28"/>
    </row>
    <row r="32" spans="1:16">
      <c r="B32" s="133"/>
      <c r="C32" s="133"/>
      <c r="D32" s="133"/>
      <c r="E32" s="133"/>
      <c r="F32" s="133"/>
      <c r="G32" s="133"/>
      <c r="H32" s="133"/>
      <c r="I32" s="133"/>
      <c r="J32" s="133"/>
      <c r="K32" s="133"/>
      <c r="L32" s="133"/>
      <c r="M32" s="133"/>
      <c r="N32" s="134"/>
      <c r="O32" s="28"/>
      <c r="P32" s="28"/>
    </row>
    <row r="33" spans="1:16" ht="24">
      <c r="A33" s="118"/>
      <c r="B33" s="119">
        <v>38534</v>
      </c>
      <c r="C33" s="132">
        <v>38565</v>
      </c>
      <c r="D33" s="132">
        <v>38596</v>
      </c>
      <c r="E33" s="132">
        <v>38626</v>
      </c>
      <c r="F33" s="132">
        <v>38657</v>
      </c>
      <c r="G33" s="132">
        <v>38687</v>
      </c>
      <c r="H33" s="132">
        <v>38718</v>
      </c>
      <c r="I33" s="132">
        <v>38749</v>
      </c>
      <c r="J33" s="132">
        <v>38777</v>
      </c>
      <c r="K33" s="132">
        <v>38808</v>
      </c>
      <c r="L33" s="132">
        <v>38838</v>
      </c>
      <c r="M33" s="132">
        <v>38869</v>
      </c>
      <c r="N33" s="138" t="s">
        <v>1</v>
      </c>
      <c r="O33" s="121" t="s">
        <v>90</v>
      </c>
      <c r="P33" s="121" t="s">
        <v>228</v>
      </c>
    </row>
    <row r="34" spans="1:16">
      <c r="A34" s="1" t="s">
        <v>58</v>
      </c>
      <c r="B34" s="22"/>
      <c r="C34" s="24"/>
      <c r="D34" s="24"/>
      <c r="E34" s="24"/>
      <c r="F34" s="24"/>
      <c r="G34" s="24"/>
      <c r="H34" s="24"/>
      <c r="I34" s="24"/>
      <c r="J34" s="24"/>
      <c r="K34" s="24"/>
      <c r="L34" s="24"/>
      <c r="M34" s="24"/>
      <c r="O34" s="28"/>
      <c r="P34" s="28"/>
    </row>
    <row r="35" spans="1:16">
      <c r="A35" t="s">
        <v>2</v>
      </c>
      <c r="B35" s="59">
        <v>21</v>
      </c>
      <c r="C35" s="59">
        <v>6</v>
      </c>
      <c r="D35" s="59">
        <v>37</v>
      </c>
      <c r="E35" s="59">
        <v>63</v>
      </c>
      <c r="F35" s="59">
        <v>128</v>
      </c>
      <c r="G35" s="59">
        <v>71</v>
      </c>
      <c r="H35" s="59">
        <v>12</v>
      </c>
      <c r="I35" s="59">
        <v>45</v>
      </c>
      <c r="J35" s="59">
        <v>55</v>
      </c>
      <c r="K35" s="59">
        <v>129</v>
      </c>
      <c r="L35" s="59">
        <v>23</v>
      </c>
      <c r="M35" s="59">
        <v>24</v>
      </c>
      <c r="N35" s="61">
        <f>SUM(B35:M35)</f>
        <v>614</v>
      </c>
      <c r="O35" s="28"/>
      <c r="P35" s="28"/>
    </row>
    <row r="36" spans="1:16">
      <c r="A36" t="s">
        <v>3</v>
      </c>
      <c r="B36" s="59">
        <v>58</v>
      </c>
      <c r="C36" s="59">
        <v>13</v>
      </c>
      <c r="D36" s="59">
        <v>77</v>
      </c>
      <c r="E36" s="59">
        <v>161</v>
      </c>
      <c r="F36" s="59">
        <v>366</v>
      </c>
      <c r="G36" s="59">
        <v>188</v>
      </c>
      <c r="H36" s="59">
        <v>17</v>
      </c>
      <c r="I36" s="59">
        <v>188</v>
      </c>
      <c r="J36" s="59">
        <v>179</v>
      </c>
      <c r="K36" s="59">
        <v>520</v>
      </c>
      <c r="L36" s="59">
        <v>77</v>
      </c>
      <c r="M36" s="59">
        <v>123</v>
      </c>
      <c r="N36" s="61">
        <f>SUM(B36:M36)</f>
        <v>1967</v>
      </c>
      <c r="O36" s="28">
        <v>0</v>
      </c>
      <c r="P36" s="28" t="s">
        <v>31</v>
      </c>
    </row>
    <row r="37" spans="1:16">
      <c r="A37" t="s">
        <v>156</v>
      </c>
      <c r="B37" s="40">
        <v>44</v>
      </c>
      <c r="C37" s="40">
        <v>2</v>
      </c>
      <c r="D37" s="40">
        <v>58</v>
      </c>
      <c r="E37" s="40">
        <v>97</v>
      </c>
      <c r="F37" s="40">
        <v>297</v>
      </c>
      <c r="G37" s="40">
        <v>166</v>
      </c>
      <c r="H37" s="40">
        <v>14</v>
      </c>
      <c r="I37" s="40">
        <v>85</v>
      </c>
      <c r="J37" s="40">
        <v>125</v>
      </c>
      <c r="K37" s="40">
        <v>296</v>
      </c>
      <c r="L37" s="40">
        <v>31</v>
      </c>
      <c r="M37" s="40">
        <v>35</v>
      </c>
      <c r="N37" s="66">
        <f>SUM(B37:M37)</f>
        <v>1250</v>
      </c>
      <c r="O37" s="28">
        <v>0</v>
      </c>
      <c r="P37" s="28" t="s">
        <v>31</v>
      </c>
    </row>
    <row r="38" spans="1:16">
      <c r="B38" s="133"/>
      <c r="C38" s="133"/>
      <c r="D38" s="133"/>
      <c r="E38" s="133"/>
      <c r="F38" s="133"/>
      <c r="G38" s="133"/>
      <c r="H38" s="133"/>
      <c r="I38" s="133"/>
      <c r="J38" s="133"/>
      <c r="K38" s="133"/>
      <c r="L38" s="133"/>
      <c r="M38" s="133"/>
      <c r="N38" s="134"/>
      <c r="O38" s="28"/>
      <c r="P38" s="28"/>
    </row>
    <row r="39" spans="1:16">
      <c r="B39" s="133"/>
      <c r="C39" s="133"/>
      <c r="D39" s="133"/>
      <c r="E39" s="133"/>
      <c r="F39" s="133"/>
      <c r="G39" s="133"/>
      <c r="H39" s="133"/>
      <c r="I39" s="133"/>
      <c r="J39" s="133"/>
      <c r="K39" s="133"/>
      <c r="L39" s="133"/>
      <c r="M39" s="133"/>
      <c r="N39" s="134"/>
      <c r="O39" s="28"/>
      <c r="P39" s="28"/>
    </row>
    <row r="40" spans="1:16" ht="24">
      <c r="A40" s="118"/>
      <c r="B40" s="119">
        <v>38534</v>
      </c>
      <c r="C40" s="132">
        <v>38565</v>
      </c>
      <c r="D40" s="132">
        <v>38596</v>
      </c>
      <c r="E40" s="132">
        <v>38626</v>
      </c>
      <c r="F40" s="132">
        <v>38657</v>
      </c>
      <c r="G40" s="132">
        <v>38687</v>
      </c>
      <c r="H40" s="132">
        <v>38718</v>
      </c>
      <c r="I40" s="132">
        <v>38749</v>
      </c>
      <c r="J40" s="132">
        <v>38777</v>
      </c>
      <c r="K40" s="132">
        <v>38808</v>
      </c>
      <c r="L40" s="132">
        <v>38838</v>
      </c>
      <c r="M40" s="132">
        <v>38869</v>
      </c>
      <c r="N40" s="138" t="s">
        <v>1</v>
      </c>
      <c r="O40" s="121" t="s">
        <v>90</v>
      </c>
      <c r="P40" s="121" t="s">
        <v>228</v>
      </c>
    </row>
    <row r="41" spans="1:16">
      <c r="A41" s="1" t="s">
        <v>59</v>
      </c>
      <c r="B41" s="22"/>
      <c r="C41" s="24"/>
      <c r="D41" s="24"/>
      <c r="E41" s="24"/>
      <c r="F41" s="24"/>
      <c r="G41" s="24"/>
      <c r="H41" s="24"/>
      <c r="I41" s="24"/>
      <c r="J41" s="24"/>
      <c r="K41" s="24"/>
      <c r="L41" s="24"/>
      <c r="M41" s="24"/>
      <c r="O41" s="28"/>
      <c r="P41" s="28"/>
    </row>
    <row r="42" spans="1:16">
      <c r="A42" t="s">
        <v>2</v>
      </c>
      <c r="B42" s="49">
        <v>21</v>
      </c>
      <c r="C42" s="49">
        <v>2</v>
      </c>
      <c r="D42" s="49">
        <v>24</v>
      </c>
      <c r="E42" s="49">
        <v>78</v>
      </c>
      <c r="F42" s="49">
        <v>82</v>
      </c>
      <c r="G42" s="49">
        <v>40</v>
      </c>
      <c r="H42" s="49">
        <v>15</v>
      </c>
      <c r="I42" s="49">
        <v>52</v>
      </c>
      <c r="J42" s="49">
        <v>85</v>
      </c>
      <c r="K42" s="49">
        <v>101</v>
      </c>
      <c r="L42" s="49">
        <v>34</v>
      </c>
      <c r="M42" s="49">
        <v>35</v>
      </c>
      <c r="N42" s="61">
        <f>SUM(B42:M42)</f>
        <v>569</v>
      </c>
      <c r="O42" s="28"/>
      <c r="P42" s="28"/>
    </row>
    <row r="43" spans="1:16">
      <c r="A43" t="s">
        <v>3</v>
      </c>
      <c r="B43" s="49">
        <v>121</v>
      </c>
      <c r="C43" s="49">
        <v>3</v>
      </c>
      <c r="D43" s="49">
        <v>118</v>
      </c>
      <c r="E43" s="49">
        <v>312</v>
      </c>
      <c r="F43" s="49">
        <v>309</v>
      </c>
      <c r="G43" s="49">
        <v>144</v>
      </c>
      <c r="H43" s="49">
        <v>31</v>
      </c>
      <c r="I43" s="49">
        <v>220</v>
      </c>
      <c r="J43" s="49">
        <v>319</v>
      </c>
      <c r="K43" s="49">
        <v>368</v>
      </c>
      <c r="L43" s="49">
        <v>138</v>
      </c>
      <c r="M43" s="49">
        <v>142</v>
      </c>
      <c r="N43" s="61">
        <f>SUM(B43:M43)</f>
        <v>2225</v>
      </c>
      <c r="O43" s="28">
        <v>0</v>
      </c>
      <c r="P43" s="28" t="s">
        <v>31</v>
      </c>
    </row>
    <row r="44" spans="1:16">
      <c r="A44" t="s">
        <v>156</v>
      </c>
      <c r="B44" s="49">
        <v>27</v>
      </c>
      <c r="C44" s="49">
        <v>1</v>
      </c>
      <c r="D44" s="49">
        <v>44</v>
      </c>
      <c r="E44" s="49">
        <v>75</v>
      </c>
      <c r="F44" s="49">
        <v>72</v>
      </c>
      <c r="G44" s="49">
        <v>43</v>
      </c>
      <c r="H44" s="49">
        <v>0</v>
      </c>
      <c r="I44" s="49">
        <v>15</v>
      </c>
      <c r="J44" s="49">
        <v>29</v>
      </c>
      <c r="K44" s="49">
        <v>52</v>
      </c>
      <c r="L44" s="49">
        <v>14</v>
      </c>
      <c r="M44" s="49">
        <v>15</v>
      </c>
      <c r="N44" s="61">
        <f>SUM(B44:M44)</f>
        <v>387</v>
      </c>
      <c r="O44" s="28">
        <v>0</v>
      </c>
      <c r="P44" s="28" t="s">
        <v>31</v>
      </c>
    </row>
    <row r="45" spans="1:16">
      <c r="B45" s="133"/>
      <c r="C45" s="133"/>
      <c r="D45" s="133"/>
      <c r="E45" s="133"/>
      <c r="F45" s="133"/>
      <c r="G45" s="133"/>
      <c r="H45" s="133"/>
      <c r="I45" s="133"/>
      <c r="J45" s="133"/>
      <c r="K45" s="133"/>
      <c r="L45" s="133"/>
      <c r="M45" s="133"/>
      <c r="N45" s="134"/>
      <c r="O45" s="28"/>
      <c r="P45" s="28"/>
    </row>
    <row r="46" spans="1:16">
      <c r="B46" s="133"/>
      <c r="C46" s="133"/>
      <c r="D46" s="133"/>
      <c r="E46" s="133"/>
      <c r="F46" s="133"/>
      <c r="G46" s="133"/>
      <c r="H46" s="133"/>
      <c r="I46" s="133"/>
      <c r="J46" s="133"/>
      <c r="K46" s="133"/>
      <c r="L46" s="133"/>
      <c r="M46" s="133"/>
      <c r="N46" s="134"/>
      <c r="O46" s="28"/>
      <c r="P46" s="28"/>
    </row>
    <row r="47" spans="1:16" ht="24">
      <c r="A47" s="118"/>
      <c r="B47" s="119">
        <v>38534</v>
      </c>
      <c r="C47" s="132">
        <v>38565</v>
      </c>
      <c r="D47" s="132">
        <v>38596</v>
      </c>
      <c r="E47" s="132">
        <v>38626</v>
      </c>
      <c r="F47" s="132">
        <v>38657</v>
      </c>
      <c r="G47" s="132">
        <v>38687</v>
      </c>
      <c r="H47" s="132">
        <v>38718</v>
      </c>
      <c r="I47" s="132">
        <v>38749</v>
      </c>
      <c r="J47" s="132">
        <v>38777</v>
      </c>
      <c r="K47" s="132">
        <v>38808</v>
      </c>
      <c r="L47" s="132">
        <v>38838</v>
      </c>
      <c r="M47" s="132">
        <v>38869</v>
      </c>
      <c r="N47" s="138" t="s">
        <v>1</v>
      </c>
      <c r="O47" s="121" t="s">
        <v>90</v>
      </c>
      <c r="P47" s="121" t="s">
        <v>228</v>
      </c>
    </row>
    <row r="48" spans="1:16">
      <c r="A48" s="1" t="s">
        <v>60</v>
      </c>
      <c r="B48" s="22"/>
      <c r="C48" s="24"/>
      <c r="D48" s="24"/>
      <c r="E48" s="24"/>
      <c r="F48" s="24"/>
      <c r="G48" s="24"/>
      <c r="H48" s="24"/>
      <c r="I48" s="24"/>
      <c r="J48" s="24"/>
      <c r="K48" s="24"/>
      <c r="L48" s="24"/>
      <c r="M48" s="24"/>
      <c r="O48" s="28"/>
      <c r="P48" s="28"/>
    </row>
    <row r="49" spans="1:16">
      <c r="A49" t="s">
        <v>2</v>
      </c>
      <c r="B49" s="59">
        <v>13</v>
      </c>
      <c r="C49" s="59">
        <v>48</v>
      </c>
      <c r="D49" s="59">
        <v>755</v>
      </c>
      <c r="E49" s="59">
        <v>1253</v>
      </c>
      <c r="F49" s="59">
        <v>1505</v>
      </c>
      <c r="G49" s="59">
        <v>442</v>
      </c>
      <c r="H49" s="59">
        <v>314</v>
      </c>
      <c r="I49" s="59">
        <v>924</v>
      </c>
      <c r="J49" s="59">
        <v>1165</v>
      </c>
      <c r="K49" s="59">
        <v>1786</v>
      </c>
      <c r="L49" s="59">
        <v>338</v>
      </c>
      <c r="M49" s="59">
        <v>457</v>
      </c>
      <c r="N49" s="61">
        <f>SUM(B49:M49)</f>
        <v>9000</v>
      </c>
      <c r="O49" s="28"/>
      <c r="P49" s="28"/>
    </row>
    <row r="50" spans="1:16">
      <c r="A50" t="s">
        <v>3</v>
      </c>
      <c r="B50" s="59">
        <v>44</v>
      </c>
      <c r="C50" s="59">
        <v>161</v>
      </c>
      <c r="D50" s="59">
        <v>3147</v>
      </c>
      <c r="E50" s="59">
        <v>5184</v>
      </c>
      <c r="F50" s="59">
        <v>6271</v>
      </c>
      <c r="G50" s="59">
        <v>1541</v>
      </c>
      <c r="H50" s="59">
        <v>1433</v>
      </c>
      <c r="I50" s="59">
        <v>4296</v>
      </c>
      <c r="J50" s="59">
        <v>5610</v>
      </c>
      <c r="K50" s="59">
        <v>8579</v>
      </c>
      <c r="L50" s="59">
        <v>1421</v>
      </c>
      <c r="M50" s="59">
        <v>2434</v>
      </c>
      <c r="N50" s="45">
        <f>SUM(B50:M50)</f>
        <v>40121</v>
      </c>
      <c r="O50" s="28">
        <v>5165</v>
      </c>
      <c r="P50" s="28">
        <f>O50/N50</f>
        <v>0.12873557488596993</v>
      </c>
    </row>
    <row r="51" spans="1:16">
      <c r="A51" t="s">
        <v>156</v>
      </c>
      <c r="B51" s="49">
        <v>1</v>
      </c>
      <c r="C51" s="49">
        <v>2</v>
      </c>
      <c r="D51" s="49">
        <v>21</v>
      </c>
      <c r="E51" s="49">
        <v>43</v>
      </c>
      <c r="F51" s="49">
        <v>35</v>
      </c>
      <c r="G51" s="49">
        <v>12</v>
      </c>
      <c r="H51" s="49">
        <v>9</v>
      </c>
      <c r="I51" s="49">
        <v>23</v>
      </c>
      <c r="J51" s="49">
        <v>187</v>
      </c>
      <c r="K51" s="49">
        <v>360</v>
      </c>
      <c r="L51" s="49">
        <v>33</v>
      </c>
      <c r="M51" s="49">
        <v>100</v>
      </c>
      <c r="N51" s="45">
        <f>SUM(B51:M51)</f>
        <v>826</v>
      </c>
      <c r="O51" s="28">
        <v>5165</v>
      </c>
      <c r="P51" s="28">
        <f>O51/N51</f>
        <v>6.2530266343825662</v>
      </c>
    </row>
    <row r="52" spans="1:16">
      <c r="B52" s="133"/>
      <c r="C52" s="133"/>
      <c r="D52" s="133"/>
      <c r="E52" s="133"/>
      <c r="F52" s="133"/>
      <c r="G52" s="133"/>
      <c r="H52" s="133"/>
      <c r="I52" s="133"/>
      <c r="J52" s="133"/>
      <c r="K52" s="133"/>
      <c r="L52" s="133"/>
      <c r="M52" s="133"/>
      <c r="N52" s="134"/>
      <c r="O52" s="28"/>
      <c r="P52" s="28"/>
    </row>
    <row r="53" spans="1:16">
      <c r="B53" s="133"/>
      <c r="C53" s="133"/>
      <c r="D53" s="133"/>
      <c r="E53" s="133"/>
      <c r="F53" s="133"/>
      <c r="G53" s="133"/>
      <c r="H53" s="133"/>
      <c r="I53" s="133"/>
      <c r="J53" s="133"/>
      <c r="K53" s="133"/>
      <c r="L53" s="133"/>
      <c r="M53" s="133"/>
      <c r="N53" s="134"/>
      <c r="O53" s="28"/>
      <c r="P53" s="28"/>
    </row>
    <row r="54" spans="1:16" ht="24">
      <c r="A54" s="118"/>
      <c r="B54" s="119">
        <v>38534</v>
      </c>
      <c r="C54" s="132">
        <v>38565</v>
      </c>
      <c r="D54" s="132">
        <v>38596</v>
      </c>
      <c r="E54" s="132">
        <v>38626</v>
      </c>
      <c r="F54" s="132">
        <v>38657</v>
      </c>
      <c r="G54" s="132">
        <v>38687</v>
      </c>
      <c r="H54" s="132">
        <v>38718</v>
      </c>
      <c r="I54" s="132">
        <v>38749</v>
      </c>
      <c r="J54" s="132">
        <v>38777</v>
      </c>
      <c r="K54" s="132">
        <v>38808</v>
      </c>
      <c r="L54" s="132">
        <v>38838</v>
      </c>
      <c r="M54" s="132">
        <v>38869</v>
      </c>
      <c r="N54" s="138" t="s">
        <v>1</v>
      </c>
      <c r="O54" s="121" t="s">
        <v>90</v>
      </c>
      <c r="P54" s="121" t="s">
        <v>228</v>
      </c>
    </row>
    <row r="55" spans="1:16">
      <c r="A55" s="1" t="s">
        <v>61</v>
      </c>
      <c r="B55" s="22"/>
      <c r="C55" s="24"/>
      <c r="D55" s="24"/>
      <c r="E55" s="24"/>
      <c r="F55" s="24"/>
      <c r="G55" s="24"/>
      <c r="H55" s="24"/>
      <c r="I55" s="24"/>
      <c r="J55" s="24"/>
      <c r="K55" s="24"/>
      <c r="L55" s="24"/>
      <c r="M55" s="24"/>
      <c r="O55" s="28"/>
      <c r="P55" s="28"/>
    </row>
    <row r="56" spans="1:16">
      <c r="A56" t="s">
        <v>2</v>
      </c>
      <c r="B56" s="59">
        <v>6</v>
      </c>
      <c r="C56" s="59">
        <v>4</v>
      </c>
      <c r="D56" s="59">
        <v>25</v>
      </c>
      <c r="E56" s="59">
        <v>46</v>
      </c>
      <c r="F56" s="59">
        <v>59</v>
      </c>
      <c r="G56" s="60">
        <v>23</v>
      </c>
      <c r="H56" s="59">
        <v>14</v>
      </c>
      <c r="I56" s="59">
        <v>50</v>
      </c>
      <c r="J56" s="59">
        <v>76</v>
      </c>
      <c r="K56" s="59">
        <v>73</v>
      </c>
      <c r="L56" s="59">
        <v>8</v>
      </c>
      <c r="M56" s="60">
        <v>17</v>
      </c>
      <c r="N56" s="45">
        <f>SUM(B56:M56)</f>
        <v>401</v>
      </c>
      <c r="P56" s="28"/>
    </row>
    <row r="57" spans="1:16">
      <c r="A57" t="s">
        <v>3</v>
      </c>
      <c r="B57" s="49">
        <v>15</v>
      </c>
      <c r="C57" s="49">
        <v>16</v>
      </c>
      <c r="D57" s="49">
        <v>59</v>
      </c>
      <c r="E57" s="49">
        <v>221</v>
      </c>
      <c r="F57" s="49">
        <v>184</v>
      </c>
      <c r="G57" s="49">
        <v>77</v>
      </c>
      <c r="H57" s="49">
        <v>31</v>
      </c>
      <c r="I57" s="49">
        <v>152</v>
      </c>
      <c r="J57" s="49">
        <v>275</v>
      </c>
      <c r="K57" s="49">
        <v>189</v>
      </c>
      <c r="L57" s="49">
        <v>22</v>
      </c>
      <c r="M57" s="49">
        <v>56</v>
      </c>
      <c r="N57" s="45">
        <f>SUM(B57:M57)</f>
        <v>1297</v>
      </c>
      <c r="O57" s="28">
        <v>0</v>
      </c>
      <c r="P57" s="28" t="s">
        <v>31</v>
      </c>
    </row>
    <row r="58" spans="1:16">
      <c r="A58" t="s">
        <v>156</v>
      </c>
      <c r="B58" s="63" t="s">
        <v>31</v>
      </c>
      <c r="C58" s="63" t="s">
        <v>31</v>
      </c>
      <c r="D58" s="63" t="s">
        <v>31</v>
      </c>
      <c r="E58" s="63" t="s">
        <v>31</v>
      </c>
      <c r="F58" s="63" t="s">
        <v>31</v>
      </c>
      <c r="G58" s="63" t="s">
        <v>31</v>
      </c>
      <c r="H58" s="63" t="s">
        <v>31</v>
      </c>
      <c r="I58" s="63" t="s">
        <v>31</v>
      </c>
      <c r="J58" s="63" t="s">
        <v>31</v>
      </c>
      <c r="K58" s="63" t="s">
        <v>31</v>
      </c>
      <c r="L58" s="63" t="s">
        <v>31</v>
      </c>
      <c r="M58" s="63" t="s">
        <v>31</v>
      </c>
      <c r="N58" s="64" t="s">
        <v>31</v>
      </c>
      <c r="O58" s="28">
        <v>0</v>
      </c>
      <c r="P58" s="28" t="s">
        <v>31</v>
      </c>
    </row>
    <row r="59" spans="1:16">
      <c r="B59" s="139"/>
      <c r="C59" s="139"/>
      <c r="D59" s="139"/>
      <c r="E59" s="139"/>
      <c r="F59" s="139"/>
      <c r="G59" s="139"/>
      <c r="H59" s="139"/>
      <c r="I59" s="139"/>
      <c r="J59" s="139"/>
      <c r="K59" s="139"/>
      <c r="L59" s="139"/>
      <c r="M59" s="139"/>
      <c r="N59" s="141"/>
      <c r="O59" s="28"/>
      <c r="P59" s="28"/>
    </row>
    <row r="60" spans="1:16">
      <c r="B60" s="139"/>
      <c r="C60" s="139"/>
      <c r="D60" s="139"/>
      <c r="E60" s="139"/>
      <c r="F60" s="139"/>
      <c r="G60" s="139"/>
      <c r="H60" s="139"/>
      <c r="I60" s="139"/>
      <c r="J60" s="139"/>
      <c r="K60" s="139"/>
      <c r="L60" s="139"/>
      <c r="M60" s="139"/>
      <c r="N60" s="141"/>
      <c r="O60" s="28"/>
      <c r="P60" s="28"/>
    </row>
    <row r="61" spans="1:16" ht="24">
      <c r="A61" s="118"/>
      <c r="B61" s="119">
        <v>38534</v>
      </c>
      <c r="C61" s="132">
        <v>38565</v>
      </c>
      <c r="D61" s="132">
        <v>38596</v>
      </c>
      <c r="E61" s="132">
        <v>38626</v>
      </c>
      <c r="F61" s="132">
        <v>38657</v>
      </c>
      <c r="G61" s="132">
        <v>38687</v>
      </c>
      <c r="H61" s="132">
        <v>38718</v>
      </c>
      <c r="I61" s="132">
        <v>38749</v>
      </c>
      <c r="J61" s="132">
        <v>38777</v>
      </c>
      <c r="K61" s="132">
        <v>38808</v>
      </c>
      <c r="L61" s="132">
        <v>38838</v>
      </c>
      <c r="M61" s="132">
        <v>38869</v>
      </c>
      <c r="N61" s="138" t="s">
        <v>1</v>
      </c>
      <c r="O61" s="121" t="s">
        <v>90</v>
      </c>
      <c r="P61" s="121" t="s">
        <v>228</v>
      </c>
    </row>
    <row r="62" spans="1:16">
      <c r="A62" s="1" t="s">
        <v>62</v>
      </c>
      <c r="B62" s="22"/>
      <c r="C62" s="24"/>
      <c r="D62" s="24"/>
      <c r="E62" s="24"/>
      <c r="F62" s="24"/>
      <c r="G62" s="24"/>
      <c r="H62" s="24"/>
      <c r="I62" s="24"/>
      <c r="J62" s="24"/>
      <c r="K62" s="24"/>
      <c r="L62" s="24"/>
      <c r="M62" s="24"/>
      <c r="O62" s="28"/>
      <c r="P62" s="28"/>
    </row>
    <row r="63" spans="1:16">
      <c r="A63" t="s">
        <v>2</v>
      </c>
      <c r="B63" s="59">
        <v>40</v>
      </c>
      <c r="C63" s="59">
        <v>3</v>
      </c>
      <c r="D63" s="59">
        <v>13</v>
      </c>
      <c r="E63" s="59">
        <v>122</v>
      </c>
      <c r="F63" s="59">
        <v>69</v>
      </c>
      <c r="G63" s="60">
        <v>20</v>
      </c>
      <c r="H63" s="59">
        <v>18</v>
      </c>
      <c r="I63" s="59">
        <v>82</v>
      </c>
      <c r="J63" s="59">
        <v>69</v>
      </c>
      <c r="K63" s="59">
        <v>57</v>
      </c>
      <c r="L63" s="59">
        <v>11</v>
      </c>
      <c r="M63" s="60">
        <v>10</v>
      </c>
      <c r="N63" s="45">
        <f>SUM(B63:M63)</f>
        <v>514</v>
      </c>
      <c r="O63" s="28"/>
      <c r="P63" s="28"/>
    </row>
    <row r="64" spans="1:16">
      <c r="A64" t="s">
        <v>3</v>
      </c>
      <c r="B64" s="49">
        <v>198</v>
      </c>
      <c r="C64" s="49">
        <v>4</v>
      </c>
      <c r="D64" s="49">
        <v>60</v>
      </c>
      <c r="E64" s="49">
        <v>397</v>
      </c>
      <c r="F64" s="49">
        <v>272</v>
      </c>
      <c r="G64" s="49">
        <v>85</v>
      </c>
      <c r="H64" s="49">
        <v>102</v>
      </c>
      <c r="I64" s="49">
        <v>368</v>
      </c>
      <c r="J64" s="49">
        <v>266</v>
      </c>
      <c r="K64" s="49">
        <v>192</v>
      </c>
      <c r="L64" s="49">
        <v>24</v>
      </c>
      <c r="M64" s="49">
        <v>24</v>
      </c>
      <c r="N64" s="45">
        <f>SUM(B64:M64)</f>
        <v>1992</v>
      </c>
      <c r="O64" s="28">
        <v>2430</v>
      </c>
      <c r="P64" s="28">
        <f>O64/N64</f>
        <v>1.2198795180722892</v>
      </c>
    </row>
    <row r="65" spans="1:16">
      <c r="A65" t="s">
        <v>156</v>
      </c>
      <c r="B65" s="63" t="s">
        <v>31</v>
      </c>
      <c r="C65" s="63" t="s">
        <v>31</v>
      </c>
      <c r="D65" s="63" t="s">
        <v>31</v>
      </c>
      <c r="E65" s="63" t="s">
        <v>31</v>
      </c>
      <c r="F65" s="63" t="s">
        <v>31</v>
      </c>
      <c r="G65" s="63" t="s">
        <v>31</v>
      </c>
      <c r="H65" s="63" t="s">
        <v>31</v>
      </c>
      <c r="I65" s="63" t="s">
        <v>31</v>
      </c>
      <c r="J65" s="63" t="s">
        <v>31</v>
      </c>
      <c r="K65" s="63" t="s">
        <v>31</v>
      </c>
      <c r="L65" s="63" t="s">
        <v>31</v>
      </c>
      <c r="M65" s="63" t="s">
        <v>31</v>
      </c>
      <c r="N65" s="64" t="s">
        <v>31</v>
      </c>
      <c r="O65" s="28">
        <v>2430</v>
      </c>
      <c r="P65" s="28" t="s">
        <v>31</v>
      </c>
    </row>
    <row r="66" spans="1:16">
      <c r="B66" s="139"/>
      <c r="C66" s="139"/>
      <c r="D66" s="139"/>
      <c r="E66" s="139"/>
      <c r="F66" s="139"/>
      <c r="G66" s="139"/>
      <c r="H66" s="139"/>
      <c r="I66" s="139"/>
      <c r="J66" s="139"/>
      <c r="K66" s="139"/>
      <c r="L66" s="139"/>
      <c r="M66" s="139"/>
      <c r="N66" s="141"/>
      <c r="O66" s="28"/>
      <c r="P66" s="28"/>
    </row>
    <row r="67" spans="1:16">
      <c r="B67" s="139"/>
      <c r="C67" s="139"/>
      <c r="D67" s="139"/>
      <c r="E67" s="139"/>
      <c r="F67" s="139"/>
      <c r="G67" s="139"/>
      <c r="H67" s="139"/>
      <c r="I67" s="139"/>
      <c r="J67" s="139"/>
      <c r="K67" s="139"/>
      <c r="L67" s="139"/>
      <c r="M67" s="139"/>
      <c r="N67" s="141"/>
      <c r="O67" s="28"/>
      <c r="P67" s="28"/>
    </row>
    <row r="68" spans="1:16" ht="24">
      <c r="A68" s="118"/>
      <c r="B68" s="119">
        <v>38534</v>
      </c>
      <c r="C68" s="132">
        <v>38565</v>
      </c>
      <c r="D68" s="132">
        <v>38596</v>
      </c>
      <c r="E68" s="132">
        <v>38626</v>
      </c>
      <c r="F68" s="132">
        <v>38657</v>
      </c>
      <c r="G68" s="132">
        <v>38687</v>
      </c>
      <c r="H68" s="132">
        <v>38718</v>
      </c>
      <c r="I68" s="132">
        <v>38749</v>
      </c>
      <c r="J68" s="132">
        <v>38777</v>
      </c>
      <c r="K68" s="132">
        <v>38808</v>
      </c>
      <c r="L68" s="132">
        <v>38838</v>
      </c>
      <c r="M68" s="132">
        <v>38869</v>
      </c>
      <c r="N68" s="138" t="s">
        <v>1</v>
      </c>
      <c r="O68" s="121" t="s">
        <v>90</v>
      </c>
      <c r="P68" s="121" t="s">
        <v>228</v>
      </c>
    </row>
    <row r="69" spans="1:16">
      <c r="A69" s="39" t="s">
        <v>107</v>
      </c>
      <c r="B69" s="22"/>
      <c r="C69" s="24"/>
      <c r="D69" s="24"/>
      <c r="E69" s="24"/>
      <c r="F69" s="24"/>
      <c r="G69" s="24"/>
      <c r="H69" s="24"/>
      <c r="I69" s="24"/>
      <c r="J69" s="24"/>
      <c r="K69" s="24"/>
      <c r="L69" s="24"/>
      <c r="M69" s="24"/>
      <c r="N69" s="12"/>
      <c r="O69" s="28"/>
      <c r="P69" s="28"/>
    </row>
    <row r="70" spans="1:16">
      <c r="A70" s="17" t="s">
        <v>2</v>
      </c>
      <c r="B70" s="65" t="s">
        <v>157</v>
      </c>
      <c r="C70" s="65" t="s">
        <v>157</v>
      </c>
      <c r="D70" s="65" t="s">
        <v>157</v>
      </c>
      <c r="E70" s="65" t="s">
        <v>157</v>
      </c>
      <c r="F70" s="65" t="s">
        <v>157</v>
      </c>
      <c r="G70" s="65" t="s">
        <v>157</v>
      </c>
      <c r="H70" s="47">
        <v>0</v>
      </c>
      <c r="I70" s="47">
        <v>0</v>
      </c>
      <c r="J70" s="49">
        <v>42</v>
      </c>
      <c r="K70" s="49">
        <v>77</v>
      </c>
      <c r="L70" s="49">
        <v>28</v>
      </c>
      <c r="M70" s="49">
        <v>133</v>
      </c>
      <c r="N70" s="45">
        <f>SUM(B70:M70)</f>
        <v>280</v>
      </c>
      <c r="O70" s="28"/>
      <c r="P70" s="28"/>
    </row>
    <row r="71" spans="1:16">
      <c r="A71" s="17" t="s">
        <v>3</v>
      </c>
      <c r="B71" s="65" t="s">
        <v>157</v>
      </c>
      <c r="C71" s="65" t="s">
        <v>157</v>
      </c>
      <c r="D71" s="65" t="s">
        <v>157</v>
      </c>
      <c r="E71" s="65" t="s">
        <v>157</v>
      </c>
      <c r="F71" s="65" t="s">
        <v>157</v>
      </c>
      <c r="G71" s="65" t="s">
        <v>157</v>
      </c>
      <c r="H71" s="47">
        <v>0</v>
      </c>
      <c r="I71" s="47">
        <v>0</v>
      </c>
      <c r="J71" s="49">
        <v>176</v>
      </c>
      <c r="K71" s="49">
        <v>296</v>
      </c>
      <c r="L71" s="49">
        <v>106</v>
      </c>
      <c r="M71" s="49">
        <v>545</v>
      </c>
      <c r="N71" s="45">
        <f>SUM(B71:M71)</f>
        <v>1123</v>
      </c>
      <c r="O71" s="28">
        <v>0</v>
      </c>
      <c r="P71" s="28" t="s">
        <v>31</v>
      </c>
    </row>
    <row r="72" spans="1:16">
      <c r="A72" t="s">
        <v>156</v>
      </c>
      <c r="B72" s="65" t="s">
        <v>157</v>
      </c>
      <c r="C72" s="65" t="s">
        <v>157</v>
      </c>
      <c r="D72" s="65" t="s">
        <v>157</v>
      </c>
      <c r="E72" s="65" t="s">
        <v>157</v>
      </c>
      <c r="F72" s="65" t="s">
        <v>157</v>
      </c>
      <c r="G72" s="65" t="s">
        <v>157</v>
      </c>
      <c r="H72" s="49">
        <v>0</v>
      </c>
      <c r="I72" s="49">
        <v>0</v>
      </c>
      <c r="J72" s="49">
        <v>20</v>
      </c>
      <c r="K72" s="49">
        <v>58</v>
      </c>
      <c r="L72" s="49">
        <v>1</v>
      </c>
      <c r="M72" s="49">
        <v>21</v>
      </c>
      <c r="N72" s="45">
        <f>SUM(B72:M72)</f>
        <v>100</v>
      </c>
      <c r="O72" s="28">
        <v>0</v>
      </c>
      <c r="P72" s="28" t="s">
        <v>31</v>
      </c>
    </row>
    <row r="73" spans="1:16">
      <c r="B73" s="140"/>
      <c r="C73" s="140"/>
      <c r="D73" s="140"/>
      <c r="E73" s="140"/>
      <c r="F73" s="140"/>
      <c r="G73" s="140"/>
      <c r="H73" s="133"/>
      <c r="I73" s="133"/>
      <c r="J73" s="133"/>
      <c r="K73" s="133"/>
      <c r="L73" s="133"/>
      <c r="M73" s="133"/>
      <c r="N73" s="134"/>
      <c r="O73" s="28"/>
      <c r="P73" s="28"/>
    </row>
    <row r="74" spans="1:16">
      <c r="B74" s="140"/>
      <c r="C74" s="140"/>
      <c r="D74" s="140"/>
      <c r="E74" s="140"/>
      <c r="F74" s="140"/>
      <c r="G74" s="140"/>
      <c r="H74" s="133"/>
      <c r="I74" s="133"/>
      <c r="J74" s="133"/>
      <c r="K74" s="133"/>
      <c r="L74" s="133"/>
      <c r="M74" s="133"/>
      <c r="N74" s="134"/>
      <c r="O74" s="28"/>
      <c r="P74" s="28"/>
    </row>
    <row r="75" spans="1:16" ht="24">
      <c r="A75" s="118"/>
      <c r="B75" s="119">
        <v>38534</v>
      </c>
      <c r="C75" s="132">
        <v>38565</v>
      </c>
      <c r="D75" s="132">
        <v>38596</v>
      </c>
      <c r="E75" s="132">
        <v>38626</v>
      </c>
      <c r="F75" s="132">
        <v>38657</v>
      </c>
      <c r="G75" s="132">
        <v>38687</v>
      </c>
      <c r="H75" s="132">
        <v>38718</v>
      </c>
      <c r="I75" s="132">
        <v>38749</v>
      </c>
      <c r="J75" s="132">
        <v>38777</v>
      </c>
      <c r="K75" s="132">
        <v>38808</v>
      </c>
      <c r="L75" s="132">
        <v>38838</v>
      </c>
      <c r="M75" s="132">
        <v>38869</v>
      </c>
      <c r="N75" s="138" t="s">
        <v>1</v>
      </c>
      <c r="O75" s="121" t="s">
        <v>90</v>
      </c>
      <c r="P75" s="121" t="s">
        <v>228</v>
      </c>
    </row>
    <row r="76" spans="1:16">
      <c r="A76" s="39" t="s">
        <v>108</v>
      </c>
      <c r="B76" s="22"/>
      <c r="C76" s="24"/>
      <c r="D76" s="24"/>
      <c r="E76" s="24"/>
      <c r="F76" s="24"/>
      <c r="G76" s="24"/>
      <c r="H76" s="24"/>
      <c r="I76" s="24"/>
      <c r="J76" s="24"/>
      <c r="K76" s="24"/>
      <c r="L76" s="24"/>
      <c r="M76" s="24"/>
      <c r="O76" s="28"/>
      <c r="P76" s="28"/>
    </row>
    <row r="77" spans="1:16">
      <c r="A77" s="17" t="s">
        <v>2</v>
      </c>
      <c r="B77" s="65" t="s">
        <v>157</v>
      </c>
      <c r="C77" s="65" t="s">
        <v>157</v>
      </c>
      <c r="D77" s="65" t="s">
        <v>157</v>
      </c>
      <c r="E77" s="65" t="s">
        <v>157</v>
      </c>
      <c r="F77" s="65" t="s">
        <v>157</v>
      </c>
      <c r="G77" s="65" t="s">
        <v>157</v>
      </c>
      <c r="H77" s="47">
        <v>0</v>
      </c>
      <c r="I77" s="47">
        <v>0</v>
      </c>
      <c r="J77" s="47">
        <v>2</v>
      </c>
      <c r="K77" s="47">
        <v>0</v>
      </c>
      <c r="L77" s="47">
        <v>0</v>
      </c>
      <c r="M77" s="47">
        <v>0</v>
      </c>
      <c r="N77" s="45">
        <f>SUM(B77:M77)</f>
        <v>2</v>
      </c>
      <c r="O77" s="28"/>
      <c r="P77" s="28"/>
    </row>
    <row r="78" spans="1:16">
      <c r="A78" s="17" t="s">
        <v>3</v>
      </c>
      <c r="B78" s="65" t="s">
        <v>157</v>
      </c>
      <c r="C78" s="65" t="s">
        <v>157</v>
      </c>
      <c r="D78" s="65" t="s">
        <v>157</v>
      </c>
      <c r="E78" s="65" t="s">
        <v>157</v>
      </c>
      <c r="F78" s="65" t="s">
        <v>157</v>
      </c>
      <c r="G78" s="65" t="s">
        <v>157</v>
      </c>
      <c r="H78" s="47">
        <v>0</v>
      </c>
      <c r="I78" s="47">
        <v>0</v>
      </c>
      <c r="J78" s="47">
        <v>16</v>
      </c>
      <c r="K78" s="47">
        <v>0</v>
      </c>
      <c r="L78" s="47">
        <v>0</v>
      </c>
      <c r="M78" s="47">
        <v>0</v>
      </c>
      <c r="N78" s="45">
        <f>SUM(B78:M78)</f>
        <v>16</v>
      </c>
      <c r="O78" s="28">
        <v>0</v>
      </c>
      <c r="P78" s="28" t="s">
        <v>31</v>
      </c>
    </row>
    <row r="79" spans="1:16">
      <c r="A79" t="s">
        <v>156</v>
      </c>
      <c r="B79" s="65" t="s">
        <v>157</v>
      </c>
      <c r="C79" s="65" t="s">
        <v>157</v>
      </c>
      <c r="D79" s="65" t="s">
        <v>157</v>
      </c>
      <c r="E79" s="65" t="s">
        <v>157</v>
      </c>
      <c r="F79" s="65" t="s">
        <v>157</v>
      </c>
      <c r="G79" s="65" t="s">
        <v>157</v>
      </c>
      <c r="H79" s="65" t="s">
        <v>157</v>
      </c>
      <c r="I79" s="65" t="s">
        <v>157</v>
      </c>
      <c r="J79" s="65" t="s">
        <v>157</v>
      </c>
      <c r="K79" s="65" t="s">
        <v>157</v>
      </c>
      <c r="L79" s="65" t="s">
        <v>157</v>
      </c>
      <c r="M79" s="65" t="s">
        <v>157</v>
      </c>
      <c r="N79" s="64" t="s">
        <v>157</v>
      </c>
      <c r="O79" s="28">
        <v>0</v>
      </c>
      <c r="P79" s="28" t="s">
        <v>31</v>
      </c>
    </row>
    <row r="80" spans="1:16">
      <c r="B80" s="140"/>
      <c r="C80" s="140"/>
      <c r="D80" s="140"/>
      <c r="E80" s="140"/>
      <c r="F80" s="140"/>
      <c r="G80" s="140"/>
      <c r="H80" s="140"/>
      <c r="I80" s="140"/>
      <c r="J80" s="140"/>
      <c r="K80" s="140"/>
      <c r="L80" s="140"/>
      <c r="M80" s="140"/>
      <c r="N80" s="141"/>
      <c r="O80" s="28"/>
      <c r="P80" s="28"/>
    </row>
    <row r="81" spans="1:16">
      <c r="B81" s="140"/>
      <c r="C81" s="140"/>
      <c r="D81" s="140"/>
      <c r="E81" s="140"/>
      <c r="F81" s="140"/>
      <c r="G81" s="140"/>
      <c r="H81" s="140"/>
      <c r="I81" s="140"/>
      <c r="J81" s="140"/>
      <c r="K81" s="140"/>
      <c r="L81" s="140"/>
      <c r="M81" s="140"/>
      <c r="N81" s="141"/>
      <c r="O81" s="28"/>
      <c r="P81" s="28"/>
    </row>
    <row r="82" spans="1:16" ht="24">
      <c r="A82" s="118"/>
      <c r="B82" s="119">
        <v>38534</v>
      </c>
      <c r="C82" s="132">
        <v>38565</v>
      </c>
      <c r="D82" s="132">
        <v>38596</v>
      </c>
      <c r="E82" s="132">
        <v>38626</v>
      </c>
      <c r="F82" s="132">
        <v>38657</v>
      </c>
      <c r="G82" s="132">
        <v>38687</v>
      </c>
      <c r="H82" s="132">
        <v>38718</v>
      </c>
      <c r="I82" s="132">
        <v>38749</v>
      </c>
      <c r="J82" s="132">
        <v>38777</v>
      </c>
      <c r="K82" s="132">
        <v>38808</v>
      </c>
      <c r="L82" s="132">
        <v>38838</v>
      </c>
      <c r="M82" s="132">
        <v>38869</v>
      </c>
      <c r="N82" s="138" t="s">
        <v>1</v>
      </c>
      <c r="O82" s="121" t="s">
        <v>90</v>
      </c>
      <c r="P82" s="121" t="s">
        <v>228</v>
      </c>
    </row>
    <row r="83" spans="1:16">
      <c r="A83" s="1" t="s">
        <v>89</v>
      </c>
      <c r="B83" s="22"/>
      <c r="C83" s="24"/>
      <c r="D83" s="24"/>
      <c r="E83" s="24"/>
      <c r="F83" s="24"/>
      <c r="G83" s="24"/>
      <c r="H83" s="24"/>
      <c r="I83" s="24"/>
      <c r="J83" s="24"/>
      <c r="K83" s="24"/>
      <c r="L83" s="24"/>
      <c r="M83" s="24"/>
      <c r="O83" s="28"/>
      <c r="P83" s="28"/>
    </row>
    <row r="84" spans="1:16">
      <c r="A84" t="s">
        <v>2</v>
      </c>
      <c r="B84" s="59">
        <v>4995</v>
      </c>
      <c r="C84" s="59">
        <v>1457</v>
      </c>
      <c r="D84" s="59">
        <v>7649</v>
      </c>
      <c r="E84" s="59">
        <v>19378</v>
      </c>
      <c r="F84" s="59">
        <v>22699</v>
      </c>
      <c r="G84" s="60">
        <v>10110</v>
      </c>
      <c r="H84" s="59">
        <v>3338</v>
      </c>
      <c r="I84" s="59">
        <v>12927</v>
      </c>
      <c r="J84" s="59">
        <v>16436</v>
      </c>
      <c r="K84" s="59">
        <v>20785</v>
      </c>
      <c r="L84" s="59">
        <v>5006</v>
      </c>
      <c r="M84" s="60">
        <v>4812</v>
      </c>
      <c r="N84" s="61">
        <f>SUM(B84:M84)</f>
        <v>129592</v>
      </c>
      <c r="O84" s="28"/>
      <c r="P84" s="28"/>
    </row>
    <row r="85" spans="1:16">
      <c r="A85" t="s">
        <v>3</v>
      </c>
      <c r="B85" s="49">
        <v>15672</v>
      </c>
      <c r="C85" s="49">
        <v>3480</v>
      </c>
      <c r="D85" s="49">
        <v>20055</v>
      </c>
      <c r="E85" s="49">
        <v>59846</v>
      </c>
      <c r="F85" s="49">
        <v>64353</v>
      </c>
      <c r="G85" s="49">
        <v>29063</v>
      </c>
      <c r="H85" s="49">
        <v>8326</v>
      </c>
      <c r="I85" s="49">
        <v>43927</v>
      </c>
      <c r="J85" s="49">
        <v>55049</v>
      </c>
      <c r="K85" s="49">
        <v>66804</v>
      </c>
      <c r="L85" s="49">
        <v>14759</v>
      </c>
      <c r="M85" s="49">
        <v>15861</v>
      </c>
      <c r="N85" s="45">
        <f>SUM(B85:M85)</f>
        <v>397195</v>
      </c>
      <c r="O85" s="28">
        <f>SUM(O8:O83)</f>
        <v>52416</v>
      </c>
      <c r="P85" s="28">
        <f>O85/N85</f>
        <v>0.13196540741952945</v>
      </c>
    </row>
    <row r="86" spans="1:16">
      <c r="A86" t="s">
        <v>156</v>
      </c>
      <c r="B86" s="49">
        <v>11578</v>
      </c>
      <c r="C86" s="49">
        <v>2070</v>
      </c>
      <c r="D86" s="49">
        <v>12035</v>
      </c>
      <c r="E86" s="49">
        <v>33347</v>
      </c>
      <c r="F86" s="49">
        <v>45647</v>
      </c>
      <c r="G86" s="49">
        <v>21573</v>
      </c>
      <c r="H86" s="49">
        <v>6136</v>
      </c>
      <c r="I86" s="49">
        <v>25833</v>
      </c>
      <c r="J86" s="49">
        <v>29679</v>
      </c>
      <c r="K86" s="49">
        <v>33498</v>
      </c>
      <c r="L86" s="49">
        <v>7309</v>
      </c>
      <c r="M86" s="49">
        <v>6784</v>
      </c>
      <c r="N86" s="45">
        <f>SUM(B86:M86)</f>
        <v>235489</v>
      </c>
      <c r="O86" s="28">
        <f>SUM(O9:O84)</f>
        <v>33803</v>
      </c>
      <c r="P86" s="28">
        <f>O86/N86</f>
        <v>0.1435438597981222</v>
      </c>
    </row>
  </sheetData>
  <phoneticPr fontId="2" type="noConversion"/>
  <pageMargins left="0.75" right="0.75" top="1" bottom="1" header="0.5" footer="0.5"/>
  <pageSetup scale="76" fitToHeight="4" orientation="landscape"/>
  <headerFooter>
    <oddFooter>&amp;L&amp;K000000EBSCOhost&amp;R&amp;K0000002005-06 usage</oddFooter>
  </headerFooter>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P134"/>
  <sheetViews>
    <sheetView workbookViewId="0"/>
  </sheetViews>
  <sheetFormatPr baseColWidth="10" defaultColWidth="8.83203125" defaultRowHeight="12" x14ac:dyDescent="0"/>
  <cols>
    <col min="1" max="1" width="32.83203125" bestFit="1" customWidth="1"/>
    <col min="2" max="2" width="6.1640625" bestFit="1" customWidth="1"/>
    <col min="3" max="3" width="7" bestFit="1" customWidth="1"/>
    <col min="4" max="4" width="6.6640625" bestFit="1" customWidth="1"/>
    <col min="5" max="5" width="6.5" bestFit="1" customWidth="1"/>
    <col min="6" max="6" width="6.83203125" bestFit="1" customWidth="1"/>
    <col min="7" max="7" width="6.6640625" bestFit="1" customWidth="1"/>
    <col min="8" max="8" width="6.5" bestFit="1" customWidth="1"/>
    <col min="9" max="10" width="6.6640625" bestFit="1" customWidth="1"/>
    <col min="11" max="11" width="6.5" bestFit="1" customWidth="1"/>
    <col min="12" max="12" width="7" bestFit="1" customWidth="1"/>
    <col min="13" max="13" width="6.6640625" bestFit="1" customWidth="1"/>
    <col min="14" max="14" width="5.1640625" bestFit="1" customWidth="1"/>
    <col min="15" max="15" width="9.33203125" bestFit="1" customWidth="1"/>
    <col min="16" max="16" width="8.5" bestFit="1" customWidth="1"/>
  </cols>
  <sheetData>
    <row r="1" spans="1:16" ht="18">
      <c r="A1" s="2" t="s">
        <v>32</v>
      </c>
    </row>
    <row r="2" spans="1:16" ht="17">
      <c r="A2" s="3" t="s">
        <v>46</v>
      </c>
    </row>
    <row r="5" spans="1:16" ht="24">
      <c r="A5" s="112"/>
      <c r="B5" s="113">
        <v>38534</v>
      </c>
      <c r="C5" s="136">
        <v>38565</v>
      </c>
      <c r="D5" s="136">
        <v>38596</v>
      </c>
      <c r="E5" s="136">
        <v>38626</v>
      </c>
      <c r="F5" s="136">
        <v>38657</v>
      </c>
      <c r="G5" s="136">
        <v>38687</v>
      </c>
      <c r="H5" s="136">
        <v>38718</v>
      </c>
      <c r="I5" s="136">
        <v>38749</v>
      </c>
      <c r="J5" s="136">
        <v>38777</v>
      </c>
      <c r="K5" s="136">
        <v>38808</v>
      </c>
      <c r="L5" s="136">
        <v>38838</v>
      </c>
      <c r="M5" s="136">
        <v>38869</v>
      </c>
      <c r="N5" s="114" t="s">
        <v>1</v>
      </c>
      <c r="O5" s="117" t="s">
        <v>90</v>
      </c>
      <c r="P5" s="117" t="s">
        <v>91</v>
      </c>
    </row>
    <row r="6" spans="1:16">
      <c r="A6" s="11" t="s">
        <v>33</v>
      </c>
      <c r="B6" s="12"/>
      <c r="C6" s="12"/>
      <c r="D6" s="12"/>
      <c r="E6" s="12"/>
      <c r="F6" s="12"/>
      <c r="G6" s="12"/>
      <c r="H6" s="12"/>
      <c r="I6" s="12"/>
      <c r="J6" s="12"/>
      <c r="K6" s="12"/>
      <c r="L6" s="12"/>
      <c r="M6" s="12"/>
      <c r="N6" s="12"/>
      <c r="O6" s="28"/>
      <c r="P6" s="28"/>
    </row>
    <row r="7" spans="1:16">
      <c r="A7" s="16" t="s">
        <v>3</v>
      </c>
      <c r="B7" s="40">
        <v>1</v>
      </c>
      <c r="C7" s="40">
        <v>0</v>
      </c>
      <c r="D7" s="40">
        <v>3</v>
      </c>
      <c r="E7" s="40">
        <v>11</v>
      </c>
      <c r="F7" s="40">
        <v>0</v>
      </c>
      <c r="G7" s="41">
        <v>0</v>
      </c>
      <c r="H7" s="40">
        <v>2</v>
      </c>
      <c r="I7" s="40">
        <v>0</v>
      </c>
      <c r="J7" s="40">
        <v>0</v>
      </c>
      <c r="K7" s="40">
        <v>2</v>
      </c>
      <c r="L7" s="40">
        <v>8</v>
      </c>
      <c r="M7" s="95">
        <v>0</v>
      </c>
      <c r="N7" s="45">
        <f>SUM(B7:M7)</f>
        <v>27</v>
      </c>
      <c r="O7" s="28">
        <v>27</v>
      </c>
      <c r="P7" s="28">
        <v>1</v>
      </c>
    </row>
    <row r="8" spans="1:16">
      <c r="A8" s="16"/>
      <c r="B8" s="133"/>
      <c r="C8" s="133"/>
      <c r="D8" s="133"/>
      <c r="E8" s="133"/>
      <c r="F8" s="133"/>
      <c r="G8" s="133"/>
      <c r="H8" s="133"/>
      <c r="I8" s="133"/>
      <c r="J8" s="133"/>
      <c r="K8" s="133"/>
      <c r="L8" s="133"/>
      <c r="M8" s="133"/>
      <c r="N8" s="134"/>
      <c r="O8" s="28"/>
      <c r="P8" s="28"/>
    </row>
    <row r="9" spans="1:16">
      <c r="A9" s="16"/>
      <c r="B9" s="133"/>
      <c r="C9" s="133"/>
      <c r="D9" s="133"/>
      <c r="E9" s="133"/>
      <c r="F9" s="133"/>
      <c r="G9" s="133"/>
      <c r="H9" s="133"/>
      <c r="I9" s="133"/>
      <c r="J9" s="133"/>
      <c r="K9" s="133"/>
      <c r="L9" s="133"/>
      <c r="M9" s="133"/>
      <c r="N9" s="134"/>
      <c r="O9" s="28"/>
      <c r="P9" s="28"/>
    </row>
    <row r="10" spans="1:16" ht="24">
      <c r="A10" s="112"/>
      <c r="B10" s="113">
        <v>38534</v>
      </c>
      <c r="C10" s="136">
        <v>38565</v>
      </c>
      <c r="D10" s="136">
        <v>38596</v>
      </c>
      <c r="E10" s="136">
        <v>38626</v>
      </c>
      <c r="F10" s="136">
        <v>38657</v>
      </c>
      <c r="G10" s="136">
        <v>38687</v>
      </c>
      <c r="H10" s="136">
        <v>38718</v>
      </c>
      <c r="I10" s="136">
        <v>38749</v>
      </c>
      <c r="J10" s="136">
        <v>38777</v>
      </c>
      <c r="K10" s="136">
        <v>38808</v>
      </c>
      <c r="L10" s="136">
        <v>38838</v>
      </c>
      <c r="M10" s="136">
        <v>38869</v>
      </c>
      <c r="N10" s="114" t="s">
        <v>1</v>
      </c>
      <c r="O10" s="117" t="s">
        <v>90</v>
      </c>
      <c r="P10" s="117" t="s">
        <v>91</v>
      </c>
    </row>
    <row r="11" spans="1:16">
      <c r="A11" s="11" t="s">
        <v>44</v>
      </c>
      <c r="B11" s="22"/>
      <c r="C11" s="24"/>
      <c r="D11" s="24"/>
      <c r="E11" s="24"/>
      <c r="F11" s="24"/>
      <c r="G11" s="24"/>
      <c r="H11" s="24"/>
      <c r="I11" s="24"/>
      <c r="J11" s="24"/>
      <c r="K11" s="24"/>
      <c r="L11" s="24"/>
      <c r="M11" s="24"/>
      <c r="O11" s="28"/>
      <c r="P11" s="28"/>
    </row>
    <row r="12" spans="1:16">
      <c r="A12" s="16" t="s">
        <v>3</v>
      </c>
      <c r="B12" s="6">
        <v>0</v>
      </c>
      <c r="C12" s="6">
        <v>0</v>
      </c>
      <c r="D12" s="6">
        <v>7</v>
      </c>
      <c r="E12" s="6">
        <v>3</v>
      </c>
      <c r="F12" s="6">
        <v>1</v>
      </c>
      <c r="G12" s="7">
        <v>0</v>
      </c>
      <c r="H12" s="6">
        <v>0</v>
      </c>
      <c r="I12" s="6">
        <v>0</v>
      </c>
      <c r="J12" s="6">
        <v>0</v>
      </c>
      <c r="K12" s="6">
        <v>0</v>
      </c>
      <c r="L12" s="6">
        <v>0</v>
      </c>
      <c r="M12" s="25">
        <v>0</v>
      </c>
      <c r="N12" s="8">
        <f>SUM(B12:M12)</f>
        <v>11</v>
      </c>
      <c r="O12" s="28">
        <v>11</v>
      </c>
      <c r="P12" s="28">
        <v>1</v>
      </c>
    </row>
    <row r="13" spans="1:16">
      <c r="A13" s="16"/>
      <c r="B13" s="19"/>
      <c r="C13" s="19"/>
      <c r="D13" s="19"/>
      <c r="E13" s="19"/>
      <c r="F13" s="19"/>
      <c r="G13" s="19"/>
      <c r="H13" s="19"/>
      <c r="I13" s="19"/>
      <c r="J13" s="19"/>
      <c r="K13" s="19"/>
      <c r="L13" s="19"/>
      <c r="M13" s="19"/>
      <c r="N13" s="17"/>
      <c r="O13" s="28"/>
      <c r="P13" s="28"/>
    </row>
    <row r="14" spans="1:16">
      <c r="A14" s="16"/>
      <c r="B14" s="19"/>
      <c r="C14" s="19"/>
      <c r="D14" s="19"/>
      <c r="E14" s="19"/>
      <c r="F14" s="19"/>
      <c r="G14" s="19"/>
      <c r="H14" s="19"/>
      <c r="I14" s="19"/>
      <c r="J14" s="19"/>
      <c r="K14" s="19"/>
      <c r="L14" s="19"/>
      <c r="M14" s="19"/>
      <c r="N14" s="17"/>
      <c r="O14" s="28"/>
      <c r="P14" s="28"/>
    </row>
    <row r="15" spans="1:16" ht="24">
      <c r="A15" s="112"/>
      <c r="B15" s="113">
        <v>38534</v>
      </c>
      <c r="C15" s="136">
        <v>38565</v>
      </c>
      <c r="D15" s="136">
        <v>38596</v>
      </c>
      <c r="E15" s="136">
        <v>38626</v>
      </c>
      <c r="F15" s="136">
        <v>38657</v>
      </c>
      <c r="G15" s="136">
        <v>38687</v>
      </c>
      <c r="H15" s="136">
        <v>38718</v>
      </c>
      <c r="I15" s="136">
        <v>38749</v>
      </c>
      <c r="J15" s="136">
        <v>38777</v>
      </c>
      <c r="K15" s="136">
        <v>38808</v>
      </c>
      <c r="L15" s="136">
        <v>38838</v>
      </c>
      <c r="M15" s="136">
        <v>38869</v>
      </c>
      <c r="N15" s="114" t="s">
        <v>1</v>
      </c>
      <c r="O15" s="117" t="s">
        <v>90</v>
      </c>
      <c r="P15" s="117" t="s">
        <v>91</v>
      </c>
    </row>
    <row r="16" spans="1:16">
      <c r="A16" s="1" t="s">
        <v>43</v>
      </c>
      <c r="B16" s="22"/>
      <c r="C16" s="24"/>
      <c r="D16" s="24"/>
      <c r="E16" s="24"/>
      <c r="F16" s="24"/>
      <c r="G16" s="24"/>
      <c r="H16" s="24"/>
      <c r="I16" s="24"/>
      <c r="J16" s="24"/>
      <c r="K16" s="24"/>
      <c r="L16" s="24"/>
      <c r="M16" s="24"/>
      <c r="O16" s="28"/>
      <c r="P16" s="28"/>
    </row>
    <row r="17" spans="1:16">
      <c r="A17" t="s">
        <v>2</v>
      </c>
      <c r="B17" s="40">
        <v>242</v>
      </c>
      <c r="C17" s="40">
        <v>86</v>
      </c>
      <c r="D17" s="40">
        <v>367</v>
      </c>
      <c r="E17" s="40">
        <v>643</v>
      </c>
      <c r="F17" s="40">
        <v>722</v>
      </c>
      <c r="G17" s="41">
        <v>388</v>
      </c>
      <c r="H17" s="40">
        <v>170</v>
      </c>
      <c r="I17" s="40">
        <v>554</v>
      </c>
      <c r="J17" s="40">
        <v>500</v>
      </c>
      <c r="K17" s="40">
        <v>642</v>
      </c>
      <c r="L17" s="40">
        <v>185</v>
      </c>
      <c r="M17" s="41">
        <v>167</v>
      </c>
      <c r="N17" s="45">
        <f>SUM(B17:M17)</f>
        <v>4666</v>
      </c>
      <c r="O17" s="28"/>
      <c r="P17" s="28"/>
    </row>
    <row r="18" spans="1:16">
      <c r="A18" t="s">
        <v>3</v>
      </c>
      <c r="B18" s="59">
        <v>916</v>
      </c>
      <c r="C18" s="59">
        <v>129</v>
      </c>
      <c r="D18" s="59">
        <v>771</v>
      </c>
      <c r="E18" s="59">
        <v>1743</v>
      </c>
      <c r="F18" s="59">
        <v>1197</v>
      </c>
      <c r="G18" s="60">
        <v>1206</v>
      </c>
      <c r="H18" s="59">
        <v>479</v>
      </c>
      <c r="I18" s="59">
        <v>1324</v>
      </c>
      <c r="J18" s="59">
        <v>1262</v>
      </c>
      <c r="K18" s="59">
        <v>1541</v>
      </c>
      <c r="L18" s="59">
        <v>537</v>
      </c>
      <c r="M18" s="60">
        <v>309</v>
      </c>
      <c r="N18" s="45">
        <f>SUM(B18:M18)</f>
        <v>11414</v>
      </c>
      <c r="O18" s="28">
        <v>0</v>
      </c>
      <c r="P18" s="28" t="s">
        <v>31</v>
      </c>
    </row>
    <row r="19" spans="1:16">
      <c r="A19" s="21" t="s">
        <v>53</v>
      </c>
      <c r="B19" s="47">
        <v>2</v>
      </c>
      <c r="C19" s="47">
        <v>2</v>
      </c>
      <c r="D19" s="47">
        <v>2</v>
      </c>
      <c r="E19" s="47">
        <v>2</v>
      </c>
      <c r="F19" s="47">
        <v>2</v>
      </c>
      <c r="G19" s="47">
        <v>2</v>
      </c>
      <c r="H19" s="47">
        <v>2</v>
      </c>
      <c r="I19" s="47">
        <v>2</v>
      </c>
      <c r="J19" s="47">
        <v>2</v>
      </c>
      <c r="K19" s="47">
        <v>2</v>
      </c>
      <c r="L19" s="47">
        <v>2</v>
      </c>
      <c r="M19" s="47">
        <v>2</v>
      </c>
      <c r="N19" s="45"/>
      <c r="O19" s="28"/>
      <c r="P19" s="28"/>
    </row>
    <row r="20" spans="1:16">
      <c r="A20" s="17" t="s">
        <v>11</v>
      </c>
      <c r="B20" s="47">
        <v>77</v>
      </c>
      <c r="C20" s="47">
        <v>0</v>
      </c>
      <c r="D20" s="47">
        <v>21</v>
      </c>
      <c r="E20" s="47">
        <v>63</v>
      </c>
      <c r="F20" s="47">
        <v>140</v>
      </c>
      <c r="G20" s="47">
        <v>27</v>
      </c>
      <c r="H20" s="47">
        <v>7</v>
      </c>
      <c r="I20" s="47">
        <v>62</v>
      </c>
      <c r="J20" s="47">
        <v>46</v>
      </c>
      <c r="K20" s="47">
        <v>58</v>
      </c>
      <c r="L20" s="47">
        <v>2</v>
      </c>
      <c r="M20" s="47">
        <v>4</v>
      </c>
      <c r="N20" s="45">
        <f>SUM(B20:M20)</f>
        <v>507</v>
      </c>
      <c r="O20" s="28"/>
      <c r="P20" s="28"/>
    </row>
    <row r="21" spans="1:16">
      <c r="A21" s="17"/>
      <c r="B21" s="134"/>
      <c r="C21" s="134"/>
      <c r="D21" s="134"/>
      <c r="E21" s="134"/>
      <c r="F21" s="134"/>
      <c r="G21" s="134"/>
      <c r="H21" s="134"/>
      <c r="I21" s="134"/>
      <c r="J21" s="134"/>
      <c r="K21" s="134"/>
      <c r="L21" s="134"/>
      <c r="M21" s="134"/>
      <c r="N21" s="134"/>
      <c r="O21" s="28"/>
      <c r="P21" s="28"/>
    </row>
    <row r="22" spans="1:16">
      <c r="A22" s="17"/>
      <c r="B22" s="134"/>
      <c r="C22" s="134"/>
      <c r="D22" s="134"/>
      <c r="E22" s="134"/>
      <c r="F22" s="134"/>
      <c r="G22" s="134"/>
      <c r="H22" s="134"/>
      <c r="I22" s="134"/>
      <c r="J22" s="134"/>
      <c r="K22" s="134"/>
      <c r="L22" s="134"/>
      <c r="M22" s="134"/>
      <c r="N22" s="134"/>
      <c r="O22" s="28"/>
      <c r="P22" s="28"/>
    </row>
    <row r="23" spans="1:16" ht="24">
      <c r="A23" s="112"/>
      <c r="B23" s="113">
        <v>38534</v>
      </c>
      <c r="C23" s="136">
        <v>38565</v>
      </c>
      <c r="D23" s="136">
        <v>38596</v>
      </c>
      <c r="E23" s="136">
        <v>38626</v>
      </c>
      <c r="F23" s="136">
        <v>38657</v>
      </c>
      <c r="G23" s="136">
        <v>38687</v>
      </c>
      <c r="H23" s="136">
        <v>38718</v>
      </c>
      <c r="I23" s="136">
        <v>38749</v>
      </c>
      <c r="J23" s="136">
        <v>38777</v>
      </c>
      <c r="K23" s="136">
        <v>38808</v>
      </c>
      <c r="L23" s="136">
        <v>38838</v>
      </c>
      <c r="M23" s="136">
        <v>38869</v>
      </c>
      <c r="N23" s="114" t="s">
        <v>1</v>
      </c>
      <c r="O23" s="117" t="s">
        <v>90</v>
      </c>
      <c r="P23" s="117" t="s">
        <v>91</v>
      </c>
    </row>
    <row r="24" spans="1:16">
      <c r="A24" s="1" t="s">
        <v>49</v>
      </c>
      <c r="B24" s="22"/>
      <c r="C24" s="24"/>
      <c r="D24" s="24"/>
      <c r="E24" s="24"/>
      <c r="F24" s="24"/>
      <c r="G24" s="24"/>
      <c r="H24" s="24"/>
      <c r="I24" s="24"/>
      <c r="J24" s="24"/>
      <c r="K24" s="24"/>
      <c r="L24" s="24"/>
      <c r="M24" s="24"/>
      <c r="O24" s="28"/>
      <c r="P24" s="28"/>
    </row>
    <row r="25" spans="1:16">
      <c r="A25" t="s">
        <v>2</v>
      </c>
      <c r="B25" s="40">
        <v>2</v>
      </c>
      <c r="C25" s="40">
        <v>0</v>
      </c>
      <c r="D25" s="40">
        <v>3</v>
      </c>
      <c r="E25" s="40">
        <v>6</v>
      </c>
      <c r="F25" s="40">
        <v>8</v>
      </c>
      <c r="G25" s="41">
        <v>1</v>
      </c>
      <c r="H25" s="40">
        <v>0</v>
      </c>
      <c r="I25" s="40">
        <v>0</v>
      </c>
      <c r="J25" s="40">
        <v>0</v>
      </c>
      <c r="K25" s="40">
        <v>3</v>
      </c>
      <c r="L25" s="40">
        <v>0</v>
      </c>
      <c r="M25" s="41">
        <v>1</v>
      </c>
      <c r="N25" s="45">
        <f>SUM(B25:M25)</f>
        <v>24</v>
      </c>
      <c r="O25" s="28"/>
      <c r="P25" s="28"/>
    </row>
    <row r="26" spans="1:16">
      <c r="A26" t="s">
        <v>3</v>
      </c>
      <c r="B26" s="59">
        <v>2</v>
      </c>
      <c r="C26" s="59">
        <v>0</v>
      </c>
      <c r="D26" s="59">
        <v>1</v>
      </c>
      <c r="E26" s="59">
        <v>2</v>
      </c>
      <c r="F26" s="59">
        <v>5</v>
      </c>
      <c r="G26" s="60">
        <v>1</v>
      </c>
      <c r="H26" s="59">
        <v>0</v>
      </c>
      <c r="I26" s="59">
        <v>0</v>
      </c>
      <c r="J26" s="59">
        <v>0</v>
      </c>
      <c r="K26" s="59">
        <v>2</v>
      </c>
      <c r="L26" s="59">
        <v>0</v>
      </c>
      <c r="M26" s="60">
        <v>1</v>
      </c>
      <c r="N26" s="45">
        <f>SUM(B26:M26)</f>
        <v>14</v>
      </c>
      <c r="O26" s="28">
        <v>0</v>
      </c>
      <c r="P26" s="28" t="s">
        <v>31</v>
      </c>
    </row>
    <row r="27" spans="1:16">
      <c r="A27" s="21" t="s">
        <v>53</v>
      </c>
      <c r="B27" s="47">
        <v>2</v>
      </c>
      <c r="C27" s="47">
        <v>0</v>
      </c>
      <c r="D27" s="47">
        <v>2</v>
      </c>
      <c r="E27" s="47">
        <v>2</v>
      </c>
      <c r="F27" s="47">
        <v>2</v>
      </c>
      <c r="G27" s="47">
        <v>2</v>
      </c>
      <c r="H27" s="47">
        <v>2</v>
      </c>
      <c r="I27" s="47">
        <v>2</v>
      </c>
      <c r="J27" s="47">
        <v>0</v>
      </c>
      <c r="K27" s="47">
        <v>2</v>
      </c>
      <c r="L27" s="47">
        <v>0</v>
      </c>
      <c r="M27" s="47">
        <v>2</v>
      </c>
      <c r="N27" s="45"/>
      <c r="O27" s="28"/>
      <c r="P27" s="28"/>
    </row>
    <row r="28" spans="1:16">
      <c r="A28" s="17" t="s">
        <v>11</v>
      </c>
      <c r="B28" s="47">
        <v>0</v>
      </c>
      <c r="C28" s="47">
        <v>0</v>
      </c>
      <c r="D28" s="47">
        <v>0</v>
      </c>
      <c r="E28" s="47">
        <v>0</v>
      </c>
      <c r="F28" s="47">
        <v>0</v>
      </c>
      <c r="G28" s="47">
        <v>0</v>
      </c>
      <c r="H28" s="47">
        <v>0</v>
      </c>
      <c r="I28" s="47">
        <v>0</v>
      </c>
      <c r="J28" s="47">
        <v>0</v>
      </c>
      <c r="K28" s="47">
        <v>0</v>
      </c>
      <c r="L28" s="47">
        <v>0</v>
      </c>
      <c r="M28" s="47">
        <v>0</v>
      </c>
      <c r="N28" s="45">
        <f>SUM(B28:M28)</f>
        <v>0</v>
      </c>
      <c r="O28" s="28"/>
      <c r="P28" s="28"/>
    </row>
    <row r="29" spans="1:16">
      <c r="A29" s="17"/>
      <c r="B29" s="134"/>
      <c r="C29" s="134"/>
      <c r="D29" s="134"/>
      <c r="E29" s="134"/>
      <c r="F29" s="134"/>
      <c r="G29" s="134"/>
      <c r="H29" s="134"/>
      <c r="I29" s="134"/>
      <c r="J29" s="134"/>
      <c r="K29" s="134"/>
      <c r="L29" s="134"/>
      <c r="M29" s="134"/>
      <c r="N29" s="134"/>
      <c r="O29" s="28"/>
      <c r="P29" s="28"/>
    </row>
    <row r="30" spans="1:16">
      <c r="A30" s="17"/>
      <c r="B30" s="134"/>
      <c r="C30" s="134"/>
      <c r="D30" s="134"/>
      <c r="E30" s="134"/>
      <c r="F30" s="134"/>
      <c r="G30" s="134"/>
      <c r="H30" s="134"/>
      <c r="I30" s="134"/>
      <c r="J30" s="134"/>
      <c r="K30" s="134"/>
      <c r="L30" s="134"/>
      <c r="M30" s="134"/>
      <c r="N30" s="134"/>
      <c r="O30" s="28"/>
      <c r="P30" s="28"/>
    </row>
    <row r="31" spans="1:16" ht="24">
      <c r="A31" s="112"/>
      <c r="B31" s="113">
        <v>38534</v>
      </c>
      <c r="C31" s="136">
        <v>38565</v>
      </c>
      <c r="D31" s="136">
        <v>38596</v>
      </c>
      <c r="E31" s="136">
        <v>38626</v>
      </c>
      <c r="F31" s="136">
        <v>38657</v>
      </c>
      <c r="G31" s="136">
        <v>38687</v>
      </c>
      <c r="H31" s="136">
        <v>38718</v>
      </c>
      <c r="I31" s="136">
        <v>38749</v>
      </c>
      <c r="J31" s="136">
        <v>38777</v>
      </c>
      <c r="K31" s="136">
        <v>38808</v>
      </c>
      <c r="L31" s="136">
        <v>38838</v>
      </c>
      <c r="M31" s="136">
        <v>38869</v>
      </c>
      <c r="N31" s="114" t="s">
        <v>1</v>
      </c>
      <c r="O31" s="117" t="s">
        <v>90</v>
      </c>
      <c r="P31" s="117" t="s">
        <v>91</v>
      </c>
    </row>
    <row r="32" spans="1:16">
      <c r="A32" s="1" t="s">
        <v>42</v>
      </c>
      <c r="B32" s="22"/>
      <c r="C32" s="24"/>
      <c r="D32" s="24"/>
      <c r="E32" s="24"/>
      <c r="F32" s="24"/>
      <c r="G32" s="24"/>
      <c r="H32" s="24"/>
      <c r="I32" s="24"/>
      <c r="J32" s="24"/>
      <c r="K32" s="24"/>
      <c r="L32" s="24"/>
      <c r="M32" s="24"/>
      <c r="O32" s="28"/>
      <c r="P32" s="28"/>
    </row>
    <row r="33" spans="1:16">
      <c r="A33" t="s">
        <v>2</v>
      </c>
      <c r="B33" s="40">
        <v>70</v>
      </c>
      <c r="C33" s="40">
        <v>36</v>
      </c>
      <c r="D33" s="40">
        <v>173</v>
      </c>
      <c r="E33" s="40">
        <v>409</v>
      </c>
      <c r="F33" s="40">
        <v>316</v>
      </c>
      <c r="G33" s="41">
        <v>154</v>
      </c>
      <c r="H33" s="40">
        <v>65</v>
      </c>
      <c r="I33" s="40">
        <v>286</v>
      </c>
      <c r="J33" s="40">
        <v>189</v>
      </c>
      <c r="K33" s="40">
        <v>222</v>
      </c>
      <c r="L33" s="40">
        <v>104</v>
      </c>
      <c r="M33" s="41">
        <v>130</v>
      </c>
      <c r="N33" s="45">
        <f>SUM(B33:M33)</f>
        <v>2154</v>
      </c>
      <c r="O33" s="28"/>
      <c r="P33" s="28"/>
    </row>
    <row r="34" spans="1:16">
      <c r="A34" t="s">
        <v>3</v>
      </c>
      <c r="B34" s="59">
        <v>168</v>
      </c>
      <c r="C34" s="59">
        <v>31</v>
      </c>
      <c r="D34" s="59">
        <v>505</v>
      </c>
      <c r="E34" s="59">
        <v>986</v>
      </c>
      <c r="F34" s="59">
        <v>793</v>
      </c>
      <c r="G34" s="60">
        <v>344</v>
      </c>
      <c r="H34" s="59">
        <v>159</v>
      </c>
      <c r="I34" s="59">
        <v>826</v>
      </c>
      <c r="J34" s="59">
        <v>468</v>
      </c>
      <c r="K34" s="59">
        <v>531</v>
      </c>
      <c r="L34" s="59">
        <v>237</v>
      </c>
      <c r="M34" s="60">
        <v>264</v>
      </c>
      <c r="N34" s="45">
        <f>SUM(B34:M34)</f>
        <v>5312</v>
      </c>
      <c r="O34" s="28">
        <v>0</v>
      </c>
      <c r="P34" s="28" t="s">
        <v>31</v>
      </c>
    </row>
    <row r="35" spans="1:16">
      <c r="A35" s="21" t="s">
        <v>53</v>
      </c>
      <c r="B35" s="47">
        <v>2</v>
      </c>
      <c r="C35" s="47">
        <v>2</v>
      </c>
      <c r="D35" s="47">
        <v>2</v>
      </c>
      <c r="E35" s="47">
        <v>2</v>
      </c>
      <c r="F35" s="47">
        <v>2</v>
      </c>
      <c r="G35" s="47">
        <v>2</v>
      </c>
      <c r="H35" s="47">
        <v>2</v>
      </c>
      <c r="I35" s="47">
        <v>2</v>
      </c>
      <c r="J35" s="47">
        <v>2</v>
      </c>
      <c r="K35" s="47">
        <v>2</v>
      </c>
      <c r="L35" s="47">
        <v>2</v>
      </c>
      <c r="M35" s="47">
        <v>2</v>
      </c>
      <c r="N35" s="45"/>
      <c r="O35" s="28"/>
      <c r="P35" s="28"/>
    </row>
    <row r="36" spans="1:16">
      <c r="A36" s="17" t="s">
        <v>11</v>
      </c>
      <c r="B36" s="47">
        <v>34</v>
      </c>
      <c r="C36" s="47">
        <v>5</v>
      </c>
      <c r="D36" s="47">
        <v>64</v>
      </c>
      <c r="E36" s="47">
        <v>102</v>
      </c>
      <c r="F36" s="47">
        <v>50</v>
      </c>
      <c r="G36" s="47">
        <v>11</v>
      </c>
      <c r="H36" s="47">
        <v>10</v>
      </c>
      <c r="I36" s="47">
        <v>106</v>
      </c>
      <c r="J36" s="47">
        <v>37</v>
      </c>
      <c r="K36" s="47">
        <v>12</v>
      </c>
      <c r="L36" s="47">
        <v>42</v>
      </c>
      <c r="M36" s="47">
        <v>1</v>
      </c>
      <c r="N36" s="45">
        <f>SUM(B36:M36)</f>
        <v>474</v>
      </c>
      <c r="O36" s="28"/>
      <c r="P36" s="28"/>
    </row>
    <row r="37" spans="1:16">
      <c r="A37" s="17"/>
      <c r="B37" s="134"/>
      <c r="C37" s="134"/>
      <c r="D37" s="134"/>
      <c r="E37" s="134"/>
      <c r="F37" s="134"/>
      <c r="G37" s="134"/>
      <c r="H37" s="134"/>
      <c r="I37" s="134"/>
      <c r="J37" s="134"/>
      <c r="K37" s="134"/>
      <c r="L37" s="134"/>
      <c r="M37" s="134"/>
      <c r="N37" s="134"/>
      <c r="O37" s="28"/>
      <c r="P37" s="28"/>
    </row>
    <row r="38" spans="1:16">
      <c r="A38" s="17"/>
      <c r="B38" s="134"/>
      <c r="C38" s="134"/>
      <c r="D38" s="134"/>
      <c r="E38" s="134"/>
      <c r="F38" s="134"/>
      <c r="G38" s="134"/>
      <c r="H38" s="134"/>
      <c r="I38" s="134"/>
      <c r="J38" s="134"/>
      <c r="K38" s="134"/>
      <c r="L38" s="134"/>
      <c r="M38" s="134"/>
      <c r="N38" s="134"/>
      <c r="O38" s="28"/>
      <c r="P38" s="28"/>
    </row>
    <row r="39" spans="1:16" ht="24">
      <c r="A39" s="112"/>
      <c r="B39" s="113">
        <v>38534</v>
      </c>
      <c r="C39" s="136">
        <v>38565</v>
      </c>
      <c r="D39" s="136">
        <v>38596</v>
      </c>
      <c r="E39" s="136">
        <v>38626</v>
      </c>
      <c r="F39" s="136">
        <v>38657</v>
      </c>
      <c r="G39" s="136">
        <v>38687</v>
      </c>
      <c r="H39" s="136">
        <v>38718</v>
      </c>
      <c r="I39" s="136">
        <v>38749</v>
      </c>
      <c r="J39" s="136">
        <v>38777</v>
      </c>
      <c r="K39" s="136">
        <v>38808</v>
      </c>
      <c r="L39" s="136">
        <v>38838</v>
      </c>
      <c r="M39" s="136">
        <v>38869</v>
      </c>
      <c r="N39" s="114" t="s">
        <v>1</v>
      </c>
      <c r="O39" s="117" t="s">
        <v>90</v>
      </c>
      <c r="P39" s="117" t="s">
        <v>91</v>
      </c>
    </row>
    <row r="40" spans="1:16">
      <c r="A40" s="1" t="s">
        <v>50</v>
      </c>
      <c r="B40" s="22"/>
      <c r="C40" s="24"/>
      <c r="D40" s="24"/>
      <c r="E40" s="24"/>
      <c r="F40" s="24"/>
      <c r="G40" s="24"/>
      <c r="H40" s="24"/>
      <c r="I40" s="24"/>
      <c r="J40" s="24"/>
      <c r="K40" s="24"/>
      <c r="L40" s="24"/>
      <c r="M40" s="24"/>
      <c r="O40" s="28"/>
      <c r="P40" s="28"/>
    </row>
    <row r="41" spans="1:16">
      <c r="A41" t="s">
        <v>2</v>
      </c>
      <c r="B41" s="40">
        <v>3</v>
      </c>
      <c r="C41" s="40">
        <v>3</v>
      </c>
      <c r="D41" s="40">
        <v>16</v>
      </c>
      <c r="E41" s="40">
        <v>14</v>
      </c>
      <c r="F41" s="40">
        <v>35</v>
      </c>
      <c r="G41" s="41">
        <v>10</v>
      </c>
      <c r="H41" s="40">
        <v>5</v>
      </c>
      <c r="I41" s="40">
        <v>13</v>
      </c>
      <c r="J41" s="40">
        <v>11</v>
      </c>
      <c r="K41" s="40">
        <v>15</v>
      </c>
      <c r="L41" s="40">
        <v>2</v>
      </c>
      <c r="M41" s="41">
        <v>8</v>
      </c>
      <c r="N41" s="45">
        <f>SUM(B41:M41)</f>
        <v>135</v>
      </c>
      <c r="O41" s="28"/>
      <c r="P41" s="28"/>
    </row>
    <row r="42" spans="1:16">
      <c r="A42" t="s">
        <v>3</v>
      </c>
      <c r="B42" s="59">
        <v>3</v>
      </c>
      <c r="C42" s="59">
        <v>2</v>
      </c>
      <c r="D42" s="59">
        <v>44</v>
      </c>
      <c r="E42" s="59">
        <v>21</v>
      </c>
      <c r="F42" s="59">
        <v>31</v>
      </c>
      <c r="G42" s="60">
        <v>9</v>
      </c>
      <c r="H42" s="59">
        <v>7</v>
      </c>
      <c r="I42" s="59">
        <v>9</v>
      </c>
      <c r="J42" s="59">
        <v>9</v>
      </c>
      <c r="K42" s="59">
        <v>19</v>
      </c>
      <c r="L42" s="59">
        <v>2</v>
      </c>
      <c r="M42" s="60">
        <v>5</v>
      </c>
      <c r="N42" s="45">
        <f>SUM(B42:M42)</f>
        <v>161</v>
      </c>
      <c r="O42" s="28">
        <v>0</v>
      </c>
      <c r="P42" s="28" t="s">
        <v>31</v>
      </c>
    </row>
    <row r="43" spans="1:16">
      <c r="A43" s="21" t="s">
        <v>53</v>
      </c>
      <c r="B43" s="47">
        <v>2</v>
      </c>
      <c r="C43" s="47">
        <v>2</v>
      </c>
      <c r="D43" s="47">
        <v>2</v>
      </c>
      <c r="E43" s="47">
        <v>2</v>
      </c>
      <c r="F43" s="47">
        <v>2</v>
      </c>
      <c r="G43" s="47">
        <v>2</v>
      </c>
      <c r="H43" s="47">
        <v>2</v>
      </c>
      <c r="I43" s="47">
        <v>2</v>
      </c>
      <c r="J43" s="47">
        <v>2</v>
      </c>
      <c r="K43" s="47">
        <v>2</v>
      </c>
      <c r="L43" s="47">
        <v>2</v>
      </c>
      <c r="M43" s="47">
        <v>2</v>
      </c>
      <c r="N43" s="45"/>
      <c r="O43" s="28"/>
      <c r="P43" s="28"/>
    </row>
    <row r="44" spans="1:16">
      <c r="A44" s="17" t="s">
        <v>11</v>
      </c>
      <c r="B44" s="47">
        <v>0</v>
      </c>
      <c r="C44" s="47">
        <v>0</v>
      </c>
      <c r="D44" s="47">
        <v>0</v>
      </c>
      <c r="E44" s="47">
        <v>0</v>
      </c>
      <c r="F44" s="47">
        <v>0</v>
      </c>
      <c r="G44" s="47">
        <v>0</v>
      </c>
      <c r="H44" s="47">
        <v>0</v>
      </c>
      <c r="I44" s="47">
        <v>0</v>
      </c>
      <c r="J44" s="47">
        <v>0</v>
      </c>
      <c r="K44" s="48">
        <v>0</v>
      </c>
      <c r="L44" s="47">
        <v>0</v>
      </c>
      <c r="M44" s="47">
        <v>0</v>
      </c>
      <c r="N44" s="45">
        <f>SUM(B44:M44)</f>
        <v>0</v>
      </c>
      <c r="O44" s="28"/>
      <c r="P44" s="28"/>
    </row>
    <row r="45" spans="1:16">
      <c r="A45" s="17"/>
      <c r="B45" s="134"/>
      <c r="C45" s="134"/>
      <c r="D45" s="134"/>
      <c r="E45" s="134"/>
      <c r="F45" s="134"/>
      <c r="G45" s="134"/>
      <c r="H45" s="134"/>
      <c r="I45" s="134"/>
      <c r="J45" s="134"/>
      <c r="K45" s="137"/>
      <c r="L45" s="134"/>
      <c r="M45" s="134"/>
      <c r="N45" s="134"/>
      <c r="O45" s="28"/>
      <c r="P45" s="28"/>
    </row>
    <row r="46" spans="1:16">
      <c r="A46" s="17"/>
      <c r="B46" s="134"/>
      <c r="C46" s="134"/>
      <c r="D46" s="134"/>
      <c r="E46" s="134"/>
      <c r="F46" s="134"/>
      <c r="G46" s="134"/>
      <c r="H46" s="134"/>
      <c r="I46" s="134"/>
      <c r="J46" s="134"/>
      <c r="K46" s="137"/>
      <c r="L46" s="134"/>
      <c r="M46" s="134"/>
      <c r="N46" s="134"/>
      <c r="O46" s="28"/>
      <c r="P46" s="28"/>
    </row>
    <row r="47" spans="1:16" ht="24">
      <c r="A47" s="112"/>
      <c r="B47" s="113">
        <v>38534</v>
      </c>
      <c r="C47" s="136">
        <v>38565</v>
      </c>
      <c r="D47" s="136">
        <v>38596</v>
      </c>
      <c r="E47" s="136">
        <v>38626</v>
      </c>
      <c r="F47" s="136">
        <v>38657</v>
      </c>
      <c r="G47" s="136">
        <v>38687</v>
      </c>
      <c r="H47" s="136">
        <v>38718</v>
      </c>
      <c r="I47" s="136">
        <v>38749</v>
      </c>
      <c r="J47" s="136">
        <v>38777</v>
      </c>
      <c r="K47" s="136">
        <v>38808</v>
      </c>
      <c r="L47" s="136">
        <v>38838</v>
      </c>
      <c r="M47" s="136">
        <v>38869</v>
      </c>
      <c r="N47" s="114" t="s">
        <v>1</v>
      </c>
      <c r="O47" s="117" t="s">
        <v>90</v>
      </c>
      <c r="P47" s="117" t="s">
        <v>91</v>
      </c>
    </row>
    <row r="48" spans="1:16">
      <c r="A48" s="1" t="s">
        <v>52</v>
      </c>
      <c r="B48" s="22"/>
      <c r="C48" s="24"/>
      <c r="D48" s="24"/>
      <c r="E48" s="24"/>
      <c r="F48" s="24"/>
      <c r="G48" s="24"/>
      <c r="H48" s="24"/>
      <c r="I48" s="24"/>
      <c r="J48" s="24"/>
      <c r="K48" s="24"/>
      <c r="L48" s="24"/>
      <c r="M48" s="24"/>
      <c r="O48" s="28"/>
      <c r="P48" s="28"/>
    </row>
    <row r="49" spans="1:16">
      <c r="A49" t="s">
        <v>2</v>
      </c>
      <c r="B49" s="40">
        <v>29</v>
      </c>
      <c r="C49" s="40">
        <v>21</v>
      </c>
      <c r="D49" s="40">
        <v>74</v>
      </c>
      <c r="E49" s="40">
        <v>170</v>
      </c>
      <c r="F49" s="40">
        <v>129</v>
      </c>
      <c r="G49" s="41">
        <v>66</v>
      </c>
      <c r="H49" s="40">
        <v>13</v>
      </c>
      <c r="I49" s="40">
        <v>90</v>
      </c>
      <c r="J49" s="40">
        <v>91</v>
      </c>
      <c r="K49" s="40">
        <v>149</v>
      </c>
      <c r="L49" s="40">
        <v>30</v>
      </c>
      <c r="M49" s="41">
        <v>30</v>
      </c>
      <c r="N49" s="45">
        <f>SUM(B49:M49)</f>
        <v>892</v>
      </c>
      <c r="O49" s="28"/>
      <c r="P49" s="28"/>
    </row>
    <row r="50" spans="1:16">
      <c r="A50" t="s">
        <v>3</v>
      </c>
      <c r="B50" s="59">
        <v>41</v>
      </c>
      <c r="C50" s="59">
        <v>29</v>
      </c>
      <c r="D50" s="59">
        <v>91</v>
      </c>
      <c r="E50" s="59">
        <v>240</v>
      </c>
      <c r="F50" s="59">
        <v>205</v>
      </c>
      <c r="G50" s="60">
        <v>76</v>
      </c>
      <c r="H50" s="59">
        <v>12</v>
      </c>
      <c r="I50" s="59">
        <v>140</v>
      </c>
      <c r="J50" s="59">
        <v>151</v>
      </c>
      <c r="K50" s="59">
        <v>221</v>
      </c>
      <c r="L50" s="59">
        <v>94</v>
      </c>
      <c r="M50" s="60">
        <v>26</v>
      </c>
      <c r="N50" s="45">
        <f>SUM(B50:M50)</f>
        <v>1326</v>
      </c>
      <c r="O50" s="28">
        <v>0</v>
      </c>
      <c r="P50" s="28" t="s">
        <v>31</v>
      </c>
    </row>
    <row r="51" spans="1:16">
      <c r="A51" s="21" t="s">
        <v>53</v>
      </c>
      <c r="B51" s="47">
        <v>2</v>
      </c>
      <c r="C51" s="47">
        <v>2</v>
      </c>
      <c r="D51" s="47">
        <v>2</v>
      </c>
      <c r="E51" s="47">
        <v>2</v>
      </c>
      <c r="F51" s="47">
        <v>2</v>
      </c>
      <c r="G51" s="47">
        <v>2</v>
      </c>
      <c r="H51" s="47">
        <v>2</v>
      </c>
      <c r="I51" s="47">
        <v>2</v>
      </c>
      <c r="J51" s="47">
        <v>2</v>
      </c>
      <c r="K51" s="47">
        <v>2</v>
      </c>
      <c r="L51" s="47">
        <v>2</v>
      </c>
      <c r="M51" s="47">
        <v>2</v>
      </c>
      <c r="N51" s="45"/>
      <c r="O51" s="28"/>
      <c r="P51" s="28"/>
    </row>
    <row r="52" spans="1:16">
      <c r="A52" s="17" t="s">
        <v>11</v>
      </c>
      <c r="B52" s="47">
        <v>3</v>
      </c>
      <c r="C52" s="47">
        <v>0</v>
      </c>
      <c r="D52" s="47">
        <v>0</v>
      </c>
      <c r="E52" s="47">
        <v>0</v>
      </c>
      <c r="F52" s="47">
        <v>0</v>
      </c>
      <c r="G52" s="47">
        <v>0</v>
      </c>
      <c r="H52" s="47">
        <v>0</v>
      </c>
      <c r="I52" s="47">
        <v>3</v>
      </c>
      <c r="J52" s="47">
        <v>2</v>
      </c>
      <c r="K52" s="47">
        <v>1</v>
      </c>
      <c r="L52" s="47">
        <v>0</v>
      </c>
      <c r="M52" s="47">
        <v>0</v>
      </c>
      <c r="N52" s="45">
        <f>SUM(B52:M52)</f>
        <v>9</v>
      </c>
      <c r="O52" s="28"/>
      <c r="P52" s="28"/>
    </row>
    <row r="53" spans="1:16">
      <c r="A53" s="17"/>
      <c r="B53" s="134"/>
      <c r="C53" s="134"/>
      <c r="D53" s="134"/>
      <c r="E53" s="134"/>
      <c r="F53" s="134"/>
      <c r="G53" s="134"/>
      <c r="H53" s="134"/>
      <c r="I53" s="134"/>
      <c r="J53" s="134"/>
      <c r="K53" s="134"/>
      <c r="L53" s="134"/>
      <c r="M53" s="134"/>
      <c r="N53" s="134"/>
      <c r="O53" s="28"/>
      <c r="P53" s="28"/>
    </row>
    <row r="54" spans="1:16">
      <c r="A54" s="17"/>
      <c r="B54" s="134"/>
      <c r="C54" s="134"/>
      <c r="D54" s="134"/>
      <c r="E54" s="134"/>
      <c r="F54" s="134"/>
      <c r="G54" s="134"/>
      <c r="H54" s="134"/>
      <c r="I54" s="134"/>
      <c r="J54" s="134"/>
      <c r="K54" s="134"/>
      <c r="L54" s="134"/>
      <c r="M54" s="134"/>
      <c r="N54" s="134"/>
      <c r="O54" s="28"/>
      <c r="P54" s="28"/>
    </row>
    <row r="55" spans="1:16" ht="24">
      <c r="A55" s="112"/>
      <c r="B55" s="113">
        <v>38534</v>
      </c>
      <c r="C55" s="136">
        <v>38565</v>
      </c>
      <c r="D55" s="136">
        <v>38596</v>
      </c>
      <c r="E55" s="136">
        <v>38626</v>
      </c>
      <c r="F55" s="136">
        <v>38657</v>
      </c>
      <c r="G55" s="136">
        <v>38687</v>
      </c>
      <c r="H55" s="136">
        <v>38718</v>
      </c>
      <c r="I55" s="136">
        <v>38749</v>
      </c>
      <c r="J55" s="136">
        <v>38777</v>
      </c>
      <c r="K55" s="136">
        <v>38808</v>
      </c>
      <c r="L55" s="136">
        <v>38838</v>
      </c>
      <c r="M55" s="136">
        <v>38869</v>
      </c>
      <c r="N55" s="114" t="s">
        <v>1</v>
      </c>
      <c r="O55" s="117" t="s">
        <v>90</v>
      </c>
      <c r="P55" s="117" t="s">
        <v>91</v>
      </c>
    </row>
    <row r="56" spans="1:16">
      <c r="A56" s="11" t="s">
        <v>41</v>
      </c>
      <c r="B56" s="22"/>
      <c r="C56" s="24"/>
      <c r="D56" s="24"/>
      <c r="E56" s="24"/>
      <c r="F56" s="24"/>
      <c r="G56" s="24"/>
      <c r="H56" s="24"/>
      <c r="I56" s="24"/>
      <c r="J56" s="24"/>
      <c r="K56" s="24"/>
      <c r="L56" s="24"/>
      <c r="M56" s="24"/>
      <c r="O56" s="28"/>
      <c r="P56" s="28"/>
    </row>
    <row r="57" spans="1:16">
      <c r="A57" s="16" t="s">
        <v>3</v>
      </c>
      <c r="B57" s="40">
        <v>3</v>
      </c>
      <c r="C57" s="40">
        <v>44</v>
      </c>
      <c r="D57" s="40">
        <v>27</v>
      </c>
      <c r="E57" s="40">
        <v>0</v>
      </c>
      <c r="F57" s="40">
        <v>45</v>
      </c>
      <c r="G57" s="41">
        <v>2</v>
      </c>
      <c r="H57" s="40">
        <v>1</v>
      </c>
      <c r="I57" s="40">
        <v>13</v>
      </c>
      <c r="J57" s="40">
        <v>1</v>
      </c>
      <c r="K57" s="40">
        <v>53</v>
      </c>
      <c r="L57" s="40">
        <v>17</v>
      </c>
      <c r="M57" s="95">
        <v>1</v>
      </c>
      <c r="N57" s="45">
        <f>SUM(B57:M57)</f>
        <v>207</v>
      </c>
      <c r="O57" s="28">
        <v>207</v>
      </c>
      <c r="P57" s="28">
        <v>1</v>
      </c>
    </row>
    <row r="58" spans="1:16">
      <c r="A58" s="16"/>
      <c r="B58" s="133"/>
      <c r="C58" s="133"/>
      <c r="D58" s="133"/>
      <c r="E58" s="133"/>
      <c r="F58" s="133"/>
      <c r="G58" s="133"/>
      <c r="H58" s="133"/>
      <c r="I58" s="133"/>
      <c r="J58" s="133"/>
      <c r="K58" s="133"/>
      <c r="L58" s="133"/>
      <c r="M58" s="133"/>
      <c r="N58" s="134"/>
      <c r="O58" s="28"/>
      <c r="P58" s="28"/>
    </row>
    <row r="59" spans="1:16">
      <c r="A59" s="16"/>
      <c r="B59" s="133"/>
      <c r="C59" s="133"/>
      <c r="D59" s="133"/>
      <c r="E59" s="133"/>
      <c r="F59" s="133"/>
      <c r="G59" s="133"/>
      <c r="H59" s="133"/>
      <c r="I59" s="133"/>
      <c r="J59" s="133"/>
      <c r="K59" s="133"/>
      <c r="L59" s="133"/>
      <c r="M59" s="133"/>
      <c r="N59" s="134"/>
      <c r="O59" s="28"/>
      <c r="P59" s="28"/>
    </row>
    <row r="60" spans="1:16" ht="24">
      <c r="A60" s="112"/>
      <c r="B60" s="113">
        <v>38534</v>
      </c>
      <c r="C60" s="136">
        <v>38565</v>
      </c>
      <c r="D60" s="136">
        <v>38596</v>
      </c>
      <c r="E60" s="136">
        <v>38626</v>
      </c>
      <c r="F60" s="136">
        <v>38657</v>
      </c>
      <c r="G60" s="136">
        <v>38687</v>
      </c>
      <c r="H60" s="136">
        <v>38718</v>
      </c>
      <c r="I60" s="136">
        <v>38749</v>
      </c>
      <c r="J60" s="136">
        <v>38777</v>
      </c>
      <c r="K60" s="136">
        <v>38808</v>
      </c>
      <c r="L60" s="136">
        <v>38838</v>
      </c>
      <c r="M60" s="136">
        <v>38869</v>
      </c>
      <c r="N60" s="114" t="s">
        <v>1</v>
      </c>
      <c r="O60" s="117" t="s">
        <v>90</v>
      </c>
      <c r="P60" s="117" t="s">
        <v>91</v>
      </c>
    </row>
    <row r="61" spans="1:16">
      <c r="A61" s="1" t="s">
        <v>40</v>
      </c>
      <c r="B61" s="22"/>
      <c r="C61" s="24"/>
      <c r="D61" s="24"/>
      <c r="E61" s="24"/>
      <c r="F61" s="24"/>
      <c r="G61" s="24"/>
      <c r="H61" s="24"/>
      <c r="I61" s="24"/>
      <c r="J61" s="24"/>
      <c r="K61" s="24"/>
      <c r="L61" s="24"/>
      <c r="M61" s="24"/>
      <c r="O61" s="28"/>
      <c r="P61" s="28"/>
    </row>
    <row r="62" spans="1:16">
      <c r="A62" t="s">
        <v>2</v>
      </c>
      <c r="B62" s="40">
        <v>7</v>
      </c>
      <c r="C62" s="40">
        <v>3</v>
      </c>
      <c r="D62" s="40">
        <v>17</v>
      </c>
      <c r="E62" s="40">
        <v>48</v>
      </c>
      <c r="F62" s="40">
        <v>62</v>
      </c>
      <c r="G62" s="41">
        <v>33</v>
      </c>
      <c r="H62" s="40">
        <v>18</v>
      </c>
      <c r="I62" s="40">
        <v>24</v>
      </c>
      <c r="J62" s="40">
        <v>18</v>
      </c>
      <c r="K62" s="40">
        <v>25</v>
      </c>
      <c r="L62" s="40">
        <v>11</v>
      </c>
      <c r="M62" s="41">
        <v>11</v>
      </c>
      <c r="N62" s="45">
        <f>SUM(B62:M62)</f>
        <v>277</v>
      </c>
      <c r="O62" s="28"/>
      <c r="P62" s="28"/>
    </row>
    <row r="63" spans="1:16">
      <c r="A63" t="s">
        <v>3</v>
      </c>
      <c r="B63" s="59">
        <v>19</v>
      </c>
      <c r="C63" s="59">
        <v>9</v>
      </c>
      <c r="D63" s="59">
        <v>23</v>
      </c>
      <c r="E63" s="59">
        <v>81</v>
      </c>
      <c r="F63" s="59">
        <v>93</v>
      </c>
      <c r="G63" s="60">
        <v>50</v>
      </c>
      <c r="H63" s="59">
        <v>10</v>
      </c>
      <c r="I63" s="59">
        <v>39</v>
      </c>
      <c r="J63" s="59">
        <v>29</v>
      </c>
      <c r="K63" s="59">
        <v>50</v>
      </c>
      <c r="L63" s="59">
        <v>8</v>
      </c>
      <c r="M63" s="60">
        <v>26</v>
      </c>
      <c r="N63" s="45">
        <f>SUM(B63:M63)</f>
        <v>437</v>
      </c>
      <c r="O63" s="28">
        <v>0</v>
      </c>
      <c r="P63" s="28" t="s">
        <v>31</v>
      </c>
    </row>
    <row r="64" spans="1:16">
      <c r="A64" s="21" t="s">
        <v>53</v>
      </c>
      <c r="B64" s="47">
        <v>2</v>
      </c>
      <c r="C64" s="47">
        <v>2</v>
      </c>
      <c r="D64" s="47">
        <v>2</v>
      </c>
      <c r="E64" s="47">
        <v>2</v>
      </c>
      <c r="F64" s="47">
        <v>2</v>
      </c>
      <c r="G64" s="47">
        <v>2</v>
      </c>
      <c r="H64" s="47">
        <v>2</v>
      </c>
      <c r="I64" s="47">
        <v>2</v>
      </c>
      <c r="J64" s="47">
        <v>2</v>
      </c>
      <c r="K64" s="47">
        <v>2</v>
      </c>
      <c r="L64" s="47">
        <v>2</v>
      </c>
      <c r="M64" s="47">
        <v>2</v>
      </c>
      <c r="N64" s="45"/>
      <c r="O64" s="28"/>
      <c r="P64" s="28"/>
    </row>
    <row r="65" spans="1:16">
      <c r="A65" s="17" t="s">
        <v>11</v>
      </c>
      <c r="B65" s="47">
        <v>0</v>
      </c>
      <c r="C65" s="47">
        <v>0</v>
      </c>
      <c r="D65" s="47">
        <v>0</v>
      </c>
      <c r="E65" s="47">
        <v>1</v>
      </c>
      <c r="F65" s="47">
        <v>1</v>
      </c>
      <c r="G65" s="47">
        <v>0</v>
      </c>
      <c r="H65" s="47">
        <v>0</v>
      </c>
      <c r="I65" s="47">
        <v>0</v>
      </c>
      <c r="J65" s="47">
        <v>0</v>
      </c>
      <c r="K65" s="47">
        <v>0</v>
      </c>
      <c r="L65" s="47">
        <v>0</v>
      </c>
      <c r="M65" s="47">
        <v>0</v>
      </c>
      <c r="N65" s="45">
        <f>SUM(B65:M65)</f>
        <v>2</v>
      </c>
      <c r="O65" s="28"/>
      <c r="P65" s="28"/>
    </row>
    <row r="66" spans="1:16">
      <c r="A66" s="17"/>
      <c r="B66" s="134"/>
      <c r="C66" s="134"/>
      <c r="D66" s="134"/>
      <c r="E66" s="134"/>
      <c r="F66" s="134"/>
      <c r="G66" s="134"/>
      <c r="H66" s="134"/>
      <c r="I66" s="134"/>
      <c r="J66" s="134"/>
      <c r="K66" s="134"/>
      <c r="L66" s="134"/>
      <c r="M66" s="134"/>
      <c r="N66" s="134"/>
      <c r="O66" s="28"/>
      <c r="P66" s="28"/>
    </row>
    <row r="67" spans="1:16">
      <c r="A67" s="17"/>
      <c r="B67" s="134"/>
      <c r="C67" s="134"/>
      <c r="D67" s="134"/>
      <c r="E67" s="134"/>
      <c r="F67" s="134"/>
      <c r="G67" s="134"/>
      <c r="H67" s="134"/>
      <c r="I67" s="134"/>
      <c r="J67" s="134"/>
      <c r="K67" s="134"/>
      <c r="L67" s="134"/>
      <c r="M67" s="134"/>
      <c r="N67" s="134"/>
      <c r="O67" s="28"/>
      <c r="P67" s="28"/>
    </row>
    <row r="68" spans="1:16" ht="24">
      <c r="A68" s="112"/>
      <c r="B68" s="113">
        <v>38534</v>
      </c>
      <c r="C68" s="136">
        <v>38565</v>
      </c>
      <c r="D68" s="136">
        <v>38596</v>
      </c>
      <c r="E68" s="136">
        <v>38626</v>
      </c>
      <c r="F68" s="136">
        <v>38657</v>
      </c>
      <c r="G68" s="136">
        <v>38687</v>
      </c>
      <c r="H68" s="136">
        <v>38718</v>
      </c>
      <c r="I68" s="136">
        <v>38749</v>
      </c>
      <c r="J68" s="136">
        <v>38777</v>
      </c>
      <c r="K68" s="136">
        <v>38808</v>
      </c>
      <c r="L68" s="136">
        <v>38838</v>
      </c>
      <c r="M68" s="136">
        <v>38869</v>
      </c>
      <c r="N68" s="114" t="s">
        <v>1</v>
      </c>
      <c r="O68" s="117" t="s">
        <v>90</v>
      </c>
      <c r="P68" s="117" t="s">
        <v>91</v>
      </c>
    </row>
    <row r="69" spans="1:16">
      <c r="A69" s="1" t="s">
        <v>39</v>
      </c>
      <c r="B69" s="22"/>
      <c r="C69" s="24"/>
      <c r="D69" s="24"/>
      <c r="E69" s="24"/>
      <c r="F69" s="24"/>
      <c r="G69" s="24"/>
      <c r="H69" s="24"/>
      <c r="I69" s="24"/>
      <c r="J69" s="24"/>
      <c r="K69" s="24"/>
      <c r="L69" s="24"/>
      <c r="M69" s="24"/>
      <c r="O69" s="28"/>
      <c r="P69" s="28"/>
    </row>
    <row r="70" spans="1:16">
      <c r="A70" t="s">
        <v>2</v>
      </c>
      <c r="B70" s="40">
        <v>66</v>
      </c>
      <c r="C70" s="40">
        <v>68</v>
      </c>
      <c r="D70" s="40">
        <v>345</v>
      </c>
      <c r="E70" s="40">
        <v>453</v>
      </c>
      <c r="F70" s="40">
        <v>669</v>
      </c>
      <c r="G70" s="41">
        <v>354</v>
      </c>
      <c r="H70" s="40">
        <v>92</v>
      </c>
      <c r="I70" s="40">
        <v>324</v>
      </c>
      <c r="J70" s="40">
        <v>350</v>
      </c>
      <c r="K70" s="40">
        <v>422</v>
      </c>
      <c r="L70" s="40">
        <v>192</v>
      </c>
      <c r="M70" s="41">
        <v>86</v>
      </c>
      <c r="N70" s="45">
        <f>SUM(B70:M70)</f>
        <v>3421</v>
      </c>
      <c r="O70" s="28"/>
      <c r="P70" s="28"/>
    </row>
    <row r="71" spans="1:16">
      <c r="A71" t="s">
        <v>3</v>
      </c>
      <c r="B71" s="59">
        <v>141</v>
      </c>
      <c r="C71" s="59">
        <v>174</v>
      </c>
      <c r="D71" s="59">
        <v>774</v>
      </c>
      <c r="E71" s="59">
        <v>1083</v>
      </c>
      <c r="F71" s="59">
        <v>1730</v>
      </c>
      <c r="G71" s="60">
        <v>963</v>
      </c>
      <c r="H71" s="59">
        <v>199</v>
      </c>
      <c r="I71" s="59">
        <v>858</v>
      </c>
      <c r="J71" s="59">
        <v>861</v>
      </c>
      <c r="K71" s="59">
        <v>923</v>
      </c>
      <c r="L71" s="59">
        <v>460</v>
      </c>
      <c r="M71" s="60">
        <v>254</v>
      </c>
      <c r="N71" s="45">
        <f>SUM(B71:M71)</f>
        <v>8420</v>
      </c>
      <c r="O71" s="28">
        <v>5581.25</v>
      </c>
      <c r="P71" s="28">
        <f>O71/N71</f>
        <v>0.66285629453681705</v>
      </c>
    </row>
    <row r="72" spans="1:16">
      <c r="A72" s="21" t="s">
        <v>53</v>
      </c>
      <c r="B72" s="47">
        <v>2</v>
      </c>
      <c r="C72" s="47">
        <v>2</v>
      </c>
      <c r="D72" s="47">
        <v>2</v>
      </c>
      <c r="E72" s="47">
        <v>2</v>
      </c>
      <c r="F72" s="47">
        <v>2</v>
      </c>
      <c r="G72" s="47">
        <v>2</v>
      </c>
      <c r="H72" s="47">
        <v>2</v>
      </c>
      <c r="I72" s="47">
        <v>2</v>
      </c>
      <c r="J72" s="47">
        <v>2</v>
      </c>
      <c r="K72" s="47">
        <v>2</v>
      </c>
      <c r="L72" s="47">
        <v>2</v>
      </c>
      <c r="M72" s="47">
        <v>2</v>
      </c>
      <c r="N72" s="45"/>
      <c r="O72" s="28"/>
      <c r="P72" s="28"/>
    </row>
    <row r="73" spans="1:16">
      <c r="A73" s="17" t="s">
        <v>11</v>
      </c>
      <c r="B73" s="47">
        <v>35</v>
      </c>
      <c r="C73" s="47">
        <v>3</v>
      </c>
      <c r="D73" s="47">
        <v>110</v>
      </c>
      <c r="E73" s="47">
        <v>115</v>
      </c>
      <c r="F73" s="47">
        <v>514</v>
      </c>
      <c r="G73" s="47">
        <v>55</v>
      </c>
      <c r="H73" s="47">
        <v>0</v>
      </c>
      <c r="I73" s="47">
        <v>154</v>
      </c>
      <c r="J73" s="47">
        <v>79</v>
      </c>
      <c r="K73" s="47">
        <v>54</v>
      </c>
      <c r="L73" s="47">
        <v>26</v>
      </c>
      <c r="M73" s="47">
        <v>13</v>
      </c>
      <c r="N73" s="45">
        <f>SUM(B73:M73)</f>
        <v>1158</v>
      </c>
      <c r="O73" s="28"/>
      <c r="P73" s="28"/>
    </row>
    <row r="74" spans="1:16">
      <c r="A74" s="17"/>
      <c r="B74" s="134"/>
      <c r="C74" s="134"/>
      <c r="D74" s="134"/>
      <c r="E74" s="134"/>
      <c r="F74" s="134"/>
      <c r="G74" s="134"/>
      <c r="H74" s="134"/>
      <c r="I74" s="134"/>
      <c r="J74" s="134"/>
      <c r="K74" s="134"/>
      <c r="L74" s="134"/>
      <c r="M74" s="134"/>
      <c r="N74" s="134"/>
      <c r="O74" s="28"/>
      <c r="P74" s="28"/>
    </row>
    <row r="75" spans="1:16">
      <c r="A75" s="17"/>
      <c r="B75" s="134"/>
      <c r="C75" s="134"/>
      <c r="D75" s="134"/>
      <c r="E75" s="134"/>
      <c r="F75" s="134"/>
      <c r="G75" s="134"/>
      <c r="H75" s="134"/>
      <c r="I75" s="134"/>
      <c r="J75" s="134"/>
      <c r="K75" s="134"/>
      <c r="L75" s="134"/>
      <c r="M75" s="134"/>
      <c r="N75" s="134"/>
      <c r="O75" s="28"/>
      <c r="P75" s="28"/>
    </row>
    <row r="76" spans="1:16" ht="24">
      <c r="A76" s="112"/>
      <c r="B76" s="113">
        <v>38534</v>
      </c>
      <c r="C76" s="136">
        <v>38565</v>
      </c>
      <c r="D76" s="136">
        <v>38596</v>
      </c>
      <c r="E76" s="136">
        <v>38626</v>
      </c>
      <c r="F76" s="136">
        <v>38657</v>
      </c>
      <c r="G76" s="136">
        <v>38687</v>
      </c>
      <c r="H76" s="136">
        <v>38718</v>
      </c>
      <c r="I76" s="136">
        <v>38749</v>
      </c>
      <c r="J76" s="136">
        <v>38777</v>
      </c>
      <c r="K76" s="136">
        <v>38808</v>
      </c>
      <c r="L76" s="136">
        <v>38838</v>
      </c>
      <c r="M76" s="136">
        <v>38869</v>
      </c>
      <c r="N76" s="114" t="s">
        <v>1</v>
      </c>
      <c r="O76" s="117" t="s">
        <v>90</v>
      </c>
      <c r="P76" s="117" t="s">
        <v>91</v>
      </c>
    </row>
    <row r="77" spans="1:16">
      <c r="A77" s="1" t="s">
        <v>38</v>
      </c>
      <c r="B77" s="22"/>
      <c r="C77" s="24"/>
      <c r="D77" s="24"/>
      <c r="E77" s="24"/>
      <c r="F77" s="24"/>
      <c r="G77" s="24"/>
      <c r="H77" s="24"/>
      <c r="I77" s="24"/>
      <c r="J77" s="24"/>
      <c r="K77" s="24"/>
      <c r="L77" s="24"/>
      <c r="M77" s="24"/>
      <c r="O77" s="28"/>
      <c r="P77" s="28"/>
    </row>
    <row r="78" spans="1:16">
      <c r="A78" t="s">
        <v>2</v>
      </c>
      <c r="B78" s="40">
        <v>117</v>
      </c>
      <c r="C78" s="40">
        <v>88</v>
      </c>
      <c r="D78" s="40">
        <v>264</v>
      </c>
      <c r="E78" s="40">
        <v>437</v>
      </c>
      <c r="F78" s="40">
        <v>536</v>
      </c>
      <c r="G78" s="41">
        <v>251</v>
      </c>
      <c r="H78" s="40">
        <v>162</v>
      </c>
      <c r="I78" s="40">
        <v>446</v>
      </c>
      <c r="J78" s="40">
        <v>505</v>
      </c>
      <c r="K78" s="40">
        <v>526</v>
      </c>
      <c r="L78" s="40">
        <v>126</v>
      </c>
      <c r="M78" s="41">
        <v>178</v>
      </c>
      <c r="N78" s="45">
        <f>SUM(B78:M78)</f>
        <v>3636</v>
      </c>
      <c r="O78" s="28"/>
      <c r="P78" s="28"/>
    </row>
    <row r="79" spans="1:16">
      <c r="A79" t="s">
        <v>3</v>
      </c>
      <c r="B79" s="59">
        <v>219</v>
      </c>
      <c r="C79" s="59">
        <v>241</v>
      </c>
      <c r="D79" s="59">
        <v>467</v>
      </c>
      <c r="E79" s="59">
        <v>877</v>
      </c>
      <c r="F79" s="59">
        <v>1070</v>
      </c>
      <c r="G79" s="60">
        <v>472</v>
      </c>
      <c r="H79" s="59">
        <v>472</v>
      </c>
      <c r="I79" s="59">
        <v>877</v>
      </c>
      <c r="J79" s="59">
        <v>1133</v>
      </c>
      <c r="K79" s="59">
        <v>1184</v>
      </c>
      <c r="L79" s="59">
        <v>293</v>
      </c>
      <c r="M79" s="60">
        <v>462</v>
      </c>
      <c r="N79" s="45">
        <f>SUM(B79:M79)</f>
        <v>7767</v>
      </c>
      <c r="O79" s="28">
        <v>0</v>
      </c>
      <c r="P79" s="28" t="s">
        <v>31</v>
      </c>
    </row>
    <row r="80" spans="1:16">
      <c r="A80" s="21" t="s">
        <v>53</v>
      </c>
      <c r="B80" s="47">
        <v>2</v>
      </c>
      <c r="C80" s="47">
        <v>2</v>
      </c>
      <c r="D80" s="47">
        <v>2</v>
      </c>
      <c r="E80" s="47">
        <v>2</v>
      </c>
      <c r="F80" s="47">
        <v>2</v>
      </c>
      <c r="G80" s="47">
        <v>2</v>
      </c>
      <c r="H80" s="47">
        <v>2</v>
      </c>
      <c r="I80" s="47">
        <v>2</v>
      </c>
      <c r="J80" s="47">
        <v>2</v>
      </c>
      <c r="K80" s="47">
        <v>2</v>
      </c>
      <c r="L80" s="47">
        <v>2</v>
      </c>
      <c r="M80" s="47">
        <v>2</v>
      </c>
      <c r="N80" s="45"/>
      <c r="O80" s="28"/>
      <c r="P80" s="28"/>
    </row>
    <row r="81" spans="1:16">
      <c r="A81" s="17" t="s">
        <v>11</v>
      </c>
      <c r="B81" s="47">
        <v>23</v>
      </c>
      <c r="C81" s="47">
        <v>4</v>
      </c>
      <c r="D81" s="47">
        <v>22</v>
      </c>
      <c r="E81" s="47">
        <v>72</v>
      </c>
      <c r="F81" s="47">
        <v>71</v>
      </c>
      <c r="G81" s="47">
        <v>28</v>
      </c>
      <c r="H81" s="47">
        <v>41</v>
      </c>
      <c r="I81" s="47">
        <v>81</v>
      </c>
      <c r="J81" s="47">
        <v>96</v>
      </c>
      <c r="K81" s="47">
        <v>104</v>
      </c>
      <c r="L81" s="47">
        <v>2</v>
      </c>
      <c r="M81" s="47">
        <v>10</v>
      </c>
      <c r="N81" s="45">
        <f>SUM(B81:M81)</f>
        <v>554</v>
      </c>
      <c r="O81" s="28"/>
      <c r="P81" s="28"/>
    </row>
    <row r="82" spans="1:16">
      <c r="A82" s="17"/>
      <c r="B82" s="134"/>
      <c r="C82" s="134"/>
      <c r="D82" s="134"/>
      <c r="E82" s="134"/>
      <c r="F82" s="134"/>
      <c r="G82" s="134"/>
      <c r="H82" s="134"/>
      <c r="I82" s="134"/>
      <c r="J82" s="134"/>
      <c r="K82" s="134"/>
      <c r="L82" s="134"/>
      <c r="M82" s="134"/>
      <c r="N82" s="134"/>
      <c r="O82" s="28"/>
      <c r="P82" s="28"/>
    </row>
    <row r="83" spans="1:16">
      <c r="A83" s="17"/>
      <c r="B83" s="134"/>
      <c r="C83" s="134"/>
      <c r="D83" s="134"/>
      <c r="E83" s="134"/>
      <c r="F83" s="134"/>
      <c r="G83" s="134"/>
      <c r="H83" s="134"/>
      <c r="I83" s="134"/>
      <c r="J83" s="134"/>
      <c r="K83" s="134"/>
      <c r="L83" s="134"/>
      <c r="M83" s="134"/>
      <c r="N83" s="134"/>
      <c r="O83" s="28"/>
      <c r="P83" s="28"/>
    </row>
    <row r="84" spans="1:16" ht="24">
      <c r="A84" s="112"/>
      <c r="B84" s="113">
        <v>38534</v>
      </c>
      <c r="C84" s="136">
        <v>38565</v>
      </c>
      <c r="D84" s="136">
        <v>38596</v>
      </c>
      <c r="E84" s="136">
        <v>38626</v>
      </c>
      <c r="F84" s="136">
        <v>38657</v>
      </c>
      <c r="G84" s="136">
        <v>38687</v>
      </c>
      <c r="H84" s="136">
        <v>38718</v>
      </c>
      <c r="I84" s="136">
        <v>38749</v>
      </c>
      <c r="J84" s="136">
        <v>38777</v>
      </c>
      <c r="K84" s="136">
        <v>38808</v>
      </c>
      <c r="L84" s="136">
        <v>38838</v>
      </c>
      <c r="M84" s="136">
        <v>38869</v>
      </c>
      <c r="N84" s="114" t="s">
        <v>1</v>
      </c>
      <c r="O84" s="117" t="s">
        <v>90</v>
      </c>
      <c r="P84" s="117" t="s">
        <v>91</v>
      </c>
    </row>
    <row r="85" spans="1:16">
      <c r="A85" s="1" t="s">
        <v>37</v>
      </c>
      <c r="B85" s="22"/>
      <c r="C85" s="24"/>
      <c r="D85" s="24"/>
      <c r="E85" s="24"/>
      <c r="F85" s="24"/>
      <c r="G85" s="24"/>
      <c r="H85" s="24"/>
      <c r="I85" s="24"/>
      <c r="J85" s="24"/>
      <c r="K85" s="24"/>
      <c r="L85" s="24"/>
      <c r="M85" s="24"/>
      <c r="O85" s="28"/>
      <c r="P85" s="28"/>
    </row>
    <row r="86" spans="1:16">
      <c r="A86" t="s">
        <v>2</v>
      </c>
      <c r="B86" s="40">
        <v>6</v>
      </c>
      <c r="C86" s="40">
        <v>8</v>
      </c>
      <c r="D86" s="40">
        <v>9</v>
      </c>
      <c r="E86" s="40">
        <v>25</v>
      </c>
      <c r="F86" s="40">
        <v>20</v>
      </c>
      <c r="G86" s="41">
        <v>14</v>
      </c>
      <c r="H86" s="40">
        <v>6</v>
      </c>
      <c r="I86" s="40">
        <v>25</v>
      </c>
      <c r="J86" s="40">
        <v>10</v>
      </c>
      <c r="K86" s="40">
        <v>16</v>
      </c>
      <c r="L86" s="40">
        <v>15</v>
      </c>
      <c r="M86" s="41">
        <v>3</v>
      </c>
      <c r="N86" s="45">
        <f>SUM(B86:M86)</f>
        <v>157</v>
      </c>
      <c r="O86" s="28"/>
      <c r="P86" s="28"/>
    </row>
    <row r="87" spans="1:16">
      <c r="A87" t="s">
        <v>3</v>
      </c>
      <c r="B87" s="59">
        <v>10</v>
      </c>
      <c r="C87" s="59">
        <v>6</v>
      </c>
      <c r="D87" s="59">
        <v>8</v>
      </c>
      <c r="E87" s="59">
        <v>36</v>
      </c>
      <c r="F87" s="59">
        <v>19</v>
      </c>
      <c r="G87" s="60">
        <v>19</v>
      </c>
      <c r="H87" s="59">
        <v>4</v>
      </c>
      <c r="I87" s="59">
        <v>36</v>
      </c>
      <c r="J87" s="59">
        <v>9</v>
      </c>
      <c r="K87" s="59">
        <v>17</v>
      </c>
      <c r="L87" s="59">
        <v>16</v>
      </c>
      <c r="M87" s="60">
        <v>3</v>
      </c>
      <c r="N87" s="45">
        <f>SUM(B87:M87)</f>
        <v>183</v>
      </c>
      <c r="O87" s="28">
        <v>0</v>
      </c>
      <c r="P87" s="28" t="s">
        <v>31</v>
      </c>
    </row>
    <row r="88" spans="1:16">
      <c r="A88" s="21" t="s">
        <v>53</v>
      </c>
      <c r="B88" s="47">
        <v>2</v>
      </c>
      <c r="C88" s="47">
        <v>2</v>
      </c>
      <c r="D88" s="47">
        <v>2</v>
      </c>
      <c r="E88" s="47">
        <v>2</v>
      </c>
      <c r="F88" s="47">
        <v>2</v>
      </c>
      <c r="G88" s="47">
        <v>2</v>
      </c>
      <c r="H88" s="47">
        <v>2</v>
      </c>
      <c r="I88" s="47">
        <v>2</v>
      </c>
      <c r="J88" s="47">
        <v>2</v>
      </c>
      <c r="K88" s="47">
        <v>2</v>
      </c>
      <c r="L88" s="47">
        <v>2</v>
      </c>
      <c r="M88" s="47">
        <v>2</v>
      </c>
      <c r="N88" s="45"/>
      <c r="O88" s="28"/>
      <c r="P88" s="28"/>
    </row>
    <row r="89" spans="1:16">
      <c r="A89" s="17" t="s">
        <v>11</v>
      </c>
      <c r="B89" s="47">
        <v>2</v>
      </c>
      <c r="C89" s="47">
        <v>0</v>
      </c>
      <c r="D89" s="47">
        <v>0</v>
      </c>
      <c r="E89" s="47">
        <v>0</v>
      </c>
      <c r="F89" s="47">
        <v>0</v>
      </c>
      <c r="G89" s="47">
        <v>0</v>
      </c>
      <c r="H89" s="47">
        <v>0</v>
      </c>
      <c r="I89" s="47">
        <v>0</v>
      </c>
      <c r="J89" s="47">
        <v>0</v>
      </c>
      <c r="K89" s="47">
        <v>0</v>
      </c>
      <c r="L89" s="47">
        <v>0</v>
      </c>
      <c r="M89" s="47">
        <v>0</v>
      </c>
      <c r="N89" s="45">
        <f>SUM(B89:M89)</f>
        <v>2</v>
      </c>
      <c r="O89" s="28"/>
      <c r="P89" s="28"/>
    </row>
    <row r="90" spans="1:16">
      <c r="A90" s="17"/>
      <c r="B90" s="134"/>
      <c r="C90" s="134"/>
      <c r="D90" s="134"/>
      <c r="E90" s="134"/>
      <c r="F90" s="134"/>
      <c r="G90" s="134"/>
      <c r="H90" s="134"/>
      <c r="I90" s="134"/>
      <c r="J90" s="134"/>
      <c r="K90" s="134"/>
      <c r="L90" s="134"/>
      <c r="M90" s="134"/>
      <c r="N90" s="134"/>
      <c r="O90" s="28"/>
      <c r="P90" s="28"/>
    </row>
    <row r="91" spans="1:16">
      <c r="A91" s="17"/>
      <c r="B91" s="134"/>
      <c r="C91" s="134"/>
      <c r="D91" s="134"/>
      <c r="E91" s="134"/>
      <c r="F91" s="134"/>
      <c r="G91" s="134"/>
      <c r="H91" s="134"/>
      <c r="I91" s="134"/>
      <c r="J91" s="134"/>
      <c r="K91" s="134"/>
      <c r="L91" s="134"/>
      <c r="M91" s="134"/>
      <c r="N91" s="134"/>
      <c r="O91" s="28"/>
      <c r="P91" s="28"/>
    </row>
    <row r="92" spans="1:16" ht="24">
      <c r="A92" s="112"/>
      <c r="B92" s="113">
        <v>38534</v>
      </c>
      <c r="C92" s="136">
        <v>38565</v>
      </c>
      <c r="D92" s="136">
        <v>38596</v>
      </c>
      <c r="E92" s="136">
        <v>38626</v>
      </c>
      <c r="F92" s="136">
        <v>38657</v>
      </c>
      <c r="G92" s="136">
        <v>38687</v>
      </c>
      <c r="H92" s="136">
        <v>38718</v>
      </c>
      <c r="I92" s="136">
        <v>38749</v>
      </c>
      <c r="J92" s="136">
        <v>38777</v>
      </c>
      <c r="K92" s="136">
        <v>38808</v>
      </c>
      <c r="L92" s="136">
        <v>38838</v>
      </c>
      <c r="M92" s="136">
        <v>38869</v>
      </c>
      <c r="N92" s="114" t="s">
        <v>1</v>
      </c>
      <c r="O92" s="117" t="s">
        <v>90</v>
      </c>
      <c r="P92" s="117" t="s">
        <v>91</v>
      </c>
    </row>
    <row r="93" spans="1:16">
      <c r="A93" s="1" t="s">
        <v>36</v>
      </c>
      <c r="B93" s="22"/>
      <c r="C93" s="24"/>
      <c r="D93" s="24"/>
      <c r="E93" s="24"/>
      <c r="F93" s="24"/>
      <c r="G93" s="24"/>
      <c r="H93" s="24"/>
      <c r="I93" s="24"/>
      <c r="J93" s="24"/>
      <c r="K93" s="24"/>
      <c r="L93" s="24"/>
      <c r="M93" s="24"/>
      <c r="O93" s="28"/>
      <c r="P93" s="28"/>
    </row>
    <row r="94" spans="1:16">
      <c r="A94" t="s">
        <v>2</v>
      </c>
      <c r="B94" s="40">
        <v>7</v>
      </c>
      <c r="C94" s="40">
        <v>5</v>
      </c>
      <c r="D94" s="40">
        <v>4</v>
      </c>
      <c r="E94" s="40">
        <v>5</v>
      </c>
      <c r="F94" s="40">
        <v>6</v>
      </c>
      <c r="G94" s="41">
        <v>2</v>
      </c>
      <c r="H94" s="40">
        <v>2</v>
      </c>
      <c r="I94" s="40">
        <v>5</v>
      </c>
      <c r="J94" s="40">
        <v>7</v>
      </c>
      <c r="K94" s="40">
        <v>5</v>
      </c>
      <c r="L94" s="40">
        <v>4</v>
      </c>
      <c r="M94" s="41">
        <v>0</v>
      </c>
      <c r="N94" s="45">
        <f>SUM(B94:M94)</f>
        <v>52</v>
      </c>
      <c r="O94" s="28"/>
      <c r="P94" s="28"/>
    </row>
    <row r="95" spans="1:16">
      <c r="A95" t="s">
        <v>3</v>
      </c>
      <c r="B95" s="59">
        <v>6</v>
      </c>
      <c r="C95" s="59">
        <v>2</v>
      </c>
      <c r="D95" s="59">
        <v>2</v>
      </c>
      <c r="E95" s="59">
        <v>8</v>
      </c>
      <c r="F95" s="59">
        <v>4</v>
      </c>
      <c r="G95" s="60">
        <v>2</v>
      </c>
      <c r="H95" s="59">
        <v>1</v>
      </c>
      <c r="I95" s="59">
        <v>4</v>
      </c>
      <c r="J95" s="59">
        <v>5</v>
      </c>
      <c r="K95" s="59">
        <v>2</v>
      </c>
      <c r="L95" s="59">
        <v>4</v>
      </c>
      <c r="M95" s="60">
        <v>0</v>
      </c>
      <c r="N95" s="45">
        <f>SUM(B95:M95)</f>
        <v>40</v>
      </c>
      <c r="O95" s="28">
        <v>0</v>
      </c>
      <c r="P95" s="28" t="s">
        <v>31</v>
      </c>
    </row>
    <row r="96" spans="1:16">
      <c r="A96" s="21" t="s">
        <v>53</v>
      </c>
      <c r="B96" s="47">
        <v>2</v>
      </c>
      <c r="C96" s="47">
        <v>2</v>
      </c>
      <c r="D96" s="47">
        <v>2</v>
      </c>
      <c r="E96" s="47">
        <v>2</v>
      </c>
      <c r="F96" s="47">
        <v>2</v>
      </c>
      <c r="G96" s="47">
        <v>2</v>
      </c>
      <c r="H96" s="47">
        <v>2</v>
      </c>
      <c r="I96" s="47">
        <v>2</v>
      </c>
      <c r="J96" s="47">
        <v>2</v>
      </c>
      <c r="K96" s="47">
        <v>2</v>
      </c>
      <c r="L96" s="47">
        <v>2</v>
      </c>
      <c r="M96" s="47">
        <v>0</v>
      </c>
      <c r="N96" s="45"/>
      <c r="O96" s="28"/>
      <c r="P96" s="28"/>
    </row>
    <row r="97" spans="1:16">
      <c r="A97" s="17" t="s">
        <v>11</v>
      </c>
      <c r="B97" s="47">
        <v>1</v>
      </c>
      <c r="C97" s="47">
        <v>0</v>
      </c>
      <c r="D97" s="47">
        <v>0</v>
      </c>
      <c r="E97" s="47">
        <v>0</v>
      </c>
      <c r="F97" s="47">
        <v>0</v>
      </c>
      <c r="G97" s="47">
        <v>0</v>
      </c>
      <c r="H97" s="47">
        <v>0</v>
      </c>
      <c r="I97" s="47">
        <v>0</v>
      </c>
      <c r="J97" s="47">
        <v>0</v>
      </c>
      <c r="K97" s="47">
        <v>0</v>
      </c>
      <c r="L97" s="47">
        <v>0</v>
      </c>
      <c r="M97" s="47">
        <v>0</v>
      </c>
      <c r="N97" s="45">
        <f>SUM(B97:M97)</f>
        <v>1</v>
      </c>
      <c r="O97" s="28"/>
      <c r="P97" s="28"/>
    </row>
    <row r="98" spans="1:16">
      <c r="A98" s="17"/>
      <c r="B98" s="134"/>
      <c r="C98" s="134"/>
      <c r="D98" s="134"/>
      <c r="E98" s="134"/>
      <c r="F98" s="134"/>
      <c r="G98" s="134"/>
      <c r="H98" s="134"/>
      <c r="I98" s="134"/>
      <c r="J98" s="134"/>
      <c r="K98" s="134"/>
      <c r="L98" s="134"/>
      <c r="M98" s="134"/>
      <c r="N98" s="134"/>
      <c r="O98" s="28"/>
      <c r="P98" s="28"/>
    </row>
    <row r="99" spans="1:16">
      <c r="A99" s="17"/>
      <c r="B99" s="134"/>
      <c r="C99" s="134"/>
      <c r="D99" s="134"/>
      <c r="E99" s="134"/>
      <c r="F99" s="134"/>
      <c r="G99" s="134"/>
      <c r="H99" s="134"/>
      <c r="I99" s="134"/>
      <c r="J99" s="134"/>
      <c r="K99" s="134"/>
      <c r="L99" s="134"/>
      <c r="M99" s="134"/>
      <c r="N99" s="134"/>
      <c r="O99" s="28"/>
      <c r="P99" s="28"/>
    </row>
    <row r="100" spans="1:16" ht="24">
      <c r="A100" s="112"/>
      <c r="B100" s="113">
        <v>38534</v>
      </c>
      <c r="C100" s="136">
        <v>38565</v>
      </c>
      <c r="D100" s="136">
        <v>38596</v>
      </c>
      <c r="E100" s="136">
        <v>38626</v>
      </c>
      <c r="F100" s="136">
        <v>38657</v>
      </c>
      <c r="G100" s="136">
        <v>38687</v>
      </c>
      <c r="H100" s="136">
        <v>38718</v>
      </c>
      <c r="I100" s="136">
        <v>38749</v>
      </c>
      <c r="J100" s="136">
        <v>38777</v>
      </c>
      <c r="K100" s="136">
        <v>38808</v>
      </c>
      <c r="L100" s="136">
        <v>38838</v>
      </c>
      <c r="M100" s="136">
        <v>38869</v>
      </c>
      <c r="N100" s="114" t="s">
        <v>1</v>
      </c>
      <c r="O100" s="117" t="s">
        <v>90</v>
      </c>
      <c r="P100" s="117" t="s">
        <v>91</v>
      </c>
    </row>
    <row r="101" spans="1:16">
      <c r="A101" s="1" t="s">
        <v>35</v>
      </c>
      <c r="B101" s="22"/>
      <c r="C101" s="24"/>
      <c r="D101" s="24"/>
      <c r="E101" s="24"/>
      <c r="F101" s="24"/>
      <c r="G101" s="24"/>
      <c r="H101" s="24"/>
      <c r="I101" s="24"/>
      <c r="J101" s="24"/>
      <c r="K101" s="24"/>
      <c r="L101" s="24"/>
      <c r="M101" s="24"/>
      <c r="O101" s="28"/>
      <c r="P101" s="28"/>
    </row>
    <row r="102" spans="1:16">
      <c r="A102" t="s">
        <v>2</v>
      </c>
      <c r="B102" s="40">
        <v>19</v>
      </c>
      <c r="C102" s="40">
        <v>2</v>
      </c>
      <c r="D102" s="40">
        <v>11</v>
      </c>
      <c r="E102" s="40">
        <v>20</v>
      </c>
      <c r="F102" s="40">
        <v>33</v>
      </c>
      <c r="G102" s="41">
        <v>13</v>
      </c>
      <c r="H102" s="40">
        <v>3</v>
      </c>
      <c r="I102" s="40">
        <v>21</v>
      </c>
      <c r="J102" s="40">
        <v>14</v>
      </c>
      <c r="K102" s="40">
        <v>20</v>
      </c>
      <c r="L102" s="40">
        <v>4</v>
      </c>
      <c r="M102" s="41">
        <v>7</v>
      </c>
      <c r="N102" s="45">
        <f>SUM(B102:M102)</f>
        <v>167</v>
      </c>
      <c r="O102" s="28"/>
      <c r="P102" s="28"/>
    </row>
    <row r="103" spans="1:16">
      <c r="A103" t="s">
        <v>3</v>
      </c>
      <c r="B103" s="59">
        <v>55</v>
      </c>
      <c r="C103" s="59">
        <v>3</v>
      </c>
      <c r="D103" s="59">
        <v>5</v>
      </c>
      <c r="E103" s="59">
        <v>35</v>
      </c>
      <c r="F103" s="59">
        <v>73</v>
      </c>
      <c r="G103" s="60">
        <v>18</v>
      </c>
      <c r="H103" s="59">
        <v>3</v>
      </c>
      <c r="I103" s="59">
        <v>14</v>
      </c>
      <c r="J103" s="59">
        <v>13</v>
      </c>
      <c r="K103" s="59">
        <v>18</v>
      </c>
      <c r="L103" s="59">
        <v>3</v>
      </c>
      <c r="M103" s="60">
        <v>3</v>
      </c>
      <c r="N103" s="45">
        <f>SUM(B103:M103)</f>
        <v>243</v>
      </c>
      <c r="O103" s="28">
        <v>0</v>
      </c>
      <c r="P103" s="28" t="s">
        <v>31</v>
      </c>
    </row>
    <row r="104" spans="1:16">
      <c r="A104" s="21" t="s">
        <v>53</v>
      </c>
      <c r="B104" s="47">
        <v>2</v>
      </c>
      <c r="C104" s="47">
        <v>2</v>
      </c>
      <c r="D104" s="47">
        <v>2</v>
      </c>
      <c r="E104" s="47">
        <v>2</v>
      </c>
      <c r="F104" s="47">
        <v>2</v>
      </c>
      <c r="G104" s="47">
        <v>2</v>
      </c>
      <c r="H104" s="47">
        <v>2</v>
      </c>
      <c r="I104" s="47">
        <v>2</v>
      </c>
      <c r="J104" s="47">
        <v>2</v>
      </c>
      <c r="K104" s="47">
        <v>2</v>
      </c>
      <c r="L104" s="47">
        <v>2</v>
      </c>
      <c r="M104" s="47">
        <v>2</v>
      </c>
      <c r="N104" s="45"/>
      <c r="O104" s="28"/>
      <c r="P104" s="28"/>
    </row>
    <row r="105" spans="1:16">
      <c r="A105" s="17" t="s">
        <v>11</v>
      </c>
      <c r="B105" s="47">
        <v>3</v>
      </c>
      <c r="C105" s="47">
        <v>0</v>
      </c>
      <c r="D105" s="47">
        <v>0</v>
      </c>
      <c r="E105" s="47">
        <v>0</v>
      </c>
      <c r="F105" s="47">
        <v>0</v>
      </c>
      <c r="G105" s="47">
        <v>0</v>
      </c>
      <c r="H105" s="47">
        <v>0</v>
      </c>
      <c r="I105" s="47">
        <v>0</v>
      </c>
      <c r="J105" s="47">
        <v>0</v>
      </c>
      <c r="K105" s="47">
        <v>0</v>
      </c>
      <c r="L105" s="47">
        <v>0</v>
      </c>
      <c r="M105" s="47">
        <v>0</v>
      </c>
      <c r="N105" s="45">
        <f>SUM(B105:M105)</f>
        <v>3</v>
      </c>
      <c r="O105" s="28"/>
      <c r="P105" s="28"/>
    </row>
    <row r="106" spans="1:16">
      <c r="A106" s="17"/>
      <c r="B106" s="134"/>
      <c r="C106" s="134"/>
      <c r="D106" s="134"/>
      <c r="E106" s="134"/>
      <c r="F106" s="134"/>
      <c r="G106" s="134"/>
      <c r="H106" s="134"/>
      <c r="I106" s="134"/>
      <c r="J106" s="134"/>
      <c r="K106" s="134"/>
      <c r="L106" s="134"/>
      <c r="M106" s="134"/>
      <c r="N106" s="134"/>
      <c r="O106" s="28"/>
      <c r="P106" s="28"/>
    </row>
    <row r="107" spans="1:16">
      <c r="A107" s="17"/>
      <c r="B107" s="134"/>
      <c r="C107" s="134"/>
      <c r="D107" s="134"/>
      <c r="E107" s="134"/>
      <c r="F107" s="134"/>
      <c r="G107" s="134"/>
      <c r="H107" s="134"/>
      <c r="I107" s="134"/>
      <c r="J107" s="134"/>
      <c r="K107" s="134"/>
      <c r="L107" s="134"/>
      <c r="M107" s="134"/>
      <c r="N107" s="134"/>
      <c r="O107" s="28"/>
      <c r="P107" s="28"/>
    </row>
    <row r="108" spans="1:16" ht="24">
      <c r="A108" s="112"/>
      <c r="B108" s="113">
        <v>38534</v>
      </c>
      <c r="C108" s="136">
        <v>38565</v>
      </c>
      <c r="D108" s="136">
        <v>38596</v>
      </c>
      <c r="E108" s="136">
        <v>38626</v>
      </c>
      <c r="F108" s="136">
        <v>38657</v>
      </c>
      <c r="G108" s="136">
        <v>38687</v>
      </c>
      <c r="H108" s="136">
        <v>38718</v>
      </c>
      <c r="I108" s="136">
        <v>38749</v>
      </c>
      <c r="J108" s="136">
        <v>38777</v>
      </c>
      <c r="K108" s="136">
        <v>38808</v>
      </c>
      <c r="L108" s="136">
        <v>38838</v>
      </c>
      <c r="M108" s="136">
        <v>38869</v>
      </c>
      <c r="N108" s="114" t="s">
        <v>1</v>
      </c>
      <c r="O108" s="117" t="s">
        <v>90</v>
      </c>
      <c r="P108" s="117" t="s">
        <v>91</v>
      </c>
    </row>
    <row r="109" spans="1:16">
      <c r="A109" s="1" t="s">
        <v>34</v>
      </c>
      <c r="B109" s="22"/>
      <c r="C109" s="24"/>
      <c r="D109" s="24"/>
      <c r="E109" s="24"/>
      <c r="F109" s="24"/>
      <c r="G109" s="24"/>
      <c r="H109" s="24"/>
      <c r="I109" s="24"/>
      <c r="J109" s="24"/>
      <c r="K109" s="24"/>
      <c r="L109" s="24"/>
      <c r="M109" s="24"/>
      <c r="O109" s="28"/>
      <c r="P109" s="28"/>
    </row>
    <row r="110" spans="1:16">
      <c r="A110" t="s">
        <v>2</v>
      </c>
      <c r="B110" s="40">
        <v>256</v>
      </c>
      <c r="C110" s="40">
        <v>191</v>
      </c>
      <c r="D110" s="40">
        <v>351</v>
      </c>
      <c r="E110" s="40">
        <v>461</v>
      </c>
      <c r="F110" s="40">
        <v>478</v>
      </c>
      <c r="G110" s="41">
        <v>369</v>
      </c>
      <c r="H110" s="40">
        <v>424</v>
      </c>
      <c r="I110" s="40">
        <v>470</v>
      </c>
      <c r="J110" s="40">
        <v>425</v>
      </c>
      <c r="K110" s="40">
        <v>404</v>
      </c>
      <c r="L110" s="40">
        <v>322</v>
      </c>
      <c r="M110" s="41">
        <v>414</v>
      </c>
      <c r="N110" s="45">
        <f>SUM(B110:M110)</f>
        <v>4565</v>
      </c>
      <c r="O110" s="28"/>
      <c r="P110" s="28"/>
    </row>
    <row r="111" spans="1:16">
      <c r="A111" t="s">
        <v>3</v>
      </c>
      <c r="B111" s="59">
        <v>1367</v>
      </c>
      <c r="C111" s="59">
        <v>625</v>
      </c>
      <c r="D111" s="59">
        <v>1080</v>
      </c>
      <c r="E111" s="59">
        <v>1662</v>
      </c>
      <c r="F111" s="59">
        <v>2319</v>
      </c>
      <c r="G111" s="60">
        <v>1318</v>
      </c>
      <c r="H111" s="59">
        <v>1477</v>
      </c>
      <c r="I111" s="59">
        <v>1631</v>
      </c>
      <c r="J111" s="59">
        <v>1593</v>
      </c>
      <c r="K111" s="59">
        <v>1439</v>
      </c>
      <c r="L111" s="59">
        <v>1600</v>
      </c>
      <c r="M111" s="60">
        <v>1204</v>
      </c>
      <c r="N111" s="45">
        <f>SUM(B111:M111)</f>
        <v>17315</v>
      </c>
      <c r="O111" s="28">
        <v>8835</v>
      </c>
      <c r="P111" s="28">
        <f>O111/N111</f>
        <v>0.51025122725960148</v>
      </c>
    </row>
    <row r="112" spans="1:16">
      <c r="A112" s="21" t="s">
        <v>53</v>
      </c>
      <c r="B112" s="47">
        <v>2</v>
      </c>
      <c r="C112" s="47">
        <v>2</v>
      </c>
      <c r="D112" s="47">
        <v>2</v>
      </c>
      <c r="E112" s="47">
        <v>2</v>
      </c>
      <c r="F112" s="47">
        <v>2</v>
      </c>
      <c r="G112" s="47">
        <v>2</v>
      </c>
      <c r="H112" s="47">
        <v>2</v>
      </c>
      <c r="I112" s="47">
        <v>2</v>
      </c>
      <c r="J112" s="47">
        <v>2</v>
      </c>
      <c r="K112" s="47">
        <v>2</v>
      </c>
      <c r="L112" s="47">
        <v>2</v>
      </c>
      <c r="M112" s="47">
        <v>2</v>
      </c>
      <c r="N112" s="45"/>
      <c r="O112" s="28"/>
      <c r="P112" s="28"/>
    </row>
    <row r="113" spans="1:16">
      <c r="A113" s="17" t="s">
        <v>11</v>
      </c>
      <c r="B113" s="47">
        <v>52</v>
      </c>
      <c r="C113" s="47">
        <v>8</v>
      </c>
      <c r="D113" s="47">
        <v>86</v>
      </c>
      <c r="E113" s="47">
        <v>78</v>
      </c>
      <c r="F113" s="47">
        <v>96</v>
      </c>
      <c r="G113" s="47">
        <v>100</v>
      </c>
      <c r="H113" s="47">
        <v>88</v>
      </c>
      <c r="I113" s="47">
        <v>93</v>
      </c>
      <c r="J113" s="47">
        <v>74</v>
      </c>
      <c r="K113" s="47">
        <v>62</v>
      </c>
      <c r="L113" s="47">
        <v>83</v>
      </c>
      <c r="M113" s="47">
        <v>84</v>
      </c>
      <c r="N113" s="45">
        <f>SUM(B113:M113)</f>
        <v>904</v>
      </c>
      <c r="O113" s="28"/>
      <c r="P113" s="28"/>
    </row>
    <row r="114" spans="1:16">
      <c r="A114" s="17"/>
      <c r="B114" s="134"/>
      <c r="C114" s="134"/>
      <c r="D114" s="134"/>
      <c r="E114" s="134"/>
      <c r="F114" s="134"/>
      <c r="G114" s="134"/>
      <c r="H114" s="134"/>
      <c r="I114" s="134"/>
      <c r="J114" s="134"/>
      <c r="K114" s="134"/>
      <c r="L114" s="134"/>
      <c r="M114" s="134"/>
      <c r="N114" s="134"/>
      <c r="O114" s="28"/>
      <c r="P114" s="28"/>
    </row>
    <row r="115" spans="1:16">
      <c r="A115" s="17"/>
      <c r="B115" s="134"/>
      <c r="C115" s="134"/>
      <c r="D115" s="134"/>
      <c r="E115" s="134"/>
      <c r="F115" s="134"/>
      <c r="G115" s="134"/>
      <c r="H115" s="134"/>
      <c r="I115" s="134"/>
      <c r="J115" s="134"/>
      <c r="K115" s="134"/>
      <c r="L115" s="134"/>
      <c r="M115" s="134"/>
      <c r="N115" s="134"/>
      <c r="O115" s="28"/>
      <c r="P115" s="28"/>
    </row>
    <row r="116" spans="1:16" ht="24">
      <c r="A116" s="112"/>
      <c r="B116" s="113">
        <v>38534</v>
      </c>
      <c r="C116" s="136">
        <v>38565</v>
      </c>
      <c r="D116" s="136">
        <v>38596</v>
      </c>
      <c r="E116" s="136">
        <v>38626</v>
      </c>
      <c r="F116" s="136">
        <v>38657</v>
      </c>
      <c r="G116" s="136">
        <v>38687</v>
      </c>
      <c r="H116" s="136">
        <v>38718</v>
      </c>
      <c r="I116" s="136">
        <v>38749</v>
      </c>
      <c r="J116" s="136">
        <v>38777</v>
      </c>
      <c r="K116" s="136">
        <v>38808</v>
      </c>
      <c r="L116" s="136">
        <v>38838</v>
      </c>
      <c r="M116" s="136">
        <v>38869</v>
      </c>
      <c r="N116" s="114" t="s">
        <v>1</v>
      </c>
      <c r="O116" s="117" t="s">
        <v>90</v>
      </c>
      <c r="P116" s="117" t="s">
        <v>91</v>
      </c>
    </row>
    <row r="117" spans="1:16">
      <c r="A117" s="1" t="s">
        <v>109</v>
      </c>
      <c r="B117" s="22"/>
      <c r="C117" s="24"/>
      <c r="D117" s="24"/>
      <c r="E117" s="24"/>
      <c r="F117" s="24"/>
      <c r="G117" s="24"/>
      <c r="H117" s="24"/>
      <c r="I117" s="24"/>
      <c r="J117" s="24"/>
      <c r="K117" s="24"/>
      <c r="L117" s="24"/>
      <c r="M117" s="24"/>
      <c r="O117" s="28"/>
      <c r="P117" s="28"/>
    </row>
    <row r="118" spans="1:16">
      <c r="A118" t="s">
        <v>2</v>
      </c>
      <c r="B118" s="40">
        <v>0</v>
      </c>
      <c r="C118" s="40">
        <v>0</v>
      </c>
      <c r="D118" s="40">
        <v>0</v>
      </c>
      <c r="E118" s="40">
        <v>0</v>
      </c>
      <c r="F118" s="40">
        <v>0</v>
      </c>
      <c r="G118" s="41">
        <v>0</v>
      </c>
      <c r="H118" s="40">
        <v>0</v>
      </c>
      <c r="I118" s="40">
        <v>24</v>
      </c>
      <c r="J118" s="40">
        <v>7</v>
      </c>
      <c r="K118" s="40">
        <v>7</v>
      </c>
      <c r="L118" s="40">
        <v>3</v>
      </c>
      <c r="M118" s="41">
        <v>2</v>
      </c>
      <c r="N118" s="45">
        <f>SUM(B118:M118)</f>
        <v>43</v>
      </c>
      <c r="O118" s="28"/>
      <c r="P118" s="28"/>
    </row>
    <row r="119" spans="1:16">
      <c r="A119" t="s">
        <v>3</v>
      </c>
      <c r="B119" s="59">
        <v>0</v>
      </c>
      <c r="C119" s="59">
        <v>0</v>
      </c>
      <c r="D119" s="59">
        <v>0</v>
      </c>
      <c r="E119" s="59">
        <v>0</v>
      </c>
      <c r="F119" s="59">
        <v>0</v>
      </c>
      <c r="G119" s="60">
        <v>0</v>
      </c>
      <c r="H119" s="59">
        <v>0</v>
      </c>
      <c r="I119" s="59">
        <v>74</v>
      </c>
      <c r="J119" s="59">
        <v>15</v>
      </c>
      <c r="K119" s="59">
        <v>7</v>
      </c>
      <c r="L119" s="59">
        <v>3</v>
      </c>
      <c r="M119" s="60">
        <v>11</v>
      </c>
      <c r="N119" s="45">
        <f>SUM(B119:M119)</f>
        <v>110</v>
      </c>
      <c r="O119" s="28">
        <v>0</v>
      </c>
      <c r="P119" s="28" t="s">
        <v>31</v>
      </c>
    </row>
    <row r="120" spans="1:16">
      <c r="A120" s="21" t="s">
        <v>53</v>
      </c>
      <c r="B120" s="47">
        <v>0</v>
      </c>
      <c r="C120" s="47">
        <v>0</v>
      </c>
      <c r="D120" s="47">
        <v>0</v>
      </c>
      <c r="E120" s="47">
        <v>0</v>
      </c>
      <c r="F120" s="47">
        <v>0</v>
      </c>
      <c r="G120" s="47">
        <v>0</v>
      </c>
      <c r="H120" s="47">
        <v>0</v>
      </c>
      <c r="I120" s="47">
        <v>2</v>
      </c>
      <c r="J120" s="47">
        <v>2</v>
      </c>
      <c r="K120" s="47">
        <v>2</v>
      </c>
      <c r="L120" s="47">
        <v>2</v>
      </c>
      <c r="M120" s="47">
        <v>2</v>
      </c>
      <c r="N120" s="45"/>
      <c r="O120" s="28"/>
      <c r="P120" s="28"/>
    </row>
    <row r="121" spans="1:16">
      <c r="A121" s="17" t="s">
        <v>11</v>
      </c>
      <c r="B121" s="47">
        <v>0</v>
      </c>
      <c r="C121" s="47">
        <v>0</v>
      </c>
      <c r="D121" s="47">
        <v>0</v>
      </c>
      <c r="E121" s="47">
        <v>0</v>
      </c>
      <c r="F121" s="47">
        <v>0</v>
      </c>
      <c r="G121" s="47">
        <v>0</v>
      </c>
      <c r="H121" s="47">
        <v>0</v>
      </c>
      <c r="I121" s="47">
        <v>0</v>
      </c>
      <c r="J121" s="47">
        <v>0</v>
      </c>
      <c r="K121" s="47">
        <v>0</v>
      </c>
      <c r="L121" s="47">
        <v>0</v>
      </c>
      <c r="M121" s="47">
        <v>0</v>
      </c>
      <c r="N121" s="45">
        <f>SUM(B121:M121)</f>
        <v>0</v>
      </c>
      <c r="O121" s="28"/>
      <c r="P121" s="28"/>
    </row>
    <row r="122" spans="1:16">
      <c r="A122" s="17"/>
      <c r="B122" s="134"/>
      <c r="C122" s="134"/>
      <c r="D122" s="134"/>
      <c r="E122" s="134"/>
      <c r="F122" s="134"/>
      <c r="G122" s="134"/>
      <c r="H122" s="134"/>
      <c r="I122" s="134"/>
      <c r="J122" s="134"/>
      <c r="K122" s="134"/>
      <c r="L122" s="134"/>
      <c r="M122" s="134"/>
      <c r="N122" s="134"/>
      <c r="O122" s="28"/>
      <c r="P122" s="28"/>
    </row>
    <row r="123" spans="1:16">
      <c r="A123" s="17"/>
      <c r="B123" s="17"/>
      <c r="C123" s="17"/>
      <c r="D123" s="17"/>
      <c r="E123" s="17"/>
      <c r="F123" s="17"/>
      <c r="G123" s="17"/>
      <c r="H123" s="17"/>
      <c r="I123" s="17"/>
      <c r="J123" s="17"/>
      <c r="K123" s="17"/>
      <c r="L123" s="17"/>
      <c r="M123" s="17"/>
      <c r="N123" s="12"/>
      <c r="O123" s="28"/>
      <c r="P123" s="28"/>
    </row>
    <row r="124" spans="1:16" ht="24">
      <c r="A124" s="112"/>
      <c r="B124" s="113">
        <v>38534</v>
      </c>
      <c r="C124" s="136">
        <v>38565</v>
      </c>
      <c r="D124" s="136">
        <v>38596</v>
      </c>
      <c r="E124" s="136">
        <v>38626</v>
      </c>
      <c r="F124" s="136">
        <v>38657</v>
      </c>
      <c r="G124" s="136">
        <v>38687</v>
      </c>
      <c r="H124" s="136">
        <v>38718</v>
      </c>
      <c r="I124" s="136">
        <v>38749</v>
      </c>
      <c r="J124" s="136">
        <v>38777</v>
      </c>
      <c r="K124" s="136">
        <v>38808</v>
      </c>
      <c r="L124" s="136">
        <v>38838</v>
      </c>
      <c r="M124" s="136">
        <v>38869</v>
      </c>
      <c r="N124" s="114" t="s">
        <v>1</v>
      </c>
      <c r="O124" s="117" t="s">
        <v>90</v>
      </c>
      <c r="P124" s="117" t="s">
        <v>91</v>
      </c>
    </row>
    <row r="125" spans="1:16">
      <c r="A125" s="1" t="s">
        <v>45</v>
      </c>
      <c r="B125" s="22"/>
      <c r="C125" s="24"/>
      <c r="D125" s="24"/>
      <c r="E125" s="24"/>
      <c r="F125" s="24"/>
      <c r="G125" s="24"/>
      <c r="H125" s="24"/>
      <c r="I125" s="24"/>
      <c r="J125" s="24"/>
      <c r="K125" s="24"/>
      <c r="L125" s="24"/>
      <c r="M125" s="24"/>
      <c r="O125" s="28"/>
      <c r="P125" s="28"/>
    </row>
    <row r="126" spans="1:16">
      <c r="A126" s="16" t="s">
        <v>2</v>
      </c>
      <c r="B126" s="96">
        <v>824</v>
      </c>
      <c r="C126" s="96">
        <v>503</v>
      </c>
      <c r="D126" s="96">
        <v>1626</v>
      </c>
      <c r="E126" s="96">
        <v>2650</v>
      </c>
      <c r="F126" s="96">
        <v>3055</v>
      </c>
      <c r="G126" s="97">
        <v>1663</v>
      </c>
      <c r="H126" s="96">
        <v>968</v>
      </c>
      <c r="I126" s="96">
        <v>2282</v>
      </c>
      <c r="J126" s="96">
        <v>2127</v>
      </c>
      <c r="K126" s="96">
        <v>2456</v>
      </c>
      <c r="L126" s="96">
        <v>998</v>
      </c>
      <c r="M126" s="97">
        <v>1037</v>
      </c>
      <c r="N126" s="45">
        <f>SUM(B126:M126)</f>
        <v>20189</v>
      </c>
      <c r="O126" s="28"/>
      <c r="P126" s="28"/>
    </row>
    <row r="127" spans="1:16">
      <c r="A127" s="16" t="s">
        <v>3</v>
      </c>
      <c r="B127" s="98">
        <v>2947</v>
      </c>
      <c r="C127" s="98">
        <v>1234</v>
      </c>
      <c r="D127" s="98">
        <v>3756</v>
      </c>
      <c r="E127" s="98">
        <v>6739</v>
      </c>
      <c r="F127" s="98">
        <v>7574</v>
      </c>
      <c r="G127" s="99">
        <v>4493</v>
      </c>
      <c r="H127" s="98">
        <v>2840</v>
      </c>
      <c r="I127" s="98">
        <v>5832</v>
      </c>
      <c r="J127" s="98">
        <v>5548</v>
      </c>
      <c r="K127" s="98">
        <v>5954</v>
      </c>
      <c r="L127" s="98">
        <v>3257</v>
      </c>
      <c r="M127" s="99">
        <v>2568</v>
      </c>
      <c r="N127" s="45">
        <f>SUM(B127:M127)</f>
        <v>52742</v>
      </c>
      <c r="O127" s="28">
        <f>SUM(O7:O125)</f>
        <v>14661.25</v>
      </c>
      <c r="P127" s="28">
        <f>O127/N127</f>
        <v>0.27798054681278678</v>
      </c>
    </row>
    <row r="128" spans="1:16">
      <c r="A128" t="s">
        <v>96</v>
      </c>
      <c r="B128" s="47">
        <v>2</v>
      </c>
      <c r="C128" s="47">
        <v>2</v>
      </c>
      <c r="D128" s="47">
        <v>2</v>
      </c>
      <c r="E128" s="47">
        <v>2</v>
      </c>
      <c r="F128" s="47">
        <v>2</v>
      </c>
      <c r="G128" s="47">
        <v>2</v>
      </c>
      <c r="H128" s="47">
        <v>2</v>
      </c>
      <c r="I128" s="47">
        <v>2</v>
      </c>
      <c r="J128" s="47">
        <v>2</v>
      </c>
      <c r="K128" s="47">
        <v>2</v>
      </c>
      <c r="L128" s="47">
        <v>2</v>
      </c>
      <c r="M128" s="47">
        <v>2</v>
      </c>
      <c r="N128" s="45"/>
      <c r="O128" s="28"/>
      <c r="P128" s="28"/>
    </row>
    <row r="129" spans="1:16">
      <c r="A129" t="s">
        <v>11</v>
      </c>
      <c r="B129" s="47">
        <v>230</v>
      </c>
      <c r="C129" s="47">
        <v>20</v>
      </c>
      <c r="D129" s="47">
        <v>303</v>
      </c>
      <c r="E129" s="47">
        <v>431</v>
      </c>
      <c r="F129" s="47">
        <v>872</v>
      </c>
      <c r="G129" s="47">
        <v>221</v>
      </c>
      <c r="H129" s="47">
        <v>146</v>
      </c>
      <c r="I129" s="47">
        <v>499</v>
      </c>
      <c r="J129" s="47">
        <v>334</v>
      </c>
      <c r="K129" s="47">
        <v>291</v>
      </c>
      <c r="L129" s="47">
        <v>155</v>
      </c>
      <c r="M129" s="47">
        <v>112</v>
      </c>
      <c r="N129" s="45">
        <f>SUM(B129:M129)</f>
        <v>3614</v>
      </c>
      <c r="O129" s="28"/>
      <c r="P129" s="28"/>
    </row>
    <row r="130" spans="1:16">
      <c r="B130" s="134"/>
      <c r="C130" s="134"/>
      <c r="D130" s="134"/>
      <c r="E130" s="134"/>
      <c r="F130" s="134"/>
      <c r="G130" s="134"/>
      <c r="H130" s="134"/>
      <c r="I130" s="134"/>
      <c r="J130" s="134"/>
      <c r="K130" s="134"/>
      <c r="L130" s="134"/>
      <c r="M130" s="134"/>
      <c r="N130" s="134"/>
      <c r="O130" s="28"/>
      <c r="P130" s="28"/>
    </row>
    <row r="131" spans="1:16">
      <c r="B131" s="134"/>
      <c r="C131" s="134"/>
      <c r="D131" s="134"/>
      <c r="E131" s="134"/>
      <c r="F131" s="134"/>
      <c r="G131" s="134"/>
      <c r="H131" s="134"/>
      <c r="I131" s="134"/>
      <c r="J131" s="134"/>
      <c r="K131" s="134"/>
      <c r="L131" s="134"/>
      <c r="M131" s="134"/>
      <c r="N131" s="134"/>
      <c r="O131" s="28"/>
      <c r="P131" s="28"/>
    </row>
    <row r="132" spans="1:16" ht="24">
      <c r="A132" s="112"/>
      <c r="B132" s="113">
        <v>38534</v>
      </c>
      <c r="C132" s="136">
        <v>38565</v>
      </c>
      <c r="D132" s="136">
        <v>38596</v>
      </c>
      <c r="E132" s="136">
        <v>38626</v>
      </c>
      <c r="F132" s="136">
        <v>38657</v>
      </c>
      <c r="G132" s="136">
        <v>38687</v>
      </c>
      <c r="H132" s="136">
        <v>38718</v>
      </c>
      <c r="I132" s="136">
        <v>38749</v>
      </c>
      <c r="J132" s="136">
        <v>38777</v>
      </c>
      <c r="K132" s="136">
        <v>38808</v>
      </c>
      <c r="L132" s="136">
        <v>38838</v>
      </c>
      <c r="M132" s="136">
        <v>38869</v>
      </c>
      <c r="N132" s="114" t="s">
        <v>1</v>
      </c>
      <c r="O132" s="117" t="s">
        <v>90</v>
      </c>
      <c r="P132" s="117" t="s">
        <v>91</v>
      </c>
    </row>
    <row r="133" spans="1:16">
      <c r="A133" s="11" t="s">
        <v>51</v>
      </c>
      <c r="B133" s="22"/>
      <c r="C133" s="24"/>
      <c r="D133" s="24"/>
      <c r="E133" s="24"/>
      <c r="F133" s="24"/>
      <c r="G133" s="24"/>
      <c r="H133" s="24"/>
      <c r="I133" s="24"/>
      <c r="J133" s="24"/>
      <c r="K133" s="24"/>
      <c r="L133" s="24"/>
      <c r="M133" s="24"/>
      <c r="O133" s="28"/>
      <c r="P133" s="28"/>
    </row>
    <row r="134" spans="1:16">
      <c r="A134" s="16" t="s">
        <v>3</v>
      </c>
      <c r="B134" s="96">
        <v>5</v>
      </c>
      <c r="C134" s="96">
        <v>44</v>
      </c>
      <c r="D134" s="96">
        <v>37</v>
      </c>
      <c r="E134" s="96">
        <v>14</v>
      </c>
      <c r="F134" s="96">
        <v>46</v>
      </c>
      <c r="G134" s="97">
        <v>2</v>
      </c>
      <c r="H134" s="96">
        <v>3</v>
      </c>
      <c r="I134" s="96">
        <v>14</v>
      </c>
      <c r="J134" s="96">
        <v>1</v>
      </c>
      <c r="K134" s="96">
        <v>55</v>
      </c>
      <c r="L134" s="96">
        <v>25</v>
      </c>
      <c r="M134" s="100">
        <v>1</v>
      </c>
      <c r="N134" s="45">
        <f>SUM(B134:M134)</f>
        <v>247</v>
      </c>
      <c r="O134" s="28">
        <v>247</v>
      </c>
      <c r="P134" s="28">
        <v>1</v>
      </c>
    </row>
  </sheetData>
  <phoneticPr fontId="2" type="noConversion"/>
  <pageMargins left="0.75" right="0.75" top="1" bottom="1" header="0.5" footer="0.5"/>
  <pageSetup scale="83" fitToHeight="4" orientation="landscape"/>
  <headerFooter>
    <oddFooter>&amp;L&amp;K000000FirstSearch&amp;R&amp;K0000002005-06 usage</oddFooter>
  </headerFooter>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P14"/>
  <sheetViews>
    <sheetView workbookViewId="0">
      <selection activeCell="I10" sqref="I10"/>
    </sheetView>
  </sheetViews>
  <sheetFormatPr baseColWidth="10" defaultColWidth="8.83203125" defaultRowHeight="12" x14ac:dyDescent="0"/>
  <cols>
    <col min="1" max="1" width="17.6640625" bestFit="1" customWidth="1"/>
    <col min="2" max="2" width="6.1640625" bestFit="1" customWidth="1"/>
    <col min="3" max="3" width="7" bestFit="1" customWidth="1"/>
    <col min="4" max="4" width="6.6640625" bestFit="1" customWidth="1"/>
    <col min="5" max="5" width="6.5" bestFit="1" customWidth="1"/>
    <col min="6" max="6" width="6.83203125" bestFit="1" customWidth="1"/>
    <col min="7" max="7" width="6.6640625" bestFit="1" customWidth="1"/>
    <col min="8" max="8" width="6.5" bestFit="1" customWidth="1"/>
    <col min="9" max="10" width="6.6640625" bestFit="1" customWidth="1"/>
    <col min="11" max="11" width="6.5" bestFit="1" customWidth="1"/>
    <col min="12" max="12" width="7" bestFit="1" customWidth="1"/>
    <col min="13" max="13" width="6.6640625" bestFit="1" customWidth="1"/>
    <col min="14" max="14" width="5.1640625" bestFit="1" customWidth="1"/>
    <col min="15" max="15" width="9.33203125" bestFit="1" customWidth="1"/>
    <col min="16" max="16" width="8.33203125" bestFit="1" customWidth="1"/>
  </cols>
  <sheetData>
    <row r="1" spans="1:16" ht="18">
      <c r="A1" s="2" t="s">
        <v>8</v>
      </c>
    </row>
    <row r="2" spans="1:16" ht="17">
      <c r="A2" s="3" t="s">
        <v>46</v>
      </c>
    </row>
    <row r="3" spans="1:16" ht="12.75" customHeight="1">
      <c r="A3" s="3"/>
    </row>
    <row r="5" spans="1:16" ht="28.5" customHeight="1">
      <c r="A5" s="112"/>
      <c r="B5" s="113">
        <v>38534</v>
      </c>
      <c r="C5" s="113">
        <v>38565</v>
      </c>
      <c r="D5" s="113">
        <v>38596</v>
      </c>
      <c r="E5" s="113">
        <v>38626</v>
      </c>
      <c r="F5" s="113">
        <v>38657</v>
      </c>
      <c r="G5" s="113">
        <v>38687</v>
      </c>
      <c r="H5" s="113">
        <v>38718</v>
      </c>
      <c r="I5" s="113">
        <v>38749</v>
      </c>
      <c r="J5" s="113">
        <v>38777</v>
      </c>
      <c r="K5" s="113">
        <v>38808</v>
      </c>
      <c r="L5" s="113">
        <v>38838</v>
      </c>
      <c r="M5" s="113">
        <v>38869</v>
      </c>
      <c r="N5" s="114" t="s">
        <v>1</v>
      </c>
      <c r="O5" s="115" t="s">
        <v>90</v>
      </c>
      <c r="P5" s="115" t="s">
        <v>91</v>
      </c>
    </row>
    <row r="6" spans="1:16">
      <c r="A6" s="1" t="s">
        <v>233</v>
      </c>
      <c r="B6" s="5"/>
      <c r="C6" s="5"/>
      <c r="D6" s="5"/>
      <c r="E6" s="5"/>
      <c r="F6" s="5"/>
      <c r="G6" s="5"/>
      <c r="H6" s="5"/>
      <c r="I6" s="5"/>
      <c r="J6" s="5"/>
      <c r="K6" s="5"/>
      <c r="L6" s="5"/>
      <c r="M6" s="5"/>
      <c r="N6" s="5"/>
    </row>
    <row r="7" spans="1:16">
      <c r="A7" t="s">
        <v>2</v>
      </c>
      <c r="B7" s="59">
        <v>17</v>
      </c>
      <c r="C7" s="59">
        <v>10</v>
      </c>
      <c r="D7" s="59">
        <v>27</v>
      </c>
      <c r="E7" s="59">
        <v>93</v>
      </c>
      <c r="F7" s="59">
        <v>91</v>
      </c>
      <c r="G7" s="59">
        <v>32</v>
      </c>
      <c r="H7" s="59">
        <v>14</v>
      </c>
      <c r="I7" s="59">
        <v>29</v>
      </c>
      <c r="J7" s="59">
        <v>44</v>
      </c>
      <c r="K7" s="59">
        <v>37</v>
      </c>
      <c r="L7" s="59">
        <v>24</v>
      </c>
      <c r="M7" s="60">
        <v>16</v>
      </c>
      <c r="N7" s="45">
        <f>SUM(B7:M7)</f>
        <v>434</v>
      </c>
      <c r="O7" s="27"/>
      <c r="P7" s="27"/>
    </row>
    <row r="8" spans="1:16">
      <c r="A8" t="s">
        <v>3</v>
      </c>
      <c r="B8" s="49">
        <v>32</v>
      </c>
      <c r="C8" s="49">
        <v>21</v>
      </c>
      <c r="D8" s="49">
        <v>30</v>
      </c>
      <c r="E8" s="49">
        <v>136</v>
      </c>
      <c r="F8" s="49">
        <v>177</v>
      </c>
      <c r="G8" s="49">
        <v>50</v>
      </c>
      <c r="H8" s="49">
        <v>38</v>
      </c>
      <c r="I8" s="49">
        <v>39</v>
      </c>
      <c r="J8" s="49">
        <v>95</v>
      </c>
      <c r="K8" s="49">
        <v>52</v>
      </c>
      <c r="L8" s="49">
        <v>54</v>
      </c>
      <c r="M8" s="49">
        <v>24</v>
      </c>
      <c r="N8" s="45">
        <f>SUM(B8:M8)</f>
        <v>748</v>
      </c>
      <c r="O8" s="27">
        <v>1483</v>
      </c>
      <c r="P8" s="27">
        <f>O8/N8</f>
        <v>1.982620320855615</v>
      </c>
    </row>
    <row r="13" spans="1:16">
      <c r="C13" s="14"/>
      <c r="D13" s="15"/>
    </row>
    <row r="14" spans="1:16">
      <c r="C14" s="14"/>
      <c r="D14" s="15"/>
    </row>
  </sheetData>
  <phoneticPr fontId="2" type="noConversion"/>
  <pageMargins left="0.75" right="0.75" top="1" bottom="1" header="0.5" footer="0.5"/>
  <pageSetup scale="88" orientation="landscape"/>
  <headerFooter>
    <oddFooter>&amp;L&amp;K000000Grove Music&amp;R&amp;K0000002005-06 usage</oddFooter>
  </headerFooter>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P21"/>
  <sheetViews>
    <sheetView workbookViewId="0">
      <selection activeCell="P10" sqref="A1:P10"/>
    </sheetView>
  </sheetViews>
  <sheetFormatPr baseColWidth="10" defaultColWidth="8.83203125" defaultRowHeight="12" x14ac:dyDescent="0"/>
  <cols>
    <col min="1" max="1" width="27.33203125" bestFit="1" customWidth="1"/>
    <col min="2" max="2" width="7.1640625" bestFit="1" customWidth="1"/>
    <col min="3" max="3" width="7" bestFit="1" customWidth="1"/>
    <col min="4" max="7" width="7.1640625" bestFit="1" customWidth="1"/>
    <col min="8" max="8" width="6.5" bestFit="1" customWidth="1"/>
    <col min="9" max="10" width="6.6640625" bestFit="1" customWidth="1"/>
    <col min="11" max="11" width="6.5" bestFit="1" customWidth="1"/>
    <col min="12" max="12" width="7" bestFit="1" customWidth="1"/>
    <col min="13" max="13" width="6.6640625" bestFit="1" customWidth="1"/>
    <col min="14" max="14" width="7.1640625" bestFit="1" customWidth="1"/>
    <col min="15" max="15" width="11.1640625" customWidth="1"/>
    <col min="16" max="16" width="7.33203125" bestFit="1" customWidth="1"/>
  </cols>
  <sheetData>
    <row r="1" spans="1:16" ht="18">
      <c r="A1" s="2" t="s">
        <v>97</v>
      </c>
    </row>
    <row r="2" spans="1:16" ht="17">
      <c r="A2" s="3" t="s">
        <v>46</v>
      </c>
    </row>
    <row r="5" spans="1:16" ht="29.25" customHeight="1">
      <c r="A5" s="112"/>
      <c r="B5" s="113">
        <v>38534</v>
      </c>
      <c r="C5" s="113">
        <v>38565</v>
      </c>
      <c r="D5" s="113">
        <v>38596</v>
      </c>
      <c r="E5" s="113">
        <v>38626</v>
      </c>
      <c r="F5" s="113">
        <v>38657</v>
      </c>
      <c r="G5" s="113">
        <v>38687</v>
      </c>
      <c r="H5" s="113">
        <v>38718</v>
      </c>
      <c r="I5" s="113">
        <v>38749</v>
      </c>
      <c r="J5" s="113">
        <v>38777</v>
      </c>
      <c r="K5" s="113">
        <v>38808</v>
      </c>
      <c r="L5" s="113">
        <v>38838</v>
      </c>
      <c r="M5" s="113">
        <v>38869</v>
      </c>
      <c r="N5" s="114" t="s">
        <v>1</v>
      </c>
      <c r="O5" s="115" t="s">
        <v>103</v>
      </c>
      <c r="P5" s="115" t="s">
        <v>228</v>
      </c>
    </row>
    <row r="6" spans="1:16">
      <c r="A6" s="1" t="s">
        <v>200</v>
      </c>
      <c r="B6" s="5"/>
      <c r="C6" s="5"/>
      <c r="D6" s="5"/>
      <c r="E6" s="5"/>
      <c r="F6" s="5"/>
      <c r="G6" s="5"/>
      <c r="H6" s="5"/>
      <c r="I6" s="5"/>
      <c r="J6" s="5"/>
      <c r="K6" s="5"/>
      <c r="L6" s="5"/>
      <c r="M6" s="5"/>
      <c r="N6" s="5"/>
    </row>
    <row r="7" spans="1:16">
      <c r="A7" t="s">
        <v>2</v>
      </c>
      <c r="B7" s="36">
        <v>172</v>
      </c>
      <c r="C7" s="36">
        <v>20</v>
      </c>
      <c r="D7" s="36">
        <v>234</v>
      </c>
      <c r="E7" s="36">
        <v>432</v>
      </c>
      <c r="F7" s="36">
        <v>400</v>
      </c>
      <c r="G7" s="36">
        <v>368</v>
      </c>
      <c r="H7" s="81">
        <v>77</v>
      </c>
      <c r="I7" s="40">
        <v>360</v>
      </c>
      <c r="J7" s="40">
        <v>400</v>
      </c>
      <c r="K7" s="40">
        <v>413</v>
      </c>
      <c r="L7" s="40">
        <v>156</v>
      </c>
      <c r="M7" s="41">
        <v>128</v>
      </c>
      <c r="N7" s="45">
        <f>SUM(B7:M7)</f>
        <v>3160</v>
      </c>
      <c r="O7" s="27"/>
      <c r="P7" s="27"/>
    </row>
    <row r="8" spans="1:16">
      <c r="A8" t="s">
        <v>3</v>
      </c>
      <c r="B8" s="36">
        <v>1174</v>
      </c>
      <c r="C8" s="36">
        <v>107</v>
      </c>
      <c r="D8" s="36">
        <v>1060</v>
      </c>
      <c r="E8" s="36">
        <v>2542</v>
      </c>
      <c r="F8" s="36">
        <v>2518</v>
      </c>
      <c r="G8" s="36">
        <v>1737</v>
      </c>
      <c r="H8" s="82">
        <v>537</v>
      </c>
      <c r="I8" s="59">
        <v>2186</v>
      </c>
      <c r="J8" s="59">
        <v>2154</v>
      </c>
      <c r="K8" s="59">
        <v>2289</v>
      </c>
      <c r="L8" s="59">
        <v>840</v>
      </c>
      <c r="M8" s="60">
        <v>731</v>
      </c>
      <c r="N8" s="61">
        <f>SUM(B8:M8)</f>
        <v>17875</v>
      </c>
      <c r="O8" s="27">
        <v>4678</v>
      </c>
      <c r="P8" s="27">
        <f>O8/N8</f>
        <v>0.26170629370629372</v>
      </c>
    </row>
    <row r="9" spans="1:16">
      <c r="A9" t="s">
        <v>11</v>
      </c>
      <c r="B9" s="49">
        <v>0</v>
      </c>
      <c r="C9" s="49">
        <v>0</v>
      </c>
      <c r="D9" s="49">
        <v>0</v>
      </c>
      <c r="E9" s="49">
        <v>0</v>
      </c>
      <c r="F9" s="49">
        <v>0</v>
      </c>
      <c r="G9" s="49">
        <v>0</v>
      </c>
      <c r="H9" s="49">
        <v>0</v>
      </c>
      <c r="I9" s="49">
        <v>0</v>
      </c>
      <c r="J9" s="49">
        <v>0</v>
      </c>
      <c r="K9" s="49">
        <v>0</v>
      </c>
      <c r="L9" s="49">
        <v>0</v>
      </c>
      <c r="M9" s="49">
        <v>0</v>
      </c>
      <c r="N9" s="61">
        <f>SUM(B9:M9)</f>
        <v>0</v>
      </c>
      <c r="O9" s="27"/>
      <c r="P9" s="27"/>
    </row>
    <row r="10" spans="1:16" ht="24">
      <c r="A10" s="15" t="s">
        <v>98</v>
      </c>
      <c r="B10" s="34">
        <v>124</v>
      </c>
      <c r="C10" s="34">
        <v>11</v>
      </c>
      <c r="D10" s="34">
        <v>222</v>
      </c>
      <c r="E10" s="34">
        <v>473</v>
      </c>
      <c r="F10" s="34">
        <v>591</v>
      </c>
      <c r="G10" s="34">
        <v>495</v>
      </c>
      <c r="H10" s="34">
        <v>103</v>
      </c>
      <c r="I10" s="34">
        <v>677</v>
      </c>
      <c r="J10" s="34">
        <v>764</v>
      </c>
      <c r="K10" s="34">
        <v>671</v>
      </c>
      <c r="L10" s="34">
        <v>208</v>
      </c>
      <c r="M10" s="34">
        <v>213</v>
      </c>
      <c r="N10" s="35">
        <f>SUM(B10:M10)</f>
        <v>4552</v>
      </c>
      <c r="O10" s="27">
        <v>4678</v>
      </c>
      <c r="P10" s="27">
        <f>O10/N10</f>
        <v>1.0276801405975395</v>
      </c>
    </row>
    <row r="17" spans="9:9">
      <c r="I17" s="30"/>
    </row>
    <row r="18" spans="9:9">
      <c r="I18" s="31"/>
    </row>
    <row r="19" spans="9:9">
      <c r="I19" s="32"/>
    </row>
    <row r="20" spans="9:9">
      <c r="I20" s="32"/>
    </row>
    <row r="21" spans="9:9">
      <c r="I21" s="32"/>
    </row>
  </sheetData>
  <phoneticPr fontId="2" type="noConversion"/>
  <pageMargins left="0.75" right="0.75" top="1" bottom="1" header="0.5" footer="0.5"/>
  <pageSetup scale="83" orientation="landscape"/>
  <headerFooter>
    <oddFooter>&amp;L&amp;K000000InfoTrac&amp;R&amp;K0000002005-06 usage</oddFooter>
  </headerFooter>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P14"/>
  <sheetViews>
    <sheetView workbookViewId="0"/>
  </sheetViews>
  <sheetFormatPr baseColWidth="10" defaultColWidth="8.83203125" defaultRowHeight="12" x14ac:dyDescent="0"/>
  <cols>
    <col min="1" max="1" width="17.33203125" bestFit="1" customWidth="1"/>
    <col min="2" max="2" width="6.1640625" bestFit="1" customWidth="1"/>
    <col min="3" max="3" width="7" bestFit="1" customWidth="1"/>
    <col min="4" max="4" width="6.6640625" bestFit="1" customWidth="1"/>
    <col min="5" max="5" width="6.5" bestFit="1" customWidth="1"/>
    <col min="6" max="6" width="6.83203125" bestFit="1" customWidth="1"/>
    <col min="7" max="7" width="6.6640625" bestFit="1" customWidth="1"/>
    <col min="8" max="8" width="6.5" bestFit="1" customWidth="1"/>
    <col min="9" max="10" width="6.6640625" bestFit="1" customWidth="1"/>
    <col min="11" max="11" width="6.5" bestFit="1" customWidth="1"/>
    <col min="12" max="12" width="7" bestFit="1" customWidth="1"/>
    <col min="13" max="13" width="6.6640625" bestFit="1" customWidth="1"/>
    <col min="14" max="14" width="5.5" bestFit="1" customWidth="1"/>
    <col min="15" max="15" width="9.6640625" bestFit="1" customWidth="1"/>
    <col min="16" max="16" width="7.33203125" bestFit="1" customWidth="1"/>
  </cols>
  <sheetData>
    <row r="1" spans="1:16" ht="18">
      <c r="A1" s="2" t="s">
        <v>27</v>
      </c>
    </row>
    <row r="2" spans="1:16" ht="17">
      <c r="A2" s="3" t="s">
        <v>46</v>
      </c>
    </row>
    <row r="3" spans="1:16" ht="13.5" customHeight="1">
      <c r="A3" s="3"/>
    </row>
    <row r="5" spans="1:16" ht="24">
      <c r="A5" s="112"/>
      <c r="B5" s="113">
        <v>38534</v>
      </c>
      <c r="C5" s="113">
        <v>38565</v>
      </c>
      <c r="D5" s="113">
        <v>38596</v>
      </c>
      <c r="E5" s="113">
        <v>38626</v>
      </c>
      <c r="F5" s="113">
        <v>38657</v>
      </c>
      <c r="G5" s="113">
        <v>38687</v>
      </c>
      <c r="H5" s="113">
        <v>38718</v>
      </c>
      <c r="I5" s="113">
        <v>38749</v>
      </c>
      <c r="J5" s="113">
        <v>38777</v>
      </c>
      <c r="K5" s="113">
        <v>38808</v>
      </c>
      <c r="L5" s="113">
        <v>38838</v>
      </c>
      <c r="M5" s="113">
        <v>38869</v>
      </c>
      <c r="N5" s="114" t="s">
        <v>1</v>
      </c>
      <c r="O5" s="115" t="s">
        <v>90</v>
      </c>
      <c r="P5" s="115" t="s">
        <v>228</v>
      </c>
    </row>
    <row r="6" spans="1:16">
      <c r="A6" s="1"/>
      <c r="B6" s="5"/>
      <c r="C6" s="5"/>
      <c r="D6" s="5"/>
      <c r="E6" s="5"/>
      <c r="F6" s="5"/>
      <c r="G6" s="5"/>
      <c r="H6" s="5"/>
      <c r="I6" s="5"/>
      <c r="J6" s="5"/>
      <c r="K6" s="5"/>
      <c r="L6" s="5"/>
      <c r="M6" s="5"/>
      <c r="N6" s="5"/>
      <c r="P6" s="23"/>
    </row>
    <row r="7" spans="1:16">
      <c r="A7" s="11" t="s">
        <v>29</v>
      </c>
      <c r="B7" s="12"/>
      <c r="C7" s="12"/>
      <c r="D7" s="12"/>
      <c r="E7" s="12"/>
      <c r="F7" s="12"/>
      <c r="G7" s="12"/>
      <c r="H7" s="12"/>
      <c r="I7" s="12"/>
      <c r="J7" s="12"/>
      <c r="K7" s="12"/>
      <c r="L7" s="12"/>
      <c r="M7" s="12"/>
      <c r="N7" s="12"/>
      <c r="P7" s="23"/>
    </row>
    <row r="8" spans="1:16">
      <c r="A8" t="s">
        <v>3</v>
      </c>
      <c r="B8" s="20">
        <v>2825</v>
      </c>
      <c r="C8" s="20">
        <v>1510</v>
      </c>
      <c r="D8" s="20">
        <v>5667</v>
      </c>
      <c r="E8" s="20">
        <v>7388</v>
      </c>
      <c r="F8" s="20">
        <v>8701</v>
      </c>
      <c r="G8" s="20">
        <v>6443</v>
      </c>
      <c r="H8" s="40">
        <v>3446</v>
      </c>
      <c r="I8" s="40">
        <v>8364</v>
      </c>
      <c r="J8" s="40">
        <v>8891</v>
      </c>
      <c r="K8" s="40">
        <v>10028</v>
      </c>
      <c r="L8" s="40">
        <v>3447</v>
      </c>
      <c r="M8" s="41">
        <v>2224</v>
      </c>
      <c r="N8" s="45">
        <f>SUM(B8:M8)</f>
        <v>68934</v>
      </c>
      <c r="O8" s="27">
        <v>22584</v>
      </c>
      <c r="P8" s="27">
        <f>O8/N8</f>
        <v>0.32761772129863348</v>
      </c>
    </row>
    <row r="9" spans="1:16">
      <c r="A9" t="s">
        <v>28</v>
      </c>
      <c r="B9" s="20">
        <v>3707</v>
      </c>
      <c r="C9" s="20">
        <v>2089</v>
      </c>
      <c r="D9" s="20">
        <v>5746</v>
      </c>
      <c r="E9" s="20">
        <v>8856</v>
      </c>
      <c r="F9" s="20">
        <v>10376</v>
      </c>
      <c r="G9" s="20">
        <v>7911</v>
      </c>
      <c r="H9" s="40">
        <v>4164</v>
      </c>
      <c r="I9" s="40">
        <v>10172</v>
      </c>
      <c r="J9" s="40">
        <v>11345</v>
      </c>
      <c r="K9" s="40">
        <v>13472</v>
      </c>
      <c r="L9" s="40">
        <v>4796</v>
      </c>
      <c r="M9" s="40">
        <v>3572</v>
      </c>
      <c r="N9" s="94">
        <f>SUM(B9:M9)</f>
        <v>86206</v>
      </c>
      <c r="O9" s="27">
        <v>22584</v>
      </c>
      <c r="P9" s="27">
        <f>O9/N9</f>
        <v>0.26197712456209543</v>
      </c>
    </row>
    <row r="10" spans="1:16">
      <c r="B10" s="23"/>
      <c r="C10" s="19"/>
      <c r="D10" s="19"/>
      <c r="E10" s="19"/>
      <c r="F10" s="19"/>
      <c r="G10" s="19"/>
      <c r="H10" s="19"/>
      <c r="I10" s="19"/>
      <c r="J10" s="19"/>
      <c r="K10" s="19"/>
      <c r="L10" s="19"/>
      <c r="M10" s="19"/>
      <c r="O10" s="27"/>
      <c r="P10" s="27"/>
    </row>
    <row r="11" spans="1:16">
      <c r="A11" s="1" t="s">
        <v>30</v>
      </c>
      <c r="B11" s="23"/>
      <c r="O11" s="27"/>
      <c r="P11" s="27"/>
    </row>
    <row r="12" spans="1:16">
      <c r="A12" t="s">
        <v>3</v>
      </c>
      <c r="B12" s="40">
        <v>40</v>
      </c>
      <c r="C12" s="40">
        <v>18</v>
      </c>
      <c r="D12" s="40">
        <v>198</v>
      </c>
      <c r="E12" s="20">
        <v>435</v>
      </c>
      <c r="F12" s="20">
        <v>258</v>
      </c>
      <c r="G12" s="20">
        <v>116</v>
      </c>
      <c r="H12" s="40">
        <v>21</v>
      </c>
      <c r="I12" s="40">
        <v>69</v>
      </c>
      <c r="J12" s="40">
        <v>204</v>
      </c>
      <c r="K12" s="40">
        <v>217</v>
      </c>
      <c r="L12" s="40">
        <v>86</v>
      </c>
      <c r="M12" s="41">
        <v>21</v>
      </c>
      <c r="N12" s="45">
        <f>SUM(B12:M12)</f>
        <v>1683</v>
      </c>
      <c r="O12" s="27">
        <f>6889.86+1013+75+250</f>
        <v>8227.86</v>
      </c>
      <c r="P12" s="27">
        <f>O12/N12</f>
        <v>4.8888057040998225</v>
      </c>
    </row>
    <row r="13" spans="1:16">
      <c r="A13" t="s">
        <v>28</v>
      </c>
      <c r="B13" s="40">
        <v>15</v>
      </c>
      <c r="C13" s="40">
        <v>413</v>
      </c>
      <c r="D13" s="40">
        <v>196</v>
      </c>
      <c r="E13" s="20">
        <v>603</v>
      </c>
      <c r="F13" s="20">
        <v>342</v>
      </c>
      <c r="G13" s="20">
        <v>77</v>
      </c>
      <c r="H13" s="40">
        <v>34</v>
      </c>
      <c r="I13" s="40">
        <v>51</v>
      </c>
      <c r="J13" s="40">
        <v>173</v>
      </c>
      <c r="K13" s="40">
        <v>131</v>
      </c>
      <c r="L13" s="40">
        <v>48</v>
      </c>
      <c r="M13" s="40">
        <v>12</v>
      </c>
      <c r="N13" s="94">
        <f>SUM(B13:M13)</f>
        <v>2095</v>
      </c>
      <c r="O13" s="27">
        <f>6889.86+1013+75+250</f>
        <v>8227.86</v>
      </c>
      <c r="P13" s="27">
        <f>O13/N13</f>
        <v>3.9273794749403343</v>
      </c>
    </row>
    <row r="14" spans="1:16">
      <c r="B14" s="23"/>
    </row>
  </sheetData>
  <phoneticPr fontId="2" type="noConversion"/>
  <pageMargins left="0.75" right="0.75" top="1" bottom="1" header="0.5" footer="0.5"/>
  <pageSetup scale="95" orientation="landscape"/>
  <headerFooter>
    <oddFooter>&amp;L&amp;K000000LexisNexis&amp;R&amp;K0000002005-06 usage</oddFooter>
  </headerFooter>
  <extLs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P37"/>
  <sheetViews>
    <sheetView workbookViewId="0"/>
  </sheetViews>
  <sheetFormatPr baseColWidth="10" defaultColWidth="8.83203125" defaultRowHeight="12" x14ac:dyDescent="0"/>
  <cols>
    <col min="1" max="1" width="16.1640625" bestFit="1" customWidth="1"/>
    <col min="2" max="2" width="6.1640625" bestFit="1" customWidth="1"/>
    <col min="3" max="3" width="7" bestFit="1" customWidth="1"/>
    <col min="4" max="4" width="6.6640625" bestFit="1" customWidth="1"/>
    <col min="5" max="5" width="6.5" bestFit="1" customWidth="1"/>
    <col min="6" max="6" width="6.83203125" bestFit="1" customWidth="1"/>
    <col min="7" max="7" width="6.6640625" bestFit="1" customWidth="1"/>
    <col min="8" max="8" width="6.5" bestFit="1" customWidth="1"/>
    <col min="9" max="10" width="6.6640625" bestFit="1" customWidth="1"/>
    <col min="11" max="11" width="6.5" bestFit="1" customWidth="1"/>
    <col min="12" max="12" width="7" bestFit="1" customWidth="1"/>
    <col min="13" max="13" width="6.6640625" bestFit="1" customWidth="1"/>
    <col min="14" max="14" width="5.5" bestFit="1" customWidth="1"/>
    <col min="15" max="15" width="9.33203125" bestFit="1" customWidth="1"/>
    <col min="16" max="16" width="8.33203125" bestFit="1" customWidth="1"/>
  </cols>
  <sheetData>
    <row r="1" spans="1:16" ht="18">
      <c r="A1" s="2" t="s">
        <v>6</v>
      </c>
    </row>
    <row r="2" spans="1:16" ht="17">
      <c r="A2" s="3" t="s">
        <v>46</v>
      </c>
    </row>
    <row r="3" spans="1:16" ht="17">
      <c r="A3" s="3"/>
    </row>
    <row r="5" spans="1:16" ht="31.5" customHeight="1">
      <c r="A5" s="112"/>
      <c r="B5" s="113">
        <v>38534</v>
      </c>
      <c r="C5" s="113">
        <v>38565</v>
      </c>
      <c r="D5" s="113">
        <v>38596</v>
      </c>
      <c r="E5" s="113">
        <v>38626</v>
      </c>
      <c r="F5" s="113">
        <v>38657</v>
      </c>
      <c r="G5" s="113">
        <v>38687</v>
      </c>
      <c r="H5" s="113">
        <v>38718</v>
      </c>
      <c r="I5" s="113">
        <v>38749</v>
      </c>
      <c r="J5" s="113">
        <v>38777</v>
      </c>
      <c r="K5" s="113">
        <v>38808</v>
      </c>
      <c r="L5" s="113">
        <v>38838</v>
      </c>
      <c r="M5" s="113">
        <v>38869</v>
      </c>
      <c r="N5" s="114" t="s">
        <v>1</v>
      </c>
      <c r="O5" s="115" t="s">
        <v>93</v>
      </c>
      <c r="P5" s="115" t="s">
        <v>91</v>
      </c>
    </row>
    <row r="6" spans="1:16">
      <c r="A6" s="1" t="s">
        <v>6</v>
      </c>
      <c r="B6" s="5"/>
      <c r="C6" s="5"/>
      <c r="D6" s="5"/>
      <c r="E6" s="5"/>
      <c r="F6" s="5"/>
      <c r="G6" s="5"/>
      <c r="H6" s="5"/>
      <c r="I6" s="5"/>
      <c r="J6" s="5"/>
      <c r="K6" s="5"/>
      <c r="L6" s="5"/>
      <c r="M6" s="5"/>
      <c r="N6" s="5"/>
    </row>
    <row r="7" spans="1:16">
      <c r="A7" t="s">
        <v>2</v>
      </c>
      <c r="B7" s="59">
        <v>136</v>
      </c>
      <c r="C7" s="59">
        <v>35</v>
      </c>
      <c r="D7" s="59">
        <v>213</v>
      </c>
      <c r="E7" s="59">
        <v>220</v>
      </c>
      <c r="F7" s="59">
        <v>189</v>
      </c>
      <c r="G7" s="59">
        <v>182</v>
      </c>
      <c r="H7" s="59">
        <v>229</v>
      </c>
      <c r="I7" s="59">
        <v>316</v>
      </c>
      <c r="J7" s="59">
        <v>582</v>
      </c>
      <c r="K7" s="59">
        <v>328</v>
      </c>
      <c r="L7" s="59">
        <v>702</v>
      </c>
      <c r="M7" s="60">
        <v>129</v>
      </c>
      <c r="N7" s="45">
        <f>SUM(B7:M7)</f>
        <v>3261</v>
      </c>
      <c r="O7" s="27"/>
      <c r="P7" s="27"/>
    </row>
    <row r="8" spans="1:16">
      <c r="A8" t="s">
        <v>3</v>
      </c>
      <c r="B8" s="49">
        <v>299</v>
      </c>
      <c r="C8" s="49">
        <v>193</v>
      </c>
      <c r="D8" s="49">
        <v>501</v>
      </c>
      <c r="E8" s="49">
        <v>445</v>
      </c>
      <c r="F8" s="49">
        <v>369</v>
      </c>
      <c r="G8" s="49">
        <v>388</v>
      </c>
      <c r="H8" s="49">
        <v>491</v>
      </c>
      <c r="I8" s="49">
        <v>634</v>
      </c>
      <c r="J8" s="49">
        <v>844</v>
      </c>
      <c r="K8" s="49">
        <v>648</v>
      </c>
      <c r="L8" s="49">
        <v>947</v>
      </c>
      <c r="M8" s="49">
        <v>304</v>
      </c>
      <c r="N8" s="45">
        <f>SUM(B8:M8)</f>
        <v>6063</v>
      </c>
      <c r="O8" s="27">
        <v>6856</v>
      </c>
      <c r="P8" s="27">
        <f>O8/N8</f>
        <v>1.1307933366320304</v>
      </c>
    </row>
    <row r="37" spans="9:9">
      <c r="I37" s="27"/>
    </row>
  </sheetData>
  <phoneticPr fontId="2" type="noConversion"/>
  <pageMargins left="0.75" right="0.75" top="1" bottom="1" header="0.5" footer="0.5"/>
  <pageSetup scale="95" orientation="landscape"/>
  <headerFooter>
    <oddFooter>&amp;L&amp;K000000MathSciNet&amp;R&amp;K0000002005-06 usage</oddFooter>
  </headerFooter>
  <extLst>
    <ext xmlns:mx="http://schemas.microsoft.com/office/mac/excel/2008/main" uri="{64002731-A6B0-56B0-2670-7721B7C09600}">
      <mx:PLV Mode="0" OnePage="0" WScale="0"/>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P9"/>
  <sheetViews>
    <sheetView workbookViewId="0"/>
  </sheetViews>
  <sheetFormatPr baseColWidth="10" defaultColWidth="8.83203125" defaultRowHeight="12" x14ac:dyDescent="0"/>
  <cols>
    <col min="1" max="1" width="15.6640625" bestFit="1" customWidth="1"/>
    <col min="2" max="2" width="6.1640625" bestFit="1" customWidth="1"/>
    <col min="3" max="3" width="7" bestFit="1" customWidth="1"/>
    <col min="4" max="4" width="6.6640625" bestFit="1" customWidth="1"/>
    <col min="5" max="5" width="6.5" bestFit="1" customWidth="1"/>
    <col min="6" max="6" width="6.83203125" bestFit="1" customWidth="1"/>
    <col min="7" max="7" width="6.6640625" bestFit="1" customWidth="1"/>
    <col min="8" max="8" width="6.5" bestFit="1" customWidth="1"/>
    <col min="9" max="10" width="6.6640625" bestFit="1" customWidth="1"/>
    <col min="11" max="11" width="6.5" bestFit="1" customWidth="1"/>
    <col min="12" max="12" width="7" bestFit="1" customWidth="1"/>
    <col min="13" max="13" width="6.6640625" bestFit="1" customWidth="1"/>
    <col min="14" max="14" width="5.5" bestFit="1" customWidth="1"/>
    <col min="15" max="15" width="9.6640625" bestFit="1" customWidth="1"/>
    <col min="16" max="16" width="7.33203125" bestFit="1" customWidth="1"/>
  </cols>
  <sheetData>
    <row r="1" spans="1:16" ht="18">
      <c r="A1" s="2" t="s">
        <v>99</v>
      </c>
    </row>
    <row r="2" spans="1:16" ht="17">
      <c r="A2" s="3" t="s">
        <v>46</v>
      </c>
    </row>
    <row r="5" spans="1:16" ht="24">
      <c r="A5" s="112"/>
      <c r="B5" s="113">
        <v>38534</v>
      </c>
      <c r="C5" s="113">
        <v>38565</v>
      </c>
      <c r="D5" s="113">
        <v>38596</v>
      </c>
      <c r="E5" s="113">
        <v>38626</v>
      </c>
      <c r="F5" s="113">
        <v>38657</v>
      </c>
      <c r="G5" s="113">
        <v>38687</v>
      </c>
      <c r="H5" s="113">
        <v>38718</v>
      </c>
      <c r="I5" s="113">
        <v>38749</v>
      </c>
      <c r="J5" s="113">
        <v>38777</v>
      </c>
      <c r="K5" s="113">
        <v>38808</v>
      </c>
      <c r="L5" s="113">
        <v>38838</v>
      </c>
      <c r="M5" s="113">
        <v>38869</v>
      </c>
      <c r="N5" s="114" t="s">
        <v>1</v>
      </c>
      <c r="O5" s="115" t="s">
        <v>90</v>
      </c>
      <c r="P5" s="115" t="s">
        <v>228</v>
      </c>
    </row>
    <row r="6" spans="1:16">
      <c r="A6" s="1" t="s">
        <v>205</v>
      </c>
      <c r="B6" s="5"/>
      <c r="C6" s="5"/>
      <c r="D6" s="5"/>
      <c r="E6" s="5"/>
      <c r="F6" s="5"/>
      <c r="G6" s="5"/>
      <c r="H6" s="5"/>
      <c r="I6" s="5"/>
      <c r="J6" s="5"/>
      <c r="K6" s="5"/>
      <c r="L6" s="5"/>
      <c r="M6" s="5"/>
      <c r="N6" s="5"/>
    </row>
    <row r="7" spans="1:16">
      <c r="A7" t="s">
        <v>155</v>
      </c>
      <c r="B7" s="49">
        <v>24</v>
      </c>
      <c r="C7" s="49">
        <v>70</v>
      </c>
      <c r="D7" s="49">
        <v>42</v>
      </c>
      <c r="E7" s="49">
        <v>92</v>
      </c>
      <c r="F7" s="49">
        <v>50</v>
      </c>
      <c r="G7" s="49">
        <v>31</v>
      </c>
      <c r="H7" s="49">
        <v>13</v>
      </c>
      <c r="I7" s="49">
        <v>14</v>
      </c>
      <c r="J7" s="49">
        <v>8</v>
      </c>
      <c r="K7" s="49">
        <v>8</v>
      </c>
      <c r="L7" s="49">
        <v>22</v>
      </c>
      <c r="M7" s="49">
        <v>4</v>
      </c>
      <c r="N7" s="45">
        <f>SUM(B7:M7)</f>
        <v>378</v>
      </c>
    </row>
    <row r="8" spans="1:16">
      <c r="A8" t="s">
        <v>3</v>
      </c>
      <c r="B8" s="49">
        <v>59</v>
      </c>
      <c r="C8" s="49">
        <v>3766</v>
      </c>
      <c r="D8" s="49">
        <v>209</v>
      </c>
      <c r="E8" s="49">
        <v>108</v>
      </c>
      <c r="F8" s="49">
        <v>133</v>
      </c>
      <c r="G8" s="49">
        <v>35</v>
      </c>
      <c r="H8" s="49">
        <v>11</v>
      </c>
      <c r="I8" s="49">
        <v>94</v>
      </c>
      <c r="J8" s="49">
        <v>17</v>
      </c>
      <c r="K8" s="49">
        <v>24</v>
      </c>
      <c r="L8" s="49">
        <v>59</v>
      </c>
      <c r="M8" s="49">
        <v>4</v>
      </c>
      <c r="N8" s="45">
        <f>SUM(B8:M8)</f>
        <v>4519</v>
      </c>
      <c r="O8" s="27">
        <v>10400</v>
      </c>
      <c r="P8" s="27">
        <f>O8/N8</f>
        <v>2.3013941137419782</v>
      </c>
    </row>
    <row r="9" spans="1:16">
      <c r="A9" t="s">
        <v>100</v>
      </c>
      <c r="B9" s="36">
        <v>28</v>
      </c>
      <c r="C9" s="36">
        <v>4519</v>
      </c>
      <c r="D9" s="36">
        <v>225</v>
      </c>
      <c r="E9" s="36">
        <v>64</v>
      </c>
      <c r="F9" s="36">
        <v>82</v>
      </c>
      <c r="G9" s="36">
        <v>30</v>
      </c>
      <c r="H9" s="36">
        <v>15</v>
      </c>
      <c r="I9" s="36">
        <v>72</v>
      </c>
      <c r="J9" s="36">
        <v>4</v>
      </c>
      <c r="K9" s="36">
        <v>4</v>
      </c>
      <c r="L9" s="36">
        <v>26</v>
      </c>
      <c r="M9" s="36">
        <v>4</v>
      </c>
      <c r="N9" s="45">
        <f>SUM(B9:M9)</f>
        <v>5073</v>
      </c>
      <c r="O9" s="27">
        <v>10400</v>
      </c>
      <c r="P9" s="27">
        <f>O9/N9</f>
        <v>2.0500689927064855</v>
      </c>
    </row>
  </sheetData>
  <phoneticPr fontId="2" type="noConversion"/>
  <pageMargins left="0.75" right="0.75" top="1" bottom="1" header="0.5" footer="0.5"/>
  <pageSetup scale="96" orientation="landscape"/>
  <headerFooter>
    <oddFooter>&amp;L&amp;K000000Mergent&amp;R&amp;K0000002005-06 usage</oddFooter>
  </headerFooter>
  <extLst>
    <ext xmlns:mx="http://schemas.microsoft.com/office/mac/excel/2008/main" uri="{64002731-A6B0-56B0-2670-7721B7C09600}">
      <mx:PLV Mode="0" OnePage="0" WScale="0"/>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P31"/>
  <sheetViews>
    <sheetView workbookViewId="0"/>
  </sheetViews>
  <sheetFormatPr baseColWidth="10" defaultColWidth="8.83203125" defaultRowHeight="12" x14ac:dyDescent="0"/>
  <cols>
    <col min="1" max="1" width="12.33203125" bestFit="1" customWidth="1"/>
    <col min="2" max="2" width="6.1640625" bestFit="1" customWidth="1"/>
    <col min="3" max="3" width="7" bestFit="1" customWidth="1"/>
    <col min="4" max="4" width="6.6640625" bestFit="1" customWidth="1"/>
    <col min="5" max="5" width="6.5" bestFit="1" customWidth="1"/>
    <col min="6" max="6" width="6.83203125" bestFit="1" customWidth="1"/>
    <col min="7" max="7" width="6.6640625" bestFit="1" customWidth="1"/>
    <col min="8" max="8" width="6.5" bestFit="1" customWidth="1"/>
    <col min="9" max="10" width="6.6640625" bestFit="1" customWidth="1"/>
    <col min="11" max="11" width="6.5" bestFit="1" customWidth="1"/>
    <col min="12" max="12" width="7" bestFit="1" customWidth="1"/>
    <col min="13" max="13" width="6.6640625" bestFit="1" customWidth="1"/>
    <col min="14" max="14" width="5.1640625" bestFit="1" customWidth="1"/>
    <col min="15" max="15" width="9.33203125" bestFit="1" customWidth="1"/>
    <col min="16" max="16" width="8.33203125" bestFit="1" customWidth="1"/>
  </cols>
  <sheetData>
    <row r="1" spans="1:16" ht="18">
      <c r="A1" s="2" t="s">
        <v>105</v>
      </c>
    </row>
    <row r="2" spans="1:16" ht="17">
      <c r="A2" s="3" t="s">
        <v>46</v>
      </c>
    </row>
    <row r="5" spans="1:16" ht="29.25" customHeight="1">
      <c r="A5" s="112"/>
      <c r="B5" s="113">
        <v>38534</v>
      </c>
      <c r="C5" s="113">
        <v>38565</v>
      </c>
      <c r="D5" s="113">
        <v>38596</v>
      </c>
      <c r="E5" s="113">
        <v>38626</v>
      </c>
      <c r="F5" s="113">
        <v>38657</v>
      </c>
      <c r="G5" s="113">
        <v>38687</v>
      </c>
      <c r="H5" s="113">
        <v>38718</v>
      </c>
      <c r="I5" s="113">
        <v>38749</v>
      </c>
      <c r="J5" s="113">
        <v>38777</v>
      </c>
      <c r="K5" s="113">
        <v>38808</v>
      </c>
      <c r="L5" s="113">
        <v>38838</v>
      </c>
      <c r="M5" s="113">
        <v>38869</v>
      </c>
      <c r="N5" s="114" t="s">
        <v>1</v>
      </c>
      <c r="O5" s="115" t="s">
        <v>90</v>
      </c>
      <c r="P5" s="115" t="s">
        <v>229</v>
      </c>
    </row>
    <row r="6" spans="1:16">
      <c r="A6" s="1" t="s">
        <v>105</v>
      </c>
      <c r="B6" s="5"/>
      <c r="C6" s="5"/>
      <c r="D6" s="5"/>
      <c r="E6" s="5"/>
      <c r="F6" s="5"/>
      <c r="G6" s="5"/>
      <c r="H6" s="5"/>
      <c r="I6" s="5"/>
      <c r="J6" s="5"/>
      <c r="K6" s="5"/>
      <c r="L6" s="5"/>
      <c r="M6" s="5"/>
      <c r="N6" s="5"/>
    </row>
    <row r="7" spans="1:16">
      <c r="A7" t="s">
        <v>2</v>
      </c>
      <c r="B7" s="33">
        <v>0</v>
      </c>
      <c r="C7" s="33">
        <v>0</v>
      </c>
      <c r="D7" s="33">
        <v>1</v>
      </c>
      <c r="E7" s="33">
        <v>0</v>
      </c>
      <c r="F7" s="33">
        <v>0</v>
      </c>
      <c r="G7" s="33">
        <v>0</v>
      </c>
      <c r="H7" s="33">
        <v>0</v>
      </c>
      <c r="I7" s="33">
        <v>2</v>
      </c>
      <c r="J7" s="33">
        <v>0</v>
      </c>
      <c r="K7" s="33">
        <v>1</v>
      </c>
      <c r="L7" s="33">
        <v>0</v>
      </c>
      <c r="M7" s="33">
        <v>0</v>
      </c>
      <c r="N7" s="8">
        <f>SUM(B7:M7)</f>
        <v>4</v>
      </c>
      <c r="O7" s="27">
        <v>555.48</v>
      </c>
      <c r="P7" s="27">
        <f>O7/N7</f>
        <v>138.87</v>
      </c>
    </row>
    <row r="12" spans="1:16" ht="15">
      <c r="E12" s="38"/>
    </row>
    <row r="13" spans="1:16" ht="15">
      <c r="E13" s="38"/>
    </row>
    <row r="14" spans="1:16" ht="15">
      <c r="E14" s="38"/>
    </row>
    <row r="15" spans="1:16" ht="15">
      <c r="B15" s="38"/>
      <c r="E15" s="38"/>
    </row>
    <row r="16" spans="1:16" ht="15">
      <c r="B16" s="38"/>
      <c r="E16" s="38"/>
    </row>
    <row r="17" spans="2:5" ht="15">
      <c r="B17" s="38"/>
      <c r="E17" s="38"/>
    </row>
    <row r="18" spans="2:5" ht="15">
      <c r="B18" s="38"/>
      <c r="E18" s="38"/>
    </row>
    <row r="19" spans="2:5" ht="15">
      <c r="B19" s="38"/>
      <c r="E19" s="38"/>
    </row>
    <row r="20" spans="2:5" ht="15">
      <c r="B20" s="38"/>
      <c r="E20" s="38"/>
    </row>
    <row r="21" spans="2:5" ht="15">
      <c r="B21" s="38"/>
      <c r="E21" s="38"/>
    </row>
    <row r="22" spans="2:5" ht="15">
      <c r="B22" s="38"/>
      <c r="E22" s="38"/>
    </row>
    <row r="23" spans="2:5" ht="15">
      <c r="B23" s="38"/>
      <c r="E23" s="38"/>
    </row>
    <row r="24" spans="2:5" ht="15">
      <c r="B24" s="38"/>
      <c r="E24" s="38"/>
    </row>
    <row r="25" spans="2:5" ht="15">
      <c r="B25" s="38"/>
      <c r="E25" s="38"/>
    </row>
    <row r="26" spans="2:5" ht="15">
      <c r="B26" s="38"/>
      <c r="E26" s="38"/>
    </row>
    <row r="27" spans="2:5" ht="15">
      <c r="B27" s="38"/>
    </row>
    <row r="28" spans="2:5" ht="15">
      <c r="B28" s="38"/>
    </row>
    <row r="29" spans="2:5" ht="15">
      <c r="B29" s="38"/>
    </row>
    <row r="30" spans="2:5" ht="15">
      <c r="B30" s="38"/>
    </row>
    <row r="31" spans="2:5" ht="15">
      <c r="B31" s="38"/>
    </row>
  </sheetData>
  <phoneticPr fontId="2" type="noConversion"/>
  <pageMargins left="0.75" right="0.75" top="1" bottom="1" header="0.5" footer="0.5"/>
  <pageSetup scale="98" orientation="landscape"/>
  <headerFooter>
    <oddFooter>&amp;L&amp;K000000MINABS&amp;R&amp;K0000002005-06 usage</oddFooter>
  </headerFooter>
  <extLst>
    <ext xmlns:mx="http://schemas.microsoft.com/office/mac/excel/2008/main" uri="{64002731-A6B0-56B0-2670-7721B7C09600}">
      <mx:PLV Mode="0" OnePage="0" WScale="0"/>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P8"/>
  <sheetViews>
    <sheetView workbookViewId="0"/>
  </sheetViews>
  <sheetFormatPr baseColWidth="10" defaultColWidth="8.83203125" defaultRowHeight="12" x14ac:dyDescent="0"/>
  <cols>
    <col min="1" max="1" width="16.83203125" bestFit="1" customWidth="1"/>
    <col min="2" max="2" width="6.1640625" bestFit="1" customWidth="1"/>
    <col min="3" max="3" width="7" bestFit="1" customWidth="1"/>
    <col min="4" max="4" width="6.6640625" bestFit="1" customWidth="1"/>
    <col min="5" max="5" width="6.5" bestFit="1" customWidth="1"/>
    <col min="6" max="6" width="6.83203125" bestFit="1" customWidth="1"/>
    <col min="7" max="7" width="6.6640625" bestFit="1" customWidth="1"/>
    <col min="8" max="8" width="6.5" bestFit="1" customWidth="1"/>
    <col min="9" max="10" width="6.6640625" bestFit="1" customWidth="1"/>
    <col min="11" max="11" width="6.5" bestFit="1" customWidth="1"/>
    <col min="12" max="12" width="7" bestFit="1" customWidth="1"/>
    <col min="13" max="13" width="6.6640625" bestFit="1" customWidth="1"/>
    <col min="14" max="14" width="7.1640625" bestFit="1" customWidth="1"/>
    <col min="15" max="15" width="11.83203125" bestFit="1" customWidth="1"/>
    <col min="16" max="16" width="8.33203125" bestFit="1" customWidth="1"/>
  </cols>
  <sheetData>
    <row r="1" spans="1:16" ht="18">
      <c r="A1" s="2" t="s">
        <v>18</v>
      </c>
    </row>
    <row r="2" spans="1:16" ht="17">
      <c r="A2" s="3" t="s">
        <v>46</v>
      </c>
    </row>
    <row r="3" spans="1:16" ht="12.75" customHeight="1">
      <c r="A3" s="3"/>
    </row>
    <row r="5" spans="1:16" ht="28.5" customHeight="1">
      <c r="A5" s="112"/>
      <c r="B5" s="113">
        <v>38534</v>
      </c>
      <c r="C5" s="113">
        <v>38565</v>
      </c>
      <c r="D5" s="113">
        <v>38596</v>
      </c>
      <c r="E5" s="113">
        <v>38626</v>
      </c>
      <c r="F5" s="113">
        <v>38657</v>
      </c>
      <c r="G5" s="113">
        <v>38687</v>
      </c>
      <c r="H5" s="113">
        <v>38718</v>
      </c>
      <c r="I5" s="113">
        <v>38749</v>
      </c>
      <c r="J5" s="113">
        <v>38777</v>
      </c>
      <c r="K5" s="113">
        <v>38808</v>
      </c>
      <c r="L5" s="113">
        <v>38838</v>
      </c>
      <c r="M5" s="113">
        <v>38869</v>
      </c>
      <c r="N5" s="114" t="s">
        <v>1</v>
      </c>
      <c r="O5" s="115" t="s">
        <v>90</v>
      </c>
      <c r="P5" s="115" t="s">
        <v>91</v>
      </c>
    </row>
    <row r="6" spans="1:16">
      <c r="A6" s="1" t="s">
        <v>18</v>
      </c>
      <c r="B6" s="5"/>
      <c r="C6" s="5"/>
      <c r="D6" s="5"/>
      <c r="E6" s="5"/>
      <c r="F6" s="5"/>
      <c r="G6" s="5"/>
      <c r="H6" s="5"/>
      <c r="I6" s="5"/>
      <c r="J6" s="5"/>
      <c r="K6" s="5"/>
      <c r="L6" s="5"/>
      <c r="M6" s="5"/>
      <c r="N6" s="5"/>
      <c r="O6" s="27"/>
      <c r="P6" s="27"/>
    </row>
    <row r="7" spans="1:16">
      <c r="A7" t="s">
        <v>2</v>
      </c>
      <c r="B7" s="10" t="s">
        <v>31</v>
      </c>
      <c r="C7" s="10" t="s">
        <v>31</v>
      </c>
      <c r="D7" s="10" t="s">
        <v>31</v>
      </c>
      <c r="E7" s="10" t="s">
        <v>31</v>
      </c>
      <c r="F7" s="10" t="s">
        <v>31</v>
      </c>
      <c r="G7" s="10" t="s">
        <v>31</v>
      </c>
      <c r="H7" s="10" t="s">
        <v>31</v>
      </c>
      <c r="I7" s="10" t="s">
        <v>31</v>
      </c>
      <c r="J7" s="10" t="s">
        <v>31</v>
      </c>
      <c r="K7" s="10" t="s">
        <v>31</v>
      </c>
      <c r="L7" s="10" t="s">
        <v>31</v>
      </c>
      <c r="M7" s="10" t="s">
        <v>31</v>
      </c>
      <c r="N7" s="8"/>
      <c r="O7" s="27"/>
      <c r="P7" s="27"/>
    </row>
    <row r="8" spans="1:16">
      <c r="A8" t="s">
        <v>3</v>
      </c>
      <c r="B8" s="49">
        <v>532</v>
      </c>
      <c r="C8" s="49">
        <v>0</v>
      </c>
      <c r="D8" s="49">
        <v>210</v>
      </c>
      <c r="E8" s="49">
        <v>122</v>
      </c>
      <c r="F8" s="49">
        <v>186</v>
      </c>
      <c r="G8" s="49">
        <v>240</v>
      </c>
      <c r="H8" s="49">
        <v>5</v>
      </c>
      <c r="I8" s="49">
        <v>99</v>
      </c>
      <c r="J8" s="49">
        <v>132</v>
      </c>
      <c r="K8" s="49">
        <v>142</v>
      </c>
      <c r="L8" s="49">
        <v>28</v>
      </c>
      <c r="M8" s="49">
        <v>14</v>
      </c>
      <c r="N8" s="45">
        <f>SUM(B8:M8)</f>
        <v>1710</v>
      </c>
      <c r="O8" s="27">
        <v>1850</v>
      </c>
      <c r="P8" s="27">
        <f>O8/N8</f>
        <v>1.0818713450292399</v>
      </c>
    </row>
  </sheetData>
  <phoneticPr fontId="2" type="noConversion"/>
  <pageMargins left="0.75" right="0.75" top="1" bottom="1" header="0.5" footer="0.5"/>
  <pageSetup scale="91" orientation="landscape"/>
  <headerFooter>
    <oddFooter>&amp;L&amp;K000000Music Index&amp;R&amp;K0000002005-06 usage</oddFooter>
  </headerFooter>
  <extLst>
    <ext xmlns:mx="http://schemas.microsoft.com/office/mac/excel/2008/main" uri="{64002731-A6B0-56B0-2670-7721B7C09600}">
      <mx:PLV Mode="0" OnePage="0" WScale="0"/>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P19"/>
  <sheetViews>
    <sheetView workbookViewId="0"/>
  </sheetViews>
  <sheetFormatPr baseColWidth="10" defaultColWidth="8.83203125" defaultRowHeight="12" x14ac:dyDescent="0"/>
  <cols>
    <col min="1" max="1" width="15.5" customWidth="1"/>
    <col min="2" max="2" width="6.1640625" bestFit="1" customWidth="1"/>
    <col min="3" max="3" width="7" bestFit="1" customWidth="1"/>
    <col min="4" max="4" width="6.6640625" bestFit="1" customWidth="1"/>
    <col min="5" max="5" width="6.5" bestFit="1" customWidth="1"/>
    <col min="6" max="6" width="6.83203125" bestFit="1" customWidth="1"/>
    <col min="7" max="7" width="6.6640625" bestFit="1" customWidth="1"/>
    <col min="8" max="8" width="6.5" bestFit="1" customWidth="1"/>
    <col min="9" max="10" width="6.6640625" bestFit="1" customWidth="1"/>
    <col min="11" max="11" width="6.5" bestFit="1" customWidth="1"/>
    <col min="12" max="12" width="7" bestFit="1" customWidth="1"/>
    <col min="13" max="13" width="6.6640625" bestFit="1" customWidth="1"/>
    <col min="14" max="14" width="5.1640625" bestFit="1" customWidth="1"/>
    <col min="15" max="15" width="9.1640625" bestFit="1" customWidth="1"/>
    <col min="16" max="16" width="8.33203125" bestFit="1" customWidth="1"/>
  </cols>
  <sheetData>
    <row r="1" spans="1:16" ht="18">
      <c r="A1" s="2" t="s">
        <v>101</v>
      </c>
    </row>
    <row r="2" spans="1:16" ht="17">
      <c r="A2" s="3" t="s">
        <v>46</v>
      </c>
    </row>
    <row r="5" spans="1:16" ht="32.25" customHeight="1">
      <c r="A5" s="112"/>
      <c r="B5" s="113">
        <v>38534</v>
      </c>
      <c r="C5" s="113">
        <v>38565</v>
      </c>
      <c r="D5" s="113">
        <v>38596</v>
      </c>
      <c r="E5" s="113">
        <v>38626</v>
      </c>
      <c r="F5" s="113">
        <v>38657</v>
      </c>
      <c r="G5" s="113">
        <v>38687</v>
      </c>
      <c r="H5" s="113">
        <v>38718</v>
      </c>
      <c r="I5" s="113">
        <v>38749</v>
      </c>
      <c r="J5" s="113">
        <v>38777</v>
      </c>
      <c r="K5" s="113">
        <v>38808</v>
      </c>
      <c r="L5" s="113">
        <v>38838</v>
      </c>
      <c r="M5" s="113">
        <v>38869</v>
      </c>
      <c r="N5" s="114" t="s">
        <v>1</v>
      </c>
      <c r="O5" s="115" t="s">
        <v>103</v>
      </c>
      <c r="P5" s="115" t="s">
        <v>91</v>
      </c>
    </row>
    <row r="6" spans="1:16">
      <c r="A6" s="1" t="s">
        <v>101</v>
      </c>
      <c r="B6" s="5"/>
      <c r="C6" s="5"/>
      <c r="D6" s="5"/>
      <c r="E6" s="5"/>
      <c r="F6" s="5"/>
      <c r="G6" s="5"/>
      <c r="H6" s="5"/>
      <c r="I6" s="5"/>
      <c r="J6" s="5"/>
      <c r="K6" s="5"/>
      <c r="L6" s="5"/>
      <c r="M6" s="5"/>
      <c r="N6" s="5"/>
    </row>
    <row r="7" spans="1:16">
      <c r="A7" t="s">
        <v>111</v>
      </c>
      <c r="B7" s="13">
        <v>25</v>
      </c>
      <c r="C7" s="13">
        <v>15</v>
      </c>
      <c r="D7" s="13">
        <v>85</v>
      </c>
      <c r="E7" s="13">
        <v>116</v>
      </c>
      <c r="F7" s="13">
        <v>172</v>
      </c>
      <c r="G7" s="13">
        <v>97</v>
      </c>
      <c r="H7" s="18">
        <v>58</v>
      </c>
      <c r="I7" s="6">
        <v>116</v>
      </c>
      <c r="J7" s="6">
        <v>121</v>
      </c>
      <c r="K7" s="6">
        <v>134</v>
      </c>
      <c r="L7" s="6">
        <v>76</v>
      </c>
      <c r="M7" s="7">
        <v>74</v>
      </c>
      <c r="N7" s="9">
        <f>SUM(B7:M7)</f>
        <v>1089</v>
      </c>
      <c r="O7" s="27">
        <v>0</v>
      </c>
      <c r="P7" s="27" t="s">
        <v>31</v>
      </c>
    </row>
    <row r="8" spans="1:16">
      <c r="A8" t="s">
        <v>11</v>
      </c>
      <c r="B8" s="33">
        <v>7</v>
      </c>
      <c r="C8" s="33">
        <v>15</v>
      </c>
      <c r="D8" s="33">
        <v>140</v>
      </c>
      <c r="E8" s="33">
        <v>8</v>
      </c>
      <c r="F8" s="33">
        <v>52</v>
      </c>
      <c r="G8" s="33">
        <v>22</v>
      </c>
      <c r="H8" s="33">
        <v>4</v>
      </c>
      <c r="I8" s="33">
        <v>31</v>
      </c>
      <c r="J8" s="33">
        <v>10</v>
      </c>
      <c r="K8" s="33">
        <v>3</v>
      </c>
      <c r="L8" s="33">
        <v>8</v>
      </c>
      <c r="M8" s="33">
        <v>2</v>
      </c>
      <c r="N8" s="9">
        <f>SUM(B8:M8)</f>
        <v>302</v>
      </c>
      <c r="O8" s="27"/>
      <c r="P8" s="27"/>
    </row>
    <row r="11" spans="1:16">
      <c r="A11" t="s">
        <v>110</v>
      </c>
    </row>
    <row r="15" spans="1:16">
      <c r="I15" s="30"/>
    </row>
    <row r="16" spans="1:16">
      <c r="I16" s="31"/>
    </row>
    <row r="17" spans="9:9">
      <c r="I17" s="32"/>
    </row>
    <row r="18" spans="9:9">
      <c r="I18" s="32"/>
    </row>
    <row r="19" spans="9:9">
      <c r="I19" s="32"/>
    </row>
  </sheetData>
  <phoneticPr fontId="2" type="noConversion"/>
  <pageMargins left="0.75" right="0.75" top="1" bottom="1" header="0.5" footer="0.5"/>
  <pageSetup scale="96" fitToHeight="2" orientation="landscape"/>
  <headerFooter>
    <oddFooter>&amp;L&amp;K000000NetLibrary&amp;R&amp;K0000002005-06 usage</oddFooter>
  </headerFooter>
  <extLst>
    <ext xmlns:mx="http://schemas.microsoft.com/office/mac/excel/2008/main" uri="{64002731-A6B0-56B0-2670-7721B7C09600}">
      <mx:PLV Mode="0" OnePage="0" WScale="0"/>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N45"/>
  <sheetViews>
    <sheetView workbookViewId="0"/>
  </sheetViews>
  <sheetFormatPr baseColWidth="10" defaultColWidth="8.83203125" defaultRowHeight="12" x14ac:dyDescent="0"/>
  <cols>
    <col min="1" max="1" width="25" bestFit="1" customWidth="1"/>
    <col min="2" max="2" width="6.1640625" bestFit="1" customWidth="1"/>
    <col min="3" max="3" width="7" bestFit="1" customWidth="1"/>
    <col min="4" max="4" width="6.6640625" bestFit="1" customWidth="1"/>
    <col min="5" max="5" width="6.5" bestFit="1" customWidth="1"/>
    <col min="6" max="6" width="6.83203125" bestFit="1" customWidth="1"/>
    <col min="7" max="7" width="6.6640625" bestFit="1" customWidth="1"/>
    <col min="8" max="8" width="6.5" bestFit="1" customWidth="1"/>
    <col min="9" max="10" width="6.6640625" bestFit="1" customWidth="1"/>
    <col min="11" max="11" width="6.5" bestFit="1" customWidth="1"/>
    <col min="12" max="12" width="7" bestFit="1" customWidth="1"/>
    <col min="13" max="13" width="6.6640625" bestFit="1" customWidth="1"/>
    <col min="14" max="14" width="5.1640625" bestFit="1" customWidth="1"/>
    <col min="15" max="15" width="16.6640625" customWidth="1"/>
    <col min="16" max="16" width="11.33203125" customWidth="1"/>
  </cols>
  <sheetData>
    <row r="1" spans="1:14" ht="18">
      <c r="A1" s="2" t="s">
        <v>112</v>
      </c>
    </row>
    <row r="2" spans="1:14" ht="17">
      <c r="A2" s="3" t="s">
        <v>46</v>
      </c>
    </row>
    <row r="5" spans="1:14" ht="13">
      <c r="A5" s="135"/>
      <c r="B5" s="119">
        <v>38534</v>
      </c>
      <c r="C5" s="119">
        <v>38565</v>
      </c>
      <c r="D5" s="119">
        <v>38596</v>
      </c>
      <c r="E5" s="119">
        <v>38626</v>
      </c>
      <c r="F5" s="119">
        <v>38657</v>
      </c>
      <c r="G5" s="119">
        <v>38687</v>
      </c>
      <c r="H5" s="119">
        <v>38718</v>
      </c>
      <c r="I5" s="119">
        <v>38749</v>
      </c>
      <c r="J5" s="119">
        <v>38777</v>
      </c>
      <c r="K5" s="119">
        <v>38808</v>
      </c>
      <c r="L5" s="119">
        <v>38838</v>
      </c>
      <c r="M5" s="119">
        <v>38869</v>
      </c>
      <c r="N5" s="120" t="s">
        <v>1</v>
      </c>
    </row>
    <row r="6" spans="1:14">
      <c r="A6" s="1" t="s">
        <v>113</v>
      </c>
      <c r="B6" s="5"/>
      <c r="C6" s="5"/>
      <c r="D6" s="5"/>
      <c r="E6" s="5"/>
      <c r="F6" s="5"/>
      <c r="G6" s="5"/>
      <c r="H6" s="5"/>
      <c r="I6" s="5"/>
      <c r="J6" s="5"/>
      <c r="K6" s="5"/>
      <c r="L6" s="5"/>
      <c r="M6" s="5"/>
      <c r="N6" s="5"/>
    </row>
    <row r="7" spans="1:14">
      <c r="A7" t="s">
        <v>2</v>
      </c>
      <c r="B7" s="33" t="s">
        <v>31</v>
      </c>
      <c r="C7" s="33" t="s">
        <v>31</v>
      </c>
      <c r="D7" s="33" t="s">
        <v>31</v>
      </c>
      <c r="E7" s="33" t="s">
        <v>31</v>
      </c>
      <c r="F7" s="33" t="s">
        <v>31</v>
      </c>
      <c r="G7" s="33" t="s">
        <v>31</v>
      </c>
      <c r="H7" s="33">
        <v>0</v>
      </c>
      <c r="I7" s="33">
        <v>5</v>
      </c>
      <c r="J7" s="33">
        <v>0</v>
      </c>
      <c r="K7" s="33">
        <v>1</v>
      </c>
      <c r="L7" s="33">
        <v>0</v>
      </c>
      <c r="M7" s="33">
        <v>0</v>
      </c>
      <c r="N7" s="8">
        <f>SUM(B7:M7)</f>
        <v>6</v>
      </c>
    </row>
    <row r="8" spans="1:14">
      <c r="A8" t="s">
        <v>3</v>
      </c>
      <c r="B8" s="33" t="s">
        <v>31</v>
      </c>
      <c r="C8" s="33" t="s">
        <v>31</v>
      </c>
      <c r="D8" s="33" t="s">
        <v>31</v>
      </c>
      <c r="E8" s="33" t="s">
        <v>31</v>
      </c>
      <c r="F8" s="33" t="s">
        <v>31</v>
      </c>
      <c r="G8" s="33" t="s">
        <v>31</v>
      </c>
      <c r="H8" s="13">
        <v>0</v>
      </c>
      <c r="I8" s="13">
        <v>6</v>
      </c>
      <c r="J8" s="13">
        <v>0</v>
      </c>
      <c r="K8" s="13">
        <v>3</v>
      </c>
      <c r="L8" s="13">
        <v>0</v>
      </c>
      <c r="M8" s="13">
        <v>0</v>
      </c>
      <c r="N8" s="8">
        <f>SUM(B8:M8)</f>
        <v>9</v>
      </c>
    </row>
    <row r="9" spans="1:14">
      <c r="A9" t="s">
        <v>11</v>
      </c>
      <c r="B9" s="13">
        <v>0</v>
      </c>
      <c r="C9" s="13">
        <v>0</v>
      </c>
      <c r="D9" s="13">
        <v>0</v>
      </c>
      <c r="E9" s="13">
        <v>0</v>
      </c>
      <c r="F9" s="13">
        <v>0</v>
      </c>
      <c r="G9" s="13">
        <v>0</v>
      </c>
      <c r="H9" s="13">
        <v>0</v>
      </c>
      <c r="I9" s="13">
        <v>0</v>
      </c>
      <c r="J9" s="13">
        <v>0</v>
      </c>
      <c r="K9" s="13">
        <v>0</v>
      </c>
      <c r="L9" s="13">
        <v>0</v>
      </c>
      <c r="M9" s="13">
        <v>0</v>
      </c>
      <c r="N9" s="8">
        <f>SUM(B9:M9)</f>
        <v>0</v>
      </c>
    </row>
    <row r="12" spans="1:14" ht="13">
      <c r="A12" s="135"/>
      <c r="B12" s="119">
        <v>38534</v>
      </c>
      <c r="C12" s="119">
        <v>38565</v>
      </c>
      <c r="D12" s="119">
        <v>38596</v>
      </c>
      <c r="E12" s="119">
        <v>38626</v>
      </c>
      <c r="F12" s="119">
        <v>38657</v>
      </c>
      <c r="G12" s="119">
        <v>38687</v>
      </c>
      <c r="H12" s="119">
        <v>38718</v>
      </c>
      <c r="I12" s="119">
        <v>38749</v>
      </c>
      <c r="J12" s="119">
        <v>38777</v>
      </c>
      <c r="K12" s="119">
        <v>38808</v>
      </c>
      <c r="L12" s="119">
        <v>38838</v>
      </c>
      <c r="M12" s="119">
        <v>38869</v>
      </c>
      <c r="N12" s="120" t="s">
        <v>1</v>
      </c>
    </row>
    <row r="13" spans="1:14">
      <c r="A13" s="1" t="s">
        <v>114</v>
      </c>
      <c r="B13" s="5"/>
      <c r="C13" s="5"/>
      <c r="D13" s="5"/>
      <c r="E13" s="5"/>
      <c r="F13" s="5"/>
      <c r="G13" s="5"/>
      <c r="H13" s="5"/>
      <c r="I13" s="5"/>
      <c r="J13" s="5"/>
      <c r="K13" s="5"/>
      <c r="L13" s="5"/>
      <c r="M13" s="5"/>
      <c r="N13" s="5"/>
    </row>
    <row r="14" spans="1:14">
      <c r="A14" t="s">
        <v>2</v>
      </c>
      <c r="B14" s="33" t="s">
        <v>31</v>
      </c>
      <c r="C14" s="33" t="s">
        <v>31</v>
      </c>
      <c r="D14" s="33" t="s">
        <v>31</v>
      </c>
      <c r="E14" s="33" t="s">
        <v>31</v>
      </c>
      <c r="F14" s="33" t="s">
        <v>31</v>
      </c>
      <c r="G14" s="33" t="s">
        <v>31</v>
      </c>
      <c r="H14" s="33">
        <v>0</v>
      </c>
      <c r="I14" s="33">
        <v>1</v>
      </c>
      <c r="J14" s="33">
        <v>0</v>
      </c>
      <c r="K14" s="33">
        <v>4</v>
      </c>
      <c r="L14" s="33">
        <v>0</v>
      </c>
      <c r="M14" s="33">
        <v>1</v>
      </c>
      <c r="N14" s="8">
        <f>SUM(B14:M14)</f>
        <v>6</v>
      </c>
    </row>
    <row r="15" spans="1:14">
      <c r="A15" t="s">
        <v>3</v>
      </c>
      <c r="B15" s="33" t="s">
        <v>31</v>
      </c>
      <c r="C15" s="33" t="s">
        <v>31</v>
      </c>
      <c r="D15" s="33" t="s">
        <v>31</v>
      </c>
      <c r="E15" s="33" t="s">
        <v>31</v>
      </c>
      <c r="F15" s="33" t="s">
        <v>31</v>
      </c>
      <c r="G15" s="33" t="s">
        <v>31</v>
      </c>
      <c r="H15" s="13">
        <v>0</v>
      </c>
      <c r="I15" s="13">
        <v>2</v>
      </c>
      <c r="J15" s="13">
        <v>0</v>
      </c>
      <c r="K15" s="13">
        <v>4</v>
      </c>
      <c r="L15" s="13">
        <v>0</v>
      </c>
      <c r="M15" s="13">
        <v>0</v>
      </c>
      <c r="N15" s="8">
        <f>SUM(B15:M15)</f>
        <v>6</v>
      </c>
    </row>
    <row r="16" spans="1:14">
      <c r="A16" t="s">
        <v>11</v>
      </c>
      <c r="B16" s="13">
        <v>0</v>
      </c>
      <c r="C16" s="13">
        <v>0</v>
      </c>
      <c r="D16" s="13">
        <v>0</v>
      </c>
      <c r="E16" s="13">
        <v>0</v>
      </c>
      <c r="F16" s="13">
        <v>0</v>
      </c>
      <c r="G16" s="13">
        <v>0</v>
      </c>
      <c r="H16" s="13">
        <v>0</v>
      </c>
      <c r="I16" s="13">
        <v>0</v>
      </c>
      <c r="J16" s="13">
        <v>0</v>
      </c>
      <c r="K16" s="13">
        <v>0</v>
      </c>
      <c r="L16" s="13">
        <v>0</v>
      </c>
      <c r="M16" s="13">
        <v>0</v>
      </c>
      <c r="N16" s="8">
        <f>SUM(B16:M16)</f>
        <v>0</v>
      </c>
    </row>
    <row r="19" spans="1:14" ht="13">
      <c r="A19" s="135"/>
      <c r="B19" s="119">
        <v>38534</v>
      </c>
      <c r="C19" s="119">
        <v>38565</v>
      </c>
      <c r="D19" s="119">
        <v>38596</v>
      </c>
      <c r="E19" s="119">
        <v>38626</v>
      </c>
      <c r="F19" s="119">
        <v>38657</v>
      </c>
      <c r="G19" s="119">
        <v>38687</v>
      </c>
      <c r="H19" s="119">
        <v>38718</v>
      </c>
      <c r="I19" s="119">
        <v>38749</v>
      </c>
      <c r="J19" s="119">
        <v>38777</v>
      </c>
      <c r="K19" s="119">
        <v>38808</v>
      </c>
      <c r="L19" s="119">
        <v>38838</v>
      </c>
      <c r="M19" s="119">
        <v>38869</v>
      </c>
      <c r="N19" s="120" t="s">
        <v>1</v>
      </c>
    </row>
    <row r="20" spans="1:14">
      <c r="A20" s="1" t="s">
        <v>115</v>
      </c>
      <c r="B20" s="5"/>
      <c r="C20" s="5"/>
      <c r="D20" s="5"/>
      <c r="E20" s="5"/>
      <c r="F20" s="5"/>
      <c r="G20" s="5"/>
      <c r="H20" s="5"/>
      <c r="I20" s="5"/>
      <c r="J20" s="5"/>
      <c r="K20" s="5"/>
      <c r="L20" s="5"/>
      <c r="M20" s="5"/>
      <c r="N20" s="5"/>
    </row>
    <row r="21" spans="1:14">
      <c r="A21" t="s">
        <v>2</v>
      </c>
      <c r="B21" s="33" t="s">
        <v>31</v>
      </c>
      <c r="C21" s="33" t="s">
        <v>31</v>
      </c>
      <c r="D21" s="33" t="s">
        <v>31</v>
      </c>
      <c r="E21" s="33" t="s">
        <v>31</v>
      </c>
      <c r="F21" s="33" t="s">
        <v>31</v>
      </c>
      <c r="G21" s="33" t="s">
        <v>31</v>
      </c>
      <c r="H21" s="33">
        <v>0</v>
      </c>
      <c r="I21" s="33">
        <v>0</v>
      </c>
      <c r="J21" s="33">
        <v>0</v>
      </c>
      <c r="K21" s="33">
        <v>0</v>
      </c>
      <c r="L21" s="33">
        <v>0</v>
      </c>
      <c r="M21" s="33">
        <v>0</v>
      </c>
      <c r="N21" s="8">
        <f>SUM(B21:M21)</f>
        <v>0</v>
      </c>
    </row>
    <row r="22" spans="1:14">
      <c r="A22" t="s">
        <v>3</v>
      </c>
      <c r="B22" s="33" t="s">
        <v>31</v>
      </c>
      <c r="C22" s="33" t="s">
        <v>31</v>
      </c>
      <c r="D22" s="33" t="s">
        <v>31</v>
      </c>
      <c r="E22" s="33" t="s">
        <v>31</v>
      </c>
      <c r="F22" s="33" t="s">
        <v>31</v>
      </c>
      <c r="G22" s="33" t="s">
        <v>31</v>
      </c>
      <c r="H22" s="13">
        <v>0</v>
      </c>
      <c r="I22" s="13">
        <v>0</v>
      </c>
      <c r="J22" s="13">
        <v>0</v>
      </c>
      <c r="K22" s="13">
        <v>0</v>
      </c>
      <c r="L22" s="13">
        <v>0</v>
      </c>
      <c r="M22" s="13">
        <v>0</v>
      </c>
      <c r="N22" s="8">
        <f>SUM(B22:M22)</f>
        <v>0</v>
      </c>
    </row>
    <row r="23" spans="1:14">
      <c r="A23" t="s">
        <v>11</v>
      </c>
      <c r="B23" s="13">
        <v>0</v>
      </c>
      <c r="C23" s="13">
        <v>0</v>
      </c>
      <c r="D23" s="13">
        <v>0</v>
      </c>
      <c r="E23" s="13">
        <v>0</v>
      </c>
      <c r="F23" s="13">
        <v>0</v>
      </c>
      <c r="G23" s="13">
        <v>0</v>
      </c>
      <c r="H23" s="13">
        <v>0</v>
      </c>
      <c r="I23" s="13">
        <v>0</v>
      </c>
      <c r="J23" s="13">
        <v>0</v>
      </c>
      <c r="K23" s="13">
        <v>0</v>
      </c>
      <c r="L23" s="13">
        <v>0</v>
      </c>
      <c r="M23" s="13">
        <v>0</v>
      </c>
      <c r="N23" s="8">
        <f>SUM(B23:M23)</f>
        <v>0</v>
      </c>
    </row>
    <row r="24" spans="1:14">
      <c r="B24" s="42"/>
      <c r="C24" s="42"/>
      <c r="D24" s="42"/>
      <c r="E24" s="42"/>
      <c r="F24" s="42"/>
      <c r="G24" s="42"/>
      <c r="H24" s="42"/>
      <c r="I24" s="42"/>
      <c r="J24" s="42"/>
      <c r="K24" s="42"/>
      <c r="L24" s="42"/>
      <c r="M24" s="42"/>
      <c r="N24" s="12"/>
    </row>
    <row r="26" spans="1:14" ht="13">
      <c r="A26" s="135"/>
      <c r="B26" s="119">
        <v>38534</v>
      </c>
      <c r="C26" s="119">
        <v>38565</v>
      </c>
      <c r="D26" s="119">
        <v>38596</v>
      </c>
      <c r="E26" s="119">
        <v>38626</v>
      </c>
      <c r="F26" s="119">
        <v>38657</v>
      </c>
      <c r="G26" s="119">
        <v>38687</v>
      </c>
      <c r="H26" s="119">
        <v>38718</v>
      </c>
      <c r="I26" s="119">
        <v>38749</v>
      </c>
      <c r="J26" s="119">
        <v>38777</v>
      </c>
      <c r="K26" s="119">
        <v>38808</v>
      </c>
      <c r="L26" s="119">
        <v>38838</v>
      </c>
      <c r="M26" s="119">
        <v>38869</v>
      </c>
      <c r="N26" s="120" t="s">
        <v>1</v>
      </c>
    </row>
    <row r="27" spans="1:14">
      <c r="A27" s="1" t="s">
        <v>116</v>
      </c>
      <c r="B27" s="5"/>
      <c r="C27" s="5"/>
      <c r="D27" s="5"/>
      <c r="E27" s="5"/>
      <c r="F27" s="5"/>
      <c r="G27" s="5"/>
      <c r="H27" s="5"/>
      <c r="I27" s="5"/>
      <c r="J27" s="5"/>
      <c r="K27" s="5"/>
      <c r="L27" s="5"/>
      <c r="M27" s="5"/>
      <c r="N27" s="5"/>
    </row>
    <row r="28" spans="1:14">
      <c r="A28" t="s">
        <v>2</v>
      </c>
      <c r="B28" s="33" t="s">
        <v>31</v>
      </c>
      <c r="C28" s="33" t="s">
        <v>31</v>
      </c>
      <c r="D28" s="33" t="s">
        <v>31</v>
      </c>
      <c r="E28" s="33" t="s">
        <v>31</v>
      </c>
      <c r="F28" s="33" t="s">
        <v>31</v>
      </c>
      <c r="G28" s="33" t="s">
        <v>31</v>
      </c>
      <c r="H28" s="33">
        <v>0</v>
      </c>
      <c r="I28" s="33">
        <v>0</v>
      </c>
      <c r="J28" s="33">
        <v>0</v>
      </c>
      <c r="K28" s="33">
        <v>0</v>
      </c>
      <c r="L28" s="33">
        <v>0</v>
      </c>
      <c r="M28" s="33">
        <v>0</v>
      </c>
      <c r="N28" s="8">
        <f>SUM(B28:M28)</f>
        <v>0</v>
      </c>
    </row>
    <row r="29" spans="1:14">
      <c r="A29" t="s">
        <v>3</v>
      </c>
      <c r="B29" s="33" t="s">
        <v>31</v>
      </c>
      <c r="C29" s="33" t="s">
        <v>31</v>
      </c>
      <c r="D29" s="33" t="s">
        <v>31</v>
      </c>
      <c r="E29" s="33" t="s">
        <v>31</v>
      </c>
      <c r="F29" s="33" t="s">
        <v>31</v>
      </c>
      <c r="G29" s="33" t="s">
        <v>31</v>
      </c>
      <c r="H29" s="13">
        <v>0</v>
      </c>
      <c r="I29" s="13">
        <v>0</v>
      </c>
      <c r="J29" s="13">
        <v>0</v>
      </c>
      <c r="K29" s="13">
        <v>0</v>
      </c>
      <c r="L29" s="13">
        <v>0</v>
      </c>
      <c r="M29" s="13">
        <v>0</v>
      </c>
      <c r="N29" s="8">
        <f>SUM(B29:M29)</f>
        <v>0</v>
      </c>
    </row>
    <row r="30" spans="1:14">
      <c r="A30" t="s">
        <v>11</v>
      </c>
      <c r="B30" s="13">
        <v>0</v>
      </c>
      <c r="C30" s="13">
        <v>0</v>
      </c>
      <c r="D30" s="13">
        <v>0</v>
      </c>
      <c r="E30" s="13">
        <v>0</v>
      </c>
      <c r="F30" s="13">
        <v>0</v>
      </c>
      <c r="G30" s="13">
        <v>0</v>
      </c>
      <c r="H30" s="13">
        <v>0</v>
      </c>
      <c r="I30" s="13">
        <v>0</v>
      </c>
      <c r="J30" s="13">
        <v>0</v>
      </c>
      <c r="K30" s="13">
        <v>0</v>
      </c>
      <c r="L30" s="13">
        <v>0</v>
      </c>
      <c r="M30" s="13">
        <v>0</v>
      </c>
      <c r="N30" s="8">
        <f>SUM(B30:M30)</f>
        <v>0</v>
      </c>
    </row>
    <row r="31" spans="1:14">
      <c r="B31" s="42"/>
      <c r="C31" s="42"/>
      <c r="D31" s="42"/>
      <c r="E31" s="42"/>
      <c r="F31" s="42"/>
      <c r="G31" s="42"/>
      <c r="H31" s="42"/>
      <c r="I31" s="42"/>
      <c r="J31" s="42"/>
      <c r="K31" s="42"/>
      <c r="L31" s="42"/>
      <c r="M31" s="42"/>
      <c r="N31" s="12"/>
    </row>
    <row r="32" spans="1:14">
      <c r="B32" s="42"/>
      <c r="C32" s="42"/>
      <c r="D32" s="42"/>
      <c r="E32" s="42"/>
      <c r="F32" s="42"/>
      <c r="G32" s="42"/>
      <c r="H32" s="42"/>
      <c r="I32" s="42"/>
      <c r="J32" s="42"/>
      <c r="K32" s="42"/>
      <c r="L32" s="42"/>
      <c r="M32" s="42"/>
      <c r="N32" s="12"/>
    </row>
    <row r="33" spans="1:14" ht="13">
      <c r="A33" s="135"/>
      <c r="B33" s="119">
        <v>38534</v>
      </c>
      <c r="C33" s="119">
        <v>38565</v>
      </c>
      <c r="D33" s="119">
        <v>38596</v>
      </c>
      <c r="E33" s="119">
        <v>38626</v>
      </c>
      <c r="F33" s="119">
        <v>38657</v>
      </c>
      <c r="G33" s="119">
        <v>38687</v>
      </c>
      <c r="H33" s="119">
        <v>38718</v>
      </c>
      <c r="I33" s="119">
        <v>38749</v>
      </c>
      <c r="J33" s="119">
        <v>38777</v>
      </c>
      <c r="K33" s="119">
        <v>38808</v>
      </c>
      <c r="L33" s="119">
        <v>38838</v>
      </c>
      <c r="M33" s="119">
        <v>38869</v>
      </c>
      <c r="N33" s="120" t="s">
        <v>1</v>
      </c>
    </row>
    <row r="34" spans="1:14">
      <c r="A34" s="1" t="s">
        <v>117</v>
      </c>
      <c r="B34" s="5"/>
      <c r="C34" s="5"/>
      <c r="D34" s="5"/>
      <c r="E34" s="5"/>
      <c r="F34" s="5"/>
      <c r="G34" s="5"/>
      <c r="H34" s="5"/>
      <c r="I34" s="5"/>
      <c r="J34" s="5"/>
      <c r="K34" s="5"/>
      <c r="L34" s="5"/>
      <c r="M34" s="5"/>
      <c r="N34" s="5"/>
    </row>
    <row r="35" spans="1:14">
      <c r="A35" t="s">
        <v>2</v>
      </c>
      <c r="B35" s="33" t="s">
        <v>31</v>
      </c>
      <c r="C35" s="33" t="s">
        <v>31</v>
      </c>
      <c r="D35" s="33" t="s">
        <v>31</v>
      </c>
      <c r="E35" s="33" t="s">
        <v>31</v>
      </c>
      <c r="F35" s="33" t="s">
        <v>31</v>
      </c>
      <c r="G35" s="33" t="s">
        <v>31</v>
      </c>
      <c r="H35" s="49">
        <v>249</v>
      </c>
      <c r="I35" s="49">
        <v>636</v>
      </c>
      <c r="J35" s="49">
        <v>682</v>
      </c>
      <c r="K35" s="49">
        <v>877</v>
      </c>
      <c r="L35" s="49">
        <v>285</v>
      </c>
      <c r="M35" s="49">
        <v>308</v>
      </c>
      <c r="N35" s="45">
        <f>SUM(B35:M35)</f>
        <v>3037</v>
      </c>
    </row>
    <row r="36" spans="1:14">
      <c r="A36" t="s">
        <v>3</v>
      </c>
      <c r="B36" s="33" t="s">
        <v>31</v>
      </c>
      <c r="C36" s="33" t="s">
        <v>31</v>
      </c>
      <c r="D36" s="33" t="s">
        <v>31</v>
      </c>
      <c r="E36" s="33" t="s">
        <v>31</v>
      </c>
      <c r="F36" s="33" t="s">
        <v>31</v>
      </c>
      <c r="G36" s="33" t="s">
        <v>31</v>
      </c>
      <c r="H36" s="36">
        <v>112</v>
      </c>
      <c r="I36" s="36">
        <v>280</v>
      </c>
      <c r="J36" s="36">
        <v>403</v>
      </c>
      <c r="K36" s="36">
        <v>528</v>
      </c>
      <c r="L36" s="36">
        <v>119</v>
      </c>
      <c r="M36" s="36">
        <v>142</v>
      </c>
      <c r="N36" s="45">
        <f>SUM(B36:M36)</f>
        <v>1584</v>
      </c>
    </row>
    <row r="37" spans="1:14">
      <c r="A37" t="s">
        <v>11</v>
      </c>
      <c r="B37" s="13">
        <v>0</v>
      </c>
      <c r="C37" s="13">
        <v>0</v>
      </c>
      <c r="D37" s="13">
        <v>0</v>
      </c>
      <c r="E37" s="13">
        <v>0</v>
      </c>
      <c r="F37" s="13">
        <v>0</v>
      </c>
      <c r="G37" s="13">
        <v>0</v>
      </c>
      <c r="H37" s="36">
        <v>0</v>
      </c>
      <c r="I37" s="36">
        <v>0</v>
      </c>
      <c r="J37" s="36">
        <v>0</v>
      </c>
      <c r="K37" s="36">
        <v>0</v>
      </c>
      <c r="L37" s="36">
        <v>0</v>
      </c>
      <c r="M37" s="36">
        <v>0</v>
      </c>
      <c r="N37" s="45">
        <f>SUM(B37:M37)</f>
        <v>0</v>
      </c>
    </row>
    <row r="38" spans="1:14">
      <c r="B38" s="42"/>
      <c r="C38" s="42"/>
      <c r="D38" s="42"/>
      <c r="E38" s="42"/>
      <c r="F38" s="42"/>
      <c r="G38" s="42"/>
      <c r="H38" s="42"/>
      <c r="I38" s="42"/>
      <c r="J38" s="42"/>
      <c r="K38" s="42"/>
      <c r="L38" s="42"/>
      <c r="M38" s="42"/>
      <c r="N38" s="12"/>
    </row>
    <row r="39" spans="1:14">
      <c r="B39" s="42"/>
      <c r="C39" s="42"/>
      <c r="D39" s="42"/>
      <c r="E39" s="42"/>
      <c r="F39" s="42"/>
      <c r="G39" s="42"/>
      <c r="H39" s="42"/>
      <c r="I39" s="42"/>
      <c r="J39" s="42"/>
      <c r="K39" s="42"/>
      <c r="L39" s="42"/>
      <c r="M39" s="42"/>
      <c r="N39" s="12"/>
    </row>
    <row r="40" spans="1:14">
      <c r="A40" s="11"/>
      <c r="B40" s="22"/>
      <c r="C40" s="22"/>
      <c r="D40" s="22"/>
      <c r="E40" s="22"/>
      <c r="F40" s="22"/>
      <c r="G40" s="22"/>
      <c r="H40" s="22"/>
      <c r="I40" s="22"/>
      <c r="J40" s="22"/>
      <c r="K40" s="22"/>
      <c r="L40" s="22"/>
      <c r="M40" s="22"/>
      <c r="N40" s="12"/>
    </row>
    <row r="41" spans="1:14" ht="13">
      <c r="A41" s="135"/>
      <c r="B41" s="119">
        <v>38534</v>
      </c>
      <c r="C41" s="119">
        <v>38565</v>
      </c>
      <c r="D41" s="119">
        <v>38596</v>
      </c>
      <c r="E41" s="119">
        <v>38626</v>
      </c>
      <c r="F41" s="119">
        <v>38657</v>
      </c>
      <c r="G41" s="119">
        <v>38687</v>
      </c>
      <c r="H41" s="119">
        <v>38718</v>
      </c>
      <c r="I41" s="119">
        <v>38749</v>
      </c>
      <c r="J41" s="119">
        <v>38777</v>
      </c>
      <c r="K41" s="119">
        <v>38808</v>
      </c>
      <c r="L41" s="119">
        <v>38838</v>
      </c>
      <c r="M41" s="119">
        <v>38869</v>
      </c>
      <c r="N41" s="120" t="s">
        <v>1</v>
      </c>
    </row>
    <row r="42" spans="1:14">
      <c r="A42" s="1" t="s">
        <v>102</v>
      </c>
      <c r="B42" s="5"/>
      <c r="C42" s="5"/>
      <c r="D42" s="5"/>
      <c r="E42" s="5"/>
      <c r="F42" s="5"/>
      <c r="G42" s="5"/>
      <c r="H42" s="5"/>
      <c r="I42" s="5"/>
      <c r="J42" s="5"/>
      <c r="K42" s="5"/>
      <c r="L42" s="5"/>
      <c r="M42" s="5"/>
      <c r="N42" s="5"/>
    </row>
    <row r="43" spans="1:14">
      <c r="A43" t="s">
        <v>2</v>
      </c>
      <c r="B43" s="49">
        <v>193</v>
      </c>
      <c r="C43" s="49">
        <v>22</v>
      </c>
      <c r="D43" s="49">
        <v>56</v>
      </c>
      <c r="E43" s="49">
        <v>18</v>
      </c>
      <c r="F43" s="49">
        <v>19</v>
      </c>
      <c r="G43" s="49">
        <v>35</v>
      </c>
      <c r="H43" s="49">
        <v>249</v>
      </c>
      <c r="I43" s="49">
        <v>642</v>
      </c>
      <c r="J43" s="49">
        <v>682</v>
      </c>
      <c r="K43" s="49">
        <v>882</v>
      </c>
      <c r="L43" s="49">
        <v>285</v>
      </c>
      <c r="M43" s="49">
        <v>309</v>
      </c>
      <c r="N43" s="45">
        <f>SUM(B43:M43)</f>
        <v>3392</v>
      </c>
    </row>
    <row r="44" spans="1:14">
      <c r="A44" t="s">
        <v>3</v>
      </c>
      <c r="B44" s="36">
        <v>1165</v>
      </c>
      <c r="C44" s="36">
        <v>22</v>
      </c>
      <c r="D44" s="36">
        <v>60</v>
      </c>
      <c r="E44" s="36">
        <v>19</v>
      </c>
      <c r="F44" s="36">
        <v>26</v>
      </c>
      <c r="G44" s="36">
        <v>27</v>
      </c>
      <c r="H44" s="36">
        <v>112</v>
      </c>
      <c r="I44" s="36">
        <v>288</v>
      </c>
      <c r="J44" s="36">
        <v>403</v>
      </c>
      <c r="K44" s="36">
        <v>535</v>
      </c>
      <c r="L44" s="36">
        <v>119</v>
      </c>
      <c r="M44" s="36">
        <v>142</v>
      </c>
      <c r="N44" s="45">
        <f>SUM(B44:M44)</f>
        <v>2918</v>
      </c>
    </row>
    <row r="45" spans="1:14">
      <c r="A45" t="s">
        <v>11</v>
      </c>
      <c r="B45" s="36">
        <v>0</v>
      </c>
      <c r="C45" s="36">
        <v>0</v>
      </c>
      <c r="D45" s="36">
        <v>0</v>
      </c>
      <c r="E45" s="36">
        <v>0</v>
      </c>
      <c r="F45" s="36">
        <v>0</v>
      </c>
      <c r="G45" s="36">
        <v>0</v>
      </c>
      <c r="H45" s="36">
        <v>0</v>
      </c>
      <c r="I45" s="36">
        <v>0</v>
      </c>
      <c r="J45" s="36">
        <v>0</v>
      </c>
      <c r="K45" s="36">
        <v>0</v>
      </c>
      <c r="L45" s="36">
        <v>0</v>
      </c>
      <c r="M45" s="36">
        <v>0</v>
      </c>
      <c r="N45" s="45">
        <f>SUM(B45:M45)</f>
        <v>0</v>
      </c>
    </row>
  </sheetData>
  <phoneticPr fontId="2" type="noConversion"/>
  <pageMargins left="0.75" right="0.75" top="1" bottom="1" header="0.5" footer="0.5"/>
  <pageSetup fitToHeight="5" orientation="landscape"/>
  <headerFooter>
    <oddFooter>&amp;L&amp;K000000OVID&amp;R&amp;K0000002005-06 usage</oddFooter>
  </headerFooter>
  <extLst>
    <ext xmlns:mx="http://schemas.microsoft.com/office/mac/excel/2008/main" uri="{64002731-A6B0-56B0-2670-7721B7C09600}">
      <mx:PLV Mode="0" OnePage="0" WScale="0"/>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P49"/>
  <sheetViews>
    <sheetView workbookViewId="0"/>
  </sheetViews>
  <sheetFormatPr baseColWidth="10" defaultColWidth="8.83203125" defaultRowHeight="12" x14ac:dyDescent="0"/>
  <cols>
    <col min="1" max="1" width="34.6640625" customWidth="1"/>
    <col min="2" max="2" width="6.1640625" bestFit="1" customWidth="1"/>
    <col min="3" max="3" width="7" bestFit="1" customWidth="1"/>
    <col min="4" max="4" width="6.6640625" bestFit="1" customWidth="1"/>
    <col min="5" max="5" width="6.5" bestFit="1" customWidth="1"/>
    <col min="6" max="6" width="6.83203125" bestFit="1" customWidth="1"/>
    <col min="7" max="7" width="6.6640625" bestFit="1" customWidth="1"/>
    <col min="8" max="8" width="6.5" bestFit="1" customWidth="1"/>
    <col min="9" max="10" width="6.6640625" bestFit="1" customWidth="1"/>
    <col min="11" max="11" width="6.5" bestFit="1" customWidth="1"/>
    <col min="12" max="12" width="7" bestFit="1" customWidth="1"/>
    <col min="13" max="13" width="6.6640625" bestFit="1" customWidth="1"/>
    <col min="14" max="14" width="6.33203125" bestFit="1" customWidth="1"/>
    <col min="15" max="15" width="9.6640625" bestFit="1" customWidth="1"/>
    <col min="16" max="16" width="8.5" bestFit="1" customWidth="1"/>
  </cols>
  <sheetData>
    <row r="1" spans="1:16" ht="18">
      <c r="A1" s="2" t="s">
        <v>79</v>
      </c>
    </row>
    <row r="2" spans="1:16" ht="17">
      <c r="A2" s="3" t="s">
        <v>46</v>
      </c>
    </row>
    <row r="4" spans="1:16">
      <c r="A4" s="1"/>
      <c r="B4" s="5"/>
      <c r="C4" s="5"/>
      <c r="D4" s="5"/>
      <c r="E4" s="5"/>
      <c r="F4" s="5"/>
      <c r="G4" s="5"/>
      <c r="H4" s="5"/>
      <c r="I4" s="5"/>
      <c r="J4" s="5"/>
      <c r="K4" s="5"/>
      <c r="L4" s="5"/>
      <c r="M4" s="5"/>
      <c r="N4" s="5"/>
    </row>
    <row r="5" spans="1:16" ht="24">
      <c r="A5" s="131"/>
      <c r="B5" s="119">
        <v>38534</v>
      </c>
      <c r="C5" s="132">
        <v>38565</v>
      </c>
      <c r="D5" s="132">
        <v>38596</v>
      </c>
      <c r="E5" s="132">
        <v>38626</v>
      </c>
      <c r="F5" s="132">
        <v>38657</v>
      </c>
      <c r="G5" s="132">
        <v>38687</v>
      </c>
      <c r="H5" s="132">
        <v>38718</v>
      </c>
      <c r="I5" s="132">
        <v>38749</v>
      </c>
      <c r="J5" s="132">
        <v>38777</v>
      </c>
      <c r="K5" s="132">
        <v>38808</v>
      </c>
      <c r="L5" s="132">
        <v>38838</v>
      </c>
      <c r="M5" s="132">
        <v>38869</v>
      </c>
      <c r="N5" s="120" t="s">
        <v>1</v>
      </c>
      <c r="O5" s="121" t="s">
        <v>90</v>
      </c>
      <c r="P5" s="121" t="s">
        <v>91</v>
      </c>
    </row>
    <row r="6" spans="1:16">
      <c r="A6" s="1" t="s">
        <v>80</v>
      </c>
    </row>
    <row r="7" spans="1:16">
      <c r="A7" t="s">
        <v>3</v>
      </c>
      <c r="B7" s="91">
        <v>1593</v>
      </c>
      <c r="C7" s="91">
        <v>639</v>
      </c>
      <c r="D7" s="91">
        <v>1820</v>
      </c>
      <c r="E7" s="91">
        <v>4454</v>
      </c>
      <c r="F7" s="91">
        <v>4424</v>
      </c>
      <c r="G7" s="92">
        <v>2221</v>
      </c>
      <c r="H7" s="91">
        <v>1761</v>
      </c>
      <c r="I7" s="91">
        <v>3389</v>
      </c>
      <c r="J7" s="91">
        <v>3744</v>
      </c>
      <c r="K7" s="91">
        <v>4181</v>
      </c>
      <c r="L7" s="91">
        <v>2525</v>
      </c>
      <c r="M7" s="93">
        <v>1951</v>
      </c>
      <c r="N7" s="45">
        <f>SUM(B7:M7)</f>
        <v>32702</v>
      </c>
      <c r="O7" s="27">
        <v>17940</v>
      </c>
      <c r="P7" s="27">
        <f>O7/N7</f>
        <v>0.54859030028744415</v>
      </c>
    </row>
    <row r="8" spans="1:16">
      <c r="B8" s="133"/>
      <c r="C8" s="133"/>
      <c r="D8" s="133"/>
      <c r="E8" s="133"/>
      <c r="F8" s="133"/>
      <c r="G8" s="133"/>
      <c r="H8" s="133"/>
      <c r="I8" s="133"/>
      <c r="J8" s="133"/>
      <c r="K8" s="133"/>
      <c r="L8" s="133"/>
      <c r="M8" s="133"/>
      <c r="N8" s="134"/>
      <c r="O8" s="27"/>
      <c r="P8" s="27"/>
    </row>
    <row r="9" spans="1:16">
      <c r="B9" s="133"/>
      <c r="C9" s="133"/>
      <c r="D9" s="133"/>
      <c r="E9" s="133"/>
      <c r="F9" s="133"/>
      <c r="G9" s="133"/>
      <c r="H9" s="133"/>
      <c r="I9" s="133"/>
      <c r="J9" s="133"/>
      <c r="K9" s="133"/>
      <c r="L9" s="133"/>
      <c r="M9" s="133"/>
      <c r="N9" s="134"/>
      <c r="O9" s="27"/>
      <c r="P9" s="27"/>
    </row>
    <row r="10" spans="1:16" ht="24">
      <c r="A10" s="131"/>
      <c r="B10" s="119">
        <v>38534</v>
      </c>
      <c r="C10" s="132">
        <v>38565</v>
      </c>
      <c r="D10" s="132">
        <v>38596</v>
      </c>
      <c r="E10" s="132">
        <v>38626</v>
      </c>
      <c r="F10" s="132">
        <v>38657</v>
      </c>
      <c r="G10" s="132">
        <v>38687</v>
      </c>
      <c r="H10" s="132">
        <v>38718</v>
      </c>
      <c r="I10" s="132">
        <v>38749</v>
      </c>
      <c r="J10" s="132">
        <v>38777</v>
      </c>
      <c r="K10" s="132">
        <v>38808</v>
      </c>
      <c r="L10" s="132">
        <v>38838</v>
      </c>
      <c r="M10" s="132">
        <v>38869</v>
      </c>
      <c r="N10" s="120" t="s">
        <v>1</v>
      </c>
      <c r="O10" s="121" t="s">
        <v>90</v>
      </c>
      <c r="P10" s="121" t="s">
        <v>91</v>
      </c>
    </row>
    <row r="11" spans="1:16">
      <c r="A11" s="1" t="s">
        <v>81</v>
      </c>
      <c r="B11" s="22"/>
      <c r="C11" s="24"/>
      <c r="D11" s="24"/>
      <c r="E11" s="24"/>
      <c r="F11" s="24"/>
      <c r="G11" s="24"/>
      <c r="H11" s="24"/>
      <c r="I11" s="24"/>
      <c r="J11" s="24"/>
      <c r="K11" s="24"/>
      <c r="L11" s="24"/>
      <c r="M11" s="24"/>
      <c r="O11" s="27"/>
      <c r="P11" s="27"/>
    </row>
    <row r="12" spans="1:16">
      <c r="A12" t="s">
        <v>3</v>
      </c>
      <c r="B12" s="91">
        <v>658</v>
      </c>
      <c r="C12" s="91">
        <v>211</v>
      </c>
      <c r="D12" s="91">
        <v>471</v>
      </c>
      <c r="E12" s="91">
        <v>1862</v>
      </c>
      <c r="F12" s="91">
        <v>2179</v>
      </c>
      <c r="G12" s="91">
        <v>1169</v>
      </c>
      <c r="H12" s="91">
        <v>492</v>
      </c>
      <c r="I12" s="91">
        <v>1714</v>
      </c>
      <c r="J12" s="91">
        <v>1799</v>
      </c>
      <c r="K12" s="91">
        <v>1908</v>
      </c>
      <c r="L12" s="91">
        <v>810</v>
      </c>
      <c r="M12" s="91">
        <v>1143</v>
      </c>
      <c r="N12" s="45">
        <f>SUM(B12:M12)</f>
        <v>14416</v>
      </c>
      <c r="O12" s="27">
        <v>0</v>
      </c>
      <c r="P12" s="28" t="s">
        <v>31</v>
      </c>
    </row>
    <row r="13" spans="1:16">
      <c r="B13" s="133"/>
      <c r="C13" s="133"/>
      <c r="D13" s="133"/>
      <c r="E13" s="133"/>
      <c r="F13" s="133"/>
      <c r="G13" s="133"/>
      <c r="H13" s="133"/>
      <c r="I13" s="133"/>
      <c r="J13" s="133"/>
      <c r="K13" s="133"/>
      <c r="L13" s="133"/>
      <c r="M13" s="133"/>
      <c r="N13" s="134"/>
      <c r="O13" s="27"/>
      <c r="P13" s="28"/>
    </row>
    <row r="14" spans="1:16">
      <c r="B14" s="133"/>
      <c r="C14" s="133"/>
      <c r="D14" s="133"/>
      <c r="E14" s="133"/>
      <c r="F14" s="133"/>
      <c r="G14" s="133"/>
      <c r="H14" s="133"/>
      <c r="I14" s="133"/>
      <c r="J14" s="133"/>
      <c r="K14" s="133"/>
      <c r="L14" s="133"/>
      <c r="M14" s="133"/>
      <c r="N14" s="134"/>
      <c r="O14" s="27"/>
      <c r="P14" s="28"/>
    </row>
    <row r="15" spans="1:16" ht="24">
      <c r="A15" s="131"/>
      <c r="B15" s="119">
        <v>38534</v>
      </c>
      <c r="C15" s="132">
        <v>38565</v>
      </c>
      <c r="D15" s="132">
        <v>38596</v>
      </c>
      <c r="E15" s="132">
        <v>38626</v>
      </c>
      <c r="F15" s="132">
        <v>38657</v>
      </c>
      <c r="G15" s="132">
        <v>38687</v>
      </c>
      <c r="H15" s="132">
        <v>38718</v>
      </c>
      <c r="I15" s="132">
        <v>38749</v>
      </c>
      <c r="J15" s="132">
        <v>38777</v>
      </c>
      <c r="K15" s="132">
        <v>38808</v>
      </c>
      <c r="L15" s="132">
        <v>38838</v>
      </c>
      <c r="M15" s="132">
        <v>38869</v>
      </c>
      <c r="N15" s="120" t="s">
        <v>1</v>
      </c>
      <c r="O15" s="121" t="s">
        <v>90</v>
      </c>
      <c r="P15" s="121" t="s">
        <v>91</v>
      </c>
    </row>
    <row r="16" spans="1:16">
      <c r="A16" s="1" t="s">
        <v>83</v>
      </c>
      <c r="B16" s="22"/>
      <c r="C16" s="24"/>
      <c r="D16" s="24"/>
      <c r="E16" s="24"/>
      <c r="F16" s="24"/>
      <c r="G16" s="24"/>
      <c r="H16" s="24"/>
      <c r="I16" s="24"/>
      <c r="J16" s="24"/>
      <c r="K16" s="24"/>
      <c r="L16" s="24"/>
      <c r="M16" s="24"/>
      <c r="O16" s="27"/>
      <c r="P16" s="27"/>
    </row>
    <row r="17" spans="1:16">
      <c r="A17" t="s">
        <v>3</v>
      </c>
      <c r="B17" s="91">
        <v>534</v>
      </c>
      <c r="C17" s="91">
        <v>195</v>
      </c>
      <c r="D17" s="91">
        <v>371</v>
      </c>
      <c r="E17" s="91">
        <v>1235</v>
      </c>
      <c r="F17" s="91">
        <v>1570</v>
      </c>
      <c r="G17" s="91">
        <v>807</v>
      </c>
      <c r="H17" s="91">
        <v>394</v>
      </c>
      <c r="I17" s="91">
        <v>1271</v>
      </c>
      <c r="J17" s="91">
        <v>1469</v>
      </c>
      <c r="K17" s="91">
        <v>1576</v>
      </c>
      <c r="L17" s="91">
        <v>644</v>
      </c>
      <c r="M17" s="91">
        <v>887</v>
      </c>
      <c r="N17" s="45">
        <f>SUM(B17:M17)</f>
        <v>10953</v>
      </c>
      <c r="O17" s="27">
        <v>5475</v>
      </c>
      <c r="P17" s="27">
        <f>O17/N17</f>
        <v>0.49986305121884417</v>
      </c>
    </row>
    <row r="18" spans="1:16">
      <c r="B18" s="133"/>
      <c r="C18" s="133"/>
      <c r="D18" s="133"/>
      <c r="E18" s="133"/>
      <c r="F18" s="133"/>
      <c r="G18" s="133"/>
      <c r="H18" s="133"/>
      <c r="I18" s="133"/>
      <c r="J18" s="133"/>
      <c r="K18" s="133"/>
      <c r="L18" s="133"/>
      <c r="M18" s="133"/>
      <c r="N18" s="134"/>
      <c r="O18" s="27"/>
      <c r="P18" s="27"/>
    </row>
    <row r="19" spans="1:16">
      <c r="B19" s="133"/>
      <c r="C19" s="133"/>
      <c r="D19" s="133"/>
      <c r="E19" s="133"/>
      <c r="F19" s="133"/>
      <c r="G19" s="133"/>
      <c r="H19" s="133"/>
      <c r="I19" s="133"/>
      <c r="J19" s="133"/>
      <c r="K19" s="133"/>
      <c r="L19" s="133"/>
      <c r="M19" s="133"/>
      <c r="N19" s="134"/>
      <c r="O19" s="27"/>
      <c r="P19" s="27"/>
    </row>
    <row r="20" spans="1:16" ht="24">
      <c r="A20" s="131"/>
      <c r="B20" s="119">
        <v>38534</v>
      </c>
      <c r="C20" s="132">
        <v>38565</v>
      </c>
      <c r="D20" s="132">
        <v>38596</v>
      </c>
      <c r="E20" s="132">
        <v>38626</v>
      </c>
      <c r="F20" s="132">
        <v>38657</v>
      </c>
      <c r="G20" s="132">
        <v>38687</v>
      </c>
      <c r="H20" s="132">
        <v>38718</v>
      </c>
      <c r="I20" s="132">
        <v>38749</v>
      </c>
      <c r="J20" s="132">
        <v>38777</v>
      </c>
      <c r="K20" s="132">
        <v>38808</v>
      </c>
      <c r="L20" s="132">
        <v>38838</v>
      </c>
      <c r="M20" s="132">
        <v>38869</v>
      </c>
      <c r="N20" s="120" t="s">
        <v>1</v>
      </c>
      <c r="O20" s="121" t="s">
        <v>90</v>
      </c>
      <c r="P20" s="121" t="s">
        <v>91</v>
      </c>
    </row>
    <row r="21" spans="1:16">
      <c r="A21" s="1" t="s">
        <v>84</v>
      </c>
      <c r="B21" s="22"/>
      <c r="C21" s="24"/>
      <c r="D21" s="24"/>
      <c r="E21" s="24"/>
      <c r="F21" s="24"/>
      <c r="G21" s="24"/>
      <c r="H21" s="24"/>
      <c r="I21" s="24"/>
      <c r="J21" s="24"/>
      <c r="K21" s="24"/>
      <c r="L21" s="24"/>
      <c r="M21" s="24"/>
      <c r="O21" s="27"/>
      <c r="P21" s="27"/>
    </row>
    <row r="22" spans="1:16">
      <c r="A22" t="s">
        <v>3</v>
      </c>
      <c r="B22" s="91">
        <v>987</v>
      </c>
      <c r="C22" s="91">
        <v>278</v>
      </c>
      <c r="D22" s="91">
        <v>631</v>
      </c>
      <c r="E22" s="91">
        <v>1677</v>
      </c>
      <c r="F22" s="91">
        <v>1962</v>
      </c>
      <c r="G22" s="91">
        <v>1170</v>
      </c>
      <c r="H22" s="91">
        <v>574</v>
      </c>
      <c r="I22" s="91">
        <v>1660</v>
      </c>
      <c r="J22" s="91">
        <v>2264</v>
      </c>
      <c r="K22" s="91">
        <v>2211</v>
      </c>
      <c r="L22" s="91">
        <v>863</v>
      </c>
      <c r="M22" s="91">
        <v>1227</v>
      </c>
      <c r="N22" s="45">
        <f>SUM(B22:M22)</f>
        <v>15504</v>
      </c>
      <c r="O22" s="27">
        <v>3071</v>
      </c>
      <c r="P22" s="27">
        <f>O22/N22</f>
        <v>0.19807791537667699</v>
      </c>
    </row>
    <row r="23" spans="1:16">
      <c r="B23" s="133"/>
      <c r="C23" s="133"/>
      <c r="D23" s="133"/>
      <c r="E23" s="133"/>
      <c r="F23" s="133"/>
      <c r="G23" s="133"/>
      <c r="H23" s="133"/>
      <c r="I23" s="133"/>
      <c r="J23" s="133"/>
      <c r="K23" s="133"/>
      <c r="L23" s="133"/>
      <c r="M23" s="133"/>
      <c r="N23" s="134"/>
      <c r="O23" s="27"/>
      <c r="P23" s="27"/>
    </row>
    <row r="24" spans="1:16">
      <c r="B24" s="133"/>
      <c r="C24" s="133"/>
      <c r="D24" s="133"/>
      <c r="E24" s="133"/>
      <c r="F24" s="133"/>
      <c r="G24" s="133"/>
      <c r="H24" s="133"/>
      <c r="I24" s="133"/>
      <c r="J24" s="133"/>
      <c r="K24" s="133"/>
      <c r="L24" s="133"/>
      <c r="M24" s="133"/>
      <c r="N24" s="134"/>
      <c r="O24" s="27"/>
      <c r="P24" s="27"/>
    </row>
    <row r="25" spans="1:16" ht="24">
      <c r="A25" s="131"/>
      <c r="B25" s="119">
        <v>38534</v>
      </c>
      <c r="C25" s="132">
        <v>38565</v>
      </c>
      <c r="D25" s="132">
        <v>38596</v>
      </c>
      <c r="E25" s="132">
        <v>38626</v>
      </c>
      <c r="F25" s="132">
        <v>38657</v>
      </c>
      <c r="G25" s="132">
        <v>38687</v>
      </c>
      <c r="H25" s="132">
        <v>38718</v>
      </c>
      <c r="I25" s="132">
        <v>38749</v>
      </c>
      <c r="J25" s="132">
        <v>38777</v>
      </c>
      <c r="K25" s="132">
        <v>38808</v>
      </c>
      <c r="L25" s="132">
        <v>38838</v>
      </c>
      <c r="M25" s="132">
        <v>38869</v>
      </c>
      <c r="N25" s="120" t="s">
        <v>1</v>
      </c>
      <c r="O25" s="121" t="s">
        <v>90</v>
      </c>
      <c r="P25" s="121" t="s">
        <v>91</v>
      </c>
    </row>
    <row r="26" spans="1:16">
      <c r="A26" s="1" t="s">
        <v>85</v>
      </c>
      <c r="B26" s="22"/>
      <c r="C26" s="24"/>
      <c r="D26" s="24"/>
      <c r="E26" s="24"/>
      <c r="F26" s="24"/>
      <c r="G26" s="24"/>
      <c r="H26" s="24"/>
      <c r="I26" s="24"/>
      <c r="J26" s="24"/>
      <c r="K26" s="24"/>
      <c r="L26" s="24"/>
      <c r="M26" s="24"/>
      <c r="O26" s="27"/>
      <c r="P26" s="27"/>
    </row>
    <row r="27" spans="1:16">
      <c r="A27" t="s">
        <v>3</v>
      </c>
      <c r="B27" s="91">
        <v>624</v>
      </c>
      <c r="C27" s="91">
        <v>254</v>
      </c>
      <c r="D27" s="91">
        <v>473</v>
      </c>
      <c r="E27" s="91">
        <v>1402</v>
      </c>
      <c r="F27" s="91">
        <v>1711</v>
      </c>
      <c r="G27" s="91">
        <v>880</v>
      </c>
      <c r="H27" s="91">
        <v>482</v>
      </c>
      <c r="I27" s="91">
        <v>1403</v>
      </c>
      <c r="J27" s="91">
        <v>1633</v>
      </c>
      <c r="K27" s="91">
        <v>1721</v>
      </c>
      <c r="L27" s="91">
        <v>723</v>
      </c>
      <c r="M27" s="91">
        <v>1035</v>
      </c>
      <c r="N27" s="45">
        <f>SUM(B27:M27)</f>
        <v>12341</v>
      </c>
      <c r="O27" s="27">
        <v>0</v>
      </c>
      <c r="P27" s="28" t="s">
        <v>31</v>
      </c>
    </row>
    <row r="28" spans="1:16">
      <c r="B28" s="133"/>
      <c r="C28" s="133"/>
      <c r="D28" s="133"/>
      <c r="E28" s="133"/>
      <c r="F28" s="133"/>
      <c r="G28" s="133"/>
      <c r="H28" s="133"/>
      <c r="I28" s="133"/>
      <c r="J28" s="133"/>
      <c r="K28" s="133"/>
      <c r="L28" s="133"/>
      <c r="M28" s="133"/>
      <c r="N28" s="134"/>
      <c r="O28" s="27"/>
      <c r="P28" s="28"/>
    </row>
    <row r="29" spans="1:16">
      <c r="B29" s="133"/>
      <c r="C29" s="133"/>
      <c r="D29" s="133"/>
      <c r="E29" s="133"/>
      <c r="F29" s="133"/>
      <c r="G29" s="133"/>
      <c r="H29" s="133"/>
      <c r="I29" s="133"/>
      <c r="J29" s="133"/>
      <c r="K29" s="133"/>
      <c r="L29" s="133"/>
      <c r="M29" s="133"/>
      <c r="N29" s="134"/>
      <c r="O29" s="27"/>
      <c r="P29" s="28"/>
    </row>
    <row r="30" spans="1:16" ht="24">
      <c r="A30" s="131"/>
      <c r="B30" s="119">
        <v>38534</v>
      </c>
      <c r="C30" s="132">
        <v>38565</v>
      </c>
      <c r="D30" s="132">
        <v>38596</v>
      </c>
      <c r="E30" s="132">
        <v>38626</v>
      </c>
      <c r="F30" s="132">
        <v>38657</v>
      </c>
      <c r="G30" s="132">
        <v>38687</v>
      </c>
      <c r="H30" s="132">
        <v>38718</v>
      </c>
      <c r="I30" s="132">
        <v>38749</v>
      </c>
      <c r="J30" s="132">
        <v>38777</v>
      </c>
      <c r="K30" s="132">
        <v>38808</v>
      </c>
      <c r="L30" s="132">
        <v>38838</v>
      </c>
      <c r="M30" s="132">
        <v>38869</v>
      </c>
      <c r="N30" s="120" t="s">
        <v>1</v>
      </c>
      <c r="O30" s="121" t="s">
        <v>90</v>
      </c>
      <c r="P30" s="121" t="s">
        <v>91</v>
      </c>
    </row>
    <row r="31" spans="1:16">
      <c r="A31" s="1" t="s">
        <v>86</v>
      </c>
      <c r="B31" s="22"/>
      <c r="C31" s="24"/>
      <c r="D31" s="24"/>
      <c r="E31" s="24"/>
      <c r="F31" s="24"/>
      <c r="G31" s="24"/>
      <c r="H31" s="24"/>
      <c r="I31" s="24"/>
      <c r="J31" s="24"/>
      <c r="K31" s="24"/>
      <c r="L31" s="24"/>
      <c r="M31" s="24"/>
      <c r="O31" s="27"/>
      <c r="P31" s="27"/>
    </row>
    <row r="32" spans="1:16">
      <c r="A32" t="s">
        <v>3</v>
      </c>
      <c r="B32" s="91">
        <v>909</v>
      </c>
      <c r="C32" s="91">
        <v>520</v>
      </c>
      <c r="D32" s="91">
        <v>551</v>
      </c>
      <c r="E32" s="91">
        <v>1608</v>
      </c>
      <c r="F32" s="91">
        <v>2014</v>
      </c>
      <c r="G32" s="91">
        <v>1133</v>
      </c>
      <c r="H32" s="91">
        <v>755</v>
      </c>
      <c r="I32" s="91">
        <v>1567</v>
      </c>
      <c r="J32" s="91">
        <v>1857</v>
      </c>
      <c r="K32" s="91">
        <v>1912</v>
      </c>
      <c r="L32" s="91">
        <v>907</v>
      </c>
      <c r="M32" s="91">
        <v>1220</v>
      </c>
      <c r="N32" s="45">
        <f>SUM(B32:M32)</f>
        <v>14953</v>
      </c>
      <c r="O32" s="27">
        <v>1820</v>
      </c>
      <c r="P32" s="27">
        <f>O32/N32</f>
        <v>0.12171470607904768</v>
      </c>
    </row>
    <row r="33" spans="1:16">
      <c r="B33" s="133"/>
      <c r="C33" s="133"/>
      <c r="D33" s="133"/>
      <c r="E33" s="133"/>
      <c r="F33" s="133"/>
      <c r="G33" s="133"/>
      <c r="H33" s="133"/>
      <c r="I33" s="133"/>
      <c r="J33" s="133"/>
      <c r="K33" s="133"/>
      <c r="L33" s="133"/>
      <c r="M33" s="133"/>
      <c r="N33" s="134"/>
      <c r="O33" s="27"/>
      <c r="P33" s="27"/>
    </row>
    <row r="34" spans="1:16">
      <c r="B34" s="133"/>
      <c r="C34" s="133"/>
      <c r="D34" s="133"/>
      <c r="E34" s="133"/>
      <c r="F34" s="133"/>
      <c r="G34" s="133"/>
      <c r="H34" s="133"/>
      <c r="I34" s="133"/>
      <c r="J34" s="133"/>
      <c r="K34" s="133"/>
      <c r="L34" s="133"/>
      <c r="M34" s="133"/>
      <c r="N34" s="134"/>
      <c r="O34" s="27"/>
      <c r="P34" s="27"/>
    </row>
    <row r="35" spans="1:16" ht="24">
      <c r="A35" s="131"/>
      <c r="B35" s="119">
        <v>38534</v>
      </c>
      <c r="C35" s="132">
        <v>38565</v>
      </c>
      <c r="D35" s="132">
        <v>38596</v>
      </c>
      <c r="E35" s="132">
        <v>38626</v>
      </c>
      <c r="F35" s="132">
        <v>38657</v>
      </c>
      <c r="G35" s="132">
        <v>38687</v>
      </c>
      <c r="H35" s="132">
        <v>38718</v>
      </c>
      <c r="I35" s="132">
        <v>38749</v>
      </c>
      <c r="J35" s="132">
        <v>38777</v>
      </c>
      <c r="K35" s="132">
        <v>38808</v>
      </c>
      <c r="L35" s="132">
        <v>38838</v>
      </c>
      <c r="M35" s="132">
        <v>38869</v>
      </c>
      <c r="N35" s="120" t="s">
        <v>1</v>
      </c>
      <c r="O35" s="121" t="s">
        <v>90</v>
      </c>
      <c r="P35" s="121" t="s">
        <v>91</v>
      </c>
    </row>
    <row r="36" spans="1:16">
      <c r="A36" s="1" t="s">
        <v>87</v>
      </c>
      <c r="B36" s="22"/>
      <c r="C36" s="24"/>
      <c r="D36" s="24"/>
      <c r="E36" s="24"/>
      <c r="F36" s="24"/>
      <c r="G36" s="24"/>
      <c r="H36" s="24"/>
      <c r="I36" s="24"/>
      <c r="J36" s="24"/>
      <c r="K36" s="24"/>
      <c r="L36" s="24"/>
      <c r="M36" s="24"/>
      <c r="O36" s="27"/>
      <c r="P36" s="27"/>
    </row>
    <row r="37" spans="1:16">
      <c r="A37" t="s">
        <v>3</v>
      </c>
      <c r="B37" s="91">
        <v>627</v>
      </c>
      <c r="C37" s="91">
        <v>261</v>
      </c>
      <c r="D37" s="91">
        <v>497</v>
      </c>
      <c r="E37" s="91">
        <v>1417</v>
      </c>
      <c r="F37" s="91">
        <v>1740</v>
      </c>
      <c r="G37" s="91">
        <v>914</v>
      </c>
      <c r="H37" s="91">
        <v>486</v>
      </c>
      <c r="I37" s="91">
        <v>1410</v>
      </c>
      <c r="J37" s="91">
        <v>1634</v>
      </c>
      <c r="K37" s="91">
        <v>1730</v>
      </c>
      <c r="L37" s="91">
        <v>738</v>
      </c>
      <c r="M37" s="91">
        <v>1072</v>
      </c>
      <c r="N37" s="45">
        <f>SUM(B37:M37)</f>
        <v>12526</v>
      </c>
      <c r="O37" s="27">
        <v>0</v>
      </c>
      <c r="P37" s="28" t="s">
        <v>31</v>
      </c>
    </row>
    <row r="38" spans="1:16">
      <c r="B38" s="133"/>
      <c r="C38" s="133"/>
      <c r="D38" s="133"/>
      <c r="E38" s="133"/>
      <c r="F38" s="133"/>
      <c r="G38" s="133"/>
      <c r="H38" s="133"/>
      <c r="I38" s="133"/>
      <c r="J38" s="133"/>
      <c r="K38" s="133"/>
      <c r="L38" s="133"/>
      <c r="M38" s="133"/>
      <c r="N38" s="134"/>
      <c r="O38" s="27"/>
      <c r="P38" s="28"/>
    </row>
    <row r="39" spans="1:16">
      <c r="B39" s="133"/>
      <c r="C39" s="133"/>
      <c r="D39" s="133"/>
      <c r="E39" s="133"/>
      <c r="F39" s="133"/>
      <c r="G39" s="133"/>
      <c r="H39" s="133"/>
      <c r="I39" s="133"/>
      <c r="J39" s="133"/>
      <c r="K39" s="133"/>
      <c r="L39" s="133"/>
      <c r="M39" s="133"/>
      <c r="N39" s="134"/>
      <c r="O39" s="27"/>
      <c r="P39" s="28"/>
    </row>
    <row r="40" spans="1:16" ht="24">
      <c r="A40" s="131"/>
      <c r="B40" s="119">
        <v>38534</v>
      </c>
      <c r="C40" s="132">
        <v>38565</v>
      </c>
      <c r="D40" s="132">
        <v>38596</v>
      </c>
      <c r="E40" s="132">
        <v>38626</v>
      </c>
      <c r="F40" s="132">
        <v>38657</v>
      </c>
      <c r="G40" s="132">
        <v>38687</v>
      </c>
      <c r="H40" s="132">
        <v>38718</v>
      </c>
      <c r="I40" s="132">
        <v>38749</v>
      </c>
      <c r="J40" s="132">
        <v>38777</v>
      </c>
      <c r="K40" s="132">
        <v>38808</v>
      </c>
      <c r="L40" s="132">
        <v>38838</v>
      </c>
      <c r="M40" s="132">
        <v>38869</v>
      </c>
      <c r="N40" s="120" t="s">
        <v>1</v>
      </c>
      <c r="O40" s="121" t="s">
        <v>90</v>
      </c>
      <c r="P40" s="121" t="s">
        <v>91</v>
      </c>
    </row>
    <row r="41" spans="1:16" ht="24">
      <c r="A41" s="26" t="s">
        <v>88</v>
      </c>
      <c r="B41" s="22"/>
      <c r="C41" s="24"/>
      <c r="D41" s="24"/>
      <c r="E41" s="24"/>
      <c r="F41" s="24"/>
      <c r="G41" s="24"/>
      <c r="H41" s="24"/>
      <c r="I41" s="24"/>
      <c r="J41" s="24"/>
      <c r="K41" s="24"/>
      <c r="L41" s="24"/>
      <c r="M41" s="24"/>
      <c r="O41" s="27"/>
      <c r="P41" s="27"/>
    </row>
    <row r="42" spans="1:16">
      <c r="A42" t="s">
        <v>3</v>
      </c>
      <c r="B42" s="91">
        <v>103</v>
      </c>
      <c r="C42" s="91">
        <v>65</v>
      </c>
      <c r="D42" s="91">
        <v>9</v>
      </c>
      <c r="E42" s="91">
        <v>231</v>
      </c>
      <c r="F42" s="91">
        <v>99</v>
      </c>
      <c r="G42" s="91">
        <v>69</v>
      </c>
      <c r="H42" s="91">
        <v>74</v>
      </c>
      <c r="I42" s="91">
        <v>188</v>
      </c>
      <c r="J42" s="91">
        <v>264</v>
      </c>
      <c r="K42" s="91">
        <v>445</v>
      </c>
      <c r="L42" s="91">
        <v>140</v>
      </c>
      <c r="M42" s="91">
        <v>68</v>
      </c>
      <c r="N42" s="45">
        <f>SUM(B42:M42)</f>
        <v>1755</v>
      </c>
      <c r="O42" s="27">
        <v>0</v>
      </c>
      <c r="P42" s="28" t="s">
        <v>31</v>
      </c>
    </row>
    <row r="43" spans="1:16">
      <c r="B43" s="133"/>
      <c r="C43" s="133"/>
      <c r="D43" s="133"/>
      <c r="E43" s="133"/>
      <c r="F43" s="133"/>
      <c r="G43" s="133"/>
      <c r="H43" s="133"/>
      <c r="I43" s="133"/>
      <c r="J43" s="133"/>
      <c r="K43" s="133"/>
      <c r="L43" s="133"/>
      <c r="M43" s="133"/>
      <c r="N43" s="134"/>
      <c r="O43" s="27"/>
      <c r="P43" s="28"/>
    </row>
    <row r="44" spans="1:16">
      <c r="A44" s="17"/>
      <c r="B44" s="12"/>
      <c r="C44" s="12"/>
      <c r="D44" s="12"/>
      <c r="E44" s="12"/>
      <c r="F44" s="12"/>
      <c r="G44" s="12"/>
      <c r="H44" s="12"/>
      <c r="I44" s="12"/>
      <c r="J44" s="12"/>
      <c r="K44" s="12"/>
      <c r="L44" s="12"/>
      <c r="M44" s="12"/>
      <c r="N44" s="12"/>
      <c r="O44" s="27"/>
      <c r="P44" s="27"/>
    </row>
    <row r="45" spans="1:16" ht="24">
      <c r="A45" s="131"/>
      <c r="B45" s="119">
        <v>38534</v>
      </c>
      <c r="C45" s="132">
        <v>38565</v>
      </c>
      <c r="D45" s="132">
        <v>38596</v>
      </c>
      <c r="E45" s="132">
        <v>38626</v>
      </c>
      <c r="F45" s="132">
        <v>38657</v>
      </c>
      <c r="G45" s="132">
        <v>38687</v>
      </c>
      <c r="H45" s="132">
        <v>38718</v>
      </c>
      <c r="I45" s="132">
        <v>38749</v>
      </c>
      <c r="J45" s="132">
        <v>38777</v>
      </c>
      <c r="K45" s="132">
        <v>38808</v>
      </c>
      <c r="L45" s="132">
        <v>38838</v>
      </c>
      <c r="M45" s="132">
        <v>38869</v>
      </c>
      <c r="N45" s="120" t="s">
        <v>1</v>
      </c>
      <c r="O45" s="121" t="s">
        <v>90</v>
      </c>
      <c r="P45" s="121" t="s">
        <v>228</v>
      </c>
    </row>
    <row r="46" spans="1:16">
      <c r="A46" s="1" t="s">
        <v>82</v>
      </c>
      <c r="B46" s="22"/>
      <c r="C46" s="24"/>
      <c r="D46" s="24"/>
      <c r="E46" s="24"/>
      <c r="F46" s="24"/>
      <c r="G46" s="24"/>
      <c r="H46" s="24"/>
      <c r="I46" s="24"/>
      <c r="J46" s="24"/>
      <c r="K46" s="24"/>
      <c r="L46" s="24"/>
      <c r="M46" s="24"/>
      <c r="O46" s="27"/>
      <c r="P46" s="27"/>
    </row>
    <row r="47" spans="1:16">
      <c r="A47" t="s">
        <v>2</v>
      </c>
      <c r="B47" s="91">
        <v>1040</v>
      </c>
      <c r="C47" s="91">
        <v>446</v>
      </c>
      <c r="D47" s="91">
        <v>1397</v>
      </c>
      <c r="E47" s="91">
        <v>2347</v>
      </c>
      <c r="F47" s="91">
        <v>2606</v>
      </c>
      <c r="G47" s="91">
        <v>1389</v>
      </c>
      <c r="H47" s="91">
        <v>841</v>
      </c>
      <c r="I47" s="91">
        <v>1959</v>
      </c>
      <c r="J47" s="91">
        <v>2380</v>
      </c>
      <c r="K47" s="91">
        <v>2423</v>
      </c>
      <c r="L47" s="91">
        <v>1043</v>
      </c>
      <c r="M47" s="91">
        <v>935</v>
      </c>
      <c r="N47" s="45">
        <f>SUM(B47:M47)</f>
        <v>18806</v>
      </c>
      <c r="P47" s="27"/>
    </row>
    <row r="48" spans="1:16">
      <c r="A48" t="s">
        <v>3</v>
      </c>
      <c r="B48" s="91">
        <v>2517</v>
      </c>
      <c r="C48" s="91">
        <v>1055</v>
      </c>
      <c r="D48" s="91">
        <v>2395</v>
      </c>
      <c r="E48" s="91">
        <v>5687</v>
      </c>
      <c r="F48" s="91">
        <v>5630</v>
      </c>
      <c r="G48" s="91">
        <v>3262</v>
      </c>
      <c r="H48" s="91">
        <v>2121</v>
      </c>
      <c r="I48" s="91">
        <v>4858</v>
      </c>
      <c r="J48" s="91">
        <v>5875</v>
      </c>
      <c r="K48" s="91">
        <v>5685</v>
      </c>
      <c r="L48" s="91">
        <v>3320</v>
      </c>
      <c r="M48" s="91">
        <v>2758</v>
      </c>
      <c r="N48" s="45">
        <f>SUM(B48:M48)</f>
        <v>45163</v>
      </c>
      <c r="O48" s="27">
        <f>SUM(O7:O46)</f>
        <v>28306</v>
      </c>
      <c r="P48" s="27">
        <f>O48/N48</f>
        <v>0.62675198724619707</v>
      </c>
    </row>
    <row r="49" spans="1:16">
      <c r="A49" t="s">
        <v>156</v>
      </c>
      <c r="B49" s="91">
        <v>1982</v>
      </c>
      <c r="C49" s="91">
        <v>1808</v>
      </c>
      <c r="D49" s="91">
        <v>2298</v>
      </c>
      <c r="E49" s="91">
        <v>5834</v>
      </c>
      <c r="F49" s="91">
        <v>5588</v>
      </c>
      <c r="G49" s="91">
        <v>3542</v>
      </c>
      <c r="H49" s="91">
        <v>2490</v>
      </c>
      <c r="I49" s="91">
        <v>4698</v>
      </c>
      <c r="J49" s="91">
        <v>5214</v>
      </c>
      <c r="K49" s="91">
        <v>5929</v>
      </c>
      <c r="L49" s="91">
        <v>2962</v>
      </c>
      <c r="M49" s="91">
        <v>3139</v>
      </c>
      <c r="N49" s="45">
        <f>SUM(B49:M49)</f>
        <v>45484</v>
      </c>
      <c r="O49" s="28">
        <f>O48</f>
        <v>28306</v>
      </c>
      <c r="P49" s="27">
        <f>O49/N49</f>
        <v>0.62232873098232344</v>
      </c>
    </row>
  </sheetData>
  <phoneticPr fontId="2" type="noConversion"/>
  <pageMargins left="0.75" right="0.75" top="1" bottom="1" header="0.5" footer="0.5"/>
  <pageSetup scale="81" fitToHeight="5" orientation="landscape"/>
  <headerFooter>
    <oddFooter>&amp;L&amp;K000000ProQuest&amp;R&amp;K0000002005-06 usage</oddFooter>
  </headerFooter>
  <extLst>
    <ext xmlns:mx="http://schemas.microsoft.com/office/mac/excel/2008/main" uri="{64002731-A6B0-56B0-2670-7721B7C09600}">
      <mx:PLV Mode="0" OnePage="0" WScale="0"/>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P10"/>
  <sheetViews>
    <sheetView workbookViewId="0"/>
  </sheetViews>
  <sheetFormatPr baseColWidth="10" defaultColWidth="8.83203125" defaultRowHeight="12" x14ac:dyDescent="0"/>
  <cols>
    <col min="1" max="1" width="20" customWidth="1"/>
    <col min="2" max="2" width="6.1640625" bestFit="1" customWidth="1"/>
    <col min="3" max="3" width="7" bestFit="1" customWidth="1"/>
    <col min="4" max="4" width="6.6640625" bestFit="1" customWidth="1"/>
    <col min="5" max="5" width="6.5" bestFit="1" customWidth="1"/>
    <col min="6" max="6" width="6.83203125" bestFit="1" customWidth="1"/>
    <col min="7" max="7" width="6.6640625" bestFit="1" customWidth="1"/>
    <col min="8" max="8" width="6.5" bestFit="1" customWidth="1"/>
    <col min="9" max="10" width="6.6640625" bestFit="1" customWidth="1"/>
    <col min="11" max="11" width="6.5" bestFit="1" customWidth="1"/>
    <col min="12" max="12" width="7" bestFit="1" customWidth="1"/>
    <col min="13" max="13" width="6.6640625" bestFit="1" customWidth="1"/>
    <col min="14" max="14" width="5.5" bestFit="1" customWidth="1"/>
    <col min="15" max="15" width="9.1640625" bestFit="1" customWidth="1"/>
    <col min="16" max="16" width="8.33203125" bestFit="1" customWidth="1"/>
  </cols>
  <sheetData>
    <row r="1" spans="1:16" ht="18">
      <c r="A1" s="2" t="s">
        <v>20</v>
      </c>
    </row>
    <row r="2" spans="1:16" ht="17">
      <c r="A2" s="3" t="s">
        <v>46</v>
      </c>
    </row>
    <row r="5" spans="1:16" ht="33.75" customHeight="1">
      <c r="A5" s="112"/>
      <c r="B5" s="113">
        <v>38534</v>
      </c>
      <c r="C5" s="113">
        <v>38565</v>
      </c>
      <c r="D5" s="113">
        <v>38596</v>
      </c>
      <c r="E5" s="113">
        <v>38626</v>
      </c>
      <c r="F5" s="113">
        <v>38657</v>
      </c>
      <c r="G5" s="113">
        <v>38687</v>
      </c>
      <c r="H5" s="113">
        <v>38718</v>
      </c>
      <c r="I5" s="113">
        <v>38749</v>
      </c>
      <c r="J5" s="113">
        <v>38777</v>
      </c>
      <c r="K5" s="113">
        <v>38808</v>
      </c>
      <c r="L5" s="113">
        <v>38838</v>
      </c>
      <c r="M5" s="113">
        <v>38869</v>
      </c>
      <c r="N5" s="114" t="s">
        <v>1</v>
      </c>
      <c r="O5" s="115" t="s">
        <v>90</v>
      </c>
      <c r="P5" s="115" t="s">
        <v>91</v>
      </c>
    </row>
    <row r="6" spans="1:16">
      <c r="A6" s="1" t="s">
        <v>20</v>
      </c>
      <c r="B6" s="4"/>
      <c r="C6" s="5"/>
      <c r="D6" s="5"/>
      <c r="E6" s="5"/>
      <c r="F6" s="5"/>
      <c r="G6" s="5"/>
      <c r="H6" s="5"/>
      <c r="I6" s="5"/>
      <c r="J6" s="5"/>
      <c r="K6" s="5"/>
      <c r="L6" s="5"/>
      <c r="M6" s="5"/>
      <c r="N6" s="5"/>
    </row>
    <row r="7" spans="1:16">
      <c r="A7" t="s">
        <v>2</v>
      </c>
      <c r="B7" s="84">
        <v>122</v>
      </c>
      <c r="C7" s="84">
        <v>119</v>
      </c>
      <c r="D7" s="84">
        <v>109</v>
      </c>
      <c r="E7" s="84">
        <v>102</v>
      </c>
      <c r="F7" s="84">
        <v>127</v>
      </c>
      <c r="G7" s="84">
        <v>101</v>
      </c>
      <c r="H7" s="84">
        <v>107</v>
      </c>
      <c r="I7" s="84">
        <v>227</v>
      </c>
      <c r="J7" s="84">
        <v>254</v>
      </c>
      <c r="K7" s="84">
        <v>253</v>
      </c>
      <c r="L7" s="84">
        <v>89</v>
      </c>
      <c r="M7" s="84">
        <v>79</v>
      </c>
      <c r="N7" s="45">
        <f>SUM(B7:M7)</f>
        <v>1689</v>
      </c>
      <c r="O7" s="27"/>
      <c r="P7" s="27"/>
    </row>
    <row r="8" spans="1:16">
      <c r="A8" t="s">
        <v>3</v>
      </c>
      <c r="B8" s="84">
        <v>241</v>
      </c>
      <c r="C8" s="84">
        <v>325</v>
      </c>
      <c r="D8" s="84">
        <v>278</v>
      </c>
      <c r="E8" s="84">
        <v>271</v>
      </c>
      <c r="F8" s="84">
        <v>250</v>
      </c>
      <c r="G8" s="84">
        <v>321</v>
      </c>
      <c r="H8" s="84">
        <v>316</v>
      </c>
      <c r="I8" s="84">
        <v>490</v>
      </c>
      <c r="J8" s="84">
        <v>850</v>
      </c>
      <c r="K8" s="84">
        <v>626</v>
      </c>
      <c r="L8" s="84">
        <v>319</v>
      </c>
      <c r="M8" s="84">
        <v>196</v>
      </c>
      <c r="N8" s="45">
        <f>SUM(B8:M8)</f>
        <v>4483</v>
      </c>
      <c r="O8" s="27">
        <v>4792</v>
      </c>
      <c r="P8" s="27">
        <f>O8/N8</f>
        <v>1.0689270577738121</v>
      </c>
    </row>
    <row r="9" spans="1:16">
      <c r="A9" t="s">
        <v>21</v>
      </c>
      <c r="B9" s="36">
        <v>35</v>
      </c>
      <c r="C9" s="36">
        <f>11+2</f>
        <v>13</v>
      </c>
      <c r="D9" s="36">
        <v>45</v>
      </c>
      <c r="E9" s="36">
        <v>55</v>
      </c>
      <c r="F9" s="36">
        <v>41</v>
      </c>
      <c r="G9" s="36">
        <v>77</v>
      </c>
      <c r="H9" s="36">
        <f>21+1</f>
        <v>22</v>
      </c>
      <c r="I9" s="36">
        <v>79</v>
      </c>
      <c r="J9" s="36">
        <v>88</v>
      </c>
      <c r="K9" s="36">
        <v>112</v>
      </c>
      <c r="L9" s="36">
        <v>62</v>
      </c>
      <c r="M9" s="36">
        <v>43</v>
      </c>
      <c r="N9" s="45">
        <f>SUM(B9:M9)</f>
        <v>672</v>
      </c>
      <c r="O9" s="27"/>
      <c r="P9" s="27"/>
    </row>
    <row r="10" spans="1:16">
      <c r="A10" t="s">
        <v>22</v>
      </c>
      <c r="B10" s="85">
        <v>206</v>
      </c>
      <c r="C10" s="85">
        <f>181+131</f>
        <v>312</v>
      </c>
      <c r="D10" s="85">
        <f>232+1</f>
        <v>233</v>
      </c>
      <c r="E10" s="85">
        <f>212+4</f>
        <v>216</v>
      </c>
      <c r="F10" s="85">
        <v>209</v>
      </c>
      <c r="G10" s="86">
        <v>244</v>
      </c>
      <c r="H10" s="85">
        <f>290+4</f>
        <v>294</v>
      </c>
      <c r="I10" s="85">
        <v>411</v>
      </c>
      <c r="J10" s="85">
        <v>762</v>
      </c>
      <c r="K10" s="85">
        <v>514</v>
      </c>
      <c r="L10" s="85">
        <v>257</v>
      </c>
      <c r="M10" s="86">
        <v>153</v>
      </c>
      <c r="N10" s="45">
        <f>SUM(B10:M10)</f>
        <v>3811</v>
      </c>
      <c r="O10" s="27"/>
      <c r="P10" s="27"/>
    </row>
  </sheetData>
  <phoneticPr fontId="2" type="noConversion"/>
  <pageMargins left="0.75" right="0.75" top="1" bottom="1" header="0.5" footer="0.5"/>
  <pageSetup scale="92" orientation="landscape"/>
  <headerFooter>
    <oddFooter>&amp;L&amp;K000000Reference USA&amp;R&amp;K0000002005-06 usage</oddFooter>
  </headerFooter>
  <extLst>
    <ext xmlns:mx="http://schemas.microsoft.com/office/mac/excel/2008/main" uri="{64002731-A6B0-56B0-2670-7721B7C09600}">
      <mx:PLV Mode="0" OnePage="0" WScale="0"/>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Q68"/>
  <sheetViews>
    <sheetView workbookViewId="0"/>
  </sheetViews>
  <sheetFormatPr baseColWidth="10" defaultColWidth="8.83203125" defaultRowHeight="12" x14ac:dyDescent="0"/>
  <cols>
    <col min="1" max="1" width="31.33203125" customWidth="1"/>
    <col min="2" max="2" width="6.1640625" bestFit="1" customWidth="1"/>
    <col min="3" max="3" width="7" bestFit="1" customWidth="1"/>
    <col min="4" max="4" width="6.6640625" bestFit="1" customWidth="1"/>
    <col min="5" max="5" width="6.5" bestFit="1" customWidth="1"/>
    <col min="6" max="6" width="6.83203125" bestFit="1" customWidth="1"/>
    <col min="7" max="7" width="6.6640625" bestFit="1" customWidth="1"/>
    <col min="8" max="8" width="6.5" bestFit="1" customWidth="1"/>
    <col min="9" max="10" width="6.6640625" bestFit="1" customWidth="1"/>
    <col min="11" max="11" width="6.5" bestFit="1" customWidth="1"/>
    <col min="12" max="12" width="7" bestFit="1" customWidth="1"/>
    <col min="13" max="13" width="6.6640625" bestFit="1" customWidth="1"/>
    <col min="14" max="14" width="6.33203125" bestFit="1" customWidth="1"/>
    <col min="15" max="15" width="10.1640625" bestFit="1" customWidth="1"/>
    <col min="16" max="16" width="8" bestFit="1" customWidth="1"/>
    <col min="17" max="17" width="17.5" bestFit="1" customWidth="1"/>
  </cols>
  <sheetData>
    <row r="1" spans="1:17" ht="18">
      <c r="A1" s="2" t="s">
        <v>130</v>
      </c>
    </row>
    <row r="2" spans="1:17" ht="17">
      <c r="A2" s="3" t="s">
        <v>46</v>
      </c>
    </row>
    <row r="3" spans="1:17" ht="12.75" customHeight="1">
      <c r="A3" s="3"/>
    </row>
    <row r="5" spans="1:17" ht="24">
      <c r="A5" s="112"/>
      <c r="B5" s="113">
        <v>38534</v>
      </c>
      <c r="C5" s="113">
        <v>38565</v>
      </c>
      <c r="D5" s="113">
        <v>38596</v>
      </c>
      <c r="E5" s="113">
        <v>38626</v>
      </c>
      <c r="F5" s="113">
        <v>38657</v>
      </c>
      <c r="G5" s="113">
        <v>38687</v>
      </c>
      <c r="H5" s="113">
        <v>38718</v>
      </c>
      <c r="I5" s="113">
        <v>38749</v>
      </c>
      <c r="J5" s="113">
        <v>38777</v>
      </c>
      <c r="K5" s="113">
        <v>38808</v>
      </c>
      <c r="L5" s="113">
        <v>38838</v>
      </c>
      <c r="M5" s="113">
        <v>38869</v>
      </c>
      <c r="N5" s="114" t="s">
        <v>1</v>
      </c>
      <c r="O5" s="115" t="s">
        <v>90</v>
      </c>
      <c r="P5" s="115" t="s">
        <v>118</v>
      </c>
    </row>
    <row r="6" spans="1:17">
      <c r="A6" s="127" t="s">
        <v>214</v>
      </c>
      <c r="B6" s="128"/>
      <c r="C6" s="128"/>
      <c r="D6" s="128"/>
      <c r="E6" s="128"/>
      <c r="F6" s="128"/>
      <c r="G6" s="128"/>
      <c r="H6" s="128"/>
      <c r="I6" s="128"/>
      <c r="J6" s="128"/>
      <c r="K6" s="128"/>
      <c r="L6" s="128"/>
      <c r="M6" s="128"/>
      <c r="N6" s="129"/>
      <c r="O6" s="130"/>
      <c r="P6" s="130"/>
    </row>
    <row r="7" spans="1:17">
      <c r="A7" t="s">
        <v>119</v>
      </c>
      <c r="B7" s="43">
        <v>1</v>
      </c>
      <c r="C7" s="44" t="s">
        <v>31</v>
      </c>
      <c r="D7" s="43">
        <v>21</v>
      </c>
      <c r="E7" s="43">
        <v>27</v>
      </c>
      <c r="F7" s="43">
        <v>54</v>
      </c>
      <c r="G7" s="43">
        <v>3</v>
      </c>
      <c r="H7" s="43">
        <v>6</v>
      </c>
      <c r="I7" s="43">
        <v>24</v>
      </c>
      <c r="J7" s="43">
        <v>13</v>
      </c>
      <c r="K7" s="43">
        <v>19</v>
      </c>
      <c r="L7" s="43">
        <v>6</v>
      </c>
      <c r="M7" s="43">
        <v>4</v>
      </c>
      <c r="N7" s="45">
        <f t="shared" ref="N7:N13" si="0">SUM(B7:M7)</f>
        <v>178</v>
      </c>
      <c r="O7" s="46">
        <v>10500</v>
      </c>
      <c r="P7" s="37">
        <f t="shared" ref="P7:P13" si="1">O7/N7</f>
        <v>58.988764044943821</v>
      </c>
    </row>
    <row r="8" spans="1:17">
      <c r="A8" t="s">
        <v>120</v>
      </c>
      <c r="B8" s="47">
        <v>5</v>
      </c>
      <c r="C8" s="48" t="s">
        <v>31</v>
      </c>
      <c r="D8" s="47">
        <v>3</v>
      </c>
      <c r="E8" s="47">
        <v>14</v>
      </c>
      <c r="F8" s="47">
        <v>20</v>
      </c>
      <c r="G8" s="47">
        <v>21</v>
      </c>
      <c r="H8" s="47">
        <v>16</v>
      </c>
      <c r="I8" s="47">
        <v>27</v>
      </c>
      <c r="J8" s="47">
        <v>19</v>
      </c>
      <c r="K8" s="47">
        <v>24</v>
      </c>
      <c r="L8" s="47">
        <v>18</v>
      </c>
      <c r="M8" s="47">
        <v>11</v>
      </c>
      <c r="N8" s="45">
        <f t="shared" si="0"/>
        <v>178</v>
      </c>
      <c r="O8" s="46">
        <v>10500</v>
      </c>
      <c r="P8" s="37">
        <f t="shared" si="1"/>
        <v>58.988764044943821</v>
      </c>
    </row>
    <row r="9" spans="1:17">
      <c r="A9" s="1" t="s">
        <v>121</v>
      </c>
      <c r="B9" s="49">
        <v>6</v>
      </c>
      <c r="C9" s="49">
        <v>4</v>
      </c>
      <c r="D9" s="49">
        <v>24</v>
      </c>
      <c r="E9" s="49">
        <v>41</v>
      </c>
      <c r="F9" s="49">
        <v>74</v>
      </c>
      <c r="G9" s="49">
        <v>24</v>
      </c>
      <c r="H9" s="49">
        <v>22</v>
      </c>
      <c r="I9" s="49">
        <v>51</v>
      </c>
      <c r="J9" s="49">
        <v>32</v>
      </c>
      <c r="K9" s="49">
        <v>43</v>
      </c>
      <c r="L9" s="49">
        <v>24</v>
      </c>
      <c r="M9" s="49">
        <v>15</v>
      </c>
      <c r="N9" s="50">
        <f t="shared" si="0"/>
        <v>360</v>
      </c>
      <c r="O9" s="46">
        <v>10500</v>
      </c>
      <c r="P9" s="51">
        <f t="shared" si="1"/>
        <v>29.166666666666668</v>
      </c>
      <c r="Q9" t="s">
        <v>122</v>
      </c>
    </row>
    <row r="10" spans="1:17">
      <c r="A10" s="1" t="s">
        <v>123</v>
      </c>
      <c r="B10" s="49">
        <v>18</v>
      </c>
      <c r="C10" s="49">
        <v>4</v>
      </c>
      <c r="D10" s="49">
        <v>50</v>
      </c>
      <c r="E10" s="49">
        <v>156</v>
      </c>
      <c r="F10" s="49">
        <v>318</v>
      </c>
      <c r="G10" s="49">
        <v>120</v>
      </c>
      <c r="H10" s="49">
        <v>111</v>
      </c>
      <c r="I10" s="49">
        <v>198</v>
      </c>
      <c r="J10" s="49">
        <v>199</v>
      </c>
      <c r="K10" s="49">
        <v>199</v>
      </c>
      <c r="L10" s="49">
        <v>97</v>
      </c>
      <c r="M10" s="49">
        <v>59</v>
      </c>
      <c r="N10" s="50">
        <f t="shared" si="0"/>
        <v>1529</v>
      </c>
      <c r="O10" s="46">
        <v>10500</v>
      </c>
      <c r="P10" s="51">
        <f t="shared" si="1"/>
        <v>6.867233485938522</v>
      </c>
      <c r="Q10" t="s">
        <v>124</v>
      </c>
    </row>
    <row r="11" spans="1:17">
      <c r="A11" t="s">
        <v>125</v>
      </c>
      <c r="B11" s="52">
        <v>3</v>
      </c>
      <c r="C11" s="52">
        <v>1</v>
      </c>
      <c r="D11" s="52">
        <v>2.08</v>
      </c>
      <c r="E11" s="52">
        <v>3.8</v>
      </c>
      <c r="F11" s="52">
        <v>4.3</v>
      </c>
      <c r="G11" s="52">
        <v>5</v>
      </c>
      <c r="H11" s="52">
        <v>5.05</v>
      </c>
      <c r="I11" s="52">
        <v>3.88</v>
      </c>
      <c r="J11" s="52">
        <v>6.22</v>
      </c>
      <c r="K11" s="52">
        <v>4.63</v>
      </c>
      <c r="L11" s="52">
        <v>4.04</v>
      </c>
      <c r="M11" s="52">
        <v>3.93</v>
      </c>
      <c r="N11" s="53">
        <f t="shared" si="0"/>
        <v>46.93</v>
      </c>
      <c r="O11" s="46">
        <v>10500</v>
      </c>
      <c r="P11" s="37">
        <f t="shared" si="1"/>
        <v>223.73748135520989</v>
      </c>
    </row>
    <row r="12" spans="1:17">
      <c r="A12" s="1" t="s">
        <v>126</v>
      </c>
      <c r="B12" s="36">
        <v>27</v>
      </c>
      <c r="C12" s="36">
        <v>0</v>
      </c>
      <c r="D12" s="36">
        <v>38</v>
      </c>
      <c r="E12" s="36">
        <v>1856</v>
      </c>
      <c r="F12" s="36">
        <v>1084</v>
      </c>
      <c r="G12" s="36">
        <v>567</v>
      </c>
      <c r="H12" s="36">
        <v>169</v>
      </c>
      <c r="I12" s="36">
        <v>386</v>
      </c>
      <c r="J12" s="36">
        <v>423</v>
      </c>
      <c r="K12" s="36">
        <v>293</v>
      </c>
      <c r="L12" s="36">
        <v>333</v>
      </c>
      <c r="M12" s="36">
        <v>480</v>
      </c>
      <c r="N12" s="50">
        <f t="shared" si="0"/>
        <v>5656</v>
      </c>
      <c r="O12" s="46">
        <v>10500</v>
      </c>
      <c r="P12" s="51">
        <f t="shared" si="1"/>
        <v>1.8564356435643565</v>
      </c>
      <c r="Q12" t="s">
        <v>127</v>
      </c>
    </row>
    <row r="13" spans="1:17">
      <c r="A13" t="s">
        <v>128</v>
      </c>
      <c r="B13" s="52">
        <v>4.5</v>
      </c>
      <c r="C13" s="52">
        <v>0</v>
      </c>
      <c r="D13" s="52">
        <v>1.58</v>
      </c>
      <c r="E13" s="52">
        <v>45.27</v>
      </c>
      <c r="F13" s="52">
        <v>14.65</v>
      </c>
      <c r="G13" s="52">
        <v>23.63</v>
      </c>
      <c r="H13" s="52">
        <v>7.68</v>
      </c>
      <c r="I13" s="52">
        <v>7.57</v>
      </c>
      <c r="J13" s="52">
        <v>13.22</v>
      </c>
      <c r="K13" s="52">
        <v>6.81</v>
      </c>
      <c r="L13" s="52">
        <v>13.88</v>
      </c>
      <c r="M13" s="52">
        <v>32</v>
      </c>
      <c r="N13" s="53">
        <f t="shared" si="0"/>
        <v>170.79</v>
      </c>
      <c r="O13" s="46">
        <v>10500</v>
      </c>
      <c r="P13" s="37">
        <f t="shared" si="1"/>
        <v>61.479009309678553</v>
      </c>
    </row>
    <row r="15" spans="1:17" ht="13">
      <c r="A15" s="54"/>
    </row>
    <row r="16" spans="1:17" ht="13">
      <c r="A16" s="54"/>
    </row>
    <row r="18" spans="1:4" ht="12.75" customHeight="1">
      <c r="A18" s="147" t="s">
        <v>154</v>
      </c>
      <c r="B18" s="148"/>
      <c r="C18" s="148"/>
      <c r="D18" s="148"/>
    </row>
    <row r="19" spans="1:4" ht="22">
      <c r="A19" s="55" t="s">
        <v>152</v>
      </c>
      <c r="B19" s="146" t="s">
        <v>129</v>
      </c>
      <c r="C19" s="146"/>
      <c r="D19" s="56" t="s">
        <v>153</v>
      </c>
    </row>
    <row r="20" spans="1:4">
      <c r="A20" s="57" t="s">
        <v>131</v>
      </c>
      <c r="B20" s="145" t="s">
        <v>131</v>
      </c>
      <c r="C20" s="145"/>
      <c r="D20" s="58">
        <v>1</v>
      </c>
    </row>
    <row r="21" spans="1:4">
      <c r="A21" s="57" t="s">
        <v>132</v>
      </c>
      <c r="B21" s="145" t="s">
        <v>133</v>
      </c>
      <c r="C21" s="145"/>
      <c r="D21" s="58">
        <v>1</v>
      </c>
    </row>
    <row r="22" spans="1:4">
      <c r="A22" s="57" t="s">
        <v>134</v>
      </c>
      <c r="B22" s="145" t="s">
        <v>135</v>
      </c>
      <c r="C22" s="145"/>
      <c r="D22" s="58">
        <v>1</v>
      </c>
    </row>
    <row r="23" spans="1:4">
      <c r="A23" s="57" t="s">
        <v>134</v>
      </c>
      <c r="B23" s="145" t="s">
        <v>136</v>
      </c>
      <c r="C23" s="145"/>
      <c r="D23" s="58">
        <v>2</v>
      </c>
    </row>
    <row r="24" spans="1:4">
      <c r="A24" s="57" t="s">
        <v>134</v>
      </c>
      <c r="B24" s="145" t="s">
        <v>137</v>
      </c>
      <c r="C24" s="145"/>
      <c r="D24" s="58">
        <v>2</v>
      </c>
    </row>
    <row r="25" spans="1:4">
      <c r="A25" s="57" t="s">
        <v>134</v>
      </c>
      <c r="B25" s="145" t="s">
        <v>138</v>
      </c>
      <c r="C25" s="145"/>
      <c r="D25" s="58">
        <v>3</v>
      </c>
    </row>
    <row r="26" spans="1:4">
      <c r="A26" s="57" t="s">
        <v>134</v>
      </c>
      <c r="B26" s="145" t="s">
        <v>139</v>
      </c>
      <c r="C26" s="145"/>
      <c r="D26" s="58">
        <v>7</v>
      </c>
    </row>
    <row r="27" spans="1:4">
      <c r="A27" s="57" t="s">
        <v>134</v>
      </c>
      <c r="B27" s="145" t="s">
        <v>140</v>
      </c>
      <c r="C27" s="145"/>
      <c r="D27" s="58">
        <v>6</v>
      </c>
    </row>
    <row r="28" spans="1:4">
      <c r="A28" s="57" t="s">
        <v>134</v>
      </c>
      <c r="B28" s="145" t="s">
        <v>141</v>
      </c>
      <c r="C28" s="145"/>
      <c r="D28" s="58">
        <v>2</v>
      </c>
    </row>
    <row r="29" spans="1:4">
      <c r="A29" s="57" t="s">
        <v>134</v>
      </c>
      <c r="B29" s="145" t="s">
        <v>142</v>
      </c>
      <c r="C29" s="145"/>
      <c r="D29" s="58">
        <v>12</v>
      </c>
    </row>
    <row r="30" spans="1:4">
      <c r="A30" s="57" t="s">
        <v>134</v>
      </c>
      <c r="B30" s="145" t="s">
        <v>143</v>
      </c>
      <c r="C30" s="145"/>
      <c r="D30" s="58">
        <v>11</v>
      </c>
    </row>
    <row r="31" spans="1:4">
      <c r="A31" s="57" t="s">
        <v>134</v>
      </c>
      <c r="B31" s="145" t="s">
        <v>144</v>
      </c>
      <c r="C31" s="145"/>
      <c r="D31" s="58">
        <v>19</v>
      </c>
    </row>
    <row r="32" spans="1:4">
      <c r="A32" s="57" t="s">
        <v>145</v>
      </c>
      <c r="B32" s="145" t="s">
        <v>135</v>
      </c>
      <c r="C32" s="145"/>
      <c r="D32" s="58">
        <v>6</v>
      </c>
    </row>
    <row r="33" spans="1:4">
      <c r="A33" s="57" t="s">
        <v>145</v>
      </c>
      <c r="B33" s="145" t="s">
        <v>136</v>
      </c>
      <c r="C33" s="145"/>
      <c r="D33" s="58">
        <v>9</v>
      </c>
    </row>
    <row r="34" spans="1:4">
      <c r="A34" s="57" t="s">
        <v>145</v>
      </c>
      <c r="B34" s="145" t="s">
        <v>133</v>
      </c>
      <c r="C34" s="145"/>
      <c r="D34" s="58">
        <v>5</v>
      </c>
    </row>
    <row r="35" spans="1:4">
      <c r="A35" s="57" t="s">
        <v>145</v>
      </c>
      <c r="B35" s="145" t="s">
        <v>146</v>
      </c>
      <c r="C35" s="145"/>
      <c r="D35" s="58">
        <v>11</v>
      </c>
    </row>
    <row r="36" spans="1:4">
      <c r="A36" s="57" t="s">
        <v>145</v>
      </c>
      <c r="B36" s="145" t="s">
        <v>137</v>
      </c>
      <c r="C36" s="145"/>
      <c r="D36" s="58">
        <v>13</v>
      </c>
    </row>
    <row r="37" spans="1:4">
      <c r="A37" s="57" t="s">
        <v>145</v>
      </c>
      <c r="B37" s="145" t="s">
        <v>138</v>
      </c>
      <c r="C37" s="145"/>
      <c r="D37" s="58">
        <v>1</v>
      </c>
    </row>
    <row r="38" spans="1:4">
      <c r="A38" s="57" t="s">
        <v>145</v>
      </c>
      <c r="B38" s="145" t="s">
        <v>147</v>
      </c>
      <c r="C38" s="145"/>
      <c r="D38" s="58">
        <v>1</v>
      </c>
    </row>
    <row r="39" spans="1:4">
      <c r="A39" s="57" t="s">
        <v>145</v>
      </c>
      <c r="B39" s="145" t="s">
        <v>139</v>
      </c>
      <c r="C39" s="145"/>
      <c r="D39" s="58">
        <v>18</v>
      </c>
    </row>
    <row r="40" spans="1:4">
      <c r="A40" s="57" t="s">
        <v>145</v>
      </c>
      <c r="B40" s="145" t="s">
        <v>140</v>
      </c>
      <c r="C40" s="145"/>
      <c r="D40" s="58">
        <v>5</v>
      </c>
    </row>
    <row r="41" spans="1:4">
      <c r="A41" s="57" t="s">
        <v>145</v>
      </c>
      <c r="B41" s="145" t="s">
        <v>141</v>
      </c>
      <c r="C41" s="145"/>
      <c r="D41" s="58">
        <v>9</v>
      </c>
    </row>
    <row r="42" spans="1:4">
      <c r="A42" s="57" t="s">
        <v>145</v>
      </c>
      <c r="B42" s="145" t="s">
        <v>142</v>
      </c>
      <c r="C42" s="145"/>
      <c r="D42" s="58">
        <v>71</v>
      </c>
    </row>
    <row r="43" spans="1:4">
      <c r="A43" s="57" t="s">
        <v>145</v>
      </c>
      <c r="B43" s="145" t="s">
        <v>143</v>
      </c>
      <c r="C43" s="145"/>
      <c r="D43" s="58">
        <v>46</v>
      </c>
    </row>
    <row r="44" spans="1:4">
      <c r="A44" s="57" t="s">
        <v>145</v>
      </c>
      <c r="B44" s="145" t="s">
        <v>144</v>
      </c>
      <c r="C44" s="145"/>
      <c r="D44" s="58">
        <v>45</v>
      </c>
    </row>
    <row r="45" spans="1:4">
      <c r="A45" s="57" t="s">
        <v>142</v>
      </c>
      <c r="B45" s="145" t="s">
        <v>140</v>
      </c>
      <c r="C45" s="145"/>
      <c r="D45" s="58">
        <v>1</v>
      </c>
    </row>
    <row r="46" spans="1:4">
      <c r="A46" s="57" t="s">
        <v>142</v>
      </c>
      <c r="B46" s="145" t="s">
        <v>142</v>
      </c>
      <c r="C46" s="145"/>
      <c r="D46" s="58">
        <v>8</v>
      </c>
    </row>
    <row r="47" spans="1:4">
      <c r="A47" s="57" t="s">
        <v>142</v>
      </c>
      <c r="B47" s="145" t="s">
        <v>143</v>
      </c>
      <c r="C47" s="145"/>
      <c r="D47" s="58">
        <v>2</v>
      </c>
    </row>
    <row r="48" spans="1:4">
      <c r="A48" s="57" t="s">
        <v>142</v>
      </c>
      <c r="B48" s="145" t="s">
        <v>144</v>
      </c>
      <c r="C48" s="145"/>
      <c r="D48" s="58">
        <v>1</v>
      </c>
    </row>
    <row r="49" spans="1:4">
      <c r="A49" s="57" t="s">
        <v>148</v>
      </c>
      <c r="B49" s="145" t="s">
        <v>137</v>
      </c>
      <c r="C49" s="145"/>
      <c r="D49" s="58">
        <v>1</v>
      </c>
    </row>
    <row r="50" spans="1:4">
      <c r="A50" s="57" t="s">
        <v>148</v>
      </c>
      <c r="B50" s="145" t="s">
        <v>139</v>
      </c>
      <c r="C50" s="145"/>
      <c r="D50" s="58">
        <v>1</v>
      </c>
    </row>
    <row r="51" spans="1:4">
      <c r="A51" s="57" t="s">
        <v>148</v>
      </c>
      <c r="B51" s="145" t="s">
        <v>140</v>
      </c>
      <c r="C51" s="145"/>
      <c r="D51" s="58">
        <v>1</v>
      </c>
    </row>
    <row r="52" spans="1:4">
      <c r="A52" s="57" t="s">
        <v>148</v>
      </c>
      <c r="B52" s="145" t="s">
        <v>142</v>
      </c>
      <c r="C52" s="145"/>
      <c r="D52" s="58">
        <v>3</v>
      </c>
    </row>
    <row r="53" spans="1:4">
      <c r="A53" s="57" t="s">
        <v>148</v>
      </c>
      <c r="B53" s="145" t="s">
        <v>143</v>
      </c>
      <c r="C53" s="145"/>
      <c r="D53" s="58">
        <v>4</v>
      </c>
    </row>
    <row r="54" spans="1:4">
      <c r="A54" s="57" t="s">
        <v>148</v>
      </c>
      <c r="B54" s="145" t="s">
        <v>144</v>
      </c>
      <c r="C54" s="145"/>
      <c r="D54" s="58">
        <v>3</v>
      </c>
    </row>
    <row r="55" spans="1:4">
      <c r="A55" s="57" t="s">
        <v>149</v>
      </c>
      <c r="B55" s="145" t="s">
        <v>135</v>
      </c>
      <c r="C55" s="145"/>
      <c r="D55" s="58">
        <v>8</v>
      </c>
    </row>
    <row r="56" spans="1:4">
      <c r="A56" s="57" t="s">
        <v>149</v>
      </c>
      <c r="B56" s="145" t="s">
        <v>136</v>
      </c>
      <c r="C56" s="145"/>
      <c r="D56" s="58">
        <v>24</v>
      </c>
    </row>
    <row r="57" spans="1:4">
      <c r="A57" s="57" t="s">
        <v>149</v>
      </c>
      <c r="B57" s="145" t="s">
        <v>133</v>
      </c>
      <c r="C57" s="145"/>
      <c r="D57" s="58">
        <v>1</v>
      </c>
    </row>
    <row r="58" spans="1:4">
      <c r="A58" s="57" t="s">
        <v>149</v>
      </c>
      <c r="B58" s="145" t="s">
        <v>150</v>
      </c>
      <c r="C58" s="145"/>
      <c r="D58" s="58">
        <v>1</v>
      </c>
    </row>
    <row r="59" spans="1:4">
      <c r="A59" s="57" t="s">
        <v>149</v>
      </c>
      <c r="B59" s="145" t="s">
        <v>137</v>
      </c>
      <c r="C59" s="145"/>
      <c r="D59" s="58">
        <v>6</v>
      </c>
    </row>
    <row r="60" spans="1:4">
      <c r="A60" s="57" t="s">
        <v>149</v>
      </c>
      <c r="B60" s="145" t="s">
        <v>138</v>
      </c>
      <c r="C60" s="145"/>
      <c r="D60" s="58">
        <v>3</v>
      </c>
    </row>
    <row r="61" spans="1:4">
      <c r="A61" s="57" t="s">
        <v>149</v>
      </c>
      <c r="B61" s="145" t="s">
        <v>147</v>
      </c>
      <c r="C61" s="145"/>
      <c r="D61" s="58">
        <v>1</v>
      </c>
    </row>
    <row r="62" spans="1:4">
      <c r="A62" s="57" t="s">
        <v>149</v>
      </c>
      <c r="B62" s="145" t="s">
        <v>139</v>
      </c>
      <c r="C62" s="145"/>
      <c r="D62" s="58">
        <v>20</v>
      </c>
    </row>
    <row r="63" spans="1:4">
      <c r="A63" s="57" t="s">
        <v>149</v>
      </c>
      <c r="B63" s="145" t="s">
        <v>140</v>
      </c>
      <c r="C63" s="145"/>
      <c r="D63" s="58">
        <v>8</v>
      </c>
    </row>
    <row r="64" spans="1:4">
      <c r="A64" s="57" t="s">
        <v>149</v>
      </c>
      <c r="B64" s="145" t="s">
        <v>141</v>
      </c>
      <c r="C64" s="145"/>
      <c r="D64" s="58">
        <v>5</v>
      </c>
    </row>
    <row r="65" spans="1:4">
      <c r="A65" s="57" t="s">
        <v>149</v>
      </c>
      <c r="B65" s="145" t="s">
        <v>142</v>
      </c>
      <c r="C65" s="145"/>
      <c r="D65" s="58">
        <v>29</v>
      </c>
    </row>
    <row r="66" spans="1:4">
      <c r="A66" s="57" t="s">
        <v>149</v>
      </c>
      <c r="B66" s="145" t="s">
        <v>143</v>
      </c>
      <c r="C66" s="145"/>
      <c r="D66" s="58">
        <v>11</v>
      </c>
    </row>
    <row r="67" spans="1:4">
      <c r="A67" s="57" t="s">
        <v>149</v>
      </c>
      <c r="B67" s="145" t="s">
        <v>151</v>
      </c>
      <c r="C67" s="145"/>
      <c r="D67" s="58">
        <v>1</v>
      </c>
    </row>
    <row r="68" spans="1:4">
      <c r="A68" s="57" t="s">
        <v>149</v>
      </c>
      <c r="B68" s="145" t="s">
        <v>144</v>
      </c>
      <c r="C68" s="145"/>
      <c r="D68" s="58">
        <v>47</v>
      </c>
    </row>
  </sheetData>
  <mergeCells count="51">
    <mergeCell ref="B21:C21"/>
    <mergeCell ref="B20:C20"/>
    <mergeCell ref="B22:C22"/>
    <mergeCell ref="A18:D18"/>
    <mergeCell ref="B27:C27"/>
    <mergeCell ref="B28:C28"/>
    <mergeCell ref="B29:C29"/>
    <mergeCell ref="B30:C30"/>
    <mergeCell ref="B23:C23"/>
    <mergeCell ref="B24:C24"/>
    <mergeCell ref="B25:C25"/>
    <mergeCell ref="B26:C26"/>
    <mergeCell ref="B37:C37"/>
    <mergeCell ref="B38:C38"/>
    <mergeCell ref="B31:C31"/>
    <mergeCell ref="B32:C32"/>
    <mergeCell ref="B33:C33"/>
    <mergeCell ref="B34:C34"/>
    <mergeCell ref="B64:C64"/>
    <mergeCell ref="B63:C63"/>
    <mergeCell ref="B62:C62"/>
    <mergeCell ref="B61:C61"/>
    <mergeCell ref="B68:C68"/>
    <mergeCell ref="B67:C67"/>
    <mergeCell ref="B66:C66"/>
    <mergeCell ref="B65:C65"/>
    <mergeCell ref="B60:C60"/>
    <mergeCell ref="B59:C59"/>
    <mergeCell ref="B58:C58"/>
    <mergeCell ref="B54:C54"/>
    <mergeCell ref="B55:C55"/>
    <mergeCell ref="B56:C56"/>
    <mergeCell ref="B57:C57"/>
    <mergeCell ref="B49:C49"/>
    <mergeCell ref="B48:C48"/>
    <mergeCell ref="B47:C47"/>
    <mergeCell ref="B46:C46"/>
    <mergeCell ref="B53:C53"/>
    <mergeCell ref="B52:C52"/>
    <mergeCell ref="B51:C51"/>
    <mergeCell ref="B50:C50"/>
    <mergeCell ref="B44:C44"/>
    <mergeCell ref="B45:C45"/>
    <mergeCell ref="B43:C43"/>
    <mergeCell ref="B19:C19"/>
    <mergeCell ref="B39:C39"/>
    <mergeCell ref="B40:C40"/>
    <mergeCell ref="B41:C41"/>
    <mergeCell ref="B42:C42"/>
    <mergeCell ref="B35:C35"/>
    <mergeCell ref="B36:C36"/>
  </mergeCells>
  <phoneticPr fontId="2" type="noConversion"/>
  <pageMargins left="0.75" right="0.75" top="1" bottom="1" header="0.5" footer="0.5"/>
  <pageSetup scale="74" fitToHeight="5" orientation="landscape"/>
  <headerFooter>
    <oddFooter>&amp;L&amp;K000000RefWorks&amp;R&amp;K0000002005-06 usage</oddFooter>
  </headerFooter>
  <drawing r:id="rId1"/>
  <extLst>
    <ext xmlns:mx="http://schemas.microsoft.com/office/mac/excel/2008/main" uri="{64002731-A6B0-56B0-2670-7721B7C09600}">
      <mx:PLV Mode="0" OnePage="0" WScale="0"/>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P10"/>
  <sheetViews>
    <sheetView workbookViewId="0"/>
  </sheetViews>
  <sheetFormatPr baseColWidth="10" defaultColWidth="8.83203125" defaultRowHeight="12" x14ac:dyDescent="0"/>
  <cols>
    <col min="1" max="1" width="24.33203125" bestFit="1" customWidth="1"/>
    <col min="2" max="2" width="6.1640625" bestFit="1" customWidth="1"/>
    <col min="3" max="3" width="7" bestFit="1" customWidth="1"/>
    <col min="4" max="4" width="6.6640625" bestFit="1" customWidth="1"/>
    <col min="5" max="5" width="6.5" bestFit="1" customWidth="1"/>
    <col min="6" max="6" width="6.83203125" bestFit="1" customWidth="1"/>
    <col min="7" max="7" width="6.6640625" bestFit="1" customWidth="1"/>
    <col min="8" max="8" width="6.5" bestFit="1" customWidth="1"/>
    <col min="9" max="10" width="6.6640625" bestFit="1" customWidth="1"/>
    <col min="11" max="11" width="6.5" bestFit="1" customWidth="1"/>
    <col min="12" max="12" width="7" bestFit="1" customWidth="1"/>
    <col min="13" max="13" width="6.6640625" bestFit="1" customWidth="1"/>
    <col min="14" max="14" width="5.5" bestFit="1" customWidth="1"/>
    <col min="15" max="15" width="9.6640625" bestFit="1" customWidth="1"/>
    <col min="16" max="16" width="8.33203125" bestFit="1" customWidth="1"/>
  </cols>
  <sheetData>
    <row r="1" spans="1:16" ht="18">
      <c r="A1" s="2" t="s">
        <v>26</v>
      </c>
    </row>
    <row r="2" spans="1:16" ht="17">
      <c r="A2" s="3" t="s">
        <v>46</v>
      </c>
    </row>
    <row r="3" spans="1:16" ht="13.5" customHeight="1">
      <c r="A3" s="3"/>
    </row>
    <row r="5" spans="1:16" ht="34.5" customHeight="1">
      <c r="A5" s="112"/>
      <c r="B5" s="113">
        <v>38534</v>
      </c>
      <c r="C5" s="113">
        <v>38565</v>
      </c>
      <c r="D5" s="113">
        <v>38596</v>
      </c>
      <c r="E5" s="113">
        <v>38626</v>
      </c>
      <c r="F5" s="113">
        <v>38657</v>
      </c>
      <c r="G5" s="113">
        <v>38687</v>
      </c>
      <c r="H5" s="113">
        <v>38718</v>
      </c>
      <c r="I5" s="113">
        <v>38749</v>
      </c>
      <c r="J5" s="113">
        <v>38777</v>
      </c>
      <c r="K5" s="113">
        <v>38808</v>
      </c>
      <c r="L5" s="113">
        <v>38838</v>
      </c>
      <c r="M5" s="113">
        <v>38869</v>
      </c>
      <c r="N5" s="114" t="s">
        <v>1</v>
      </c>
      <c r="O5" s="115" t="s">
        <v>90</v>
      </c>
      <c r="P5" s="115" t="s">
        <v>91</v>
      </c>
    </row>
    <row r="6" spans="1:16">
      <c r="A6" s="1" t="s">
        <v>26</v>
      </c>
      <c r="B6" s="4"/>
      <c r="C6" s="5"/>
      <c r="D6" s="5"/>
      <c r="E6" s="5"/>
      <c r="F6" s="5"/>
      <c r="G6" s="5"/>
      <c r="H6" s="5"/>
      <c r="I6" s="5"/>
      <c r="J6" s="5"/>
      <c r="K6" s="5"/>
      <c r="L6" s="5"/>
      <c r="M6" s="5"/>
      <c r="N6" s="5"/>
    </row>
    <row r="7" spans="1:16">
      <c r="A7" t="s">
        <v>2</v>
      </c>
      <c r="B7" s="20">
        <v>218</v>
      </c>
      <c r="C7" s="20">
        <v>218</v>
      </c>
      <c r="D7" s="20">
        <v>277</v>
      </c>
      <c r="E7" s="20">
        <v>279</v>
      </c>
      <c r="F7" s="20">
        <v>253</v>
      </c>
      <c r="G7" s="20">
        <v>210</v>
      </c>
      <c r="H7" s="84">
        <v>190</v>
      </c>
      <c r="I7" s="84">
        <v>230</v>
      </c>
      <c r="J7" s="84">
        <v>193</v>
      </c>
      <c r="K7" s="84">
        <v>195</v>
      </c>
      <c r="L7" s="84">
        <v>248</v>
      </c>
      <c r="M7" s="84">
        <v>253</v>
      </c>
      <c r="N7" s="45">
        <f>SUM(B7:M7)</f>
        <v>2764</v>
      </c>
      <c r="O7" s="27"/>
      <c r="P7" s="27"/>
    </row>
    <row r="8" spans="1:16">
      <c r="A8" t="s">
        <v>3</v>
      </c>
      <c r="B8" s="20">
        <v>837</v>
      </c>
      <c r="C8" s="20">
        <v>599</v>
      </c>
      <c r="D8" s="20">
        <v>730</v>
      </c>
      <c r="E8" s="20">
        <v>813</v>
      </c>
      <c r="F8" s="20">
        <v>898</v>
      </c>
      <c r="G8" s="20">
        <v>740</v>
      </c>
      <c r="H8" s="20">
        <v>592</v>
      </c>
      <c r="I8" s="84">
        <v>623</v>
      </c>
      <c r="J8" s="84">
        <v>660</v>
      </c>
      <c r="K8" s="84">
        <v>775</v>
      </c>
      <c r="L8" s="84">
        <v>984</v>
      </c>
      <c r="M8" s="84">
        <v>1012</v>
      </c>
      <c r="N8" s="45">
        <f>SUM(B8:M8)</f>
        <v>9263</v>
      </c>
      <c r="O8" s="27">
        <v>29030</v>
      </c>
      <c r="P8" s="27">
        <f>O8/N8</f>
        <v>3.1339738745546799</v>
      </c>
    </row>
    <row r="9" spans="1:16">
      <c r="A9" t="s">
        <v>11</v>
      </c>
      <c r="B9" s="87">
        <v>133</v>
      </c>
      <c r="C9" s="87">
        <v>57</v>
      </c>
      <c r="D9" s="87">
        <v>102</v>
      </c>
      <c r="E9" s="87">
        <v>93</v>
      </c>
      <c r="F9" s="87">
        <v>143</v>
      </c>
      <c r="G9" s="87">
        <v>96</v>
      </c>
      <c r="H9" s="88">
        <v>49</v>
      </c>
      <c r="I9" s="89">
        <v>95</v>
      </c>
      <c r="J9" s="89">
        <v>66</v>
      </c>
      <c r="K9" s="89">
        <v>96</v>
      </c>
      <c r="L9" s="89">
        <v>177</v>
      </c>
      <c r="M9" s="90">
        <v>253</v>
      </c>
      <c r="N9" s="61">
        <f>SUM(B9:M9)</f>
        <v>1360</v>
      </c>
      <c r="O9" s="27"/>
      <c r="P9" s="27"/>
    </row>
    <row r="10" spans="1:16">
      <c r="A10" t="s">
        <v>104</v>
      </c>
      <c r="B10" s="47">
        <v>1</v>
      </c>
      <c r="C10" s="47">
        <v>1</v>
      </c>
      <c r="D10" s="47">
        <v>1</v>
      </c>
      <c r="E10" s="47">
        <v>1</v>
      </c>
      <c r="F10" s="47">
        <v>1</v>
      </c>
      <c r="G10" s="47">
        <v>1</v>
      </c>
      <c r="H10" s="47">
        <v>1</v>
      </c>
      <c r="I10" s="47">
        <v>1</v>
      </c>
      <c r="J10" s="47">
        <v>1</v>
      </c>
      <c r="K10" s="47">
        <v>1</v>
      </c>
      <c r="L10" s="47">
        <v>1</v>
      </c>
      <c r="M10" s="47">
        <v>1</v>
      </c>
      <c r="N10" s="45"/>
    </row>
  </sheetData>
  <phoneticPr fontId="2" type="noConversion"/>
  <pageMargins left="0.75" right="0.75" top="1" bottom="1" header="0.5" footer="0.5"/>
  <pageSetup scale="89" orientation="landscape"/>
  <headerFooter>
    <oddFooter>&amp;L&amp;K000000SciFinder Scholar&amp;R&amp;K0000002005-06 usage</oddFooter>
  </headerFooter>
  <extLst>
    <ext xmlns:mx="http://schemas.microsoft.com/office/mac/excel/2008/main" uri="{64002731-A6B0-56B0-2670-7721B7C09600}">
      <mx:PLV Mode="0" OnePage="0" WScale="0"/>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P10"/>
  <sheetViews>
    <sheetView workbookViewId="0"/>
  </sheetViews>
  <sheetFormatPr baseColWidth="10" defaultColWidth="8.83203125" defaultRowHeight="12" x14ac:dyDescent="0"/>
  <cols>
    <col min="1" max="1" width="22.33203125" bestFit="1" customWidth="1"/>
    <col min="2" max="2" width="6.1640625" bestFit="1" customWidth="1"/>
    <col min="3" max="3" width="7" bestFit="1" customWidth="1"/>
    <col min="4" max="4" width="6.6640625" bestFit="1" customWidth="1"/>
    <col min="5" max="5" width="6.5" bestFit="1" customWidth="1"/>
    <col min="6" max="6" width="6.83203125" bestFit="1" customWidth="1"/>
    <col min="7" max="7" width="6.6640625" bestFit="1" customWidth="1"/>
    <col min="8" max="8" width="6.5" bestFit="1" customWidth="1"/>
    <col min="9" max="10" width="6.6640625" bestFit="1" customWidth="1"/>
    <col min="11" max="11" width="6.5" bestFit="1" customWidth="1"/>
    <col min="12" max="12" width="7" bestFit="1" customWidth="1"/>
    <col min="13" max="13" width="6.6640625" bestFit="1" customWidth="1"/>
    <col min="14" max="14" width="8" customWidth="1"/>
    <col min="15" max="15" width="9.6640625" bestFit="1" customWidth="1"/>
    <col min="16" max="16" width="8.33203125" bestFit="1" customWidth="1"/>
  </cols>
  <sheetData>
    <row r="1" spans="1:16" ht="18">
      <c r="A1" s="2" t="s">
        <v>24</v>
      </c>
    </row>
    <row r="2" spans="1:16" ht="17">
      <c r="A2" s="3" t="s">
        <v>46</v>
      </c>
    </row>
    <row r="5" spans="1:16" ht="33" customHeight="1">
      <c r="A5" s="118"/>
      <c r="B5" s="119">
        <v>38534</v>
      </c>
      <c r="C5" s="119">
        <v>38565</v>
      </c>
      <c r="D5" s="119">
        <v>38596</v>
      </c>
      <c r="E5" s="119">
        <v>38626</v>
      </c>
      <c r="F5" s="119">
        <v>38657</v>
      </c>
      <c r="G5" s="119">
        <v>38687</v>
      </c>
      <c r="H5" s="119">
        <v>38718</v>
      </c>
      <c r="I5" s="119">
        <v>38749</v>
      </c>
      <c r="J5" s="119">
        <v>38777</v>
      </c>
      <c r="K5" s="119">
        <v>38808</v>
      </c>
      <c r="L5" s="119">
        <v>38838</v>
      </c>
      <c r="M5" s="119">
        <v>38869</v>
      </c>
      <c r="N5" s="120" t="s">
        <v>1</v>
      </c>
      <c r="O5" s="121" t="s">
        <v>90</v>
      </c>
      <c r="P5" s="121" t="s">
        <v>91</v>
      </c>
    </row>
    <row r="6" spans="1:16">
      <c r="A6" s="124" t="s">
        <v>24</v>
      </c>
      <c r="B6" s="122"/>
      <c r="C6" s="122"/>
      <c r="D6" s="122"/>
      <c r="E6" s="122"/>
      <c r="F6" s="122"/>
      <c r="G6" s="122"/>
      <c r="H6" s="122"/>
      <c r="I6" s="122"/>
      <c r="J6" s="122"/>
      <c r="K6" s="122"/>
      <c r="L6" s="122"/>
      <c r="M6" s="122"/>
      <c r="N6" s="125"/>
      <c r="O6" s="123"/>
      <c r="P6" s="123"/>
    </row>
    <row r="7" spans="1:16">
      <c r="A7" t="s">
        <v>2</v>
      </c>
      <c r="B7" s="126">
        <v>280</v>
      </c>
      <c r="C7" s="126">
        <v>437</v>
      </c>
      <c r="D7" s="126">
        <v>508</v>
      </c>
      <c r="E7" s="126">
        <v>1034</v>
      </c>
      <c r="F7" s="126">
        <v>834</v>
      </c>
      <c r="G7" s="126">
        <v>477</v>
      </c>
      <c r="H7" s="126">
        <v>404</v>
      </c>
      <c r="I7" s="126">
        <v>506</v>
      </c>
      <c r="J7" s="126">
        <v>534</v>
      </c>
      <c r="K7" s="126">
        <v>677</v>
      </c>
      <c r="L7" s="126">
        <v>455</v>
      </c>
      <c r="M7" s="126">
        <v>376</v>
      </c>
      <c r="N7" s="45">
        <f>SUM(B7:M7)</f>
        <v>6522</v>
      </c>
    </row>
    <row r="8" spans="1:16">
      <c r="A8" t="s">
        <v>7</v>
      </c>
      <c r="B8" s="126">
        <v>1138</v>
      </c>
      <c r="C8" s="126">
        <v>1220</v>
      </c>
      <c r="D8" s="126">
        <v>1907</v>
      </c>
      <c r="E8" s="126">
        <v>2645</v>
      </c>
      <c r="F8" s="126">
        <v>3056</v>
      </c>
      <c r="G8" s="126">
        <v>1835</v>
      </c>
      <c r="H8" s="126">
        <v>1408</v>
      </c>
      <c r="I8" s="126">
        <v>1963</v>
      </c>
      <c r="J8" s="126">
        <v>1933</v>
      </c>
      <c r="K8" s="126">
        <v>2192</v>
      </c>
      <c r="L8" s="126">
        <v>1245</v>
      </c>
      <c r="M8" s="126">
        <v>1036</v>
      </c>
      <c r="N8" s="45">
        <f>SUM(B8:M8)</f>
        <v>21578</v>
      </c>
      <c r="O8" s="27">
        <v>90186</v>
      </c>
      <c r="P8" s="27">
        <f>O8/N8</f>
        <v>4.1795347112800076</v>
      </c>
    </row>
    <row r="9" spans="1:16">
      <c r="A9" t="s">
        <v>25</v>
      </c>
      <c r="B9" s="36">
        <v>5</v>
      </c>
      <c r="C9" s="36">
        <v>5</v>
      </c>
      <c r="D9" s="36">
        <v>5</v>
      </c>
      <c r="E9" s="36">
        <v>5</v>
      </c>
      <c r="F9" s="36">
        <v>5</v>
      </c>
      <c r="G9" s="36">
        <v>5</v>
      </c>
      <c r="H9" s="36">
        <v>5</v>
      </c>
      <c r="I9" s="36">
        <v>5</v>
      </c>
      <c r="J9" s="36">
        <v>5</v>
      </c>
      <c r="K9" s="36">
        <v>5</v>
      </c>
      <c r="L9" s="36">
        <v>5</v>
      </c>
      <c r="M9" s="36">
        <v>5</v>
      </c>
      <c r="N9" s="45">
        <f>SUM(B9:M9)</f>
        <v>60</v>
      </c>
      <c r="O9" s="27"/>
      <c r="P9" s="27"/>
    </row>
    <row r="10" spans="1:16">
      <c r="A10" t="s">
        <v>11</v>
      </c>
      <c r="B10" s="49">
        <v>1</v>
      </c>
      <c r="C10" s="49">
        <v>24</v>
      </c>
      <c r="D10" s="49">
        <v>19</v>
      </c>
      <c r="E10" s="49">
        <v>4895</v>
      </c>
      <c r="F10" s="49">
        <v>377</v>
      </c>
      <c r="G10" s="49">
        <v>132</v>
      </c>
      <c r="H10" s="49">
        <v>138</v>
      </c>
      <c r="I10" s="49">
        <v>122</v>
      </c>
      <c r="J10" s="49">
        <v>5</v>
      </c>
      <c r="K10" s="49">
        <v>1522</v>
      </c>
      <c r="L10" s="49">
        <v>866</v>
      </c>
      <c r="M10" s="49">
        <v>715</v>
      </c>
      <c r="N10" s="45">
        <f>SUM(B10:M10)</f>
        <v>8816</v>
      </c>
      <c r="O10" s="27"/>
      <c r="P10" s="27"/>
    </row>
  </sheetData>
  <phoneticPr fontId="2" type="noConversion"/>
  <pageMargins left="0.75" right="0.75" top="1" bottom="1" header="0.5" footer="0.5"/>
  <pageSetup scale="88" orientation="landscape"/>
  <headerFooter>
    <oddFooter>&amp;L&amp;K000000Web of Science&amp;R&amp;K0000002005-06 usage</oddFooter>
  </headerFooter>
  <extLst>
    <ext xmlns:mx="http://schemas.microsoft.com/office/mac/excel/2008/main" uri="{64002731-A6B0-56B0-2670-7721B7C09600}">
      <mx:PLV Mode="0" OnePage="0" WScale="0"/>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P10"/>
  <sheetViews>
    <sheetView workbookViewId="0"/>
  </sheetViews>
  <sheetFormatPr baseColWidth="10" defaultColWidth="8.83203125" defaultRowHeight="12" x14ac:dyDescent="0"/>
  <cols>
    <col min="1" max="1" width="24.33203125" bestFit="1" customWidth="1"/>
    <col min="2" max="2" width="6.1640625" bestFit="1" customWidth="1"/>
    <col min="3" max="3" width="7" bestFit="1" customWidth="1"/>
    <col min="4" max="4" width="6.6640625" bestFit="1" customWidth="1"/>
    <col min="5" max="5" width="6.5" bestFit="1" customWidth="1"/>
    <col min="6" max="6" width="6.83203125" bestFit="1" customWidth="1"/>
    <col min="7" max="7" width="6.6640625" bestFit="1" customWidth="1"/>
    <col min="8" max="8" width="6.5" bestFit="1" customWidth="1"/>
    <col min="9" max="10" width="6.6640625" bestFit="1" customWidth="1"/>
    <col min="11" max="11" width="6.5" bestFit="1" customWidth="1"/>
    <col min="12" max="12" width="7" bestFit="1" customWidth="1"/>
    <col min="13" max="13" width="6.6640625" bestFit="1" customWidth="1"/>
    <col min="14" max="14" width="5.1640625" bestFit="1" customWidth="1"/>
    <col min="15" max="15" width="9.6640625" bestFit="1" customWidth="1"/>
    <col min="16" max="16" width="8.5" bestFit="1" customWidth="1"/>
    <col min="18" max="18" width="6.5" bestFit="1" customWidth="1"/>
    <col min="19" max="19" width="36.5" bestFit="1" customWidth="1"/>
    <col min="20" max="20" width="16.1640625" bestFit="1" customWidth="1"/>
    <col min="21" max="21" width="9.5" bestFit="1" customWidth="1"/>
    <col min="22" max="22" width="16.6640625" bestFit="1" customWidth="1"/>
    <col min="23" max="23" width="15.83203125" bestFit="1" customWidth="1"/>
    <col min="24" max="24" width="31.5" bestFit="1" customWidth="1"/>
    <col min="25" max="25" width="29.5" bestFit="1" customWidth="1"/>
    <col min="26" max="26" width="25" bestFit="1" customWidth="1"/>
    <col min="27" max="27" width="11.6640625" bestFit="1" customWidth="1"/>
    <col min="28" max="28" width="28.6640625" bestFit="1" customWidth="1"/>
    <col min="29" max="29" width="26.83203125" bestFit="1" customWidth="1"/>
  </cols>
  <sheetData>
    <row r="1" spans="1:16" ht="18">
      <c r="A1" s="2" t="s">
        <v>48</v>
      </c>
    </row>
    <row r="2" spans="1:16" ht="17">
      <c r="A2" s="3" t="s">
        <v>46</v>
      </c>
    </row>
    <row r="3" spans="1:16" ht="13.5" customHeight="1">
      <c r="A3" s="3"/>
    </row>
    <row r="5" spans="1:16" ht="24">
      <c r="A5" s="112"/>
      <c r="B5" s="113">
        <v>38534</v>
      </c>
      <c r="C5" s="113">
        <v>38565</v>
      </c>
      <c r="D5" s="113">
        <v>38596</v>
      </c>
      <c r="E5" s="113">
        <v>38626</v>
      </c>
      <c r="F5" s="113">
        <v>38657</v>
      </c>
      <c r="G5" s="113">
        <v>38687</v>
      </c>
      <c r="H5" s="113">
        <v>38718</v>
      </c>
      <c r="I5" s="113">
        <v>38749</v>
      </c>
      <c r="J5" s="113">
        <v>38777</v>
      </c>
      <c r="K5" s="113">
        <v>38808</v>
      </c>
      <c r="L5" s="113">
        <v>38838</v>
      </c>
      <c r="M5" s="113">
        <v>38869</v>
      </c>
      <c r="N5" s="114" t="s">
        <v>1</v>
      </c>
      <c r="O5" s="117" t="s">
        <v>90</v>
      </c>
      <c r="P5" s="117" t="s">
        <v>91</v>
      </c>
    </row>
    <row r="6" spans="1:16">
      <c r="A6" s="11" t="s">
        <v>47</v>
      </c>
      <c r="B6" s="12"/>
      <c r="C6" s="12"/>
      <c r="D6" s="12"/>
      <c r="E6" s="12"/>
      <c r="F6" s="12"/>
      <c r="G6" s="12"/>
      <c r="H6" s="12"/>
      <c r="I6" s="12"/>
      <c r="J6" s="12"/>
      <c r="K6" s="12"/>
      <c r="L6" s="12"/>
      <c r="M6" s="12"/>
      <c r="N6" s="12"/>
    </row>
    <row r="7" spans="1:16">
      <c r="A7" t="s">
        <v>2</v>
      </c>
      <c r="B7" s="36">
        <v>44</v>
      </c>
      <c r="C7" s="36">
        <v>61</v>
      </c>
      <c r="D7" s="36">
        <v>178</v>
      </c>
      <c r="E7" s="36">
        <v>315</v>
      </c>
      <c r="F7" s="36">
        <v>297</v>
      </c>
      <c r="G7" s="36">
        <v>114</v>
      </c>
      <c r="H7" s="81">
        <v>148</v>
      </c>
      <c r="I7" s="40">
        <v>132</v>
      </c>
      <c r="J7" s="40">
        <v>246</v>
      </c>
      <c r="K7" s="40">
        <v>336</v>
      </c>
      <c r="L7" s="40">
        <v>89</v>
      </c>
      <c r="M7" s="41">
        <v>91</v>
      </c>
      <c r="N7" s="45">
        <f>SUM(B7:M7)</f>
        <v>2051</v>
      </c>
      <c r="O7" s="27"/>
      <c r="P7" s="27"/>
    </row>
    <row r="8" spans="1:16">
      <c r="A8" t="s">
        <v>3</v>
      </c>
      <c r="B8" s="36">
        <v>144</v>
      </c>
      <c r="C8" s="36">
        <v>155</v>
      </c>
      <c r="D8" s="36">
        <v>518</v>
      </c>
      <c r="E8" s="36">
        <v>1110</v>
      </c>
      <c r="F8" s="36">
        <v>983</v>
      </c>
      <c r="G8" s="36">
        <v>400</v>
      </c>
      <c r="H8" s="82">
        <v>614</v>
      </c>
      <c r="I8" s="59">
        <v>420</v>
      </c>
      <c r="J8" s="59">
        <v>866</v>
      </c>
      <c r="K8" s="59">
        <v>1181</v>
      </c>
      <c r="L8" s="59">
        <v>347</v>
      </c>
      <c r="M8" s="60">
        <v>284</v>
      </c>
      <c r="N8" s="45">
        <f>SUM(B8:M8)</f>
        <v>7022</v>
      </c>
      <c r="O8" s="27">
        <v>22306</v>
      </c>
      <c r="P8" s="27">
        <f>O8/N8</f>
        <v>3.1765878667046428</v>
      </c>
    </row>
    <row r="9" spans="1:16">
      <c r="A9" s="16" t="s">
        <v>11</v>
      </c>
      <c r="B9" s="36">
        <v>0</v>
      </c>
      <c r="C9" s="36">
        <v>0</v>
      </c>
      <c r="D9" s="36">
        <v>0</v>
      </c>
      <c r="E9" s="36">
        <v>0</v>
      </c>
      <c r="F9" s="36">
        <v>0</v>
      </c>
      <c r="G9" s="36">
        <v>0</v>
      </c>
      <c r="H9" s="83">
        <v>0</v>
      </c>
      <c r="I9" s="62">
        <v>0</v>
      </c>
      <c r="J9" s="62">
        <v>0</v>
      </c>
      <c r="K9" s="62">
        <v>0</v>
      </c>
      <c r="L9" s="62">
        <v>0</v>
      </c>
      <c r="M9" s="62">
        <v>0</v>
      </c>
      <c r="N9" s="45">
        <f>SUM(B9:M9)</f>
        <v>0</v>
      </c>
      <c r="O9" s="27"/>
      <c r="P9" s="27"/>
    </row>
    <row r="10" spans="1:16">
      <c r="A10" s="16"/>
      <c r="B10" s="12"/>
      <c r="C10" s="12"/>
      <c r="D10" s="12"/>
      <c r="E10" s="12"/>
      <c r="F10" s="12"/>
      <c r="G10" s="12"/>
      <c r="H10" s="12"/>
      <c r="I10" s="12"/>
      <c r="J10" s="12"/>
      <c r="K10" s="12"/>
      <c r="L10" s="12"/>
      <c r="M10" s="12"/>
      <c r="N10" s="12"/>
    </row>
  </sheetData>
  <phoneticPr fontId="2" type="noConversion"/>
  <pageMargins left="0.75" right="0.75" top="1" bottom="1" header="0.5" footer="0.5"/>
  <pageSetup scale="89" orientation="landscape"/>
  <headerFooter>
    <oddFooter>&amp;L&amp;K000000WebSPIRS (OVID)&amp;R&amp;K0000002005-06 usage</oddFooter>
  </headerFooter>
  <extLst>
    <ext xmlns:mx="http://schemas.microsoft.com/office/mac/excel/2008/main" uri="{64002731-A6B0-56B0-2670-7721B7C09600}">
      <mx:PLV Mode="0" OnePage="0" WScale="0"/>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P24"/>
  <sheetViews>
    <sheetView workbookViewId="0"/>
  </sheetViews>
  <sheetFormatPr baseColWidth="10" defaultColWidth="8.83203125" defaultRowHeight="12" x14ac:dyDescent="0"/>
  <cols>
    <col min="1" max="1" width="33.83203125" bestFit="1" customWidth="1"/>
    <col min="2" max="2" width="6.1640625" bestFit="1" customWidth="1"/>
    <col min="3" max="3" width="7" bestFit="1" customWidth="1"/>
    <col min="4" max="4" width="6.6640625" bestFit="1" customWidth="1"/>
    <col min="5" max="5" width="6.5" bestFit="1" customWidth="1"/>
    <col min="6" max="6" width="6.83203125" bestFit="1" customWidth="1"/>
    <col min="7" max="7" width="6.6640625" bestFit="1" customWidth="1"/>
    <col min="8" max="8" width="6.5" bestFit="1" customWidth="1"/>
    <col min="9" max="10" width="6.6640625" bestFit="1" customWidth="1"/>
    <col min="11" max="11" width="6.5" bestFit="1" customWidth="1"/>
    <col min="12" max="12" width="7" bestFit="1" customWidth="1"/>
    <col min="13" max="13" width="6.6640625" bestFit="1" customWidth="1"/>
    <col min="14" max="14" width="5.1640625" bestFit="1" customWidth="1"/>
    <col min="15" max="15" width="9.33203125" bestFit="1" customWidth="1"/>
    <col min="16" max="16" width="8.33203125" bestFit="1" customWidth="1"/>
  </cols>
  <sheetData>
    <row r="1" spans="1:16" ht="18">
      <c r="A1" s="2" t="s">
        <v>12</v>
      </c>
    </row>
    <row r="2" spans="1:16" ht="17">
      <c r="A2" s="3" t="s">
        <v>46</v>
      </c>
    </row>
    <row r="5" spans="1:16" ht="33.75" customHeight="1">
      <c r="A5" s="112"/>
      <c r="B5" s="113">
        <v>38534</v>
      </c>
      <c r="C5" s="113">
        <v>38565</v>
      </c>
      <c r="D5" s="113">
        <v>38596</v>
      </c>
      <c r="E5" s="113">
        <v>38626</v>
      </c>
      <c r="F5" s="113">
        <v>38657</v>
      </c>
      <c r="G5" s="113">
        <v>38687</v>
      </c>
      <c r="H5" s="113">
        <v>38718</v>
      </c>
      <c r="I5" s="113">
        <v>38749</v>
      </c>
      <c r="J5" s="113">
        <v>38777</v>
      </c>
      <c r="K5" s="113">
        <v>38808</v>
      </c>
      <c r="L5" s="113">
        <v>38838</v>
      </c>
      <c r="M5" s="113">
        <v>38869</v>
      </c>
      <c r="N5" s="114" t="s">
        <v>1</v>
      </c>
      <c r="O5" s="117" t="s">
        <v>93</v>
      </c>
      <c r="P5" s="117" t="s">
        <v>91</v>
      </c>
    </row>
    <row r="6" spans="1:16">
      <c r="A6" s="11" t="s">
        <v>13</v>
      </c>
      <c r="B6" s="12"/>
      <c r="C6" s="12"/>
      <c r="D6" s="12"/>
      <c r="E6" s="12"/>
      <c r="F6" s="12"/>
      <c r="G6" s="12"/>
      <c r="H6" s="12"/>
      <c r="I6" s="12"/>
      <c r="J6" s="12"/>
      <c r="K6" s="12"/>
      <c r="L6" s="12"/>
      <c r="M6" s="12"/>
      <c r="N6" s="12"/>
    </row>
    <row r="7" spans="1:16">
      <c r="A7" t="s">
        <v>2</v>
      </c>
      <c r="B7" s="49">
        <v>14</v>
      </c>
      <c r="C7" s="49">
        <v>7</v>
      </c>
      <c r="D7" s="49">
        <v>83</v>
      </c>
      <c r="E7" s="49">
        <v>143</v>
      </c>
      <c r="F7" s="49">
        <v>182</v>
      </c>
      <c r="G7" s="49">
        <v>79</v>
      </c>
      <c r="H7" s="49">
        <v>39</v>
      </c>
      <c r="I7" s="49">
        <v>197</v>
      </c>
      <c r="J7" s="49">
        <v>99</v>
      </c>
      <c r="K7" s="49">
        <v>107</v>
      </c>
      <c r="L7" s="49">
        <v>27</v>
      </c>
      <c r="M7" s="49">
        <v>18</v>
      </c>
      <c r="N7" s="45">
        <f>SUM(B7:M7)</f>
        <v>995</v>
      </c>
      <c r="O7" s="27"/>
      <c r="P7" s="27"/>
    </row>
    <row r="8" spans="1:16">
      <c r="A8" t="s">
        <v>3</v>
      </c>
      <c r="B8" s="47">
        <v>42</v>
      </c>
      <c r="C8" s="47">
        <v>19</v>
      </c>
      <c r="D8" s="47">
        <v>290</v>
      </c>
      <c r="E8" s="47">
        <v>592</v>
      </c>
      <c r="F8" s="47">
        <v>872</v>
      </c>
      <c r="G8" s="47">
        <v>319</v>
      </c>
      <c r="H8" s="49">
        <v>169</v>
      </c>
      <c r="I8" s="49">
        <v>1086</v>
      </c>
      <c r="J8" s="49">
        <v>364</v>
      </c>
      <c r="K8" s="49">
        <v>397</v>
      </c>
      <c r="L8" s="49">
        <v>90</v>
      </c>
      <c r="M8" s="49">
        <v>40</v>
      </c>
      <c r="N8" s="45">
        <f>SUM(B8:M8)</f>
        <v>4280</v>
      </c>
      <c r="O8" s="27">
        <v>4977</v>
      </c>
      <c r="P8" s="27">
        <f>O8/N8</f>
        <v>1.1628504672897195</v>
      </c>
    </row>
    <row r="9" spans="1:16">
      <c r="A9" s="16" t="s">
        <v>11</v>
      </c>
      <c r="B9" s="49">
        <v>0</v>
      </c>
      <c r="C9" s="49">
        <v>0</v>
      </c>
      <c r="D9" s="49">
        <v>0</v>
      </c>
      <c r="E9" s="49">
        <v>0</v>
      </c>
      <c r="F9" s="49">
        <v>0</v>
      </c>
      <c r="G9" s="49">
        <v>0</v>
      </c>
      <c r="H9" s="49">
        <v>0</v>
      </c>
      <c r="I9" s="49">
        <v>0</v>
      </c>
      <c r="J9" s="49">
        <v>0</v>
      </c>
      <c r="K9" s="49">
        <v>0</v>
      </c>
      <c r="L9" s="49">
        <v>0</v>
      </c>
      <c r="M9" s="49">
        <v>0</v>
      </c>
      <c r="N9" s="45">
        <f>SUM(B9:M9)</f>
        <v>0</v>
      </c>
      <c r="O9" s="27"/>
      <c r="P9" s="27"/>
    </row>
    <row r="10" spans="1:16">
      <c r="A10" s="16"/>
      <c r="B10" s="12"/>
      <c r="C10" s="12"/>
      <c r="D10" s="12"/>
      <c r="E10" s="12"/>
      <c r="F10" s="12"/>
      <c r="G10" s="12"/>
      <c r="H10" s="12"/>
      <c r="I10" s="12"/>
      <c r="J10" s="12"/>
      <c r="K10" s="12"/>
      <c r="L10" s="12"/>
      <c r="M10" s="12"/>
      <c r="N10" s="12"/>
      <c r="O10" s="27"/>
      <c r="P10" s="27"/>
    </row>
    <row r="11" spans="1:16">
      <c r="A11" s="1" t="s">
        <v>14</v>
      </c>
      <c r="O11" s="27"/>
      <c r="P11" s="27"/>
    </row>
    <row r="12" spans="1:16">
      <c r="A12" t="s">
        <v>2</v>
      </c>
      <c r="B12" s="49">
        <v>29</v>
      </c>
      <c r="C12" s="49">
        <v>13</v>
      </c>
      <c r="D12" s="49">
        <v>34</v>
      </c>
      <c r="E12" s="49">
        <v>62</v>
      </c>
      <c r="F12" s="49">
        <v>129</v>
      </c>
      <c r="G12" s="49">
        <v>34</v>
      </c>
      <c r="H12" s="49">
        <v>28</v>
      </c>
      <c r="I12" s="49">
        <v>48</v>
      </c>
      <c r="J12" s="49">
        <v>75</v>
      </c>
      <c r="K12" s="49">
        <v>92</v>
      </c>
      <c r="L12" s="49">
        <v>29</v>
      </c>
      <c r="M12" s="49">
        <v>44</v>
      </c>
      <c r="N12" s="45">
        <f>SUM(B12:M12)</f>
        <v>617</v>
      </c>
      <c r="O12" s="27"/>
      <c r="P12" s="27"/>
    </row>
    <row r="13" spans="1:16">
      <c r="A13" t="s">
        <v>3</v>
      </c>
      <c r="B13" s="47">
        <v>126</v>
      </c>
      <c r="C13" s="47">
        <v>35</v>
      </c>
      <c r="D13" s="47">
        <v>108</v>
      </c>
      <c r="E13" s="47">
        <v>156</v>
      </c>
      <c r="F13" s="47">
        <v>548</v>
      </c>
      <c r="G13" s="47">
        <v>152</v>
      </c>
      <c r="H13" s="49">
        <v>130</v>
      </c>
      <c r="I13" s="49">
        <v>158</v>
      </c>
      <c r="J13" s="49">
        <v>257</v>
      </c>
      <c r="K13" s="49">
        <v>243</v>
      </c>
      <c r="L13" s="49">
        <v>70</v>
      </c>
      <c r="M13" s="49">
        <v>205</v>
      </c>
      <c r="N13" s="45">
        <f>SUM(B13:M13)</f>
        <v>2188</v>
      </c>
      <c r="O13" s="27">
        <v>5562</v>
      </c>
      <c r="P13" s="27">
        <f>O13/N13</f>
        <v>2.5420475319926874</v>
      </c>
    </row>
    <row r="14" spans="1:16">
      <c r="A14" s="16" t="s">
        <v>11</v>
      </c>
      <c r="B14" s="49">
        <v>0</v>
      </c>
      <c r="C14" s="49">
        <v>0</v>
      </c>
      <c r="D14" s="49">
        <v>0</v>
      </c>
      <c r="E14" s="49">
        <v>0</v>
      </c>
      <c r="F14" s="49">
        <v>0</v>
      </c>
      <c r="G14" s="49">
        <v>0</v>
      </c>
      <c r="H14" s="49">
        <v>0</v>
      </c>
      <c r="I14" s="49">
        <v>0</v>
      </c>
      <c r="J14" s="49">
        <v>0</v>
      </c>
      <c r="K14" s="49">
        <v>0</v>
      </c>
      <c r="L14" s="49">
        <v>0</v>
      </c>
      <c r="M14" s="49">
        <v>0</v>
      </c>
      <c r="N14" s="45">
        <f>SUM(B14:M14)</f>
        <v>0</v>
      </c>
      <c r="O14" s="27"/>
      <c r="P14" s="27"/>
    </row>
    <row r="15" spans="1:16">
      <c r="A15" s="17"/>
      <c r="B15" s="12"/>
      <c r="C15" s="12"/>
      <c r="D15" s="12"/>
      <c r="E15" s="12"/>
      <c r="F15" s="12"/>
      <c r="G15" s="12"/>
      <c r="H15" s="12"/>
      <c r="I15" s="12"/>
      <c r="J15" s="12"/>
      <c r="K15" s="12"/>
      <c r="L15" s="12"/>
      <c r="M15" s="12"/>
      <c r="N15" s="12"/>
      <c r="O15" s="27"/>
      <c r="P15" s="27"/>
    </row>
    <row r="16" spans="1:16">
      <c r="A16" s="1" t="s">
        <v>15</v>
      </c>
      <c r="O16" s="27"/>
      <c r="P16" s="27"/>
    </row>
    <row r="17" spans="1:16">
      <c r="A17" t="s">
        <v>2</v>
      </c>
      <c r="B17" s="49">
        <v>22</v>
      </c>
      <c r="C17" s="49">
        <v>12</v>
      </c>
      <c r="D17" s="49">
        <v>45</v>
      </c>
      <c r="E17" s="49">
        <v>67</v>
      </c>
      <c r="F17" s="49">
        <v>57</v>
      </c>
      <c r="G17" s="49">
        <v>22</v>
      </c>
      <c r="H17" s="49">
        <v>68</v>
      </c>
      <c r="I17" s="49">
        <v>70</v>
      </c>
      <c r="J17" s="49">
        <v>74</v>
      </c>
      <c r="K17" s="49">
        <v>80</v>
      </c>
      <c r="L17" s="49">
        <v>22</v>
      </c>
      <c r="M17" s="49">
        <v>21</v>
      </c>
      <c r="N17" s="45">
        <f>SUM(B17:M17)</f>
        <v>560</v>
      </c>
      <c r="O17" s="27"/>
      <c r="P17" s="27"/>
    </row>
    <row r="18" spans="1:16">
      <c r="A18" t="s">
        <v>3</v>
      </c>
      <c r="B18" s="80">
        <v>145</v>
      </c>
      <c r="C18" s="80">
        <v>25</v>
      </c>
      <c r="D18" s="80">
        <v>129</v>
      </c>
      <c r="E18" s="80">
        <v>202</v>
      </c>
      <c r="F18" s="80">
        <v>211</v>
      </c>
      <c r="G18" s="80">
        <v>108</v>
      </c>
      <c r="H18" s="49">
        <v>248</v>
      </c>
      <c r="I18" s="49">
        <v>206</v>
      </c>
      <c r="J18" s="49">
        <v>272</v>
      </c>
      <c r="K18" s="49">
        <v>287</v>
      </c>
      <c r="L18" s="49">
        <v>64</v>
      </c>
      <c r="M18" s="49">
        <v>103</v>
      </c>
      <c r="N18" s="45">
        <f>SUM(B18:M18)</f>
        <v>2000</v>
      </c>
      <c r="O18" s="27">
        <v>3291.75</v>
      </c>
      <c r="P18" s="27">
        <f>O18/N18</f>
        <v>1.645875</v>
      </c>
    </row>
    <row r="19" spans="1:16">
      <c r="A19" s="16" t="s">
        <v>11</v>
      </c>
      <c r="B19" s="49">
        <v>0</v>
      </c>
      <c r="C19" s="49">
        <v>0</v>
      </c>
      <c r="D19" s="49">
        <v>20</v>
      </c>
      <c r="E19" s="49">
        <v>0</v>
      </c>
      <c r="F19" s="49">
        <v>0</v>
      </c>
      <c r="G19" s="49">
        <v>0</v>
      </c>
      <c r="H19" s="49">
        <v>53</v>
      </c>
      <c r="I19" s="49">
        <v>0</v>
      </c>
      <c r="J19" s="49">
        <v>6</v>
      </c>
      <c r="K19" s="49">
        <v>0</v>
      </c>
      <c r="L19" s="49">
        <v>0</v>
      </c>
      <c r="M19" s="49">
        <v>0</v>
      </c>
      <c r="N19" s="45">
        <f>SUM(B19:M19)</f>
        <v>79</v>
      </c>
      <c r="O19" s="27"/>
      <c r="P19" s="27"/>
    </row>
    <row r="20" spans="1:16">
      <c r="A20" s="17"/>
      <c r="B20" s="12"/>
      <c r="C20" s="12"/>
      <c r="D20" s="12"/>
      <c r="E20" s="12"/>
      <c r="F20" s="12"/>
      <c r="G20" s="12"/>
      <c r="H20" s="12"/>
      <c r="I20" s="12"/>
      <c r="J20" s="12"/>
      <c r="K20" s="12"/>
      <c r="L20" s="12"/>
      <c r="M20" s="12"/>
      <c r="N20" s="12"/>
      <c r="O20" s="27"/>
      <c r="P20" s="27"/>
    </row>
    <row r="21" spans="1:16">
      <c r="A21" s="1" t="s">
        <v>16</v>
      </c>
      <c r="O21" s="27"/>
      <c r="P21" s="27"/>
    </row>
    <row r="22" spans="1:16">
      <c r="A22" t="s">
        <v>2</v>
      </c>
      <c r="B22" s="80">
        <v>45</v>
      </c>
      <c r="C22" s="80">
        <v>1</v>
      </c>
      <c r="D22" s="80">
        <v>16</v>
      </c>
      <c r="E22" s="80">
        <v>57</v>
      </c>
      <c r="F22" s="80">
        <v>23</v>
      </c>
      <c r="G22" s="80">
        <v>12</v>
      </c>
      <c r="H22" s="49">
        <v>10</v>
      </c>
      <c r="I22" s="49">
        <v>30</v>
      </c>
      <c r="J22" s="49">
        <v>38</v>
      </c>
      <c r="K22" s="49">
        <v>41</v>
      </c>
      <c r="L22" s="49">
        <v>8</v>
      </c>
      <c r="M22" s="49">
        <v>11</v>
      </c>
      <c r="N22" s="45">
        <f>SUM(B22:M22)</f>
        <v>292</v>
      </c>
      <c r="O22" s="27"/>
      <c r="P22" s="27"/>
    </row>
    <row r="23" spans="1:16">
      <c r="A23" t="s">
        <v>3</v>
      </c>
      <c r="B23" s="80">
        <v>146</v>
      </c>
      <c r="C23" s="80">
        <v>1</v>
      </c>
      <c r="D23" s="80">
        <v>30</v>
      </c>
      <c r="E23" s="80">
        <v>238</v>
      </c>
      <c r="F23" s="80">
        <v>89</v>
      </c>
      <c r="G23" s="80">
        <v>56</v>
      </c>
      <c r="H23" s="49">
        <v>28</v>
      </c>
      <c r="I23" s="49">
        <v>76</v>
      </c>
      <c r="J23" s="49">
        <v>152</v>
      </c>
      <c r="K23" s="49">
        <v>165</v>
      </c>
      <c r="L23" s="49">
        <v>35</v>
      </c>
      <c r="M23" s="49">
        <v>34</v>
      </c>
      <c r="N23" s="45">
        <f>SUM(B23:M23)</f>
        <v>1050</v>
      </c>
      <c r="O23" s="27">
        <v>326</v>
      </c>
      <c r="P23" s="27">
        <f>O23/N23</f>
        <v>0.31047619047619046</v>
      </c>
    </row>
    <row r="24" spans="1:16">
      <c r="A24" s="16" t="s">
        <v>11</v>
      </c>
      <c r="B24" s="49">
        <v>0</v>
      </c>
      <c r="C24" s="49">
        <v>0</v>
      </c>
      <c r="D24" s="49">
        <v>0</v>
      </c>
      <c r="E24" s="49">
        <v>0</v>
      </c>
      <c r="F24" s="49">
        <v>0</v>
      </c>
      <c r="G24" s="49">
        <v>0</v>
      </c>
      <c r="H24" s="49">
        <v>0</v>
      </c>
      <c r="I24" s="49">
        <v>0</v>
      </c>
      <c r="J24" s="49">
        <v>0</v>
      </c>
      <c r="K24" s="49">
        <v>0</v>
      </c>
      <c r="L24" s="49">
        <v>0</v>
      </c>
      <c r="M24" s="49">
        <v>0</v>
      </c>
      <c r="N24" s="45">
        <f>SUM(B24:M24)</f>
        <v>0</v>
      </c>
      <c r="O24" s="27"/>
      <c r="P24" s="27"/>
    </row>
  </sheetData>
  <phoneticPr fontId="2" type="noConversion"/>
  <pageMargins left="0.75" right="0.75" top="1" bottom="1" header="0.5" footer="0.5"/>
  <pageSetup scale="83" fitToHeight="2" orientation="landscape"/>
  <headerFooter>
    <oddFooter>&amp;L&amp;K000000WilsonWeb&amp;R&amp;K0000002005-06 usage</oddFooter>
  </headerFooter>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25</vt:i4>
      </vt:variant>
    </vt:vector>
  </HeadingPairs>
  <TitlesOfParts>
    <vt:vector size="25" baseType="lpstr">
      <vt:lpstr>Summary</vt:lpstr>
      <vt:lpstr>ABC-CLIO</vt:lpstr>
      <vt:lpstr>CIAO</vt:lpstr>
      <vt:lpstr>Cochrane</vt:lpstr>
      <vt:lpstr>CollegeSource</vt:lpstr>
      <vt:lpstr>Compendex(EI)</vt:lpstr>
      <vt:lpstr>CSA</vt:lpstr>
      <vt:lpstr>EBSCOhost</vt:lpstr>
      <vt:lpstr>FirstSearch</vt:lpstr>
      <vt:lpstr>GroveMusic</vt:lpstr>
      <vt:lpstr>InfoTrac</vt:lpstr>
      <vt:lpstr>LexisNexis</vt:lpstr>
      <vt:lpstr>MathSciNet</vt:lpstr>
      <vt:lpstr>Mergent</vt:lpstr>
      <vt:lpstr>MINABS</vt:lpstr>
      <vt:lpstr>MusicIndex</vt:lpstr>
      <vt:lpstr>netLibrary</vt:lpstr>
      <vt:lpstr>OVID</vt:lpstr>
      <vt:lpstr>ProQuest</vt:lpstr>
      <vt:lpstr>ReferenceUSA</vt:lpstr>
      <vt:lpstr>RefWorks</vt:lpstr>
      <vt:lpstr>SciFinderScholar</vt:lpstr>
      <vt:lpstr>WebofScience</vt:lpstr>
      <vt:lpstr>WebSpirs</vt:lpstr>
      <vt:lpstr>WilsonWeb</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creator>
  <cp:lastModifiedBy>Andree Rathemacher</cp:lastModifiedBy>
  <cp:lastPrinted>2011-09-16T18:41:03Z</cp:lastPrinted>
  <dcterms:created xsi:type="dcterms:W3CDTF">2005-09-14T17:17:38Z</dcterms:created>
  <dcterms:modified xsi:type="dcterms:W3CDTF">2011-09-16T18:41:18Z</dcterms:modified>
</cp:coreProperties>
</file>