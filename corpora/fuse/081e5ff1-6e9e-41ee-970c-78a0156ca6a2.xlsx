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05" windowWidth="12420" windowHeight="7335"/>
  </bookViews>
  <sheets>
    <sheet name="by Race Ethnicity and Gender" sheetId="4" r:id="rId1"/>
  </sheets>
  <calcPr calcId="125725"/>
</workbook>
</file>

<file path=xl/calcChain.xml><?xml version="1.0" encoding="utf-8"?>
<calcChain xmlns="http://schemas.openxmlformats.org/spreadsheetml/2006/main">
  <c r="D127" i="4"/>
  <c r="D126"/>
  <c r="D43"/>
  <c r="D125"/>
  <c r="E125"/>
  <c r="F125"/>
  <c r="G125"/>
  <c r="H125"/>
  <c r="I125"/>
  <c r="J125"/>
  <c r="K125"/>
  <c r="L125"/>
  <c r="C125"/>
  <c r="D96"/>
  <c r="D97"/>
  <c r="D98"/>
  <c r="D99"/>
  <c r="D100"/>
  <c r="D101"/>
  <c r="D102"/>
  <c r="D103"/>
  <c r="D104"/>
  <c r="D105"/>
  <c r="D106"/>
  <c r="D107"/>
  <c r="D108"/>
  <c r="D109"/>
  <c r="D110"/>
  <c r="D111"/>
  <c r="D112"/>
  <c r="D113"/>
  <c r="D114"/>
  <c r="D115"/>
  <c r="D116"/>
  <c r="D117"/>
  <c r="D118"/>
  <c r="D119"/>
  <c r="D120"/>
  <c r="D121"/>
  <c r="D122"/>
  <c r="D123"/>
  <c r="D124"/>
  <c r="D95"/>
  <c r="D48"/>
  <c r="D49"/>
  <c r="D50"/>
  <c r="D51"/>
  <c r="D52"/>
  <c r="D53"/>
  <c r="D54"/>
  <c r="D55"/>
  <c r="D56"/>
  <c r="D57"/>
  <c r="D58"/>
  <c r="D59"/>
  <c r="D60"/>
  <c r="D61"/>
  <c r="D62"/>
  <c r="D63"/>
  <c r="D64"/>
  <c r="D65"/>
  <c r="D66"/>
  <c r="D67"/>
  <c r="D68"/>
  <c r="D69"/>
  <c r="D70"/>
  <c r="D71"/>
  <c r="D72"/>
  <c r="D73"/>
  <c r="D74"/>
  <c r="D75"/>
  <c r="D76"/>
  <c r="D77"/>
  <c r="D78"/>
  <c r="D79"/>
  <c r="D80"/>
  <c r="D81"/>
  <c r="D82"/>
  <c r="D83"/>
  <c r="D84"/>
  <c r="D85"/>
  <c r="D86"/>
  <c r="D87"/>
  <c r="D88"/>
  <c r="D89"/>
  <c r="D90"/>
  <c r="D91"/>
  <c r="D92"/>
  <c r="D93"/>
  <c r="D47"/>
  <c r="L96"/>
  <c r="L97"/>
  <c r="L98"/>
  <c r="L99"/>
  <c r="L100"/>
  <c r="L101"/>
  <c r="L102"/>
  <c r="L103"/>
  <c r="L104"/>
  <c r="L105"/>
  <c r="L106"/>
  <c r="L107"/>
  <c r="L108"/>
  <c r="L109"/>
  <c r="L110"/>
  <c r="L111"/>
  <c r="L112"/>
  <c r="L113"/>
  <c r="L114"/>
  <c r="L115"/>
  <c r="L116"/>
  <c r="L117"/>
  <c r="L118"/>
  <c r="L119"/>
  <c r="L120"/>
  <c r="L121"/>
  <c r="L122"/>
  <c r="L123"/>
  <c r="L124"/>
  <c r="L95"/>
  <c r="L48"/>
  <c r="L49"/>
  <c r="L50"/>
  <c r="L51"/>
  <c r="L52"/>
  <c r="L53"/>
  <c r="L54"/>
  <c r="L55"/>
  <c r="L56"/>
  <c r="L57"/>
  <c r="L58"/>
  <c r="L59"/>
  <c r="L60"/>
  <c r="L61"/>
  <c r="L62"/>
  <c r="L63"/>
  <c r="L64"/>
  <c r="L65"/>
  <c r="L66"/>
  <c r="L67"/>
  <c r="L68"/>
  <c r="L69"/>
  <c r="L70"/>
  <c r="L71"/>
  <c r="L72"/>
  <c r="L73"/>
  <c r="L74"/>
  <c r="L75"/>
  <c r="L76"/>
  <c r="L77"/>
  <c r="L78"/>
  <c r="L79"/>
  <c r="L80"/>
  <c r="L81"/>
  <c r="L82"/>
  <c r="L83"/>
  <c r="L84"/>
  <c r="L85"/>
  <c r="L86"/>
  <c r="L87"/>
  <c r="L88"/>
  <c r="L89"/>
  <c r="L90"/>
  <c r="L91"/>
  <c r="L92"/>
  <c r="L93"/>
  <c r="L47"/>
  <c r="D3"/>
  <c r="D4"/>
  <c r="D5"/>
  <c r="D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37"/>
  <c r="D38"/>
  <c r="D39"/>
  <c r="D40"/>
  <c r="D41"/>
  <c r="D42"/>
  <c r="D2"/>
  <c r="B125"/>
  <c r="L43"/>
  <c r="L126" s="1"/>
  <c r="J43"/>
  <c r="J126" s="1"/>
  <c r="I43"/>
  <c r="I126" s="1"/>
  <c r="E43"/>
  <c r="E126" s="1"/>
  <c r="H43"/>
  <c r="H126" s="1"/>
  <c r="K43"/>
  <c r="K126" s="1"/>
  <c r="G43"/>
  <c r="G126" s="1"/>
  <c r="F43"/>
  <c r="F126" s="1"/>
  <c r="C43"/>
  <c r="C126" s="1"/>
  <c r="B43"/>
  <c r="B126" s="1"/>
  <c r="A126"/>
  <c r="C127" l="1"/>
  <c r="G127"/>
  <c r="H127"/>
  <c r="I127"/>
  <c r="L127"/>
  <c r="B127"/>
  <c r="F127"/>
  <c r="K127"/>
  <c r="E127"/>
  <c r="J127"/>
</calcChain>
</file>

<file path=xl/sharedStrings.xml><?xml version="1.0" encoding="utf-8"?>
<sst xmlns="http://schemas.openxmlformats.org/spreadsheetml/2006/main" count="157" uniqueCount="134">
  <si>
    <t>Alpine District</t>
  </si>
  <si>
    <t>Beaver District</t>
  </si>
  <si>
    <t>Box Elder District</t>
  </si>
  <si>
    <t>Cache District</t>
  </si>
  <si>
    <t>Carbon District</t>
  </si>
  <si>
    <t>Daggett District</t>
  </si>
  <si>
    <t>Davis District</t>
  </si>
  <si>
    <t>Duchesne District</t>
  </si>
  <si>
    <t>Canyons District</t>
  </si>
  <si>
    <t>Emery District</t>
  </si>
  <si>
    <t>Garfield District</t>
  </si>
  <si>
    <t>Grand District</t>
  </si>
  <si>
    <t>Granite District</t>
  </si>
  <si>
    <t>Iron District</t>
  </si>
  <si>
    <t>Jordan District</t>
  </si>
  <si>
    <t>Juab District</t>
  </si>
  <si>
    <t>Kane District</t>
  </si>
  <si>
    <t>Morgan District</t>
  </si>
  <si>
    <t>Millard District</t>
  </si>
  <si>
    <t>District Total</t>
  </si>
  <si>
    <t>Logan District</t>
  </si>
  <si>
    <t>Murray District</t>
  </si>
  <si>
    <t>Nebo District</t>
  </si>
  <si>
    <t>North Sanpete District</t>
  </si>
  <si>
    <t>North Summit District</t>
  </si>
  <si>
    <t>Ogden District</t>
  </si>
  <si>
    <t>Park City District</t>
  </si>
  <si>
    <t>Piute District</t>
  </si>
  <si>
    <t>Provo District</t>
  </si>
  <si>
    <t>Rich District</t>
  </si>
  <si>
    <t>Salt Lake District</t>
  </si>
  <si>
    <t>San Juan District</t>
  </si>
  <si>
    <t>Sevier District</t>
  </si>
  <si>
    <t>South Sanpete District</t>
  </si>
  <si>
    <t>South Summit District</t>
  </si>
  <si>
    <t>Tintic District</t>
  </si>
  <si>
    <t>Tooele District</t>
  </si>
  <si>
    <t>Uintah District</t>
  </si>
  <si>
    <t>Wasatch District</t>
  </si>
  <si>
    <t>Washington District</t>
  </si>
  <si>
    <t>Wayne District</t>
  </si>
  <si>
    <t>Weber District</t>
  </si>
  <si>
    <t>American Leadership Academy</t>
  </si>
  <si>
    <t>American Preparatory Academy</t>
  </si>
  <si>
    <t>Bear River Charter School</t>
  </si>
  <si>
    <t>Canyon Rim Academy</t>
  </si>
  <si>
    <t>Channing Hall</t>
  </si>
  <si>
    <t>City Academy</t>
  </si>
  <si>
    <t>CS Lewis Academy</t>
  </si>
  <si>
    <t>Dual Immersion Academy</t>
  </si>
  <si>
    <t>Early Light Academy at Daybreak</t>
  </si>
  <si>
    <t>East Hollywood High</t>
  </si>
  <si>
    <t>Edith Bowen Laboratory School</t>
  </si>
  <si>
    <t>Entheos Academy</t>
  </si>
  <si>
    <t>Excelsior Academy</t>
  </si>
  <si>
    <t>Fast Forward High</t>
  </si>
  <si>
    <t>Freedom Academy</t>
  </si>
  <si>
    <t>Gateway Preparatory Academy</t>
  </si>
  <si>
    <t>Good Foundation Academy</t>
  </si>
  <si>
    <t>Hawthorn Academy</t>
  </si>
  <si>
    <t>Intech Collegiate High School</t>
  </si>
  <si>
    <t>Itineris Early College High</t>
  </si>
  <si>
    <t>John Hancock Charter School</t>
  </si>
  <si>
    <t>Lakeview Academy</t>
  </si>
  <si>
    <t>Legacy Preparatory Academy</t>
  </si>
  <si>
    <t>Liberty Academy</t>
  </si>
  <si>
    <t>Maria Montessori Academy</t>
  </si>
  <si>
    <t>Merit College Preparatory Academy</t>
  </si>
  <si>
    <t>Moab Community School</t>
  </si>
  <si>
    <t>Monticello Academy</t>
  </si>
  <si>
    <t>Mountainville Academy</t>
  </si>
  <si>
    <t>Navigator Pointe Academy</t>
  </si>
  <si>
    <t>Noah Webster Academy</t>
  </si>
  <si>
    <t>North Davis Preparatory Academy</t>
  </si>
  <si>
    <t>North Star Academy</t>
  </si>
  <si>
    <t>Odyssey Charter School</t>
  </si>
  <si>
    <t>Ogden Preparatory Academy</t>
  </si>
  <si>
    <t>Open Classroom</t>
  </si>
  <si>
    <t>Open High School of Utah</t>
  </si>
  <si>
    <t>Oquirrh Mountain Charter School</t>
  </si>
  <si>
    <t>Paradigm High School</t>
  </si>
  <si>
    <t>Pinnacle Canyon Academy</t>
  </si>
  <si>
    <t>Providence Hall</t>
  </si>
  <si>
    <t>Quail Run Primary School</t>
  </si>
  <si>
    <t>Quest Academy</t>
  </si>
  <si>
    <t>Ranches Academy</t>
  </si>
  <si>
    <t>Reagan Academy</t>
  </si>
  <si>
    <t>Renaissance Academy</t>
  </si>
  <si>
    <t>Rockwell Charter High School</t>
  </si>
  <si>
    <t>Salt Lake Arts Academy</t>
  </si>
  <si>
    <t>Salt Lake School for the Performing Arts</t>
  </si>
  <si>
    <t>Soldier Hollow Charter School</t>
  </si>
  <si>
    <t>Spectrum Academy</t>
  </si>
  <si>
    <t>Success Academy</t>
  </si>
  <si>
    <t>Success School</t>
  </si>
  <si>
    <t>Summit Academy High School</t>
  </si>
  <si>
    <t>Syracuse Arts Academy</t>
  </si>
  <si>
    <t>Timpanogos Academy</t>
  </si>
  <si>
    <t>Tuacahn High School for the Performing Arts</t>
  </si>
  <si>
    <t>Uintah River High</t>
  </si>
  <si>
    <t>Utah Virtual Academy</t>
  </si>
  <si>
    <t>Venture Academy</t>
  </si>
  <si>
    <t>Walden School of Liberal Arts</t>
  </si>
  <si>
    <t>Wasatch Peak Academy</t>
  </si>
  <si>
    <t>Weilenmann School of Discovery</t>
  </si>
  <si>
    <t>Charter School Total</t>
  </si>
  <si>
    <t>Grand Total</t>
  </si>
  <si>
    <t>George Washington Academy</t>
  </si>
  <si>
    <t>Lincoln Academy</t>
  </si>
  <si>
    <t xml:space="preserve">DISTRICT  </t>
  </si>
  <si>
    <t>FEMALE</t>
  </si>
  <si>
    <t>MALE</t>
  </si>
  <si>
    <t>ASIAN</t>
  </si>
  <si>
    <t>HISPANIC/LATINO</t>
  </si>
  <si>
    <t>MULTI-RACE</t>
  </si>
  <si>
    <t>WHITE</t>
  </si>
  <si>
    <t>AFRICAN AM OR BLACK</t>
  </si>
  <si>
    <t>AMERICAN INDIAN</t>
  </si>
  <si>
    <t>PACIFIC ISLANDER</t>
  </si>
  <si>
    <t>ETHNIC MINORITY</t>
  </si>
  <si>
    <t>CHARTER</t>
  </si>
  <si>
    <t>TOTAL</t>
  </si>
  <si>
    <t xml:space="preserve">CHARTER  </t>
  </si>
  <si>
    <t>Academy for Math, Engineering, &amp; Science</t>
  </si>
  <si>
    <t>Beehive Science &amp; Technology Academy</t>
  </si>
  <si>
    <t>Davinci Academy</t>
  </si>
  <si>
    <t>Guadalupe School</t>
  </si>
  <si>
    <t>Karl G. Maeser Preparatory Academy</t>
  </si>
  <si>
    <t>North Utah Academy for Math, Enginerring &amp; Science</t>
  </si>
  <si>
    <t>Salt Lake Center for Science Education</t>
  </si>
  <si>
    <t>Summit Academy</t>
  </si>
  <si>
    <t>Thomas Edison</t>
  </si>
  <si>
    <t>Utah County Academy of Science</t>
  </si>
  <si>
    <t>Vista At Entrada School of Performing Arts</t>
  </si>
</sst>
</file>

<file path=xl/styles.xml><?xml version="1.0" encoding="utf-8"?>
<styleSheet xmlns="http://schemas.openxmlformats.org/spreadsheetml/2006/main">
  <numFmts count="1">
    <numFmt numFmtId="164" formatCode="###0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8"/>
      <color theme="1"/>
      <name val="Arial"/>
      <family val="2"/>
    </font>
    <font>
      <sz val="8"/>
      <name val="Arial"/>
      <family val="2"/>
    </font>
    <font>
      <b/>
      <sz val="9"/>
      <color theme="1"/>
      <name val="Arial"/>
      <family val="2"/>
    </font>
    <font>
      <b/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1" fillId="0" borderId="0"/>
  </cellStyleXfs>
  <cellXfs count="47">
    <xf numFmtId="0" fontId="0" fillId="0" borderId="0" xfId="0"/>
    <xf numFmtId="3" fontId="2" fillId="0" borderId="9" xfId="0" applyNumberFormat="1" applyFont="1" applyBorder="1" applyAlignment="1">
      <alignment horizontal="center" vertical="center"/>
    </xf>
    <xf numFmtId="3" fontId="2" fillId="0" borderId="9" xfId="0" applyNumberFormat="1" applyFont="1" applyBorder="1" applyAlignment="1">
      <alignment horizontal="center" vertical="center" wrapText="1"/>
    </xf>
    <xf numFmtId="3" fontId="2" fillId="0" borderId="0" xfId="0" applyNumberFormat="1" applyFont="1" applyAlignment="1"/>
    <xf numFmtId="3" fontId="3" fillId="0" borderId="11" xfId="1" applyNumberFormat="1" applyFont="1" applyBorder="1" applyAlignment="1">
      <alignment vertical="top"/>
    </xf>
    <xf numFmtId="3" fontId="3" fillId="0" borderId="0" xfId="1" applyNumberFormat="1" applyFont="1" applyBorder="1" applyAlignment="1">
      <alignment horizontal="right" vertical="top" wrapText="1"/>
    </xf>
    <xf numFmtId="3" fontId="3" fillId="0" borderId="10" xfId="1" applyNumberFormat="1" applyFont="1" applyBorder="1" applyAlignment="1">
      <alignment horizontal="right" vertical="top" wrapText="1"/>
    </xf>
    <xf numFmtId="3" fontId="3" fillId="0" borderId="2" xfId="1" applyNumberFormat="1" applyFont="1" applyBorder="1" applyAlignment="1">
      <alignment horizontal="right" vertical="top" wrapText="1"/>
    </xf>
    <xf numFmtId="3" fontId="3" fillId="0" borderId="11" xfId="1" applyNumberFormat="1" applyFont="1" applyBorder="1" applyAlignment="1">
      <alignment horizontal="right" vertical="top" wrapText="1"/>
    </xf>
    <xf numFmtId="3" fontId="4" fillId="0" borderId="0" xfId="0" applyNumberFormat="1" applyFont="1"/>
    <xf numFmtId="3" fontId="3" fillId="0" borderId="12" xfId="1" applyNumberFormat="1" applyFont="1" applyBorder="1" applyAlignment="1">
      <alignment vertical="top"/>
    </xf>
    <xf numFmtId="3" fontId="3" fillId="0" borderId="13" xfId="1" applyNumberFormat="1" applyFont="1" applyBorder="1" applyAlignment="1">
      <alignment horizontal="right" vertical="top" wrapText="1"/>
    </xf>
    <xf numFmtId="3" fontId="3" fillId="0" borderId="12" xfId="1" applyNumberFormat="1" applyFont="1" applyBorder="1" applyAlignment="1">
      <alignment horizontal="right" vertical="top" wrapText="1"/>
    </xf>
    <xf numFmtId="3" fontId="3" fillId="0" borderId="3" xfId="1" applyNumberFormat="1" applyFont="1" applyBorder="1" applyAlignment="1">
      <alignment horizontal="right" vertical="top" wrapText="1"/>
    </xf>
    <xf numFmtId="3" fontId="3" fillId="0" borderId="10" xfId="1" applyNumberFormat="1" applyFont="1" applyBorder="1" applyAlignment="1">
      <alignment vertical="top"/>
    </xf>
    <xf numFmtId="3" fontId="3" fillId="0" borderId="14" xfId="1" applyNumberFormat="1" applyFont="1" applyBorder="1" applyAlignment="1">
      <alignment horizontal="right" vertical="top" wrapText="1"/>
    </xf>
    <xf numFmtId="3" fontId="3" fillId="0" borderId="1" xfId="1" applyNumberFormat="1" applyFont="1" applyBorder="1" applyAlignment="1">
      <alignment horizontal="right" vertical="top" wrapText="1"/>
    </xf>
    <xf numFmtId="3" fontId="2" fillId="0" borderId="15" xfId="0" applyNumberFormat="1" applyFont="1" applyBorder="1" applyAlignment="1"/>
    <xf numFmtId="3" fontId="2" fillId="0" borderId="7" xfId="0" applyNumberFormat="1" applyFont="1" applyBorder="1" applyAlignment="1">
      <alignment horizontal="right"/>
    </xf>
    <xf numFmtId="3" fontId="2" fillId="0" borderId="15" xfId="0" applyNumberFormat="1" applyFont="1" applyBorder="1" applyAlignment="1">
      <alignment horizontal="right"/>
    </xf>
    <xf numFmtId="3" fontId="2" fillId="0" borderId="0" xfId="0" applyNumberFormat="1" applyFont="1"/>
    <xf numFmtId="3" fontId="4" fillId="0" borderId="4" xfId="0" applyNumberFormat="1" applyFont="1" applyBorder="1" applyAlignment="1"/>
    <xf numFmtId="3" fontId="4" fillId="0" borderId="5" xfId="0" applyNumberFormat="1" applyFont="1" applyBorder="1" applyAlignment="1">
      <alignment horizontal="right"/>
    </xf>
    <xf numFmtId="3" fontId="4" fillId="0" borderId="6" xfId="0" applyNumberFormat="1" applyFont="1" applyBorder="1" applyAlignment="1">
      <alignment horizontal="right"/>
    </xf>
    <xf numFmtId="3" fontId="4" fillId="0" borderId="0" xfId="0" applyNumberFormat="1" applyFont="1" applyBorder="1" applyAlignment="1"/>
    <xf numFmtId="3" fontId="4" fillId="0" borderId="0" xfId="0" applyNumberFormat="1" applyFont="1" applyBorder="1" applyAlignment="1">
      <alignment horizontal="right"/>
    </xf>
    <xf numFmtId="3" fontId="4" fillId="0" borderId="0" xfId="0" applyNumberFormat="1" applyFont="1" applyAlignment="1"/>
    <xf numFmtId="3" fontId="3" fillId="0" borderId="10" xfId="1" applyNumberFormat="1" applyFont="1" applyBorder="1" applyAlignment="1">
      <alignment horizontal="right" vertical="top"/>
    </xf>
    <xf numFmtId="3" fontId="5" fillId="0" borderId="10" xfId="1" applyNumberFormat="1" applyFont="1" applyBorder="1" applyAlignment="1">
      <alignment horizontal="right"/>
    </xf>
    <xf numFmtId="3" fontId="3" fillId="0" borderId="11" xfId="1" applyNumberFormat="1" applyFont="1" applyBorder="1" applyAlignment="1">
      <alignment horizontal="right" vertical="top"/>
    </xf>
    <xf numFmtId="3" fontId="5" fillId="0" borderId="11" xfId="1" applyNumberFormat="1" applyFont="1" applyBorder="1" applyAlignment="1">
      <alignment horizontal="right"/>
    </xf>
    <xf numFmtId="3" fontId="3" fillId="0" borderId="12" xfId="1" applyNumberFormat="1" applyFont="1" applyBorder="1" applyAlignment="1">
      <alignment horizontal="right" vertical="top"/>
    </xf>
    <xf numFmtId="3" fontId="5" fillId="0" borderId="12" xfId="1" applyNumberFormat="1" applyFont="1" applyBorder="1" applyAlignment="1">
      <alignment horizontal="right"/>
    </xf>
    <xf numFmtId="3" fontId="7" fillId="0" borderId="12" xfId="1" applyNumberFormat="1" applyFont="1" applyBorder="1" applyAlignment="1">
      <alignment horizontal="right" vertical="top"/>
    </xf>
    <xf numFmtId="3" fontId="2" fillId="0" borderId="12" xfId="0" applyNumberFormat="1" applyFont="1" applyBorder="1" applyAlignment="1"/>
    <xf numFmtId="3" fontId="6" fillId="0" borderId="7" xfId="0" applyNumberFormat="1" applyFont="1" applyBorder="1" applyAlignment="1">
      <alignment horizontal="right"/>
    </xf>
    <xf numFmtId="3" fontId="6" fillId="0" borderId="8" xfId="0" applyNumberFormat="1" applyFont="1" applyBorder="1" applyAlignment="1">
      <alignment horizontal="right"/>
    </xf>
    <xf numFmtId="3" fontId="6" fillId="0" borderId="0" xfId="0" applyNumberFormat="1" applyFont="1"/>
    <xf numFmtId="3" fontId="6" fillId="0" borderId="16" xfId="0" applyNumberFormat="1" applyFont="1" applyBorder="1" applyAlignment="1">
      <alignment horizontal="right"/>
    </xf>
    <xf numFmtId="0" fontId="4" fillId="0" borderId="10" xfId="0" applyFont="1" applyBorder="1"/>
    <xf numFmtId="0" fontId="4" fillId="0" borderId="11" xfId="0" applyFont="1" applyBorder="1"/>
    <xf numFmtId="0" fontId="4" fillId="0" borderId="12" xfId="0" applyFont="1" applyBorder="1"/>
    <xf numFmtId="3" fontId="2" fillId="0" borderId="10" xfId="0" applyNumberFormat="1" applyFont="1" applyBorder="1" applyAlignment="1"/>
    <xf numFmtId="3" fontId="6" fillId="0" borderId="15" xfId="0" applyNumberFormat="1" applyFont="1" applyBorder="1" applyAlignment="1"/>
    <xf numFmtId="164" fontId="3" fillId="0" borderId="10" xfId="0" applyNumberFormat="1" applyFont="1" applyBorder="1" applyAlignment="1">
      <alignment horizontal="right" vertical="top"/>
    </xf>
    <xf numFmtId="164" fontId="3" fillId="0" borderId="11" xfId="0" applyNumberFormat="1" applyFont="1" applyBorder="1" applyAlignment="1">
      <alignment horizontal="right" vertical="top"/>
    </xf>
    <xf numFmtId="3" fontId="2" fillId="0" borderId="10" xfId="0" applyNumberFormat="1" applyFont="1" applyBorder="1" applyAlignment="1">
      <alignment horizontal="right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28"/>
  <sheetViews>
    <sheetView tabSelected="1" zoomScaleNormal="100" zoomScaleSheetLayoutView="100" workbookViewId="0">
      <selection activeCell="G135" sqref="G135"/>
    </sheetView>
  </sheetViews>
  <sheetFormatPr defaultColWidth="8.7109375" defaultRowHeight="11.25"/>
  <cols>
    <col min="1" max="1" width="33.85546875" style="24" customWidth="1"/>
    <col min="2" max="12" width="10.140625" style="25" customWidth="1"/>
    <col min="13" max="16384" width="8.7109375" style="9"/>
  </cols>
  <sheetData>
    <row r="1" spans="1:12" s="3" customFormat="1" ht="33.75">
      <c r="A1" s="1" t="s">
        <v>109</v>
      </c>
      <c r="B1" s="2" t="s">
        <v>110</v>
      </c>
      <c r="C1" s="2" t="s">
        <v>111</v>
      </c>
      <c r="D1" s="2" t="s">
        <v>119</v>
      </c>
      <c r="E1" s="2" t="s">
        <v>114</v>
      </c>
      <c r="F1" s="2" t="s">
        <v>112</v>
      </c>
      <c r="G1" s="2" t="s">
        <v>116</v>
      </c>
      <c r="H1" s="2" t="s">
        <v>117</v>
      </c>
      <c r="I1" s="2" t="s">
        <v>118</v>
      </c>
      <c r="J1" s="2" t="s">
        <v>113</v>
      </c>
      <c r="K1" s="2" t="s">
        <v>115</v>
      </c>
      <c r="L1" s="2" t="s">
        <v>121</v>
      </c>
    </row>
    <row r="2" spans="1:12">
      <c r="A2" s="4" t="s">
        <v>0</v>
      </c>
      <c r="B2" s="5">
        <v>32102</v>
      </c>
      <c r="C2" s="6">
        <v>33943</v>
      </c>
      <c r="D2" s="6">
        <f>SUM(E2:J2)</f>
        <v>8480</v>
      </c>
      <c r="E2" s="7">
        <v>163</v>
      </c>
      <c r="F2" s="7">
        <v>759</v>
      </c>
      <c r="G2" s="8">
        <v>529</v>
      </c>
      <c r="H2" s="7">
        <v>329</v>
      </c>
      <c r="I2" s="7">
        <v>908</v>
      </c>
      <c r="J2" s="7">
        <v>5792</v>
      </c>
      <c r="K2" s="8">
        <v>57565</v>
      </c>
      <c r="L2" s="8">
        <v>66045</v>
      </c>
    </row>
    <row r="3" spans="1:12">
      <c r="A3" s="4" t="s">
        <v>1</v>
      </c>
      <c r="B3" s="5">
        <v>719</v>
      </c>
      <c r="C3" s="8">
        <v>847</v>
      </c>
      <c r="D3" s="8">
        <f t="shared" ref="D3:D43" si="0">SUM(E3:J3)</f>
        <v>216</v>
      </c>
      <c r="E3" s="7">
        <v>3</v>
      </c>
      <c r="F3" s="7">
        <v>18</v>
      </c>
      <c r="G3" s="8">
        <v>4</v>
      </c>
      <c r="H3" s="7">
        <v>16</v>
      </c>
      <c r="I3" s="7">
        <v>5</v>
      </c>
      <c r="J3" s="7">
        <v>170</v>
      </c>
      <c r="K3" s="8">
        <v>1350</v>
      </c>
      <c r="L3" s="8">
        <v>1566</v>
      </c>
    </row>
    <row r="4" spans="1:12">
      <c r="A4" s="4" t="s">
        <v>2</v>
      </c>
      <c r="B4" s="5">
        <v>5365</v>
      </c>
      <c r="C4" s="8">
        <v>5822</v>
      </c>
      <c r="D4" s="8">
        <f t="shared" si="0"/>
        <v>1357</v>
      </c>
      <c r="E4" s="7">
        <v>32</v>
      </c>
      <c r="F4" s="7">
        <v>111</v>
      </c>
      <c r="G4" s="8">
        <v>84</v>
      </c>
      <c r="H4" s="7">
        <v>86</v>
      </c>
      <c r="I4" s="7">
        <v>38</v>
      </c>
      <c r="J4" s="7">
        <v>1006</v>
      </c>
      <c r="K4" s="8">
        <v>9830</v>
      </c>
      <c r="L4" s="8">
        <v>11187</v>
      </c>
    </row>
    <row r="5" spans="1:12">
      <c r="A5" s="4" t="s">
        <v>3</v>
      </c>
      <c r="B5" s="5">
        <v>7562</v>
      </c>
      <c r="C5" s="8">
        <v>7847</v>
      </c>
      <c r="D5" s="8">
        <f t="shared" si="0"/>
        <v>1723</v>
      </c>
      <c r="E5" s="7">
        <v>153</v>
      </c>
      <c r="F5" s="7">
        <v>95</v>
      </c>
      <c r="G5" s="8">
        <v>79</v>
      </c>
      <c r="H5" s="7">
        <v>55</v>
      </c>
      <c r="I5" s="7">
        <v>86</v>
      </c>
      <c r="J5" s="7">
        <v>1255</v>
      </c>
      <c r="K5" s="8">
        <v>13686</v>
      </c>
      <c r="L5" s="8">
        <v>15409</v>
      </c>
    </row>
    <row r="6" spans="1:12">
      <c r="A6" s="10" t="s">
        <v>8</v>
      </c>
      <c r="B6" s="11">
        <v>16141</v>
      </c>
      <c r="C6" s="12">
        <v>17328</v>
      </c>
      <c r="D6" s="12">
        <f t="shared" si="0"/>
        <v>5666</v>
      </c>
      <c r="E6" s="13">
        <v>175</v>
      </c>
      <c r="F6" s="13">
        <v>836</v>
      </c>
      <c r="G6" s="12">
        <v>465</v>
      </c>
      <c r="H6" s="13">
        <v>249</v>
      </c>
      <c r="I6" s="13">
        <v>398</v>
      </c>
      <c r="J6" s="13">
        <v>3543</v>
      </c>
      <c r="K6" s="12">
        <v>27803</v>
      </c>
      <c r="L6" s="12">
        <v>33469</v>
      </c>
    </row>
    <row r="7" spans="1:12">
      <c r="A7" s="14" t="s">
        <v>4</v>
      </c>
      <c r="B7" s="15">
        <v>1757</v>
      </c>
      <c r="C7" s="6">
        <v>1702</v>
      </c>
      <c r="D7" s="6">
        <f t="shared" si="0"/>
        <v>508</v>
      </c>
      <c r="E7" s="16">
        <v>19</v>
      </c>
      <c r="F7" s="16">
        <v>19</v>
      </c>
      <c r="G7" s="6">
        <v>24</v>
      </c>
      <c r="H7" s="16">
        <v>48</v>
      </c>
      <c r="I7" s="16">
        <v>6</v>
      </c>
      <c r="J7" s="16">
        <v>392</v>
      </c>
      <c r="K7" s="6">
        <v>2951</v>
      </c>
      <c r="L7" s="6">
        <v>3459</v>
      </c>
    </row>
    <row r="8" spans="1:12">
      <c r="A8" s="4" t="s">
        <v>5</v>
      </c>
      <c r="B8" s="5">
        <v>73</v>
      </c>
      <c r="C8" s="8">
        <v>95</v>
      </c>
      <c r="D8" s="8">
        <f t="shared" si="0"/>
        <v>8</v>
      </c>
      <c r="E8" s="7">
        <v>0</v>
      </c>
      <c r="F8" s="7">
        <v>1</v>
      </c>
      <c r="G8" s="8">
        <v>0</v>
      </c>
      <c r="H8" s="7">
        <v>2</v>
      </c>
      <c r="I8" s="7">
        <v>0</v>
      </c>
      <c r="J8" s="7">
        <v>5</v>
      </c>
      <c r="K8" s="8">
        <v>160</v>
      </c>
      <c r="L8" s="8">
        <v>168</v>
      </c>
    </row>
    <row r="9" spans="1:12">
      <c r="A9" s="4" t="s">
        <v>6</v>
      </c>
      <c r="B9" s="5">
        <v>31973</v>
      </c>
      <c r="C9" s="8">
        <v>34098</v>
      </c>
      <c r="D9" s="8">
        <f t="shared" si="0"/>
        <v>9293</v>
      </c>
      <c r="E9" s="7">
        <v>561</v>
      </c>
      <c r="F9" s="7">
        <v>1123</v>
      </c>
      <c r="G9" s="8">
        <v>1066</v>
      </c>
      <c r="H9" s="7">
        <v>350</v>
      </c>
      <c r="I9" s="7">
        <v>749</v>
      </c>
      <c r="J9" s="7">
        <v>5444</v>
      </c>
      <c r="K9" s="8">
        <v>56778</v>
      </c>
      <c r="L9" s="8">
        <v>66071</v>
      </c>
    </row>
    <row r="10" spans="1:12">
      <c r="A10" s="4" t="s">
        <v>7</v>
      </c>
      <c r="B10" s="5">
        <v>2175</v>
      </c>
      <c r="C10" s="8">
        <v>2274</v>
      </c>
      <c r="D10" s="8">
        <f t="shared" si="0"/>
        <v>613</v>
      </c>
      <c r="E10" s="7">
        <v>82</v>
      </c>
      <c r="F10" s="7">
        <v>10</v>
      </c>
      <c r="G10" s="8">
        <v>14</v>
      </c>
      <c r="H10" s="7">
        <v>248</v>
      </c>
      <c r="I10" s="7">
        <v>12</v>
      </c>
      <c r="J10" s="7">
        <v>247</v>
      </c>
      <c r="K10" s="8">
        <v>3836</v>
      </c>
      <c r="L10" s="8">
        <v>4449</v>
      </c>
    </row>
    <row r="11" spans="1:12">
      <c r="A11" s="10" t="s">
        <v>9</v>
      </c>
      <c r="B11" s="11">
        <v>1168</v>
      </c>
      <c r="C11" s="12">
        <v>1192</v>
      </c>
      <c r="D11" s="12">
        <f t="shared" si="0"/>
        <v>229</v>
      </c>
      <c r="E11" s="13">
        <v>8</v>
      </c>
      <c r="F11" s="13">
        <v>7</v>
      </c>
      <c r="G11" s="12">
        <v>12</v>
      </c>
      <c r="H11" s="13">
        <v>14</v>
      </c>
      <c r="I11" s="13">
        <v>4</v>
      </c>
      <c r="J11" s="13">
        <v>184</v>
      </c>
      <c r="K11" s="12">
        <v>2131</v>
      </c>
      <c r="L11" s="12">
        <v>2360</v>
      </c>
    </row>
    <row r="12" spans="1:12">
      <c r="A12" s="14" t="s">
        <v>10</v>
      </c>
      <c r="B12" s="15">
        <v>452</v>
      </c>
      <c r="C12" s="6">
        <v>479</v>
      </c>
      <c r="D12" s="6">
        <f t="shared" si="0"/>
        <v>85</v>
      </c>
      <c r="E12" s="16">
        <v>1</v>
      </c>
      <c r="F12" s="16">
        <v>2</v>
      </c>
      <c r="G12" s="6">
        <v>3</v>
      </c>
      <c r="H12" s="16">
        <v>15</v>
      </c>
      <c r="I12" s="16">
        <v>1</v>
      </c>
      <c r="J12" s="16">
        <v>63</v>
      </c>
      <c r="K12" s="6">
        <v>846</v>
      </c>
      <c r="L12" s="6">
        <v>931</v>
      </c>
    </row>
    <row r="13" spans="1:12">
      <c r="A13" s="4" t="s">
        <v>11</v>
      </c>
      <c r="B13" s="5">
        <v>719</v>
      </c>
      <c r="C13" s="8">
        <v>791</v>
      </c>
      <c r="D13" s="8">
        <f t="shared" si="0"/>
        <v>344</v>
      </c>
      <c r="E13" s="7">
        <v>0</v>
      </c>
      <c r="F13" s="7">
        <v>19</v>
      </c>
      <c r="G13" s="8">
        <v>18</v>
      </c>
      <c r="H13" s="7">
        <v>94</v>
      </c>
      <c r="I13" s="7">
        <v>3</v>
      </c>
      <c r="J13" s="7">
        <v>210</v>
      </c>
      <c r="K13" s="8">
        <v>1166</v>
      </c>
      <c r="L13" s="8">
        <v>1510</v>
      </c>
    </row>
    <row r="14" spans="1:12">
      <c r="A14" s="4" t="s">
        <v>12</v>
      </c>
      <c r="B14" s="5">
        <v>33473</v>
      </c>
      <c r="C14" s="8">
        <v>34919</v>
      </c>
      <c r="D14" s="8">
        <f t="shared" si="0"/>
        <v>29476</v>
      </c>
      <c r="E14" s="7">
        <v>231</v>
      </c>
      <c r="F14" s="7">
        <v>2902</v>
      </c>
      <c r="G14" s="8">
        <v>1862</v>
      </c>
      <c r="H14" s="7">
        <v>1024</v>
      </c>
      <c r="I14" s="7">
        <v>2638</v>
      </c>
      <c r="J14" s="7">
        <v>20819</v>
      </c>
      <c r="K14" s="8">
        <v>38916</v>
      </c>
      <c r="L14" s="8">
        <v>68392</v>
      </c>
    </row>
    <row r="15" spans="1:12">
      <c r="A15" s="4" t="s">
        <v>13</v>
      </c>
      <c r="B15" s="5">
        <v>4162</v>
      </c>
      <c r="C15" s="8">
        <v>4323</v>
      </c>
      <c r="D15" s="8">
        <f t="shared" si="0"/>
        <v>1317</v>
      </c>
      <c r="E15" s="7">
        <v>153</v>
      </c>
      <c r="F15" s="7">
        <v>41</v>
      </c>
      <c r="G15" s="8">
        <v>47</v>
      </c>
      <c r="H15" s="7">
        <v>221</v>
      </c>
      <c r="I15" s="7">
        <v>44</v>
      </c>
      <c r="J15" s="7">
        <v>811</v>
      </c>
      <c r="K15" s="8">
        <v>7168</v>
      </c>
      <c r="L15" s="8">
        <v>8485</v>
      </c>
    </row>
    <row r="16" spans="1:12">
      <c r="A16" s="10" t="s">
        <v>14</v>
      </c>
      <c r="B16" s="11">
        <v>24435</v>
      </c>
      <c r="C16" s="12">
        <v>25295</v>
      </c>
      <c r="D16" s="12">
        <f t="shared" si="0"/>
        <v>9476</v>
      </c>
      <c r="E16" s="13">
        <v>1304</v>
      </c>
      <c r="F16" s="13">
        <v>864</v>
      </c>
      <c r="G16" s="12">
        <v>463</v>
      </c>
      <c r="H16" s="13">
        <v>229</v>
      </c>
      <c r="I16" s="13">
        <v>732</v>
      </c>
      <c r="J16" s="13">
        <v>5884</v>
      </c>
      <c r="K16" s="12">
        <v>40254</v>
      </c>
      <c r="L16" s="12">
        <v>49730</v>
      </c>
    </row>
    <row r="17" spans="1:12">
      <c r="A17" s="14" t="s">
        <v>15</v>
      </c>
      <c r="B17" s="15">
        <v>1061</v>
      </c>
      <c r="C17" s="6">
        <v>1225</v>
      </c>
      <c r="D17" s="6">
        <f t="shared" si="0"/>
        <v>134</v>
      </c>
      <c r="E17" s="16">
        <v>23</v>
      </c>
      <c r="F17" s="16">
        <v>9</v>
      </c>
      <c r="G17" s="6">
        <v>12</v>
      </c>
      <c r="H17" s="16">
        <v>12</v>
      </c>
      <c r="I17" s="16">
        <v>7</v>
      </c>
      <c r="J17" s="16">
        <v>71</v>
      </c>
      <c r="K17" s="6">
        <v>2152</v>
      </c>
      <c r="L17" s="6">
        <v>2286</v>
      </c>
    </row>
    <row r="18" spans="1:12">
      <c r="A18" s="4" t="s">
        <v>16</v>
      </c>
      <c r="B18" s="5">
        <v>556</v>
      </c>
      <c r="C18" s="8">
        <v>620</v>
      </c>
      <c r="D18" s="8">
        <f t="shared" si="0"/>
        <v>80</v>
      </c>
      <c r="E18" s="7">
        <v>1</v>
      </c>
      <c r="F18" s="7">
        <v>5</v>
      </c>
      <c r="G18" s="8">
        <v>4</v>
      </c>
      <c r="H18" s="7">
        <v>20</v>
      </c>
      <c r="I18" s="7">
        <v>5</v>
      </c>
      <c r="J18" s="7">
        <v>45</v>
      </c>
      <c r="K18" s="8">
        <v>1096</v>
      </c>
      <c r="L18" s="8">
        <v>1176</v>
      </c>
    </row>
    <row r="19" spans="1:12">
      <c r="A19" s="4" t="s">
        <v>20</v>
      </c>
      <c r="B19" s="5">
        <v>2991</v>
      </c>
      <c r="C19" s="8">
        <v>3142</v>
      </c>
      <c r="D19" s="8">
        <f t="shared" si="0"/>
        <v>2036</v>
      </c>
      <c r="E19" s="7">
        <v>16</v>
      </c>
      <c r="F19" s="7">
        <v>249</v>
      </c>
      <c r="G19" s="8">
        <v>114</v>
      </c>
      <c r="H19" s="7">
        <v>77</v>
      </c>
      <c r="I19" s="7">
        <v>68</v>
      </c>
      <c r="J19" s="7">
        <v>1512</v>
      </c>
      <c r="K19" s="8">
        <v>4097</v>
      </c>
      <c r="L19" s="8">
        <v>6133</v>
      </c>
    </row>
    <row r="20" spans="1:12">
      <c r="A20" s="4" t="s">
        <v>18</v>
      </c>
      <c r="B20" s="5">
        <v>1415</v>
      </c>
      <c r="C20" s="8">
        <v>1412</v>
      </c>
      <c r="D20" s="8">
        <f t="shared" si="0"/>
        <v>570</v>
      </c>
      <c r="E20" s="7">
        <v>19</v>
      </c>
      <c r="F20" s="7">
        <v>24</v>
      </c>
      <c r="G20" s="8">
        <v>7</v>
      </c>
      <c r="H20" s="7">
        <v>31</v>
      </c>
      <c r="I20" s="7">
        <v>13</v>
      </c>
      <c r="J20" s="7">
        <v>476</v>
      </c>
      <c r="K20" s="8">
        <v>2257</v>
      </c>
      <c r="L20" s="8">
        <v>2827</v>
      </c>
    </row>
    <row r="21" spans="1:12">
      <c r="A21" s="10" t="s">
        <v>17</v>
      </c>
      <c r="B21" s="11">
        <v>1171</v>
      </c>
      <c r="C21" s="12">
        <v>1266</v>
      </c>
      <c r="D21" s="12">
        <f t="shared" si="0"/>
        <v>93</v>
      </c>
      <c r="E21" s="13">
        <v>13</v>
      </c>
      <c r="F21" s="13">
        <v>3</v>
      </c>
      <c r="G21" s="12">
        <v>9</v>
      </c>
      <c r="H21" s="13">
        <v>3</v>
      </c>
      <c r="I21" s="13">
        <v>12</v>
      </c>
      <c r="J21" s="13">
        <v>53</v>
      </c>
      <c r="K21" s="12">
        <v>2344</v>
      </c>
      <c r="L21" s="12">
        <v>2437</v>
      </c>
    </row>
    <row r="22" spans="1:12">
      <c r="A22" s="14" t="s">
        <v>21</v>
      </c>
      <c r="B22" s="15">
        <v>3182</v>
      </c>
      <c r="C22" s="6">
        <v>3318</v>
      </c>
      <c r="D22" s="6">
        <f t="shared" si="0"/>
        <v>1399</v>
      </c>
      <c r="E22" s="16">
        <v>83</v>
      </c>
      <c r="F22" s="16">
        <v>137</v>
      </c>
      <c r="G22" s="6">
        <v>179</v>
      </c>
      <c r="H22" s="16">
        <v>64</v>
      </c>
      <c r="I22" s="16">
        <v>98</v>
      </c>
      <c r="J22" s="16">
        <v>838</v>
      </c>
      <c r="K22" s="6">
        <v>5101</v>
      </c>
      <c r="L22" s="6">
        <v>6500</v>
      </c>
    </row>
    <row r="23" spans="1:12">
      <c r="A23" s="4" t="s">
        <v>22</v>
      </c>
      <c r="B23" s="5">
        <v>14150</v>
      </c>
      <c r="C23" s="8">
        <v>14987</v>
      </c>
      <c r="D23" s="8">
        <f t="shared" si="0"/>
        <v>3909</v>
      </c>
      <c r="E23" s="7">
        <v>189</v>
      </c>
      <c r="F23" s="7">
        <v>164</v>
      </c>
      <c r="G23" s="8">
        <v>212</v>
      </c>
      <c r="H23" s="7">
        <v>196</v>
      </c>
      <c r="I23" s="7">
        <v>264</v>
      </c>
      <c r="J23" s="7">
        <v>2884</v>
      </c>
      <c r="K23" s="8">
        <v>25228</v>
      </c>
      <c r="L23" s="8">
        <v>29137</v>
      </c>
    </row>
    <row r="24" spans="1:12">
      <c r="A24" s="4" t="s">
        <v>23</v>
      </c>
      <c r="B24" s="5">
        <v>1150</v>
      </c>
      <c r="C24" s="8">
        <v>1270</v>
      </c>
      <c r="D24" s="8">
        <f t="shared" si="0"/>
        <v>376</v>
      </c>
      <c r="E24" s="7">
        <v>30</v>
      </c>
      <c r="F24" s="7">
        <v>12</v>
      </c>
      <c r="G24" s="8">
        <v>17</v>
      </c>
      <c r="H24" s="7">
        <v>14</v>
      </c>
      <c r="I24" s="7">
        <v>3</v>
      </c>
      <c r="J24" s="7">
        <v>300</v>
      </c>
      <c r="K24" s="8">
        <v>2044</v>
      </c>
      <c r="L24" s="8">
        <v>2420</v>
      </c>
    </row>
    <row r="25" spans="1:12">
      <c r="A25" s="4" t="s">
        <v>24</v>
      </c>
      <c r="B25" s="5">
        <v>454</v>
      </c>
      <c r="C25" s="8">
        <v>525</v>
      </c>
      <c r="D25" s="8">
        <f t="shared" si="0"/>
        <v>131</v>
      </c>
      <c r="E25" s="7">
        <v>20</v>
      </c>
      <c r="F25" s="7">
        <v>0</v>
      </c>
      <c r="G25" s="8">
        <v>3</v>
      </c>
      <c r="H25" s="7">
        <v>2</v>
      </c>
      <c r="I25" s="7">
        <v>2</v>
      </c>
      <c r="J25" s="7">
        <v>104</v>
      </c>
      <c r="K25" s="8">
        <v>848</v>
      </c>
      <c r="L25" s="8">
        <v>979</v>
      </c>
    </row>
    <row r="26" spans="1:12">
      <c r="A26" s="10" t="s">
        <v>25</v>
      </c>
      <c r="B26" s="11">
        <v>6112</v>
      </c>
      <c r="C26" s="12">
        <v>6456</v>
      </c>
      <c r="D26" s="12">
        <f t="shared" si="0"/>
        <v>6777</v>
      </c>
      <c r="E26" s="13">
        <v>88</v>
      </c>
      <c r="F26" s="13">
        <v>116</v>
      </c>
      <c r="G26" s="12">
        <v>268</v>
      </c>
      <c r="H26" s="13">
        <v>185</v>
      </c>
      <c r="I26" s="13">
        <v>51</v>
      </c>
      <c r="J26" s="13">
        <v>6069</v>
      </c>
      <c r="K26" s="12">
        <v>5791</v>
      </c>
      <c r="L26" s="12">
        <v>12568</v>
      </c>
    </row>
    <row r="27" spans="1:12">
      <c r="A27" s="14" t="s">
        <v>26</v>
      </c>
      <c r="B27" s="15">
        <v>2107</v>
      </c>
      <c r="C27" s="6">
        <v>2244</v>
      </c>
      <c r="D27" s="6">
        <f t="shared" si="0"/>
        <v>982</v>
      </c>
      <c r="E27" s="16">
        <v>86</v>
      </c>
      <c r="F27" s="16">
        <v>76</v>
      </c>
      <c r="G27" s="6">
        <v>17</v>
      </c>
      <c r="H27" s="16">
        <v>15</v>
      </c>
      <c r="I27" s="16">
        <v>10</v>
      </c>
      <c r="J27" s="16">
        <v>778</v>
      </c>
      <c r="K27" s="6">
        <v>3369</v>
      </c>
      <c r="L27" s="6">
        <v>4351</v>
      </c>
    </row>
    <row r="28" spans="1:12">
      <c r="A28" s="4" t="s">
        <v>27</v>
      </c>
      <c r="B28" s="5">
        <v>147</v>
      </c>
      <c r="C28" s="8">
        <v>158</v>
      </c>
      <c r="D28" s="8">
        <f t="shared" si="0"/>
        <v>29</v>
      </c>
      <c r="E28" s="7">
        <v>0</v>
      </c>
      <c r="F28" s="7">
        <v>0</v>
      </c>
      <c r="G28" s="8">
        <v>3</v>
      </c>
      <c r="H28" s="7">
        <v>0</v>
      </c>
      <c r="I28" s="7">
        <v>2</v>
      </c>
      <c r="J28" s="7">
        <v>24</v>
      </c>
      <c r="K28" s="8">
        <v>276</v>
      </c>
      <c r="L28" s="8">
        <v>305</v>
      </c>
    </row>
    <row r="29" spans="1:12">
      <c r="A29" s="4" t="s">
        <v>28</v>
      </c>
      <c r="B29" s="5">
        <v>6553</v>
      </c>
      <c r="C29" s="8">
        <v>6823</v>
      </c>
      <c r="D29" s="8">
        <f t="shared" si="0"/>
        <v>4564</v>
      </c>
      <c r="E29" s="7">
        <v>56</v>
      </c>
      <c r="F29" s="7">
        <v>328</v>
      </c>
      <c r="G29" s="8">
        <v>143</v>
      </c>
      <c r="H29" s="7">
        <v>151</v>
      </c>
      <c r="I29" s="7">
        <v>336</v>
      </c>
      <c r="J29" s="7">
        <v>3550</v>
      </c>
      <c r="K29" s="8">
        <v>8812</v>
      </c>
      <c r="L29" s="8">
        <v>13376</v>
      </c>
    </row>
    <row r="30" spans="1:12">
      <c r="A30" s="4" t="s">
        <v>29</v>
      </c>
      <c r="B30" s="5">
        <v>244</v>
      </c>
      <c r="C30" s="8">
        <v>240</v>
      </c>
      <c r="D30" s="8">
        <f t="shared" si="0"/>
        <v>16</v>
      </c>
      <c r="E30" s="7">
        <v>2</v>
      </c>
      <c r="F30" s="7">
        <v>0</v>
      </c>
      <c r="G30" s="8">
        <v>0</v>
      </c>
      <c r="H30" s="7">
        <v>5</v>
      </c>
      <c r="I30" s="7">
        <v>0</v>
      </c>
      <c r="J30" s="7">
        <v>9</v>
      </c>
      <c r="K30" s="8">
        <v>468</v>
      </c>
      <c r="L30" s="8">
        <v>484</v>
      </c>
    </row>
    <row r="31" spans="1:12">
      <c r="A31" s="10" t="s">
        <v>30</v>
      </c>
      <c r="B31" s="11">
        <v>11613</v>
      </c>
      <c r="C31" s="12">
        <v>12352</v>
      </c>
      <c r="D31" s="12">
        <f t="shared" si="0"/>
        <v>13773</v>
      </c>
      <c r="E31" s="13">
        <v>352</v>
      </c>
      <c r="F31" s="13">
        <v>962</v>
      </c>
      <c r="G31" s="12">
        <v>1119</v>
      </c>
      <c r="H31" s="13">
        <v>370</v>
      </c>
      <c r="I31" s="13">
        <v>1120</v>
      </c>
      <c r="J31" s="13">
        <v>9850</v>
      </c>
      <c r="K31" s="12">
        <v>10192</v>
      </c>
      <c r="L31" s="12">
        <v>23965</v>
      </c>
    </row>
    <row r="32" spans="1:12">
      <c r="A32" s="14" t="s">
        <v>31</v>
      </c>
      <c r="B32" s="15">
        <v>1405</v>
      </c>
      <c r="C32" s="6">
        <v>1507</v>
      </c>
      <c r="D32" s="6">
        <f t="shared" si="0"/>
        <v>1653</v>
      </c>
      <c r="E32" s="16">
        <v>2</v>
      </c>
      <c r="F32" s="16">
        <v>8</v>
      </c>
      <c r="G32" s="6">
        <v>11</v>
      </c>
      <c r="H32" s="16">
        <v>1537</v>
      </c>
      <c r="I32" s="16">
        <v>9</v>
      </c>
      <c r="J32" s="16">
        <v>86</v>
      </c>
      <c r="K32" s="6">
        <v>1259</v>
      </c>
      <c r="L32" s="6">
        <v>2912</v>
      </c>
    </row>
    <row r="33" spans="1:12">
      <c r="A33" s="4" t="s">
        <v>32</v>
      </c>
      <c r="B33" s="5">
        <v>2184</v>
      </c>
      <c r="C33" s="8">
        <v>2349</v>
      </c>
      <c r="D33" s="8">
        <f t="shared" si="0"/>
        <v>341</v>
      </c>
      <c r="E33" s="7">
        <v>0</v>
      </c>
      <c r="F33" s="7">
        <v>20</v>
      </c>
      <c r="G33" s="8">
        <v>19</v>
      </c>
      <c r="H33" s="7">
        <v>74</v>
      </c>
      <c r="I33" s="7">
        <v>12</v>
      </c>
      <c r="J33" s="7">
        <v>216</v>
      </c>
      <c r="K33" s="8">
        <v>4192</v>
      </c>
      <c r="L33" s="8">
        <v>4533</v>
      </c>
    </row>
    <row r="34" spans="1:12">
      <c r="A34" s="4" t="s">
        <v>33</v>
      </c>
      <c r="B34" s="5">
        <v>1434</v>
      </c>
      <c r="C34" s="8">
        <v>1604</v>
      </c>
      <c r="D34" s="8">
        <f t="shared" si="0"/>
        <v>431</v>
      </c>
      <c r="E34" s="7">
        <v>29</v>
      </c>
      <c r="F34" s="7">
        <v>7</v>
      </c>
      <c r="G34" s="8">
        <v>19</v>
      </c>
      <c r="H34" s="7">
        <v>16</v>
      </c>
      <c r="I34" s="7">
        <v>20</v>
      </c>
      <c r="J34" s="7">
        <v>340</v>
      </c>
      <c r="K34" s="8">
        <v>2607</v>
      </c>
      <c r="L34" s="8">
        <v>3038</v>
      </c>
    </row>
    <row r="35" spans="1:12">
      <c r="A35" s="4" t="s">
        <v>34</v>
      </c>
      <c r="B35" s="5">
        <v>671</v>
      </c>
      <c r="C35" s="8">
        <v>762</v>
      </c>
      <c r="D35" s="8">
        <f t="shared" si="0"/>
        <v>199</v>
      </c>
      <c r="E35" s="7">
        <v>24</v>
      </c>
      <c r="F35" s="7">
        <v>1</v>
      </c>
      <c r="G35" s="8">
        <v>5</v>
      </c>
      <c r="H35" s="7">
        <v>2</v>
      </c>
      <c r="I35" s="7">
        <v>0</v>
      </c>
      <c r="J35" s="7">
        <v>167</v>
      </c>
      <c r="K35" s="8">
        <v>1234</v>
      </c>
      <c r="L35" s="8">
        <v>1433</v>
      </c>
    </row>
    <row r="36" spans="1:12">
      <c r="A36" s="10" t="s">
        <v>35</v>
      </c>
      <c r="B36" s="11">
        <v>100</v>
      </c>
      <c r="C36" s="12">
        <v>120</v>
      </c>
      <c r="D36" s="12">
        <f t="shared" si="0"/>
        <v>5</v>
      </c>
      <c r="E36" s="13">
        <v>0</v>
      </c>
      <c r="F36" s="13">
        <v>0</v>
      </c>
      <c r="G36" s="12">
        <v>0</v>
      </c>
      <c r="H36" s="13">
        <v>1</v>
      </c>
      <c r="I36" s="13">
        <v>0</v>
      </c>
      <c r="J36" s="13">
        <v>4</v>
      </c>
      <c r="K36" s="12">
        <v>215</v>
      </c>
      <c r="L36" s="12">
        <v>220</v>
      </c>
    </row>
    <row r="37" spans="1:12">
      <c r="A37" s="14" t="s">
        <v>36</v>
      </c>
      <c r="B37" s="15">
        <v>6557</v>
      </c>
      <c r="C37" s="6">
        <v>6882</v>
      </c>
      <c r="D37" s="6">
        <f t="shared" si="0"/>
        <v>2087</v>
      </c>
      <c r="E37" s="16">
        <v>66</v>
      </c>
      <c r="F37" s="16">
        <v>73</v>
      </c>
      <c r="G37" s="6">
        <v>163</v>
      </c>
      <c r="H37" s="16">
        <v>167</v>
      </c>
      <c r="I37" s="16">
        <v>128</v>
      </c>
      <c r="J37" s="16">
        <v>1490</v>
      </c>
      <c r="K37" s="6">
        <v>11352</v>
      </c>
      <c r="L37" s="6">
        <v>13439</v>
      </c>
    </row>
    <row r="38" spans="1:12">
      <c r="A38" s="4" t="s">
        <v>37</v>
      </c>
      <c r="B38" s="5">
        <v>3229</v>
      </c>
      <c r="C38" s="8">
        <v>3455</v>
      </c>
      <c r="D38" s="8">
        <f t="shared" si="0"/>
        <v>1049</v>
      </c>
      <c r="E38" s="7">
        <v>31</v>
      </c>
      <c r="F38" s="7">
        <v>29</v>
      </c>
      <c r="G38" s="8">
        <v>44</v>
      </c>
      <c r="H38" s="7">
        <v>522</v>
      </c>
      <c r="I38" s="7">
        <v>28</v>
      </c>
      <c r="J38" s="7">
        <v>395</v>
      </c>
      <c r="K38" s="8">
        <v>5635</v>
      </c>
      <c r="L38" s="8">
        <v>6684</v>
      </c>
    </row>
    <row r="39" spans="1:12">
      <c r="A39" s="4" t="s">
        <v>38</v>
      </c>
      <c r="B39" s="5">
        <v>2411</v>
      </c>
      <c r="C39" s="8">
        <v>2678</v>
      </c>
      <c r="D39" s="8">
        <f t="shared" si="0"/>
        <v>881</v>
      </c>
      <c r="E39" s="7">
        <v>17</v>
      </c>
      <c r="F39" s="7">
        <v>32</v>
      </c>
      <c r="G39" s="8">
        <v>15</v>
      </c>
      <c r="H39" s="7">
        <v>15</v>
      </c>
      <c r="I39" s="7">
        <v>8</v>
      </c>
      <c r="J39" s="7">
        <v>794</v>
      </c>
      <c r="K39" s="8">
        <v>4208</v>
      </c>
      <c r="L39" s="8">
        <v>5089</v>
      </c>
    </row>
    <row r="40" spans="1:12">
      <c r="A40" s="4" t="s">
        <v>39</v>
      </c>
      <c r="B40" s="5">
        <v>12452</v>
      </c>
      <c r="C40" s="8">
        <v>13221</v>
      </c>
      <c r="D40" s="8">
        <f t="shared" si="0"/>
        <v>4479</v>
      </c>
      <c r="E40" s="7">
        <v>46</v>
      </c>
      <c r="F40" s="7">
        <v>166</v>
      </c>
      <c r="G40" s="8">
        <v>232</v>
      </c>
      <c r="H40" s="7">
        <v>474</v>
      </c>
      <c r="I40" s="7">
        <v>498</v>
      </c>
      <c r="J40" s="7">
        <v>3063</v>
      </c>
      <c r="K40" s="8">
        <v>21194</v>
      </c>
      <c r="L40" s="8">
        <v>25673</v>
      </c>
    </row>
    <row r="41" spans="1:12">
      <c r="A41" s="4" t="s">
        <v>40</v>
      </c>
      <c r="B41" s="5">
        <v>284</v>
      </c>
      <c r="C41" s="8">
        <v>283</v>
      </c>
      <c r="D41" s="8">
        <f t="shared" si="0"/>
        <v>34</v>
      </c>
      <c r="E41" s="7">
        <v>5</v>
      </c>
      <c r="F41" s="7">
        <v>4</v>
      </c>
      <c r="G41" s="8">
        <v>1</v>
      </c>
      <c r="H41" s="7">
        <v>3</v>
      </c>
      <c r="I41" s="7">
        <v>5</v>
      </c>
      <c r="J41" s="7">
        <v>16</v>
      </c>
      <c r="K41" s="8">
        <v>533</v>
      </c>
      <c r="L41" s="8">
        <v>567</v>
      </c>
    </row>
    <row r="42" spans="1:12">
      <c r="A42" s="10" t="s">
        <v>41</v>
      </c>
      <c r="B42" s="11">
        <v>14794</v>
      </c>
      <c r="C42" s="12">
        <v>15556</v>
      </c>
      <c r="D42" s="12">
        <f t="shared" si="0"/>
        <v>4994</v>
      </c>
      <c r="E42" s="13">
        <v>0</v>
      </c>
      <c r="F42" s="13">
        <v>508</v>
      </c>
      <c r="G42" s="12">
        <v>472</v>
      </c>
      <c r="H42" s="13">
        <v>386</v>
      </c>
      <c r="I42" s="13">
        <v>222</v>
      </c>
      <c r="J42" s="13">
        <v>3406</v>
      </c>
      <c r="K42" s="12">
        <v>25356</v>
      </c>
      <c r="L42" s="12">
        <v>30350</v>
      </c>
    </row>
    <row r="43" spans="1:12" s="20" customFormat="1" ht="12" thickBot="1">
      <c r="A43" s="17" t="s">
        <v>19</v>
      </c>
      <c r="B43" s="18">
        <f t="shared" ref="B43:L43" si="1">SUM(B2:B42)</f>
        <v>260703</v>
      </c>
      <c r="C43" s="19">
        <f t="shared" si="1"/>
        <v>275410</v>
      </c>
      <c r="D43" s="19">
        <f>SUM(D2:D42)</f>
        <v>119813</v>
      </c>
      <c r="E43" s="18">
        <f>SUM(E2:E42)</f>
        <v>4083</v>
      </c>
      <c r="F43" s="18">
        <f t="shared" si="1"/>
        <v>9740</v>
      </c>
      <c r="G43" s="19">
        <f t="shared" si="1"/>
        <v>7758</v>
      </c>
      <c r="H43" s="18">
        <f>SUM(H2:H42)</f>
        <v>7322</v>
      </c>
      <c r="I43" s="18">
        <f t="shared" si="1"/>
        <v>8545</v>
      </c>
      <c r="J43" s="18">
        <f>SUM(J2:J42)</f>
        <v>82365</v>
      </c>
      <c r="K43" s="19">
        <f>SUM(K2:K42)</f>
        <v>416300</v>
      </c>
      <c r="L43" s="19">
        <f t="shared" si="1"/>
        <v>536113</v>
      </c>
    </row>
    <row r="44" spans="1:12" ht="4.5" customHeight="1" thickTop="1" thickBot="1">
      <c r="A44" s="21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3"/>
    </row>
    <row r="46" spans="1:12" s="26" customFormat="1" ht="33.75">
      <c r="A46" s="1" t="s">
        <v>120</v>
      </c>
      <c r="B46" s="2" t="s">
        <v>110</v>
      </c>
      <c r="C46" s="2" t="s">
        <v>111</v>
      </c>
      <c r="D46" s="2" t="s">
        <v>119</v>
      </c>
      <c r="E46" s="2" t="s">
        <v>114</v>
      </c>
      <c r="F46" s="2" t="s">
        <v>112</v>
      </c>
      <c r="G46" s="2" t="s">
        <v>116</v>
      </c>
      <c r="H46" s="2" t="s">
        <v>117</v>
      </c>
      <c r="I46" s="2" t="s">
        <v>118</v>
      </c>
      <c r="J46" s="2" t="s">
        <v>113</v>
      </c>
      <c r="K46" s="2" t="s">
        <v>115</v>
      </c>
      <c r="L46" s="2" t="s">
        <v>121</v>
      </c>
    </row>
    <row r="47" spans="1:12">
      <c r="A47" s="39" t="s">
        <v>123</v>
      </c>
      <c r="B47" s="27">
        <v>237</v>
      </c>
      <c r="C47" s="27">
        <v>242</v>
      </c>
      <c r="D47" s="27">
        <f>SUM(E47:J47)</f>
        <v>235</v>
      </c>
      <c r="E47" s="44">
        <v>9</v>
      </c>
      <c r="F47" s="44">
        <v>34</v>
      </c>
      <c r="G47" s="44">
        <v>32</v>
      </c>
      <c r="H47" s="44">
        <v>16</v>
      </c>
      <c r="I47" s="44">
        <v>43</v>
      </c>
      <c r="J47" s="44">
        <v>101</v>
      </c>
      <c r="K47" s="44">
        <v>244</v>
      </c>
      <c r="L47" s="28">
        <f>SUM(E47:K47)</f>
        <v>479</v>
      </c>
    </row>
    <row r="48" spans="1:12">
      <c r="A48" s="40" t="s">
        <v>42</v>
      </c>
      <c r="B48" s="29">
        <v>783</v>
      </c>
      <c r="C48" s="29">
        <v>723</v>
      </c>
      <c r="D48" s="29">
        <f t="shared" ref="D48:D93" si="2">SUM(E48:J48)</f>
        <v>248</v>
      </c>
      <c r="E48" s="45">
        <v>7</v>
      </c>
      <c r="F48" s="45">
        <v>7</v>
      </c>
      <c r="G48" s="45">
        <v>20</v>
      </c>
      <c r="H48" s="45">
        <v>11</v>
      </c>
      <c r="I48" s="45">
        <v>24</v>
      </c>
      <c r="J48" s="45">
        <v>179</v>
      </c>
      <c r="K48" s="45">
        <v>1258</v>
      </c>
      <c r="L48" s="30">
        <f t="shared" ref="L48:L93" si="3">SUM(E48:K48)</f>
        <v>1506</v>
      </c>
    </row>
    <row r="49" spans="1:12">
      <c r="A49" s="40" t="s">
        <v>43</v>
      </c>
      <c r="B49" s="29">
        <v>263</v>
      </c>
      <c r="C49" s="29">
        <v>307</v>
      </c>
      <c r="D49" s="29">
        <f t="shared" si="2"/>
        <v>423</v>
      </c>
      <c r="E49" s="45">
        <v>9</v>
      </c>
      <c r="F49" s="45">
        <v>50</v>
      </c>
      <c r="G49" s="45">
        <v>68</v>
      </c>
      <c r="H49" s="45">
        <v>4</v>
      </c>
      <c r="I49" s="45">
        <v>33</v>
      </c>
      <c r="J49" s="45">
        <v>259</v>
      </c>
      <c r="K49" s="45">
        <v>718</v>
      </c>
      <c r="L49" s="30">
        <f t="shared" si="3"/>
        <v>1141</v>
      </c>
    </row>
    <row r="50" spans="1:12">
      <c r="A50" s="40" t="s">
        <v>44</v>
      </c>
      <c r="B50" s="29">
        <v>289</v>
      </c>
      <c r="C50" s="29">
        <v>282</v>
      </c>
      <c r="D50" s="29">
        <f t="shared" si="2"/>
        <v>33</v>
      </c>
      <c r="E50" s="45">
        <v>8</v>
      </c>
      <c r="F50" s="45">
        <v>9</v>
      </c>
      <c r="G50" s="45">
        <v>0</v>
      </c>
      <c r="H50" s="45">
        <v>0</v>
      </c>
      <c r="I50" s="45">
        <v>0</v>
      </c>
      <c r="J50" s="45">
        <v>16</v>
      </c>
      <c r="K50" s="45">
        <v>144</v>
      </c>
      <c r="L50" s="30">
        <f t="shared" si="3"/>
        <v>177</v>
      </c>
    </row>
    <row r="51" spans="1:12">
      <c r="A51" s="41" t="s">
        <v>124</v>
      </c>
      <c r="B51" s="31">
        <v>80</v>
      </c>
      <c r="C51" s="31">
        <v>97</v>
      </c>
      <c r="D51" s="31">
        <f t="shared" si="2"/>
        <v>44</v>
      </c>
      <c r="E51" s="31">
        <v>4</v>
      </c>
      <c r="F51" s="31">
        <v>5</v>
      </c>
      <c r="G51" s="31">
        <v>6</v>
      </c>
      <c r="H51" s="31">
        <v>1</v>
      </c>
      <c r="I51" s="31">
        <v>2</v>
      </c>
      <c r="J51" s="31">
        <v>26</v>
      </c>
      <c r="K51" s="31">
        <v>189</v>
      </c>
      <c r="L51" s="32">
        <f t="shared" si="3"/>
        <v>233</v>
      </c>
    </row>
    <row r="52" spans="1:12">
      <c r="A52" s="39" t="s">
        <v>45</v>
      </c>
      <c r="B52" s="27">
        <v>90</v>
      </c>
      <c r="C52" s="27">
        <v>143</v>
      </c>
      <c r="D52" s="27">
        <f t="shared" si="2"/>
        <v>77</v>
      </c>
      <c r="E52" s="27">
        <v>9</v>
      </c>
      <c r="F52" s="27">
        <v>12</v>
      </c>
      <c r="G52" s="27">
        <v>11</v>
      </c>
      <c r="H52" s="27">
        <v>4</v>
      </c>
      <c r="I52" s="27">
        <v>5</v>
      </c>
      <c r="J52" s="27">
        <v>36</v>
      </c>
      <c r="K52" s="27">
        <v>453</v>
      </c>
      <c r="L52" s="28">
        <f t="shared" si="3"/>
        <v>530</v>
      </c>
    </row>
    <row r="53" spans="1:12">
      <c r="A53" s="40" t="s">
        <v>8</v>
      </c>
      <c r="B53" s="29">
        <v>282</v>
      </c>
      <c r="C53" s="29">
        <v>248</v>
      </c>
      <c r="D53" s="29">
        <f t="shared" si="2"/>
        <v>5666</v>
      </c>
      <c r="E53" s="29">
        <v>175</v>
      </c>
      <c r="F53" s="29">
        <v>836</v>
      </c>
      <c r="G53" s="29">
        <v>465</v>
      </c>
      <c r="H53" s="29">
        <v>249</v>
      </c>
      <c r="I53" s="29">
        <v>398</v>
      </c>
      <c r="J53" s="29">
        <v>3543</v>
      </c>
      <c r="K53" s="29">
        <v>27803</v>
      </c>
      <c r="L53" s="30">
        <f t="shared" si="3"/>
        <v>33469</v>
      </c>
    </row>
    <row r="54" spans="1:12">
      <c r="A54" s="40" t="s">
        <v>46</v>
      </c>
      <c r="B54" s="29">
        <v>329</v>
      </c>
      <c r="C54" s="29">
        <v>339</v>
      </c>
      <c r="D54" s="29">
        <f t="shared" si="2"/>
        <v>54</v>
      </c>
      <c r="E54" s="29">
        <v>0</v>
      </c>
      <c r="F54" s="29">
        <v>20</v>
      </c>
      <c r="G54" s="29">
        <v>2</v>
      </c>
      <c r="H54" s="29">
        <v>1</v>
      </c>
      <c r="I54" s="29">
        <v>9</v>
      </c>
      <c r="J54" s="29">
        <v>22</v>
      </c>
      <c r="K54" s="29">
        <v>614</v>
      </c>
      <c r="L54" s="30">
        <f t="shared" si="3"/>
        <v>668</v>
      </c>
    </row>
    <row r="55" spans="1:12">
      <c r="A55" s="40" t="s">
        <v>47</v>
      </c>
      <c r="B55" s="29">
        <v>101</v>
      </c>
      <c r="C55" s="29">
        <v>84</v>
      </c>
      <c r="D55" s="29">
        <f t="shared" si="2"/>
        <v>49</v>
      </c>
      <c r="E55" s="29">
        <v>8</v>
      </c>
      <c r="F55" s="29">
        <v>4</v>
      </c>
      <c r="G55" s="29">
        <v>3</v>
      </c>
      <c r="H55" s="29">
        <v>1</v>
      </c>
      <c r="I55" s="29">
        <v>0</v>
      </c>
      <c r="J55" s="29">
        <v>33</v>
      </c>
      <c r="K55" s="29">
        <v>136</v>
      </c>
      <c r="L55" s="30">
        <f t="shared" si="3"/>
        <v>185</v>
      </c>
    </row>
    <row r="56" spans="1:12">
      <c r="A56" s="41" t="s">
        <v>48</v>
      </c>
      <c r="B56" s="31">
        <v>136</v>
      </c>
      <c r="C56" s="31">
        <v>157</v>
      </c>
      <c r="D56" s="31">
        <f t="shared" si="2"/>
        <v>63</v>
      </c>
      <c r="E56" s="31">
        <v>0</v>
      </c>
      <c r="F56" s="31">
        <v>1</v>
      </c>
      <c r="G56" s="31">
        <v>6</v>
      </c>
      <c r="H56" s="31">
        <v>0</v>
      </c>
      <c r="I56" s="31">
        <v>4</v>
      </c>
      <c r="J56" s="31">
        <v>52</v>
      </c>
      <c r="K56" s="31">
        <v>230</v>
      </c>
      <c r="L56" s="32">
        <f t="shared" si="3"/>
        <v>293</v>
      </c>
    </row>
    <row r="57" spans="1:12">
      <c r="A57" s="39" t="s">
        <v>125</v>
      </c>
      <c r="B57" s="27">
        <v>182</v>
      </c>
      <c r="C57" s="27">
        <v>196</v>
      </c>
      <c r="D57" s="27">
        <f t="shared" si="2"/>
        <v>73</v>
      </c>
      <c r="E57" s="27">
        <v>4</v>
      </c>
      <c r="F57" s="27">
        <v>4</v>
      </c>
      <c r="G57" s="27">
        <v>12</v>
      </c>
      <c r="H57" s="27">
        <v>2</v>
      </c>
      <c r="I57" s="27">
        <v>3</v>
      </c>
      <c r="J57" s="27">
        <v>48</v>
      </c>
      <c r="K57" s="27">
        <v>305</v>
      </c>
      <c r="L57" s="28">
        <f t="shared" si="3"/>
        <v>378</v>
      </c>
    </row>
    <row r="58" spans="1:12">
      <c r="A58" s="40" t="s">
        <v>49</v>
      </c>
      <c r="B58" s="29">
        <v>225</v>
      </c>
      <c r="C58" s="29">
        <v>226</v>
      </c>
      <c r="D58" s="29">
        <f t="shared" si="2"/>
        <v>391</v>
      </c>
      <c r="E58" s="29">
        <v>2</v>
      </c>
      <c r="F58" s="29">
        <v>0</v>
      </c>
      <c r="G58" s="29">
        <v>10</v>
      </c>
      <c r="H58" s="29">
        <v>3</v>
      </c>
      <c r="I58" s="29">
        <v>5</v>
      </c>
      <c r="J58" s="29">
        <v>371</v>
      </c>
      <c r="K58" s="29">
        <v>60</v>
      </c>
      <c r="L58" s="30">
        <f t="shared" si="3"/>
        <v>451</v>
      </c>
    </row>
    <row r="59" spans="1:12">
      <c r="A59" s="40" t="s">
        <v>50</v>
      </c>
      <c r="B59" s="29">
        <v>350</v>
      </c>
      <c r="C59" s="29">
        <v>401</v>
      </c>
      <c r="D59" s="29">
        <f t="shared" si="2"/>
        <v>62</v>
      </c>
      <c r="E59" s="29">
        <v>4</v>
      </c>
      <c r="F59" s="29">
        <v>9</v>
      </c>
      <c r="G59" s="29">
        <v>9</v>
      </c>
      <c r="H59" s="29">
        <v>1</v>
      </c>
      <c r="I59" s="29">
        <v>11</v>
      </c>
      <c r="J59" s="29">
        <v>28</v>
      </c>
      <c r="K59" s="29">
        <v>689</v>
      </c>
      <c r="L59" s="30">
        <f t="shared" si="3"/>
        <v>751</v>
      </c>
    </row>
    <row r="60" spans="1:12">
      <c r="A60" s="40" t="s">
        <v>51</v>
      </c>
      <c r="B60" s="29">
        <v>167</v>
      </c>
      <c r="C60" s="29">
        <v>150</v>
      </c>
      <c r="D60" s="29">
        <f t="shared" si="2"/>
        <v>85</v>
      </c>
      <c r="E60" s="29">
        <v>1</v>
      </c>
      <c r="F60" s="29">
        <v>8</v>
      </c>
      <c r="G60" s="29">
        <v>3</v>
      </c>
      <c r="H60" s="29">
        <v>5</v>
      </c>
      <c r="I60" s="29">
        <v>3</v>
      </c>
      <c r="J60" s="29">
        <v>65</v>
      </c>
      <c r="K60" s="29">
        <v>232</v>
      </c>
      <c r="L60" s="30">
        <f t="shared" si="3"/>
        <v>317</v>
      </c>
    </row>
    <row r="61" spans="1:12">
      <c r="A61" s="41" t="s">
        <v>52</v>
      </c>
      <c r="B61" s="31">
        <v>174</v>
      </c>
      <c r="C61" s="31">
        <v>128</v>
      </c>
      <c r="D61" s="31">
        <f t="shared" si="2"/>
        <v>40</v>
      </c>
      <c r="E61" s="31">
        <v>2</v>
      </c>
      <c r="F61" s="31">
        <v>13</v>
      </c>
      <c r="G61" s="31">
        <v>5</v>
      </c>
      <c r="H61" s="31">
        <v>1</v>
      </c>
      <c r="I61" s="31">
        <v>2</v>
      </c>
      <c r="J61" s="31">
        <v>17</v>
      </c>
      <c r="K61" s="31">
        <v>262</v>
      </c>
      <c r="L61" s="32">
        <f t="shared" si="3"/>
        <v>302</v>
      </c>
    </row>
    <row r="62" spans="1:12">
      <c r="A62" s="39" t="s">
        <v>53</v>
      </c>
      <c r="B62" s="27">
        <v>246</v>
      </c>
      <c r="C62" s="27">
        <v>268</v>
      </c>
      <c r="D62" s="27">
        <f t="shared" si="2"/>
        <v>87</v>
      </c>
      <c r="E62" s="27">
        <v>0</v>
      </c>
      <c r="F62" s="27">
        <v>5</v>
      </c>
      <c r="G62" s="27">
        <v>7</v>
      </c>
      <c r="H62" s="27">
        <v>2</v>
      </c>
      <c r="I62" s="27">
        <v>13</v>
      </c>
      <c r="J62" s="27">
        <v>60</v>
      </c>
      <c r="K62" s="27">
        <v>427</v>
      </c>
      <c r="L62" s="28">
        <f t="shared" si="3"/>
        <v>514</v>
      </c>
    </row>
    <row r="63" spans="1:12">
      <c r="A63" s="40" t="s">
        <v>54</v>
      </c>
      <c r="B63" s="29">
        <v>307</v>
      </c>
      <c r="C63" s="29">
        <v>351</v>
      </c>
      <c r="D63" s="29">
        <f t="shared" si="2"/>
        <v>46</v>
      </c>
      <c r="E63" s="29">
        <v>1</v>
      </c>
      <c r="F63" s="29">
        <v>1</v>
      </c>
      <c r="G63" s="29">
        <v>7</v>
      </c>
      <c r="H63" s="29">
        <v>5</v>
      </c>
      <c r="I63" s="29">
        <v>0</v>
      </c>
      <c r="J63" s="29">
        <v>32</v>
      </c>
      <c r="K63" s="29">
        <v>612</v>
      </c>
      <c r="L63" s="30">
        <f t="shared" si="3"/>
        <v>658</v>
      </c>
    </row>
    <row r="64" spans="1:12">
      <c r="A64" s="40" t="s">
        <v>55</v>
      </c>
      <c r="B64" s="29">
        <v>110</v>
      </c>
      <c r="C64" s="29">
        <v>103</v>
      </c>
      <c r="D64" s="29">
        <f t="shared" si="2"/>
        <v>54</v>
      </c>
      <c r="E64" s="29">
        <v>1</v>
      </c>
      <c r="F64" s="29">
        <v>0</v>
      </c>
      <c r="G64" s="29">
        <v>5</v>
      </c>
      <c r="H64" s="29">
        <v>5</v>
      </c>
      <c r="I64" s="29">
        <v>0</v>
      </c>
      <c r="J64" s="29">
        <v>43</v>
      </c>
      <c r="K64" s="29">
        <v>159</v>
      </c>
      <c r="L64" s="30">
        <f t="shared" si="3"/>
        <v>213</v>
      </c>
    </row>
    <row r="65" spans="1:12">
      <c r="A65" s="40" t="s">
        <v>56</v>
      </c>
      <c r="B65" s="29">
        <v>364</v>
      </c>
      <c r="C65" s="29">
        <v>309</v>
      </c>
      <c r="D65" s="29">
        <f t="shared" si="2"/>
        <v>206</v>
      </c>
      <c r="E65" s="29">
        <v>5</v>
      </c>
      <c r="F65" s="29">
        <v>24</v>
      </c>
      <c r="G65" s="29">
        <v>8</v>
      </c>
      <c r="H65" s="29">
        <v>3</v>
      </c>
      <c r="I65" s="29">
        <v>17</v>
      </c>
      <c r="J65" s="29">
        <v>149</v>
      </c>
      <c r="K65" s="29">
        <v>467</v>
      </c>
      <c r="L65" s="30">
        <f t="shared" si="3"/>
        <v>673</v>
      </c>
    </row>
    <row r="66" spans="1:12">
      <c r="A66" s="41" t="s">
        <v>57</v>
      </c>
      <c r="B66" s="31">
        <v>237</v>
      </c>
      <c r="C66" s="31">
        <v>269</v>
      </c>
      <c r="D66" s="31">
        <f t="shared" si="2"/>
        <v>51</v>
      </c>
      <c r="E66" s="31">
        <v>0</v>
      </c>
      <c r="F66" s="31">
        <v>4</v>
      </c>
      <c r="G66" s="31">
        <v>2</v>
      </c>
      <c r="H66" s="31">
        <v>9</v>
      </c>
      <c r="I66" s="31">
        <v>4</v>
      </c>
      <c r="J66" s="31">
        <v>32</v>
      </c>
      <c r="K66" s="31">
        <v>455</v>
      </c>
      <c r="L66" s="32">
        <f t="shared" si="3"/>
        <v>506</v>
      </c>
    </row>
    <row r="67" spans="1:12">
      <c r="A67" s="39" t="s">
        <v>107</v>
      </c>
      <c r="B67" s="27">
        <v>367</v>
      </c>
      <c r="C67" s="27">
        <v>354</v>
      </c>
      <c r="D67" s="27">
        <f t="shared" si="2"/>
        <v>85</v>
      </c>
      <c r="E67" s="27">
        <v>25</v>
      </c>
      <c r="F67" s="27">
        <v>17</v>
      </c>
      <c r="G67" s="27">
        <v>9</v>
      </c>
      <c r="H67" s="27">
        <v>2</v>
      </c>
      <c r="I67" s="27">
        <v>9</v>
      </c>
      <c r="J67" s="27">
        <v>23</v>
      </c>
      <c r="K67" s="27">
        <v>636</v>
      </c>
      <c r="L67" s="28">
        <f t="shared" si="3"/>
        <v>721</v>
      </c>
    </row>
    <row r="68" spans="1:12">
      <c r="A68" s="40" t="s">
        <v>58</v>
      </c>
      <c r="B68" s="29">
        <v>144</v>
      </c>
      <c r="C68" s="29">
        <v>161</v>
      </c>
      <c r="D68" s="29">
        <f t="shared" si="2"/>
        <v>42</v>
      </c>
      <c r="E68" s="29">
        <v>11</v>
      </c>
      <c r="F68" s="29">
        <v>4</v>
      </c>
      <c r="G68" s="29">
        <v>8</v>
      </c>
      <c r="H68" s="29">
        <v>0</v>
      </c>
      <c r="I68" s="29">
        <v>5</v>
      </c>
      <c r="J68" s="29">
        <v>14</v>
      </c>
      <c r="K68" s="29">
        <v>263</v>
      </c>
      <c r="L68" s="30">
        <f t="shared" si="3"/>
        <v>305</v>
      </c>
    </row>
    <row r="69" spans="1:12">
      <c r="A69" s="40" t="s">
        <v>126</v>
      </c>
      <c r="B69" s="29">
        <v>62</v>
      </c>
      <c r="C69" s="29">
        <v>59</v>
      </c>
      <c r="D69" s="29">
        <f t="shared" si="2"/>
        <v>113</v>
      </c>
      <c r="E69" s="29">
        <v>0</v>
      </c>
      <c r="F69" s="29">
        <v>0</v>
      </c>
      <c r="G69" s="29">
        <v>1</v>
      </c>
      <c r="H69" s="29">
        <v>0</v>
      </c>
      <c r="I69" s="29">
        <v>0</v>
      </c>
      <c r="J69" s="29">
        <v>112</v>
      </c>
      <c r="K69" s="29">
        <v>8</v>
      </c>
      <c r="L69" s="30">
        <f t="shared" si="3"/>
        <v>121</v>
      </c>
    </row>
    <row r="70" spans="1:12">
      <c r="A70" s="40" t="s">
        <v>59</v>
      </c>
      <c r="B70" s="29">
        <v>425</v>
      </c>
      <c r="C70" s="29">
        <v>361</v>
      </c>
      <c r="D70" s="29">
        <f t="shared" si="2"/>
        <v>118</v>
      </c>
      <c r="E70" s="29">
        <v>19</v>
      </c>
      <c r="F70" s="29">
        <v>18</v>
      </c>
      <c r="G70" s="29">
        <v>10</v>
      </c>
      <c r="H70" s="29">
        <v>2</v>
      </c>
      <c r="I70" s="29">
        <v>2</v>
      </c>
      <c r="J70" s="29">
        <v>67</v>
      </c>
      <c r="K70" s="29">
        <v>668</v>
      </c>
      <c r="L70" s="30">
        <f t="shared" si="3"/>
        <v>786</v>
      </c>
    </row>
    <row r="71" spans="1:12">
      <c r="A71" s="41" t="s">
        <v>60</v>
      </c>
      <c r="B71" s="31">
        <v>56</v>
      </c>
      <c r="C71" s="31">
        <v>85</v>
      </c>
      <c r="D71" s="31">
        <f t="shared" si="2"/>
        <v>37</v>
      </c>
      <c r="E71" s="31">
        <v>0</v>
      </c>
      <c r="F71" s="31">
        <v>7</v>
      </c>
      <c r="G71" s="31">
        <v>0</v>
      </c>
      <c r="H71" s="31">
        <v>1</v>
      </c>
      <c r="I71" s="31">
        <v>1</v>
      </c>
      <c r="J71" s="31">
        <v>28</v>
      </c>
      <c r="K71" s="31">
        <v>104</v>
      </c>
      <c r="L71" s="32">
        <f t="shared" si="3"/>
        <v>141</v>
      </c>
    </row>
    <row r="72" spans="1:12">
      <c r="A72" s="39" t="s">
        <v>61</v>
      </c>
      <c r="B72" s="27">
        <v>122</v>
      </c>
      <c r="C72" s="27">
        <v>123</v>
      </c>
      <c r="D72" s="27">
        <f t="shared" si="2"/>
        <v>68</v>
      </c>
      <c r="E72" s="27">
        <v>7</v>
      </c>
      <c r="F72" s="27">
        <v>12</v>
      </c>
      <c r="G72" s="27">
        <v>4</v>
      </c>
      <c r="H72" s="27">
        <v>0</v>
      </c>
      <c r="I72" s="27">
        <v>7</v>
      </c>
      <c r="J72" s="27">
        <v>38</v>
      </c>
      <c r="K72" s="27">
        <v>177</v>
      </c>
      <c r="L72" s="28">
        <f t="shared" si="3"/>
        <v>245</v>
      </c>
    </row>
    <row r="73" spans="1:12">
      <c r="A73" s="40" t="s">
        <v>62</v>
      </c>
      <c r="B73" s="29">
        <v>83</v>
      </c>
      <c r="C73" s="29">
        <v>102</v>
      </c>
      <c r="D73" s="29">
        <f t="shared" si="2"/>
        <v>26</v>
      </c>
      <c r="E73" s="29">
        <v>3</v>
      </c>
      <c r="F73" s="29">
        <v>12</v>
      </c>
      <c r="G73" s="29">
        <v>0</v>
      </c>
      <c r="H73" s="29">
        <v>5</v>
      </c>
      <c r="I73" s="29">
        <v>4</v>
      </c>
      <c r="J73" s="29">
        <v>2</v>
      </c>
      <c r="K73" s="29">
        <v>159</v>
      </c>
      <c r="L73" s="30">
        <f t="shared" si="3"/>
        <v>185</v>
      </c>
    </row>
    <row r="74" spans="1:12">
      <c r="A74" s="40" t="s">
        <v>127</v>
      </c>
      <c r="B74" s="29">
        <v>293</v>
      </c>
      <c r="C74" s="29">
        <v>310</v>
      </c>
      <c r="D74" s="29">
        <f t="shared" si="2"/>
        <v>52</v>
      </c>
      <c r="E74" s="29">
        <v>5</v>
      </c>
      <c r="F74" s="29">
        <v>7</v>
      </c>
      <c r="G74" s="29">
        <v>1</v>
      </c>
      <c r="H74" s="29">
        <v>4</v>
      </c>
      <c r="I74" s="29">
        <v>4</v>
      </c>
      <c r="J74" s="29">
        <v>31</v>
      </c>
      <c r="K74" s="29">
        <v>551</v>
      </c>
      <c r="L74" s="30">
        <f t="shared" si="3"/>
        <v>603</v>
      </c>
    </row>
    <row r="75" spans="1:12">
      <c r="A75" s="40" t="s">
        <v>63</v>
      </c>
      <c r="B75" s="29">
        <v>319</v>
      </c>
      <c r="C75" s="29">
        <v>392</v>
      </c>
      <c r="D75" s="29">
        <f t="shared" si="2"/>
        <v>65</v>
      </c>
      <c r="E75" s="29">
        <v>0</v>
      </c>
      <c r="F75" s="29">
        <v>4</v>
      </c>
      <c r="G75" s="29">
        <v>2</v>
      </c>
      <c r="H75" s="29">
        <v>7</v>
      </c>
      <c r="I75" s="29">
        <v>10</v>
      </c>
      <c r="J75" s="29">
        <v>42</v>
      </c>
      <c r="K75" s="29">
        <v>646</v>
      </c>
      <c r="L75" s="30">
        <f t="shared" si="3"/>
        <v>711</v>
      </c>
    </row>
    <row r="76" spans="1:12">
      <c r="A76" s="41" t="s">
        <v>64</v>
      </c>
      <c r="B76" s="31">
        <v>430</v>
      </c>
      <c r="C76" s="31">
        <v>446</v>
      </c>
      <c r="D76" s="31">
        <f t="shared" si="2"/>
        <v>108</v>
      </c>
      <c r="E76" s="31">
        <v>0</v>
      </c>
      <c r="F76" s="31">
        <v>20</v>
      </c>
      <c r="G76" s="31">
        <v>9</v>
      </c>
      <c r="H76" s="31">
        <v>0</v>
      </c>
      <c r="I76" s="31">
        <v>34</v>
      </c>
      <c r="J76" s="31">
        <v>45</v>
      </c>
      <c r="K76" s="31">
        <v>768</v>
      </c>
      <c r="L76" s="32">
        <f t="shared" si="3"/>
        <v>876</v>
      </c>
    </row>
    <row r="77" spans="1:12">
      <c r="A77" s="39" t="s">
        <v>65</v>
      </c>
      <c r="B77" s="27">
        <v>335</v>
      </c>
      <c r="C77" s="27">
        <v>352</v>
      </c>
      <c r="D77" s="27">
        <f t="shared" si="2"/>
        <v>62</v>
      </c>
      <c r="E77" s="27">
        <v>39</v>
      </c>
      <c r="F77" s="27">
        <v>3</v>
      </c>
      <c r="G77" s="27">
        <v>2</v>
      </c>
      <c r="H77" s="27">
        <v>4</v>
      </c>
      <c r="I77" s="27">
        <v>3</v>
      </c>
      <c r="J77" s="27">
        <v>11</v>
      </c>
      <c r="K77" s="27">
        <v>625</v>
      </c>
      <c r="L77" s="28">
        <f t="shared" si="3"/>
        <v>687</v>
      </c>
    </row>
    <row r="78" spans="1:12">
      <c r="A78" s="40" t="s">
        <v>108</v>
      </c>
      <c r="B78" s="29">
        <v>279</v>
      </c>
      <c r="C78" s="29">
        <v>364</v>
      </c>
      <c r="D78" s="29">
        <f t="shared" si="2"/>
        <v>69</v>
      </c>
      <c r="E78" s="29">
        <v>23</v>
      </c>
      <c r="F78" s="29">
        <v>2</v>
      </c>
      <c r="G78" s="29">
        <v>11</v>
      </c>
      <c r="H78" s="29">
        <v>0</v>
      </c>
      <c r="I78" s="29">
        <v>4</v>
      </c>
      <c r="J78" s="29">
        <v>29</v>
      </c>
      <c r="K78" s="29">
        <v>574</v>
      </c>
      <c r="L78" s="30">
        <f t="shared" si="3"/>
        <v>643</v>
      </c>
    </row>
    <row r="79" spans="1:12">
      <c r="A79" s="40" t="s">
        <v>66</v>
      </c>
      <c r="B79" s="29">
        <v>233</v>
      </c>
      <c r="C79" s="29">
        <v>222</v>
      </c>
      <c r="D79" s="29">
        <f t="shared" si="2"/>
        <v>53</v>
      </c>
      <c r="E79" s="29">
        <v>9</v>
      </c>
      <c r="F79" s="29">
        <v>11</v>
      </c>
      <c r="G79" s="29">
        <v>0</v>
      </c>
      <c r="H79" s="29">
        <v>0</v>
      </c>
      <c r="I79" s="29">
        <v>2</v>
      </c>
      <c r="J79" s="29">
        <v>31</v>
      </c>
      <c r="K79" s="29">
        <v>402</v>
      </c>
      <c r="L79" s="30">
        <f t="shared" si="3"/>
        <v>455</v>
      </c>
    </row>
    <row r="80" spans="1:12">
      <c r="A80" s="40" t="s">
        <v>67</v>
      </c>
      <c r="B80" s="29">
        <v>205</v>
      </c>
      <c r="C80" s="29">
        <v>195</v>
      </c>
      <c r="D80" s="29">
        <f t="shared" si="2"/>
        <v>51</v>
      </c>
      <c r="E80" s="29">
        <v>4</v>
      </c>
      <c r="F80" s="29">
        <v>2</v>
      </c>
      <c r="G80" s="29">
        <v>0</v>
      </c>
      <c r="H80" s="29">
        <v>0</v>
      </c>
      <c r="I80" s="29">
        <v>0</v>
      </c>
      <c r="J80" s="29">
        <v>45</v>
      </c>
      <c r="K80" s="29">
        <v>349</v>
      </c>
      <c r="L80" s="30">
        <f t="shared" si="3"/>
        <v>400</v>
      </c>
    </row>
    <row r="81" spans="1:12">
      <c r="A81" s="41" t="s">
        <v>68</v>
      </c>
      <c r="B81" s="31">
        <v>33</v>
      </c>
      <c r="C81" s="31">
        <v>37</v>
      </c>
      <c r="D81" s="31">
        <f t="shared" si="2"/>
        <v>14</v>
      </c>
      <c r="E81" s="31">
        <v>0</v>
      </c>
      <c r="F81" s="31">
        <v>1</v>
      </c>
      <c r="G81" s="31">
        <v>3</v>
      </c>
      <c r="H81" s="31">
        <v>5</v>
      </c>
      <c r="I81" s="31">
        <v>0</v>
      </c>
      <c r="J81" s="31">
        <v>5</v>
      </c>
      <c r="K81" s="31">
        <v>56</v>
      </c>
      <c r="L81" s="32">
        <f t="shared" si="3"/>
        <v>70</v>
      </c>
    </row>
    <row r="82" spans="1:12">
      <c r="A82" s="39" t="s">
        <v>69</v>
      </c>
      <c r="B82" s="27">
        <v>371</v>
      </c>
      <c r="C82" s="27">
        <v>385</v>
      </c>
      <c r="D82" s="27">
        <f t="shared" si="2"/>
        <v>232</v>
      </c>
      <c r="E82" s="27">
        <v>20</v>
      </c>
      <c r="F82" s="27">
        <v>28</v>
      </c>
      <c r="G82" s="27">
        <v>6</v>
      </c>
      <c r="H82" s="27">
        <v>6</v>
      </c>
      <c r="I82" s="27">
        <v>37</v>
      </c>
      <c r="J82" s="27">
        <v>135</v>
      </c>
      <c r="K82" s="27">
        <v>524</v>
      </c>
      <c r="L82" s="28">
        <f t="shared" si="3"/>
        <v>756</v>
      </c>
    </row>
    <row r="83" spans="1:12">
      <c r="A83" s="40" t="s">
        <v>70</v>
      </c>
      <c r="B83" s="29">
        <v>352</v>
      </c>
      <c r="C83" s="29">
        <v>329</v>
      </c>
      <c r="D83" s="29">
        <f t="shared" si="2"/>
        <v>75</v>
      </c>
      <c r="E83" s="29">
        <v>0</v>
      </c>
      <c r="F83" s="29">
        <v>24</v>
      </c>
      <c r="G83" s="29">
        <v>15</v>
      </c>
      <c r="H83" s="29">
        <v>3</v>
      </c>
      <c r="I83" s="29">
        <v>3</v>
      </c>
      <c r="J83" s="29">
        <v>30</v>
      </c>
      <c r="K83" s="29">
        <v>606</v>
      </c>
      <c r="L83" s="30">
        <f t="shared" si="3"/>
        <v>681</v>
      </c>
    </row>
    <row r="84" spans="1:12">
      <c r="A84" s="40" t="s">
        <v>71</v>
      </c>
      <c r="B84" s="29">
        <v>264</v>
      </c>
      <c r="C84" s="29">
        <v>263</v>
      </c>
      <c r="D84" s="29">
        <f t="shared" si="2"/>
        <v>73</v>
      </c>
      <c r="E84" s="29">
        <v>21</v>
      </c>
      <c r="F84" s="29">
        <v>4</v>
      </c>
      <c r="G84" s="29">
        <v>4</v>
      </c>
      <c r="H84" s="29">
        <v>4</v>
      </c>
      <c r="I84" s="29">
        <v>3</v>
      </c>
      <c r="J84" s="29">
        <v>37</v>
      </c>
      <c r="K84" s="29">
        <v>454</v>
      </c>
      <c r="L84" s="30">
        <f t="shared" si="3"/>
        <v>527</v>
      </c>
    </row>
    <row r="85" spans="1:12">
      <c r="A85" s="40" t="s">
        <v>72</v>
      </c>
      <c r="B85" s="29">
        <v>169</v>
      </c>
      <c r="C85" s="29">
        <v>231</v>
      </c>
      <c r="D85" s="29">
        <f t="shared" si="2"/>
        <v>144</v>
      </c>
      <c r="E85" s="29">
        <v>0</v>
      </c>
      <c r="F85" s="29">
        <v>33</v>
      </c>
      <c r="G85" s="29">
        <v>7</v>
      </c>
      <c r="H85" s="29">
        <v>1</v>
      </c>
      <c r="I85" s="29">
        <v>14</v>
      </c>
      <c r="J85" s="29">
        <v>89</v>
      </c>
      <c r="K85" s="29">
        <v>408</v>
      </c>
      <c r="L85" s="30">
        <f t="shared" si="3"/>
        <v>552</v>
      </c>
    </row>
    <row r="86" spans="1:12">
      <c r="A86" s="40" t="s">
        <v>73</v>
      </c>
      <c r="B86" s="29">
        <v>274</v>
      </c>
      <c r="C86" s="29">
        <v>278</v>
      </c>
      <c r="D86" s="29">
        <f t="shared" si="2"/>
        <v>158</v>
      </c>
      <c r="E86" s="29">
        <v>1</v>
      </c>
      <c r="F86" s="29">
        <v>18</v>
      </c>
      <c r="G86" s="29">
        <v>16</v>
      </c>
      <c r="H86" s="29">
        <v>7</v>
      </c>
      <c r="I86" s="29">
        <v>10</v>
      </c>
      <c r="J86" s="29">
        <v>106</v>
      </c>
      <c r="K86" s="29">
        <v>824</v>
      </c>
      <c r="L86" s="30">
        <f t="shared" si="3"/>
        <v>982</v>
      </c>
    </row>
    <row r="87" spans="1:12">
      <c r="A87" s="41" t="s">
        <v>74</v>
      </c>
      <c r="B87" s="31">
        <v>498</v>
      </c>
      <c r="C87" s="31">
        <v>484</v>
      </c>
      <c r="D87" s="31">
        <f t="shared" si="2"/>
        <v>24</v>
      </c>
      <c r="E87" s="31">
        <v>0</v>
      </c>
      <c r="F87" s="31">
        <v>4</v>
      </c>
      <c r="G87" s="31">
        <v>9</v>
      </c>
      <c r="H87" s="31">
        <v>2</v>
      </c>
      <c r="I87" s="31">
        <v>0</v>
      </c>
      <c r="J87" s="31">
        <v>9</v>
      </c>
      <c r="K87" s="31">
        <v>484</v>
      </c>
      <c r="L87" s="32">
        <f t="shared" si="3"/>
        <v>508</v>
      </c>
    </row>
    <row r="88" spans="1:12">
      <c r="A88" s="39" t="s">
        <v>128</v>
      </c>
      <c r="B88" s="27">
        <v>258</v>
      </c>
      <c r="C88" s="27">
        <v>250</v>
      </c>
      <c r="D88" s="27">
        <f t="shared" si="2"/>
        <v>74</v>
      </c>
      <c r="E88" s="27">
        <v>3</v>
      </c>
      <c r="F88" s="27">
        <v>16</v>
      </c>
      <c r="G88" s="27">
        <v>10</v>
      </c>
      <c r="H88" s="27">
        <v>3</v>
      </c>
      <c r="I88" s="27">
        <v>7</v>
      </c>
      <c r="J88" s="27">
        <v>35</v>
      </c>
      <c r="K88" s="27">
        <v>326</v>
      </c>
      <c r="L88" s="28">
        <f t="shared" si="3"/>
        <v>400</v>
      </c>
    </row>
    <row r="89" spans="1:12">
      <c r="A89" s="40" t="s">
        <v>75</v>
      </c>
      <c r="B89" s="29">
        <v>238</v>
      </c>
      <c r="C89" s="29">
        <v>253</v>
      </c>
      <c r="D89" s="29">
        <f t="shared" si="2"/>
        <v>73</v>
      </c>
      <c r="E89" s="29">
        <v>4</v>
      </c>
      <c r="F89" s="29">
        <v>19</v>
      </c>
      <c r="G89" s="29">
        <v>1</v>
      </c>
      <c r="H89" s="29">
        <v>0</v>
      </c>
      <c r="I89" s="29">
        <v>11</v>
      </c>
      <c r="J89" s="29">
        <v>38</v>
      </c>
      <c r="K89" s="29">
        <v>418</v>
      </c>
      <c r="L89" s="30">
        <f t="shared" si="3"/>
        <v>491</v>
      </c>
    </row>
    <row r="90" spans="1:12">
      <c r="A90" s="40" t="s">
        <v>76</v>
      </c>
      <c r="B90" s="29">
        <v>541</v>
      </c>
      <c r="C90" s="29">
        <v>527</v>
      </c>
      <c r="D90" s="29">
        <f t="shared" si="2"/>
        <v>379</v>
      </c>
      <c r="E90" s="29">
        <v>17</v>
      </c>
      <c r="F90" s="29">
        <v>16</v>
      </c>
      <c r="G90" s="29">
        <v>28</v>
      </c>
      <c r="H90" s="29">
        <v>4</v>
      </c>
      <c r="I90" s="29">
        <v>9</v>
      </c>
      <c r="J90" s="29">
        <v>305</v>
      </c>
      <c r="K90" s="29">
        <v>689</v>
      </c>
      <c r="L90" s="30">
        <f t="shared" si="3"/>
        <v>1068</v>
      </c>
    </row>
    <row r="91" spans="1:12">
      <c r="A91" s="40" t="s">
        <v>77</v>
      </c>
      <c r="B91" s="29">
        <v>181</v>
      </c>
      <c r="C91" s="29">
        <v>218</v>
      </c>
      <c r="D91" s="29">
        <f t="shared" si="2"/>
        <v>47</v>
      </c>
      <c r="E91" s="29">
        <v>2</v>
      </c>
      <c r="F91" s="29">
        <v>2</v>
      </c>
      <c r="G91" s="29">
        <v>9</v>
      </c>
      <c r="H91" s="29">
        <v>3</v>
      </c>
      <c r="I91" s="29">
        <v>1</v>
      </c>
      <c r="J91" s="29">
        <v>30</v>
      </c>
      <c r="K91" s="29">
        <v>352</v>
      </c>
      <c r="L91" s="30">
        <f t="shared" si="3"/>
        <v>399</v>
      </c>
    </row>
    <row r="92" spans="1:12">
      <c r="A92" s="40" t="s">
        <v>78</v>
      </c>
      <c r="B92" s="29">
        <v>113</v>
      </c>
      <c r="C92" s="29">
        <v>114</v>
      </c>
      <c r="D92" s="29">
        <f t="shared" si="2"/>
        <v>7</v>
      </c>
      <c r="E92" s="29">
        <v>1</v>
      </c>
      <c r="F92" s="29">
        <v>0</v>
      </c>
      <c r="G92" s="29">
        <v>1</v>
      </c>
      <c r="H92" s="29">
        <v>0</v>
      </c>
      <c r="I92" s="29">
        <v>1</v>
      </c>
      <c r="J92" s="29">
        <v>4</v>
      </c>
      <c r="K92" s="29">
        <v>220</v>
      </c>
      <c r="L92" s="30">
        <f t="shared" si="3"/>
        <v>227</v>
      </c>
    </row>
    <row r="93" spans="1:12">
      <c r="A93" s="41" t="s">
        <v>79</v>
      </c>
      <c r="B93" s="31">
        <v>328</v>
      </c>
      <c r="C93" s="31">
        <v>388</v>
      </c>
      <c r="D93" s="31">
        <f t="shared" si="2"/>
        <v>57</v>
      </c>
      <c r="E93" s="31">
        <v>1</v>
      </c>
      <c r="F93" s="31">
        <v>13</v>
      </c>
      <c r="G93" s="31">
        <v>19</v>
      </c>
      <c r="H93" s="31">
        <v>1</v>
      </c>
      <c r="I93" s="31">
        <v>5</v>
      </c>
      <c r="J93" s="31">
        <v>18</v>
      </c>
      <c r="K93" s="31">
        <v>659</v>
      </c>
      <c r="L93" s="32">
        <f t="shared" si="3"/>
        <v>716</v>
      </c>
    </row>
    <row r="94" spans="1:12" s="26" customFormat="1" ht="33.75">
      <c r="A94" s="1" t="s">
        <v>122</v>
      </c>
      <c r="B94" s="2" t="s">
        <v>110</v>
      </c>
      <c r="C94" s="2" t="s">
        <v>111</v>
      </c>
      <c r="D94" s="2" t="s">
        <v>119</v>
      </c>
      <c r="E94" s="2" t="s">
        <v>114</v>
      </c>
      <c r="F94" s="2" t="s">
        <v>112</v>
      </c>
      <c r="G94" s="2" t="s">
        <v>116</v>
      </c>
      <c r="H94" s="2" t="s">
        <v>117</v>
      </c>
      <c r="I94" s="2" t="s">
        <v>118</v>
      </c>
      <c r="J94" s="2" t="s">
        <v>113</v>
      </c>
      <c r="K94" s="2" t="s">
        <v>115</v>
      </c>
      <c r="L94" s="2" t="s">
        <v>121</v>
      </c>
    </row>
    <row r="95" spans="1:12">
      <c r="A95" s="39" t="s">
        <v>80</v>
      </c>
      <c r="B95" s="27">
        <v>279</v>
      </c>
      <c r="C95" s="27">
        <v>251</v>
      </c>
      <c r="D95" s="27">
        <f>SUM(E95:J95)</f>
        <v>38</v>
      </c>
      <c r="E95" s="27">
        <v>0</v>
      </c>
      <c r="F95" s="27">
        <v>2</v>
      </c>
      <c r="G95" s="27">
        <v>2</v>
      </c>
      <c r="H95" s="27">
        <v>3</v>
      </c>
      <c r="I95" s="27">
        <v>5</v>
      </c>
      <c r="J95" s="27">
        <v>26</v>
      </c>
      <c r="K95" s="27">
        <v>492</v>
      </c>
      <c r="L95" s="28">
        <f>SUM(E95:K95)</f>
        <v>530</v>
      </c>
    </row>
    <row r="96" spans="1:12">
      <c r="A96" s="40" t="s">
        <v>81</v>
      </c>
      <c r="B96" s="29">
        <v>234</v>
      </c>
      <c r="C96" s="29">
        <v>269</v>
      </c>
      <c r="D96" s="29">
        <f t="shared" ref="D96:D124" si="4">SUM(E96:J96)</f>
        <v>85</v>
      </c>
      <c r="E96" s="29">
        <v>1</v>
      </c>
      <c r="F96" s="29">
        <v>0</v>
      </c>
      <c r="G96" s="29">
        <v>5</v>
      </c>
      <c r="H96" s="29">
        <v>3</v>
      </c>
      <c r="I96" s="29">
        <v>0</v>
      </c>
      <c r="J96" s="29">
        <v>76</v>
      </c>
      <c r="K96" s="29">
        <v>418</v>
      </c>
      <c r="L96" s="30">
        <f t="shared" ref="L96:L124" si="5">SUM(E96:K96)</f>
        <v>503</v>
      </c>
    </row>
    <row r="97" spans="1:12">
      <c r="A97" s="40" t="s">
        <v>82</v>
      </c>
      <c r="B97" s="29">
        <v>365</v>
      </c>
      <c r="C97" s="29">
        <v>335</v>
      </c>
      <c r="D97" s="29">
        <f t="shared" si="4"/>
        <v>41</v>
      </c>
      <c r="E97" s="29">
        <v>0</v>
      </c>
      <c r="F97" s="29">
        <v>8</v>
      </c>
      <c r="G97" s="29">
        <v>13</v>
      </c>
      <c r="H97" s="29">
        <v>0</v>
      </c>
      <c r="I97" s="29">
        <v>3</v>
      </c>
      <c r="J97" s="29">
        <v>17</v>
      </c>
      <c r="K97" s="29">
        <v>659</v>
      </c>
      <c r="L97" s="30">
        <f t="shared" si="5"/>
        <v>700</v>
      </c>
    </row>
    <row r="98" spans="1:12">
      <c r="A98" s="40" t="s">
        <v>83</v>
      </c>
      <c r="B98" s="29">
        <v>250</v>
      </c>
      <c r="C98" s="29">
        <v>305</v>
      </c>
      <c r="D98" s="29">
        <f t="shared" si="4"/>
        <v>32</v>
      </c>
      <c r="E98" s="29">
        <v>1</v>
      </c>
      <c r="F98" s="29">
        <v>0</v>
      </c>
      <c r="G98" s="29">
        <v>7</v>
      </c>
      <c r="H98" s="29">
        <v>0</v>
      </c>
      <c r="I98" s="29">
        <v>8</v>
      </c>
      <c r="J98" s="29">
        <v>16</v>
      </c>
      <c r="K98" s="29">
        <v>523</v>
      </c>
      <c r="L98" s="30">
        <f t="shared" si="5"/>
        <v>555</v>
      </c>
    </row>
    <row r="99" spans="1:12">
      <c r="A99" s="41" t="s">
        <v>84</v>
      </c>
      <c r="B99" s="31">
        <v>313</v>
      </c>
      <c r="C99" s="31">
        <v>366</v>
      </c>
      <c r="D99" s="31">
        <f t="shared" si="4"/>
        <v>80</v>
      </c>
      <c r="E99" s="31">
        <v>0</v>
      </c>
      <c r="F99" s="31">
        <v>7</v>
      </c>
      <c r="G99" s="31">
        <v>3</v>
      </c>
      <c r="H99" s="31">
        <v>8</v>
      </c>
      <c r="I99" s="31">
        <v>3</v>
      </c>
      <c r="J99" s="31">
        <v>59</v>
      </c>
      <c r="K99" s="31">
        <v>599</v>
      </c>
      <c r="L99" s="32">
        <f t="shared" si="5"/>
        <v>679</v>
      </c>
    </row>
    <row r="100" spans="1:12">
      <c r="A100" s="39" t="s">
        <v>85</v>
      </c>
      <c r="B100" s="27">
        <v>182</v>
      </c>
      <c r="C100" s="27">
        <v>169</v>
      </c>
      <c r="D100" s="27">
        <f t="shared" si="4"/>
        <v>60</v>
      </c>
      <c r="E100" s="27">
        <v>33</v>
      </c>
      <c r="F100" s="27">
        <v>1</v>
      </c>
      <c r="G100" s="27">
        <v>1</v>
      </c>
      <c r="H100" s="27">
        <v>0</v>
      </c>
      <c r="I100" s="27">
        <v>0</v>
      </c>
      <c r="J100" s="27">
        <v>25</v>
      </c>
      <c r="K100" s="27">
        <v>291</v>
      </c>
      <c r="L100" s="28">
        <f t="shared" si="5"/>
        <v>351</v>
      </c>
    </row>
    <row r="101" spans="1:12">
      <c r="A101" s="40" t="s">
        <v>86</v>
      </c>
      <c r="B101" s="29">
        <v>353</v>
      </c>
      <c r="C101" s="29">
        <v>322</v>
      </c>
      <c r="D101" s="29">
        <f t="shared" si="4"/>
        <v>118</v>
      </c>
      <c r="E101" s="29">
        <v>0</v>
      </c>
      <c r="F101" s="29">
        <v>9</v>
      </c>
      <c r="G101" s="29">
        <v>8</v>
      </c>
      <c r="H101" s="29">
        <v>8</v>
      </c>
      <c r="I101" s="29">
        <v>8</v>
      </c>
      <c r="J101" s="29">
        <v>85</v>
      </c>
      <c r="K101" s="29">
        <v>557</v>
      </c>
      <c r="L101" s="30">
        <f t="shared" si="5"/>
        <v>675</v>
      </c>
    </row>
    <row r="102" spans="1:12">
      <c r="A102" s="40" t="s">
        <v>87</v>
      </c>
      <c r="B102" s="29">
        <v>351</v>
      </c>
      <c r="C102" s="29">
        <v>326</v>
      </c>
      <c r="D102" s="29">
        <f t="shared" si="4"/>
        <v>80</v>
      </c>
      <c r="E102" s="29">
        <v>0</v>
      </c>
      <c r="F102" s="29">
        <v>22</v>
      </c>
      <c r="G102" s="29">
        <v>8</v>
      </c>
      <c r="H102" s="29">
        <v>0</v>
      </c>
      <c r="I102" s="29">
        <v>6</v>
      </c>
      <c r="J102" s="29">
        <v>44</v>
      </c>
      <c r="K102" s="29">
        <v>597</v>
      </c>
      <c r="L102" s="30">
        <f t="shared" si="5"/>
        <v>677</v>
      </c>
    </row>
    <row r="103" spans="1:12">
      <c r="A103" s="40" t="s">
        <v>88</v>
      </c>
      <c r="B103" s="29">
        <v>227</v>
      </c>
      <c r="C103" s="29">
        <v>249</v>
      </c>
      <c r="D103" s="29">
        <f t="shared" si="4"/>
        <v>59</v>
      </c>
      <c r="E103" s="29">
        <v>0</v>
      </c>
      <c r="F103" s="29">
        <v>7</v>
      </c>
      <c r="G103" s="29">
        <v>2</v>
      </c>
      <c r="H103" s="29">
        <v>3</v>
      </c>
      <c r="I103" s="29">
        <v>16</v>
      </c>
      <c r="J103" s="29">
        <v>31</v>
      </c>
      <c r="K103" s="29">
        <v>417</v>
      </c>
      <c r="L103" s="30">
        <f t="shared" si="5"/>
        <v>476</v>
      </c>
    </row>
    <row r="104" spans="1:12">
      <c r="A104" s="41" t="s">
        <v>89</v>
      </c>
      <c r="B104" s="31">
        <v>171</v>
      </c>
      <c r="C104" s="31">
        <v>130</v>
      </c>
      <c r="D104" s="31">
        <f t="shared" si="4"/>
        <v>58</v>
      </c>
      <c r="E104" s="31">
        <v>0</v>
      </c>
      <c r="F104" s="31">
        <v>11</v>
      </c>
      <c r="G104" s="31">
        <v>14</v>
      </c>
      <c r="H104" s="31">
        <v>4</v>
      </c>
      <c r="I104" s="31">
        <v>5</v>
      </c>
      <c r="J104" s="31">
        <v>24</v>
      </c>
      <c r="K104" s="31">
        <v>243</v>
      </c>
      <c r="L104" s="32">
        <f t="shared" si="5"/>
        <v>301</v>
      </c>
    </row>
    <row r="105" spans="1:12">
      <c r="A105" s="39" t="s">
        <v>129</v>
      </c>
      <c r="B105" s="27">
        <v>133</v>
      </c>
      <c r="C105" s="27">
        <v>157</v>
      </c>
      <c r="D105" s="27">
        <f t="shared" si="4"/>
        <v>125</v>
      </c>
      <c r="E105" s="27">
        <v>1</v>
      </c>
      <c r="F105" s="27">
        <v>12</v>
      </c>
      <c r="G105" s="27">
        <v>11</v>
      </c>
      <c r="H105" s="27">
        <v>0</v>
      </c>
      <c r="I105" s="27">
        <v>6</v>
      </c>
      <c r="J105" s="27">
        <v>95</v>
      </c>
      <c r="K105" s="27">
        <v>165</v>
      </c>
      <c r="L105" s="28">
        <f t="shared" si="5"/>
        <v>290</v>
      </c>
    </row>
    <row r="106" spans="1:12">
      <c r="A106" s="40" t="s">
        <v>90</v>
      </c>
      <c r="B106" s="29">
        <v>128</v>
      </c>
      <c r="C106" s="29">
        <v>57</v>
      </c>
      <c r="D106" s="29">
        <f t="shared" si="4"/>
        <v>36</v>
      </c>
      <c r="E106" s="29">
        <v>11</v>
      </c>
      <c r="F106" s="29">
        <v>0</v>
      </c>
      <c r="G106" s="29">
        <v>2</v>
      </c>
      <c r="H106" s="29">
        <v>1</v>
      </c>
      <c r="I106" s="29">
        <v>3</v>
      </c>
      <c r="J106" s="29">
        <v>19</v>
      </c>
      <c r="K106" s="29">
        <v>149</v>
      </c>
      <c r="L106" s="30">
        <f t="shared" si="5"/>
        <v>185</v>
      </c>
    </row>
    <row r="107" spans="1:12">
      <c r="A107" s="40" t="s">
        <v>91</v>
      </c>
      <c r="B107" s="29">
        <v>111</v>
      </c>
      <c r="C107" s="29">
        <v>112</v>
      </c>
      <c r="D107" s="29">
        <f t="shared" si="4"/>
        <v>16</v>
      </c>
      <c r="E107" s="29">
        <v>5</v>
      </c>
      <c r="F107" s="29">
        <v>0</v>
      </c>
      <c r="G107" s="29">
        <v>2</v>
      </c>
      <c r="H107" s="29">
        <v>0</v>
      </c>
      <c r="I107" s="29">
        <v>0</v>
      </c>
      <c r="J107" s="29">
        <v>9</v>
      </c>
      <c r="K107" s="29">
        <v>207</v>
      </c>
      <c r="L107" s="30">
        <f t="shared" si="5"/>
        <v>223</v>
      </c>
    </row>
    <row r="108" spans="1:12">
      <c r="A108" s="40" t="s">
        <v>92</v>
      </c>
      <c r="B108" s="29">
        <v>88</v>
      </c>
      <c r="C108" s="29">
        <v>245</v>
      </c>
      <c r="D108" s="29">
        <f t="shared" si="4"/>
        <v>18</v>
      </c>
      <c r="E108" s="29">
        <v>3</v>
      </c>
      <c r="F108" s="29">
        <v>0</v>
      </c>
      <c r="G108" s="29">
        <v>2</v>
      </c>
      <c r="H108" s="29">
        <v>1</v>
      </c>
      <c r="I108" s="29">
        <v>0</v>
      </c>
      <c r="J108" s="29">
        <v>12</v>
      </c>
      <c r="K108" s="29">
        <v>315</v>
      </c>
      <c r="L108" s="30">
        <f t="shared" si="5"/>
        <v>333</v>
      </c>
    </row>
    <row r="109" spans="1:12">
      <c r="A109" s="41" t="s">
        <v>93</v>
      </c>
      <c r="B109" s="31">
        <v>181</v>
      </c>
      <c r="C109" s="31">
        <v>156</v>
      </c>
      <c r="D109" s="31">
        <f t="shared" si="4"/>
        <v>33</v>
      </c>
      <c r="E109" s="31">
        <v>1</v>
      </c>
      <c r="F109" s="31">
        <v>7</v>
      </c>
      <c r="G109" s="31">
        <v>0</v>
      </c>
      <c r="H109" s="31">
        <v>0</v>
      </c>
      <c r="I109" s="31">
        <v>1</v>
      </c>
      <c r="J109" s="31">
        <v>24</v>
      </c>
      <c r="K109" s="31">
        <v>304</v>
      </c>
      <c r="L109" s="32">
        <f t="shared" si="5"/>
        <v>337</v>
      </c>
    </row>
    <row r="110" spans="1:12">
      <c r="A110" s="39" t="s">
        <v>94</v>
      </c>
      <c r="B110" s="27">
        <v>19</v>
      </c>
      <c r="C110" s="27">
        <v>22</v>
      </c>
      <c r="D110" s="27">
        <f t="shared" si="4"/>
        <v>22</v>
      </c>
      <c r="E110" s="27">
        <v>0</v>
      </c>
      <c r="F110" s="27">
        <v>0</v>
      </c>
      <c r="G110" s="27">
        <v>3</v>
      </c>
      <c r="H110" s="27">
        <v>1</v>
      </c>
      <c r="I110" s="27">
        <v>0</v>
      </c>
      <c r="J110" s="27">
        <v>18</v>
      </c>
      <c r="K110" s="27">
        <v>19</v>
      </c>
      <c r="L110" s="28">
        <f t="shared" si="5"/>
        <v>41</v>
      </c>
    </row>
    <row r="111" spans="1:12">
      <c r="A111" s="40" t="s">
        <v>130</v>
      </c>
      <c r="B111" s="29">
        <v>501</v>
      </c>
      <c r="C111" s="29">
        <v>499</v>
      </c>
      <c r="D111" s="29">
        <f t="shared" si="4"/>
        <v>31</v>
      </c>
      <c r="E111" s="29">
        <v>0</v>
      </c>
      <c r="F111" s="29">
        <v>15</v>
      </c>
      <c r="G111" s="29">
        <v>9</v>
      </c>
      <c r="H111" s="29">
        <v>0</v>
      </c>
      <c r="I111" s="29">
        <v>1</v>
      </c>
      <c r="J111" s="29">
        <v>6</v>
      </c>
      <c r="K111" s="29">
        <v>969</v>
      </c>
      <c r="L111" s="30">
        <f t="shared" si="5"/>
        <v>1000</v>
      </c>
    </row>
    <row r="112" spans="1:12">
      <c r="A112" s="40" t="s">
        <v>95</v>
      </c>
      <c r="B112" s="29">
        <v>82</v>
      </c>
      <c r="C112" s="29">
        <v>90</v>
      </c>
      <c r="D112" s="29">
        <f t="shared" si="4"/>
        <v>5</v>
      </c>
      <c r="E112" s="29">
        <v>1</v>
      </c>
      <c r="F112" s="29">
        <v>1</v>
      </c>
      <c r="G112" s="29">
        <v>1</v>
      </c>
      <c r="H112" s="29">
        <v>0</v>
      </c>
      <c r="I112" s="29">
        <v>1</v>
      </c>
      <c r="J112" s="29">
        <v>1</v>
      </c>
      <c r="K112" s="29">
        <v>167</v>
      </c>
      <c r="L112" s="30">
        <f t="shared" si="5"/>
        <v>172</v>
      </c>
    </row>
    <row r="113" spans="1:12">
      <c r="A113" s="40" t="s">
        <v>96</v>
      </c>
      <c r="B113" s="29">
        <v>527</v>
      </c>
      <c r="C113" s="29">
        <v>492</v>
      </c>
      <c r="D113" s="29">
        <f t="shared" si="4"/>
        <v>78</v>
      </c>
      <c r="E113" s="29">
        <v>0</v>
      </c>
      <c r="F113" s="29">
        <v>9</v>
      </c>
      <c r="G113" s="29">
        <v>22</v>
      </c>
      <c r="H113" s="29">
        <v>1</v>
      </c>
      <c r="I113" s="29">
        <v>4</v>
      </c>
      <c r="J113" s="29">
        <v>42</v>
      </c>
      <c r="K113" s="29">
        <v>941</v>
      </c>
      <c r="L113" s="30">
        <f t="shared" si="5"/>
        <v>1019</v>
      </c>
    </row>
    <row r="114" spans="1:12">
      <c r="A114" s="41" t="s">
        <v>131</v>
      </c>
      <c r="B114" s="31">
        <v>251</v>
      </c>
      <c r="C114" s="31">
        <v>237</v>
      </c>
      <c r="D114" s="31">
        <f t="shared" si="4"/>
        <v>177</v>
      </c>
      <c r="E114" s="31">
        <v>1</v>
      </c>
      <c r="F114" s="31">
        <v>28</v>
      </c>
      <c r="G114" s="31">
        <v>10</v>
      </c>
      <c r="H114" s="31">
        <v>6</v>
      </c>
      <c r="I114" s="31">
        <v>21</v>
      </c>
      <c r="J114" s="31">
        <v>111</v>
      </c>
      <c r="K114" s="31">
        <v>964</v>
      </c>
      <c r="L114" s="32">
        <f t="shared" si="5"/>
        <v>1141</v>
      </c>
    </row>
    <row r="115" spans="1:12">
      <c r="A115" s="39" t="s">
        <v>97</v>
      </c>
      <c r="B115" s="27">
        <v>308</v>
      </c>
      <c r="C115" s="27">
        <v>345</v>
      </c>
      <c r="D115" s="27">
        <f t="shared" si="4"/>
        <v>56</v>
      </c>
      <c r="E115" s="27">
        <v>0</v>
      </c>
      <c r="F115" s="27">
        <v>20</v>
      </c>
      <c r="G115" s="27">
        <v>1</v>
      </c>
      <c r="H115" s="27">
        <v>0</v>
      </c>
      <c r="I115" s="27">
        <v>0</v>
      </c>
      <c r="J115" s="27">
        <v>35</v>
      </c>
      <c r="K115" s="27">
        <v>367</v>
      </c>
      <c r="L115" s="28">
        <f t="shared" si="5"/>
        <v>423</v>
      </c>
    </row>
    <row r="116" spans="1:12">
      <c r="A116" s="40" t="s">
        <v>98</v>
      </c>
      <c r="B116" s="29">
        <v>206</v>
      </c>
      <c r="C116" s="29">
        <v>217</v>
      </c>
      <c r="D116" s="29">
        <f t="shared" si="4"/>
        <v>36</v>
      </c>
      <c r="E116" s="29">
        <v>0</v>
      </c>
      <c r="F116" s="29">
        <v>3</v>
      </c>
      <c r="G116" s="29">
        <v>1</v>
      </c>
      <c r="H116" s="29">
        <v>2</v>
      </c>
      <c r="I116" s="29">
        <v>16</v>
      </c>
      <c r="J116" s="29">
        <v>14</v>
      </c>
      <c r="K116" s="29">
        <v>259</v>
      </c>
      <c r="L116" s="30">
        <f t="shared" si="5"/>
        <v>295</v>
      </c>
    </row>
    <row r="117" spans="1:12">
      <c r="A117" s="40" t="s">
        <v>99</v>
      </c>
      <c r="B117" s="29">
        <v>192</v>
      </c>
      <c r="C117" s="29">
        <v>103</v>
      </c>
      <c r="D117" s="29">
        <f t="shared" si="4"/>
        <v>43</v>
      </c>
      <c r="E117" s="29">
        <v>0</v>
      </c>
      <c r="F117" s="29">
        <v>0</v>
      </c>
      <c r="G117" s="29">
        <v>0</v>
      </c>
      <c r="H117" s="29">
        <v>42</v>
      </c>
      <c r="I117" s="29">
        <v>0</v>
      </c>
      <c r="J117" s="29">
        <v>1</v>
      </c>
      <c r="K117" s="29">
        <v>2</v>
      </c>
      <c r="L117" s="30">
        <f t="shared" si="5"/>
        <v>45</v>
      </c>
    </row>
    <row r="118" spans="1:12">
      <c r="A118" s="40" t="s">
        <v>132</v>
      </c>
      <c r="B118" s="29">
        <v>19</v>
      </c>
      <c r="C118" s="29">
        <v>26</v>
      </c>
      <c r="D118" s="29">
        <f t="shared" si="4"/>
        <v>60</v>
      </c>
      <c r="E118" s="29">
        <v>0</v>
      </c>
      <c r="F118" s="29">
        <v>18</v>
      </c>
      <c r="G118" s="29">
        <v>5</v>
      </c>
      <c r="H118" s="29">
        <v>4</v>
      </c>
      <c r="I118" s="29">
        <v>6</v>
      </c>
      <c r="J118" s="29">
        <v>27</v>
      </c>
      <c r="K118" s="29">
        <v>303</v>
      </c>
      <c r="L118" s="30">
        <f t="shared" si="5"/>
        <v>363</v>
      </c>
    </row>
    <row r="119" spans="1:12">
      <c r="A119" s="41" t="s">
        <v>100</v>
      </c>
      <c r="B119" s="31">
        <v>158</v>
      </c>
      <c r="C119" s="31">
        <v>205</v>
      </c>
      <c r="D119" s="31">
        <f t="shared" si="4"/>
        <v>169</v>
      </c>
      <c r="E119" s="31">
        <v>0</v>
      </c>
      <c r="F119" s="31">
        <v>26</v>
      </c>
      <c r="G119" s="31">
        <v>32</v>
      </c>
      <c r="H119" s="31">
        <v>18</v>
      </c>
      <c r="I119" s="31">
        <v>22</v>
      </c>
      <c r="J119" s="31">
        <v>71</v>
      </c>
      <c r="K119" s="31">
        <v>1875</v>
      </c>
      <c r="L119" s="32">
        <f t="shared" si="5"/>
        <v>2044</v>
      </c>
    </row>
    <row r="120" spans="1:12">
      <c r="A120" s="39" t="s">
        <v>101</v>
      </c>
      <c r="B120" s="27">
        <v>953</v>
      </c>
      <c r="C120" s="27">
        <v>1091</v>
      </c>
      <c r="D120" s="27">
        <f t="shared" si="4"/>
        <v>38</v>
      </c>
      <c r="E120" s="27">
        <v>9</v>
      </c>
      <c r="F120" s="27">
        <v>3</v>
      </c>
      <c r="G120" s="27">
        <v>4</v>
      </c>
      <c r="H120" s="27">
        <v>0</v>
      </c>
      <c r="I120" s="27">
        <v>0</v>
      </c>
      <c r="J120" s="27">
        <v>22</v>
      </c>
      <c r="K120" s="27">
        <v>434</v>
      </c>
      <c r="L120" s="28">
        <f t="shared" si="5"/>
        <v>472</v>
      </c>
    </row>
    <row r="121" spans="1:12">
      <c r="A121" s="40" t="s">
        <v>133</v>
      </c>
      <c r="B121" s="29">
        <v>245</v>
      </c>
      <c r="C121" s="29">
        <v>227</v>
      </c>
      <c r="D121" s="29">
        <f t="shared" si="4"/>
        <v>53</v>
      </c>
      <c r="E121" s="29">
        <v>0</v>
      </c>
      <c r="F121" s="29">
        <v>2</v>
      </c>
      <c r="G121" s="29">
        <v>5</v>
      </c>
      <c r="H121" s="29">
        <v>4</v>
      </c>
      <c r="I121" s="29">
        <v>8</v>
      </c>
      <c r="J121" s="29">
        <v>34</v>
      </c>
      <c r="K121" s="29">
        <v>770</v>
      </c>
      <c r="L121" s="30">
        <f t="shared" si="5"/>
        <v>823</v>
      </c>
    </row>
    <row r="122" spans="1:12">
      <c r="A122" s="40" t="s">
        <v>102</v>
      </c>
      <c r="B122" s="29">
        <v>470</v>
      </c>
      <c r="C122" s="29">
        <v>353</v>
      </c>
      <c r="D122" s="29">
        <f t="shared" si="4"/>
        <v>50</v>
      </c>
      <c r="E122" s="29">
        <v>1</v>
      </c>
      <c r="F122" s="29">
        <v>9</v>
      </c>
      <c r="G122" s="29">
        <v>1</v>
      </c>
      <c r="H122" s="29">
        <v>9</v>
      </c>
      <c r="I122" s="29">
        <v>5</v>
      </c>
      <c r="J122" s="29">
        <v>25</v>
      </c>
      <c r="K122" s="29">
        <v>273</v>
      </c>
      <c r="L122" s="30">
        <f t="shared" si="5"/>
        <v>323</v>
      </c>
    </row>
    <row r="123" spans="1:12">
      <c r="A123" s="40" t="s">
        <v>103</v>
      </c>
      <c r="B123" s="29">
        <v>159</v>
      </c>
      <c r="C123" s="29">
        <v>164</v>
      </c>
      <c r="D123" s="29">
        <f t="shared" si="4"/>
        <v>79</v>
      </c>
      <c r="E123" s="29">
        <v>4</v>
      </c>
      <c r="F123" s="29">
        <v>11</v>
      </c>
      <c r="G123" s="29">
        <v>13</v>
      </c>
      <c r="H123" s="29">
        <v>2</v>
      </c>
      <c r="I123" s="29">
        <v>19</v>
      </c>
      <c r="J123" s="29">
        <v>30</v>
      </c>
      <c r="K123" s="29">
        <v>296</v>
      </c>
      <c r="L123" s="30">
        <f t="shared" si="5"/>
        <v>375</v>
      </c>
    </row>
    <row r="124" spans="1:12">
      <c r="A124" s="41" t="s">
        <v>104</v>
      </c>
      <c r="B124" s="31">
        <v>168</v>
      </c>
      <c r="C124" s="31">
        <v>207</v>
      </c>
      <c r="D124" s="31">
        <f t="shared" si="4"/>
        <v>38</v>
      </c>
      <c r="E124" s="31">
        <v>11</v>
      </c>
      <c r="F124" s="31">
        <v>8</v>
      </c>
      <c r="G124" s="31">
        <v>7</v>
      </c>
      <c r="H124" s="31">
        <v>2</v>
      </c>
      <c r="I124" s="31">
        <v>1</v>
      </c>
      <c r="J124" s="31">
        <v>9</v>
      </c>
      <c r="K124" s="31">
        <v>512</v>
      </c>
      <c r="L124" s="32">
        <f t="shared" si="5"/>
        <v>550</v>
      </c>
    </row>
    <row r="125" spans="1:12" s="20" customFormat="1">
      <c r="A125" s="42" t="s">
        <v>105</v>
      </c>
      <c r="B125" s="46">
        <f>SUM(B47:B93)+SUM(B95:B124)</f>
        <v>19549</v>
      </c>
      <c r="C125" s="46">
        <f>SUM(C47:C93)+SUM(C95:C124)</f>
        <v>20033</v>
      </c>
      <c r="D125" s="46">
        <f t="shared" ref="D125:L125" si="6">SUM(D47:D93)+SUM(D95:D124)</f>
        <v>12107</v>
      </c>
      <c r="E125" s="46">
        <f t="shared" si="6"/>
        <v>547</v>
      </c>
      <c r="F125" s="46">
        <f t="shared" si="6"/>
        <v>1582</v>
      </c>
      <c r="G125" s="46">
        <f t="shared" si="6"/>
        <v>1060</v>
      </c>
      <c r="H125" s="46">
        <f t="shared" si="6"/>
        <v>509</v>
      </c>
      <c r="I125" s="46">
        <f t="shared" si="6"/>
        <v>930</v>
      </c>
      <c r="J125" s="46">
        <f t="shared" si="6"/>
        <v>7479</v>
      </c>
      <c r="K125" s="46">
        <f t="shared" si="6"/>
        <v>61494</v>
      </c>
      <c r="L125" s="46">
        <f t="shared" si="6"/>
        <v>73601</v>
      </c>
    </row>
    <row r="126" spans="1:12" s="20" customFormat="1">
      <c r="A126" s="34" t="str">
        <f t="shared" ref="A126:L126" si="7">A43</f>
        <v>District Total</v>
      </c>
      <c r="B126" s="34">
        <f t="shared" si="7"/>
        <v>260703</v>
      </c>
      <c r="C126" s="34">
        <f t="shared" si="7"/>
        <v>275410</v>
      </c>
      <c r="D126" s="33">
        <f>D43</f>
        <v>119813</v>
      </c>
      <c r="E126" s="34">
        <f>E43</f>
        <v>4083</v>
      </c>
      <c r="F126" s="34">
        <f t="shared" si="7"/>
        <v>9740</v>
      </c>
      <c r="G126" s="34">
        <f t="shared" si="7"/>
        <v>7758</v>
      </c>
      <c r="H126" s="34">
        <f t="shared" si="7"/>
        <v>7322</v>
      </c>
      <c r="I126" s="34">
        <f t="shared" si="7"/>
        <v>8545</v>
      </c>
      <c r="J126" s="34">
        <f>J43</f>
        <v>82365</v>
      </c>
      <c r="K126" s="34">
        <f>K43</f>
        <v>416300</v>
      </c>
      <c r="L126" s="34">
        <f t="shared" si="7"/>
        <v>536113</v>
      </c>
    </row>
    <row r="127" spans="1:12" s="37" customFormat="1" ht="12.75" thickBot="1">
      <c r="A127" s="43" t="s">
        <v>106</v>
      </c>
      <c r="B127" s="38">
        <f t="shared" ref="B127:L127" si="8">SUM(B125:B126)</f>
        <v>280252</v>
      </c>
      <c r="C127" s="35">
        <f t="shared" si="8"/>
        <v>295443</v>
      </c>
      <c r="D127" s="35">
        <f>SUM(D125:D126)</f>
        <v>131920</v>
      </c>
      <c r="E127" s="35">
        <f>SUM(E125:E126)</f>
        <v>4630</v>
      </c>
      <c r="F127" s="35">
        <f t="shared" si="8"/>
        <v>11322</v>
      </c>
      <c r="G127" s="35">
        <f t="shared" si="8"/>
        <v>8818</v>
      </c>
      <c r="H127" s="35">
        <f>SUM(H125:H126)</f>
        <v>7831</v>
      </c>
      <c r="I127" s="35">
        <f t="shared" si="8"/>
        <v>9475</v>
      </c>
      <c r="J127" s="35">
        <f>SUM(J125:J126)</f>
        <v>89844</v>
      </c>
      <c r="K127" s="35">
        <f>SUM(K125:K126)</f>
        <v>477794</v>
      </c>
      <c r="L127" s="36">
        <f t="shared" si="8"/>
        <v>609714</v>
      </c>
    </row>
    <row r="128" spans="1:12" ht="5.0999999999999996" customHeight="1" thickTop="1" thickBot="1">
      <c r="A128" s="21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3"/>
    </row>
  </sheetData>
  <pageMargins left="0.68" right="0.25" top="1.06" bottom="0.75" header="0.63" footer="0.3"/>
  <pageSetup scale="87" orientation="landscape" r:id="rId1"/>
  <headerFooter>
    <oddHeader>&amp;C&amp;"Arial,Bold"&amp;10Fall Enrollment by Race/Ethnicity and Gender
2010-2011 School Year</oddHeader>
    <oddFooter xml:space="preserve">&amp;L&amp;8Compiler: USOE/Data and Statistics
Source: October 2010 Clearinghouse
</oddFooter>
  </headerFooter>
  <rowBreaks count="2" manualBreakCount="2">
    <brk id="44" max="16383" man="1"/>
    <brk id="93" max="16383" man="1"/>
  </rowBreaks>
  <ignoredErrors>
    <ignoredError sqref="D2:D42 D95:D124 D81:D93 D47:D80 D44:D46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by Race Ethnicity and Gender</vt:lpstr>
    </vt:vector>
  </TitlesOfParts>
  <Company>USOE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vparriott</dc:creator>
  <cp:lastModifiedBy>Windows User</cp:lastModifiedBy>
  <cp:lastPrinted>2010-12-21T22:35:12Z</cp:lastPrinted>
  <dcterms:created xsi:type="dcterms:W3CDTF">2010-11-12T20:09:23Z</dcterms:created>
  <dcterms:modified xsi:type="dcterms:W3CDTF">2011-02-24T16:55:28Z</dcterms:modified>
</cp:coreProperties>
</file>