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Balance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Col1" localSheetId="0">#REF!</definedName>
    <definedName name="_Col1">#REF!</definedName>
    <definedName name="_Col2" localSheetId="0">#REF!</definedName>
    <definedName name="_Col2">#REF!</definedName>
    <definedName name="A" localSheetId="0">#REF!</definedName>
    <definedName name="A">#REF!</definedName>
    <definedName name="ActualRevenueUSDMTD">2</definedName>
    <definedName name="ActualRevenueUSDQTD">5</definedName>
    <definedName name="ActualRevenueUSDYTD">8</definedName>
    <definedName name="Adj" localSheetId="0">'[2]Revsum - trend'!#REF!</definedName>
    <definedName name="Adj">'[2]Revsum - trend'!#REF!</definedName>
    <definedName name="Adjustments" localSheetId="0">'[2]Revsum - trend'!#REF!</definedName>
    <definedName name="Adjustments">'[2]Revsum - trend'!#REF!</definedName>
    <definedName name="AdjustmentsQ" localSheetId="0">#REF!</definedName>
    <definedName name="AdjustmentsQ">#REF!</definedName>
    <definedName name="Area" localSheetId="0">'[2]Revsum - trend'!#REF!</definedName>
    <definedName name="Area">'[2]Revsum - trend'!#REF!</definedName>
    <definedName name="AreaQ" localSheetId="0">#REF!</definedName>
    <definedName name="AreaQ">#REF!</definedName>
    <definedName name="AS2DocOpenMode" hidden="1">"AS2DocumentEdit"</definedName>
    <definedName name="AuditLI" localSheetId="0">#REF!</definedName>
    <definedName name="AuditLI">#REF!</definedName>
    <definedName name="AuditSP" localSheetId="0">#REF!</definedName>
    <definedName name="AuditSP">#REF!</definedName>
    <definedName name="BAKER" localSheetId="0">'[3]May 96'!#REF!</definedName>
    <definedName name="BAKER">'[3]May 96'!#REF!</definedName>
    <definedName name="BAL" localSheetId="0">'[3]May 96'!#REF!</definedName>
    <definedName name="BAL">'[3]May 96'!#REF!</definedName>
    <definedName name="BalSheet" hidden="1">{"closed",#N/A,FALSE,"Consolidated Products - Budget";"expanded",#N/A,FALSE,"Consolidated Products - Budget"}</definedName>
    <definedName name="BS" hidden="1">{"closed",#N/A,FALSE,"Consolidated Products - Budget";"expanded",#N/A,FALSE,"Consolidated Products - Budget"}</definedName>
    <definedName name="BudgetRevenueUSDMTD">3</definedName>
    <definedName name="BudgetRevenueUSDQTD">6</definedName>
    <definedName name="BudgetRevenueUSDYTD">9</definedName>
    <definedName name="BusinessName" localSheetId="0">'[2]Revsum - trend'!#REF!</definedName>
    <definedName name="BusinessName">'[2]Revsum - trend'!#REF!</definedName>
    <definedName name="BusinessNameQ" localSheetId="0">#REF!</definedName>
    <definedName name="BusinessNameQ">#REF!</definedName>
    <definedName name="BusinessSummaryName" localSheetId="0">'[2]Revsum - trend'!#REF!</definedName>
    <definedName name="BusinessSummaryName">'[2]Revsum - trend'!#REF!</definedName>
    <definedName name="BusinessSummaryNameQ" localSheetId="0">#REF!</definedName>
    <definedName name="BusinessSummaryNameQ">#REF!</definedName>
    <definedName name="BusSysEA" localSheetId="0">MATCH("Business Systems Enterprise Agreements", 'Balance Sheet'!Categories,0)</definedName>
    <definedName name="BusSysEA">MATCH("Business Systems Enterprise Agreements", Categories,0)</definedName>
    <definedName name="BusSysEALookup" localSheetId="0">OFFSET('[2]Revsum - trend'!#REF!,'Balance Sheet'!BusSysEA,1,'Balance Sheet'!BusSysEATotal-'Balance Sheet'!BusSysEA,1)</definedName>
    <definedName name="BusSysEALookup">OFFSET('[2]Revsum - trend'!#REF!,BusSysEA,1,BusSysEATotal-BusSysEA,1)</definedName>
    <definedName name="BusSysEATotal" localSheetId="0">MATCH("Business Systems Enterprise Agreements *", 'Balance Sheet'!Categories,0)</definedName>
    <definedName name="BusSysEATotal">MATCH("Business Systems Enterprise Agreements *", Categories,0)</definedName>
    <definedName name="carter" localSheetId="0">'[3]May 96'!#REF!</definedName>
    <definedName name="carter">'[3]May 96'!#REF!</definedName>
    <definedName name="Cash" hidden="1">{"closed",#N/A,FALSE,"Consolidated Products - Budget";"expanded",#N/A,FALSE,"Consolidated Products - Budget"}</definedName>
    <definedName name="Categories" localSheetId="0">'[2]Revsum - trend'!#REF!</definedName>
    <definedName name="Categories">'[2]Revsum - trend'!#REF!</definedName>
    <definedName name="Channel" localSheetId="0">'[2]Revsum - trend'!#REF!</definedName>
    <definedName name="Channel">'[2]Revsum - trend'!#REF!</definedName>
    <definedName name="ChannelAggregate" localSheetId="0">'[2]Revsum - trend'!#REF!</definedName>
    <definedName name="ChannelAggregate">'[2]Revsum - trend'!#REF!</definedName>
    <definedName name="ChannelAggregateQ" localSheetId="0">#REF!</definedName>
    <definedName name="ChannelAggregateQ">#REF!</definedName>
    <definedName name="ChannelQ" localSheetId="0">#REF!</definedName>
    <definedName name="ChannelQ">#REF!</definedName>
    <definedName name="Columns" localSheetId="0">'[4]Data Sheet'!$F$1:$F$65536,'[4]Data Sheet'!$H$1:$H$65536,'[4]Data Sheet'!$J$1:$J$65536,'[4]Data Sheet'!$L$1:$L$65536,'[4]Data Sheet'!#REF!,'[4]Data Sheet'!#REF!,'[4]Data Sheet'!#REF!,'[4]Data Sheet'!#REF!,'[4]Data Sheet'!#REF!,'[4]Data Sheet'!#REF!,'[4]Data Sheet'!#REF!,'[4]Data Sheet'!#REF!,'[4]Data Sheet'!#REF!,'[4]Data Sheet'!#REF!,'[4]Data Sheet'!#REF!,'[4]Data Sheet'!$N$1:$N$65536,'[4]Data Sheet'!$P$1:$P$65536,'[4]Data Sheet'!$R$1:$R$65536,'[4]Data Sheet'!$T$1:$T$65536,'[4]Data Sheet'!$V$1:$V$65536,'[4]Data Sheet'!$X$1:$X$65536,'[4]Data Sheet'!$Z$1:$Z$65536,'[4]Data Sheet'!$AB$1:$AB$65536,'[4]Data Sheet'!$AD$1:$AD$65536,'[4]Data Sheet'!$AF$1:$AF$65536,'[4]Data Sheet'!$AH$1:$AH$65536,'[4]Data Sheet'!$AJ$1:$AJ$65536,'[4]Data Sheet'!$AJ$1:$AJ$65536</definedName>
    <definedName name="Columns">'[4]Data Sheet'!$F$1:$F$65536,'[4]Data Sheet'!$H$1:$H$65536,'[4]Data Sheet'!$J$1:$J$65536,'[4]Data Sheet'!$L$1:$L$65536,'[4]Data Sheet'!#REF!,'[4]Data Sheet'!#REF!,'[4]Data Sheet'!#REF!,'[4]Data Sheet'!#REF!,'[4]Data Sheet'!#REF!,'[4]Data Sheet'!#REF!,'[4]Data Sheet'!#REF!,'[4]Data Sheet'!#REF!,'[4]Data Sheet'!#REF!,'[4]Data Sheet'!#REF!,'[4]Data Sheet'!#REF!,'[4]Data Sheet'!$N$1:$N$65536,'[4]Data Sheet'!$P$1:$P$65536,'[4]Data Sheet'!$R$1:$R$65536,'[4]Data Sheet'!$T$1:$T$65536,'[4]Data Sheet'!$V$1:$V$65536,'[4]Data Sheet'!$X$1:$X$65536,'[4]Data Sheet'!$Z$1:$Z$65536,'[4]Data Sheet'!$AB$1:$AB$65536,'[4]Data Sheet'!$AD$1:$AD$65536,'[4]Data Sheet'!$AF$1:$AF$65536,'[4]Data Sheet'!$AH$1:$AH$65536,'[4]Data Sheet'!$AJ$1:$AJ$65536,'[4]Data Sheet'!$AJ$1:$AJ$65536</definedName>
    <definedName name="ConstantDollars" localSheetId="0">'[2]Revsum - trend'!#REF!</definedName>
    <definedName name="ConstantDollars">'[2]Revsum - trend'!#REF!</definedName>
    <definedName name="CurrencyType" localSheetId="0">'[2]Revsum - trend'!#REF!</definedName>
    <definedName name="CurrencyType">'[2]Revsum - trend'!#REF!</definedName>
    <definedName name="Divisions" localSheetId="0">OFFSET('Balance Sheet'!Categories,0,-1)</definedName>
    <definedName name="Divisions">OFFSET([0]!Categories,0,-1)</definedName>
    <definedName name="FiscalPeriod" localSheetId="0">'[2]Revsum - trend'!#REF!</definedName>
    <definedName name="FiscalPeriod">'[2]Revsum - trend'!#REF!</definedName>
    <definedName name="FXVarianceMTD">4</definedName>
    <definedName name="FXVarianceQTD">7</definedName>
    <definedName name="FXVarianceYTD">10</definedName>
    <definedName name="FY00OthAvg" localSheetId="0">#REF!</definedName>
    <definedName name="FY00OthAvg">#REF!</definedName>
    <definedName name="FY00RegAvg" localSheetId="0">#REF!</definedName>
    <definedName name="FY00RegAvg">#REF!</definedName>
    <definedName name="FY01OthAvg" localSheetId="0">#REF!</definedName>
    <definedName name="FY01OthAvg">#REF!</definedName>
    <definedName name="FY01RegAvg" localSheetId="0">#REF!</definedName>
    <definedName name="FY01RegAvg">#REF!</definedName>
    <definedName name="gaudette" localSheetId="0">'[3]May 96'!#REF!</definedName>
    <definedName name="gaudette">'[3]May 96'!#REF!</definedName>
    <definedName name="Greetings" localSheetId="0">MATCH("Grtgs WS, PictureIt, Other DAD", 'Balance Sheet'!Categories,0)</definedName>
    <definedName name="Greetings">MATCH("Grtgs WS, PictureIt, Other DAD", Categories,0)</definedName>
    <definedName name="GreetingsLookup" localSheetId="0">OFFSET('[2]Revsum - trend'!#REF!,'Balance Sheet'!Greetings,1,'Balance Sheet'!GreetingsTotal-'Balance Sheet'!Greetings,1)</definedName>
    <definedName name="GreetingsLookup">OFFSET('[2]Revsum - trend'!#REF!,Greetings,1,GreetingsTotal-Greetings,1)</definedName>
    <definedName name="GreetingsTotal" localSheetId="0">MATCH("Grtgs WS, PictureIt, Other DAD *", 'Balance Sheet'!Categories,0)</definedName>
    <definedName name="GreetingsTotal">MATCH("Grtgs WS, PictureIt, Other DAD *", Categories,0)</definedName>
    <definedName name="hansen" localSheetId="0">'[3]May 96'!#REF!</definedName>
    <definedName name="hansen">'[3]May 96'!#REF!</definedName>
    <definedName name="hanson" localSheetId="0">'[3]May 96'!#REF!</definedName>
    <definedName name="hanson">'[3]May 96'!#REF!</definedName>
    <definedName name="heading" localSheetId="0">#REF!</definedName>
    <definedName name="heading">#REF!</definedName>
    <definedName name="INTEREST" localSheetId="0">'[3]May 96'!#REF!</definedName>
    <definedName name="INTEREST">'[3]May 96'!#REF!</definedName>
    <definedName name="JAW" localSheetId="0">'[3]May 96'!#REF!</definedName>
    <definedName name="JAW">'[3]May 96'!#REF!</definedName>
    <definedName name="JAWORSKI" localSheetId="0">'[3]May 96'!#REF!</definedName>
    <definedName name="JAWORSKI">'[3]May 96'!#REF!</definedName>
    <definedName name="JustifyColumn" localSheetId="0">'[4]Data Sheet'!#REF!</definedName>
    <definedName name="JustifyColumn">'[4]Data Sheet'!#REF!</definedName>
    <definedName name="LastPivotRow">COUNTA([0]!SalesLocations)+ROW([0]!PTtop)-1</definedName>
    <definedName name="LI" localSheetId="0">#REF!</definedName>
    <definedName name="LI">#REF!</definedName>
    <definedName name="LOAN" localSheetId="0">'[3]May 96'!#REF!</definedName>
    <definedName name="LOAN">'[3]May 96'!#REF!</definedName>
    <definedName name="LOAN.DAN" localSheetId="0">'[3]May 96'!#REF!</definedName>
    <definedName name="LOAN.DAN">'[3]May 96'!#REF!</definedName>
    <definedName name="LOAN.FRANK" localSheetId="0">'[3]May 96'!#REF!</definedName>
    <definedName name="LOAN.FRANK">'[3]May 96'!#REF!</definedName>
    <definedName name="LOAN.HANSEN" localSheetId="0">'[3]May 96'!#REF!</definedName>
    <definedName name="LOAN.HANSEN">'[3]May 96'!#REF!</definedName>
    <definedName name="LOAN.HANSON" localSheetId="0">'[3]May 96'!#REF!</definedName>
    <definedName name="LOAN.HANSON">'[3]May 96'!#REF!</definedName>
    <definedName name="macintosh" localSheetId="0">'[3]May 96'!#REF!</definedName>
    <definedName name="macintosh">'[3]May 96'!#REF!</definedName>
    <definedName name="MBV" hidden="1">{"closed",#N/A,FALSE,"Consolidated Products - Budget";"expanded",#N/A,FALSE,"Consolidated Products - Budget"}</definedName>
    <definedName name="MITCHELL" localSheetId="0">'[3]May 96'!#REF!</definedName>
    <definedName name="MITCHELL">'[3]May 96'!#REF!</definedName>
    <definedName name="mntrange" localSheetId="0">'[2]Revsum - trend'!#REF!</definedName>
    <definedName name="mntrange">'[2]Revsum - trend'!#REF!</definedName>
    <definedName name="Months">{"January","February","March","April","May","June","July","August","September","October","November","December"}</definedName>
    <definedName name="MSBudgetAdjAmount">14</definedName>
    <definedName name="MSBudgetAmount">1</definedName>
    <definedName name="MSBudgetLicenses">7</definedName>
    <definedName name="MSSalesAdjAmount">4</definedName>
    <definedName name="MSSalesAmount">0</definedName>
    <definedName name="MSSalesLicenses">9</definedName>
    <definedName name="MSSalesScndryLicenses">10</definedName>
    <definedName name="MYHRVOLD" localSheetId="0">'[3]May 96'!#REF!</definedName>
    <definedName name="MYHRVOLD">'[3]May 96'!#REF!</definedName>
    <definedName name="NumPTRows">#N/A</definedName>
    <definedName name="oki" localSheetId="0">'[3]May 96'!#REF!</definedName>
    <definedName name="oki">'[3]May 96'!#REF!</definedName>
    <definedName name="OLDBAL" localSheetId="0">'[3]May 96'!#REF!</definedName>
    <definedName name="OLDBAL">'[3]May 96'!#REF!</definedName>
    <definedName name="PAID.INT" localSheetId="0">'[3]May 96'!#REF!</definedName>
    <definedName name="PAID.INT">'[3]May 96'!#REF!</definedName>
    <definedName name="PAID.PRN" localSheetId="0">'[3]May 96'!#REF!</definedName>
    <definedName name="PAID.PRN">'[3]May 96'!#REF!</definedName>
    <definedName name="PFamily" localSheetId="0">'[2]Revsum - trend'!#REF!</definedName>
    <definedName name="PFamily">'[2]Revsum - trend'!#REF!</definedName>
    <definedName name="Pivot2" hidden="1">{"closed",#N/A,FALSE,"Consolidated Products - Budget";"expanded",#N/A,FALSE,"Consolidated Products - Budget"}</definedName>
    <definedName name="PivotRows" localSheetId="0">COUNT(OFFSET('Balance Sheet'!PivotTop,1,2,250))</definedName>
    <definedName name="PivotRows">COUNT(OFFSET(PivotTop,1,2,250))</definedName>
    <definedName name="PivotTable5.doc" localSheetId="0" hidden="1">#REF!</definedName>
    <definedName name="PivotTable5.doc" hidden="1">#REF!</definedName>
    <definedName name="PivotTable8.doc" localSheetId="0" hidden="1">#REF!</definedName>
    <definedName name="PivotTable8.doc" hidden="1">#REF!</definedName>
    <definedName name="PivotTop" localSheetId="0">'[2]Revsum - trend'!#REF!</definedName>
    <definedName name="PivotTop">'[2]Revsum - trend'!#REF!</definedName>
    <definedName name="_xlnm.Print_Area" localSheetId="0">'Balance Sheet'!$A$1:$O$39</definedName>
    <definedName name="_xlnm.Print_Area">#REF!</definedName>
    <definedName name="_xlnm.Print_Titles" localSheetId="0">'Balance Sheet'!$A:$F</definedName>
    <definedName name="_xlnm.Print_Titles">#REF!,#REF!</definedName>
    <definedName name="Product_Pricing" localSheetId="0">[5]Data!#REF!</definedName>
    <definedName name="Product_Pricing">[5]Data!#REF!</definedName>
    <definedName name="PTtop">[6]BySub!$A$5</definedName>
    <definedName name="RecordType" localSheetId="0">'[2]Revsum - trend'!#REF!</definedName>
    <definedName name="RecordType">'[2]Revsum - trend'!#REF!</definedName>
    <definedName name="RecordTypeQ" localSheetId="0">#REF!</definedName>
    <definedName name="RecordTypeQ">#REF!</definedName>
    <definedName name="Region" localSheetId="0">'[2]Revsum - trend'!#REF!</definedName>
    <definedName name="Region">'[2]Revsum - trend'!#REF!</definedName>
    <definedName name="RegionQ" localSheetId="0">#REF!</definedName>
    <definedName name="RegionQ">#REF!</definedName>
    <definedName name="REMALA" localSheetId="0">'[3]May 96'!#REF!</definedName>
    <definedName name="REMALA">'[3]May 96'!#REF!</definedName>
    <definedName name="ROEMSel" localSheetId="0">#REF!</definedName>
    <definedName name="ROEMSel">#REF!</definedName>
    <definedName name="SalesLocation" localSheetId="0">'[2]Revsum - trend'!#REF!</definedName>
    <definedName name="SalesLocation">'[2]Revsum - trend'!#REF!</definedName>
    <definedName name="SalesLocationQ" localSheetId="0">#REF!</definedName>
    <definedName name="SalesLocationQ">#REF!</definedName>
    <definedName name="SalesLocations">[0]!PTtop:'[6]BySub'!$A$97</definedName>
    <definedName name="SP" localSheetId="0">#REF!</definedName>
    <definedName name="SP">#REF!</definedName>
    <definedName name="SpaceBetweenColumns" localSheetId="0">'[4]Data Sheet'!$G$1:$G$65536,'[4]Data Sheet'!$I$1:$I$65536,'[4]Data Sheet'!$K$1:$K$65536,'[4]Data Sheet'!$M$1:$M$65536,'[4]Data Sheet'!#REF!,'[4]Data Sheet'!#REF!,'[4]Data Sheet'!#REF!,'[4]Data Sheet'!#REF!,'[4]Data Sheet'!#REF!,'[4]Data Sheet'!#REF!,'[4]Data Sheet'!#REF!,'[4]Data Sheet'!#REF!,'[4]Data Sheet'!#REF!,'[4]Data Sheet'!#REF!,'[4]Data Sheet'!#REF!,'[4]Data Sheet'!$O$1:$O$65536,'[4]Data Sheet'!$Q$1:$Q$65536,'[4]Data Sheet'!$S$1:$S$65536,'[4]Data Sheet'!$U$1:$U$65536,'[4]Data Sheet'!$W$1:$W$65536,'[4]Data Sheet'!$Y$1:$Y$65536,'[4]Data Sheet'!$AA$1:$AA$65536,'[4]Data Sheet'!$AC$1:$AC$65536,'[4]Data Sheet'!$AE$1:$AE$65536,'[4]Data Sheet'!$AE$1:$AE$65536,'[4]Data Sheet'!$AE$1:$AE$65536,'[4]Data Sheet'!$AG$1:$AG$65536,'[4]Data Sheet'!$AI$1:$AI$65536</definedName>
    <definedName name="SpaceBetweenColumns">'[4]Data Sheet'!$G$1:$G$65536,'[4]Data Sheet'!$I$1:$I$65536,'[4]Data Sheet'!$K$1:$K$65536,'[4]Data Sheet'!$M$1:$M$65536,'[4]Data Sheet'!#REF!,'[4]Data Sheet'!#REF!,'[4]Data Sheet'!#REF!,'[4]Data Sheet'!#REF!,'[4]Data Sheet'!#REF!,'[4]Data Sheet'!#REF!,'[4]Data Sheet'!#REF!,'[4]Data Sheet'!#REF!,'[4]Data Sheet'!#REF!,'[4]Data Sheet'!#REF!,'[4]Data Sheet'!#REF!,'[4]Data Sheet'!$O$1:$O$65536,'[4]Data Sheet'!$Q$1:$Q$65536,'[4]Data Sheet'!$S$1:$S$65536,'[4]Data Sheet'!$U$1:$U$65536,'[4]Data Sheet'!$W$1:$W$65536,'[4]Data Sheet'!$Y$1:$Y$65536,'[4]Data Sheet'!$AA$1:$AA$65536,'[4]Data Sheet'!$AC$1:$AC$65536,'[4]Data Sheet'!$AE$1:$AE$65536,'[4]Data Sheet'!$AE$1:$AE$65536,'[4]Data Sheet'!$AE$1:$AE$65536,'[4]Data Sheet'!$AG$1:$AG$65536,'[4]Data Sheet'!$AI$1:$AI$65536</definedName>
    <definedName name="StandAlone">"$B$12"</definedName>
    <definedName name="StandAloneStandard" localSheetId="0">MATCH("Standalone office apps - standard", 'Balance Sheet'!Categories,0)</definedName>
    <definedName name="StandAloneStandard">MATCH("Standalone office apps - standard", Categories,0)</definedName>
    <definedName name="StandAloneStandardLookup" localSheetId="0">OFFSET('[2]Revsum - trend'!#REF!,'Balance Sheet'!StandAloneStandard,1,'Balance Sheet'!StandAloneStandardTotal-'Balance Sheet'!StandAloneStandard,1)</definedName>
    <definedName name="StandAloneStandardLookup">OFFSET('[2]Revsum - trend'!#REF!,StandAloneStandard,1,StandAloneStandardTotal-StandAloneStandard,1)</definedName>
    <definedName name="StandAloneStandardTotal" localSheetId="0">MATCH("Standalone Office Apps - Standard?*", 'Balance Sheet'!Categories,0)</definedName>
    <definedName name="StandAloneStandardTotal">MATCH("Standalone Office Apps - Standard?*", Categories,0)</definedName>
    <definedName name="StandAloneUpgrade" localSheetId="0">MATCH("Standalone office apps - upgrade", 'Balance Sheet'!Categories,0)</definedName>
    <definedName name="StandAloneUpgrade">MATCH("Standalone office apps - upgrade", Categories,0)</definedName>
    <definedName name="StandAloneUpgradeLookup" localSheetId="0">OFFSET('[2]Revsum - trend'!#REF!,'Balance Sheet'!StandAloneUpgrade,1,'Balance Sheet'!StandAloneUpgradeTotal-'Balance Sheet'!StandAloneUpgrade,1)</definedName>
    <definedName name="StandAloneUpgradeLookup">OFFSET('[2]Revsum - trend'!#REF!,StandAloneUpgrade,1,StandAloneUpgradeTotal-StandAloneUpgrade,1)</definedName>
    <definedName name="StandAloneUpgradeTotal" localSheetId="0">MATCH("Standalone Office Apps - Upgrade?*", 'Balance Sheet'!Categories,0)</definedName>
    <definedName name="StandAloneUpgradeTotal">MATCH("Standalone Office Apps - Upgrade?*", Categories,0)</definedName>
    <definedName name="Subregion" localSheetId="0">'[2]Revsum - trend'!#REF!</definedName>
    <definedName name="Subregion">'[2]Revsum - trend'!#REF!</definedName>
    <definedName name="SubregionQ" localSheetId="0">#REF!</definedName>
    <definedName name="SubregionQ">#REF!</definedName>
    <definedName name="SumCur">'[7]Query Criteria'!$B$24</definedName>
    <definedName name="summary" hidden="1">{"closed",#N/A,FALSE,"Consolidated Products - Budget";"expanded",#N/A,FALSE,"Consolidated Products - Budget"}</definedName>
    <definedName name="Trend" localSheetId="0">'[2]Revsum - trend'!#REF!</definedName>
    <definedName name="Trend">'[2]Revsum - trend'!#REF!</definedName>
    <definedName name="TrendKind" localSheetId="0">'[2]Revsum - trend'!#REF!</definedName>
    <definedName name="TrendKind">'[2]Revsum - trend'!#REF!</definedName>
    <definedName name="verba" localSheetId="0">'[3]May 96'!#REF!</definedName>
    <definedName name="verba">'[3]May 96'!#REF!</definedName>
    <definedName name="View" localSheetId="0">'[2]Revsum - trend'!#REF!</definedName>
    <definedName name="View">'[2]Revsum - trend'!#REF!</definedName>
    <definedName name="WALTON" localSheetId="0">'[3]May 96'!#REF!</definedName>
    <definedName name="WALTON">'[3]May 96'!#REF!</definedName>
    <definedName name="wrn.prodcon." hidden="1">{"closed",#N/A,FALSE,"Consolidated Products - Budget";"expanded",#N/A,FALSE,"Consolidated Products - Budget"}</definedName>
    <definedName name="XRefCopy1" localSheetId="0" hidden="1">#REF!</definedName>
    <definedName name="XRefCopy1" hidden="1">#REF!</definedName>
    <definedName name="XRefCopy2" localSheetId="0" hidden="1">#REF!</definedName>
    <definedName name="XRefCopy2" hidden="1">#REF!</definedName>
    <definedName name="XRefCopyRangeCount" hidden="1">2</definedName>
  </definedNames>
  <calcPr calcId="125725" fullCalcOnLoad="1"/>
</workbook>
</file>

<file path=xl/calcChain.xml><?xml version="1.0" encoding="utf-8"?>
<calcChain xmlns="http://schemas.openxmlformats.org/spreadsheetml/2006/main">
  <c r="G15" i="1"/>
  <c r="H15"/>
  <c r="H19" s="1"/>
  <c r="I15"/>
  <c r="J15"/>
  <c r="J19" s="1"/>
  <c r="K15"/>
  <c r="L15"/>
  <c r="L19" s="1"/>
  <c r="M15"/>
  <c r="N15"/>
  <c r="N19" s="1"/>
  <c r="O15"/>
  <c r="G19"/>
  <c r="I19"/>
  <c r="K19"/>
  <c r="M19"/>
  <c r="O19"/>
  <c r="G26"/>
  <c r="H26"/>
  <c r="H31" s="1"/>
  <c r="H38" s="1"/>
  <c r="I26"/>
  <c r="J26"/>
  <c r="J31" s="1"/>
  <c r="J38" s="1"/>
  <c r="K26"/>
  <c r="L26"/>
  <c r="L31" s="1"/>
  <c r="L38" s="1"/>
  <c r="M26"/>
  <c r="N26"/>
  <c r="N31" s="1"/>
  <c r="N38" s="1"/>
  <c r="O26"/>
  <c r="G31"/>
  <c r="I31"/>
  <c r="K31"/>
  <c r="M31"/>
  <c r="O31"/>
  <c r="G37"/>
  <c r="H37"/>
  <c r="I37"/>
  <c r="J37"/>
  <c r="K37"/>
  <c r="L37"/>
  <c r="M37"/>
  <c r="N37"/>
  <c r="O37"/>
  <c r="G38"/>
  <c r="I38"/>
  <c r="K38"/>
  <c r="M38"/>
  <c r="O38"/>
</calcChain>
</file>

<file path=xl/sharedStrings.xml><?xml version="1.0" encoding="utf-8"?>
<sst xmlns="http://schemas.openxmlformats.org/spreadsheetml/2006/main" count="47" uniqueCount="41">
  <si>
    <t>Total liabilities and stockholders' equity</t>
  </si>
  <si>
    <t>Total stockholders' equity</t>
  </si>
  <si>
    <t>Retained earnings</t>
  </si>
  <si>
    <t>Accumulated other comprehensive income</t>
  </si>
  <si>
    <t>Additional paid-in capital</t>
  </si>
  <si>
    <t>Common stock</t>
  </si>
  <si>
    <t>Stockholders' equity:</t>
  </si>
  <si>
    <t>Total liabilities</t>
  </si>
  <si>
    <t>Other non-current liabilities</t>
  </si>
  <si>
    <t>Non-current content liabilities</t>
  </si>
  <si>
    <t>Long-term debt due to related party</t>
  </si>
  <si>
    <t>Long-term debt</t>
  </si>
  <si>
    <t>Total current liabilities</t>
  </si>
  <si>
    <t>Deferred revenue</t>
  </si>
  <si>
    <t>Accrued expenses</t>
  </si>
  <si>
    <t>Accounts payable</t>
  </si>
  <si>
    <t>Content liabilities</t>
  </si>
  <si>
    <t>Current liabilities:</t>
  </si>
  <si>
    <t>Liabilities and Stockholders' Equity</t>
  </si>
  <si>
    <t>Total assets</t>
  </si>
  <si>
    <t>Other non-current assets</t>
  </si>
  <si>
    <t>Property and equipment, net</t>
  </si>
  <si>
    <t>Non-current content library, net</t>
  </si>
  <si>
    <t>Total current assets</t>
  </si>
  <si>
    <t>Other current assets</t>
  </si>
  <si>
    <t>Prepaid content</t>
  </si>
  <si>
    <t>Current content library, net</t>
  </si>
  <si>
    <t>Short-term investments</t>
  </si>
  <si>
    <t>Cash and cash equivalents</t>
  </si>
  <si>
    <t>Current assets:</t>
  </si>
  <si>
    <t>Assets</t>
  </si>
  <si>
    <t>March 31,</t>
  </si>
  <si>
    <t>December 31,</t>
  </si>
  <si>
    <t xml:space="preserve">September 30, </t>
  </si>
  <si>
    <t xml:space="preserve">June 30, </t>
  </si>
  <si>
    <t>September 30,</t>
  </si>
  <si>
    <t>As of</t>
  </si>
  <si>
    <t>(in thousands)</t>
  </si>
  <si>
    <t>(unaudited)</t>
  </si>
  <si>
    <t>Consolidated Balance Sheets</t>
  </si>
  <si>
    <t>Netflix, Inc.</t>
  </si>
</sst>
</file>

<file path=xl/styles.xml><?xml version="1.0" encoding="utf-8"?>
<styleSheet xmlns="http://schemas.openxmlformats.org/spreadsheetml/2006/main">
  <numFmts count="3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* #,###\ ;&quot;$&quot;* \(#,###\);&quot;$&quot;* \-\ "/>
    <numFmt numFmtId="165" formatCode="_([$€-2]* #,##0.00_);_([$€-2]* \(#,##0.00\);_([$€-2]* &quot;-&quot;??_)"/>
    <numFmt numFmtId="166" formatCode="_(* #,##0_);_(* \(#,##0\);_(* &quot;-&quot;??_);_(@_)"/>
    <numFmt numFmtId="167" formatCode="#,##0.0\ ;\(#,##0.0\)"/>
    <numFmt numFmtId="168" formatCode="* #,##0.00_);\(#,##0.00\)"/>
    <numFmt numFmtId="169" formatCode="&quot;$&quot;#,##0;\-&quot;$&quot;#,##0"/>
    <numFmt numFmtId="170" formatCode="#,##0;\-#,##0;&quot;-&quot;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\ ;\(#,##0.0\)"/>
    <numFmt numFmtId="177" formatCode="#,##0.00;\-#,##0.00;&quot;-&quot;"/>
    <numFmt numFmtId="178" formatCode="_._.* \(#,##0\)_%;_._.* #,##0_)_%;_._.* 0_)_%;_._.@_)_%"/>
    <numFmt numFmtId="179" formatCode="_._.&quot;$&quot;* \(#,##0\)_%;_._.&quot;$&quot;* #,##0_)_%;_._.&quot;$&quot;* 0_)_%;_._.@_)_%"/>
    <numFmt numFmtId="180" formatCode="&quot;$&quot;0.00_)"/>
    <numFmt numFmtId="181" formatCode="&quot;SFr.&quot;\ #,##0.00;&quot;SFr.&quot;\ \-#,##0.00"/>
    <numFmt numFmtId="182" formatCode="#,##0;\(#,##0\)"/>
    <numFmt numFmtId="183" formatCode="&quot;$&quot;#,##0;[Red]\-&quot;$&quot;#,##0"/>
    <numFmt numFmtId="184" formatCode="&quot;$&quot;#,##0.00;[Red]\-&quot;$&quot;#,##0.00"/>
    <numFmt numFmtId="185" formatCode="#,##0.0_);\(#,##0.0\)"/>
    <numFmt numFmtId="186" formatCode="0%;\(0%\)"/>
    <numFmt numFmtId="187" formatCode="#,##0;[Red]\(#,##0\)"/>
    <numFmt numFmtId="188" formatCode="#,##0___);\(#,##0.00\)"/>
    <numFmt numFmtId="189" formatCode="#,##0&quot;%&quot;"/>
    <numFmt numFmtId="190" formatCode="#,##0_);[Red]\(#,##0\);&quot;-&quot;"/>
    <numFmt numFmtId="191" formatCode="*-"/>
    <numFmt numFmtId="192" formatCode="_-&quot;$&quot;* #,##0_-;\-&quot;$&quot;* #,##0_-;_-&quot;$&quot;* &quot;-&quot;_-;_-@_-"/>
    <numFmt numFmtId="193" formatCode="_-&quot;$&quot;* #,##0.00_-;\-&quot;$&quot;* #,##0.00_-;_-&quot;$&quot;* &quot;-&quot;??_-;_-@_-"/>
  </numFmts>
  <fonts count="33">
    <font>
      <sz val="10"/>
      <name val="Arial"/>
    </font>
    <font>
      <sz val="10"/>
      <name val="Calibri"/>
      <family val="2"/>
      <scheme val="minor"/>
    </font>
    <font>
      <sz val="10"/>
      <name val="Helv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4"/>
      <name val="Arial"/>
      <family val="2"/>
    </font>
    <font>
      <sz val="10"/>
      <name val="Tms Rmn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2" fillId="0" borderId="0"/>
    <xf numFmtId="168" fontId="9" fillId="0" borderId="0">
      <alignment horizontal="center"/>
    </xf>
    <xf numFmtId="37" fontId="10" fillId="0" borderId="0"/>
    <xf numFmtId="37" fontId="11" fillId="0" borderId="0"/>
    <xf numFmtId="169" fontId="12" fillId="0" borderId="3" applyAlignment="0" applyProtection="0"/>
    <xf numFmtId="170" fontId="13" fillId="0" borderId="0" applyFill="0" applyBorder="0" applyAlignment="0"/>
    <xf numFmtId="171" fontId="4" fillId="0" borderId="0" applyFill="0" applyBorder="0" applyAlignment="0"/>
    <xf numFmtId="172" fontId="4" fillId="0" borderId="0" applyFill="0" applyBorder="0" applyAlignment="0"/>
    <xf numFmtId="173" fontId="4" fillId="0" borderId="0" applyFill="0" applyBorder="0" applyAlignment="0"/>
    <xf numFmtId="174" fontId="4" fillId="0" borderId="0" applyFill="0" applyBorder="0" applyAlignment="0"/>
    <xf numFmtId="170" fontId="13" fillId="0" borderId="0" applyFill="0" applyBorder="0" applyAlignment="0"/>
    <xf numFmtId="175" fontId="4" fillId="0" borderId="0" applyFill="0" applyBorder="0" applyAlignment="0"/>
    <xf numFmtId="171" fontId="4" fillId="0" borderId="0" applyFill="0" applyBorder="0" applyAlignment="0"/>
    <xf numFmtId="0" fontId="14" fillId="0" borderId="0" applyFill="0" applyBorder="0" applyProtection="0">
      <alignment horizontal="center"/>
      <protection locked="0"/>
    </xf>
    <xf numFmtId="0" fontId="2" fillId="0" borderId="0"/>
    <xf numFmtId="176" fontId="2" fillId="0" borderId="2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Fill="0" applyBorder="0" applyAlignment="0" applyProtection="0">
      <protection locked="0"/>
    </xf>
    <xf numFmtId="177" fontId="4" fillId="0" borderId="0">
      <alignment horizontal="center"/>
    </xf>
    <xf numFmtId="178" fontId="17" fillId="0" borderId="0" applyFill="0" applyBorder="0" applyProtection="0"/>
    <xf numFmtId="179" fontId="18" fillId="0" borderId="0" applyFont="0" applyFill="0" applyBorder="0" applyAlignment="0" applyProtection="0"/>
    <xf numFmtId="180" fontId="19" fillId="0" borderId="4">
      <protection hidden="1"/>
    </xf>
    <xf numFmtId="17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" fontId="9" fillId="0" borderId="0"/>
    <xf numFmtId="14" fontId="20" fillId="0" borderId="0">
      <alignment horizontal="center"/>
    </xf>
    <xf numFmtId="14" fontId="13" fillId="0" borderId="0" applyFill="0" applyBorder="0" applyAlignment="0"/>
    <xf numFmtId="15" fontId="21" fillId="4" borderId="0" applyNumberFormat="0" applyFont="0" applyFill="0" applyBorder="0" applyAlignment="0">
      <alignment horizontal="center" wrapText="1"/>
    </xf>
    <xf numFmtId="0" fontId="13" fillId="0" borderId="5" applyNumberFormat="0" applyFill="0" applyBorder="0" applyAlignment="0" applyProtection="0"/>
    <xf numFmtId="181" fontId="2" fillId="0" borderId="0" applyFont="0" applyFill="0" applyBorder="0" applyAlignment="0" applyProtection="0"/>
    <xf numFmtId="182" fontId="18" fillId="0" borderId="0" applyFont="0" applyFill="0" applyBorder="0" applyAlignment="0" applyProtection="0"/>
    <xf numFmtId="170" fontId="22" fillId="0" borderId="0" applyFill="0" applyBorder="0" applyAlignment="0"/>
    <xf numFmtId="171" fontId="4" fillId="0" borderId="0" applyFill="0" applyBorder="0" applyAlignment="0"/>
    <xf numFmtId="170" fontId="22" fillId="0" borderId="0" applyFill="0" applyBorder="0" applyAlignment="0"/>
    <xf numFmtId="175" fontId="4" fillId="0" borderId="0" applyFill="0" applyBorder="0" applyAlignment="0"/>
    <xf numFmtId="171" fontId="4" fillId="0" borderId="0" applyFill="0" applyBorder="0" applyAlignment="0"/>
    <xf numFmtId="180" fontId="19" fillId="0" borderId="4">
      <protection hidden="1"/>
    </xf>
    <xf numFmtId="165" fontId="4" fillId="0" borderId="0" applyFont="0" applyFill="0" applyBorder="0" applyAlignment="0" applyProtection="0"/>
    <xf numFmtId="38" fontId="23" fillId="4" borderId="0" applyNumberFormat="0" applyBorder="0" applyAlignment="0" applyProtection="0"/>
    <xf numFmtId="0" fontId="24" fillId="0" borderId="6" applyNumberFormat="0" applyAlignment="0" applyProtection="0">
      <alignment horizontal="left" vertical="center"/>
    </xf>
    <xf numFmtId="0" fontId="24" fillId="0" borderId="7">
      <alignment horizontal="left" vertical="center"/>
    </xf>
    <xf numFmtId="14" fontId="25" fillId="5" borderId="4">
      <alignment horizontal="center" vertical="center" wrapText="1"/>
    </xf>
    <xf numFmtId="0" fontId="14" fillId="0" borderId="0" applyFill="0" applyAlignment="0" applyProtection="0">
      <protection locked="0"/>
    </xf>
    <xf numFmtId="0" fontId="14" fillId="0" borderId="2" applyFill="0" applyAlignment="0" applyProtection="0">
      <protection locked="0"/>
    </xf>
    <xf numFmtId="10" fontId="23" fillId="6" borderId="5" applyNumberFormat="0" applyBorder="0" applyAlignment="0" applyProtection="0"/>
    <xf numFmtId="170" fontId="26" fillId="0" borderId="0" applyFill="0" applyBorder="0" applyAlignment="0"/>
    <xf numFmtId="171" fontId="4" fillId="0" borderId="0" applyFill="0" applyBorder="0" applyAlignment="0"/>
    <xf numFmtId="170" fontId="26" fillId="0" borderId="0" applyFill="0" applyBorder="0" applyAlignment="0"/>
    <xf numFmtId="175" fontId="4" fillId="0" borderId="0" applyFill="0" applyBorder="0" applyAlignment="0"/>
    <xf numFmtId="171" fontId="4" fillId="0" borderId="0" applyFill="0" applyBorder="0" applyAlignment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85" fontId="9" fillId="0" borderId="2"/>
    <xf numFmtId="167" fontId="2" fillId="0" borderId="0"/>
    <xf numFmtId="186" fontId="4" fillId="0" borderId="0"/>
    <xf numFmtId="187" fontId="13" fillId="3" borderId="0">
      <alignment horizontal="right"/>
    </xf>
    <xf numFmtId="0" fontId="28" fillId="3" borderId="8"/>
    <xf numFmtId="188" fontId="29" fillId="0" borderId="0"/>
    <xf numFmtId="189" fontId="19" fillId="0" borderId="0">
      <protection hidden="1"/>
    </xf>
    <xf numFmtId="174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85" fontId="9" fillId="0" borderId="0"/>
    <xf numFmtId="170" fontId="30" fillId="0" borderId="0" applyFill="0" applyBorder="0" applyAlignment="0"/>
    <xf numFmtId="171" fontId="4" fillId="0" borderId="0" applyFill="0" applyBorder="0" applyAlignment="0"/>
    <xf numFmtId="170" fontId="30" fillId="0" borderId="0" applyFill="0" applyBorder="0" applyAlignment="0"/>
    <xf numFmtId="175" fontId="4" fillId="0" borderId="0" applyFill="0" applyBorder="0" applyAlignment="0"/>
    <xf numFmtId="171" fontId="4" fillId="0" borderId="0" applyFill="0" applyBorder="0" applyAlignment="0"/>
    <xf numFmtId="37" fontId="27" fillId="0" borderId="9"/>
    <xf numFmtId="49" fontId="13" fillId="0" borderId="0" applyFill="0" applyBorder="0" applyAlignment="0"/>
    <xf numFmtId="190" fontId="4" fillId="0" borderId="0" applyFill="0" applyBorder="0" applyAlignment="0"/>
    <xf numFmtId="191" fontId="4" fillId="0" borderId="0" applyFill="0" applyBorder="0" applyAlignment="0"/>
    <xf numFmtId="0" fontId="31" fillId="0" borderId="0" applyFill="0" applyBorder="0" applyProtection="0">
      <alignment horizontal="left" vertical="top"/>
    </xf>
    <xf numFmtId="40" fontId="32" fillId="0" borderId="0"/>
    <xf numFmtId="37" fontId="27" fillId="0" borderId="2"/>
    <xf numFmtId="37" fontId="27" fillId="0" borderId="1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1" fillId="0" borderId="0" xfId="3" applyFont="1" applyFill="1" applyBorder="1"/>
    <xf numFmtId="0" fontId="1" fillId="0" borderId="0" xfId="3" quotePrefix="1" applyFont="1" applyFill="1" applyBorder="1"/>
    <xf numFmtId="0" fontId="3" fillId="0" borderId="0" xfId="3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/>
    <xf numFmtId="164" fontId="1" fillId="0" borderId="0" xfId="0" applyNumberFormat="1" applyFont="1" applyFill="1"/>
    <xf numFmtId="164" fontId="5" fillId="0" borderId="0" xfId="1" applyNumberFormat="1" applyFont="1" applyFill="1" applyBorder="1"/>
    <xf numFmtId="164" fontId="6" fillId="0" borderId="0" xfId="1" applyNumberFormat="1" applyFont="1" applyFill="1" applyBorder="1"/>
    <xf numFmtId="0" fontId="3" fillId="0" borderId="0" xfId="0" applyFont="1" applyFill="1"/>
    <xf numFmtId="166" fontId="3" fillId="0" borderId="0" xfId="0" applyNumberFormat="1" applyFont="1" applyFill="1"/>
    <xf numFmtId="164" fontId="6" fillId="0" borderId="1" xfId="1" applyNumberFormat="1" applyFont="1" applyFill="1" applyBorder="1"/>
    <xf numFmtId="164" fontId="6" fillId="2" borderId="1" xfId="1" applyNumberFormat="1" applyFont="1" applyFill="1" applyBorder="1"/>
    <xf numFmtId="166" fontId="1" fillId="0" borderId="0" xfId="0" applyNumberFormat="1" applyFont="1" applyFill="1"/>
    <xf numFmtId="166" fontId="5" fillId="0" borderId="0" xfId="1" applyNumberFormat="1" applyFont="1" applyFill="1" applyBorder="1"/>
    <xf numFmtId="166" fontId="6" fillId="2" borderId="0" xfId="1" applyNumberFormat="1" applyFont="1" applyFill="1" applyBorder="1"/>
    <xf numFmtId="166" fontId="5" fillId="0" borderId="2" xfId="1" applyNumberFormat="1" applyFont="1" applyFill="1" applyBorder="1"/>
    <xf numFmtId="166" fontId="6" fillId="2" borderId="2" xfId="1" applyNumberFormat="1" applyFont="1" applyFill="1" applyBorder="1"/>
    <xf numFmtId="0" fontId="1" fillId="0" borderId="0" xfId="3" applyFont="1" applyFill="1" applyBorder="1" applyAlignment="1">
      <alignment horizontal="left" wrapText="1"/>
    </xf>
    <xf numFmtId="0" fontId="1" fillId="3" borderId="0" xfId="3" applyFont="1" applyFill="1" applyBorder="1"/>
    <xf numFmtId="164" fontId="6" fillId="2" borderId="0" xfId="2" applyNumberFormat="1" applyFont="1" applyFill="1" applyBorder="1" applyProtection="1"/>
    <xf numFmtId="164" fontId="5" fillId="2" borderId="0" xfId="1" applyNumberFormat="1" applyFont="1" applyFill="1" applyBorder="1"/>
    <xf numFmtId="164" fontId="5" fillId="0" borderId="0" xfId="2" applyNumberFormat="1" applyFont="1" applyFill="1" applyBorder="1" applyProtection="1"/>
    <xf numFmtId="0" fontId="3" fillId="2" borderId="0" xfId="0" applyFont="1" applyFill="1" applyBorder="1"/>
    <xf numFmtId="0" fontId="7" fillId="0" borderId="0" xfId="4" applyNumberFormat="1" applyFont="1" applyFill="1" applyBorder="1" applyAlignment="1">
      <alignment horizontal="center"/>
    </xf>
    <xf numFmtId="0" fontId="7" fillId="2" borderId="0" xfId="4" applyNumberFormat="1" applyFont="1" applyFill="1" applyBorder="1" applyAlignment="1">
      <alignment horizontal="center"/>
    </xf>
    <xf numFmtId="0" fontId="1" fillId="0" borderId="0" xfId="4" applyFont="1" applyFill="1" applyBorder="1"/>
    <xf numFmtId="0" fontId="1" fillId="0" borderId="0" xfId="4" applyNumberFormat="1" applyFont="1" applyFill="1" applyBorder="1"/>
    <xf numFmtId="167" fontId="3" fillId="0" borderId="0" xfId="4" applyNumberFormat="1" applyFont="1" applyFill="1" applyBorder="1" applyAlignment="1">
      <alignment horizontal="center"/>
    </xf>
    <xf numFmtId="0" fontId="3" fillId="2" borderId="0" xfId="4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7" fontId="7" fillId="0" borderId="0" xfId="4" applyNumberFormat="1" applyFont="1" applyFill="1" applyBorder="1" applyAlignment="1">
      <alignment horizontal="center"/>
    </xf>
    <xf numFmtId="0" fontId="3" fillId="0" borderId="0" xfId="4" applyNumberFormat="1" applyFont="1" applyFill="1" applyBorder="1"/>
    <xf numFmtId="0" fontId="8" fillId="0" borderId="0" xfId="4" applyNumberFormat="1" applyFont="1" applyFill="1" applyBorder="1"/>
  </cellXfs>
  <cellStyles count="86">
    <cellStyle name="6-0" xfId="5"/>
    <cellStyle name="Bold12" xfId="6"/>
    <cellStyle name="BoldItal12" xfId="7"/>
    <cellStyle name="Border" xfId="8"/>
    <cellStyle name="Calc Currency (0)" xfId="9"/>
    <cellStyle name="Calc Currency (2)" xfId="10"/>
    <cellStyle name="Calc Percent (0)" xfId="11"/>
    <cellStyle name="Calc Percent (1)" xfId="12"/>
    <cellStyle name="Calc Percent (2)" xfId="13"/>
    <cellStyle name="Calc Units (0)" xfId="14"/>
    <cellStyle name="Calc Units (1)" xfId="15"/>
    <cellStyle name="Calc Units (2)" xfId="16"/>
    <cellStyle name="Centered Heading" xfId="17"/>
    <cellStyle name="columns" xfId="18"/>
    <cellStyle name="Comma" xfId="1" builtinId="3"/>
    <cellStyle name="comma (0)" xfId="19"/>
    <cellStyle name="Comma [00]" xfId="20"/>
    <cellStyle name="Comma Acctg" xfId="21"/>
    <cellStyle name="Comma0" xfId="22"/>
    <cellStyle name="Company Name" xfId="23"/>
    <cellStyle name="Contracts" xfId="24"/>
    <cellStyle name="CR Comma" xfId="25"/>
    <cellStyle name="CR Currency" xfId="26"/>
    <cellStyle name="curr" xfId="27"/>
    <cellStyle name="Currency" xfId="2" builtinId="4"/>
    <cellStyle name="Currency [00]" xfId="28"/>
    <cellStyle name="Currency Acctg" xfId="29"/>
    <cellStyle name="Currency0" xfId="30"/>
    <cellStyle name="Data" xfId="31"/>
    <cellStyle name="Date" xfId="32"/>
    <cellStyle name="Date Short" xfId="33"/>
    <cellStyle name="DateJoel" xfId="34"/>
    <cellStyle name="debbie" xfId="35"/>
    <cellStyle name="Dezimal [0]_laroux" xfId="36"/>
    <cellStyle name="Dezimal_laroux" xfId="37"/>
    <cellStyle name="Enter Currency (0)" xfId="38"/>
    <cellStyle name="Enter Currency (2)" xfId="39"/>
    <cellStyle name="Enter Units (0)" xfId="40"/>
    <cellStyle name="Enter Units (1)" xfId="41"/>
    <cellStyle name="Enter Units (2)" xfId="42"/>
    <cellStyle name="eps" xfId="43"/>
    <cellStyle name="Euro" xfId="44"/>
    <cellStyle name="Grey" xfId="45"/>
    <cellStyle name="Header1" xfId="46"/>
    <cellStyle name="Header2" xfId="47"/>
    <cellStyle name="Heading" xfId="48"/>
    <cellStyle name="Heading No Underline" xfId="49"/>
    <cellStyle name="Heading With Underline" xfId="50"/>
    <cellStyle name="Input [yellow]" xfId="51"/>
    <cellStyle name="Link Currency (0)" xfId="52"/>
    <cellStyle name="Link Currency (2)" xfId="53"/>
    <cellStyle name="Link Units (0)" xfId="54"/>
    <cellStyle name="Link Units (1)" xfId="55"/>
    <cellStyle name="Link Units (2)" xfId="56"/>
    <cellStyle name="Milliers [0]_laroux" xfId="57"/>
    <cellStyle name="Milliers_laroux" xfId="58"/>
    <cellStyle name="negativ" xfId="59"/>
    <cellStyle name="nodollars" xfId="60"/>
    <cellStyle name="Normal" xfId="0" builtinId="0"/>
    <cellStyle name="Normal - Style1" xfId="61"/>
    <cellStyle name="Normal_BalanceSheets" xfId="3"/>
    <cellStyle name="Normal_Income Statements" xfId="4"/>
    <cellStyle name="OUTPUT AMOUNTS" xfId="62"/>
    <cellStyle name="OUTPUT LINE ITEMS" xfId="63"/>
    <cellStyle name="over" xfId="64"/>
    <cellStyle name="percent (0)" xfId="65"/>
    <cellStyle name="Percent [0]" xfId="66"/>
    <cellStyle name="Percent [00]" xfId="67"/>
    <cellStyle name="Percent [2]" xfId="68"/>
    <cellStyle name="posit" xfId="69"/>
    <cellStyle name="PrePop Currency (0)" xfId="70"/>
    <cellStyle name="PrePop Currency (2)" xfId="71"/>
    <cellStyle name="PrePop Units (0)" xfId="72"/>
    <cellStyle name="PrePop Units (1)" xfId="73"/>
    <cellStyle name="PrePop Units (2)" xfId="74"/>
    <cellStyle name="SingleTopDoubleBott" xfId="75"/>
    <cellStyle name="Text Indent A" xfId="76"/>
    <cellStyle name="Text Indent B" xfId="77"/>
    <cellStyle name="Text Indent C" xfId="78"/>
    <cellStyle name="Tickmark" xfId="79"/>
    <cellStyle name="TimStyle" xfId="80"/>
    <cellStyle name="Underline" xfId="81"/>
    <cellStyle name="UnderlineDouble" xfId="82"/>
    <cellStyle name="Währung [0]_RESULTS" xfId="83"/>
    <cellStyle name="Währung_RESULTS" xfId="84"/>
    <cellStyle name="표준_BINV" xfId="8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s.shareholder.com/downloads/NFLX/1862884519x0x562052/df0733e0-5de0-4bef-8c1f-87580229e303/Q1_12_Financials_Stateme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itgcfs06\mercury\WINNT\Profiles\krishi\LOCALS~1\Temp\Johncon%20BLT%20(11-2-0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htyducks\Finance\Corp%20Finance\Stock\FY01\FY97\CSPIC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\Coletteh\files\ER%20bo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ghthawk\orglic1\Mickr\Reporting\WWDashboard\WW%20Org%20Lic%20Scoreboard-AUG%20mung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rldwide\MSFin\Flash\FLAS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wl\budget\WebPage\01plan\Financial%20Summaries\Revenue%20Summary%20(finsum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  <sheetName val="Income Statement"/>
      <sheetName val="Cashflow"/>
      <sheetName val="Segment Informatio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arket Cap"/>
      <sheetName val="Mkt cap data"/>
      <sheetName val="Comp summary"/>
      <sheetName val="Growth summary"/>
      <sheetName val="MS"/>
      <sheetName val="Oracle"/>
      <sheetName val="Sun"/>
      <sheetName val="AOL"/>
      <sheetName val="IBM"/>
      <sheetName val="Yahoo"/>
      <sheetName val="October"/>
      <sheetName val="Revsum - trend"/>
      <sheetName val="AugP&amp;L"/>
      <sheetName val="Implied Sept"/>
      <sheetName val="Sheet1"/>
      <sheetName val="October allocated"/>
      <sheetName val="Oct revsum"/>
      <sheetName val="Annuity alloc"/>
      <sheetName val="FY01"/>
      <sheetName val="Comm by area"/>
      <sheetName val="End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une 96"/>
      <sheetName val="May 96"/>
      <sheetName val="CS Adj"/>
      <sheetName val="Apr 96"/>
      <sheetName val="Mar 96"/>
      <sheetName val="Feb 96 "/>
      <sheetName val="Jan 96 "/>
      <sheetName val="Dec 96"/>
      <sheetName val="Nov 96"/>
      <sheetName val="Oct 96"/>
      <sheetName val="Sept 96"/>
      <sheetName val="Aug 96"/>
      <sheetName val="July 96"/>
      <sheetName val="June 95"/>
      <sheetName val="#REF"/>
      <sheetName val="AcqIS"/>
      <sheetName val="AcqBSCF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 Comparable"/>
      <sheetName val="Revenue Comp"/>
      <sheetName val="Income St Sequential"/>
      <sheetName val="Pro forma"/>
      <sheetName val="Data Sheet"/>
      <sheetName val="Source Formulas"/>
      <sheetName val="GAAP Summary"/>
      <sheetName val="Comp Qtrs W-O 1 time items"/>
      <sheetName val="A"/>
    </sheetNames>
    <sheetDataSet>
      <sheetData sheetId="0"/>
      <sheetData sheetId="1"/>
      <sheetData sheetId="2"/>
      <sheetData sheetId="3"/>
      <sheetData sheetId="4" refreshError="1">
        <row r="5">
          <cell r="F5" t="str">
            <v>Actuals - Penultimate-1 Fiscal Year</v>
          </cell>
          <cell r="J5" t="str">
            <v>Actuals - Penultimate Fiscal Year</v>
          </cell>
          <cell r="N5" t="str">
            <v>Actuals - Prior Fiscal Year</v>
          </cell>
          <cell r="R5" t="str">
            <v>Actuals - Current Fiscal Year</v>
          </cell>
        </row>
        <row r="6">
          <cell r="J6">
            <v>1</v>
          </cell>
          <cell r="K6">
            <v>2</v>
          </cell>
          <cell r="L6">
            <v>3</v>
          </cell>
          <cell r="M6">
            <v>4</v>
          </cell>
          <cell r="N6">
            <v>5</v>
          </cell>
          <cell r="O6">
            <v>6</v>
          </cell>
          <cell r="P6">
            <v>7</v>
          </cell>
          <cell r="Q6">
            <v>8</v>
          </cell>
          <cell r="R6">
            <v>9</v>
          </cell>
          <cell r="S6">
            <v>10</v>
          </cell>
          <cell r="T6">
            <v>11</v>
          </cell>
          <cell r="U6">
            <v>12</v>
          </cell>
        </row>
        <row r="7">
          <cell r="F7" t="str">
            <v>Q99-1</v>
          </cell>
          <cell r="G7" t="str">
            <v>Q99-2</v>
          </cell>
          <cell r="H7" t="str">
            <v>Q99-3</v>
          </cell>
          <cell r="I7" t="str">
            <v>Q99-4</v>
          </cell>
          <cell r="J7" t="str">
            <v>Q00-1</v>
          </cell>
          <cell r="K7" t="str">
            <v>Q00-2</v>
          </cell>
          <cell r="L7" t="str">
            <v>Q00-3</v>
          </cell>
          <cell r="M7" t="str">
            <v>Q00-4</v>
          </cell>
          <cell r="N7" t="str">
            <v>Q01-1</v>
          </cell>
          <cell r="O7" t="str">
            <v>Q01-2</v>
          </cell>
          <cell r="P7" t="str">
            <v>Q01-3</v>
          </cell>
          <cell r="Q7" t="str">
            <v>Q01-4</v>
          </cell>
          <cell r="R7">
            <v>37164</v>
          </cell>
          <cell r="S7">
            <v>37256</v>
          </cell>
          <cell r="T7">
            <v>37346</v>
          </cell>
          <cell r="U7">
            <v>37437</v>
          </cell>
        </row>
        <row r="9">
          <cell r="F9">
            <v>4193</v>
          </cell>
          <cell r="G9">
            <v>5195</v>
          </cell>
          <cell r="H9">
            <v>4595</v>
          </cell>
          <cell r="I9">
            <v>5764</v>
          </cell>
          <cell r="J9">
            <v>5384</v>
          </cell>
          <cell r="K9">
            <v>6112</v>
          </cell>
          <cell r="L9">
            <v>5656</v>
          </cell>
          <cell r="M9">
            <v>5804</v>
          </cell>
          <cell r="N9">
            <v>5766</v>
          </cell>
          <cell r="O9">
            <v>6550</v>
          </cell>
          <cell r="P9">
            <v>6403</v>
          </cell>
          <cell r="Q9">
            <v>6577</v>
          </cell>
          <cell r="R9">
            <v>6126</v>
          </cell>
          <cell r="S9">
            <v>7741</v>
          </cell>
          <cell r="T9">
            <v>7245</v>
          </cell>
        </row>
        <row r="10">
          <cell r="F10">
            <v>649</v>
          </cell>
          <cell r="G10">
            <v>788</v>
          </cell>
          <cell r="H10">
            <v>708</v>
          </cell>
          <cell r="I10">
            <v>669</v>
          </cell>
          <cell r="J10">
            <v>712</v>
          </cell>
          <cell r="K10">
            <v>756</v>
          </cell>
          <cell r="L10">
            <v>752</v>
          </cell>
          <cell r="M10">
            <v>782</v>
          </cell>
          <cell r="N10">
            <v>825</v>
          </cell>
          <cell r="O10">
            <v>864</v>
          </cell>
          <cell r="P10">
            <v>899</v>
          </cell>
          <cell r="Q10">
            <v>867</v>
          </cell>
          <cell r="R10">
            <v>884</v>
          </cell>
          <cell r="S10">
            <v>1544</v>
          </cell>
          <cell r="T10">
            <v>1395</v>
          </cell>
        </row>
        <row r="11">
          <cell r="F11">
            <v>3544</v>
          </cell>
          <cell r="G11">
            <v>4407</v>
          </cell>
          <cell r="H11">
            <v>3887</v>
          </cell>
          <cell r="I11">
            <v>5095</v>
          </cell>
          <cell r="J11">
            <v>4672</v>
          </cell>
          <cell r="K11">
            <v>5356</v>
          </cell>
          <cell r="L11">
            <v>4904</v>
          </cell>
          <cell r="M11">
            <v>5022</v>
          </cell>
          <cell r="N11">
            <v>4941</v>
          </cell>
          <cell r="O11">
            <v>5686</v>
          </cell>
          <cell r="P11">
            <v>5504</v>
          </cell>
          <cell r="Q11">
            <v>5710</v>
          </cell>
          <cell r="R11">
            <v>5242</v>
          </cell>
          <cell r="S11">
            <v>6197</v>
          </cell>
          <cell r="T11">
            <v>5850</v>
          </cell>
          <cell r="U11">
            <v>0</v>
          </cell>
        </row>
        <row r="12">
          <cell r="F12">
            <v>0.15478177915573574</v>
          </cell>
          <cell r="G12">
            <v>0.15168431183830605</v>
          </cell>
          <cell r="H12">
            <v>0.15408052230685529</v>
          </cell>
          <cell r="I12">
            <v>0.11606523247744621</v>
          </cell>
          <cell r="J12">
            <v>0.13224368499257058</v>
          </cell>
          <cell r="K12">
            <v>0.12369109947643979</v>
          </cell>
          <cell r="L12">
            <v>0.13295615275813297</v>
          </cell>
          <cell r="M12">
            <v>0.13473466574776016</v>
          </cell>
          <cell r="N12">
            <v>0.14308012486992716</v>
          </cell>
          <cell r="O12">
            <v>0.13190839694656489</v>
          </cell>
          <cell r="P12">
            <v>0.14040293612369201</v>
          </cell>
          <cell r="Q12">
            <v>0.13182301961380569</v>
          </cell>
          <cell r="R12">
            <v>0.14430297094351943</v>
          </cell>
          <cell r="S12">
            <v>0.19945743443999484</v>
          </cell>
        </row>
        <row r="13">
          <cell r="F13">
            <v>651</v>
          </cell>
          <cell r="G13">
            <v>715</v>
          </cell>
          <cell r="H13">
            <v>664</v>
          </cell>
          <cell r="I13">
            <v>940</v>
          </cell>
          <cell r="J13">
            <v>813</v>
          </cell>
          <cell r="K13">
            <v>898</v>
          </cell>
          <cell r="L13">
            <v>974</v>
          </cell>
          <cell r="M13">
            <v>1087</v>
          </cell>
          <cell r="N13">
            <v>956</v>
          </cell>
          <cell r="O13">
            <v>990</v>
          </cell>
          <cell r="P13">
            <v>1069</v>
          </cell>
          <cell r="Q13">
            <v>1364</v>
          </cell>
          <cell r="R13">
            <v>1013</v>
          </cell>
          <cell r="S13">
            <v>1044</v>
          </cell>
          <cell r="T13">
            <v>1066</v>
          </cell>
        </row>
        <row r="15">
          <cell r="F15">
            <v>685</v>
          </cell>
          <cell r="G15">
            <v>798</v>
          </cell>
          <cell r="H15">
            <v>842</v>
          </cell>
          <cell r="I15">
            <v>913</v>
          </cell>
          <cell r="J15">
            <v>922</v>
          </cell>
          <cell r="K15">
            <v>1013</v>
          </cell>
          <cell r="L15">
            <v>1010</v>
          </cell>
          <cell r="M15">
            <v>1181</v>
          </cell>
          <cell r="N15">
            <v>1038</v>
          </cell>
          <cell r="O15">
            <v>1290</v>
          </cell>
          <cell r="P15">
            <v>1198</v>
          </cell>
          <cell r="Q15">
            <v>1359</v>
          </cell>
          <cell r="R15">
            <v>1145</v>
          </cell>
          <cell r="S15">
            <v>1479</v>
          </cell>
          <cell r="T15">
            <v>1240</v>
          </cell>
        </row>
        <row r="16">
          <cell r="F16">
            <v>101</v>
          </cell>
          <cell r="G16">
            <v>154</v>
          </cell>
          <cell r="H16">
            <v>152</v>
          </cell>
          <cell r="I16">
            <v>308</v>
          </cell>
          <cell r="J16">
            <v>148</v>
          </cell>
          <cell r="K16">
            <v>514</v>
          </cell>
          <cell r="L16">
            <v>185</v>
          </cell>
          <cell r="M16">
            <v>203</v>
          </cell>
          <cell r="N16">
            <v>170</v>
          </cell>
          <cell r="O16">
            <v>212</v>
          </cell>
          <cell r="P16">
            <v>239</v>
          </cell>
          <cell r="Q16">
            <v>236</v>
          </cell>
          <cell r="R16">
            <v>187</v>
          </cell>
          <cell r="S16">
            <v>833</v>
          </cell>
          <cell r="T16">
            <v>246</v>
          </cell>
        </row>
        <row r="17">
          <cell r="F17">
            <v>1437</v>
          </cell>
          <cell r="G17">
            <v>1667</v>
          </cell>
          <cell r="H17">
            <v>1658</v>
          </cell>
          <cell r="I17">
            <v>2161</v>
          </cell>
          <cell r="J17">
            <v>1883</v>
          </cell>
          <cell r="K17">
            <v>2425</v>
          </cell>
          <cell r="L17">
            <v>2169</v>
          </cell>
          <cell r="M17">
            <v>2471</v>
          </cell>
          <cell r="N17">
            <v>2164</v>
          </cell>
          <cell r="O17">
            <v>2492</v>
          </cell>
          <cell r="P17">
            <v>2506</v>
          </cell>
          <cell r="Q17">
            <v>2959</v>
          </cell>
          <cell r="R17">
            <v>2345</v>
          </cell>
          <cell r="S17">
            <v>3356</v>
          </cell>
          <cell r="T17">
            <v>2552</v>
          </cell>
          <cell r="U17">
            <v>0</v>
          </cell>
        </row>
        <row r="18">
          <cell r="F18">
            <v>2107</v>
          </cell>
          <cell r="G18">
            <v>2740</v>
          </cell>
          <cell r="H18">
            <v>2229</v>
          </cell>
          <cell r="I18">
            <v>2934</v>
          </cell>
          <cell r="J18">
            <v>2789</v>
          </cell>
          <cell r="K18">
            <v>2931</v>
          </cell>
          <cell r="L18">
            <v>2735</v>
          </cell>
          <cell r="M18">
            <v>2551</v>
          </cell>
          <cell r="N18">
            <v>2777</v>
          </cell>
          <cell r="O18">
            <v>3194</v>
          </cell>
          <cell r="P18">
            <v>2998</v>
          </cell>
          <cell r="Q18">
            <v>2751</v>
          </cell>
          <cell r="R18">
            <v>2897</v>
          </cell>
          <cell r="S18">
            <v>2841</v>
          </cell>
          <cell r="T18">
            <v>3298</v>
          </cell>
          <cell r="U18">
            <v>0</v>
          </cell>
        </row>
        <row r="19">
          <cell r="F19">
            <v>261</v>
          </cell>
          <cell r="G19">
            <v>337</v>
          </cell>
          <cell r="H19">
            <v>711</v>
          </cell>
          <cell r="I19">
            <v>482</v>
          </cell>
          <cell r="J19">
            <v>394</v>
          </cell>
          <cell r="K19">
            <v>770</v>
          </cell>
          <cell r="L19">
            <v>882</v>
          </cell>
          <cell r="M19">
            <v>1124</v>
          </cell>
          <cell r="N19">
            <v>1127</v>
          </cell>
          <cell r="O19">
            <v>751</v>
          </cell>
          <cell r="P19">
            <v>706</v>
          </cell>
          <cell r="Q19">
            <v>-2620</v>
          </cell>
          <cell r="R19">
            <v>-980</v>
          </cell>
          <cell r="S19">
            <v>553</v>
          </cell>
          <cell r="T19">
            <v>739</v>
          </cell>
        </row>
        <row r="20">
          <cell r="F20">
            <v>160</v>
          </cell>
          <cell r="J20">
            <v>156</v>
          </cell>
        </row>
        <row r="21">
          <cell r="F21">
            <v>-25</v>
          </cell>
          <cell r="G21">
            <v>-26</v>
          </cell>
          <cell r="H21">
            <v>9</v>
          </cell>
          <cell r="I21">
            <v>-28</v>
          </cell>
          <cell r="J21">
            <v>-19</v>
          </cell>
          <cell r="K21">
            <v>-10</v>
          </cell>
          <cell r="L21">
            <v>-4</v>
          </cell>
          <cell r="M21">
            <v>-24</v>
          </cell>
          <cell r="N21">
            <v>-52</v>
          </cell>
          <cell r="O21">
            <v>-28</v>
          </cell>
          <cell r="P21">
            <v>-46</v>
          </cell>
          <cell r="Q21">
            <v>-33</v>
          </cell>
          <cell r="R21">
            <v>-30</v>
          </cell>
          <cell r="S21">
            <v>-37</v>
          </cell>
          <cell r="T21">
            <v>-11</v>
          </cell>
        </row>
        <row r="22">
          <cell r="F22">
            <v>2503</v>
          </cell>
          <cell r="G22">
            <v>3051</v>
          </cell>
          <cell r="H22">
            <v>2949</v>
          </cell>
          <cell r="I22">
            <v>3388</v>
          </cell>
          <cell r="J22">
            <v>3320</v>
          </cell>
          <cell r="K22">
            <v>3691</v>
          </cell>
          <cell r="L22">
            <v>3613</v>
          </cell>
          <cell r="M22">
            <v>3651</v>
          </cell>
          <cell r="N22">
            <v>3852</v>
          </cell>
          <cell r="O22">
            <v>3917</v>
          </cell>
          <cell r="P22">
            <v>3658</v>
          </cell>
          <cell r="Q22">
            <v>98</v>
          </cell>
          <cell r="R22">
            <v>1887</v>
          </cell>
          <cell r="S22">
            <v>3357</v>
          </cell>
          <cell r="T22">
            <v>4026</v>
          </cell>
          <cell r="U22">
            <v>0</v>
          </cell>
        </row>
        <row r="23">
          <cell r="F23">
            <v>820.05</v>
          </cell>
          <cell r="G23">
            <v>1067.8499999999999</v>
          </cell>
          <cell r="H23">
            <v>1032.1499999999999</v>
          </cell>
          <cell r="I23">
            <v>1185.8</v>
          </cell>
          <cell r="J23">
            <v>1128.8000000000002</v>
          </cell>
          <cell r="K23">
            <v>1254.94</v>
          </cell>
          <cell r="L23">
            <v>1228.42</v>
          </cell>
          <cell r="M23">
            <v>1241.8399999999999</v>
          </cell>
          <cell r="N23">
            <v>1271.1600000000001</v>
          </cell>
          <cell r="O23">
            <v>1293</v>
          </cell>
          <cell r="P23">
            <v>1207</v>
          </cell>
          <cell r="Q23">
            <v>32</v>
          </cell>
          <cell r="R23">
            <v>604</v>
          </cell>
          <cell r="S23">
            <v>1074</v>
          </cell>
          <cell r="T23">
            <v>1288</v>
          </cell>
          <cell r="U23">
            <v>0</v>
          </cell>
        </row>
        <row r="24">
          <cell r="F24">
            <v>1682.95</v>
          </cell>
          <cell r="G24">
            <v>1983.15</v>
          </cell>
          <cell r="H24">
            <v>1916.8500000000001</v>
          </cell>
          <cell r="I24">
            <v>2202.1999999999998</v>
          </cell>
          <cell r="J24">
            <v>2191.1999999999998</v>
          </cell>
          <cell r="K24">
            <v>2436.06</v>
          </cell>
          <cell r="L24">
            <v>2384.58</v>
          </cell>
          <cell r="M24">
            <v>2409.16</v>
          </cell>
          <cell r="N24">
            <v>2580.84</v>
          </cell>
          <cell r="O24">
            <v>2624</v>
          </cell>
          <cell r="P24">
            <v>2451</v>
          </cell>
          <cell r="Q24">
            <v>66</v>
          </cell>
          <cell r="R24">
            <v>1283</v>
          </cell>
          <cell r="S24">
            <v>2283</v>
          </cell>
          <cell r="T24">
            <v>2738</v>
          </cell>
          <cell r="U24">
            <v>0</v>
          </cell>
        </row>
        <row r="25">
          <cell r="N25">
            <v>-375</v>
          </cell>
        </row>
        <row r="26">
          <cell r="F26">
            <v>1682.95</v>
          </cell>
          <cell r="G26">
            <v>1983.15</v>
          </cell>
          <cell r="H26">
            <v>1916.8500000000001</v>
          </cell>
          <cell r="I26">
            <v>2202.1999999999998</v>
          </cell>
          <cell r="J26">
            <v>2191.1999999999998</v>
          </cell>
          <cell r="K26">
            <v>2436.06</v>
          </cell>
          <cell r="L26">
            <v>2384.58</v>
          </cell>
          <cell r="M26">
            <v>2409.16</v>
          </cell>
          <cell r="N26">
            <v>2205.84</v>
          </cell>
          <cell r="O26">
            <v>2624</v>
          </cell>
          <cell r="P26">
            <v>2451</v>
          </cell>
          <cell r="Q26">
            <v>66</v>
          </cell>
          <cell r="R26">
            <v>1283</v>
          </cell>
          <cell r="S26">
            <v>2283</v>
          </cell>
          <cell r="T26">
            <v>2738</v>
          </cell>
          <cell r="U26">
            <v>0</v>
          </cell>
        </row>
        <row r="27"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F28">
            <v>1675.95</v>
          </cell>
          <cell r="G28">
            <v>1976.15</v>
          </cell>
          <cell r="H28">
            <v>1909.8500000000001</v>
          </cell>
          <cell r="I28">
            <v>2195.1999999999998</v>
          </cell>
          <cell r="J28">
            <v>2184.1999999999998</v>
          </cell>
          <cell r="K28">
            <v>2430.06</v>
          </cell>
          <cell r="L28">
            <v>2384.58</v>
          </cell>
          <cell r="M28">
            <v>2409.16</v>
          </cell>
          <cell r="N28">
            <v>2205.84</v>
          </cell>
          <cell r="O28">
            <v>2624</v>
          </cell>
          <cell r="P28">
            <v>2451</v>
          </cell>
          <cell r="Q28">
            <v>66</v>
          </cell>
          <cell r="R28">
            <v>1283</v>
          </cell>
          <cell r="S28">
            <v>2283</v>
          </cell>
          <cell r="T28">
            <v>2738</v>
          </cell>
          <cell r="U28">
            <v>0</v>
          </cell>
        </row>
        <row r="29">
          <cell r="F29">
            <v>4958</v>
          </cell>
          <cell r="G29">
            <v>4998</v>
          </cell>
          <cell r="H29">
            <v>5055</v>
          </cell>
          <cell r="I29">
            <v>5100</v>
          </cell>
          <cell r="J29">
            <v>5129</v>
          </cell>
          <cell r="K29">
            <v>5163</v>
          </cell>
          <cell r="L29">
            <v>5209</v>
          </cell>
          <cell r="M29">
            <v>5250</v>
          </cell>
          <cell r="N29">
            <v>5299</v>
          </cell>
          <cell r="O29">
            <v>5330</v>
          </cell>
          <cell r="P29">
            <v>5336</v>
          </cell>
          <cell r="Q29">
            <v>5381</v>
          </cell>
          <cell r="R29">
            <v>5398</v>
          </cell>
          <cell r="S29">
            <v>5395</v>
          </cell>
          <cell r="T29">
            <v>5415</v>
          </cell>
        </row>
        <row r="30">
          <cell r="F30">
            <v>5435</v>
          </cell>
          <cell r="G30">
            <v>5460</v>
          </cell>
          <cell r="H30">
            <v>5512</v>
          </cell>
          <cell r="I30">
            <v>5521</v>
          </cell>
          <cell r="J30">
            <v>5527</v>
          </cell>
          <cell r="K30">
            <v>5538</v>
          </cell>
          <cell r="L30">
            <v>5543</v>
          </cell>
          <cell r="M30">
            <v>5537</v>
          </cell>
          <cell r="N30">
            <v>5557</v>
          </cell>
          <cell r="O30">
            <v>5570</v>
          </cell>
          <cell r="P30">
            <v>5563</v>
          </cell>
          <cell r="Q30">
            <v>5592</v>
          </cell>
          <cell r="R30">
            <v>5567</v>
          </cell>
          <cell r="S30">
            <v>5556</v>
          </cell>
          <cell r="T30">
            <v>5564</v>
          </cell>
        </row>
        <row r="31">
          <cell r="F31">
            <v>0.33944130697862041</v>
          </cell>
          <cell r="G31">
            <v>0.39678871548619449</v>
          </cell>
          <cell r="H31">
            <v>0.37919881305637987</v>
          </cell>
          <cell r="I31">
            <v>0.4318039215686274</v>
          </cell>
          <cell r="J31">
            <v>0.42721778124390714</v>
          </cell>
          <cell r="K31">
            <v>0.47183033120278906</v>
          </cell>
          <cell r="L31">
            <v>0.45778076406220003</v>
          </cell>
          <cell r="M31">
            <v>0.45888761904761904</v>
          </cell>
          <cell r="N31">
            <v>0.48704283827137196</v>
          </cell>
          <cell r="O31">
            <v>0.49230769230769234</v>
          </cell>
          <cell r="P31">
            <v>0.45933283358320842</v>
          </cell>
          <cell r="Q31">
            <v>1.226537818249396E-2</v>
          </cell>
          <cell r="R31">
            <v>0.23768062245276028</v>
          </cell>
          <cell r="S31">
            <v>0.42316960148285448</v>
          </cell>
          <cell r="T31">
            <v>0.50563250230840262</v>
          </cell>
          <cell r="U31" t="e">
            <v>#DIV/0!</v>
          </cell>
        </row>
        <row r="32">
          <cell r="F32">
            <v>0.30836246550137997</v>
          </cell>
          <cell r="G32">
            <v>0.36193223443223443</v>
          </cell>
          <cell r="H32">
            <v>0.34648947750362846</v>
          </cell>
          <cell r="I32">
            <v>0.3976091287810179</v>
          </cell>
          <cell r="J32">
            <v>0.39518726252940106</v>
          </cell>
          <cell r="K32">
            <v>0.43879739978331528</v>
          </cell>
          <cell r="L32">
            <v>0.430196644416381</v>
          </cell>
          <cell r="M32">
            <v>0.43510204081632653</v>
          </cell>
          <cell r="N32">
            <v>0.46443044808349832</v>
          </cell>
          <cell r="O32">
            <v>0.47109515260323159</v>
          </cell>
          <cell r="P32">
            <v>0.44058960992270357</v>
          </cell>
          <cell r="Q32">
            <v>1.1802575107296138E-2</v>
          </cell>
          <cell r="R32">
            <v>0.23046524160229925</v>
          </cell>
          <cell r="S32">
            <v>0.41090712742980562</v>
          </cell>
          <cell r="T32">
            <v>0.49209202012940328</v>
          </cell>
          <cell r="U32" t="e">
            <v>#DIV/0!</v>
          </cell>
        </row>
        <row r="33">
          <cell r="F33">
            <v>0.3380294473578056</v>
          </cell>
          <cell r="G33">
            <v>0.39538815526210486</v>
          </cell>
          <cell r="H33">
            <v>0.37781404549950548</v>
          </cell>
          <cell r="I33">
            <v>0.43043137254901959</v>
          </cell>
          <cell r="J33">
            <v>0.4258529927861181</v>
          </cell>
          <cell r="K33">
            <v>0.47066821615339915</v>
          </cell>
          <cell r="L33">
            <v>0.45778076406220003</v>
          </cell>
          <cell r="M33">
            <v>0.45888761904761904</v>
          </cell>
          <cell r="N33">
            <v>0.41627476882430647</v>
          </cell>
          <cell r="O33">
            <v>0.49230769230769234</v>
          </cell>
          <cell r="P33">
            <v>0.45933283358320842</v>
          </cell>
          <cell r="Q33">
            <v>1.226537818249396E-2</v>
          </cell>
          <cell r="R33">
            <v>0.23768062245276028</v>
          </cell>
          <cell r="S33">
            <v>0.42316960148285448</v>
          </cell>
          <cell r="T33">
            <v>0.50563250230840262</v>
          </cell>
          <cell r="U33">
            <v>0</v>
          </cell>
        </row>
        <row r="34">
          <cell r="F34">
            <v>0.30965041398344068</v>
          </cell>
          <cell r="G34">
            <v>0.36321428571428571</v>
          </cell>
          <cell r="H34">
            <v>0.34775943396226416</v>
          </cell>
          <cell r="I34">
            <v>0.39887701503350836</v>
          </cell>
          <cell r="J34">
            <v>0.396453772390085</v>
          </cell>
          <cell r="K34">
            <v>0.43988082340195017</v>
          </cell>
          <cell r="L34">
            <v>0.430196644416381</v>
          </cell>
          <cell r="M34">
            <v>0.43510204081632653</v>
          </cell>
          <cell r="N34">
            <v>0.39694799352168436</v>
          </cell>
          <cell r="O34">
            <v>0.47109515260323159</v>
          </cell>
          <cell r="P34">
            <v>0.44058960992270357</v>
          </cell>
          <cell r="Q34">
            <v>1.1802575107296138E-2</v>
          </cell>
          <cell r="R34">
            <v>0.23046524160229925</v>
          </cell>
          <cell r="S34">
            <v>0.41090712742980562</v>
          </cell>
          <cell r="T34">
            <v>0.49209202012940328</v>
          </cell>
          <cell r="U34" t="e">
            <v>#DIV/0!</v>
          </cell>
        </row>
        <row r="38">
          <cell r="F38">
            <v>1608</v>
          </cell>
          <cell r="G38">
            <v>1755</v>
          </cell>
          <cell r="H38">
            <v>1528</v>
          </cell>
          <cell r="I38">
            <v>2358</v>
          </cell>
          <cell r="J38">
            <v>1868</v>
          </cell>
          <cell r="K38">
            <v>2207</v>
          </cell>
          <cell r="L38">
            <v>2018</v>
          </cell>
          <cell r="M38">
            <v>2234</v>
          </cell>
          <cell r="N38">
            <v>2154</v>
          </cell>
          <cell r="O38">
            <v>2334</v>
          </cell>
          <cell r="P38">
            <v>2371</v>
          </cell>
          <cell r="Q38">
            <v>2656</v>
          </cell>
          <cell r="R38">
            <v>2433.2252640706042</v>
          </cell>
          <cell r="S38">
            <v>3235</v>
          </cell>
          <cell r="T38">
            <v>2756</v>
          </cell>
        </row>
        <row r="39">
          <cell r="F39">
            <v>894</v>
          </cell>
          <cell r="G39">
            <v>1254</v>
          </cell>
          <cell r="H39">
            <v>981</v>
          </cell>
          <cell r="I39">
            <v>1198</v>
          </cell>
          <cell r="J39">
            <v>1183</v>
          </cell>
          <cell r="K39">
            <v>1427</v>
          </cell>
          <cell r="L39">
            <v>1259</v>
          </cell>
          <cell r="M39">
            <v>1151</v>
          </cell>
          <cell r="N39">
            <v>1085</v>
          </cell>
          <cell r="O39">
            <v>1430</v>
          </cell>
          <cell r="P39">
            <v>1204</v>
          </cell>
          <cell r="Q39">
            <v>1145</v>
          </cell>
          <cell r="R39">
            <v>1104.8028679412828</v>
          </cell>
          <cell r="S39">
            <v>1416</v>
          </cell>
          <cell r="T39">
            <v>1385</v>
          </cell>
        </row>
        <row r="40">
          <cell r="F40">
            <v>325</v>
          </cell>
          <cell r="G40">
            <v>389</v>
          </cell>
          <cell r="H40">
            <v>492</v>
          </cell>
          <cell r="I40">
            <v>570</v>
          </cell>
          <cell r="J40">
            <v>593</v>
          </cell>
          <cell r="K40">
            <v>606</v>
          </cell>
          <cell r="L40">
            <v>709</v>
          </cell>
          <cell r="M40">
            <v>689</v>
          </cell>
          <cell r="N40">
            <v>708</v>
          </cell>
          <cell r="O40">
            <v>737</v>
          </cell>
          <cell r="P40">
            <v>836</v>
          </cell>
          <cell r="Q40">
            <v>777</v>
          </cell>
          <cell r="R40">
            <v>604.0938756929944</v>
          </cell>
          <cell r="S40">
            <v>705</v>
          </cell>
          <cell r="T40">
            <v>818</v>
          </cell>
        </row>
        <row r="41">
          <cell r="F41">
            <v>1366</v>
          </cell>
          <cell r="G41">
            <v>1797</v>
          </cell>
          <cell r="H41">
            <v>1594</v>
          </cell>
          <cell r="I41">
            <v>1638</v>
          </cell>
          <cell r="J41">
            <v>1740</v>
          </cell>
          <cell r="K41">
            <v>1872</v>
          </cell>
          <cell r="L41">
            <v>1670</v>
          </cell>
          <cell r="M41">
            <v>1730</v>
          </cell>
          <cell r="N41">
            <v>1819</v>
          </cell>
          <cell r="O41">
            <v>2049</v>
          </cell>
          <cell r="P41">
            <v>1992</v>
          </cell>
          <cell r="Q41">
            <v>1999</v>
          </cell>
          <cell r="R41">
            <v>1984.3675963395417</v>
          </cell>
          <cell r="S41">
            <v>2385</v>
          </cell>
          <cell r="T41">
            <v>2286</v>
          </cell>
        </row>
        <row r="42">
          <cell r="F42">
            <v>4193</v>
          </cell>
          <cell r="G42">
            <v>5195</v>
          </cell>
          <cell r="H42">
            <v>4595</v>
          </cell>
          <cell r="I42">
            <v>5764</v>
          </cell>
          <cell r="J42">
            <v>5384</v>
          </cell>
          <cell r="K42">
            <v>6112</v>
          </cell>
          <cell r="L42">
            <v>5656</v>
          </cell>
          <cell r="M42">
            <v>5804</v>
          </cell>
          <cell r="N42">
            <v>5766</v>
          </cell>
          <cell r="O42">
            <v>6550</v>
          </cell>
          <cell r="P42">
            <v>6403</v>
          </cell>
          <cell r="Q42">
            <v>6577</v>
          </cell>
          <cell r="R42">
            <v>6126.4896040444228</v>
          </cell>
          <cell r="S42">
            <v>7741</v>
          </cell>
          <cell r="T42">
            <v>7245</v>
          </cell>
          <cell r="U42">
            <v>0</v>
          </cell>
        </row>
        <row r="45">
          <cell r="F45">
            <v>1560</v>
          </cell>
          <cell r="G45">
            <v>1957</v>
          </cell>
          <cell r="H45">
            <v>1660</v>
          </cell>
          <cell r="I45">
            <v>2598</v>
          </cell>
          <cell r="J45">
            <v>2213</v>
          </cell>
          <cell r="K45">
            <v>2531</v>
          </cell>
          <cell r="L45">
            <v>2263</v>
          </cell>
          <cell r="M45">
            <v>2289</v>
          </cell>
          <cell r="N45">
            <v>2139</v>
          </cell>
          <cell r="O45">
            <v>2485</v>
          </cell>
          <cell r="P45">
            <v>2412</v>
          </cell>
          <cell r="Q45">
            <v>2507</v>
          </cell>
          <cell r="R45">
            <v>2191.6529290182516</v>
          </cell>
          <cell r="S45">
            <v>2449</v>
          </cell>
          <cell r="T45">
            <v>2436</v>
          </cell>
        </row>
        <row r="46">
          <cell r="F46">
            <v>1583</v>
          </cell>
          <cell r="G46">
            <v>1886</v>
          </cell>
          <cell r="H46">
            <v>1582</v>
          </cell>
          <cell r="I46">
            <v>1686</v>
          </cell>
          <cell r="J46">
            <v>1667</v>
          </cell>
          <cell r="K46">
            <v>1829</v>
          </cell>
          <cell r="L46">
            <v>1765</v>
          </cell>
          <cell r="M46">
            <v>1757</v>
          </cell>
          <cell r="N46">
            <v>1883</v>
          </cell>
          <cell r="O46">
            <v>2063</v>
          </cell>
          <cell r="P46">
            <v>2052</v>
          </cell>
          <cell r="Q46">
            <v>2043</v>
          </cell>
          <cell r="R46">
            <v>2017.4589009393314</v>
          </cell>
          <cell r="S46">
            <v>2554</v>
          </cell>
          <cell r="T46">
            <v>2285</v>
          </cell>
        </row>
        <row r="47">
          <cell r="F47">
            <v>3143</v>
          </cell>
          <cell r="G47">
            <v>3843</v>
          </cell>
          <cell r="H47">
            <v>3242</v>
          </cell>
          <cell r="I47">
            <v>4284</v>
          </cell>
          <cell r="J47">
            <v>3880</v>
          </cell>
          <cell r="K47">
            <v>4360</v>
          </cell>
          <cell r="L47">
            <v>4028</v>
          </cell>
          <cell r="M47">
            <v>4046</v>
          </cell>
          <cell r="N47">
            <v>4022</v>
          </cell>
          <cell r="O47">
            <v>4548</v>
          </cell>
          <cell r="P47">
            <v>4464</v>
          </cell>
          <cell r="Q47">
            <v>4550</v>
          </cell>
          <cell r="R47">
            <v>4209.1118299575828</v>
          </cell>
          <cell r="S47">
            <v>5003</v>
          </cell>
          <cell r="T47">
            <v>4721</v>
          </cell>
        </row>
        <row r="48">
          <cell r="F48">
            <v>641</v>
          </cell>
          <cell r="G48">
            <v>780</v>
          </cell>
          <cell r="H48">
            <v>930</v>
          </cell>
          <cell r="I48">
            <v>983</v>
          </cell>
          <cell r="J48">
            <v>949</v>
          </cell>
          <cell r="K48">
            <v>1028</v>
          </cell>
          <cell r="L48">
            <v>1028</v>
          </cell>
          <cell r="M48">
            <v>1076</v>
          </cell>
          <cell r="N48">
            <v>1037</v>
          </cell>
          <cell r="O48">
            <v>1244</v>
          </cell>
          <cell r="P48">
            <v>1254</v>
          </cell>
          <cell r="Q48">
            <v>1294</v>
          </cell>
          <cell r="R48">
            <v>1192.52554816424</v>
          </cell>
          <cell r="S48">
            <v>1288</v>
          </cell>
          <cell r="T48">
            <v>1276</v>
          </cell>
        </row>
        <row r="49">
          <cell r="F49">
            <v>3784</v>
          </cell>
          <cell r="G49">
            <v>4623</v>
          </cell>
          <cell r="H49">
            <v>4172</v>
          </cell>
          <cell r="I49">
            <v>5267</v>
          </cell>
          <cell r="J49">
            <v>4829</v>
          </cell>
          <cell r="K49">
            <v>5388</v>
          </cell>
          <cell r="L49">
            <v>5056</v>
          </cell>
          <cell r="M49">
            <v>5122</v>
          </cell>
          <cell r="N49">
            <v>5059</v>
          </cell>
          <cell r="O49">
            <v>5792</v>
          </cell>
          <cell r="P49">
            <v>5718</v>
          </cell>
          <cell r="Q49">
            <v>5844</v>
          </cell>
          <cell r="R49">
            <v>5401.6373781218226</v>
          </cell>
          <cell r="S49">
            <v>6291</v>
          </cell>
          <cell r="T49">
            <v>5997</v>
          </cell>
        </row>
        <row r="50">
          <cell r="F50">
            <v>232</v>
          </cell>
          <cell r="G50">
            <v>357</v>
          </cell>
          <cell r="H50">
            <v>302</v>
          </cell>
          <cell r="I50">
            <v>296</v>
          </cell>
          <cell r="J50">
            <v>366</v>
          </cell>
          <cell r="K50">
            <v>464</v>
          </cell>
          <cell r="L50">
            <v>378</v>
          </cell>
          <cell r="M50">
            <v>418</v>
          </cell>
          <cell r="N50">
            <v>479</v>
          </cell>
          <cell r="O50">
            <v>506</v>
          </cell>
          <cell r="P50">
            <v>460</v>
          </cell>
          <cell r="Q50">
            <v>509</v>
          </cell>
          <cell r="R50">
            <v>500.78435682509996</v>
          </cell>
          <cell r="S50">
            <v>1197</v>
          </cell>
          <cell r="T50">
            <v>1066</v>
          </cell>
        </row>
        <row r="51">
          <cell r="F51">
            <v>9</v>
          </cell>
          <cell r="G51">
            <v>12</v>
          </cell>
          <cell r="H51">
            <v>15</v>
          </cell>
          <cell r="I51">
            <v>26</v>
          </cell>
          <cell r="J51">
            <v>18</v>
          </cell>
          <cell r="K51">
            <v>30</v>
          </cell>
          <cell r="L51">
            <v>46</v>
          </cell>
          <cell r="M51">
            <v>88</v>
          </cell>
          <cell r="N51">
            <v>63</v>
          </cell>
          <cell r="O51">
            <v>64</v>
          </cell>
          <cell r="P51">
            <v>76</v>
          </cell>
          <cell r="Q51">
            <v>96</v>
          </cell>
          <cell r="R51">
            <v>94.048726380700003</v>
          </cell>
          <cell r="S51">
            <v>90</v>
          </cell>
          <cell r="T51">
            <v>45</v>
          </cell>
        </row>
        <row r="52">
          <cell r="F52">
            <v>168</v>
          </cell>
          <cell r="G52">
            <v>203</v>
          </cell>
          <cell r="H52">
            <v>106</v>
          </cell>
          <cell r="I52">
            <v>175</v>
          </cell>
          <cell r="J52">
            <v>171</v>
          </cell>
          <cell r="K52">
            <v>230</v>
          </cell>
          <cell r="L52">
            <v>176</v>
          </cell>
          <cell r="M52">
            <v>176</v>
          </cell>
          <cell r="N52">
            <v>165</v>
          </cell>
          <cell r="O52">
            <v>188</v>
          </cell>
          <cell r="P52">
            <v>149</v>
          </cell>
          <cell r="Q52">
            <v>128</v>
          </cell>
          <cell r="R52">
            <v>129.01914271679999</v>
          </cell>
          <cell r="S52">
            <v>163</v>
          </cell>
          <cell r="T52">
            <v>137</v>
          </cell>
        </row>
        <row r="53">
          <cell r="F53">
            <v>4193</v>
          </cell>
          <cell r="G53">
            <v>5195</v>
          </cell>
          <cell r="H53">
            <v>4595</v>
          </cell>
          <cell r="I53">
            <v>5764</v>
          </cell>
          <cell r="J53">
            <v>5384</v>
          </cell>
          <cell r="K53">
            <v>6112</v>
          </cell>
          <cell r="L53">
            <v>5656</v>
          </cell>
          <cell r="M53">
            <v>5804</v>
          </cell>
          <cell r="N53">
            <v>5766</v>
          </cell>
          <cell r="O53">
            <v>6550</v>
          </cell>
          <cell r="P53">
            <v>6403</v>
          </cell>
          <cell r="Q53">
            <v>6577</v>
          </cell>
          <cell r="R53">
            <v>6126.4896040444228</v>
          </cell>
          <cell r="S53">
            <v>7741</v>
          </cell>
          <cell r="T53">
            <v>7245</v>
          </cell>
          <cell r="U53">
            <v>0</v>
          </cell>
        </row>
        <row r="56">
          <cell r="F56">
            <v>543</v>
          </cell>
          <cell r="G56">
            <v>532</v>
          </cell>
          <cell r="H56">
            <v>508</v>
          </cell>
          <cell r="I56">
            <v>678</v>
          </cell>
          <cell r="J56">
            <v>627</v>
          </cell>
          <cell r="K56">
            <v>690</v>
          </cell>
          <cell r="L56">
            <v>763</v>
          </cell>
          <cell r="M56">
            <v>836</v>
          </cell>
          <cell r="N56">
            <v>705</v>
          </cell>
          <cell r="O56">
            <v>638</v>
          </cell>
          <cell r="P56">
            <v>762</v>
          </cell>
          <cell r="Q56">
            <v>1197</v>
          </cell>
          <cell r="R56">
            <v>949</v>
          </cell>
          <cell r="S56">
            <v>956</v>
          </cell>
          <cell r="V56" t="str">
            <v>Q01-2: CG CoGS reclass - 76m; Other headcount %40m lower than prior year; Infrastructure flat with Q00-2</v>
          </cell>
        </row>
        <row r="57">
          <cell r="F57">
            <v>108</v>
          </cell>
          <cell r="G57">
            <v>183</v>
          </cell>
          <cell r="H57">
            <v>156</v>
          </cell>
          <cell r="I57">
            <v>262</v>
          </cell>
          <cell r="J57">
            <v>186</v>
          </cell>
          <cell r="K57">
            <v>208</v>
          </cell>
          <cell r="L57">
            <v>211</v>
          </cell>
          <cell r="M57">
            <v>251</v>
          </cell>
          <cell r="N57">
            <v>251</v>
          </cell>
          <cell r="O57">
            <v>268</v>
          </cell>
          <cell r="P57">
            <v>296</v>
          </cell>
          <cell r="Q57">
            <v>167</v>
          </cell>
          <cell r="R57">
            <v>63</v>
          </cell>
          <cell r="S57">
            <v>88</v>
          </cell>
          <cell r="V57" t="str">
            <v>Q01-2:  External loc down 23% from Q00-2</v>
          </cell>
        </row>
        <row r="58">
          <cell r="F58">
            <v>651</v>
          </cell>
          <cell r="G58">
            <v>715</v>
          </cell>
          <cell r="H58">
            <v>664</v>
          </cell>
          <cell r="I58">
            <v>940</v>
          </cell>
          <cell r="J58">
            <v>813</v>
          </cell>
          <cell r="K58">
            <v>898</v>
          </cell>
          <cell r="L58">
            <v>974</v>
          </cell>
          <cell r="M58">
            <v>1087</v>
          </cell>
          <cell r="N58">
            <v>956</v>
          </cell>
          <cell r="O58">
            <v>906</v>
          </cell>
          <cell r="P58">
            <v>1058</v>
          </cell>
          <cell r="Q58">
            <v>1364</v>
          </cell>
          <cell r="R58">
            <v>1012</v>
          </cell>
          <cell r="S58">
            <v>1044</v>
          </cell>
          <cell r="T58">
            <v>1058</v>
          </cell>
        </row>
        <row r="61">
          <cell r="F61">
            <v>311</v>
          </cell>
          <cell r="G61">
            <v>319</v>
          </cell>
          <cell r="H61">
            <v>451</v>
          </cell>
          <cell r="I61">
            <v>497</v>
          </cell>
          <cell r="J61">
            <v>375</v>
          </cell>
          <cell r="K61">
            <v>374</v>
          </cell>
          <cell r="L61">
            <v>378</v>
          </cell>
          <cell r="M61">
            <v>622</v>
          </cell>
          <cell r="N61">
            <v>508</v>
          </cell>
          <cell r="O61">
            <v>670</v>
          </cell>
          <cell r="P61">
            <v>578</v>
          </cell>
          <cell r="R61">
            <v>508</v>
          </cell>
          <cell r="S61">
            <v>670</v>
          </cell>
          <cell r="T61">
            <v>578</v>
          </cell>
        </row>
        <row r="63">
          <cell r="F63">
            <v>360</v>
          </cell>
          <cell r="G63">
            <v>440</v>
          </cell>
          <cell r="H63">
            <v>356</v>
          </cell>
          <cell r="I63">
            <v>415</v>
          </cell>
          <cell r="J63">
            <v>541</v>
          </cell>
          <cell r="K63">
            <v>630</v>
          </cell>
          <cell r="L63">
            <v>567</v>
          </cell>
          <cell r="M63">
            <v>577</v>
          </cell>
          <cell r="N63">
            <v>626</v>
          </cell>
          <cell r="O63">
            <v>752</v>
          </cell>
          <cell r="P63">
            <v>683</v>
          </cell>
          <cell r="R63">
            <v>626</v>
          </cell>
          <cell r="S63">
            <v>752</v>
          </cell>
          <cell r="T63">
            <v>683</v>
          </cell>
        </row>
        <row r="64">
          <cell r="F64">
            <v>6</v>
          </cell>
          <cell r="G64">
            <v>30</v>
          </cell>
          <cell r="H64">
            <v>29</v>
          </cell>
          <cell r="I64">
            <v>15</v>
          </cell>
          <cell r="J64">
            <v>1</v>
          </cell>
          <cell r="K64">
            <v>2</v>
          </cell>
          <cell r="L64">
            <v>9</v>
          </cell>
          <cell r="M64">
            <v>28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150</v>
          </cell>
          <cell r="G65">
            <v>155</v>
          </cell>
          <cell r="H65">
            <v>153</v>
          </cell>
          <cell r="I65">
            <v>187</v>
          </cell>
          <cell r="J65">
            <v>160</v>
          </cell>
          <cell r="K65">
            <v>184</v>
          </cell>
          <cell r="L65">
            <v>190</v>
          </cell>
          <cell r="M65">
            <v>219</v>
          </cell>
          <cell r="N65">
            <v>239</v>
          </cell>
          <cell r="O65">
            <v>253</v>
          </cell>
          <cell r="P65">
            <v>254</v>
          </cell>
          <cell r="R65">
            <v>239</v>
          </cell>
          <cell r="S65">
            <v>253</v>
          </cell>
          <cell r="T65">
            <v>254</v>
          </cell>
        </row>
        <row r="66">
          <cell r="F66">
            <v>827</v>
          </cell>
          <cell r="G66">
            <v>944</v>
          </cell>
          <cell r="H66">
            <v>989</v>
          </cell>
          <cell r="I66">
            <v>1114</v>
          </cell>
          <cell r="J66">
            <v>1077</v>
          </cell>
          <cell r="K66">
            <v>1190</v>
          </cell>
          <cell r="L66">
            <v>1144</v>
          </cell>
          <cell r="M66">
            <v>1446</v>
          </cell>
          <cell r="N66">
            <v>1373</v>
          </cell>
          <cell r="O66">
            <v>1675</v>
          </cell>
          <cell r="P66">
            <v>1515</v>
          </cell>
          <cell r="R66">
            <v>1373</v>
          </cell>
          <cell r="S66">
            <v>1675</v>
          </cell>
          <cell r="T66">
            <v>1515</v>
          </cell>
        </row>
        <row r="67">
          <cell r="F67">
            <v>-150</v>
          </cell>
          <cell r="G67">
            <v>-155</v>
          </cell>
          <cell r="H67">
            <v>-153</v>
          </cell>
          <cell r="I67">
            <v>-187</v>
          </cell>
          <cell r="J67">
            <v>-160</v>
          </cell>
          <cell r="K67">
            <v>-184</v>
          </cell>
          <cell r="L67">
            <v>-190</v>
          </cell>
          <cell r="M67">
            <v>-219</v>
          </cell>
          <cell r="N67">
            <v>-239</v>
          </cell>
          <cell r="O67">
            <v>-253</v>
          </cell>
          <cell r="P67">
            <v>-254</v>
          </cell>
          <cell r="R67">
            <v>-239</v>
          </cell>
          <cell r="S67">
            <v>-253</v>
          </cell>
          <cell r="T67">
            <v>-254</v>
          </cell>
        </row>
        <row r="68">
          <cell r="F68">
            <v>-3</v>
          </cell>
          <cell r="G68">
            <v>5</v>
          </cell>
          <cell r="H68">
            <v>-4</v>
          </cell>
          <cell r="I68">
            <v>-13</v>
          </cell>
          <cell r="J68">
            <v>-12</v>
          </cell>
          <cell r="K68">
            <v>-9</v>
          </cell>
          <cell r="L68">
            <v>27</v>
          </cell>
          <cell r="M68">
            <v>-29</v>
          </cell>
          <cell r="N68">
            <v>-96</v>
          </cell>
          <cell r="O68">
            <v>-79</v>
          </cell>
          <cell r="P68">
            <v>-86</v>
          </cell>
          <cell r="R68">
            <v>-96</v>
          </cell>
          <cell r="S68">
            <v>-79</v>
          </cell>
          <cell r="T68">
            <v>-86</v>
          </cell>
        </row>
        <row r="69">
          <cell r="F69">
            <v>11</v>
          </cell>
          <cell r="G69">
            <v>4</v>
          </cell>
          <cell r="H69">
            <v>10</v>
          </cell>
          <cell r="I69">
            <v>-1</v>
          </cell>
          <cell r="J69">
            <v>17</v>
          </cell>
          <cell r="K69">
            <v>16</v>
          </cell>
          <cell r="L69">
            <v>29</v>
          </cell>
          <cell r="M69">
            <v>-17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685</v>
          </cell>
          <cell r="G70">
            <v>798</v>
          </cell>
          <cell r="H70">
            <v>842</v>
          </cell>
          <cell r="I70">
            <v>913</v>
          </cell>
          <cell r="J70">
            <v>922</v>
          </cell>
          <cell r="K70">
            <v>1013</v>
          </cell>
          <cell r="L70">
            <v>1010</v>
          </cell>
          <cell r="M70">
            <v>1181</v>
          </cell>
          <cell r="N70">
            <v>1038</v>
          </cell>
          <cell r="O70">
            <v>1343</v>
          </cell>
          <cell r="P70">
            <v>1175</v>
          </cell>
          <cell r="R70">
            <v>1038</v>
          </cell>
          <cell r="S70">
            <v>1343</v>
          </cell>
          <cell r="T70">
            <v>1175</v>
          </cell>
        </row>
        <row r="72">
          <cell r="F72">
            <v>325</v>
          </cell>
          <cell r="G72">
            <v>358</v>
          </cell>
          <cell r="H72">
            <v>486</v>
          </cell>
          <cell r="I72">
            <v>498</v>
          </cell>
          <cell r="J72">
            <v>381</v>
          </cell>
          <cell r="K72">
            <v>383</v>
          </cell>
          <cell r="L72">
            <v>443</v>
          </cell>
          <cell r="M72">
            <v>604</v>
          </cell>
          <cell r="N72">
            <v>412</v>
          </cell>
          <cell r="O72">
            <v>591</v>
          </cell>
          <cell r="P72">
            <v>492</v>
          </cell>
          <cell r="Q72">
            <v>465037750.80999988</v>
          </cell>
          <cell r="R72">
            <v>513409245.25999999</v>
          </cell>
          <cell r="S72">
            <v>712035481.99999988</v>
          </cell>
        </row>
        <row r="73">
          <cell r="F73">
            <v>360</v>
          </cell>
          <cell r="G73">
            <v>440</v>
          </cell>
          <cell r="H73">
            <v>356</v>
          </cell>
          <cell r="I73">
            <v>415</v>
          </cell>
          <cell r="J73">
            <v>541</v>
          </cell>
          <cell r="K73">
            <v>630</v>
          </cell>
          <cell r="L73">
            <v>567</v>
          </cell>
          <cell r="M73">
            <v>577</v>
          </cell>
          <cell r="N73">
            <v>626</v>
          </cell>
          <cell r="O73">
            <v>752</v>
          </cell>
          <cell r="P73">
            <v>683</v>
          </cell>
          <cell r="Q73">
            <v>895288390.87710011</v>
          </cell>
          <cell r="R73">
            <v>631917540.59000051</v>
          </cell>
          <cell r="S73">
            <v>767462858.73999977</v>
          </cell>
        </row>
        <row r="74">
          <cell r="F74">
            <v>685</v>
          </cell>
          <cell r="G74">
            <v>798</v>
          </cell>
          <cell r="H74">
            <v>842</v>
          </cell>
          <cell r="I74">
            <v>913</v>
          </cell>
          <cell r="J74">
            <v>922</v>
          </cell>
          <cell r="K74">
            <v>1013</v>
          </cell>
          <cell r="L74">
            <v>1010</v>
          </cell>
          <cell r="M74">
            <v>1181</v>
          </cell>
          <cell r="N74">
            <v>1038</v>
          </cell>
          <cell r="O74">
            <v>1343</v>
          </cell>
          <cell r="P74">
            <v>1175</v>
          </cell>
          <cell r="Q74">
            <v>1360326141.6870999</v>
          </cell>
          <cell r="R74">
            <v>1145326785.8500004</v>
          </cell>
          <cell r="S74">
            <v>1479498340.7399998</v>
          </cell>
          <cell r="T74">
            <v>1175</v>
          </cell>
        </row>
        <row r="77">
          <cell r="F77">
            <v>3953</v>
          </cell>
          <cell r="G77">
            <v>4938</v>
          </cell>
          <cell r="H77">
            <v>4331</v>
          </cell>
          <cell r="I77">
            <v>5463</v>
          </cell>
          <cell r="J77">
            <v>5106</v>
          </cell>
          <cell r="K77">
            <v>5851</v>
          </cell>
          <cell r="L77">
            <v>5364</v>
          </cell>
          <cell r="M77">
            <v>5505</v>
          </cell>
          <cell r="N77">
            <v>5454</v>
          </cell>
          <cell r="O77">
            <v>6234</v>
          </cell>
          <cell r="P77">
            <v>6052</v>
          </cell>
          <cell r="Q77">
            <v>6173</v>
          </cell>
          <cell r="R77">
            <v>5711</v>
          </cell>
          <cell r="S77">
            <v>7281</v>
          </cell>
        </row>
        <row r="78">
          <cell r="F78">
            <v>51</v>
          </cell>
          <cell r="G78">
            <v>52</v>
          </cell>
          <cell r="H78">
            <v>57</v>
          </cell>
          <cell r="I78">
            <v>62</v>
          </cell>
          <cell r="J78">
            <v>65</v>
          </cell>
          <cell r="K78">
            <v>69</v>
          </cell>
          <cell r="L78">
            <v>76</v>
          </cell>
          <cell r="M78">
            <v>76</v>
          </cell>
          <cell r="N78">
            <v>80</v>
          </cell>
          <cell r="O78">
            <v>87</v>
          </cell>
          <cell r="P78">
            <v>91</v>
          </cell>
          <cell r="Q78">
            <v>97</v>
          </cell>
          <cell r="R78">
            <v>96</v>
          </cell>
          <cell r="S78">
            <v>107</v>
          </cell>
        </row>
        <row r="79">
          <cell r="F79">
            <v>77</v>
          </cell>
          <cell r="G79">
            <v>83</v>
          </cell>
          <cell r="H79">
            <v>92</v>
          </cell>
          <cell r="I79">
            <v>100</v>
          </cell>
          <cell r="J79">
            <v>97</v>
          </cell>
          <cell r="K79">
            <v>85</v>
          </cell>
          <cell r="L79">
            <v>80</v>
          </cell>
          <cell r="M79">
            <v>99</v>
          </cell>
          <cell r="N79">
            <v>123</v>
          </cell>
          <cell r="O79">
            <v>89</v>
          </cell>
          <cell r="P79">
            <v>130</v>
          </cell>
          <cell r="Q79">
            <v>154</v>
          </cell>
          <cell r="R79">
            <v>177</v>
          </cell>
          <cell r="S79">
            <v>180</v>
          </cell>
        </row>
        <row r="80">
          <cell r="F80">
            <v>75</v>
          </cell>
          <cell r="G80">
            <v>86</v>
          </cell>
          <cell r="H80">
            <v>78</v>
          </cell>
          <cell r="I80">
            <v>92</v>
          </cell>
          <cell r="J80">
            <v>73</v>
          </cell>
          <cell r="K80">
            <v>82</v>
          </cell>
          <cell r="L80">
            <v>86</v>
          </cell>
          <cell r="M80">
            <v>94</v>
          </cell>
          <cell r="N80">
            <v>95</v>
          </cell>
          <cell r="O80">
            <v>119</v>
          </cell>
          <cell r="P80">
            <v>133</v>
          </cell>
          <cell r="Q80">
            <v>133</v>
          </cell>
          <cell r="R80">
            <v>117</v>
          </cell>
          <cell r="S80">
            <v>147</v>
          </cell>
        </row>
        <row r="81">
          <cell r="F81">
            <v>37</v>
          </cell>
          <cell r="G81">
            <v>36</v>
          </cell>
          <cell r="H81">
            <v>37</v>
          </cell>
          <cell r="I81">
            <v>47</v>
          </cell>
          <cell r="J81">
            <v>43</v>
          </cell>
          <cell r="K81">
            <v>25</v>
          </cell>
          <cell r="L81">
            <v>50</v>
          </cell>
          <cell r="M81">
            <v>30</v>
          </cell>
          <cell r="N81">
            <v>48</v>
          </cell>
          <cell r="O81">
            <v>55</v>
          </cell>
          <cell r="P81">
            <v>50</v>
          </cell>
          <cell r="Q81">
            <v>20</v>
          </cell>
          <cell r="R81">
            <v>25</v>
          </cell>
          <cell r="S81">
            <v>26</v>
          </cell>
        </row>
        <row r="82">
          <cell r="F82">
            <v>4193</v>
          </cell>
          <cell r="G82">
            <v>5195</v>
          </cell>
          <cell r="H82">
            <v>4595</v>
          </cell>
          <cell r="I82">
            <v>5764</v>
          </cell>
          <cell r="J82">
            <v>5384</v>
          </cell>
          <cell r="K82">
            <v>6112</v>
          </cell>
          <cell r="L82">
            <v>5656</v>
          </cell>
          <cell r="M82">
            <v>5804</v>
          </cell>
          <cell r="N82">
            <v>5800</v>
          </cell>
          <cell r="O82">
            <v>6584</v>
          </cell>
          <cell r="P82">
            <v>6456</v>
          </cell>
          <cell r="Q82">
            <v>6577</v>
          </cell>
          <cell r="R82">
            <v>6126</v>
          </cell>
          <cell r="S82">
            <v>7741</v>
          </cell>
          <cell r="T82">
            <v>6456</v>
          </cell>
        </row>
        <row r="85">
          <cell r="F85">
            <v>307</v>
          </cell>
          <cell r="G85">
            <v>433</v>
          </cell>
          <cell r="H85">
            <v>350</v>
          </cell>
          <cell r="I85">
            <v>229</v>
          </cell>
          <cell r="J85">
            <v>333</v>
          </cell>
          <cell r="K85">
            <v>353</v>
          </cell>
          <cell r="L85">
            <v>343</v>
          </cell>
          <cell r="M85">
            <v>320</v>
          </cell>
          <cell r="N85">
            <v>428</v>
          </cell>
          <cell r="O85">
            <v>454</v>
          </cell>
          <cell r="P85">
            <v>507</v>
          </cell>
          <cell r="Q85">
            <v>455</v>
          </cell>
          <cell r="R85">
            <v>353</v>
          </cell>
          <cell r="S85">
            <v>456</v>
          </cell>
        </row>
        <row r="86">
          <cell r="F86">
            <v>201</v>
          </cell>
          <cell r="G86">
            <v>207</v>
          </cell>
          <cell r="H86">
            <v>210</v>
          </cell>
          <cell r="I86">
            <v>249</v>
          </cell>
          <cell r="J86">
            <v>225</v>
          </cell>
          <cell r="K86">
            <v>253</v>
          </cell>
          <cell r="L86">
            <v>266</v>
          </cell>
          <cell r="M86">
            <v>295</v>
          </cell>
          <cell r="N86">
            <v>239</v>
          </cell>
          <cell r="O86">
            <v>253</v>
          </cell>
          <cell r="P86">
            <v>254</v>
          </cell>
          <cell r="Q86">
            <v>248</v>
          </cell>
          <cell r="R86">
            <v>260</v>
          </cell>
          <cell r="S86">
            <v>187</v>
          </cell>
        </row>
        <row r="87">
          <cell r="F87">
            <v>37</v>
          </cell>
          <cell r="G87">
            <v>35</v>
          </cell>
          <cell r="H87">
            <v>39</v>
          </cell>
          <cell r="I87">
            <v>38</v>
          </cell>
          <cell r="J87">
            <v>43</v>
          </cell>
          <cell r="K87">
            <v>50</v>
          </cell>
          <cell r="L87">
            <v>63</v>
          </cell>
          <cell r="M87">
            <v>31</v>
          </cell>
          <cell r="N87">
            <v>78</v>
          </cell>
          <cell r="O87">
            <v>88</v>
          </cell>
          <cell r="P87">
            <v>103</v>
          </cell>
          <cell r="Q87">
            <v>117</v>
          </cell>
          <cell r="R87">
            <v>118</v>
          </cell>
          <cell r="S87">
            <v>125</v>
          </cell>
        </row>
        <row r="88">
          <cell r="F88">
            <v>78</v>
          </cell>
          <cell r="G88">
            <v>81</v>
          </cell>
          <cell r="H88">
            <v>82</v>
          </cell>
          <cell r="I88">
            <v>105</v>
          </cell>
          <cell r="J88">
            <v>85</v>
          </cell>
          <cell r="K88">
            <v>91</v>
          </cell>
          <cell r="L88">
            <v>59</v>
          </cell>
          <cell r="M88">
            <v>123</v>
          </cell>
          <cell r="N88">
            <v>96</v>
          </cell>
          <cell r="O88">
            <v>79</v>
          </cell>
          <cell r="P88">
            <v>86</v>
          </cell>
          <cell r="Q88">
            <v>89</v>
          </cell>
          <cell r="R88">
            <v>138</v>
          </cell>
          <cell r="S88">
            <v>113</v>
          </cell>
        </row>
        <row r="89">
          <cell r="F89">
            <v>26</v>
          </cell>
          <cell r="G89">
            <v>32</v>
          </cell>
          <cell r="H89">
            <v>27</v>
          </cell>
          <cell r="I89">
            <v>48</v>
          </cell>
          <cell r="J89">
            <v>26</v>
          </cell>
          <cell r="K89">
            <v>9</v>
          </cell>
          <cell r="L89">
            <v>21</v>
          </cell>
          <cell r="M89">
            <v>13</v>
          </cell>
          <cell r="N89">
            <v>18</v>
          </cell>
          <cell r="O89">
            <v>24</v>
          </cell>
          <cell r="P89">
            <v>25</v>
          </cell>
          <cell r="Q89">
            <v>25</v>
          </cell>
          <cell r="R89">
            <v>15</v>
          </cell>
          <cell r="S89">
            <v>16</v>
          </cell>
        </row>
        <row r="90">
          <cell r="F90">
            <v>649</v>
          </cell>
          <cell r="G90">
            <v>788</v>
          </cell>
          <cell r="H90">
            <v>708</v>
          </cell>
          <cell r="I90">
            <v>669</v>
          </cell>
          <cell r="J90">
            <v>712</v>
          </cell>
          <cell r="K90">
            <v>756</v>
          </cell>
          <cell r="L90">
            <v>752</v>
          </cell>
          <cell r="M90">
            <v>782</v>
          </cell>
          <cell r="N90">
            <v>859</v>
          </cell>
          <cell r="O90">
            <v>898</v>
          </cell>
          <cell r="P90">
            <v>975</v>
          </cell>
          <cell r="Q90">
            <v>934</v>
          </cell>
          <cell r="R90">
            <v>884</v>
          </cell>
          <cell r="S90">
            <v>897</v>
          </cell>
          <cell r="T90">
            <v>975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WW Scoreboard pg 1"/>
      <sheetName val="WW Scoreboard pg 2"/>
      <sheetName val="Data"/>
      <sheetName val="Stock Price History look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odPrintPivots"/>
      <sheetName val="dlgPivotTables"/>
      <sheetName val="dlgPageFields"/>
      <sheetName val="dlgPivotItems"/>
      <sheetName val="dlgPrint"/>
      <sheetName val="Dialog1"/>
      <sheetName val="Consolidated"/>
      <sheetName val="RevSum"/>
      <sheetName val="Info"/>
      <sheetName val="BySub"/>
      <sheetName val="03-020 Pass-through Entit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Query Criteria"/>
      <sheetName val="Criteria Data Sheet"/>
      <sheetName val="RevSum Scrub"/>
      <sheetName val="RevSum Consolidated"/>
      <sheetName val="Version"/>
      <sheetName val="Pharma Proj P&amp;L"/>
    </sheetNames>
    <sheetDataSet>
      <sheetData sheetId="0"/>
      <sheetData sheetId="1" refreshError="1">
        <row r="24">
          <cell r="B24" t="str">
            <v>USD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AO61"/>
  <sheetViews>
    <sheetView tabSelected="1" view="pageBreakPreview" topLeftCell="B1" zoomScale="115" zoomScaleNormal="100" zoomScaleSheetLayoutView="115" workbookViewId="0">
      <selection activeCell="F16" sqref="F16"/>
    </sheetView>
  </sheetViews>
  <sheetFormatPr defaultRowHeight="12.75" outlineLevelCol="1"/>
  <cols>
    <col min="1" max="1" width="4.7109375" style="1" customWidth="1"/>
    <col min="2" max="5" width="1.42578125" style="1" customWidth="1"/>
    <col min="6" max="6" width="34.7109375" style="1" customWidth="1"/>
    <col min="7" max="7" width="11.42578125" style="2" customWidth="1" outlineLevel="1"/>
    <col min="8" max="8" width="9.140625" style="1" outlineLevel="1"/>
    <col min="9" max="9" width="12.140625" style="1" bestFit="1" customWidth="1" outlineLevel="1"/>
    <col min="10" max="10" width="11.7109375" style="1" customWidth="1"/>
    <col min="11" max="11" width="11.42578125" style="2" customWidth="1" outlineLevel="1"/>
    <col min="12" max="12" width="10.28515625" style="1" bestFit="1" customWidth="1" outlineLevel="1"/>
    <col min="13" max="13" width="13.28515625" style="1" bestFit="1" customWidth="1" outlineLevel="1"/>
    <col min="14" max="14" width="11.7109375" style="1" customWidth="1"/>
    <col min="15" max="15" width="11.42578125" style="2" customWidth="1" outlineLevel="1"/>
    <col min="16" max="16384" width="9.140625" style="1"/>
  </cols>
  <sheetData>
    <row r="1" spans="1:41" ht="15.75">
      <c r="A1" s="35" t="s">
        <v>40</v>
      </c>
      <c r="B1" s="35"/>
      <c r="C1" s="34"/>
      <c r="D1" s="34"/>
      <c r="E1" s="34"/>
      <c r="F1" s="34"/>
    </row>
    <row r="2" spans="1:41" ht="15.75">
      <c r="A2" s="35" t="s">
        <v>39</v>
      </c>
      <c r="B2" s="35"/>
      <c r="C2" s="34"/>
      <c r="D2" s="34"/>
      <c r="E2" s="34"/>
      <c r="F2" s="34"/>
    </row>
    <row r="3" spans="1:41">
      <c r="A3" s="29" t="s">
        <v>38</v>
      </c>
      <c r="B3" s="29"/>
      <c r="C3" s="34"/>
      <c r="D3" s="34"/>
      <c r="E3" s="34"/>
      <c r="F3" s="34"/>
    </row>
    <row r="4" spans="1:41">
      <c r="A4" s="29" t="s">
        <v>37</v>
      </c>
      <c r="B4" s="29"/>
      <c r="C4" s="28"/>
      <c r="D4" s="28"/>
      <c r="E4" s="28"/>
      <c r="F4" s="28"/>
    </row>
    <row r="5" spans="1:41">
      <c r="A5" s="29"/>
      <c r="B5" s="29"/>
      <c r="C5" s="28"/>
      <c r="D5" s="28"/>
      <c r="E5" s="28"/>
      <c r="F5" s="28"/>
      <c r="G5" s="33" t="s">
        <v>36</v>
      </c>
      <c r="H5" s="33"/>
      <c r="I5" s="33"/>
      <c r="J5" s="33"/>
      <c r="K5" s="33" t="s">
        <v>36</v>
      </c>
      <c r="L5" s="33"/>
      <c r="M5" s="33"/>
      <c r="N5" s="33"/>
      <c r="O5" s="32" t="s">
        <v>36</v>
      </c>
    </row>
    <row r="6" spans="1:41">
      <c r="A6" s="29"/>
      <c r="B6" s="28"/>
      <c r="C6" s="28"/>
      <c r="D6" s="28"/>
      <c r="E6" s="28"/>
      <c r="F6" s="28"/>
      <c r="G6" s="30" t="s">
        <v>31</v>
      </c>
      <c r="H6" s="30" t="s">
        <v>34</v>
      </c>
      <c r="I6" s="30" t="s">
        <v>35</v>
      </c>
      <c r="J6" s="31" t="s">
        <v>32</v>
      </c>
      <c r="K6" s="30" t="s">
        <v>31</v>
      </c>
      <c r="L6" s="30" t="s">
        <v>34</v>
      </c>
      <c r="M6" s="30" t="s">
        <v>33</v>
      </c>
      <c r="N6" s="31" t="s">
        <v>32</v>
      </c>
      <c r="O6" s="30" t="s">
        <v>31</v>
      </c>
    </row>
    <row r="7" spans="1:41">
      <c r="A7" s="29"/>
      <c r="B7" s="28"/>
      <c r="C7" s="28"/>
      <c r="D7" s="28"/>
      <c r="E7" s="28"/>
      <c r="F7" s="28"/>
      <c r="G7" s="26">
        <v>2010</v>
      </c>
      <c r="H7" s="26">
        <v>2010</v>
      </c>
      <c r="I7" s="26">
        <v>2010</v>
      </c>
      <c r="J7" s="27">
        <v>2010</v>
      </c>
      <c r="K7" s="26">
        <v>2011</v>
      </c>
      <c r="L7" s="26">
        <v>2011</v>
      </c>
      <c r="M7" s="26">
        <v>2011</v>
      </c>
      <c r="N7" s="27">
        <v>2011</v>
      </c>
      <c r="O7" s="26">
        <v>2012</v>
      </c>
    </row>
    <row r="8" spans="1:41">
      <c r="A8" s="5" t="s">
        <v>30</v>
      </c>
      <c r="B8" s="5"/>
      <c r="C8" s="3"/>
      <c r="D8" s="3"/>
      <c r="E8" s="3"/>
      <c r="F8" s="3"/>
      <c r="J8" s="25"/>
      <c r="N8" s="25"/>
    </row>
    <row r="9" spans="1:41">
      <c r="A9" s="3" t="s">
        <v>29</v>
      </c>
      <c r="B9" s="3"/>
      <c r="C9" s="3"/>
      <c r="D9" s="3"/>
      <c r="E9" s="3"/>
      <c r="F9" s="3"/>
      <c r="J9" s="25"/>
      <c r="N9" s="25"/>
    </row>
    <row r="10" spans="1:41">
      <c r="A10" s="3"/>
      <c r="B10" s="2"/>
      <c r="C10" s="3" t="s">
        <v>28</v>
      </c>
      <c r="D10" s="3"/>
      <c r="E10" s="3"/>
      <c r="F10" s="3"/>
      <c r="G10" s="24">
        <v>79861</v>
      </c>
      <c r="H10" s="24">
        <v>107327</v>
      </c>
      <c r="I10" s="24">
        <v>113108</v>
      </c>
      <c r="J10" s="22">
        <v>194499</v>
      </c>
      <c r="K10" s="24">
        <v>150419</v>
      </c>
      <c r="L10" s="24">
        <v>175207</v>
      </c>
      <c r="M10" s="24">
        <v>159199</v>
      </c>
      <c r="N10" s="22">
        <v>508053</v>
      </c>
      <c r="O10" s="24">
        <v>395992</v>
      </c>
    </row>
    <row r="11" spans="1:41">
      <c r="A11" s="3"/>
      <c r="B11" s="2"/>
      <c r="C11" s="3" t="s">
        <v>27</v>
      </c>
      <c r="D11" s="3"/>
      <c r="E11" s="3"/>
      <c r="F11" s="3"/>
      <c r="G11" s="16">
        <v>186469</v>
      </c>
      <c r="H11" s="16">
        <v>171758</v>
      </c>
      <c r="I11" s="16">
        <v>143705</v>
      </c>
      <c r="J11" s="17">
        <v>155888</v>
      </c>
      <c r="K11" s="16">
        <v>192302</v>
      </c>
      <c r="L11" s="16">
        <v>201200</v>
      </c>
      <c r="M11" s="16">
        <v>206573</v>
      </c>
      <c r="N11" s="17">
        <v>289758</v>
      </c>
      <c r="O11" s="16">
        <v>408534</v>
      </c>
    </row>
    <row r="12" spans="1:41">
      <c r="A12" s="3"/>
      <c r="B12" s="2"/>
      <c r="C12" s="3" t="s">
        <v>26</v>
      </c>
      <c r="D12" s="3"/>
      <c r="E12" s="3"/>
      <c r="F12" s="3"/>
      <c r="G12" s="16">
        <v>55566</v>
      </c>
      <c r="H12" s="16">
        <v>93123</v>
      </c>
      <c r="I12" s="16">
        <v>138389</v>
      </c>
      <c r="J12" s="17">
        <v>181006</v>
      </c>
      <c r="K12" s="16">
        <v>265933</v>
      </c>
      <c r="L12" s="16">
        <v>499434</v>
      </c>
      <c r="M12" s="16">
        <v>705398</v>
      </c>
      <c r="N12" s="17">
        <v>919709</v>
      </c>
      <c r="O12" s="16">
        <v>1155443</v>
      </c>
    </row>
    <row r="13" spans="1:41">
      <c r="A13" s="3"/>
      <c r="B13" s="2"/>
      <c r="C13" s="3" t="s">
        <v>25</v>
      </c>
      <c r="D13" s="3"/>
      <c r="E13" s="3"/>
      <c r="F13" s="3"/>
      <c r="G13" s="16">
        <v>31704</v>
      </c>
      <c r="H13" s="16">
        <v>33837</v>
      </c>
      <c r="I13" s="16">
        <v>59322</v>
      </c>
      <c r="J13" s="17">
        <v>62217</v>
      </c>
      <c r="K13" s="16">
        <v>74597</v>
      </c>
      <c r="L13" s="16">
        <v>59811</v>
      </c>
      <c r="M13" s="16">
        <v>77146</v>
      </c>
      <c r="N13" s="17">
        <v>56007</v>
      </c>
      <c r="O13" s="16">
        <v>53013</v>
      </c>
    </row>
    <row r="14" spans="1:41">
      <c r="A14" s="3"/>
      <c r="B14" s="2"/>
      <c r="C14" s="3" t="s">
        <v>24</v>
      </c>
      <c r="D14" s="3"/>
      <c r="E14" s="3"/>
      <c r="F14" s="3"/>
      <c r="G14" s="18">
        <v>25938</v>
      </c>
      <c r="H14" s="18">
        <v>35173</v>
      </c>
      <c r="I14" s="18">
        <v>37723</v>
      </c>
      <c r="J14" s="19">
        <v>43621</v>
      </c>
      <c r="K14" s="18">
        <v>34201</v>
      </c>
      <c r="L14" s="18">
        <v>30287</v>
      </c>
      <c r="M14" s="18">
        <v>41797</v>
      </c>
      <c r="N14" s="19">
        <v>57330</v>
      </c>
      <c r="O14" s="18">
        <v>45759</v>
      </c>
    </row>
    <row r="15" spans="1:41">
      <c r="A15" s="3"/>
      <c r="B15" s="3"/>
      <c r="C15" s="3"/>
      <c r="D15" s="3"/>
      <c r="E15" s="3"/>
      <c r="F15" s="3" t="s">
        <v>23</v>
      </c>
      <c r="G15" s="16">
        <f>SUM(G10:G14)</f>
        <v>379538</v>
      </c>
      <c r="H15" s="16">
        <f>SUM(H10:H14)</f>
        <v>441218</v>
      </c>
      <c r="I15" s="16">
        <f>SUM(I10:I14)</f>
        <v>492247</v>
      </c>
      <c r="J15" s="17">
        <f>SUM(J10:J14)</f>
        <v>637231</v>
      </c>
      <c r="K15" s="16">
        <f>SUM(K10:K14)</f>
        <v>717452</v>
      </c>
      <c r="L15" s="16">
        <f>SUM(L10:L14)</f>
        <v>965939</v>
      </c>
      <c r="M15" s="16">
        <f>SUM(M10:M14)</f>
        <v>1190113</v>
      </c>
      <c r="N15" s="17">
        <f>SUM(N10:N14)</f>
        <v>1830857</v>
      </c>
      <c r="O15" s="16">
        <f>SUM(O10:O14)</f>
        <v>2058741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spans="1:41">
      <c r="A16" s="21" t="s">
        <v>22</v>
      </c>
      <c r="B16" s="3"/>
      <c r="C16" s="3"/>
      <c r="D16" s="3"/>
      <c r="E16" s="3"/>
      <c r="F16" s="3"/>
      <c r="G16" s="16">
        <v>109431</v>
      </c>
      <c r="H16" s="16">
        <v>94666</v>
      </c>
      <c r="I16" s="16">
        <v>120047</v>
      </c>
      <c r="J16" s="17">
        <v>180973</v>
      </c>
      <c r="K16" s="16">
        <v>197554</v>
      </c>
      <c r="L16" s="16">
        <v>425246</v>
      </c>
      <c r="M16" s="16">
        <v>570210</v>
      </c>
      <c r="N16" s="17">
        <v>1046934</v>
      </c>
      <c r="O16" s="16">
        <v>1226274</v>
      </c>
    </row>
    <row r="17" spans="1:41">
      <c r="A17" s="3" t="s">
        <v>21</v>
      </c>
      <c r="B17" s="3"/>
      <c r="C17" s="3"/>
      <c r="D17" s="3"/>
      <c r="E17" s="3"/>
      <c r="F17" s="3"/>
      <c r="G17" s="16">
        <v>127165</v>
      </c>
      <c r="H17" s="16">
        <v>123292</v>
      </c>
      <c r="I17" s="16">
        <v>125057</v>
      </c>
      <c r="J17" s="17">
        <v>128570</v>
      </c>
      <c r="K17" s="16">
        <v>134800</v>
      </c>
      <c r="L17" s="16">
        <v>136948</v>
      </c>
      <c r="M17" s="16">
        <v>143993</v>
      </c>
      <c r="N17" s="17">
        <v>136353</v>
      </c>
      <c r="O17" s="16">
        <v>128197</v>
      </c>
    </row>
    <row r="18" spans="1:41">
      <c r="A18" s="3" t="s">
        <v>20</v>
      </c>
      <c r="B18" s="3"/>
      <c r="C18" s="3"/>
      <c r="D18" s="3"/>
      <c r="E18" s="3"/>
      <c r="F18" s="3"/>
      <c r="G18" s="16">
        <v>32159</v>
      </c>
      <c r="H18" s="16">
        <v>34796</v>
      </c>
      <c r="I18" s="16">
        <v>32932</v>
      </c>
      <c r="J18" s="17">
        <v>35293</v>
      </c>
      <c r="K18" s="16">
        <v>40382</v>
      </c>
      <c r="L18" s="16">
        <v>42560</v>
      </c>
      <c r="M18" s="16">
        <v>57242</v>
      </c>
      <c r="N18" s="17">
        <v>55052</v>
      </c>
      <c r="O18" s="16">
        <v>67247</v>
      </c>
    </row>
    <row r="19" spans="1:41" s="11" customFormat="1" ht="13.5" thickBot="1">
      <c r="A19" s="5"/>
      <c r="B19" s="5"/>
      <c r="C19" s="5"/>
      <c r="D19" s="5"/>
      <c r="E19" s="5"/>
      <c r="F19" s="5" t="s">
        <v>19</v>
      </c>
      <c r="G19" s="13">
        <f>SUM(G15:G18)</f>
        <v>648293</v>
      </c>
      <c r="H19" s="13">
        <f>SUM(H15:H18)</f>
        <v>693972</v>
      </c>
      <c r="I19" s="13">
        <f>SUM(I15:I18)</f>
        <v>770283</v>
      </c>
      <c r="J19" s="14">
        <f>SUM(J15:J18)</f>
        <v>982067</v>
      </c>
      <c r="K19" s="13">
        <f>SUM(K15:K18)</f>
        <v>1090188</v>
      </c>
      <c r="L19" s="13">
        <f>SUM(L15:L18)</f>
        <v>1570693</v>
      </c>
      <c r="M19" s="13">
        <f>SUM(M15:M18)</f>
        <v>1961558</v>
      </c>
      <c r="N19" s="14">
        <f>SUM(N15:N18)</f>
        <v>3069196</v>
      </c>
      <c r="O19" s="13">
        <f>SUM(O15:O18)</f>
        <v>3480459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>
      <c r="A20" s="5" t="s">
        <v>18</v>
      </c>
      <c r="B20" s="5"/>
      <c r="C20" s="3"/>
      <c r="D20" s="3"/>
      <c r="E20" s="3"/>
      <c r="F20" s="3"/>
      <c r="G20" s="9"/>
      <c r="H20" s="9"/>
      <c r="I20" s="9"/>
      <c r="J20" s="23"/>
      <c r="K20" s="9"/>
      <c r="L20" s="9"/>
      <c r="M20" s="9"/>
      <c r="N20" s="23"/>
      <c r="O20" s="9"/>
    </row>
    <row r="21" spans="1:41">
      <c r="A21" s="3" t="s">
        <v>17</v>
      </c>
      <c r="B21" s="3"/>
      <c r="C21" s="3"/>
      <c r="D21" s="3"/>
      <c r="E21" s="3"/>
      <c r="F21" s="3"/>
      <c r="G21" s="16"/>
      <c r="H21" s="16"/>
      <c r="I21" s="16"/>
      <c r="J21" s="17"/>
      <c r="K21" s="16"/>
      <c r="L21" s="16"/>
      <c r="M21" s="16"/>
      <c r="N21" s="17"/>
      <c r="O21" s="16"/>
    </row>
    <row r="22" spans="1:41">
      <c r="A22" s="3"/>
      <c r="B22" s="3"/>
      <c r="C22" s="3" t="s">
        <v>16</v>
      </c>
      <c r="D22" s="3"/>
      <c r="E22" s="3"/>
      <c r="F22" s="3"/>
      <c r="G22" s="9">
        <v>69909</v>
      </c>
      <c r="H22" s="9">
        <v>88344</v>
      </c>
      <c r="I22" s="9">
        <v>129128</v>
      </c>
      <c r="J22" s="22">
        <v>174791</v>
      </c>
      <c r="K22" s="9">
        <v>241559</v>
      </c>
      <c r="L22" s="9">
        <v>478417</v>
      </c>
      <c r="M22" s="9">
        <v>684905</v>
      </c>
      <c r="N22" s="22">
        <v>935036</v>
      </c>
      <c r="O22" s="9">
        <v>1163839</v>
      </c>
    </row>
    <row r="23" spans="1:41">
      <c r="A23" s="3"/>
      <c r="B23" s="2"/>
      <c r="C23" s="3" t="s">
        <v>15</v>
      </c>
      <c r="D23" s="3"/>
      <c r="E23" s="3"/>
      <c r="F23" s="3"/>
      <c r="G23" s="16">
        <v>39939</v>
      </c>
      <c r="H23" s="16">
        <v>41246</v>
      </c>
      <c r="I23" s="16">
        <v>46960</v>
      </c>
      <c r="J23" s="17">
        <v>54129</v>
      </c>
      <c r="K23" s="16">
        <v>67829</v>
      </c>
      <c r="L23" s="16">
        <v>65583</v>
      </c>
      <c r="M23" s="16">
        <v>73759</v>
      </c>
      <c r="N23" s="17">
        <v>86992</v>
      </c>
      <c r="O23" s="16">
        <v>83119</v>
      </c>
    </row>
    <row r="24" spans="1:41">
      <c r="A24" s="3"/>
      <c r="B24" s="2"/>
      <c r="C24" s="3" t="s">
        <v>14</v>
      </c>
      <c r="D24" s="3"/>
      <c r="E24" s="3"/>
      <c r="F24" s="3"/>
      <c r="G24" s="16">
        <v>35019</v>
      </c>
      <c r="H24" s="16">
        <v>29130</v>
      </c>
      <c r="I24" s="16">
        <v>33033</v>
      </c>
      <c r="J24" s="17">
        <v>32476</v>
      </c>
      <c r="K24" s="16">
        <v>37885</v>
      </c>
      <c r="L24" s="16">
        <v>35772</v>
      </c>
      <c r="M24" s="16">
        <v>48373</v>
      </c>
      <c r="N24" s="17">
        <v>54231</v>
      </c>
      <c r="O24" s="16">
        <v>49106</v>
      </c>
    </row>
    <row r="25" spans="1:41">
      <c r="A25" s="3"/>
      <c r="B25" s="2"/>
      <c r="C25" s="3" t="s">
        <v>13</v>
      </c>
      <c r="D25" s="3"/>
      <c r="E25" s="3"/>
      <c r="F25" s="3"/>
      <c r="G25" s="18">
        <v>100109</v>
      </c>
      <c r="H25" s="18">
        <v>101419</v>
      </c>
      <c r="I25" s="18">
        <v>102986</v>
      </c>
      <c r="J25" s="19">
        <v>127183</v>
      </c>
      <c r="K25" s="18">
        <v>143045</v>
      </c>
      <c r="L25" s="18">
        <v>146937</v>
      </c>
      <c r="M25" s="18">
        <v>160929</v>
      </c>
      <c r="N25" s="19">
        <v>148796</v>
      </c>
      <c r="O25" s="18">
        <v>150602</v>
      </c>
    </row>
    <row r="26" spans="1:41">
      <c r="A26" s="3"/>
      <c r="B26" s="3"/>
      <c r="C26" s="3"/>
      <c r="D26" s="3"/>
      <c r="E26" s="3"/>
      <c r="F26" s="3" t="s">
        <v>12</v>
      </c>
      <c r="G26" s="16">
        <f>SUM(G22:G25)</f>
        <v>244976</v>
      </c>
      <c r="H26" s="16">
        <f>SUM(H22:H25)</f>
        <v>260139</v>
      </c>
      <c r="I26" s="16">
        <f>SUM(I22:I25)</f>
        <v>312107</v>
      </c>
      <c r="J26" s="17">
        <f>SUM(J22:J25)</f>
        <v>388579</v>
      </c>
      <c r="K26" s="16">
        <f>SUM(K22:K25)</f>
        <v>490318</v>
      </c>
      <c r="L26" s="16">
        <f>SUM(L22:L25)</f>
        <v>726709</v>
      </c>
      <c r="M26" s="16">
        <f>SUM(M22:M25)</f>
        <v>967966</v>
      </c>
      <c r="N26" s="17">
        <f>SUM(N22:N25)</f>
        <v>1225055</v>
      </c>
      <c r="O26" s="16">
        <f>SUM(O22:O25)</f>
        <v>1446666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 spans="1:41">
      <c r="A27" s="3" t="s">
        <v>11</v>
      </c>
      <c r="B27" s="3"/>
      <c r="C27" s="3"/>
      <c r="D27" s="3"/>
      <c r="E27" s="3"/>
      <c r="F27" s="3"/>
      <c r="G27" s="16">
        <v>200000</v>
      </c>
      <c r="H27" s="16">
        <v>200000</v>
      </c>
      <c r="I27" s="16">
        <v>200000</v>
      </c>
      <c r="J27" s="17">
        <v>200000</v>
      </c>
      <c r="K27" s="16">
        <v>200000</v>
      </c>
      <c r="L27" s="16">
        <v>200000</v>
      </c>
      <c r="M27" s="16">
        <v>200000</v>
      </c>
      <c r="N27" s="17">
        <v>200000</v>
      </c>
      <c r="O27" s="16">
        <v>200000</v>
      </c>
    </row>
    <row r="28" spans="1:41">
      <c r="A28" s="3" t="s">
        <v>10</v>
      </c>
      <c r="B28" s="3"/>
      <c r="C28" s="3"/>
      <c r="D28" s="3"/>
      <c r="E28" s="3"/>
      <c r="F28" s="3"/>
      <c r="G28" s="16">
        <v>0</v>
      </c>
      <c r="H28" s="16">
        <v>0</v>
      </c>
      <c r="I28" s="16">
        <v>0</v>
      </c>
      <c r="J28" s="17">
        <v>0</v>
      </c>
      <c r="K28" s="16">
        <v>0</v>
      </c>
      <c r="L28" s="16">
        <v>0</v>
      </c>
      <c r="M28" s="16">
        <v>0</v>
      </c>
      <c r="N28" s="17">
        <v>200000</v>
      </c>
      <c r="O28" s="16">
        <v>200000</v>
      </c>
    </row>
    <row r="29" spans="1:41">
      <c r="A29" s="21" t="s">
        <v>9</v>
      </c>
      <c r="B29" s="3"/>
      <c r="C29" s="3"/>
      <c r="D29" s="3"/>
      <c r="E29" s="3"/>
      <c r="F29" s="3"/>
      <c r="G29" s="16">
        <v>5297</v>
      </c>
      <c r="H29" s="16">
        <v>4929</v>
      </c>
      <c r="I29" s="16">
        <v>12933</v>
      </c>
      <c r="J29" s="17">
        <v>48179</v>
      </c>
      <c r="K29" s="16">
        <v>67119</v>
      </c>
      <c r="L29" s="16">
        <v>251302</v>
      </c>
      <c r="M29" s="16">
        <v>348182</v>
      </c>
      <c r="N29" s="17">
        <v>739628</v>
      </c>
      <c r="O29" s="16">
        <v>908188</v>
      </c>
    </row>
    <row r="30" spans="1:41">
      <c r="A30" s="3" t="s">
        <v>8</v>
      </c>
      <c r="B30" s="3"/>
      <c r="C30" s="3"/>
      <c r="D30" s="3"/>
      <c r="E30" s="3"/>
      <c r="F30" s="3"/>
      <c r="G30" s="18">
        <v>51285</v>
      </c>
      <c r="H30" s="18">
        <v>52264</v>
      </c>
      <c r="I30" s="18">
        <v>53268</v>
      </c>
      <c r="J30" s="19">
        <v>55145</v>
      </c>
      <c r="K30" s="18">
        <v>57029</v>
      </c>
      <c r="L30" s="18">
        <v>58648</v>
      </c>
      <c r="M30" s="18">
        <v>57058</v>
      </c>
      <c r="N30" s="19">
        <v>61703</v>
      </c>
      <c r="O30" s="18">
        <v>62203</v>
      </c>
    </row>
    <row r="31" spans="1:41">
      <c r="A31" s="3"/>
      <c r="B31" s="3"/>
      <c r="C31" s="3"/>
      <c r="D31" s="3"/>
      <c r="E31" s="3"/>
      <c r="F31" s="3" t="s">
        <v>7</v>
      </c>
      <c r="G31" s="16">
        <f>SUM(G26:G30)</f>
        <v>501558</v>
      </c>
      <c r="H31" s="16">
        <f>SUM(H26:H30)</f>
        <v>517332</v>
      </c>
      <c r="I31" s="16">
        <f>SUM(I26:I30)</f>
        <v>578308</v>
      </c>
      <c r="J31" s="17">
        <f>SUM(J26:J30)</f>
        <v>691903</v>
      </c>
      <c r="K31" s="16">
        <f>SUM(K26:K30)</f>
        <v>814466</v>
      </c>
      <c r="L31" s="16">
        <f>SUM(L26:L30)</f>
        <v>1236659</v>
      </c>
      <c r="M31" s="16">
        <f>SUM(M26:M30)</f>
        <v>1573206</v>
      </c>
      <c r="N31" s="17">
        <f>SUM(N26:N30)</f>
        <v>2426386</v>
      </c>
      <c r="O31" s="16">
        <f>SUM(O26:O30)</f>
        <v>2817057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 spans="1:41">
      <c r="A32" s="3" t="s">
        <v>6</v>
      </c>
      <c r="B32" s="3"/>
      <c r="C32" s="3"/>
      <c r="D32" s="3"/>
      <c r="E32" s="3"/>
      <c r="F32" s="3"/>
      <c r="G32" s="16"/>
      <c r="H32" s="16"/>
      <c r="I32" s="16"/>
      <c r="J32" s="17"/>
      <c r="K32" s="16"/>
      <c r="L32" s="16"/>
      <c r="M32" s="16"/>
      <c r="N32" s="17"/>
      <c r="O32" s="16"/>
    </row>
    <row r="33" spans="1:41" ht="12.75" customHeight="1">
      <c r="A33" s="3"/>
      <c r="B33" s="3" t="s">
        <v>5</v>
      </c>
      <c r="C33" s="20"/>
      <c r="D33" s="20"/>
      <c r="E33" s="20"/>
      <c r="F33" s="20"/>
      <c r="G33" s="16">
        <v>52</v>
      </c>
      <c r="H33" s="16">
        <v>52</v>
      </c>
      <c r="I33" s="16">
        <v>52</v>
      </c>
      <c r="J33" s="17">
        <v>53</v>
      </c>
      <c r="K33" s="16">
        <v>52</v>
      </c>
      <c r="L33" s="16">
        <v>53</v>
      </c>
      <c r="M33" s="16">
        <v>53</v>
      </c>
      <c r="N33" s="17">
        <v>55</v>
      </c>
      <c r="O33" s="16">
        <v>55</v>
      </c>
    </row>
    <row r="34" spans="1:41">
      <c r="A34" s="3"/>
      <c r="B34" s="3" t="s">
        <v>4</v>
      </c>
      <c r="C34" s="3"/>
      <c r="D34" s="3"/>
      <c r="E34" s="3"/>
      <c r="F34" s="3"/>
      <c r="G34" s="16">
        <v>0</v>
      </c>
      <c r="H34" s="16">
        <v>0</v>
      </c>
      <c r="I34" s="16">
        <v>0</v>
      </c>
      <c r="J34" s="17">
        <v>51622</v>
      </c>
      <c r="K34" s="16">
        <v>0</v>
      </c>
      <c r="L34" s="16">
        <v>0</v>
      </c>
      <c r="M34" s="16">
        <v>0</v>
      </c>
      <c r="N34" s="17">
        <v>219119</v>
      </c>
      <c r="O34" s="16">
        <v>243424</v>
      </c>
    </row>
    <row r="35" spans="1:41">
      <c r="A35" s="3"/>
      <c r="B35" s="3" t="s">
        <v>3</v>
      </c>
      <c r="C35" s="3"/>
      <c r="D35" s="3"/>
      <c r="E35" s="3"/>
      <c r="F35" s="3"/>
      <c r="G35" s="16">
        <v>487</v>
      </c>
      <c r="H35" s="16">
        <v>802</v>
      </c>
      <c r="I35" s="16">
        <v>1279</v>
      </c>
      <c r="J35" s="17">
        <v>750</v>
      </c>
      <c r="K35" s="16">
        <v>590</v>
      </c>
      <c r="L35" s="16">
        <v>884</v>
      </c>
      <c r="M35" s="16">
        <v>588</v>
      </c>
      <c r="N35" s="17">
        <v>706</v>
      </c>
      <c r="O35" s="16">
        <v>1577</v>
      </c>
    </row>
    <row r="36" spans="1:41">
      <c r="A36" s="3"/>
      <c r="B36" s="3" t="s">
        <v>2</v>
      </c>
      <c r="C36" s="3"/>
      <c r="D36" s="3"/>
      <c r="E36" s="3"/>
      <c r="F36" s="3"/>
      <c r="G36" s="18">
        <v>146196</v>
      </c>
      <c r="H36" s="18">
        <v>175786</v>
      </c>
      <c r="I36" s="18">
        <v>190644</v>
      </c>
      <c r="J36" s="19">
        <v>237739</v>
      </c>
      <c r="K36" s="18">
        <v>275080</v>
      </c>
      <c r="L36" s="18">
        <v>333097</v>
      </c>
      <c r="M36" s="18">
        <v>387711</v>
      </c>
      <c r="N36" s="19">
        <v>422930</v>
      </c>
      <c r="O36" s="18">
        <v>418346</v>
      </c>
    </row>
    <row r="37" spans="1:41" ht="13.5" customHeight="1">
      <c r="A37" s="3"/>
      <c r="B37" s="3"/>
      <c r="C37" s="3"/>
      <c r="D37" s="3"/>
      <c r="E37" s="3"/>
      <c r="F37" s="3" t="s">
        <v>1</v>
      </c>
      <c r="G37" s="16">
        <f>SUM(G33:G36)</f>
        <v>146735</v>
      </c>
      <c r="H37" s="16">
        <f>SUM(H33:H36)</f>
        <v>176640</v>
      </c>
      <c r="I37" s="16">
        <f>SUM(I33:I36)</f>
        <v>191975</v>
      </c>
      <c r="J37" s="17">
        <f>SUM(J33:J36)</f>
        <v>290164</v>
      </c>
      <c r="K37" s="16">
        <f>SUM(K33:K36)</f>
        <v>275722</v>
      </c>
      <c r="L37" s="16">
        <f>SUM(L33:L36)</f>
        <v>334034</v>
      </c>
      <c r="M37" s="16">
        <f>SUM(M33:M36)</f>
        <v>388352</v>
      </c>
      <c r="N37" s="17">
        <f>SUM(N33:N36)</f>
        <v>642810</v>
      </c>
      <c r="O37" s="16">
        <f>SUM(O33:O36)</f>
        <v>663402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 spans="1:41" s="11" customFormat="1" ht="13.5" thickBot="1">
      <c r="A38" s="5"/>
      <c r="B38" s="5"/>
      <c r="C38" s="5"/>
      <c r="D38" s="5"/>
      <c r="E38" s="5"/>
      <c r="F38" s="5" t="s">
        <v>0</v>
      </c>
      <c r="G38" s="13">
        <f>G31+G37</f>
        <v>648293</v>
      </c>
      <c r="H38" s="13">
        <f>H31+H37</f>
        <v>693972</v>
      </c>
      <c r="I38" s="13">
        <f>I31+I37</f>
        <v>770283</v>
      </c>
      <c r="J38" s="14">
        <f>J31+J37</f>
        <v>982067</v>
      </c>
      <c r="K38" s="13">
        <f>K31+K37</f>
        <v>1090188</v>
      </c>
      <c r="L38" s="13">
        <f>L31+L37</f>
        <v>1570693</v>
      </c>
      <c r="M38" s="13">
        <f>M31+M37</f>
        <v>1961558</v>
      </c>
      <c r="N38" s="14">
        <f>N31+N37</f>
        <v>3069196</v>
      </c>
      <c r="O38" s="13">
        <f>O31+O37</f>
        <v>3480459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>
      <c r="A39" s="3"/>
      <c r="B39" s="3"/>
      <c r="C39" s="3"/>
      <c r="D39" s="3"/>
      <c r="E39" s="3"/>
      <c r="F39" s="3"/>
      <c r="G39" s="9"/>
      <c r="H39" s="9"/>
      <c r="I39" s="9"/>
      <c r="J39" s="10"/>
      <c r="K39" s="9"/>
      <c r="N39" s="10"/>
      <c r="O39" s="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spans="1:41">
      <c r="A40" s="3"/>
      <c r="B40" s="3"/>
      <c r="C40" s="3"/>
      <c r="D40" s="3"/>
      <c r="E40" s="3"/>
      <c r="F40" s="4"/>
      <c r="J40" s="2"/>
      <c r="N40" s="2"/>
    </row>
    <row r="41" spans="1:41">
      <c r="A41" s="3"/>
      <c r="B41" s="3"/>
      <c r="C41" s="3"/>
      <c r="D41" s="3"/>
      <c r="E41" s="3"/>
      <c r="F41" s="7"/>
      <c r="G41" s="6"/>
      <c r="H41" s="6"/>
      <c r="I41" s="6"/>
      <c r="J41" s="6"/>
      <c r="K41" s="6"/>
      <c r="L41" s="6"/>
      <c r="M41" s="6"/>
      <c r="N41" s="6"/>
      <c r="O41" s="6"/>
    </row>
    <row r="42" spans="1:41">
      <c r="A42" s="3"/>
      <c r="B42" s="3"/>
      <c r="C42" s="3"/>
      <c r="D42" s="3"/>
      <c r="E42" s="3"/>
      <c r="F42" s="4"/>
      <c r="J42" s="2"/>
      <c r="N42" s="2"/>
    </row>
    <row r="43" spans="1:41">
      <c r="A43" s="3"/>
      <c r="B43" s="3"/>
      <c r="C43" s="3"/>
      <c r="D43" s="3"/>
      <c r="E43" s="3"/>
      <c r="F43" s="4"/>
    </row>
    <row r="44" spans="1:41">
      <c r="A44" s="3"/>
      <c r="B44" s="3"/>
      <c r="C44" s="3"/>
      <c r="D44" s="3"/>
      <c r="E44" s="3"/>
      <c r="F44" s="4"/>
    </row>
    <row r="45" spans="1:41">
      <c r="A45" s="3"/>
      <c r="B45" s="3"/>
      <c r="C45" s="3"/>
      <c r="D45" s="3"/>
      <c r="E45" s="3"/>
      <c r="F45" s="4"/>
    </row>
    <row r="46" spans="1:41">
      <c r="A46" s="5"/>
      <c r="B46" s="5"/>
      <c r="C46" s="3"/>
      <c r="D46" s="3"/>
      <c r="E46" s="3"/>
      <c r="F46" s="4"/>
    </row>
    <row r="47" spans="1:41">
      <c r="A47" s="3"/>
      <c r="B47" s="3"/>
      <c r="C47" s="3"/>
      <c r="D47" s="3"/>
      <c r="E47" s="3"/>
      <c r="F47" s="4"/>
    </row>
    <row r="48" spans="1:41">
      <c r="A48" s="5"/>
      <c r="B48" s="5"/>
      <c r="C48" s="3"/>
      <c r="D48" s="3"/>
      <c r="E48" s="3"/>
      <c r="F48" s="4"/>
    </row>
    <row r="49" spans="1:6" s="2" customFormat="1">
      <c r="A49" s="3"/>
      <c r="B49" s="3"/>
      <c r="C49" s="3"/>
      <c r="D49" s="3"/>
      <c r="E49" s="3"/>
      <c r="F49" s="4"/>
    </row>
    <row r="50" spans="1:6" s="2" customFormat="1">
      <c r="A50" s="3"/>
      <c r="B50" s="3"/>
      <c r="C50" s="3"/>
      <c r="D50" s="3"/>
      <c r="E50" s="3"/>
      <c r="F50" s="4"/>
    </row>
    <row r="51" spans="1:6" s="2" customFormat="1">
      <c r="A51" s="3"/>
      <c r="B51" s="5"/>
      <c r="C51" s="3"/>
      <c r="D51" s="3"/>
      <c r="E51" s="3"/>
      <c r="F51" s="4"/>
    </row>
    <row r="52" spans="1:6" s="2" customFormat="1">
      <c r="A52" s="3"/>
      <c r="B52" s="3"/>
      <c r="C52" s="3"/>
      <c r="D52" s="3"/>
      <c r="E52" s="3"/>
      <c r="F52" s="4"/>
    </row>
    <row r="53" spans="1:6" s="2" customFormat="1">
      <c r="A53" s="3"/>
      <c r="B53" s="3"/>
      <c r="C53" s="3"/>
      <c r="D53" s="3"/>
      <c r="E53" s="3"/>
      <c r="F53" s="4"/>
    </row>
    <row r="54" spans="1:6" s="2" customFormat="1">
      <c r="A54" s="3"/>
      <c r="B54" s="3"/>
      <c r="C54" s="3"/>
      <c r="D54" s="3"/>
      <c r="E54" s="3"/>
      <c r="F54" s="3"/>
    </row>
    <row r="55" spans="1:6" s="2" customFormat="1">
      <c r="A55" s="3"/>
      <c r="B55" s="3"/>
      <c r="C55" s="3"/>
      <c r="D55" s="3"/>
      <c r="E55" s="3"/>
      <c r="F55" s="3"/>
    </row>
    <row r="56" spans="1:6" s="2" customFormat="1">
      <c r="A56" s="3"/>
      <c r="B56" s="3"/>
      <c r="C56" s="3"/>
      <c r="D56" s="3"/>
      <c r="E56" s="3"/>
      <c r="F56" s="3"/>
    </row>
    <row r="57" spans="1:6" s="2" customFormat="1">
      <c r="A57" s="3"/>
      <c r="B57" s="3"/>
      <c r="C57" s="3"/>
      <c r="D57" s="3"/>
      <c r="E57" s="3"/>
      <c r="F57" s="3"/>
    </row>
    <row r="58" spans="1:6" s="2" customFormat="1">
      <c r="A58" s="3"/>
      <c r="B58" s="3"/>
      <c r="C58" s="3"/>
      <c r="D58" s="3"/>
      <c r="E58" s="3"/>
      <c r="F58" s="3"/>
    </row>
    <row r="59" spans="1:6" s="2" customFormat="1">
      <c r="A59" s="3"/>
      <c r="B59" s="3"/>
      <c r="C59" s="3"/>
      <c r="D59" s="3"/>
      <c r="E59" s="3"/>
      <c r="F59" s="3"/>
    </row>
    <row r="60" spans="1:6" s="2" customFormat="1">
      <c r="A60" s="3"/>
      <c r="B60" s="3"/>
      <c r="C60" s="3"/>
      <c r="D60" s="3"/>
      <c r="E60" s="3"/>
      <c r="F60" s="3"/>
    </row>
    <row r="61" spans="1:6" s="2" customFormat="1">
      <c r="A61" s="3"/>
      <c r="B61" s="3"/>
      <c r="C61" s="3"/>
      <c r="D61" s="3"/>
      <c r="E61" s="3"/>
      <c r="F61" s="3"/>
    </row>
  </sheetData>
  <mergeCells count="2">
    <mergeCell ref="G5:J5"/>
    <mergeCell ref="K5:N5"/>
  </mergeCells>
  <pageMargins left="0.46" right="0.28999999999999998" top="0.32" bottom="0.75" header="0.17" footer="0.3"/>
  <pageSetup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Balance Sheet</vt:lpstr>
      <vt:lpstr>'Balance Sheet'!Print_Area</vt:lpstr>
      <vt:lpstr>'Balance Sheet'!Print_Titles</vt:lpstr>
    </vt:vector>
  </TitlesOfParts>
  <Company>The Nasdaq OMX Group,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citadmin</dc:creator>
  <cp:lastModifiedBy>citadmin</cp:lastModifiedBy>
  <dcterms:created xsi:type="dcterms:W3CDTF">2012-05-10T15:57:26Z</dcterms:created>
  <dcterms:modified xsi:type="dcterms:W3CDTF">2012-05-10T15:58:08Z</dcterms:modified>
</cp:coreProperties>
</file>