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Default Extension="docx" ContentType="application/vnd.openxmlformats-officedocument.wordprocessingml.documen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" windowWidth="11025" windowHeight="11715" tabRatio="467"/>
  </bookViews>
  <sheets>
    <sheet name="Calculations" sheetId="1" r:id="rId1"/>
    <sheet name="Formulas" sheetId="4" r:id="rId2"/>
    <sheet name="Materials" sheetId="2" r:id="rId3"/>
    <sheet name="Sheet3" sheetId="3" r:id="rId4"/>
  </sheets>
  <definedNames>
    <definedName name="dt">Calculations!$B$6</definedName>
    <definedName name="dx">Calculations!$B$1</definedName>
  </definedNames>
  <calcPr calcId="125725"/>
</workbook>
</file>

<file path=xl/calcChain.xml><?xml version="1.0" encoding="utf-8"?>
<calcChain xmlns="http://schemas.openxmlformats.org/spreadsheetml/2006/main">
  <c r="B3" i="2"/>
  <c r="C9" i="4"/>
  <c r="F4"/>
  <c r="E5"/>
  <c r="F5"/>
  <c r="G5"/>
  <c r="F6" s="1"/>
  <c r="G6"/>
  <c r="H6"/>
  <c r="G7" s="1"/>
  <c r="H7"/>
  <c r="I7"/>
  <c r="H8" s="1"/>
  <c r="I8"/>
  <c r="J8"/>
  <c r="I9"/>
  <c r="J9"/>
  <c r="K9"/>
  <c r="J10"/>
  <c r="K10"/>
  <c r="L10"/>
  <c r="K11"/>
  <c r="L11"/>
  <c r="M11"/>
  <c r="L12" s="1"/>
  <c r="M12"/>
  <c r="N12"/>
  <c r="M13"/>
  <c r="N13"/>
  <c r="O13"/>
  <c r="N14"/>
  <c r="O14"/>
  <c r="P14"/>
  <c r="O15"/>
  <c r="J18" i="1"/>
  <c r="D16"/>
  <c r="D14"/>
  <c r="G14" s="1"/>
  <c r="J10"/>
  <c r="B35"/>
  <c r="B24"/>
  <c r="C24" s="1"/>
  <c r="D24" s="1"/>
  <c r="E24" s="1"/>
  <c r="F24" s="1"/>
  <c r="B1"/>
  <c r="D13" s="1"/>
  <c r="G13" s="1"/>
  <c r="D8"/>
  <c r="D18"/>
  <c r="B22"/>
  <c r="Y18"/>
  <c r="O8"/>
  <c r="G18"/>
  <c r="G8"/>
  <c r="B4"/>
  <c r="A55"/>
  <c r="A56" s="1"/>
  <c r="A57" s="1"/>
  <c r="A58" s="1"/>
  <c r="A59" s="1"/>
  <c r="A60" s="1"/>
  <c r="A61" s="1"/>
  <c r="A62" s="1"/>
  <c r="A63" s="1"/>
  <c r="X19"/>
  <c r="N9"/>
  <c r="C35"/>
  <c r="D35" s="1"/>
  <c r="E35" s="1"/>
  <c r="F35" s="1"/>
  <c r="G35" s="1"/>
  <c r="H35" s="1"/>
  <c r="I35" s="1"/>
  <c r="J35" s="1"/>
  <c r="K35" s="1"/>
  <c r="L35" s="1"/>
  <c r="M35" s="1"/>
  <c r="N35" s="1"/>
  <c r="O35" s="1"/>
  <c r="P35" s="1"/>
  <c r="Q35" s="1"/>
  <c r="R35" s="1"/>
  <c r="S35" s="1"/>
  <c r="T35" s="1"/>
  <c r="U35" s="1"/>
  <c r="V35" s="1"/>
  <c r="W35" s="1"/>
  <c r="X35" s="1"/>
  <c r="Y35" s="1"/>
  <c r="Z35" s="1"/>
  <c r="AA35" s="1"/>
  <c r="AB35" s="1"/>
  <c r="AC35" s="1"/>
  <c r="AD35" s="1"/>
  <c r="AE35" s="1"/>
  <c r="AF35" s="1"/>
  <c r="AG35" s="1"/>
  <c r="AH35" s="1"/>
  <c r="AI35" s="1"/>
  <c r="AJ35" s="1"/>
  <c r="AK35" s="1"/>
  <c r="AL35" s="1"/>
  <c r="AM35" s="1"/>
  <c r="AN35" s="1"/>
  <c r="AO35" s="1"/>
  <c r="AP35" s="1"/>
  <c r="AQ35" s="1"/>
  <c r="AR35" s="1"/>
  <c r="AS35" s="1"/>
  <c r="AT35" s="1"/>
  <c r="AU35" s="1"/>
  <c r="AV35" s="1"/>
  <c r="AW35" s="1"/>
  <c r="AX35" s="1"/>
  <c r="AY35" s="1"/>
  <c r="AZ35" s="1"/>
  <c r="BA35" s="1"/>
  <c r="BB35" s="1"/>
  <c r="BC35" s="1"/>
  <c r="BD35" s="1"/>
  <c r="BE35" s="1"/>
  <c r="BF35" s="1"/>
  <c r="BG35" s="1"/>
  <c r="BH35" s="1"/>
  <c r="BI35" s="1"/>
  <c r="BJ35" s="1"/>
  <c r="BK35" s="1"/>
  <c r="BL35" s="1"/>
  <c r="BM35" s="1"/>
  <c r="BN35" s="1"/>
  <c r="BO35" s="1"/>
  <c r="BP35" s="1"/>
  <c r="BQ35" s="1"/>
  <c r="BR35" s="1"/>
  <c r="BS35" s="1"/>
  <c r="BT35" s="1"/>
  <c r="BU35" s="1"/>
  <c r="BV35" s="1"/>
  <c r="BW35" s="1"/>
  <c r="BX35" s="1"/>
  <c r="BY35" s="1"/>
  <c r="BZ35" s="1"/>
  <c r="CA35" s="1"/>
  <c r="CB35" s="1"/>
  <c r="CC35" s="1"/>
  <c r="CD35" s="1"/>
  <c r="CE35" s="1"/>
  <c r="CF35" s="1"/>
  <c r="CG35" s="1"/>
  <c r="CH35" s="1"/>
  <c r="CI35" s="1"/>
  <c r="CJ35" s="1"/>
  <c r="CK35" s="1"/>
  <c r="CL35" s="1"/>
  <c r="CM35" s="1"/>
  <c r="CN35" s="1"/>
  <c r="CO35" s="1"/>
  <c r="CP35" s="1"/>
  <c r="CQ35" s="1"/>
  <c r="CR35" s="1"/>
  <c r="CS35" s="1"/>
  <c r="CT35" s="1"/>
  <c r="CU35" s="1"/>
  <c r="CV35" s="1"/>
  <c r="CW35" s="1"/>
  <c r="CX35" s="1"/>
  <c r="CY35" s="1"/>
  <c r="CZ35" s="1"/>
  <c r="DA35" s="1"/>
  <c r="DB35" s="1"/>
  <c r="DC35" s="1"/>
  <c r="DD35" s="1"/>
  <c r="DE35" s="1"/>
  <c r="DF35" s="1"/>
  <c r="DG35" s="1"/>
  <c r="DH35" s="1"/>
  <c r="DI35" s="1"/>
  <c r="DJ35" s="1"/>
  <c r="DK35" s="1"/>
  <c r="DL35" s="1"/>
  <c r="DM35" s="1"/>
  <c r="DN35" s="1"/>
  <c r="DO35" s="1"/>
  <c r="DP35" s="1"/>
  <c r="DQ35" s="1"/>
  <c r="DR35" s="1"/>
  <c r="DS35" s="1"/>
  <c r="DT35" s="1"/>
  <c r="DU35" s="1"/>
  <c r="DV35" s="1"/>
  <c r="DW35" s="1"/>
  <c r="DX35" s="1"/>
  <c r="DY35" s="1"/>
  <c r="DZ35" s="1"/>
  <c r="EA35" s="1"/>
  <c r="EB35" s="1"/>
  <c r="EC35" s="1"/>
  <c r="ED35" s="1"/>
  <c r="EE35" s="1"/>
  <c r="EF35" s="1"/>
  <c r="EG35" s="1"/>
  <c r="EH35" s="1"/>
  <c r="EI35" s="1"/>
  <c r="EJ35" s="1"/>
  <c r="EK35" s="1"/>
  <c r="EL35" s="1"/>
  <c r="EM35" s="1"/>
  <c r="EN35" s="1"/>
  <c r="EO35" s="1"/>
  <c r="EP35" s="1"/>
  <c r="EQ35" s="1"/>
  <c r="ER35" s="1"/>
  <c r="ES35" s="1"/>
  <c r="ET35" s="1"/>
  <c r="EU35" s="1"/>
  <c r="EV35" s="1"/>
  <c r="EW35" s="1"/>
  <c r="EX35" s="1"/>
  <c r="EY35" s="1"/>
  <c r="EZ35" s="1"/>
  <c r="FA35" s="1"/>
  <c r="FB35" s="1"/>
  <c r="FC35" s="1"/>
  <c r="FD35" s="1"/>
  <c r="FE35" s="1"/>
  <c r="FF35" s="1"/>
  <c r="FG35" s="1"/>
  <c r="FH35" s="1"/>
  <c r="FI35" s="1"/>
  <c r="FJ35" s="1"/>
  <c r="FK35" s="1"/>
  <c r="FL35" s="1"/>
  <c r="FM35" s="1"/>
  <c r="FN35" s="1"/>
  <c r="FO35" s="1"/>
  <c r="FP35" s="1"/>
  <c r="FQ35" s="1"/>
  <c r="FR35" s="1"/>
  <c r="FS35" s="1"/>
  <c r="FT35" s="1"/>
  <c r="FU35" s="1"/>
  <c r="FV35" s="1"/>
  <c r="FW35" s="1"/>
  <c r="FX35" s="1"/>
  <c r="FY35" s="1"/>
  <c r="FZ35" s="1"/>
  <c r="GA35" s="1"/>
  <c r="GB35" s="1"/>
  <c r="GC35" s="1"/>
  <c r="GD35" s="1"/>
  <c r="GE35" s="1"/>
  <c r="GF35" s="1"/>
  <c r="GG35" s="1"/>
  <c r="GH35" s="1"/>
  <c r="GI35" s="1"/>
  <c r="GJ35" s="1"/>
  <c r="GK35" s="1"/>
  <c r="GL35" s="1"/>
  <c r="GM35" s="1"/>
  <c r="GN35" s="1"/>
  <c r="GO35" s="1"/>
  <c r="GP35" s="1"/>
  <c r="GQ35" s="1"/>
  <c r="GR35" s="1"/>
  <c r="GS35" s="1"/>
  <c r="GT35" s="1"/>
  <c r="GU35" s="1"/>
  <c r="GV35" s="1"/>
  <c r="GW35" s="1"/>
  <c r="GX35" s="1"/>
  <c r="GY35" s="1"/>
  <c r="GZ35" s="1"/>
  <c r="HA35" s="1"/>
  <c r="HB35" s="1"/>
  <c r="HC35" s="1"/>
  <c r="HD35" s="1"/>
  <c r="HE35" s="1"/>
  <c r="HF35" s="1"/>
  <c r="HG35" s="1"/>
  <c r="HH35" s="1"/>
  <c r="HI35" s="1"/>
  <c r="HJ35" s="1"/>
  <c r="HK35" s="1"/>
  <c r="HL35" s="1"/>
  <c r="HM35" s="1"/>
  <c r="HN35" s="1"/>
  <c r="HO35" s="1"/>
  <c r="HP35" s="1"/>
  <c r="HQ35" s="1"/>
  <c r="HR35" s="1"/>
  <c r="HS35" s="1"/>
  <c r="HT35" s="1"/>
  <c r="HU35" s="1"/>
  <c r="HV35" s="1"/>
  <c r="HW35" s="1"/>
  <c r="HX35" s="1"/>
  <c r="HY35" s="1"/>
  <c r="HZ35" s="1"/>
  <c r="IA35" s="1"/>
  <c r="IB35" s="1"/>
  <c r="IC35" s="1"/>
  <c r="ID35" s="1"/>
  <c r="IE35" s="1"/>
  <c r="IF35" s="1"/>
  <c r="IG35" s="1"/>
  <c r="IH35" s="1"/>
  <c r="II35" s="1"/>
  <c r="IJ35" s="1"/>
  <c r="IK35" s="1"/>
  <c r="IL35" s="1"/>
  <c r="IM35" s="1"/>
  <c r="IN35" s="1"/>
  <c r="IO35" s="1"/>
  <c r="IP35" s="1"/>
  <c r="IQ35" s="1"/>
  <c r="IR35" s="1"/>
  <c r="IS35" s="1"/>
  <c r="IT35" s="1"/>
  <c r="IU35" s="1"/>
  <c r="IV35" s="1"/>
  <c r="IW35" s="1"/>
  <c r="IX35" s="1"/>
  <c r="IY35" s="1"/>
  <c r="IZ35" s="1"/>
  <c r="JA35" s="1"/>
  <c r="JB35" s="1"/>
  <c r="JC35" s="1"/>
  <c r="JD35" s="1"/>
  <c r="JE35" s="1"/>
  <c r="JF35" s="1"/>
  <c r="JG35" s="1"/>
  <c r="JH35" s="1"/>
  <c r="JI35" s="1"/>
  <c r="JJ35" s="1"/>
  <c r="JK35" s="1"/>
  <c r="JL35" s="1"/>
  <c r="JM35" s="1"/>
  <c r="JN35" s="1"/>
  <c r="JO35" s="1"/>
  <c r="JP35" s="1"/>
  <c r="JQ35" s="1"/>
  <c r="JR35" s="1"/>
  <c r="JS35" s="1"/>
  <c r="JT35" s="1"/>
  <c r="JU35" s="1"/>
  <c r="JV35" s="1"/>
  <c r="JW35" s="1"/>
  <c r="JX35" s="1"/>
  <c r="JY35" s="1"/>
  <c r="JZ35" s="1"/>
  <c r="KA35" s="1"/>
  <c r="KB35" s="1"/>
  <c r="KC35" s="1"/>
  <c r="KD35" s="1"/>
  <c r="KE35" s="1"/>
  <c r="KF35" s="1"/>
  <c r="KG35" s="1"/>
  <c r="KH35" s="1"/>
  <c r="KI35" s="1"/>
  <c r="KJ35" s="1"/>
  <c r="KK35" s="1"/>
  <c r="KL35" s="1"/>
  <c r="KM35" s="1"/>
  <c r="KN35" s="1"/>
  <c r="KO35" s="1"/>
  <c r="KP35" s="1"/>
  <c r="KQ35" s="1"/>
  <c r="KR35" s="1"/>
  <c r="KS35" s="1"/>
  <c r="KT35" s="1"/>
  <c r="KU35" s="1"/>
  <c r="KV35" s="1"/>
  <c r="KW35" s="1"/>
  <c r="KX35" s="1"/>
  <c r="KY35" s="1"/>
  <c r="KZ35" s="1"/>
  <c r="LA35" s="1"/>
  <c r="LB35" s="1"/>
  <c r="LC35" s="1"/>
  <c r="LD35" s="1"/>
  <c r="LE35" s="1"/>
  <c r="LF35" s="1"/>
  <c r="LG35" s="1"/>
  <c r="LH35" s="1"/>
  <c r="LI35" s="1"/>
  <c r="LJ35" s="1"/>
  <c r="LK35" s="1"/>
  <c r="LL35" s="1"/>
  <c r="LM35" s="1"/>
  <c r="LN35" s="1"/>
  <c r="LO35" s="1"/>
  <c r="LP35" s="1"/>
  <c r="LQ35" s="1"/>
  <c r="LR35" s="1"/>
  <c r="LS35" s="1"/>
  <c r="LT35" s="1"/>
  <c r="LU35" s="1"/>
  <c r="LV35" s="1"/>
  <c r="LW35" s="1"/>
  <c r="LX35" s="1"/>
  <c r="LY35" s="1"/>
  <c r="LZ35" s="1"/>
  <c r="MA35" s="1"/>
  <c r="MB35" s="1"/>
  <c r="MC35" s="1"/>
  <c r="MD35" s="1"/>
  <c r="ME35" s="1"/>
  <c r="MF35" s="1"/>
  <c r="MG35" s="1"/>
  <c r="MH35" s="1"/>
  <c r="MI35" s="1"/>
  <c r="MJ35" s="1"/>
  <c r="MK35" s="1"/>
  <c r="ML35" s="1"/>
  <c r="MM35" s="1"/>
  <c r="MN35" s="1"/>
  <c r="MO35" s="1"/>
  <c r="MP35" s="1"/>
  <c r="MQ35" s="1"/>
  <c r="MR35" s="1"/>
  <c r="MS35" s="1"/>
  <c r="MT35" s="1"/>
  <c r="MU35" s="1"/>
  <c r="MV35" s="1"/>
  <c r="MW35" s="1"/>
  <c r="MX35" s="1"/>
  <c r="MY35" s="1"/>
  <c r="MZ35" s="1"/>
  <c r="NA35" s="1"/>
  <c r="NB35" s="1"/>
  <c r="NC35" s="1"/>
  <c r="ND35" s="1"/>
  <c r="NE35" s="1"/>
  <c r="NF35" s="1"/>
  <c r="NG35" s="1"/>
  <c r="NH35" s="1"/>
  <c r="NI35" s="1"/>
  <c r="NJ35" s="1"/>
  <c r="NK35" s="1"/>
  <c r="NL35" s="1"/>
  <c r="NM35" s="1"/>
  <c r="NN35" s="1"/>
  <c r="NO35" s="1"/>
  <c r="NP35" s="1"/>
  <c r="NQ35" s="1"/>
  <c r="NR35" s="1"/>
  <c r="NS35" s="1"/>
  <c r="NT35" s="1"/>
  <c r="NU35" s="1"/>
  <c r="NV35" s="1"/>
  <c r="NW35" s="1"/>
  <c r="NX35" s="1"/>
  <c r="NY35" s="1"/>
  <c r="NZ35" s="1"/>
  <c r="OA35" s="1"/>
  <c r="OB35" s="1"/>
  <c r="OC35" s="1"/>
  <c r="OD35" s="1"/>
  <c r="OE35" s="1"/>
  <c r="OF35" s="1"/>
  <c r="OG35" s="1"/>
  <c r="OH35" s="1"/>
  <c r="OI35" s="1"/>
  <c r="OJ35" s="1"/>
  <c r="OK35" s="1"/>
  <c r="OL35" s="1"/>
  <c r="OM35" s="1"/>
  <c r="ON35" s="1"/>
  <c r="OO35" s="1"/>
  <c r="OP35" s="1"/>
  <c r="OQ35" s="1"/>
  <c r="OR35" s="1"/>
  <c r="OS35" s="1"/>
  <c r="OT35" s="1"/>
  <c r="OU35" s="1"/>
  <c r="OV35" s="1"/>
  <c r="OW35" s="1"/>
  <c r="OX35" s="1"/>
  <c r="OY35" s="1"/>
  <c r="OZ35" s="1"/>
  <c r="PA35" s="1"/>
  <c r="PB35" s="1"/>
  <c r="PC35" s="1"/>
  <c r="PD35" s="1"/>
  <c r="PE35" s="1"/>
  <c r="PF35" s="1"/>
  <c r="PG35" s="1"/>
  <c r="PH35" s="1"/>
  <c r="PI35" s="1"/>
  <c r="PJ35" s="1"/>
  <c r="PK35" s="1"/>
  <c r="PL35" s="1"/>
  <c r="PM35" s="1"/>
  <c r="PN35" s="1"/>
  <c r="PO35" s="1"/>
  <c r="PP35" s="1"/>
  <c r="PQ35" s="1"/>
  <c r="PR35" s="1"/>
  <c r="PS35" s="1"/>
  <c r="PT35" s="1"/>
  <c r="PU35" s="1"/>
  <c r="PV35" s="1"/>
  <c r="PW35" s="1"/>
  <c r="PX35" s="1"/>
  <c r="PY35" s="1"/>
  <c r="PZ35" s="1"/>
  <c r="QA35" s="1"/>
  <c r="QB35" s="1"/>
  <c r="QC35" s="1"/>
  <c r="QD35" s="1"/>
  <c r="QE35" s="1"/>
  <c r="QF35" s="1"/>
  <c r="QG35" s="1"/>
  <c r="QH35" s="1"/>
  <c r="QI35" s="1"/>
  <c r="QJ35" s="1"/>
  <c r="QK35" s="1"/>
  <c r="QL35" s="1"/>
  <c r="QM35" s="1"/>
  <c r="QN35" s="1"/>
  <c r="QO35" s="1"/>
  <c r="QP35" s="1"/>
  <c r="QQ35" s="1"/>
  <c r="QR35" s="1"/>
  <c r="QS35" s="1"/>
  <c r="QT35" s="1"/>
  <c r="QU35" s="1"/>
  <c r="QV35" s="1"/>
  <c r="QW35" s="1"/>
  <c r="QX35" s="1"/>
  <c r="QY35" s="1"/>
  <c r="QZ35" s="1"/>
  <c r="RA35" s="1"/>
  <c r="RB35" s="1"/>
  <c r="RC35" s="1"/>
  <c r="RD35" s="1"/>
  <c r="RE35" s="1"/>
  <c r="RF35" s="1"/>
  <c r="RG35" s="1"/>
  <c r="RH35" s="1"/>
  <c r="RI35" s="1"/>
  <c r="RJ35" s="1"/>
  <c r="RK35" s="1"/>
  <c r="RL35" s="1"/>
  <c r="RM35" s="1"/>
  <c r="RN35" s="1"/>
  <c r="RO35" s="1"/>
  <c r="RP35" s="1"/>
  <c r="RQ35" s="1"/>
  <c r="RR35" s="1"/>
  <c r="RS35" s="1"/>
  <c r="RT35" s="1"/>
  <c r="RU35" s="1"/>
  <c r="RV35" s="1"/>
  <c r="RW35" s="1"/>
  <c r="RX35" s="1"/>
  <c r="RY35" s="1"/>
  <c r="RZ35" s="1"/>
  <c r="SA35" s="1"/>
  <c r="SB35" s="1"/>
  <c r="SC35" s="1"/>
  <c r="SD35" s="1"/>
  <c r="SE35" s="1"/>
  <c r="SF35" s="1"/>
  <c r="SG35" s="1"/>
  <c r="SH35" s="1"/>
  <c r="SI35" s="1"/>
  <c r="SJ35" s="1"/>
  <c r="SK35" s="1"/>
  <c r="SL35" s="1"/>
  <c r="SM35" s="1"/>
  <c r="SN35" s="1"/>
  <c r="SO35" s="1"/>
  <c r="SP35" s="1"/>
  <c r="SQ35" s="1"/>
  <c r="SR35" s="1"/>
  <c r="SS35" s="1"/>
  <c r="ST35" s="1"/>
  <c r="SU35" s="1"/>
  <c r="SV35" s="1"/>
  <c r="SW35" s="1"/>
  <c r="SX35" s="1"/>
  <c r="SY35" s="1"/>
  <c r="SZ35" s="1"/>
  <c r="TA35" s="1"/>
  <c r="TB35" s="1"/>
  <c r="TC35" s="1"/>
  <c r="TD35" s="1"/>
  <c r="TE35" s="1"/>
  <c r="TF35" s="1"/>
  <c r="TG35" s="1"/>
  <c r="TH35" s="1"/>
  <c r="TI35" s="1"/>
  <c r="TJ35" s="1"/>
  <c r="TK35" s="1"/>
  <c r="TL35" s="1"/>
  <c r="TM35" s="1"/>
  <c r="TN35" s="1"/>
  <c r="TO35" s="1"/>
  <c r="TP35" s="1"/>
  <c r="TQ35" s="1"/>
  <c r="TR35" s="1"/>
  <c r="TS35" s="1"/>
  <c r="TT35" s="1"/>
  <c r="TU35" s="1"/>
  <c r="TV35" s="1"/>
  <c r="TW35" s="1"/>
  <c r="TX35" s="1"/>
  <c r="TY35" s="1"/>
  <c r="TZ35" s="1"/>
  <c r="UA35" s="1"/>
  <c r="UB35" s="1"/>
  <c r="UC35" s="1"/>
  <c r="UD35" s="1"/>
  <c r="UE35" s="1"/>
  <c r="UF35" s="1"/>
  <c r="UG35" s="1"/>
  <c r="UH35" s="1"/>
  <c r="UI35" s="1"/>
  <c r="UJ35" s="1"/>
  <c r="UK35" s="1"/>
  <c r="UL35" s="1"/>
  <c r="UM35" s="1"/>
  <c r="UN35" s="1"/>
  <c r="UO35" s="1"/>
  <c r="UP35" s="1"/>
  <c r="UQ35" s="1"/>
  <c r="UR35" s="1"/>
  <c r="US35" s="1"/>
  <c r="UT35" s="1"/>
  <c r="UU35" s="1"/>
  <c r="UV35" s="1"/>
  <c r="UW35" s="1"/>
  <c r="UX35" s="1"/>
  <c r="UY35" s="1"/>
  <c r="UZ35" s="1"/>
  <c r="VA35" s="1"/>
  <c r="VB35" s="1"/>
  <c r="VC35" s="1"/>
  <c r="VD35" s="1"/>
  <c r="VE35" s="1"/>
  <c r="VF35" s="1"/>
  <c r="VG35" s="1"/>
  <c r="VH35" s="1"/>
  <c r="VI35" s="1"/>
  <c r="VJ35" s="1"/>
  <c r="VK35" s="1"/>
  <c r="VL35" s="1"/>
  <c r="VM35" s="1"/>
  <c r="VN35" s="1"/>
  <c r="VO35" s="1"/>
  <c r="VP35" s="1"/>
  <c r="VQ35" s="1"/>
  <c r="VR35" s="1"/>
  <c r="VS35" s="1"/>
  <c r="VT35" s="1"/>
  <c r="VU35" s="1"/>
  <c r="VV35" s="1"/>
  <c r="VW35" s="1"/>
  <c r="VX35" s="1"/>
  <c r="VY35" s="1"/>
  <c r="VZ35" s="1"/>
  <c r="WA35" s="1"/>
  <c r="WB35" s="1"/>
  <c r="WC35" s="1"/>
  <c r="WD35" s="1"/>
  <c r="WE35" s="1"/>
  <c r="WF35" s="1"/>
  <c r="WG35" s="1"/>
  <c r="WH35" s="1"/>
  <c r="WI35" s="1"/>
  <c r="WJ35" s="1"/>
  <c r="WK35" s="1"/>
  <c r="WL35" s="1"/>
  <c r="WM35" s="1"/>
  <c r="WN35" s="1"/>
  <c r="WO35" s="1"/>
  <c r="WP35" s="1"/>
  <c r="WQ35" s="1"/>
  <c r="WR35" s="1"/>
  <c r="WS35" s="1"/>
  <c r="WT35" s="1"/>
  <c r="WU35" s="1"/>
  <c r="WV35" s="1"/>
  <c r="WW35" s="1"/>
  <c r="WX35" s="1"/>
  <c r="WY35" s="1"/>
  <c r="WZ35" s="1"/>
  <c r="XA35" s="1"/>
  <c r="XB35" s="1"/>
  <c r="XC35" s="1"/>
  <c r="XD35" s="1"/>
  <c r="XE35" s="1"/>
  <c r="XF35" s="1"/>
  <c r="XG35" s="1"/>
  <c r="XH35" s="1"/>
  <c r="XI35" s="1"/>
  <c r="XJ35" s="1"/>
  <c r="XK35" s="1"/>
  <c r="XL35" s="1"/>
  <c r="XM35" s="1"/>
  <c r="XN35" s="1"/>
  <c r="XO35" s="1"/>
  <c r="XP35" s="1"/>
  <c r="XQ35" s="1"/>
  <c r="XR35" s="1"/>
  <c r="XS35" s="1"/>
  <c r="XT35" s="1"/>
  <c r="XU35" s="1"/>
  <c r="XV35" s="1"/>
  <c r="XW35" s="1"/>
  <c r="XX35" s="1"/>
  <c r="XY35" s="1"/>
  <c r="XZ35" s="1"/>
  <c r="YA35" s="1"/>
  <c r="YB35" s="1"/>
  <c r="YC35" s="1"/>
  <c r="YD35" s="1"/>
  <c r="YE35" s="1"/>
  <c r="YF35" s="1"/>
  <c r="YG35" s="1"/>
  <c r="YH35" s="1"/>
  <c r="YI35" s="1"/>
  <c r="YJ35" s="1"/>
  <c r="YK35" s="1"/>
  <c r="YL35" s="1"/>
  <c r="YM35" s="1"/>
  <c r="YN35" s="1"/>
  <c r="YO35" s="1"/>
  <c r="YP35" s="1"/>
  <c r="YQ35" s="1"/>
  <c r="YR35" s="1"/>
  <c r="YS35" s="1"/>
  <c r="YT35" s="1"/>
  <c r="YU35" s="1"/>
  <c r="YV35" s="1"/>
  <c r="YW35" s="1"/>
  <c r="YX35" s="1"/>
  <c r="YY35" s="1"/>
  <c r="YZ35" s="1"/>
  <c r="ZA35" s="1"/>
  <c r="ZB35" s="1"/>
  <c r="ZC35" s="1"/>
  <c r="ZD35" s="1"/>
  <c r="ZE35" s="1"/>
  <c r="ZF35" s="1"/>
  <c r="ZG35" s="1"/>
  <c r="ZH35" s="1"/>
  <c r="ZI35" s="1"/>
  <c r="ZJ35" s="1"/>
  <c r="ZK35" s="1"/>
  <c r="ZL35" s="1"/>
  <c r="ZM35" s="1"/>
  <c r="ZN35" s="1"/>
  <c r="ZO35" s="1"/>
  <c r="ZP35" s="1"/>
  <c r="ZQ35" s="1"/>
  <c r="ZR35" s="1"/>
  <c r="ZS35" s="1"/>
  <c r="ZT35" s="1"/>
  <c r="ZU35" s="1"/>
  <c r="ZV35" s="1"/>
  <c r="ZW35" s="1"/>
  <c r="ZX35" s="1"/>
  <c r="ZY35" s="1"/>
  <c r="ZZ35" s="1"/>
  <c r="AAA35" s="1"/>
  <c r="AAB35" s="1"/>
  <c r="AAC35" s="1"/>
  <c r="AAD35" s="1"/>
  <c r="AAE35" s="1"/>
  <c r="AAF35" s="1"/>
  <c r="AAG35" s="1"/>
  <c r="AAH35" s="1"/>
  <c r="AAI35" s="1"/>
  <c r="AAJ35" s="1"/>
  <c r="AAK35" s="1"/>
  <c r="AAL35" s="1"/>
  <c r="AAM35" s="1"/>
  <c r="AAN35" s="1"/>
  <c r="AAO35" s="1"/>
  <c r="A41"/>
  <c r="A42" s="1"/>
  <c r="A43" s="1"/>
  <c r="A44" s="1"/>
  <c r="A45" s="1"/>
  <c r="A46" s="1"/>
  <c r="A47" s="1"/>
  <c r="A48" s="1"/>
  <c r="A49" s="1"/>
  <c r="F18"/>
  <c r="E18"/>
  <c r="N8"/>
  <c r="A26"/>
  <c r="A27" s="1"/>
  <c r="A28" s="1"/>
  <c r="A29" s="1"/>
  <c r="A30" s="1"/>
  <c r="A31" s="1"/>
  <c r="A32" s="1"/>
  <c r="A33" s="1"/>
  <c r="A34" s="1"/>
  <c r="I10"/>
  <c r="I11" s="1"/>
  <c r="I12" s="1"/>
  <c r="I13" s="1"/>
  <c r="C21"/>
  <c r="D21" s="1"/>
  <c r="J13" l="1"/>
  <c r="J17"/>
  <c r="D9"/>
  <c r="J12"/>
  <c r="K12" s="1"/>
  <c r="D15"/>
  <c r="G15" s="1"/>
  <c r="D17"/>
  <c r="J9"/>
  <c r="J15"/>
  <c r="K15" s="1"/>
  <c r="J11"/>
  <c r="K11" s="1"/>
  <c r="J14"/>
  <c r="K14" s="1"/>
  <c r="J16"/>
  <c r="K16" s="1"/>
  <c r="K13"/>
  <c r="I14"/>
  <c r="I15" s="1"/>
  <c r="I16" s="1"/>
  <c r="I17" s="1"/>
  <c r="E21"/>
  <c r="D22"/>
  <c r="C22"/>
  <c r="Y19"/>
  <c r="G24"/>
  <c r="K9"/>
  <c r="K18"/>
  <c r="K19"/>
  <c r="K10"/>
  <c r="K8"/>
  <c r="K17"/>
  <c r="V16" l="1"/>
  <c r="U16"/>
  <c r="V15"/>
  <c r="F21"/>
  <c r="E22"/>
  <c r="U14"/>
  <c r="T15"/>
  <c r="U15"/>
  <c r="G9"/>
  <c r="P9"/>
  <c r="O10"/>
  <c r="O9"/>
  <c r="T14"/>
  <c r="T13"/>
  <c r="S14"/>
  <c r="G16"/>
  <c r="W16"/>
  <c r="V17"/>
  <c r="W17"/>
  <c r="X18"/>
  <c r="G17"/>
  <c r="X17"/>
  <c r="W18"/>
  <c r="H24"/>
  <c r="D10"/>
  <c r="D11" s="1"/>
  <c r="G11" l="1"/>
  <c r="D12"/>
  <c r="G12" s="1"/>
  <c r="G21"/>
  <c r="F22"/>
  <c r="Q12"/>
  <c r="R11"/>
  <c r="G10"/>
  <c r="Q10"/>
  <c r="P11"/>
  <c r="Q11"/>
  <c r="P10"/>
  <c r="I24"/>
  <c r="H21" l="1"/>
  <c r="G22"/>
  <c r="J24"/>
  <c r="I21" l="1"/>
  <c r="H22"/>
  <c r="G20"/>
  <c r="R13"/>
  <c r="S13"/>
  <c r="S12"/>
  <c r="R12"/>
  <c r="K24"/>
  <c r="B28" l="1"/>
  <c r="B25"/>
  <c r="B27"/>
  <c r="B26"/>
  <c r="B32"/>
  <c r="B29"/>
  <c r="B33"/>
  <c r="B30"/>
  <c r="B34"/>
  <c r="B31"/>
  <c r="J21"/>
  <c r="I22"/>
  <c r="L24"/>
  <c r="B50" l="1"/>
  <c r="B36"/>
  <c r="B47"/>
  <c r="C32" s="1"/>
  <c r="B42"/>
  <c r="C27" s="1"/>
  <c r="B45"/>
  <c r="C30" s="1"/>
  <c r="B44"/>
  <c r="C29" s="1"/>
  <c r="B43"/>
  <c r="C28" s="1"/>
  <c r="B49"/>
  <c r="B48"/>
  <c r="C33" s="1"/>
  <c r="B39"/>
  <c r="B40"/>
  <c r="C25" s="1"/>
  <c r="B41"/>
  <c r="C26" s="1"/>
  <c r="B46"/>
  <c r="C31" s="1"/>
  <c r="K21"/>
  <c r="J22"/>
  <c r="M24"/>
  <c r="C34" l="1"/>
  <c r="C36" s="1"/>
  <c r="C47"/>
  <c r="D32" s="1"/>
  <c r="C42"/>
  <c r="D27" s="1"/>
  <c r="C43"/>
  <c r="D28" s="1"/>
  <c r="C39"/>
  <c r="C40"/>
  <c r="D25" s="1"/>
  <c r="C41"/>
  <c r="D26" s="1"/>
  <c r="C46"/>
  <c r="D31" s="1"/>
  <c r="L21"/>
  <c r="K22"/>
  <c r="C45"/>
  <c r="D30" s="1"/>
  <c r="C44"/>
  <c r="D29" s="1"/>
  <c r="N24"/>
  <c r="C48" l="1"/>
  <c r="D33" s="1"/>
  <c r="C49"/>
  <c r="D34" s="1"/>
  <c r="C50"/>
  <c r="D43"/>
  <c r="E28" s="1"/>
  <c r="D42"/>
  <c r="E27" s="1"/>
  <c r="D41"/>
  <c r="E26" s="1"/>
  <c r="D46"/>
  <c r="E31" s="1"/>
  <c r="D39"/>
  <c r="D40"/>
  <c r="E25" s="1"/>
  <c r="M21"/>
  <c r="L22"/>
  <c r="D45"/>
  <c r="E30" s="1"/>
  <c r="D44"/>
  <c r="E29" s="1"/>
  <c r="O24"/>
  <c r="D49" l="1"/>
  <c r="E34" s="1"/>
  <c r="D50"/>
  <c r="D36"/>
  <c r="D47"/>
  <c r="E32" s="1"/>
  <c r="D48"/>
  <c r="E42"/>
  <c r="F27" s="1"/>
  <c r="E40"/>
  <c r="E39"/>
  <c r="E41"/>
  <c r="F26" s="1"/>
  <c r="N21"/>
  <c r="M22"/>
  <c r="E46"/>
  <c r="F31" s="1"/>
  <c r="E45"/>
  <c r="F30" s="1"/>
  <c r="E43"/>
  <c r="F28" s="1"/>
  <c r="E44"/>
  <c r="F29" s="1"/>
  <c r="P24"/>
  <c r="E50" l="1"/>
  <c r="E36"/>
  <c r="E33"/>
  <c r="F25"/>
  <c r="F39" s="1"/>
  <c r="O21"/>
  <c r="N22"/>
  <c r="F45"/>
  <c r="G30" s="1"/>
  <c r="Q24"/>
  <c r="F40" l="1"/>
  <c r="G25" s="1"/>
  <c r="G39" s="1"/>
  <c r="E47"/>
  <c r="F32" s="1"/>
  <c r="E48"/>
  <c r="F41"/>
  <c r="G26" s="1"/>
  <c r="E49"/>
  <c r="P21"/>
  <c r="O22"/>
  <c r="F44"/>
  <c r="F43"/>
  <c r="G28" s="1"/>
  <c r="F42"/>
  <c r="G27" s="1"/>
  <c r="R24"/>
  <c r="G40" l="1"/>
  <c r="H25" s="1"/>
  <c r="H39" s="1"/>
  <c r="F46"/>
  <c r="G31" s="1"/>
  <c r="G29"/>
  <c r="G43" s="1"/>
  <c r="H28" s="1"/>
  <c r="F34"/>
  <c r="F33"/>
  <c r="F47" s="1"/>
  <c r="G32" s="1"/>
  <c r="Q21"/>
  <c r="P22"/>
  <c r="G41"/>
  <c r="H26" s="1"/>
  <c r="S24"/>
  <c r="F50" l="1"/>
  <c r="F36"/>
  <c r="G45"/>
  <c r="H30" s="1"/>
  <c r="G46"/>
  <c r="H31" s="1"/>
  <c r="F48"/>
  <c r="F49"/>
  <c r="R21"/>
  <c r="Q22"/>
  <c r="G44"/>
  <c r="H29" s="1"/>
  <c r="G42"/>
  <c r="H27" s="1"/>
  <c r="H40"/>
  <c r="I25" s="1"/>
  <c r="T24"/>
  <c r="G33" l="1"/>
  <c r="G34"/>
  <c r="S21"/>
  <c r="R22"/>
  <c r="H45"/>
  <c r="I30" s="1"/>
  <c r="H41"/>
  <c r="I39"/>
  <c r="U24"/>
  <c r="G50" l="1"/>
  <c r="G36"/>
  <c r="G48"/>
  <c r="H33" s="1"/>
  <c r="G47"/>
  <c r="H32" s="1"/>
  <c r="I26"/>
  <c r="I40" s="1"/>
  <c r="J25" s="1"/>
  <c r="J39" s="1"/>
  <c r="G49"/>
  <c r="T21"/>
  <c r="S22"/>
  <c r="H44"/>
  <c r="H42"/>
  <c r="H43"/>
  <c r="I28" s="1"/>
  <c r="V24"/>
  <c r="I27" l="1"/>
  <c r="I41" s="1"/>
  <c r="I29"/>
  <c r="H34"/>
  <c r="H46"/>
  <c r="I31" s="1"/>
  <c r="H47"/>
  <c r="I32" s="1"/>
  <c r="U21"/>
  <c r="T22"/>
  <c r="W24"/>
  <c r="I42" l="1"/>
  <c r="J27" s="1"/>
  <c r="H50"/>
  <c r="H36"/>
  <c r="H48"/>
  <c r="I33" s="1"/>
  <c r="I47" s="1"/>
  <c r="J32" s="1"/>
  <c r="I45"/>
  <c r="J30" s="1"/>
  <c r="J26"/>
  <c r="J40" s="1"/>
  <c r="K25" s="1"/>
  <c r="K39" s="1"/>
  <c r="I46"/>
  <c r="J31" s="1"/>
  <c r="I43"/>
  <c r="J28" s="1"/>
  <c r="I44"/>
  <c r="H49"/>
  <c r="I34" s="1"/>
  <c r="V21"/>
  <c r="U22"/>
  <c r="X24"/>
  <c r="I48" l="1"/>
  <c r="J33" s="1"/>
  <c r="J47" s="1"/>
  <c r="K32" s="1"/>
  <c r="I49"/>
  <c r="J34" s="1"/>
  <c r="J36" s="1"/>
  <c r="J41"/>
  <c r="K26" s="1"/>
  <c r="K40" s="1"/>
  <c r="L25" s="1"/>
  <c r="L39" s="1"/>
  <c r="I50"/>
  <c r="I36"/>
  <c r="J29"/>
  <c r="J42"/>
  <c r="K27" s="1"/>
  <c r="J46"/>
  <c r="K31" s="1"/>
  <c r="W21"/>
  <c r="V22"/>
  <c r="Y24"/>
  <c r="J48" l="1"/>
  <c r="K33" s="1"/>
  <c r="K47" s="1"/>
  <c r="L32" s="1"/>
  <c r="J50"/>
  <c r="J49"/>
  <c r="K34" s="1"/>
  <c r="K50" s="1"/>
  <c r="K41"/>
  <c r="L26" s="1"/>
  <c r="L40" s="1"/>
  <c r="M25" s="1"/>
  <c r="J43"/>
  <c r="K28" s="1"/>
  <c r="J44"/>
  <c r="K29" s="1"/>
  <c r="J45"/>
  <c r="K30" s="1"/>
  <c r="K46" s="1"/>
  <c r="L31" s="1"/>
  <c r="X21"/>
  <c r="W22"/>
  <c r="Z24"/>
  <c r="K49" l="1"/>
  <c r="L34" s="1"/>
  <c r="L36" s="1"/>
  <c r="K36"/>
  <c r="K48"/>
  <c r="L33" s="1"/>
  <c r="L47" s="1"/>
  <c r="M32" s="1"/>
  <c r="K44"/>
  <c r="L29" s="1"/>
  <c r="K42"/>
  <c r="L27" s="1"/>
  <c r="L41" s="1"/>
  <c r="M26" s="1"/>
  <c r="K45"/>
  <c r="L30" s="1"/>
  <c r="K43"/>
  <c r="L28" s="1"/>
  <c r="Y21"/>
  <c r="X22"/>
  <c r="M39"/>
  <c r="AA24"/>
  <c r="L50" l="1"/>
  <c r="L45"/>
  <c r="M30" s="1"/>
  <c r="L46"/>
  <c r="M31" s="1"/>
  <c r="L42"/>
  <c r="M27" s="1"/>
  <c r="M41" s="1"/>
  <c r="N26" s="1"/>
  <c r="L43"/>
  <c r="M28" s="1"/>
  <c r="L48"/>
  <c r="L49"/>
  <c r="M34" s="1"/>
  <c r="Z21"/>
  <c r="Y22"/>
  <c r="L44"/>
  <c r="M29" s="1"/>
  <c r="M40"/>
  <c r="N25" s="1"/>
  <c r="AB24"/>
  <c r="M46" l="1"/>
  <c r="N31" s="1"/>
  <c r="M50"/>
  <c r="M36"/>
  <c r="M33"/>
  <c r="AA21"/>
  <c r="Z22"/>
  <c r="M43"/>
  <c r="N28" s="1"/>
  <c r="M42"/>
  <c r="N39"/>
  <c r="AC24"/>
  <c r="M48" l="1"/>
  <c r="N33" s="1"/>
  <c r="M47"/>
  <c r="N32" s="1"/>
  <c r="N27"/>
  <c r="N41" s="1"/>
  <c r="O26" s="1"/>
  <c r="M49"/>
  <c r="N34" s="1"/>
  <c r="AA22"/>
  <c r="AB21"/>
  <c r="M44"/>
  <c r="N29" s="1"/>
  <c r="M45"/>
  <c r="N30" s="1"/>
  <c r="N40"/>
  <c r="O25" s="1"/>
  <c r="AD24"/>
  <c r="N50" l="1"/>
  <c r="N36"/>
  <c r="N42"/>
  <c r="O27" s="1"/>
  <c r="O41" s="1"/>
  <c r="P26" s="1"/>
  <c r="N49"/>
  <c r="N48"/>
  <c r="O33" s="1"/>
  <c r="N47"/>
  <c r="O32" s="1"/>
  <c r="AC21"/>
  <c r="AB22"/>
  <c r="N46"/>
  <c r="O31" s="1"/>
  <c r="O40"/>
  <c r="P25" s="1"/>
  <c r="O39"/>
  <c r="AE24"/>
  <c r="O34" l="1"/>
  <c r="AD21"/>
  <c r="AC22"/>
  <c r="O47"/>
  <c r="P32" s="1"/>
  <c r="N44"/>
  <c r="O29" s="1"/>
  <c r="N43"/>
  <c r="O28" s="1"/>
  <c r="N45"/>
  <c r="O30" s="1"/>
  <c r="AF24"/>
  <c r="O50" l="1"/>
  <c r="O36"/>
  <c r="O48"/>
  <c r="P33" s="1"/>
  <c r="O49"/>
  <c r="AE21"/>
  <c r="AD22"/>
  <c r="O43"/>
  <c r="P28" s="1"/>
  <c r="O42"/>
  <c r="O44"/>
  <c r="P29" s="1"/>
  <c r="P40"/>
  <c r="Q25" s="1"/>
  <c r="P39"/>
  <c r="AG24"/>
  <c r="P27" l="1"/>
  <c r="P41" s="1"/>
  <c r="Q26" s="1"/>
  <c r="P34"/>
  <c r="P36" s="1"/>
  <c r="AF21"/>
  <c r="AE22"/>
  <c r="O45"/>
  <c r="P30" s="1"/>
  <c r="O46"/>
  <c r="Q39"/>
  <c r="AH24"/>
  <c r="P42" l="1"/>
  <c r="Q27" s="1"/>
  <c r="Q41" s="1"/>
  <c r="R26" s="1"/>
  <c r="P50"/>
  <c r="P31"/>
  <c r="P47" s="1"/>
  <c r="Q32" s="1"/>
  <c r="P48"/>
  <c r="Q33" s="1"/>
  <c r="P49"/>
  <c r="AG21"/>
  <c r="AF22"/>
  <c r="P44"/>
  <c r="Q29" s="1"/>
  <c r="P43"/>
  <c r="Q28" s="1"/>
  <c r="Q40"/>
  <c r="R25" s="1"/>
  <c r="AI24"/>
  <c r="P45" l="1"/>
  <c r="Q30" s="1"/>
  <c r="Q34"/>
  <c r="Q50" s="1"/>
  <c r="P46"/>
  <c r="Q31" s="1"/>
  <c r="Q47" s="1"/>
  <c r="R32" s="1"/>
  <c r="AH21"/>
  <c r="AG22"/>
  <c r="Q42"/>
  <c r="R27" s="1"/>
  <c r="R39"/>
  <c r="AJ24"/>
  <c r="Q49" l="1"/>
  <c r="R34" s="1"/>
  <c r="R50" s="1"/>
  <c r="Q48"/>
  <c r="R33" s="1"/>
  <c r="Q36"/>
  <c r="Q46"/>
  <c r="R31" s="1"/>
  <c r="Q45"/>
  <c r="R30" s="1"/>
  <c r="AI21"/>
  <c r="AH22"/>
  <c r="Q43"/>
  <c r="R41"/>
  <c r="S26" s="1"/>
  <c r="R40"/>
  <c r="S25" s="1"/>
  <c r="Q44"/>
  <c r="R29" s="1"/>
  <c r="AK24"/>
  <c r="R47" l="1"/>
  <c r="S32" s="1"/>
  <c r="R48"/>
  <c r="S33" s="1"/>
  <c r="R36"/>
  <c r="R49"/>
  <c r="S34" s="1"/>
  <c r="S36" s="1"/>
  <c r="R46"/>
  <c r="S31" s="1"/>
  <c r="R28"/>
  <c r="R42" s="1"/>
  <c r="S27" s="1"/>
  <c r="S41" s="1"/>
  <c r="T26" s="1"/>
  <c r="AJ21"/>
  <c r="AI22"/>
  <c r="S39"/>
  <c r="S40"/>
  <c r="T25" s="1"/>
  <c r="AL24"/>
  <c r="S47" l="1"/>
  <c r="T32" s="1"/>
  <c r="S48"/>
  <c r="T33" s="1"/>
  <c r="S49"/>
  <c r="T34" s="1"/>
  <c r="S50"/>
  <c r="AK21"/>
  <c r="AJ22"/>
  <c r="T39"/>
  <c r="R44"/>
  <c r="S29" s="1"/>
  <c r="R43"/>
  <c r="S28" s="1"/>
  <c r="R45"/>
  <c r="S30" s="1"/>
  <c r="AM24"/>
  <c r="T49" l="1"/>
  <c r="U34" s="1"/>
  <c r="T50"/>
  <c r="T36"/>
  <c r="T48"/>
  <c r="U33" s="1"/>
  <c r="AL21"/>
  <c r="AK22"/>
  <c r="T40"/>
  <c r="U25" s="1"/>
  <c r="S46"/>
  <c r="T31" s="1"/>
  <c r="AN24"/>
  <c r="U50" l="1"/>
  <c r="U36"/>
  <c r="U49"/>
  <c r="V34" s="1"/>
  <c r="V36" s="1"/>
  <c r="AM21"/>
  <c r="AL22"/>
  <c r="U39"/>
  <c r="S44"/>
  <c r="T29" s="1"/>
  <c r="S45"/>
  <c r="T30" s="1"/>
  <c r="T47"/>
  <c r="U32" s="1"/>
  <c r="S42"/>
  <c r="T27" s="1"/>
  <c r="S43"/>
  <c r="T28" s="1"/>
  <c r="AO24"/>
  <c r="V50" l="1"/>
  <c r="AN21"/>
  <c r="AM22"/>
  <c r="T46"/>
  <c r="U31" s="1"/>
  <c r="T45"/>
  <c r="U30" s="1"/>
  <c r="U48"/>
  <c r="V33" s="1"/>
  <c r="T44"/>
  <c r="U29" s="1"/>
  <c r="AP24"/>
  <c r="AO21" l="1"/>
  <c r="AN22"/>
  <c r="U47"/>
  <c r="V32" s="1"/>
  <c r="U46"/>
  <c r="V31" s="1"/>
  <c r="U45"/>
  <c r="V30" s="1"/>
  <c r="V49"/>
  <c r="T41"/>
  <c r="U26" s="1"/>
  <c r="T42"/>
  <c r="U27" s="1"/>
  <c r="T43"/>
  <c r="U28" s="1"/>
  <c r="AQ24"/>
  <c r="W34" l="1"/>
  <c r="AP21"/>
  <c r="AO22"/>
  <c r="V48"/>
  <c r="V47"/>
  <c r="W32" s="1"/>
  <c r="V46"/>
  <c r="W31" s="1"/>
  <c r="U44"/>
  <c r="V29" s="1"/>
  <c r="AR24"/>
  <c r="W50" l="1"/>
  <c r="W36"/>
  <c r="W33"/>
  <c r="W49" s="1"/>
  <c r="AQ21"/>
  <c r="AP22"/>
  <c r="U43"/>
  <c r="V28" s="1"/>
  <c r="U42"/>
  <c r="V27" s="1"/>
  <c r="V45"/>
  <c r="W30" s="1"/>
  <c r="U41"/>
  <c r="V26" s="1"/>
  <c r="U40"/>
  <c r="V25" s="1"/>
  <c r="AS24"/>
  <c r="X34" l="1"/>
  <c r="W47"/>
  <c r="X32" s="1"/>
  <c r="W48"/>
  <c r="AR21"/>
  <c r="AQ22"/>
  <c r="V44"/>
  <c r="W29" s="1"/>
  <c r="V43"/>
  <c r="W28" s="1"/>
  <c r="W46"/>
  <c r="V39"/>
  <c r="V42"/>
  <c r="W27" s="1"/>
  <c r="AT24"/>
  <c r="X50" l="1"/>
  <c r="X36"/>
  <c r="X33"/>
  <c r="X48" s="1"/>
  <c r="X31"/>
  <c r="AS21"/>
  <c r="AR22"/>
  <c r="W44"/>
  <c r="X29" s="1"/>
  <c r="W43"/>
  <c r="X28" s="1"/>
  <c r="V41"/>
  <c r="W26" s="1"/>
  <c r="V40"/>
  <c r="W25" s="1"/>
  <c r="W45"/>
  <c r="AU24"/>
  <c r="X47" l="1"/>
  <c r="Y32" s="1"/>
  <c r="X30"/>
  <c r="X46" s="1"/>
  <c r="Y33"/>
  <c r="X49"/>
  <c r="AT21"/>
  <c r="AS22"/>
  <c r="W39"/>
  <c r="W40"/>
  <c r="X25" s="1"/>
  <c r="AV24"/>
  <c r="X44" l="1"/>
  <c r="Y29" s="1"/>
  <c r="X45"/>
  <c r="Y30" s="1"/>
  <c r="Y34"/>
  <c r="Y31"/>
  <c r="Y47" s="1"/>
  <c r="Z32" s="1"/>
  <c r="AU21"/>
  <c r="AT22"/>
  <c r="W41"/>
  <c r="X26" s="1"/>
  <c r="W42"/>
  <c r="X39"/>
  <c r="AW24"/>
  <c r="Y46" l="1"/>
  <c r="Z31" s="1"/>
  <c r="Y49"/>
  <c r="Z34" s="1"/>
  <c r="Y36"/>
  <c r="Y45"/>
  <c r="Z30" s="1"/>
  <c r="Y50"/>
  <c r="X27"/>
  <c r="X43" s="1"/>
  <c r="Y48"/>
  <c r="AV21"/>
  <c r="AU22"/>
  <c r="X40"/>
  <c r="Y25" s="1"/>
  <c r="AX24"/>
  <c r="Z46" l="1"/>
  <c r="AA31" s="1"/>
  <c r="Z50"/>
  <c r="Z36"/>
  <c r="Y28"/>
  <c r="Y44" s="1"/>
  <c r="X42"/>
  <c r="X41"/>
  <c r="Y26" s="1"/>
  <c r="Z33"/>
  <c r="Z48" s="1"/>
  <c r="AW21"/>
  <c r="AV22"/>
  <c r="Y39"/>
  <c r="AY24"/>
  <c r="Z49" l="1"/>
  <c r="AA34" s="1"/>
  <c r="AA36" s="1"/>
  <c r="Z29"/>
  <c r="Z45" s="1"/>
  <c r="Y27"/>
  <c r="Y43" s="1"/>
  <c r="Z28" s="1"/>
  <c r="AA33"/>
  <c r="Z47"/>
  <c r="AA32" s="1"/>
  <c r="AX21"/>
  <c r="AW22"/>
  <c r="Y40"/>
  <c r="AZ24"/>
  <c r="Z44" l="1"/>
  <c r="AA29" s="1"/>
  <c r="AA49"/>
  <c r="AB34" s="1"/>
  <c r="AA48"/>
  <c r="AB33" s="1"/>
  <c r="AA50"/>
  <c r="AA30"/>
  <c r="AA46" s="1"/>
  <c r="Z25"/>
  <c r="Z39" s="1"/>
  <c r="Y42"/>
  <c r="Z27" s="1"/>
  <c r="Z43" s="1"/>
  <c r="Y41"/>
  <c r="Z26" s="1"/>
  <c r="AA47"/>
  <c r="AY21"/>
  <c r="AX22"/>
  <c r="BA24"/>
  <c r="AA45" l="1"/>
  <c r="AB30" s="1"/>
  <c r="Z42"/>
  <c r="AA27" s="1"/>
  <c r="AB50"/>
  <c r="AB36"/>
  <c r="AB31"/>
  <c r="AB32"/>
  <c r="AB48" s="1"/>
  <c r="AC33" s="1"/>
  <c r="AA28"/>
  <c r="AA44" s="1"/>
  <c r="Z40"/>
  <c r="AB49"/>
  <c r="Z41"/>
  <c r="AA26" s="1"/>
  <c r="AZ21"/>
  <c r="AY22"/>
  <c r="BB24"/>
  <c r="AA43" l="1"/>
  <c r="AB28" s="1"/>
  <c r="AB47"/>
  <c r="AC32" s="1"/>
  <c r="AB46"/>
  <c r="AC31" s="1"/>
  <c r="AB29"/>
  <c r="AB45" s="1"/>
  <c r="AA25"/>
  <c r="AA42"/>
  <c r="AC34"/>
  <c r="BA21"/>
  <c r="AZ22"/>
  <c r="BC24"/>
  <c r="AC47" l="1"/>
  <c r="AD32" s="1"/>
  <c r="AB44"/>
  <c r="AC29" s="1"/>
  <c r="AC48"/>
  <c r="AD33" s="1"/>
  <c r="AC36"/>
  <c r="AC50"/>
  <c r="AC49"/>
  <c r="AD34" s="1"/>
  <c r="AC30"/>
  <c r="AC46" s="1"/>
  <c r="AA40"/>
  <c r="AB25" s="1"/>
  <c r="AA39"/>
  <c r="AB27"/>
  <c r="AB43" s="1"/>
  <c r="AA41"/>
  <c r="AB26" s="1"/>
  <c r="BB21"/>
  <c r="BA22"/>
  <c r="BD24"/>
  <c r="AB42" l="1"/>
  <c r="AC27" s="1"/>
  <c r="AD49"/>
  <c r="AE34" s="1"/>
  <c r="AD36"/>
  <c r="AD50"/>
  <c r="AD48"/>
  <c r="AE33" s="1"/>
  <c r="AC45"/>
  <c r="AD30" s="1"/>
  <c r="AD31"/>
  <c r="AD47" s="1"/>
  <c r="AB40"/>
  <c r="AC25" s="1"/>
  <c r="AB39"/>
  <c r="AB41"/>
  <c r="AC26" s="1"/>
  <c r="AC28"/>
  <c r="AC44" s="1"/>
  <c r="BC21"/>
  <c r="BB22"/>
  <c r="BE24"/>
  <c r="AD46" l="1"/>
  <c r="AE31" s="1"/>
  <c r="AE50"/>
  <c r="AE36"/>
  <c r="AD29"/>
  <c r="AD45" s="1"/>
  <c r="AE32"/>
  <c r="AE48" s="1"/>
  <c r="AC42"/>
  <c r="AC43"/>
  <c r="AE49"/>
  <c r="AC40"/>
  <c r="AD25" s="1"/>
  <c r="AC39"/>
  <c r="AC41"/>
  <c r="AD26" s="1"/>
  <c r="BD21"/>
  <c r="BC22"/>
  <c r="BF24"/>
  <c r="AE47" l="1"/>
  <c r="AF32" s="1"/>
  <c r="AF33"/>
  <c r="AE30"/>
  <c r="AE46" s="1"/>
  <c r="AD39"/>
  <c r="AD40"/>
  <c r="AE25" s="1"/>
  <c r="AD28"/>
  <c r="AD44" s="1"/>
  <c r="AF34"/>
  <c r="AD27"/>
  <c r="BE21"/>
  <c r="BD22"/>
  <c r="BG24"/>
  <c r="AD43" l="1"/>
  <c r="AE28" s="1"/>
  <c r="AF50"/>
  <c r="AF36"/>
  <c r="AF49"/>
  <c r="AG34" s="1"/>
  <c r="AF31"/>
  <c r="AF47" s="1"/>
  <c r="AG32" s="1"/>
  <c r="AE29"/>
  <c r="AE45" s="1"/>
  <c r="AE39"/>
  <c r="AD41"/>
  <c r="AE26" s="1"/>
  <c r="AD42"/>
  <c r="AF48"/>
  <c r="AG33" s="1"/>
  <c r="BF21"/>
  <c r="BE22"/>
  <c r="BH24"/>
  <c r="AG49" l="1"/>
  <c r="AH34" s="1"/>
  <c r="AH50" s="1"/>
  <c r="AG50"/>
  <c r="AG36"/>
  <c r="AE44"/>
  <c r="AF29" s="1"/>
  <c r="AG48"/>
  <c r="AH33" s="1"/>
  <c r="AF30"/>
  <c r="AF46" s="1"/>
  <c r="AG31" s="1"/>
  <c r="AG47" s="1"/>
  <c r="AH32" s="1"/>
  <c r="AE27"/>
  <c r="AE41" s="1"/>
  <c r="AF26" s="1"/>
  <c r="AE40"/>
  <c r="AF25" s="1"/>
  <c r="BG21"/>
  <c r="BF22"/>
  <c r="BI24"/>
  <c r="AH49" l="1"/>
  <c r="AI34" s="1"/>
  <c r="AI36" s="1"/>
  <c r="AH36"/>
  <c r="AE42"/>
  <c r="AH48"/>
  <c r="AI33" s="1"/>
  <c r="AE43"/>
  <c r="AF28" s="1"/>
  <c r="AF44" s="1"/>
  <c r="AF45"/>
  <c r="AG30" s="1"/>
  <c r="AG46" s="1"/>
  <c r="AH31" s="1"/>
  <c r="AH47" s="1"/>
  <c r="AI32" s="1"/>
  <c r="AF39"/>
  <c r="AF40"/>
  <c r="AG25" s="1"/>
  <c r="AF27"/>
  <c r="BH21"/>
  <c r="BG22"/>
  <c r="BJ24"/>
  <c r="AI50" l="1"/>
  <c r="AI48"/>
  <c r="AJ33" s="1"/>
  <c r="AJ49" s="1"/>
  <c r="AK34" s="1"/>
  <c r="AK50" s="1"/>
  <c r="AI49"/>
  <c r="AJ34" s="1"/>
  <c r="AJ50" s="1"/>
  <c r="AF42"/>
  <c r="AG27" s="1"/>
  <c r="AF43"/>
  <c r="AG28" s="1"/>
  <c r="AF41"/>
  <c r="AG26" s="1"/>
  <c r="AG40" s="1"/>
  <c r="AH25" s="1"/>
  <c r="AG29"/>
  <c r="AG45" s="1"/>
  <c r="AH30" s="1"/>
  <c r="AH46" s="1"/>
  <c r="AI31" s="1"/>
  <c r="AI47" s="1"/>
  <c r="AJ32" s="1"/>
  <c r="AG39"/>
  <c r="BI21"/>
  <c r="BH22"/>
  <c r="BK24"/>
  <c r="AJ48" l="1"/>
  <c r="AK33" s="1"/>
  <c r="AK49" s="1"/>
  <c r="AL34" s="1"/>
  <c r="AL36" s="1"/>
  <c r="AK36"/>
  <c r="AJ36"/>
  <c r="AG44"/>
  <c r="AH29" s="1"/>
  <c r="AH45" s="1"/>
  <c r="AI30" s="1"/>
  <c r="AI46" s="1"/>
  <c r="AJ31" s="1"/>
  <c r="AJ47" s="1"/>
  <c r="AK32" s="1"/>
  <c r="AG43"/>
  <c r="AH28" s="1"/>
  <c r="AG41"/>
  <c r="AH26" s="1"/>
  <c r="AH40" s="1"/>
  <c r="AI25" s="1"/>
  <c r="AG42"/>
  <c r="AH27" s="1"/>
  <c r="AH39"/>
  <c r="BJ21"/>
  <c r="BI22"/>
  <c r="BL24"/>
  <c r="AL50" l="1"/>
  <c r="AK48"/>
  <c r="AL33" s="1"/>
  <c r="AL49" s="1"/>
  <c r="AM34" s="1"/>
  <c r="AM36" s="1"/>
  <c r="AH43"/>
  <c r="AI28" s="1"/>
  <c r="AH44"/>
  <c r="AI29" s="1"/>
  <c r="AI45" s="1"/>
  <c r="AJ30" s="1"/>
  <c r="AJ46" s="1"/>
  <c r="AK31" s="1"/>
  <c r="AK47" s="1"/>
  <c r="AL32" s="1"/>
  <c r="AI39"/>
  <c r="AH42"/>
  <c r="AH41"/>
  <c r="AI26" s="1"/>
  <c r="BK21"/>
  <c r="BJ22"/>
  <c r="BM24"/>
  <c r="AM50" l="1"/>
  <c r="AL48"/>
  <c r="AM33" s="1"/>
  <c r="AM49" s="1"/>
  <c r="AN34" s="1"/>
  <c r="AN36" s="1"/>
  <c r="AI44"/>
  <c r="AJ29" s="1"/>
  <c r="AJ45" s="1"/>
  <c r="AK30" s="1"/>
  <c r="AK46" s="1"/>
  <c r="AL31" s="1"/>
  <c r="AL47" s="1"/>
  <c r="AM32" s="1"/>
  <c r="AI27"/>
  <c r="AI41" s="1"/>
  <c r="AJ26" s="1"/>
  <c r="AI40"/>
  <c r="AJ25" s="1"/>
  <c r="BL21"/>
  <c r="BK22"/>
  <c r="BN24"/>
  <c r="AM48" l="1"/>
  <c r="AN33" s="1"/>
  <c r="AI42"/>
  <c r="AI43"/>
  <c r="AJ28" s="1"/>
  <c r="AJ44" s="1"/>
  <c r="AK29" s="1"/>
  <c r="AK45" s="1"/>
  <c r="AL30" s="1"/>
  <c r="AL46" s="1"/>
  <c r="AM31" s="1"/>
  <c r="AM47" s="1"/>
  <c r="AN32" s="1"/>
  <c r="AJ39"/>
  <c r="AJ40"/>
  <c r="AK25" s="1"/>
  <c r="BM21"/>
  <c r="BL22"/>
  <c r="AN50"/>
  <c r="BO24"/>
  <c r="AK39" l="1"/>
  <c r="AJ27"/>
  <c r="AJ43" s="1"/>
  <c r="AK28" s="1"/>
  <c r="AK44" s="1"/>
  <c r="AL29" s="1"/>
  <c r="AL45" s="1"/>
  <c r="AM30" s="1"/>
  <c r="AM46" s="1"/>
  <c r="AN31" s="1"/>
  <c r="AN47" s="1"/>
  <c r="AO32" s="1"/>
  <c r="BN21"/>
  <c r="BM22"/>
  <c r="AN49"/>
  <c r="AO34" s="1"/>
  <c r="AO36" s="1"/>
  <c r="AN48"/>
  <c r="AO33" s="1"/>
  <c r="BP24"/>
  <c r="AJ42" l="1"/>
  <c r="AK27" s="1"/>
  <c r="AK43" s="1"/>
  <c r="AL28" s="1"/>
  <c r="AL44" s="1"/>
  <c r="AM29" s="1"/>
  <c r="AM45" s="1"/>
  <c r="AN30" s="1"/>
  <c r="AN46" s="1"/>
  <c r="AO31" s="1"/>
  <c r="AO47" s="1"/>
  <c r="AP32" s="1"/>
  <c r="AJ41"/>
  <c r="BO21"/>
  <c r="BN22"/>
  <c r="AO50"/>
  <c r="AO49"/>
  <c r="AP34" s="1"/>
  <c r="AP36" s="1"/>
  <c r="BQ24"/>
  <c r="AK26" l="1"/>
  <c r="BP21"/>
  <c r="BO22"/>
  <c r="AO48"/>
  <c r="AP50"/>
  <c r="BR24"/>
  <c r="AK41" l="1"/>
  <c r="AL26" s="1"/>
  <c r="AK40"/>
  <c r="AL25" s="1"/>
  <c r="AP33"/>
  <c r="AP48" s="1"/>
  <c r="AQ33" s="1"/>
  <c r="AK42"/>
  <c r="AL27" s="1"/>
  <c r="AL43" s="1"/>
  <c r="AM28" s="1"/>
  <c r="AM44" s="1"/>
  <c r="AN29" s="1"/>
  <c r="AN45" s="1"/>
  <c r="AO30" s="1"/>
  <c r="AO46" s="1"/>
  <c r="AP31" s="1"/>
  <c r="BQ21"/>
  <c r="BP22"/>
  <c r="BS24"/>
  <c r="AP47" l="1"/>
  <c r="AQ32" s="1"/>
  <c r="AP49"/>
  <c r="AL42"/>
  <c r="AM27" s="1"/>
  <c r="AM43" s="1"/>
  <c r="AL40"/>
  <c r="AM25" s="1"/>
  <c r="AL41"/>
  <c r="AM26" s="1"/>
  <c r="AL39"/>
  <c r="BR21"/>
  <c r="BQ22"/>
  <c r="BT24"/>
  <c r="AM42" l="1"/>
  <c r="AN27" s="1"/>
  <c r="AN28"/>
  <c r="AN44" s="1"/>
  <c r="AO29" s="1"/>
  <c r="AO45" s="1"/>
  <c r="AP30" s="1"/>
  <c r="AP46" s="1"/>
  <c r="AQ31" s="1"/>
  <c r="AQ47" s="1"/>
  <c r="AR32" s="1"/>
  <c r="AM40"/>
  <c r="AM39"/>
  <c r="AM41"/>
  <c r="AN26" s="1"/>
  <c r="AQ34"/>
  <c r="AQ36" s="1"/>
  <c r="BS21"/>
  <c r="BR22"/>
  <c r="BU24"/>
  <c r="AQ50" l="1"/>
  <c r="AQ48"/>
  <c r="AR33" s="1"/>
  <c r="AQ49"/>
  <c r="AR34" s="1"/>
  <c r="AN25"/>
  <c r="AN39" s="1"/>
  <c r="AN43"/>
  <c r="AO28" s="1"/>
  <c r="AO44" s="1"/>
  <c r="AP29" s="1"/>
  <c r="AP45" s="1"/>
  <c r="AQ30" s="1"/>
  <c r="AQ46" s="1"/>
  <c r="AR31" s="1"/>
  <c r="AN42"/>
  <c r="AO27" s="1"/>
  <c r="BT21"/>
  <c r="BS22"/>
  <c r="BV24"/>
  <c r="AO43" l="1"/>
  <c r="AP28" s="1"/>
  <c r="AP44" s="1"/>
  <c r="AQ29" s="1"/>
  <c r="AQ45" s="1"/>
  <c r="AR30" s="1"/>
  <c r="AR46" s="1"/>
  <c r="AS31" s="1"/>
  <c r="AR48"/>
  <c r="AS33" s="1"/>
  <c r="AR50"/>
  <c r="AR36"/>
  <c r="AR49"/>
  <c r="AS34" s="1"/>
  <c r="AN40"/>
  <c r="AN41"/>
  <c r="AO26" s="1"/>
  <c r="AO42" s="1"/>
  <c r="AP27" s="1"/>
  <c r="BU21"/>
  <c r="BT22"/>
  <c r="AR47"/>
  <c r="AS32" s="1"/>
  <c r="BW24"/>
  <c r="AP43" l="1"/>
  <c r="AQ28" s="1"/>
  <c r="AQ44" s="1"/>
  <c r="AR29" s="1"/>
  <c r="AR45" s="1"/>
  <c r="AS30" s="1"/>
  <c r="AS49"/>
  <c r="AT34" s="1"/>
  <c r="AT36" s="1"/>
  <c r="AS50"/>
  <c r="AS36"/>
  <c r="AO25"/>
  <c r="BV21"/>
  <c r="BU22"/>
  <c r="AS48"/>
  <c r="AT33" s="1"/>
  <c r="BX24"/>
  <c r="AT50" l="1"/>
  <c r="AO40"/>
  <c r="AP25" s="1"/>
  <c r="AO41"/>
  <c r="AP26" s="1"/>
  <c r="AP42" s="1"/>
  <c r="AQ27" s="1"/>
  <c r="AQ43" s="1"/>
  <c r="AR28" s="1"/>
  <c r="AR44" s="1"/>
  <c r="AS29" s="1"/>
  <c r="AS45" s="1"/>
  <c r="AT30" s="1"/>
  <c r="AO39"/>
  <c r="BW21"/>
  <c r="BV22"/>
  <c r="AS47"/>
  <c r="AT32" s="1"/>
  <c r="AS46"/>
  <c r="AT31" s="1"/>
  <c r="AT49"/>
  <c r="AU34" s="1"/>
  <c r="AU36" s="1"/>
  <c r="BY24"/>
  <c r="AP39" l="1"/>
  <c r="AP40"/>
  <c r="AQ25" s="1"/>
  <c r="AP41"/>
  <c r="AQ26" s="1"/>
  <c r="AQ42" s="1"/>
  <c r="AR27" s="1"/>
  <c r="AR43" s="1"/>
  <c r="AS28" s="1"/>
  <c r="AS44" s="1"/>
  <c r="AT29" s="1"/>
  <c r="BX21"/>
  <c r="BW22"/>
  <c r="AT47"/>
  <c r="AU32" s="1"/>
  <c r="AT48"/>
  <c r="AU33" s="1"/>
  <c r="AU50"/>
  <c r="BZ24"/>
  <c r="AQ39" l="1"/>
  <c r="AQ40"/>
  <c r="AR25" s="1"/>
  <c r="AQ41"/>
  <c r="AR26" s="1"/>
  <c r="AR42" s="1"/>
  <c r="AS27" s="1"/>
  <c r="AS43" s="1"/>
  <c r="AT28" s="1"/>
  <c r="AT44" s="1"/>
  <c r="AU29" s="1"/>
  <c r="BY21"/>
  <c r="BX22"/>
  <c r="AT45"/>
  <c r="AU30" s="1"/>
  <c r="AT46"/>
  <c r="AU31" s="1"/>
  <c r="AU49"/>
  <c r="AV34" s="1"/>
  <c r="AV36" s="1"/>
  <c r="CA24"/>
  <c r="AR39" l="1"/>
  <c r="AR40"/>
  <c r="AS25" s="1"/>
  <c r="AR41"/>
  <c r="AS26" s="1"/>
  <c r="AS42" s="1"/>
  <c r="AT27" s="1"/>
  <c r="AT43" s="1"/>
  <c r="AU28" s="1"/>
  <c r="AU44" s="1"/>
  <c r="AV29" s="1"/>
  <c r="BZ21"/>
  <c r="BY22"/>
  <c r="AV50"/>
  <c r="AU48"/>
  <c r="AV33" s="1"/>
  <c r="CB24"/>
  <c r="AS39" l="1"/>
  <c r="AS40"/>
  <c r="AT25" s="1"/>
  <c r="AS41"/>
  <c r="AT26" s="1"/>
  <c r="AT42" s="1"/>
  <c r="AU27" s="1"/>
  <c r="CA21"/>
  <c r="BZ22"/>
  <c r="AU46"/>
  <c r="AV31" s="1"/>
  <c r="AU47"/>
  <c r="AV32" s="1"/>
  <c r="AU45"/>
  <c r="AV30" s="1"/>
  <c r="AV49"/>
  <c r="AW34" s="1"/>
  <c r="AW36" s="1"/>
  <c r="CC24"/>
  <c r="AT41" l="1"/>
  <c r="AU26" s="1"/>
  <c r="AU42" s="1"/>
  <c r="AV27" s="1"/>
  <c r="AT39"/>
  <c r="AT40"/>
  <c r="AU25" s="1"/>
  <c r="CB21"/>
  <c r="CA22"/>
  <c r="AV48"/>
  <c r="AW33" s="1"/>
  <c r="AW50"/>
  <c r="AU43"/>
  <c r="AV28" s="1"/>
  <c r="AV46"/>
  <c r="AW31" s="1"/>
  <c r="CD24"/>
  <c r="AU41" l="1"/>
  <c r="AV26" s="1"/>
  <c r="AU39"/>
  <c r="AU40"/>
  <c r="AV25" s="1"/>
  <c r="AV39" s="1"/>
  <c r="CC21"/>
  <c r="CB22"/>
  <c r="AW49"/>
  <c r="AX34" s="1"/>
  <c r="AX36" s="1"/>
  <c r="AV45"/>
  <c r="AW30" s="1"/>
  <c r="AV44"/>
  <c r="AW29" s="1"/>
  <c r="AV47"/>
  <c r="AW32" s="1"/>
  <c r="AV43"/>
  <c r="AW28" s="1"/>
  <c r="CE24"/>
  <c r="CD21" l="1"/>
  <c r="CC22"/>
  <c r="AW47"/>
  <c r="AX32" s="1"/>
  <c r="AW46"/>
  <c r="AX31" s="1"/>
  <c r="AX50"/>
  <c r="AW45"/>
  <c r="AX30" s="1"/>
  <c r="AV40"/>
  <c r="AW25" s="1"/>
  <c r="AV41"/>
  <c r="AW26" s="1"/>
  <c r="AW44"/>
  <c r="AX29" s="1"/>
  <c r="AV42"/>
  <c r="AW27" s="1"/>
  <c r="AW48"/>
  <c r="AX33" s="1"/>
  <c r="CF24"/>
  <c r="CE21" l="1"/>
  <c r="CD22"/>
  <c r="AX49"/>
  <c r="AY34" s="1"/>
  <c r="AY36" s="1"/>
  <c r="AW43"/>
  <c r="AX28" s="1"/>
  <c r="AW40"/>
  <c r="AX25" s="1"/>
  <c r="AW39"/>
  <c r="CG24"/>
  <c r="CF21" l="1"/>
  <c r="CE22"/>
  <c r="AX46"/>
  <c r="AY31" s="1"/>
  <c r="AX39"/>
  <c r="AX44"/>
  <c r="AY29" s="1"/>
  <c r="AW41"/>
  <c r="AX26" s="1"/>
  <c r="AX48"/>
  <c r="AY33" s="1"/>
  <c r="AW42"/>
  <c r="AX27" s="1"/>
  <c r="AX47"/>
  <c r="AY32" s="1"/>
  <c r="AY50"/>
  <c r="AX45"/>
  <c r="AY30" s="1"/>
  <c r="CH24"/>
  <c r="CG21" l="1"/>
  <c r="CF22"/>
  <c r="AX43"/>
  <c r="AY28" s="1"/>
  <c r="AY49"/>
  <c r="AZ34" s="1"/>
  <c r="AZ36" s="1"/>
  <c r="CI24"/>
  <c r="CH21" l="1"/>
  <c r="CG22"/>
  <c r="AY48"/>
  <c r="AZ33" s="1"/>
  <c r="AX40"/>
  <c r="AY25" s="1"/>
  <c r="AX41"/>
  <c r="AY26" s="1"/>
  <c r="AY47"/>
  <c r="AZ32" s="1"/>
  <c r="AY45"/>
  <c r="AZ30" s="1"/>
  <c r="AX42"/>
  <c r="AY27" s="1"/>
  <c r="AZ50"/>
  <c r="AY46"/>
  <c r="AZ31" s="1"/>
  <c r="AY44"/>
  <c r="AZ29" s="1"/>
  <c r="CJ24"/>
  <c r="CI21" l="1"/>
  <c r="CH22"/>
  <c r="AZ49"/>
  <c r="BA34" s="1"/>
  <c r="BA36" s="1"/>
  <c r="AY43"/>
  <c r="AZ28" s="1"/>
  <c r="AZ48"/>
  <c r="BA33" s="1"/>
  <c r="AY39"/>
  <c r="AY41"/>
  <c r="AZ26" s="1"/>
  <c r="AY40"/>
  <c r="AZ25" s="1"/>
  <c r="AY42"/>
  <c r="AZ27" s="1"/>
  <c r="CK24"/>
  <c r="CJ21" l="1"/>
  <c r="CI22"/>
  <c r="AZ39"/>
  <c r="BA49"/>
  <c r="BB34" s="1"/>
  <c r="BB36" s="1"/>
  <c r="AZ46"/>
  <c r="BA31" s="1"/>
  <c r="AZ47"/>
  <c r="BA32" s="1"/>
  <c r="BA50"/>
  <c r="AZ40"/>
  <c r="BA25" s="1"/>
  <c r="AZ45"/>
  <c r="BA30" s="1"/>
  <c r="CL24"/>
  <c r="CK21" l="1"/>
  <c r="CJ22"/>
  <c r="BA39"/>
  <c r="AZ44"/>
  <c r="BA29" s="1"/>
  <c r="AZ42"/>
  <c r="BA27" s="1"/>
  <c r="BA48"/>
  <c r="BB33" s="1"/>
  <c r="AZ41"/>
  <c r="BA26" s="1"/>
  <c r="AZ43"/>
  <c r="BA28" s="1"/>
  <c r="CM24"/>
  <c r="CL21" l="1"/>
  <c r="CK22"/>
  <c r="BA47"/>
  <c r="BB32" s="1"/>
  <c r="BB49"/>
  <c r="BC34" s="1"/>
  <c r="BC36" s="1"/>
  <c r="BB50"/>
  <c r="BA41"/>
  <c r="BB26" s="1"/>
  <c r="BA40"/>
  <c r="BB25" s="1"/>
  <c r="BA46"/>
  <c r="BB31" s="1"/>
  <c r="CN24"/>
  <c r="CM21" l="1"/>
  <c r="CL22"/>
  <c r="BC50"/>
  <c r="BB48"/>
  <c r="BC33" s="1"/>
  <c r="BA45"/>
  <c r="BB30" s="1"/>
  <c r="BA42"/>
  <c r="BB27" s="1"/>
  <c r="BB39"/>
  <c r="BA44"/>
  <c r="BB29" s="1"/>
  <c r="BA43"/>
  <c r="BB28" s="1"/>
  <c r="CO24"/>
  <c r="CN21" l="1"/>
  <c r="CM22"/>
  <c r="BC49"/>
  <c r="BD34" s="1"/>
  <c r="BD36" s="1"/>
  <c r="BB41"/>
  <c r="BC26" s="1"/>
  <c r="BB40"/>
  <c r="BC25" s="1"/>
  <c r="BB47"/>
  <c r="BC32" s="1"/>
  <c r="BB46"/>
  <c r="BC31" s="1"/>
  <c r="CP24"/>
  <c r="CO21" l="1"/>
  <c r="CN22"/>
  <c r="BC47"/>
  <c r="BD32" s="1"/>
  <c r="BC39"/>
  <c r="BB45"/>
  <c r="BC30" s="1"/>
  <c r="BB44"/>
  <c r="BC29" s="1"/>
  <c r="BD50"/>
  <c r="BB42"/>
  <c r="BC27" s="1"/>
  <c r="BC48"/>
  <c r="BD33" s="1"/>
  <c r="BB43"/>
  <c r="BC28" s="1"/>
  <c r="CQ24"/>
  <c r="CP21" l="1"/>
  <c r="CO22"/>
  <c r="BD49"/>
  <c r="BE34" s="1"/>
  <c r="BE36" s="1"/>
  <c r="BC46"/>
  <c r="BD31" s="1"/>
  <c r="BC45"/>
  <c r="BD30" s="1"/>
  <c r="BC40"/>
  <c r="BD25" s="1"/>
  <c r="CR24"/>
  <c r="CQ21" l="1"/>
  <c r="CP22"/>
  <c r="BC42"/>
  <c r="BD27" s="1"/>
  <c r="BE50"/>
  <c r="BD39"/>
  <c r="BD47"/>
  <c r="BE32" s="1"/>
  <c r="BC44"/>
  <c r="BD29" s="1"/>
  <c r="BC43"/>
  <c r="BD28" s="1"/>
  <c r="BD46"/>
  <c r="BE31" s="1"/>
  <c r="BC41"/>
  <c r="BD26" s="1"/>
  <c r="BD48"/>
  <c r="BE33" s="1"/>
  <c r="CS24"/>
  <c r="CR21" l="1"/>
  <c r="CQ22"/>
  <c r="BD42"/>
  <c r="BE27" s="1"/>
  <c r="BE48"/>
  <c r="BF33" s="1"/>
  <c r="BE49"/>
  <c r="BF34" s="1"/>
  <c r="BF36" s="1"/>
  <c r="BE47"/>
  <c r="BF32" s="1"/>
  <c r="BD45"/>
  <c r="BE30" s="1"/>
  <c r="CT24"/>
  <c r="CS21" l="1"/>
  <c r="CR22"/>
  <c r="BE46"/>
  <c r="BF31" s="1"/>
  <c r="BD41"/>
  <c r="BE26" s="1"/>
  <c r="BD40"/>
  <c r="BE25" s="1"/>
  <c r="BD43"/>
  <c r="BE28" s="1"/>
  <c r="BD44"/>
  <c r="BE29" s="1"/>
  <c r="CU24"/>
  <c r="CV24" s="1"/>
  <c r="CT21" l="1"/>
  <c r="CS22"/>
  <c r="CW24"/>
  <c r="CX24" s="1"/>
  <c r="BF47"/>
  <c r="BG32" s="1"/>
  <c r="BE39"/>
  <c r="BF49"/>
  <c r="BG34" s="1"/>
  <c r="BG36" s="1"/>
  <c r="BF50"/>
  <c r="BF48"/>
  <c r="BG33" s="1"/>
  <c r="BE41"/>
  <c r="BF26" s="1"/>
  <c r="BE45"/>
  <c r="BF30" s="1"/>
  <c r="CU21" l="1"/>
  <c r="CT22"/>
  <c r="CY24"/>
  <c r="BE42"/>
  <c r="BF27" s="1"/>
  <c r="BF46"/>
  <c r="BG31" s="1"/>
  <c r="BE43"/>
  <c r="BF28" s="1"/>
  <c r="BE40"/>
  <c r="BF25" s="1"/>
  <c r="BE44"/>
  <c r="BF29" s="1"/>
  <c r="CV21" l="1"/>
  <c r="CU22"/>
  <c r="CZ24"/>
  <c r="BG48"/>
  <c r="BH33" s="1"/>
  <c r="BG47"/>
  <c r="BH32" s="1"/>
  <c r="BF39"/>
  <c r="BF41"/>
  <c r="BG26" s="1"/>
  <c r="BF40"/>
  <c r="BG25" s="1"/>
  <c r="BG50"/>
  <c r="BF45"/>
  <c r="BG30" s="1"/>
  <c r="BG49"/>
  <c r="BH34" s="1"/>
  <c r="BH36" s="1"/>
  <c r="CW21" l="1"/>
  <c r="CV22"/>
  <c r="DA24"/>
  <c r="BF44"/>
  <c r="BH50"/>
  <c r="BG40"/>
  <c r="BH25" s="1"/>
  <c r="BG39"/>
  <c r="BH48"/>
  <c r="BI33" s="1"/>
  <c r="BF42"/>
  <c r="BG27" s="1"/>
  <c r="BH49"/>
  <c r="BI34" s="1"/>
  <c r="BI36" s="1"/>
  <c r="BF43"/>
  <c r="BG28" s="1"/>
  <c r="BG46"/>
  <c r="BH31" s="1"/>
  <c r="BG29" l="1"/>
  <c r="BG45" s="1"/>
  <c r="BH30" s="1"/>
  <c r="CX21"/>
  <c r="CW22"/>
  <c r="DB24"/>
  <c r="BH39"/>
  <c r="BI49"/>
  <c r="BJ34" s="1"/>
  <c r="BJ36" s="1"/>
  <c r="CY21" l="1"/>
  <c r="CX22"/>
  <c r="DC24"/>
  <c r="BG43"/>
  <c r="BH28" s="1"/>
  <c r="BH46"/>
  <c r="BI31" s="1"/>
  <c r="BJ50"/>
  <c r="BG44"/>
  <c r="BH29" s="1"/>
  <c r="BI50"/>
  <c r="BH47"/>
  <c r="BI32" s="1"/>
  <c r="BG42"/>
  <c r="BH27" s="1"/>
  <c r="BG41"/>
  <c r="BH26" s="1"/>
  <c r="CZ21" l="1"/>
  <c r="CY22"/>
  <c r="DD24"/>
  <c r="BH45"/>
  <c r="BI30" s="1"/>
  <c r="BI48"/>
  <c r="BJ33" s="1"/>
  <c r="DA21" l="1"/>
  <c r="CZ22"/>
  <c r="DE24"/>
  <c r="BH42"/>
  <c r="BI27" s="1"/>
  <c r="BI46"/>
  <c r="BJ31" s="1"/>
  <c r="BJ49"/>
  <c r="BK34" s="1"/>
  <c r="BK36" s="1"/>
  <c r="BI47"/>
  <c r="BJ32" s="1"/>
  <c r="BH41"/>
  <c r="BI26" s="1"/>
  <c r="BH40"/>
  <c r="BI25" s="1"/>
  <c r="BH44"/>
  <c r="BI29" s="1"/>
  <c r="BH43"/>
  <c r="BI28" s="1"/>
  <c r="DB21" l="1"/>
  <c r="DA22"/>
  <c r="DF24"/>
  <c r="BK50"/>
  <c r="BI44"/>
  <c r="BJ29" s="1"/>
  <c r="BI39"/>
  <c r="BI41"/>
  <c r="BJ26" s="1"/>
  <c r="BJ48"/>
  <c r="BK33" s="1"/>
  <c r="BI45"/>
  <c r="BJ30" s="1"/>
  <c r="DC21" l="1"/>
  <c r="DB22"/>
  <c r="DG24"/>
  <c r="BJ47"/>
  <c r="BK32" s="1"/>
  <c r="BI42"/>
  <c r="BJ27" s="1"/>
  <c r="BK49"/>
  <c r="BL34" s="1"/>
  <c r="BL36" s="1"/>
  <c r="BJ45"/>
  <c r="BK30" s="1"/>
  <c r="BJ46"/>
  <c r="BK31" s="1"/>
  <c r="BI40"/>
  <c r="BJ25" s="1"/>
  <c r="BI43"/>
  <c r="BJ28" s="1"/>
  <c r="DD21" l="1"/>
  <c r="DC22"/>
  <c r="DH24"/>
  <c r="BK46"/>
  <c r="BL31" s="1"/>
  <c r="BL50"/>
  <c r="BJ39"/>
  <c r="BJ41"/>
  <c r="BK26" s="1"/>
  <c r="BJ40"/>
  <c r="BK25" s="1"/>
  <c r="BK48"/>
  <c r="BL33" s="1"/>
  <c r="BK47"/>
  <c r="BL32" s="1"/>
  <c r="DE21" l="1"/>
  <c r="DD22"/>
  <c r="DI24"/>
  <c r="BK40"/>
  <c r="BL25" s="1"/>
  <c r="BK39"/>
  <c r="BJ43"/>
  <c r="BK28" s="1"/>
  <c r="BJ42"/>
  <c r="BK27" s="1"/>
  <c r="BL49"/>
  <c r="BM34" s="1"/>
  <c r="BM36" s="1"/>
  <c r="BJ44"/>
  <c r="BK29" s="1"/>
  <c r="DF21" l="1"/>
  <c r="DE22"/>
  <c r="DJ24"/>
  <c r="BL39"/>
  <c r="BK45"/>
  <c r="BL30" s="1"/>
  <c r="BL48"/>
  <c r="BM33" s="1"/>
  <c r="BL47"/>
  <c r="BM32" s="1"/>
  <c r="BK43"/>
  <c r="BL28" s="1"/>
  <c r="BM50"/>
  <c r="DG21" l="1"/>
  <c r="DF22"/>
  <c r="DK24"/>
  <c r="BK41"/>
  <c r="BL26" s="1"/>
  <c r="BK42"/>
  <c r="BL27" s="1"/>
  <c r="BK44"/>
  <c r="BL29" s="1"/>
  <c r="BM49"/>
  <c r="BN34" s="1"/>
  <c r="BN36" s="1"/>
  <c r="DH21" l="1"/>
  <c r="DG22"/>
  <c r="DL24"/>
  <c r="BL44"/>
  <c r="BM29" s="1"/>
  <c r="BN50"/>
  <c r="BL42"/>
  <c r="BM27" s="1"/>
  <c r="BM48"/>
  <c r="BN33" s="1"/>
  <c r="BL46"/>
  <c r="BM31" s="1"/>
  <c r="BL45"/>
  <c r="BM30" s="1"/>
  <c r="BL43"/>
  <c r="BM28" s="1"/>
  <c r="DI21" l="1"/>
  <c r="DH22"/>
  <c r="DM24"/>
  <c r="BN49"/>
  <c r="BO34" s="1"/>
  <c r="BO36" s="1"/>
  <c r="BL40"/>
  <c r="BM25" s="1"/>
  <c r="BL41"/>
  <c r="BM26" s="1"/>
  <c r="BM46"/>
  <c r="BN31" s="1"/>
  <c r="BM47"/>
  <c r="BN32" s="1"/>
  <c r="BM44"/>
  <c r="BN29" s="1"/>
  <c r="DJ21" l="1"/>
  <c r="DI22"/>
  <c r="DN24"/>
  <c r="BO50"/>
  <c r="BM41"/>
  <c r="BN26" s="1"/>
  <c r="BM40"/>
  <c r="BN25" s="1"/>
  <c r="BM39"/>
  <c r="BM45"/>
  <c r="BN30" s="1"/>
  <c r="BM43"/>
  <c r="BN28" s="1"/>
  <c r="BM42"/>
  <c r="BN27" s="1"/>
  <c r="DK21" l="1"/>
  <c r="DJ22"/>
  <c r="DO24"/>
  <c r="BN39"/>
  <c r="BN41"/>
  <c r="BO26" s="1"/>
  <c r="BN40"/>
  <c r="BO25" s="1"/>
  <c r="BN46"/>
  <c r="BO31" s="1"/>
  <c r="BN42"/>
  <c r="BO27" s="1"/>
  <c r="BN48"/>
  <c r="BO33" s="1"/>
  <c r="BN43"/>
  <c r="BO28" s="1"/>
  <c r="BN47"/>
  <c r="BO32" s="1"/>
  <c r="DL21" l="1"/>
  <c r="DK22"/>
  <c r="DP24"/>
  <c r="BN44"/>
  <c r="BO29" s="1"/>
  <c r="BO39"/>
  <c r="BO41"/>
  <c r="BP26" s="1"/>
  <c r="BO40"/>
  <c r="BP25" s="1"/>
  <c r="BN45"/>
  <c r="BO30" s="1"/>
  <c r="BO42"/>
  <c r="BP27" s="1"/>
  <c r="BO49"/>
  <c r="BP34" s="1"/>
  <c r="BP36" s="1"/>
  <c r="DM21" l="1"/>
  <c r="DL22"/>
  <c r="DQ24"/>
  <c r="BO47"/>
  <c r="BP32" s="1"/>
  <c r="BO45"/>
  <c r="BP30" s="1"/>
  <c r="BP40"/>
  <c r="BQ25" s="1"/>
  <c r="BP41"/>
  <c r="BQ26" s="1"/>
  <c r="BP39"/>
  <c r="BO43"/>
  <c r="BP28" s="1"/>
  <c r="BO44"/>
  <c r="BP29" s="1"/>
  <c r="BO48"/>
  <c r="BP33" s="1"/>
  <c r="BO46"/>
  <c r="BP31" s="1"/>
  <c r="BP50"/>
  <c r="DN21" l="1"/>
  <c r="DM22"/>
  <c r="DR24"/>
  <c r="BP49"/>
  <c r="BQ34" s="1"/>
  <c r="BQ36" s="1"/>
  <c r="BQ39"/>
  <c r="BQ40"/>
  <c r="BR25" s="1"/>
  <c r="BP48"/>
  <c r="BQ33" s="1"/>
  <c r="BP44"/>
  <c r="BQ29" s="1"/>
  <c r="DO21" l="1"/>
  <c r="DN22"/>
  <c r="DS24"/>
  <c r="BQ49"/>
  <c r="BR34" s="1"/>
  <c r="BR36" s="1"/>
  <c r="BR39"/>
  <c r="BP43"/>
  <c r="BQ28" s="1"/>
  <c r="BP42"/>
  <c r="BQ27" s="1"/>
  <c r="BP45"/>
  <c r="BQ30" s="1"/>
  <c r="BP46"/>
  <c r="BQ31" s="1"/>
  <c r="BP47"/>
  <c r="BQ32" s="1"/>
  <c r="BQ50"/>
  <c r="DP21" l="1"/>
  <c r="DO22"/>
  <c r="DT24"/>
  <c r="BQ48"/>
  <c r="BR33" s="1"/>
  <c r="BR50"/>
  <c r="DQ21" l="1"/>
  <c r="DP22"/>
  <c r="DU24"/>
  <c r="BQ46"/>
  <c r="BR31" s="1"/>
  <c r="BQ44"/>
  <c r="BR29" s="1"/>
  <c r="BQ47"/>
  <c r="BR32" s="1"/>
  <c r="BR49"/>
  <c r="BS34" s="1"/>
  <c r="BS36" s="1"/>
  <c r="BQ42"/>
  <c r="BR27" s="1"/>
  <c r="BQ41"/>
  <c r="BR26" s="1"/>
  <c r="BQ45"/>
  <c r="BR30" s="1"/>
  <c r="BQ43"/>
  <c r="BR28" s="1"/>
  <c r="DR21" l="1"/>
  <c r="DQ22"/>
  <c r="DV24"/>
  <c r="BR48"/>
  <c r="BS33" s="1"/>
  <c r="BR45"/>
  <c r="BS30" s="1"/>
  <c r="BR44"/>
  <c r="BS29" s="1"/>
  <c r="BS50"/>
  <c r="BR47"/>
  <c r="BS32" s="1"/>
  <c r="BR46"/>
  <c r="BS31" s="1"/>
  <c r="DS21" l="1"/>
  <c r="DR22"/>
  <c r="DW24"/>
  <c r="BR43"/>
  <c r="BS28" s="1"/>
  <c r="BR42"/>
  <c r="BS27" s="1"/>
  <c r="BS48"/>
  <c r="BT33" s="1"/>
  <c r="BR40"/>
  <c r="BS25" s="1"/>
  <c r="BR41"/>
  <c r="BS26" s="1"/>
  <c r="BS49"/>
  <c r="BT34" s="1"/>
  <c r="BT36" s="1"/>
  <c r="BS47"/>
  <c r="BT32" s="1"/>
  <c r="DT21" l="1"/>
  <c r="DS22"/>
  <c r="DX24"/>
  <c r="BS41"/>
  <c r="BT26" s="1"/>
  <c r="BS40"/>
  <c r="BT25" s="1"/>
  <c r="BS39"/>
  <c r="BS44"/>
  <c r="BT29" s="1"/>
  <c r="BS46"/>
  <c r="BT31" s="1"/>
  <c r="BT50"/>
  <c r="BS43"/>
  <c r="BT28" s="1"/>
  <c r="BS42"/>
  <c r="BT27" s="1"/>
  <c r="BT48"/>
  <c r="BU33" s="1"/>
  <c r="BS45"/>
  <c r="BT30" s="1"/>
  <c r="BT49"/>
  <c r="BU34" s="1"/>
  <c r="BU36" s="1"/>
  <c r="DU21" l="1"/>
  <c r="DT22"/>
  <c r="DY24"/>
  <c r="BT39"/>
  <c r="BT40"/>
  <c r="BU25" s="1"/>
  <c r="BT47"/>
  <c r="BU32" s="1"/>
  <c r="BU50"/>
  <c r="BT42"/>
  <c r="BU27" s="1"/>
  <c r="DV21" l="1"/>
  <c r="DU22"/>
  <c r="DZ24"/>
  <c r="BT46"/>
  <c r="BU31" s="1"/>
  <c r="BU39"/>
  <c r="BU48"/>
  <c r="BV33" s="1"/>
  <c r="BT44"/>
  <c r="BU29" s="1"/>
  <c r="BU49"/>
  <c r="BV34" s="1"/>
  <c r="BV36" s="1"/>
  <c r="BT45"/>
  <c r="BU30" s="1"/>
  <c r="BT41"/>
  <c r="BU26" s="1"/>
  <c r="BT43"/>
  <c r="BU28" s="1"/>
  <c r="DW21" l="1"/>
  <c r="DV22"/>
  <c r="EA24"/>
  <c r="BU47"/>
  <c r="BV32" s="1"/>
  <c r="BU46"/>
  <c r="BV31" s="1"/>
  <c r="DX21" l="1"/>
  <c r="DW22"/>
  <c r="EB24"/>
  <c r="BU44"/>
  <c r="BV29" s="1"/>
  <c r="BU45"/>
  <c r="BV30" s="1"/>
  <c r="BU42"/>
  <c r="BV27" s="1"/>
  <c r="BU43"/>
  <c r="BV28" s="1"/>
  <c r="BV48"/>
  <c r="BW33" s="1"/>
  <c r="BU41"/>
  <c r="BV26" s="1"/>
  <c r="BU40"/>
  <c r="BV25" s="1"/>
  <c r="BV49"/>
  <c r="BW34" s="1"/>
  <c r="BW36" s="1"/>
  <c r="BV50"/>
  <c r="DY21" l="1"/>
  <c r="DX22"/>
  <c r="EC24"/>
  <c r="BV43"/>
  <c r="BW28" s="1"/>
  <c r="BV44"/>
  <c r="BW29" s="1"/>
  <c r="BV45"/>
  <c r="BW30" s="1"/>
  <c r="BW50"/>
  <c r="BW49"/>
  <c r="BX34" s="1"/>
  <c r="BX36" s="1"/>
  <c r="BV39"/>
  <c r="BV46"/>
  <c r="BW31" s="1"/>
  <c r="BV41"/>
  <c r="BW26" s="1"/>
  <c r="BV47"/>
  <c r="BW32" s="1"/>
  <c r="DZ21" l="1"/>
  <c r="DY22"/>
  <c r="ED24"/>
  <c r="BV42"/>
  <c r="BW27" s="1"/>
  <c r="BW44"/>
  <c r="BX29" s="1"/>
  <c r="BW45"/>
  <c r="BX30" s="1"/>
  <c r="BV40"/>
  <c r="BW25" s="1"/>
  <c r="BW48"/>
  <c r="BX33" s="1"/>
  <c r="BX50"/>
  <c r="BW47"/>
  <c r="BX32" s="1"/>
  <c r="EA21" l="1"/>
  <c r="DZ22"/>
  <c r="EE24"/>
  <c r="BW43"/>
  <c r="BX28" s="1"/>
  <c r="BX49"/>
  <c r="BY34" s="1"/>
  <c r="BY36" s="1"/>
  <c r="BW40"/>
  <c r="BX25" s="1"/>
  <c r="BW39"/>
  <c r="BW46"/>
  <c r="BX31" s="1"/>
  <c r="EB21" l="1"/>
  <c r="EA22"/>
  <c r="EF24"/>
  <c r="BX44"/>
  <c r="BY29" s="1"/>
  <c r="BW42"/>
  <c r="BX27" s="1"/>
  <c r="BW41"/>
  <c r="BX26" s="1"/>
  <c r="BX39"/>
  <c r="BY50"/>
  <c r="BX48"/>
  <c r="BY33" s="1"/>
  <c r="EC21" l="1"/>
  <c r="EB22"/>
  <c r="EG24"/>
  <c r="BX41"/>
  <c r="BY26" s="1"/>
  <c r="BX40"/>
  <c r="BY25" s="1"/>
  <c r="BY49"/>
  <c r="BZ34" s="1"/>
  <c r="BZ36" s="1"/>
  <c r="BX46"/>
  <c r="BY31" s="1"/>
  <c r="BX45"/>
  <c r="BY30" s="1"/>
  <c r="BX42"/>
  <c r="BY27" s="1"/>
  <c r="BX43"/>
  <c r="BY28" s="1"/>
  <c r="BX47"/>
  <c r="BY32" s="1"/>
  <c r="ED21" l="1"/>
  <c r="EC22"/>
  <c r="BY39"/>
  <c r="EH24"/>
  <c r="BZ50"/>
  <c r="EE21" l="1"/>
  <c r="ED22"/>
  <c r="BY41"/>
  <c r="BZ26" s="1"/>
  <c r="BY40"/>
  <c r="BZ25" s="1"/>
  <c r="EI24"/>
  <c r="BY47"/>
  <c r="BZ32" s="1"/>
  <c r="BY46"/>
  <c r="BZ31" s="1"/>
  <c r="BY44"/>
  <c r="BZ29" s="1"/>
  <c r="BY45"/>
  <c r="BZ30" s="1"/>
  <c r="BY43"/>
  <c r="BZ28" s="1"/>
  <c r="BY48"/>
  <c r="BZ33" s="1"/>
  <c r="BY42"/>
  <c r="BZ27" s="1"/>
  <c r="EF21" l="1"/>
  <c r="EE22"/>
  <c r="BZ39"/>
  <c r="BZ40"/>
  <c r="EJ24"/>
  <c r="BZ49"/>
  <c r="CA34" s="1"/>
  <c r="CA36" s="1"/>
  <c r="BZ47"/>
  <c r="CA32" s="1"/>
  <c r="BZ43"/>
  <c r="CA28" s="1"/>
  <c r="BZ48"/>
  <c r="CA33" s="1"/>
  <c r="CA25" l="1"/>
  <c r="CA39" s="1"/>
  <c r="EG21"/>
  <c r="EF22"/>
  <c r="EK24"/>
  <c r="BZ45"/>
  <c r="CA30" s="1"/>
  <c r="BZ46"/>
  <c r="CA31" s="1"/>
  <c r="BZ44"/>
  <c r="CA29" s="1"/>
  <c r="BZ42"/>
  <c r="CA27" s="1"/>
  <c r="BZ41"/>
  <c r="CA26" s="1"/>
  <c r="EH21" l="1"/>
  <c r="EG22"/>
  <c r="EL24"/>
  <c r="CA48"/>
  <c r="CB33" s="1"/>
  <c r="CA47"/>
  <c r="CB32" s="1"/>
  <c r="CA49"/>
  <c r="CB34" s="1"/>
  <c r="CB36" s="1"/>
  <c r="CA50"/>
  <c r="EI21" l="1"/>
  <c r="EH22"/>
  <c r="EM24"/>
  <c r="CA46"/>
  <c r="CB31" s="1"/>
  <c r="CA45"/>
  <c r="CB30" s="1"/>
  <c r="CB50"/>
  <c r="CB48"/>
  <c r="CC33" s="1"/>
  <c r="CA41"/>
  <c r="CB26" s="1"/>
  <c r="CA40"/>
  <c r="CB25" s="1"/>
  <c r="CA44"/>
  <c r="CB29" s="1"/>
  <c r="CA43"/>
  <c r="CB28" s="1"/>
  <c r="CA42"/>
  <c r="CB27" s="1"/>
  <c r="CB49"/>
  <c r="CC34" s="1"/>
  <c r="CC36" s="1"/>
  <c r="EJ21" l="1"/>
  <c r="EI22"/>
  <c r="EN24"/>
  <c r="CC50"/>
  <c r="CB44"/>
  <c r="CC29" s="1"/>
  <c r="CB39"/>
  <c r="CB40"/>
  <c r="CC25" s="1"/>
  <c r="CB47"/>
  <c r="CC32" s="1"/>
  <c r="CC49"/>
  <c r="CD34" s="1"/>
  <c r="CD36" s="1"/>
  <c r="CB46"/>
  <c r="CC31" s="1"/>
  <c r="CB45"/>
  <c r="CC30" s="1"/>
  <c r="EK21" l="1"/>
  <c r="EJ22"/>
  <c r="EO24"/>
  <c r="CB43"/>
  <c r="CC39"/>
  <c r="CC45"/>
  <c r="CD30" s="1"/>
  <c r="CC48"/>
  <c r="CD33" s="1"/>
  <c r="CB41"/>
  <c r="CC26" s="1"/>
  <c r="CB42"/>
  <c r="CC27" s="1"/>
  <c r="CD50"/>
  <c r="CC28" l="1"/>
  <c r="CC44" s="1"/>
  <c r="CD29" s="1"/>
  <c r="EL21"/>
  <c r="EK22"/>
  <c r="EP24"/>
  <c r="CC40"/>
  <c r="CD25" s="1"/>
  <c r="CD49"/>
  <c r="CE34" s="1"/>
  <c r="CE36" s="1"/>
  <c r="CC47"/>
  <c r="CD32" s="1"/>
  <c r="CC46"/>
  <c r="CD31" s="1"/>
  <c r="CC43" l="1"/>
  <c r="CD28" s="1"/>
  <c r="CD44" s="1"/>
  <c r="CE29" s="1"/>
  <c r="EM21"/>
  <c r="EL22"/>
  <c r="CD39"/>
  <c r="EQ24"/>
  <c r="CC42"/>
  <c r="CD27" s="1"/>
  <c r="CC41"/>
  <c r="CD26" s="1"/>
  <c r="CD46"/>
  <c r="CE31" s="1"/>
  <c r="CD48"/>
  <c r="CE33" s="1"/>
  <c r="CD45"/>
  <c r="CE30" s="1"/>
  <c r="CD47"/>
  <c r="CE32" s="1"/>
  <c r="EN21" l="1"/>
  <c r="EM22"/>
  <c r="ER24"/>
  <c r="CD42"/>
  <c r="CE27" s="1"/>
  <c r="CD40"/>
  <c r="CE25" s="1"/>
  <c r="CD41"/>
  <c r="CE26" s="1"/>
  <c r="CD43"/>
  <c r="CE28" s="1"/>
  <c r="CE48"/>
  <c r="CF33" s="1"/>
  <c r="CE46"/>
  <c r="CF31" s="1"/>
  <c r="CE47"/>
  <c r="CF32" s="1"/>
  <c r="CE45"/>
  <c r="CF30" s="1"/>
  <c r="CE49"/>
  <c r="CF34" s="1"/>
  <c r="CF36" s="1"/>
  <c r="CE50"/>
  <c r="EO21" l="1"/>
  <c r="EN22"/>
  <c r="ES24"/>
  <c r="CE40"/>
  <c r="CF25" s="1"/>
  <c r="CE39"/>
  <c r="CE41"/>
  <c r="CF26" s="1"/>
  <c r="CE42"/>
  <c r="CF27" s="1"/>
  <c r="CE44"/>
  <c r="CF29" s="1"/>
  <c r="CE43"/>
  <c r="CF28" s="1"/>
  <c r="CF50"/>
  <c r="CF46"/>
  <c r="CG31" s="1"/>
  <c r="CF48"/>
  <c r="CG33" s="1"/>
  <c r="CF47"/>
  <c r="CG32" s="1"/>
  <c r="CF49"/>
  <c r="CG34" s="1"/>
  <c r="CG36" s="1"/>
  <c r="EP21" l="1"/>
  <c r="EO22"/>
  <c r="CF39"/>
  <c r="ET24"/>
  <c r="CF45"/>
  <c r="CG30" s="1"/>
  <c r="CF42"/>
  <c r="CG27" s="1"/>
  <c r="CG50"/>
  <c r="CG47"/>
  <c r="CH32" s="1"/>
  <c r="CG48"/>
  <c r="CH33" s="1"/>
  <c r="CG49"/>
  <c r="CH34" s="1"/>
  <c r="CH36" s="1"/>
  <c r="EQ21" l="1"/>
  <c r="EP22"/>
  <c r="CF41"/>
  <c r="CG26" s="1"/>
  <c r="CF40"/>
  <c r="EU24"/>
  <c r="CG46"/>
  <c r="CF43"/>
  <c r="CG28" s="1"/>
  <c r="CF44"/>
  <c r="CG29" s="1"/>
  <c r="CH50"/>
  <c r="CH31" l="1"/>
  <c r="CH47" s="1"/>
  <c r="CI32" s="1"/>
  <c r="CG25"/>
  <c r="CG39" s="1"/>
  <c r="ER21"/>
  <c r="EQ22"/>
  <c r="EV24"/>
  <c r="CG43"/>
  <c r="CH28" s="1"/>
  <c r="CG42"/>
  <c r="CH27" s="1"/>
  <c r="CH49"/>
  <c r="CI34" s="1"/>
  <c r="CI36" s="1"/>
  <c r="CH48"/>
  <c r="CI33" s="1"/>
  <c r="CG40" l="1"/>
  <c r="CH25" s="1"/>
  <c r="CH39" s="1"/>
  <c r="CG41"/>
  <c r="CH26" s="1"/>
  <c r="ES21"/>
  <c r="ER22"/>
  <c r="EW24"/>
  <c r="CG45"/>
  <c r="CG44"/>
  <c r="CH29" s="1"/>
  <c r="CI50"/>
  <c r="CH40" l="1"/>
  <c r="CI25" s="1"/>
  <c r="CI39" s="1"/>
  <c r="CH30"/>
  <c r="CH46" s="1"/>
  <c r="CI31" s="1"/>
  <c r="CI47" s="1"/>
  <c r="CJ32" s="1"/>
  <c r="ET21"/>
  <c r="ES22"/>
  <c r="EX24"/>
  <c r="CI49"/>
  <c r="CJ34" s="1"/>
  <c r="CJ36" s="1"/>
  <c r="CI48"/>
  <c r="CJ33" s="1"/>
  <c r="CH42"/>
  <c r="CI27" s="1"/>
  <c r="CH43"/>
  <c r="CI28" s="1"/>
  <c r="CH41"/>
  <c r="CI26" s="1"/>
  <c r="CH44" l="1"/>
  <c r="CI29" s="1"/>
  <c r="CH45"/>
  <c r="EU21"/>
  <c r="ET22"/>
  <c r="EY24"/>
  <c r="CJ49"/>
  <c r="CK34" s="1"/>
  <c r="CK36" s="1"/>
  <c r="CJ50"/>
  <c r="CI30" l="1"/>
  <c r="EV21"/>
  <c r="EU22"/>
  <c r="EZ24"/>
  <c r="CI41"/>
  <c r="CJ26" s="1"/>
  <c r="CI40"/>
  <c r="CJ25" s="1"/>
  <c r="CI43"/>
  <c r="CJ28" s="1"/>
  <c r="CJ48"/>
  <c r="CK33" s="1"/>
  <c r="CI42"/>
  <c r="CJ27" s="1"/>
  <c r="CK50"/>
  <c r="CI44" l="1"/>
  <c r="CJ29" s="1"/>
  <c r="CJ43" s="1"/>
  <c r="CK28" s="1"/>
  <c r="CI45"/>
  <c r="CJ30" s="1"/>
  <c r="CI46"/>
  <c r="CJ31" s="1"/>
  <c r="CJ47" s="1"/>
  <c r="CK32" s="1"/>
  <c r="CK48" s="1"/>
  <c r="CL33" s="1"/>
  <c r="EW21"/>
  <c r="EV22"/>
  <c r="FA24"/>
  <c r="CK49"/>
  <c r="CL34" s="1"/>
  <c r="CL36" s="1"/>
  <c r="CJ39"/>
  <c r="CJ42"/>
  <c r="CK27" s="1"/>
  <c r="CJ44" l="1"/>
  <c r="CK29" s="1"/>
  <c r="CJ46"/>
  <c r="CK31" s="1"/>
  <c r="CK47" s="1"/>
  <c r="CL32" s="1"/>
  <c r="CJ45"/>
  <c r="CK30" s="1"/>
  <c r="EX21"/>
  <c r="EW22"/>
  <c r="FB24"/>
  <c r="CL50"/>
  <c r="CJ40"/>
  <c r="CK25" s="1"/>
  <c r="CJ41"/>
  <c r="CK26" s="1"/>
  <c r="CK44" l="1"/>
  <c r="CL29" s="1"/>
  <c r="CK43"/>
  <c r="CL28" s="1"/>
  <c r="CK46"/>
  <c r="CL31" s="1"/>
  <c r="CK45"/>
  <c r="CL30" s="1"/>
  <c r="EY21"/>
  <c r="EX22"/>
  <c r="FC24"/>
  <c r="CL49"/>
  <c r="CM34" s="1"/>
  <c r="CM36" s="1"/>
  <c r="CL48"/>
  <c r="CM33" s="1"/>
  <c r="CK39"/>
  <c r="EZ21" l="1"/>
  <c r="EY22"/>
  <c r="FD24"/>
  <c r="CL46"/>
  <c r="CM31" s="1"/>
  <c r="CL47"/>
  <c r="CM32" s="1"/>
  <c r="CM50"/>
  <c r="CK40"/>
  <c r="CL25" s="1"/>
  <c r="CL44"/>
  <c r="CM29" s="1"/>
  <c r="CK42"/>
  <c r="CL27" s="1"/>
  <c r="CK41"/>
  <c r="CL26" s="1"/>
  <c r="CL45"/>
  <c r="CM30" s="1"/>
  <c r="FA21" l="1"/>
  <c r="EZ22"/>
  <c r="FE24"/>
  <c r="CM47"/>
  <c r="CN32" s="1"/>
  <c r="CL43"/>
  <c r="CM28" s="1"/>
  <c r="CL39"/>
  <c r="CL40"/>
  <c r="CM25" s="1"/>
  <c r="CM48"/>
  <c r="CN33" s="1"/>
  <c r="CM49"/>
  <c r="CN34" s="1"/>
  <c r="CN36" s="1"/>
  <c r="FB21" l="1"/>
  <c r="FA22"/>
  <c r="FF24"/>
  <c r="CL41"/>
  <c r="CM26" s="1"/>
  <c r="CL42"/>
  <c r="CM27" s="1"/>
  <c r="CM44"/>
  <c r="CN29" s="1"/>
  <c r="CM39"/>
  <c r="CN50"/>
  <c r="CM45"/>
  <c r="CN30" s="1"/>
  <c r="CM46"/>
  <c r="CN31" s="1"/>
  <c r="CN49"/>
  <c r="CO34" s="1"/>
  <c r="CO36" s="1"/>
  <c r="FC21" l="1"/>
  <c r="FB22"/>
  <c r="FG24"/>
  <c r="CM40"/>
  <c r="CN25" s="1"/>
  <c r="CM43"/>
  <c r="CN28" s="1"/>
  <c r="CO50"/>
  <c r="CN47"/>
  <c r="CO32" s="1"/>
  <c r="CN46"/>
  <c r="CO31" s="1"/>
  <c r="CN48"/>
  <c r="CO33" s="1"/>
  <c r="FD21" l="1"/>
  <c r="FC22"/>
  <c r="CN39"/>
  <c r="FH24"/>
  <c r="CM41"/>
  <c r="CN26" s="1"/>
  <c r="CM42"/>
  <c r="CN45"/>
  <c r="CO30" s="1"/>
  <c r="CN44"/>
  <c r="CO29" s="1"/>
  <c r="CN27" l="1"/>
  <c r="CN43" s="1"/>
  <c r="CO28" s="1"/>
  <c r="CO44" s="1"/>
  <c r="CP29" s="1"/>
  <c r="FE21"/>
  <c r="FD22"/>
  <c r="FI24"/>
  <c r="CN40"/>
  <c r="CO25" s="1"/>
  <c r="CO49"/>
  <c r="CP34" s="1"/>
  <c r="CP36" s="1"/>
  <c r="CO48"/>
  <c r="CP33" s="1"/>
  <c r="CO45"/>
  <c r="CP30" s="1"/>
  <c r="CO46"/>
  <c r="CP31" s="1"/>
  <c r="CO47"/>
  <c r="CP32" s="1"/>
  <c r="CN42" l="1"/>
  <c r="CO27" s="1"/>
  <c r="CO43" s="1"/>
  <c r="CP28" s="1"/>
  <c r="CN41"/>
  <c r="CO26" s="1"/>
  <c r="FF21"/>
  <c r="FE22"/>
  <c r="FJ24"/>
  <c r="CO39"/>
  <c r="CP47"/>
  <c r="CQ32" s="1"/>
  <c r="CP48"/>
  <c r="CQ33" s="1"/>
  <c r="CP46"/>
  <c r="CQ31" s="1"/>
  <c r="CO41" l="1"/>
  <c r="CP26" s="1"/>
  <c r="FG21"/>
  <c r="FF22"/>
  <c r="FK24"/>
  <c r="CP45"/>
  <c r="CQ30" s="1"/>
  <c r="CO42"/>
  <c r="CP27" s="1"/>
  <c r="CP44"/>
  <c r="CQ29" s="1"/>
  <c r="CP49"/>
  <c r="CQ34" s="1"/>
  <c r="CQ36" s="1"/>
  <c r="CP50"/>
  <c r="CO40"/>
  <c r="CP25" s="1"/>
  <c r="FH21" l="1"/>
  <c r="FG22"/>
  <c r="FL24"/>
  <c r="CP43"/>
  <c r="CQ28" s="1"/>
  <c r="CP42"/>
  <c r="CQ27" s="1"/>
  <c r="CQ46"/>
  <c r="CR31" s="1"/>
  <c r="CQ50"/>
  <c r="CP41"/>
  <c r="CQ26" s="1"/>
  <c r="CP40"/>
  <c r="CQ25" s="1"/>
  <c r="CP39"/>
  <c r="CQ47"/>
  <c r="CR32" s="1"/>
  <c r="FI21" l="1"/>
  <c r="FH22"/>
  <c r="FM24"/>
  <c r="CQ44"/>
  <c r="CR29" s="1"/>
  <c r="CQ39"/>
  <c r="CQ41"/>
  <c r="CR26" s="1"/>
  <c r="CQ43"/>
  <c r="CR28" s="1"/>
  <c r="CQ48"/>
  <c r="CR33" s="1"/>
  <c r="CQ49"/>
  <c r="CR34" s="1"/>
  <c r="CR36" s="1"/>
  <c r="CQ45"/>
  <c r="CR30" s="1"/>
  <c r="FJ21" l="1"/>
  <c r="FI22"/>
  <c r="FN24"/>
  <c r="CQ42"/>
  <c r="CR27" s="1"/>
  <c r="CR46"/>
  <c r="CS31" s="1"/>
  <c r="CR49"/>
  <c r="CS34" s="1"/>
  <c r="CS36" s="1"/>
  <c r="CR45"/>
  <c r="CS30" s="1"/>
  <c r="CR50"/>
  <c r="CR44"/>
  <c r="CS29" s="1"/>
  <c r="CQ40"/>
  <c r="CR25" s="1"/>
  <c r="FK21" l="1"/>
  <c r="FJ22"/>
  <c r="FO24"/>
  <c r="CR47"/>
  <c r="CS32" s="1"/>
  <c r="CR48"/>
  <c r="CS33" s="1"/>
  <c r="CR42"/>
  <c r="CS27" s="1"/>
  <c r="CR43"/>
  <c r="CS28" s="1"/>
  <c r="CR41"/>
  <c r="CS26" s="1"/>
  <c r="CR39"/>
  <c r="CR40"/>
  <c r="CS25" s="1"/>
  <c r="CS45"/>
  <c r="CT30" s="1"/>
  <c r="CS50"/>
  <c r="FL21" l="1"/>
  <c r="FK22"/>
  <c r="FP24"/>
  <c r="CS39"/>
  <c r="CS44"/>
  <c r="CT29" s="1"/>
  <c r="CS49"/>
  <c r="CT34" s="1"/>
  <c r="CT36" s="1"/>
  <c r="CS48"/>
  <c r="CT33" s="1"/>
  <c r="FM21" l="1"/>
  <c r="FL22"/>
  <c r="FQ24"/>
  <c r="CS46"/>
  <c r="CS47"/>
  <c r="CT32" s="1"/>
  <c r="CT50"/>
  <c r="CS42"/>
  <c r="CT27" s="1"/>
  <c r="CS43"/>
  <c r="CT28" s="1"/>
  <c r="CS40"/>
  <c r="CT25" s="1"/>
  <c r="CS41"/>
  <c r="CT26" s="1"/>
  <c r="CT31" l="1"/>
  <c r="CT45" s="1"/>
  <c r="CU30" s="1"/>
  <c r="FN21"/>
  <c r="FM22"/>
  <c r="FR24"/>
  <c r="CT49"/>
  <c r="CU34" s="1"/>
  <c r="CU36" s="1"/>
  <c r="CT48"/>
  <c r="CU33" s="1"/>
  <c r="CT39"/>
  <c r="CT43"/>
  <c r="CU28" s="1"/>
  <c r="CT46" l="1"/>
  <c r="CU31" s="1"/>
  <c r="CT47"/>
  <c r="CU32" s="1"/>
  <c r="FO21"/>
  <c r="FN22"/>
  <c r="FS24"/>
  <c r="CU50"/>
  <c r="CT42"/>
  <c r="CU27" s="1"/>
  <c r="CT44"/>
  <c r="CU29" s="1"/>
  <c r="CT40"/>
  <c r="CU25" s="1"/>
  <c r="CT41"/>
  <c r="CU26" s="1"/>
  <c r="FP21" l="1"/>
  <c r="FO22"/>
  <c r="FT24"/>
  <c r="CU48"/>
  <c r="CV33" s="1"/>
  <c r="CU49"/>
  <c r="CU44"/>
  <c r="CV29" s="1"/>
  <c r="CU41"/>
  <c r="CV26" s="1"/>
  <c r="CU39"/>
  <c r="CU40"/>
  <c r="CV25" s="1"/>
  <c r="CU42"/>
  <c r="CV27" s="1"/>
  <c r="CU46"/>
  <c r="CV31" s="1"/>
  <c r="CU47"/>
  <c r="CV32" s="1"/>
  <c r="CU43"/>
  <c r="CV28" s="1"/>
  <c r="CU45"/>
  <c r="CV30" s="1"/>
  <c r="CV34" l="1"/>
  <c r="CV48" s="1"/>
  <c r="CW33" s="1"/>
  <c r="FQ21"/>
  <c r="FP22"/>
  <c r="CV44"/>
  <c r="CW29" s="1"/>
  <c r="CV47"/>
  <c r="CW32" s="1"/>
  <c r="CV41"/>
  <c r="CW26" s="1"/>
  <c r="CV39"/>
  <c r="CV40"/>
  <c r="CW25" s="1"/>
  <c r="FU24"/>
  <c r="CV46"/>
  <c r="CW31" s="1"/>
  <c r="CV43"/>
  <c r="CW28" s="1"/>
  <c r="CV45"/>
  <c r="CW30" s="1"/>
  <c r="CV42"/>
  <c r="CW27" s="1"/>
  <c r="CV50" l="1"/>
  <c r="CV36"/>
  <c r="CV49"/>
  <c r="FR21"/>
  <c r="FQ22"/>
  <c r="CW39"/>
  <c r="CW45"/>
  <c r="CX30" s="1"/>
  <c r="CW47"/>
  <c r="CX32" s="1"/>
  <c r="CW42"/>
  <c r="CX27" s="1"/>
  <c r="CW44"/>
  <c r="CX29" s="1"/>
  <c r="CW43"/>
  <c r="CX28" s="1"/>
  <c r="CW46"/>
  <c r="CX31" s="1"/>
  <c r="FV24"/>
  <c r="CW34" l="1"/>
  <c r="CW36" s="1"/>
  <c r="FS21"/>
  <c r="FR22"/>
  <c r="CW40"/>
  <c r="CW41"/>
  <c r="FW24"/>
  <c r="CX46"/>
  <c r="CY31" s="1"/>
  <c r="CX43"/>
  <c r="CY28" s="1"/>
  <c r="CX44"/>
  <c r="CY29" s="1"/>
  <c r="CX45"/>
  <c r="CY30" s="1"/>
  <c r="CX26" l="1"/>
  <c r="CX42" s="1"/>
  <c r="CY27" s="1"/>
  <c r="CY43" s="1"/>
  <c r="CZ28" s="1"/>
  <c r="CW49"/>
  <c r="CW48"/>
  <c r="CX33" s="1"/>
  <c r="CX25"/>
  <c r="CX39" s="1"/>
  <c r="CW50"/>
  <c r="FT21"/>
  <c r="FS22"/>
  <c r="FX24"/>
  <c r="CY45"/>
  <c r="CZ30" s="1"/>
  <c r="CY44"/>
  <c r="CZ29" s="1"/>
  <c r="CX40" l="1"/>
  <c r="CY25" s="1"/>
  <c r="CY39" s="1"/>
  <c r="CX41"/>
  <c r="CY26" s="1"/>
  <c r="CX34"/>
  <c r="CX36" s="1"/>
  <c r="CX47"/>
  <c r="CY32" s="1"/>
  <c r="FU21"/>
  <c r="FT22"/>
  <c r="CZ44"/>
  <c r="DA29" s="1"/>
  <c r="FY24"/>
  <c r="CX48" l="1"/>
  <c r="CY33" s="1"/>
  <c r="CY47" s="1"/>
  <c r="CZ32" s="1"/>
  <c r="CX49"/>
  <c r="CY34" s="1"/>
  <c r="CY36" s="1"/>
  <c r="CX50"/>
  <c r="CY42"/>
  <c r="CZ27" s="1"/>
  <c r="CZ43" s="1"/>
  <c r="DA28" s="1"/>
  <c r="CY40"/>
  <c r="CZ25" s="1"/>
  <c r="CZ39" s="1"/>
  <c r="CY41"/>
  <c r="CZ26" s="1"/>
  <c r="CY46"/>
  <c r="CZ31" s="1"/>
  <c r="FV21"/>
  <c r="FU22"/>
  <c r="FZ24"/>
  <c r="CZ42" l="1"/>
  <c r="DA27" s="1"/>
  <c r="DA43" s="1"/>
  <c r="DB28" s="1"/>
  <c r="CZ41"/>
  <c r="DA26" s="1"/>
  <c r="CY48"/>
  <c r="CZ33" s="1"/>
  <c r="CZ47" s="1"/>
  <c r="DA32" s="1"/>
  <c r="CZ40"/>
  <c r="DA25" s="1"/>
  <c r="DA39" s="1"/>
  <c r="CY49"/>
  <c r="CZ34" s="1"/>
  <c r="CZ36" s="1"/>
  <c r="CY50"/>
  <c r="CZ46"/>
  <c r="DA31" s="1"/>
  <c r="CZ45"/>
  <c r="DA30" s="1"/>
  <c r="FW21"/>
  <c r="FV22"/>
  <c r="GA24"/>
  <c r="CZ49" l="1"/>
  <c r="DA34" s="1"/>
  <c r="CZ48"/>
  <c r="DA33" s="1"/>
  <c r="DA47" s="1"/>
  <c r="DB32" s="1"/>
  <c r="CZ50"/>
  <c r="DA42"/>
  <c r="DB27" s="1"/>
  <c r="DA40"/>
  <c r="DB25" s="1"/>
  <c r="DA41"/>
  <c r="DB26" s="1"/>
  <c r="DA45"/>
  <c r="DB30" s="1"/>
  <c r="DA46"/>
  <c r="DB31" s="1"/>
  <c r="DA44"/>
  <c r="DB29" s="1"/>
  <c r="FX21"/>
  <c r="FW22"/>
  <c r="GB24"/>
  <c r="DB42" l="1"/>
  <c r="DC27" s="1"/>
  <c r="DB39"/>
  <c r="DB40"/>
  <c r="DC25" s="1"/>
  <c r="DC39" s="1"/>
  <c r="DB43"/>
  <c r="DC28" s="1"/>
  <c r="DA49"/>
  <c r="DB34" s="1"/>
  <c r="DB41"/>
  <c r="DC26" s="1"/>
  <c r="DA50"/>
  <c r="DA36"/>
  <c r="DB44"/>
  <c r="DC29" s="1"/>
  <c r="DB45"/>
  <c r="DC30" s="1"/>
  <c r="DB46"/>
  <c r="DC31" s="1"/>
  <c r="DA48"/>
  <c r="DB33" s="1"/>
  <c r="FY21"/>
  <c r="FX22"/>
  <c r="GC24"/>
  <c r="DB49" l="1"/>
  <c r="DC34" s="1"/>
  <c r="DC42"/>
  <c r="DD27" s="1"/>
  <c r="DC40"/>
  <c r="DC44"/>
  <c r="DD29" s="1"/>
  <c r="DB50"/>
  <c r="DB36"/>
  <c r="DC43"/>
  <c r="DD28" s="1"/>
  <c r="DC41"/>
  <c r="DD26" s="1"/>
  <c r="DB47"/>
  <c r="DC32" s="1"/>
  <c r="DD25"/>
  <c r="DD39" s="1"/>
  <c r="DC45"/>
  <c r="DD30" s="1"/>
  <c r="DB48"/>
  <c r="DC33" s="1"/>
  <c r="FZ21"/>
  <c r="FY22"/>
  <c r="GD24"/>
  <c r="DD41" l="1"/>
  <c r="DE26" s="1"/>
  <c r="DD40"/>
  <c r="DE25" s="1"/>
  <c r="DD43"/>
  <c r="DE28" s="1"/>
  <c r="DC50"/>
  <c r="DC36"/>
  <c r="DC48"/>
  <c r="DD33" s="1"/>
  <c r="DD42"/>
  <c r="DC49"/>
  <c r="DC47"/>
  <c r="DD32" s="1"/>
  <c r="DC46"/>
  <c r="DD31" s="1"/>
  <c r="DD44"/>
  <c r="DE29" s="1"/>
  <c r="GA21"/>
  <c r="FZ22"/>
  <c r="GE24"/>
  <c r="DE40" l="1"/>
  <c r="DF25" s="1"/>
  <c r="DF39" s="1"/>
  <c r="DE39"/>
  <c r="DD47"/>
  <c r="DE32" s="1"/>
  <c r="DE27"/>
  <c r="DE43" s="1"/>
  <c r="DF28" s="1"/>
  <c r="DD45"/>
  <c r="DE30" s="1"/>
  <c r="DE44" s="1"/>
  <c r="DF29" s="1"/>
  <c r="DD34"/>
  <c r="DD46"/>
  <c r="DE31" s="1"/>
  <c r="GB21"/>
  <c r="GA22"/>
  <c r="GF24"/>
  <c r="DD49" l="1"/>
  <c r="DE34" s="1"/>
  <c r="DE36" s="1"/>
  <c r="DD36"/>
  <c r="DE45"/>
  <c r="DF30" s="1"/>
  <c r="DD50"/>
  <c r="DD48"/>
  <c r="DE33" s="1"/>
  <c r="DE46"/>
  <c r="DF31" s="1"/>
  <c r="DE41"/>
  <c r="DF26" s="1"/>
  <c r="DE42"/>
  <c r="GC21"/>
  <c r="GB22"/>
  <c r="GG24"/>
  <c r="DE50" l="1"/>
  <c r="DF27"/>
  <c r="DF43" s="1"/>
  <c r="DG28" s="1"/>
  <c r="DF45"/>
  <c r="DG30" s="1"/>
  <c r="DF44"/>
  <c r="DG29" s="1"/>
  <c r="DF40"/>
  <c r="DE49"/>
  <c r="DE48"/>
  <c r="DF33" s="1"/>
  <c r="DE47"/>
  <c r="DF32" s="1"/>
  <c r="GD21"/>
  <c r="GC22"/>
  <c r="GH24"/>
  <c r="DF42" l="1"/>
  <c r="DG27" s="1"/>
  <c r="DG43" s="1"/>
  <c r="DH28" s="1"/>
  <c r="DG44"/>
  <c r="DH29" s="1"/>
  <c r="DF34"/>
  <c r="DF36" s="1"/>
  <c r="DG25"/>
  <c r="DG39" s="1"/>
  <c r="DF41"/>
  <c r="DF46"/>
  <c r="DG31" s="1"/>
  <c r="DF47"/>
  <c r="DG32" s="1"/>
  <c r="GE21"/>
  <c r="GD22"/>
  <c r="GI24"/>
  <c r="DF49" l="1"/>
  <c r="DG34" s="1"/>
  <c r="DF48"/>
  <c r="DG33" s="1"/>
  <c r="DG47" s="1"/>
  <c r="DH32" s="1"/>
  <c r="DF50"/>
  <c r="DG46"/>
  <c r="DH31" s="1"/>
  <c r="DG26"/>
  <c r="DG42" s="1"/>
  <c r="DH27" s="1"/>
  <c r="DH43" s="1"/>
  <c r="DI28" s="1"/>
  <c r="DG45"/>
  <c r="DH30" s="1"/>
  <c r="DH44" s="1"/>
  <c r="DI29" s="1"/>
  <c r="GF21"/>
  <c r="GE22"/>
  <c r="GJ24"/>
  <c r="DG40" l="1"/>
  <c r="DH25" s="1"/>
  <c r="DG41"/>
  <c r="DH26" s="1"/>
  <c r="DH42" s="1"/>
  <c r="DI27" s="1"/>
  <c r="DI43" s="1"/>
  <c r="DJ28" s="1"/>
  <c r="DG36"/>
  <c r="DG49"/>
  <c r="DH34" s="1"/>
  <c r="DG50"/>
  <c r="DG48"/>
  <c r="DH33" s="1"/>
  <c r="DH47" s="1"/>
  <c r="DI32" s="1"/>
  <c r="DH46"/>
  <c r="DI31" s="1"/>
  <c r="DH45"/>
  <c r="DI30" s="1"/>
  <c r="DI44" s="1"/>
  <c r="DJ29" s="1"/>
  <c r="GG21"/>
  <c r="GF22"/>
  <c r="GK24"/>
  <c r="DI45" l="1"/>
  <c r="DJ30" s="1"/>
  <c r="DJ44" s="1"/>
  <c r="DK29" s="1"/>
  <c r="DH50"/>
  <c r="DH36"/>
  <c r="DH48"/>
  <c r="DI33" s="1"/>
  <c r="DI47" s="1"/>
  <c r="DJ32" s="1"/>
  <c r="DI46"/>
  <c r="DJ31" s="1"/>
  <c r="DJ45" s="1"/>
  <c r="DK30" s="1"/>
  <c r="DH41"/>
  <c r="DI26" s="1"/>
  <c r="DI42" s="1"/>
  <c r="DH40"/>
  <c r="DI25" s="1"/>
  <c r="DH49"/>
  <c r="DH39"/>
  <c r="GH21"/>
  <c r="GG22"/>
  <c r="GL24"/>
  <c r="DI34" l="1"/>
  <c r="DI36" s="1"/>
  <c r="DJ27"/>
  <c r="DJ43" s="1"/>
  <c r="DK28" s="1"/>
  <c r="DK44" s="1"/>
  <c r="DL29" s="1"/>
  <c r="DI41"/>
  <c r="DJ26" s="1"/>
  <c r="DI40"/>
  <c r="DJ25" s="1"/>
  <c r="DI39"/>
  <c r="DJ46"/>
  <c r="DK31" s="1"/>
  <c r="DK45" s="1"/>
  <c r="DL30" s="1"/>
  <c r="GI21"/>
  <c r="GH22"/>
  <c r="GM24"/>
  <c r="DJ42" l="1"/>
  <c r="DK27" s="1"/>
  <c r="DK43" s="1"/>
  <c r="DL28" s="1"/>
  <c r="DL44" s="1"/>
  <c r="DM29" s="1"/>
  <c r="DI50"/>
  <c r="DJ41"/>
  <c r="DJ40"/>
  <c r="DJ39"/>
  <c r="DI49"/>
  <c r="DI48"/>
  <c r="DJ33" s="1"/>
  <c r="GJ21"/>
  <c r="GI22"/>
  <c r="GN24"/>
  <c r="DJ34" l="1"/>
  <c r="DJ36" s="1"/>
  <c r="DK25"/>
  <c r="DJ47"/>
  <c r="DK32" s="1"/>
  <c r="DK26"/>
  <c r="DK42" s="1"/>
  <c r="DL27" s="1"/>
  <c r="DL43" s="1"/>
  <c r="DM28" s="1"/>
  <c r="GK21"/>
  <c r="GJ22"/>
  <c r="GO24"/>
  <c r="DJ48" l="1"/>
  <c r="DK33" s="1"/>
  <c r="DK47" s="1"/>
  <c r="DL32" s="1"/>
  <c r="DJ49"/>
  <c r="DK34" s="1"/>
  <c r="DJ50"/>
  <c r="DK46"/>
  <c r="DL31" s="1"/>
  <c r="DK41"/>
  <c r="DL26" s="1"/>
  <c r="DL42" s="1"/>
  <c r="DM27" s="1"/>
  <c r="DM43" s="1"/>
  <c r="DN28" s="1"/>
  <c r="DK39"/>
  <c r="DK40"/>
  <c r="DL25" s="1"/>
  <c r="GL21"/>
  <c r="GK22"/>
  <c r="GP24"/>
  <c r="DK50" l="1"/>
  <c r="DK36"/>
  <c r="DK49"/>
  <c r="DL34" s="1"/>
  <c r="DL36" s="1"/>
  <c r="DL39"/>
  <c r="DL40"/>
  <c r="DM25" s="1"/>
  <c r="DL41"/>
  <c r="DM26" s="1"/>
  <c r="DM42" s="1"/>
  <c r="DN27" s="1"/>
  <c r="DL45"/>
  <c r="DM30" s="1"/>
  <c r="DL46"/>
  <c r="DM31" s="1"/>
  <c r="DK48"/>
  <c r="DL33" s="1"/>
  <c r="GM21"/>
  <c r="GL22"/>
  <c r="GQ24"/>
  <c r="DL49" l="1"/>
  <c r="DM34" s="1"/>
  <c r="DM36" s="1"/>
  <c r="DL50"/>
  <c r="DM45"/>
  <c r="DN30" s="1"/>
  <c r="DM44"/>
  <c r="DN29" s="1"/>
  <c r="DN43" s="1"/>
  <c r="DO28" s="1"/>
  <c r="DM40"/>
  <c r="DN25" s="1"/>
  <c r="DM41"/>
  <c r="DN26" s="1"/>
  <c r="DN42" s="1"/>
  <c r="DO27" s="1"/>
  <c r="DM39"/>
  <c r="DL48"/>
  <c r="DM33" s="1"/>
  <c r="DL47"/>
  <c r="DM32" s="1"/>
  <c r="GN21"/>
  <c r="GM22"/>
  <c r="GR24"/>
  <c r="DM48" l="1"/>
  <c r="DN33" s="1"/>
  <c r="DM49"/>
  <c r="DN34" s="1"/>
  <c r="DM47"/>
  <c r="DN32" s="1"/>
  <c r="DM46"/>
  <c r="DN31" s="1"/>
  <c r="DN45" s="1"/>
  <c r="DO30" s="1"/>
  <c r="DM50"/>
  <c r="DN44"/>
  <c r="DO29" s="1"/>
  <c r="DO43" s="1"/>
  <c r="DP28" s="1"/>
  <c r="DN39"/>
  <c r="DN41"/>
  <c r="DO26" s="1"/>
  <c r="DO42" s="1"/>
  <c r="DP27" s="1"/>
  <c r="DN40"/>
  <c r="DO25" s="1"/>
  <c r="GO21"/>
  <c r="GN22"/>
  <c r="GS24"/>
  <c r="DN36" l="1"/>
  <c r="DN48"/>
  <c r="DO33" s="1"/>
  <c r="DN49"/>
  <c r="DO44"/>
  <c r="DP29" s="1"/>
  <c r="DP43" s="1"/>
  <c r="DQ28" s="1"/>
  <c r="DN47"/>
  <c r="DO32" s="1"/>
  <c r="DN46"/>
  <c r="DO31" s="1"/>
  <c r="DO45" s="1"/>
  <c r="DP30" s="1"/>
  <c r="DN50"/>
  <c r="DO40"/>
  <c r="DP25" s="1"/>
  <c r="DO41"/>
  <c r="DP26" s="1"/>
  <c r="DP42" s="1"/>
  <c r="DQ27" s="1"/>
  <c r="DO39"/>
  <c r="DO34"/>
  <c r="GP21"/>
  <c r="GO22"/>
  <c r="GT24"/>
  <c r="DO46" l="1"/>
  <c r="DP31" s="1"/>
  <c r="DP45" s="1"/>
  <c r="DQ30" s="1"/>
  <c r="DO47"/>
  <c r="DP32" s="1"/>
  <c r="DO50"/>
  <c r="DO36"/>
  <c r="DO49"/>
  <c r="DP34" s="1"/>
  <c r="DO48"/>
  <c r="DP33" s="1"/>
  <c r="DP39"/>
  <c r="DP41"/>
  <c r="DQ26" s="1"/>
  <c r="DQ42" s="1"/>
  <c r="DR27" s="1"/>
  <c r="DP40"/>
  <c r="DQ25" s="1"/>
  <c r="DP44"/>
  <c r="DQ29" s="1"/>
  <c r="DQ43" s="1"/>
  <c r="DR28" s="1"/>
  <c r="GQ21"/>
  <c r="GP22"/>
  <c r="GU24"/>
  <c r="DP46" l="1"/>
  <c r="DQ31" s="1"/>
  <c r="DQ45" s="1"/>
  <c r="DR30" s="1"/>
  <c r="DP47"/>
  <c r="DQ32" s="1"/>
  <c r="DP36"/>
  <c r="DP49"/>
  <c r="DQ34" s="1"/>
  <c r="DP48"/>
  <c r="DQ33" s="1"/>
  <c r="DP50"/>
  <c r="DQ41"/>
  <c r="DR26" s="1"/>
  <c r="DR42" s="1"/>
  <c r="DS27" s="1"/>
  <c r="DQ40"/>
  <c r="DR25" s="1"/>
  <c r="DQ39"/>
  <c r="DQ44"/>
  <c r="DR29" s="1"/>
  <c r="DR43" s="1"/>
  <c r="GR21"/>
  <c r="GQ22"/>
  <c r="GV24"/>
  <c r="DQ46" l="1"/>
  <c r="DR31" s="1"/>
  <c r="DR45" s="1"/>
  <c r="DS30" s="1"/>
  <c r="DQ47"/>
  <c r="DR32" s="1"/>
  <c r="DR44"/>
  <c r="DS29" s="1"/>
  <c r="DQ48"/>
  <c r="DR33" s="1"/>
  <c r="DQ36"/>
  <c r="DS28"/>
  <c r="DR41"/>
  <c r="DS26" s="1"/>
  <c r="DR40"/>
  <c r="DS25" s="1"/>
  <c r="DR39"/>
  <c r="DQ49"/>
  <c r="DQ50"/>
  <c r="GS21"/>
  <c r="GR22"/>
  <c r="GW24"/>
  <c r="DR46" l="1"/>
  <c r="DS31" s="1"/>
  <c r="DS45" s="1"/>
  <c r="DT30" s="1"/>
  <c r="DR47"/>
  <c r="DS32" s="1"/>
  <c r="DS43"/>
  <c r="DT28" s="1"/>
  <c r="DS44"/>
  <c r="DT29" s="1"/>
  <c r="DS39"/>
  <c r="DS41"/>
  <c r="DT26" s="1"/>
  <c r="DS40"/>
  <c r="DT25" s="1"/>
  <c r="DR34"/>
  <c r="DR36" s="1"/>
  <c r="DS42"/>
  <c r="GT21"/>
  <c r="GS22"/>
  <c r="GX24"/>
  <c r="DS46" l="1"/>
  <c r="DT31" s="1"/>
  <c r="DT45" s="1"/>
  <c r="DU30" s="1"/>
  <c r="DT44"/>
  <c r="DU29" s="1"/>
  <c r="DR50"/>
  <c r="DT27"/>
  <c r="DT43" s="1"/>
  <c r="DU28" s="1"/>
  <c r="DR49"/>
  <c r="DR48"/>
  <c r="DS33" s="1"/>
  <c r="DT39"/>
  <c r="DT40"/>
  <c r="DU25" s="1"/>
  <c r="GU21"/>
  <c r="GT22"/>
  <c r="GY24"/>
  <c r="DT42" l="1"/>
  <c r="DU27" s="1"/>
  <c r="DU43" s="1"/>
  <c r="DV28" s="1"/>
  <c r="DU44"/>
  <c r="DV29" s="1"/>
  <c r="DT41"/>
  <c r="DU26" s="1"/>
  <c r="DU39"/>
  <c r="DS34"/>
  <c r="DS47"/>
  <c r="DT32" s="1"/>
  <c r="GV21"/>
  <c r="GU22"/>
  <c r="GZ24"/>
  <c r="DU41" l="1"/>
  <c r="DV26" s="1"/>
  <c r="DU42"/>
  <c r="DV27" s="1"/>
  <c r="DV43" s="1"/>
  <c r="DW28" s="1"/>
  <c r="DS50"/>
  <c r="DS36"/>
  <c r="DU40"/>
  <c r="DV25" s="1"/>
  <c r="DT46"/>
  <c r="DU31" s="1"/>
  <c r="DS48"/>
  <c r="DT33" s="1"/>
  <c r="DS49"/>
  <c r="GW21"/>
  <c r="GV22"/>
  <c r="HA24"/>
  <c r="DV41" l="1"/>
  <c r="DW26" s="1"/>
  <c r="DV42"/>
  <c r="DW27" s="1"/>
  <c r="DV39"/>
  <c r="DV40"/>
  <c r="DW25" s="1"/>
  <c r="DW39" s="1"/>
  <c r="DT34"/>
  <c r="DT36" s="1"/>
  <c r="DU45"/>
  <c r="DV30" s="1"/>
  <c r="DT47"/>
  <c r="DU32" s="1"/>
  <c r="GX21"/>
  <c r="GW22"/>
  <c r="HB24"/>
  <c r="DW42" l="1"/>
  <c r="DX27" s="1"/>
  <c r="DW41"/>
  <c r="DX26" s="1"/>
  <c r="DW40"/>
  <c r="DX25" s="1"/>
  <c r="DT48"/>
  <c r="DU33" s="1"/>
  <c r="DU47" s="1"/>
  <c r="DV32" s="1"/>
  <c r="DT49"/>
  <c r="DU34" s="1"/>
  <c r="DT50"/>
  <c r="DV44"/>
  <c r="DW29" s="1"/>
  <c r="DU46"/>
  <c r="DV31" s="1"/>
  <c r="GY21"/>
  <c r="GX22"/>
  <c r="HC24"/>
  <c r="DX41" l="1"/>
  <c r="DY26" s="1"/>
  <c r="DX39"/>
  <c r="DX40"/>
  <c r="DY25" s="1"/>
  <c r="DY39" s="1"/>
  <c r="DU36"/>
  <c r="DU50"/>
  <c r="DU48"/>
  <c r="DV33" s="1"/>
  <c r="DV47" s="1"/>
  <c r="DW32" s="1"/>
  <c r="DU49"/>
  <c r="DV34" s="1"/>
  <c r="DW43"/>
  <c r="DX28" s="1"/>
  <c r="DV45"/>
  <c r="DW30" s="1"/>
  <c r="DV46"/>
  <c r="DW31" s="1"/>
  <c r="GZ21"/>
  <c r="GY22"/>
  <c r="HD24"/>
  <c r="DY40" l="1"/>
  <c r="DZ25" s="1"/>
  <c r="DZ39" s="1"/>
  <c r="DW46"/>
  <c r="DX31" s="1"/>
  <c r="DV36"/>
  <c r="DV48"/>
  <c r="DW33" s="1"/>
  <c r="DV49"/>
  <c r="DW34" s="1"/>
  <c r="DW36" s="1"/>
  <c r="DV50"/>
  <c r="DX42"/>
  <c r="DY27" s="1"/>
  <c r="DW44"/>
  <c r="DX29" s="1"/>
  <c r="DW45"/>
  <c r="DX30" s="1"/>
  <c r="HA21"/>
  <c r="GZ22"/>
  <c r="HE24"/>
  <c r="DX44" l="1"/>
  <c r="DY29" s="1"/>
  <c r="DW49"/>
  <c r="DX34" s="1"/>
  <c r="DX36" s="1"/>
  <c r="DW48"/>
  <c r="DX33" s="1"/>
  <c r="DW47"/>
  <c r="DX32" s="1"/>
  <c r="DX46" s="1"/>
  <c r="DY31" s="1"/>
  <c r="DW50"/>
  <c r="DY41"/>
  <c r="DZ26" s="1"/>
  <c r="DX45"/>
  <c r="DY30" s="1"/>
  <c r="DX43"/>
  <c r="DY28" s="1"/>
  <c r="HB21"/>
  <c r="HA22"/>
  <c r="HF24"/>
  <c r="DX47" l="1"/>
  <c r="DY32" s="1"/>
  <c r="DY46" s="1"/>
  <c r="DZ31" s="1"/>
  <c r="DY44"/>
  <c r="DZ29" s="1"/>
  <c r="DX49"/>
  <c r="DY34" s="1"/>
  <c r="DY36" s="1"/>
  <c r="DX48"/>
  <c r="DY33" s="1"/>
  <c r="DY43"/>
  <c r="DZ28" s="1"/>
  <c r="DX50"/>
  <c r="DZ40"/>
  <c r="EA25" s="1"/>
  <c r="DY45"/>
  <c r="DZ30" s="1"/>
  <c r="DY42"/>
  <c r="DZ27" s="1"/>
  <c r="HC21"/>
  <c r="HB22"/>
  <c r="HG24"/>
  <c r="DY47" l="1"/>
  <c r="DZ32" s="1"/>
  <c r="DZ46" s="1"/>
  <c r="EA31" s="1"/>
  <c r="DZ43"/>
  <c r="EA28" s="1"/>
  <c r="DY48"/>
  <c r="DZ33" s="1"/>
  <c r="DY49"/>
  <c r="DZ34" s="1"/>
  <c r="DY50"/>
  <c r="EA39"/>
  <c r="DZ45"/>
  <c r="EA30" s="1"/>
  <c r="DZ41"/>
  <c r="DZ42"/>
  <c r="EA27" s="1"/>
  <c r="DZ44"/>
  <c r="EA29" s="1"/>
  <c r="HD21"/>
  <c r="HC22"/>
  <c r="HH24"/>
  <c r="DZ47" l="1"/>
  <c r="EA32" s="1"/>
  <c r="EA46" s="1"/>
  <c r="EB31" s="1"/>
  <c r="DZ36"/>
  <c r="DZ49"/>
  <c r="EA34" s="1"/>
  <c r="EA36" s="1"/>
  <c r="EA45"/>
  <c r="EB30" s="1"/>
  <c r="DZ48"/>
  <c r="EA33" s="1"/>
  <c r="DZ50"/>
  <c r="EA26"/>
  <c r="EA42" s="1"/>
  <c r="EB27" s="1"/>
  <c r="EA43"/>
  <c r="EB28" s="1"/>
  <c r="EA44"/>
  <c r="EB29" s="1"/>
  <c r="HE21"/>
  <c r="HD22"/>
  <c r="HI24"/>
  <c r="EB45" l="1"/>
  <c r="EC30" s="1"/>
  <c r="EA50"/>
  <c r="EA47"/>
  <c r="EB32" s="1"/>
  <c r="EB46" s="1"/>
  <c r="EC31" s="1"/>
  <c r="EA49"/>
  <c r="EB34" s="1"/>
  <c r="EA48"/>
  <c r="EB33" s="1"/>
  <c r="EA41"/>
  <c r="EB26" s="1"/>
  <c r="EB42" s="1"/>
  <c r="EC27" s="1"/>
  <c r="EA40"/>
  <c r="EB25" s="1"/>
  <c r="EB43"/>
  <c r="EC28" s="1"/>
  <c r="EB44"/>
  <c r="EC29" s="1"/>
  <c r="HF21"/>
  <c r="HE22"/>
  <c r="HJ24"/>
  <c r="EC45" l="1"/>
  <c r="ED30" s="1"/>
  <c r="EB47"/>
  <c r="EC32" s="1"/>
  <c r="EC46" s="1"/>
  <c r="ED31" s="1"/>
  <c r="EB36"/>
  <c r="EB49"/>
  <c r="EC34" s="1"/>
  <c r="EB50"/>
  <c r="EB48"/>
  <c r="EC33" s="1"/>
  <c r="EB41"/>
  <c r="EC26" s="1"/>
  <c r="EC42" s="1"/>
  <c r="ED27" s="1"/>
  <c r="EB39"/>
  <c r="EB40"/>
  <c r="EC25" s="1"/>
  <c r="EC44"/>
  <c r="ED29" s="1"/>
  <c r="EC43"/>
  <c r="ED28" s="1"/>
  <c r="HG21"/>
  <c r="HF22"/>
  <c r="HK24"/>
  <c r="ED45" l="1"/>
  <c r="EE30" s="1"/>
  <c r="EC36"/>
  <c r="EC48"/>
  <c r="ED33" s="1"/>
  <c r="EC49"/>
  <c r="EC47"/>
  <c r="ED32" s="1"/>
  <c r="ED44"/>
  <c r="EE29" s="1"/>
  <c r="EC50"/>
  <c r="EC39"/>
  <c r="EC41"/>
  <c r="ED26" s="1"/>
  <c r="ED42" s="1"/>
  <c r="EE27" s="1"/>
  <c r="EC40"/>
  <c r="ED25" s="1"/>
  <c r="ED34"/>
  <c r="ED43"/>
  <c r="EE28" s="1"/>
  <c r="HH21"/>
  <c r="HG22"/>
  <c r="HL24"/>
  <c r="ED49" l="1"/>
  <c r="EE34" s="1"/>
  <c r="ED50"/>
  <c r="ED36"/>
  <c r="EE44"/>
  <c r="EF29" s="1"/>
  <c r="ED40"/>
  <c r="EE25" s="1"/>
  <c r="ED41"/>
  <c r="EE26" s="1"/>
  <c r="EE42" s="1"/>
  <c r="EF27" s="1"/>
  <c r="ED39"/>
  <c r="ED46"/>
  <c r="ED47"/>
  <c r="ED48"/>
  <c r="EE43"/>
  <c r="EF28" s="1"/>
  <c r="HI21"/>
  <c r="HH22"/>
  <c r="HM24"/>
  <c r="EE36" l="1"/>
  <c r="EE50"/>
  <c r="EF43"/>
  <c r="EG28" s="1"/>
  <c r="EE33"/>
  <c r="EE49" s="1"/>
  <c r="EE31"/>
  <c r="EE32"/>
  <c r="EE40"/>
  <c r="EF25" s="1"/>
  <c r="EE41"/>
  <c r="EF26" s="1"/>
  <c r="EF42" s="1"/>
  <c r="EG27" s="1"/>
  <c r="EE39"/>
  <c r="HJ21"/>
  <c r="HI22"/>
  <c r="HN24"/>
  <c r="EE48" l="1"/>
  <c r="EF33" s="1"/>
  <c r="EE47"/>
  <c r="EF32" s="1"/>
  <c r="EF39"/>
  <c r="EF41"/>
  <c r="EG26" s="1"/>
  <c r="EG42" s="1"/>
  <c r="EH27" s="1"/>
  <c r="EF40"/>
  <c r="EG25" s="1"/>
  <c r="EF34"/>
  <c r="EE45"/>
  <c r="EF30" s="1"/>
  <c r="EE46"/>
  <c r="HK21"/>
  <c r="HJ22"/>
  <c r="HO24"/>
  <c r="EF48" l="1"/>
  <c r="EG33" s="1"/>
  <c r="EF50"/>
  <c r="EF36"/>
  <c r="EF49"/>
  <c r="EG34" s="1"/>
  <c r="EG36" s="1"/>
  <c r="EF31"/>
  <c r="EF47" s="1"/>
  <c r="EG41"/>
  <c r="EH26" s="1"/>
  <c r="EG39"/>
  <c r="EG40"/>
  <c r="EH25" s="1"/>
  <c r="EF44"/>
  <c r="EG29" s="1"/>
  <c r="HL21"/>
  <c r="HK22"/>
  <c r="HP24"/>
  <c r="EF46" l="1"/>
  <c r="EG31" s="1"/>
  <c r="EF45"/>
  <c r="EG30" s="1"/>
  <c r="EG44" s="1"/>
  <c r="EH29" s="1"/>
  <c r="EG49"/>
  <c r="EH34" s="1"/>
  <c r="EG50"/>
  <c r="EH39"/>
  <c r="EH41"/>
  <c r="EI26" s="1"/>
  <c r="EH40"/>
  <c r="EI25" s="1"/>
  <c r="EG32"/>
  <c r="EG48" s="1"/>
  <c r="EG43"/>
  <c r="EH28" s="1"/>
  <c r="HM21"/>
  <c r="HL22"/>
  <c r="HQ24"/>
  <c r="EG45" l="1"/>
  <c r="EH30" s="1"/>
  <c r="EH44" s="1"/>
  <c r="EI29" s="1"/>
  <c r="EH50"/>
  <c r="EH36"/>
  <c r="EH33"/>
  <c r="EH49" s="1"/>
  <c r="EH43"/>
  <c r="EI28" s="1"/>
  <c r="EI40"/>
  <c r="EJ25" s="1"/>
  <c r="EI39"/>
  <c r="EH42"/>
  <c r="EI27" s="1"/>
  <c r="EI41" s="1"/>
  <c r="EJ26" s="1"/>
  <c r="EG47"/>
  <c r="EG46"/>
  <c r="HN21"/>
  <c r="HM22"/>
  <c r="HR24"/>
  <c r="EH31" l="1"/>
  <c r="EH32"/>
  <c r="EH48" s="1"/>
  <c r="EI34"/>
  <c r="EI36" s="1"/>
  <c r="EJ39"/>
  <c r="EJ40"/>
  <c r="EK25" s="1"/>
  <c r="EI42"/>
  <c r="EJ27" s="1"/>
  <c r="EI43"/>
  <c r="EJ28" s="1"/>
  <c r="HO21"/>
  <c r="HN22"/>
  <c r="HS24"/>
  <c r="EH47" l="1"/>
  <c r="EI32" s="1"/>
  <c r="EI50"/>
  <c r="EK39"/>
  <c r="EI33"/>
  <c r="EI49" s="1"/>
  <c r="EH46"/>
  <c r="EH45"/>
  <c r="EJ42"/>
  <c r="EK27" s="1"/>
  <c r="EJ41"/>
  <c r="EK26" s="1"/>
  <c r="HP21"/>
  <c r="HO22"/>
  <c r="HT24"/>
  <c r="EI48" l="1"/>
  <c r="EJ33" s="1"/>
  <c r="EJ34"/>
  <c r="EJ36" s="1"/>
  <c r="EI30"/>
  <c r="EI31"/>
  <c r="EI47" s="1"/>
  <c r="EK41"/>
  <c r="EL26" s="1"/>
  <c r="EK40"/>
  <c r="EL25" s="1"/>
  <c r="HQ21"/>
  <c r="HP22"/>
  <c r="HU24"/>
  <c r="EI46" l="1"/>
  <c r="EJ31" s="1"/>
  <c r="EJ49"/>
  <c r="EK34" s="1"/>
  <c r="EK36" s="1"/>
  <c r="EJ50"/>
  <c r="EJ32"/>
  <c r="EJ48" s="1"/>
  <c r="EL40"/>
  <c r="EM25" s="1"/>
  <c r="EL39"/>
  <c r="EI45"/>
  <c r="EI44"/>
  <c r="EJ29" s="1"/>
  <c r="HR21"/>
  <c r="HQ22"/>
  <c r="HV24"/>
  <c r="EJ47" l="1"/>
  <c r="EK32" s="1"/>
  <c r="EK50"/>
  <c r="EJ43"/>
  <c r="EK28" s="1"/>
  <c r="EM39"/>
  <c r="EK33"/>
  <c r="EK49" s="1"/>
  <c r="EJ30"/>
  <c r="EJ44" s="1"/>
  <c r="EK29" s="1"/>
  <c r="HS21"/>
  <c r="HR22"/>
  <c r="HW24"/>
  <c r="EK48" l="1"/>
  <c r="EL33" s="1"/>
  <c r="EJ46"/>
  <c r="EK31" s="1"/>
  <c r="EK47" s="1"/>
  <c r="EJ45"/>
  <c r="EK30" s="1"/>
  <c r="EK44" s="1"/>
  <c r="EL29" s="1"/>
  <c r="EL34"/>
  <c r="EK42"/>
  <c r="EL27" s="1"/>
  <c r="EK43"/>
  <c r="EL28" s="1"/>
  <c r="HT21"/>
  <c r="HS22"/>
  <c r="HX24"/>
  <c r="EL49" l="1"/>
  <c r="EM34" s="1"/>
  <c r="EM36" s="1"/>
  <c r="EL50"/>
  <c r="EL36"/>
  <c r="EK46"/>
  <c r="EL31" s="1"/>
  <c r="EL32"/>
  <c r="EL48" s="1"/>
  <c r="EL43"/>
  <c r="EM28" s="1"/>
  <c r="EL41"/>
  <c r="EM26" s="1"/>
  <c r="EL42"/>
  <c r="EM27" s="1"/>
  <c r="EK45"/>
  <c r="HU21"/>
  <c r="HT22"/>
  <c r="HY24"/>
  <c r="EL47" l="1"/>
  <c r="EM32" s="1"/>
  <c r="EM50"/>
  <c r="EL30"/>
  <c r="EL46" s="1"/>
  <c r="EM42"/>
  <c r="EN27" s="1"/>
  <c r="EM41"/>
  <c r="EN26" s="1"/>
  <c r="EM40"/>
  <c r="EN25" s="1"/>
  <c r="EM33"/>
  <c r="EM49" s="1"/>
  <c r="HV21"/>
  <c r="HU22"/>
  <c r="HZ24"/>
  <c r="EN34" l="1"/>
  <c r="EN36" s="1"/>
  <c r="EN39"/>
  <c r="EN41"/>
  <c r="EO26" s="1"/>
  <c r="EN40"/>
  <c r="EO25" s="1"/>
  <c r="EM31"/>
  <c r="EM47" s="1"/>
  <c r="EL44"/>
  <c r="EM29" s="1"/>
  <c r="EL45"/>
  <c r="EM48"/>
  <c r="HW21"/>
  <c r="HV22"/>
  <c r="IA24"/>
  <c r="EN50" l="1"/>
  <c r="EN32"/>
  <c r="EN33"/>
  <c r="EN49" s="1"/>
  <c r="EM30"/>
  <c r="EM46" s="1"/>
  <c r="EO40"/>
  <c r="EP25" s="1"/>
  <c r="EO39"/>
  <c r="EM43"/>
  <c r="EN28" s="1"/>
  <c r="HX21"/>
  <c r="HW22"/>
  <c r="IB24"/>
  <c r="EN48" l="1"/>
  <c r="EO33" s="1"/>
  <c r="EM44"/>
  <c r="EN29" s="1"/>
  <c r="EN43" s="1"/>
  <c r="EO28" s="1"/>
  <c r="EM45"/>
  <c r="EN30" s="1"/>
  <c r="EN42"/>
  <c r="EO27" s="1"/>
  <c r="EN31"/>
  <c r="EN47" s="1"/>
  <c r="EO34"/>
  <c r="EP39"/>
  <c r="HY21"/>
  <c r="HX22"/>
  <c r="IC24"/>
  <c r="EN46" l="1"/>
  <c r="EO31" s="1"/>
  <c r="EN45"/>
  <c r="EO30" s="1"/>
  <c r="EO50"/>
  <c r="EO36"/>
  <c r="EO49"/>
  <c r="EP34" s="1"/>
  <c r="EP36" s="1"/>
  <c r="EO32"/>
  <c r="EO48" s="1"/>
  <c r="EO41"/>
  <c r="EP26" s="1"/>
  <c r="EO42"/>
  <c r="EP27" s="1"/>
  <c r="EN44"/>
  <c r="EO29" s="1"/>
  <c r="HZ21"/>
  <c r="HY22"/>
  <c r="ID24"/>
  <c r="EO47" l="1"/>
  <c r="EP32" s="1"/>
  <c r="EO46"/>
  <c r="EP31" s="1"/>
  <c r="EO45"/>
  <c r="EP30" s="1"/>
  <c r="EO44"/>
  <c r="EP29" s="1"/>
  <c r="EO43"/>
  <c r="EP28" s="1"/>
  <c r="EP42" s="1"/>
  <c r="EQ27" s="1"/>
  <c r="EP50"/>
  <c r="EP33"/>
  <c r="EP49" s="1"/>
  <c r="EP41"/>
  <c r="EQ26" s="1"/>
  <c r="EP40"/>
  <c r="EQ25" s="1"/>
  <c r="IA21"/>
  <c r="HZ22"/>
  <c r="IE24"/>
  <c r="EP45" l="1"/>
  <c r="EQ30" s="1"/>
  <c r="EP43"/>
  <c r="EQ28" s="1"/>
  <c r="EQ42" s="1"/>
  <c r="ER27" s="1"/>
  <c r="EP44"/>
  <c r="EQ29" s="1"/>
  <c r="EP46"/>
  <c r="EQ31" s="1"/>
  <c r="EP47"/>
  <c r="EQ32" s="1"/>
  <c r="EP48"/>
  <c r="EQ33" s="1"/>
  <c r="EQ34"/>
  <c r="EQ39"/>
  <c r="EQ41"/>
  <c r="ER26" s="1"/>
  <c r="EQ40"/>
  <c r="ER25" s="1"/>
  <c r="IB21"/>
  <c r="IA22"/>
  <c r="IF24"/>
  <c r="EQ43" l="1"/>
  <c r="ER28" s="1"/>
  <c r="ER42" s="1"/>
  <c r="ES27" s="1"/>
  <c r="EQ49"/>
  <c r="ER34" s="1"/>
  <c r="ER36" s="1"/>
  <c r="EQ44"/>
  <c r="ER29" s="1"/>
  <c r="EQ50"/>
  <c r="EQ36"/>
  <c r="EQ48"/>
  <c r="ER33" s="1"/>
  <c r="EQ47"/>
  <c r="ER32" s="1"/>
  <c r="ER41"/>
  <c r="ES26" s="1"/>
  <c r="ER39"/>
  <c r="ER40"/>
  <c r="ES25" s="1"/>
  <c r="EQ45"/>
  <c r="EQ46"/>
  <c r="IC21"/>
  <c r="IB22"/>
  <c r="IG24"/>
  <c r="ER43" l="1"/>
  <c r="ES28" s="1"/>
  <c r="ES42" s="1"/>
  <c r="ET27" s="1"/>
  <c r="ER48"/>
  <c r="ES33" s="1"/>
  <c r="ER50"/>
  <c r="ER49"/>
  <c r="ES34" s="1"/>
  <c r="ER30"/>
  <c r="ER31"/>
  <c r="ER47" s="1"/>
  <c r="ES41"/>
  <c r="ET26" s="1"/>
  <c r="ES40"/>
  <c r="ET25" s="1"/>
  <c r="ES39"/>
  <c r="ID21"/>
  <c r="IC22"/>
  <c r="IH24"/>
  <c r="ER46" l="1"/>
  <c r="ES31" s="1"/>
  <c r="ES36"/>
  <c r="ES50"/>
  <c r="ES49"/>
  <c r="ET34" s="1"/>
  <c r="ET40"/>
  <c r="EU25" s="1"/>
  <c r="ET41"/>
  <c r="EU26" s="1"/>
  <c r="ET39"/>
  <c r="ES32"/>
  <c r="ES48" s="1"/>
  <c r="ER44"/>
  <c r="ES29" s="1"/>
  <c r="ER45"/>
  <c r="IE21"/>
  <c r="ID22"/>
  <c r="II24"/>
  <c r="ES47" l="1"/>
  <c r="ET50"/>
  <c r="ET36"/>
  <c r="ES43"/>
  <c r="ET28" s="1"/>
  <c r="ET33"/>
  <c r="ET49" s="1"/>
  <c r="ES30"/>
  <c r="ES45" s="1"/>
  <c r="EU40"/>
  <c r="EV25" s="1"/>
  <c r="EU39"/>
  <c r="ET32"/>
  <c r="IF21"/>
  <c r="IE22"/>
  <c r="IJ24"/>
  <c r="ET48" l="1"/>
  <c r="EU33" s="1"/>
  <c r="ES46"/>
  <c r="ET31" s="1"/>
  <c r="ET47" s="1"/>
  <c r="ES44"/>
  <c r="ET29" s="1"/>
  <c r="ET43" s="1"/>
  <c r="EU28" s="1"/>
  <c r="ET30"/>
  <c r="EV39"/>
  <c r="ET42"/>
  <c r="EU27" s="1"/>
  <c r="EU34"/>
  <c r="EU36" s="1"/>
  <c r="IG21"/>
  <c r="IF22"/>
  <c r="IK24"/>
  <c r="ET44" l="1"/>
  <c r="EU29" s="1"/>
  <c r="EU43" s="1"/>
  <c r="EV28" s="1"/>
  <c r="EU50"/>
  <c r="ET46"/>
  <c r="EU31" s="1"/>
  <c r="EU49"/>
  <c r="EV34" s="1"/>
  <c r="EU41"/>
  <c r="EV26" s="1"/>
  <c r="EU42"/>
  <c r="EV27" s="1"/>
  <c r="EU32"/>
  <c r="EU48" s="1"/>
  <c r="ET45"/>
  <c r="IH21"/>
  <c r="IG22"/>
  <c r="IL24"/>
  <c r="EU47" l="1"/>
  <c r="EV32" s="1"/>
  <c r="EV50"/>
  <c r="EV36"/>
  <c r="EU30"/>
  <c r="EV33"/>
  <c r="EV49" s="1"/>
  <c r="EV42"/>
  <c r="EW27" s="1"/>
  <c r="EV40"/>
  <c r="EW25" s="1"/>
  <c r="EV41"/>
  <c r="EW26" s="1"/>
  <c r="II21"/>
  <c r="IH22"/>
  <c r="IM24"/>
  <c r="EV48" l="1"/>
  <c r="EW33" s="1"/>
  <c r="EW34"/>
  <c r="EW40"/>
  <c r="EX25" s="1"/>
  <c r="EW41"/>
  <c r="EX26" s="1"/>
  <c r="EW39"/>
  <c r="EU45"/>
  <c r="EU44"/>
  <c r="EV29" s="1"/>
  <c r="EU46"/>
  <c r="IJ21"/>
  <c r="II22"/>
  <c r="IN24"/>
  <c r="EW49" l="1"/>
  <c r="EX34" s="1"/>
  <c r="EW50"/>
  <c r="EW36"/>
  <c r="EV43"/>
  <c r="EW28" s="1"/>
  <c r="EX40"/>
  <c r="EY25" s="1"/>
  <c r="EX39"/>
  <c r="EV31"/>
  <c r="EV47" s="1"/>
  <c r="EV30"/>
  <c r="IK21"/>
  <c r="IJ22"/>
  <c r="IO24"/>
  <c r="EV45" l="1"/>
  <c r="EW30" s="1"/>
  <c r="EV46"/>
  <c r="EW31" s="1"/>
  <c r="EX50"/>
  <c r="EX36"/>
  <c r="EW32"/>
  <c r="EW48" s="1"/>
  <c r="EW42"/>
  <c r="EX27" s="1"/>
  <c r="EY39"/>
  <c r="EV44"/>
  <c r="EW29" s="1"/>
  <c r="EW43" s="1"/>
  <c r="EX28" s="1"/>
  <c r="IL21"/>
  <c r="IK22"/>
  <c r="IP24"/>
  <c r="EW47" l="1"/>
  <c r="EX32" s="1"/>
  <c r="EW46"/>
  <c r="EX31" s="1"/>
  <c r="EX33"/>
  <c r="EX49" s="1"/>
  <c r="EX42"/>
  <c r="EY27" s="1"/>
  <c r="EX41"/>
  <c r="EY26" s="1"/>
  <c r="EW45"/>
  <c r="EW44"/>
  <c r="EX29" s="1"/>
  <c r="IM21"/>
  <c r="IL22"/>
  <c r="IQ24"/>
  <c r="EX48" l="1"/>
  <c r="EY33" s="1"/>
  <c r="EX47"/>
  <c r="EY32" s="1"/>
  <c r="EY34"/>
  <c r="EX30"/>
  <c r="EX44" s="1"/>
  <c r="EY29" s="1"/>
  <c r="EY41"/>
  <c r="EZ26" s="1"/>
  <c r="EY40"/>
  <c r="EZ25" s="1"/>
  <c r="EX43"/>
  <c r="EY28" s="1"/>
  <c r="IN21"/>
  <c r="IM22"/>
  <c r="IR24"/>
  <c r="EY43" l="1"/>
  <c r="EZ28" s="1"/>
  <c r="EX45"/>
  <c r="EY30" s="1"/>
  <c r="EY48"/>
  <c r="EZ33" s="1"/>
  <c r="EY49"/>
  <c r="EZ34" s="1"/>
  <c r="EY50"/>
  <c r="EY36"/>
  <c r="EZ40"/>
  <c r="FA25" s="1"/>
  <c r="EZ39"/>
  <c r="EY42"/>
  <c r="EZ27" s="1"/>
  <c r="EX46"/>
  <c r="IO21"/>
  <c r="IN22"/>
  <c r="IS24"/>
  <c r="EZ49" l="1"/>
  <c r="FA34" s="1"/>
  <c r="EZ50"/>
  <c r="EZ36"/>
  <c r="EY31"/>
  <c r="EY45" s="1"/>
  <c r="FA39"/>
  <c r="EZ41"/>
  <c r="FA26" s="1"/>
  <c r="FA40" s="1"/>
  <c r="FB25" s="1"/>
  <c r="EZ42"/>
  <c r="FA27" s="1"/>
  <c r="EY44"/>
  <c r="EZ29" s="1"/>
  <c r="IP21"/>
  <c r="IO22"/>
  <c r="IT24"/>
  <c r="EY47" l="1"/>
  <c r="EZ32" s="1"/>
  <c r="EZ48" s="1"/>
  <c r="FA50"/>
  <c r="FA36"/>
  <c r="FB39"/>
  <c r="EZ30"/>
  <c r="EZ44" s="1"/>
  <c r="FA29" s="1"/>
  <c r="EZ43"/>
  <c r="EY46"/>
  <c r="FA41"/>
  <c r="FB26" s="1"/>
  <c r="FB40" s="1"/>
  <c r="FC25" s="1"/>
  <c r="IQ21"/>
  <c r="IP22"/>
  <c r="IU24"/>
  <c r="FC39" l="1"/>
  <c r="EZ31"/>
  <c r="EZ47" s="1"/>
  <c r="FA28"/>
  <c r="FA33"/>
  <c r="FA49" s="1"/>
  <c r="IR21"/>
  <c r="IQ22"/>
  <c r="IV24"/>
  <c r="FB34" l="1"/>
  <c r="FA32"/>
  <c r="FA48" s="1"/>
  <c r="FA42"/>
  <c r="FB27" s="1"/>
  <c r="FA43"/>
  <c r="EZ45"/>
  <c r="EZ46"/>
  <c r="IS21"/>
  <c r="IR22"/>
  <c r="IW24"/>
  <c r="FB50" l="1"/>
  <c r="FB36"/>
  <c r="FB33"/>
  <c r="FB49" s="1"/>
  <c r="FA30"/>
  <c r="FB28"/>
  <c r="FA31"/>
  <c r="FA47" s="1"/>
  <c r="FB41"/>
  <c r="FC26" s="1"/>
  <c r="IT21"/>
  <c r="IS22"/>
  <c r="IX24"/>
  <c r="FB32" l="1"/>
  <c r="FB48" s="1"/>
  <c r="FC34"/>
  <c r="FC40"/>
  <c r="FD25" s="1"/>
  <c r="FA45"/>
  <c r="FA44"/>
  <c r="FB29" s="1"/>
  <c r="FB43" s="1"/>
  <c r="FC28" s="1"/>
  <c r="FB42"/>
  <c r="FC27" s="1"/>
  <c r="FC41" s="1"/>
  <c r="FD26" s="1"/>
  <c r="FA46"/>
  <c r="IU21"/>
  <c r="IT22"/>
  <c r="IY24"/>
  <c r="FC50" l="1"/>
  <c r="FC36"/>
  <c r="FC33"/>
  <c r="FC49" s="1"/>
  <c r="FB31"/>
  <c r="FB47" s="1"/>
  <c r="FB30"/>
  <c r="FB44" s="1"/>
  <c r="FC29" s="1"/>
  <c r="FC43" s="1"/>
  <c r="FD28" s="1"/>
  <c r="FD40"/>
  <c r="FE25" s="1"/>
  <c r="FD39"/>
  <c r="FC42"/>
  <c r="FD27" s="1"/>
  <c r="IV21"/>
  <c r="IU22"/>
  <c r="IZ24"/>
  <c r="FB46" l="1"/>
  <c r="FC31" s="1"/>
  <c r="FC32"/>
  <c r="FC48" s="1"/>
  <c r="FD34"/>
  <c r="FE39"/>
  <c r="FD42"/>
  <c r="FE27" s="1"/>
  <c r="FB45"/>
  <c r="FD41"/>
  <c r="FE26" s="1"/>
  <c r="FE40" s="1"/>
  <c r="FF25" s="1"/>
  <c r="IW21"/>
  <c r="IV22"/>
  <c r="JA24"/>
  <c r="FD50" l="1"/>
  <c r="FD36"/>
  <c r="FC47"/>
  <c r="FD32" s="1"/>
  <c r="FF39"/>
  <c r="FD33"/>
  <c r="FD49" s="1"/>
  <c r="FC30"/>
  <c r="FC46" s="1"/>
  <c r="FE41"/>
  <c r="FF26" s="1"/>
  <c r="FF40" s="1"/>
  <c r="FG25" s="1"/>
  <c r="IX21"/>
  <c r="IW22"/>
  <c r="JB24"/>
  <c r="FD48" l="1"/>
  <c r="FE33" s="1"/>
  <c r="FE34"/>
  <c r="FG39"/>
  <c r="FC45"/>
  <c r="FC44"/>
  <c r="FD29" s="1"/>
  <c r="FD31"/>
  <c r="FD47" s="1"/>
  <c r="IY21"/>
  <c r="IX22"/>
  <c r="JC24"/>
  <c r="FE50" l="1"/>
  <c r="FE36"/>
  <c r="FE49"/>
  <c r="FF34" s="1"/>
  <c r="FD30"/>
  <c r="FD46" s="1"/>
  <c r="FD43"/>
  <c r="FE28" s="1"/>
  <c r="FE32"/>
  <c r="FE48" s="1"/>
  <c r="IZ21"/>
  <c r="IY22"/>
  <c r="JD24"/>
  <c r="FD44" l="1"/>
  <c r="FE29" s="1"/>
  <c r="FE43" s="1"/>
  <c r="FF28" s="1"/>
  <c r="FF50"/>
  <c r="FF36"/>
  <c r="FE31"/>
  <c r="FE47" s="1"/>
  <c r="FF33"/>
  <c r="FF49" s="1"/>
  <c r="FE42"/>
  <c r="FF27" s="1"/>
  <c r="FD45"/>
  <c r="JA21"/>
  <c r="IZ22"/>
  <c r="JE24"/>
  <c r="FG34" l="1"/>
  <c r="FF32"/>
  <c r="FF48" s="1"/>
  <c r="FE30"/>
  <c r="FF41"/>
  <c r="FG26" s="1"/>
  <c r="FF42"/>
  <c r="FG27" s="1"/>
  <c r="JB21"/>
  <c r="JA22"/>
  <c r="JF24"/>
  <c r="FG50" l="1"/>
  <c r="FG36"/>
  <c r="FG33"/>
  <c r="FG49" s="1"/>
  <c r="FG41"/>
  <c r="FH26" s="1"/>
  <c r="FG40"/>
  <c r="FH25" s="1"/>
  <c r="FE44"/>
  <c r="FF29" s="1"/>
  <c r="FE45"/>
  <c r="FE46"/>
  <c r="JC21"/>
  <c r="JB22"/>
  <c r="JG24"/>
  <c r="FH34" l="1"/>
  <c r="FF43"/>
  <c r="FG28" s="1"/>
  <c r="FF31"/>
  <c r="FF47" s="1"/>
  <c r="FF30"/>
  <c r="FH40"/>
  <c r="FI25" s="1"/>
  <c r="FH39"/>
  <c r="JD21"/>
  <c r="JC22"/>
  <c r="JH24"/>
  <c r="FF45" l="1"/>
  <c r="FG30" s="1"/>
  <c r="FH50"/>
  <c r="FH36"/>
  <c r="FF46"/>
  <c r="FG31" s="1"/>
  <c r="FG32"/>
  <c r="FG48" s="1"/>
  <c r="FG42"/>
  <c r="FH27" s="1"/>
  <c r="FI39"/>
  <c r="FF44"/>
  <c r="FG29" s="1"/>
  <c r="JE21"/>
  <c r="JD22"/>
  <c r="JI24"/>
  <c r="JJ24" s="1"/>
  <c r="JK24" s="1"/>
  <c r="JL24" s="1"/>
  <c r="JM24" s="1"/>
  <c r="JN24" s="1"/>
  <c r="JO24" s="1"/>
  <c r="JP24" s="1"/>
  <c r="JQ24" s="1"/>
  <c r="JR24" s="1"/>
  <c r="JS24" s="1"/>
  <c r="JT24" s="1"/>
  <c r="JU24" s="1"/>
  <c r="JV24" s="1"/>
  <c r="JW24" s="1"/>
  <c r="JX24" s="1"/>
  <c r="JY24" s="1"/>
  <c r="JZ24" s="1"/>
  <c r="KA24" s="1"/>
  <c r="KB24" s="1"/>
  <c r="KC24" s="1"/>
  <c r="KD24" s="1"/>
  <c r="KE24" s="1"/>
  <c r="KF24" s="1"/>
  <c r="KG24" s="1"/>
  <c r="KH24" s="1"/>
  <c r="KI24" s="1"/>
  <c r="KJ24" s="1"/>
  <c r="KK24" s="1"/>
  <c r="KL24" s="1"/>
  <c r="KM24" s="1"/>
  <c r="KN24" s="1"/>
  <c r="KO24" s="1"/>
  <c r="KP24" s="1"/>
  <c r="KQ24" s="1"/>
  <c r="KR24" s="1"/>
  <c r="KS24" s="1"/>
  <c r="KT24" s="1"/>
  <c r="KU24" s="1"/>
  <c r="KV24" s="1"/>
  <c r="KW24" s="1"/>
  <c r="KX24" s="1"/>
  <c r="KY24" s="1"/>
  <c r="KZ24" s="1"/>
  <c r="LA24" s="1"/>
  <c r="LB24" s="1"/>
  <c r="LC24" s="1"/>
  <c r="LD24" s="1"/>
  <c r="LE24" s="1"/>
  <c r="LF24" s="1"/>
  <c r="LG24" s="1"/>
  <c r="LH24" s="1"/>
  <c r="LI24" s="1"/>
  <c r="LJ24" s="1"/>
  <c r="LK24" s="1"/>
  <c r="LL24" s="1"/>
  <c r="LM24" s="1"/>
  <c r="LN24" s="1"/>
  <c r="LO24" s="1"/>
  <c r="LP24" s="1"/>
  <c r="LQ24" s="1"/>
  <c r="LR24" s="1"/>
  <c r="LS24" s="1"/>
  <c r="LT24" s="1"/>
  <c r="LU24" s="1"/>
  <c r="LV24" s="1"/>
  <c r="LW24" s="1"/>
  <c r="LX24" s="1"/>
  <c r="LY24" s="1"/>
  <c r="LZ24" s="1"/>
  <c r="MA24" s="1"/>
  <c r="MB24" s="1"/>
  <c r="MC24" s="1"/>
  <c r="MD24" s="1"/>
  <c r="ME24" s="1"/>
  <c r="MF24" s="1"/>
  <c r="MG24" s="1"/>
  <c r="MH24" s="1"/>
  <c r="MI24" s="1"/>
  <c r="MJ24" s="1"/>
  <c r="MK24" s="1"/>
  <c r="ML24" s="1"/>
  <c r="MM24" s="1"/>
  <c r="MN24" s="1"/>
  <c r="MO24" s="1"/>
  <c r="MP24" s="1"/>
  <c r="MQ24" s="1"/>
  <c r="MR24" s="1"/>
  <c r="MS24" s="1"/>
  <c r="MT24" s="1"/>
  <c r="MU24" s="1"/>
  <c r="MV24" s="1"/>
  <c r="MW24" s="1"/>
  <c r="MX24" s="1"/>
  <c r="MY24" s="1"/>
  <c r="MZ24" s="1"/>
  <c r="NA24" s="1"/>
  <c r="NB24" s="1"/>
  <c r="NC24" s="1"/>
  <c r="ND24" s="1"/>
  <c r="NE24" s="1"/>
  <c r="NF24" s="1"/>
  <c r="NG24" s="1"/>
  <c r="NH24" s="1"/>
  <c r="NI24" s="1"/>
  <c r="NJ24" s="1"/>
  <c r="NK24" s="1"/>
  <c r="NL24" s="1"/>
  <c r="NM24" s="1"/>
  <c r="NN24" s="1"/>
  <c r="NO24" s="1"/>
  <c r="NP24" s="1"/>
  <c r="NQ24" s="1"/>
  <c r="NR24" s="1"/>
  <c r="NS24" s="1"/>
  <c r="NT24" s="1"/>
  <c r="NU24" s="1"/>
  <c r="NV24" s="1"/>
  <c r="NW24" s="1"/>
  <c r="NX24" s="1"/>
  <c r="NY24" s="1"/>
  <c r="NZ24" s="1"/>
  <c r="OA24" s="1"/>
  <c r="OB24" s="1"/>
  <c r="OC24" s="1"/>
  <c r="OD24" s="1"/>
  <c r="OE24" s="1"/>
  <c r="OF24" s="1"/>
  <c r="OG24" s="1"/>
  <c r="OH24" s="1"/>
  <c r="OI24" s="1"/>
  <c r="OJ24" s="1"/>
  <c r="OK24" s="1"/>
  <c r="OL24" s="1"/>
  <c r="OM24" s="1"/>
  <c r="ON24" s="1"/>
  <c r="OO24" s="1"/>
  <c r="OP24" s="1"/>
  <c r="OQ24" s="1"/>
  <c r="OR24" s="1"/>
  <c r="OS24" s="1"/>
  <c r="OT24" s="1"/>
  <c r="OU24" s="1"/>
  <c r="OV24" s="1"/>
  <c r="OW24" s="1"/>
  <c r="OX24" s="1"/>
  <c r="OY24" s="1"/>
  <c r="OZ24" s="1"/>
  <c r="PA24" s="1"/>
  <c r="PB24" s="1"/>
  <c r="PC24" s="1"/>
  <c r="PD24" s="1"/>
  <c r="PE24" s="1"/>
  <c r="PF24" s="1"/>
  <c r="PG24" s="1"/>
  <c r="PH24" s="1"/>
  <c r="PI24" s="1"/>
  <c r="PJ24" s="1"/>
  <c r="PK24" s="1"/>
  <c r="PL24" s="1"/>
  <c r="PM24" s="1"/>
  <c r="PN24" s="1"/>
  <c r="PO24" s="1"/>
  <c r="PP24" s="1"/>
  <c r="PQ24" s="1"/>
  <c r="PR24" s="1"/>
  <c r="PS24" s="1"/>
  <c r="PT24" s="1"/>
  <c r="PU24" s="1"/>
  <c r="PV24" s="1"/>
  <c r="PW24" s="1"/>
  <c r="PX24" s="1"/>
  <c r="PY24" s="1"/>
  <c r="PZ24" s="1"/>
  <c r="QA24" s="1"/>
  <c r="QB24" s="1"/>
  <c r="QC24" s="1"/>
  <c r="QD24" s="1"/>
  <c r="QE24" s="1"/>
  <c r="QF24" s="1"/>
  <c r="QG24" s="1"/>
  <c r="QH24" s="1"/>
  <c r="QI24" s="1"/>
  <c r="QJ24" s="1"/>
  <c r="QK24" s="1"/>
  <c r="QL24" s="1"/>
  <c r="QM24" s="1"/>
  <c r="QN24" s="1"/>
  <c r="QO24" s="1"/>
  <c r="QP24" s="1"/>
  <c r="QQ24" s="1"/>
  <c r="QR24" s="1"/>
  <c r="QS24" s="1"/>
  <c r="QT24" s="1"/>
  <c r="QU24" s="1"/>
  <c r="QV24" s="1"/>
  <c r="QW24" s="1"/>
  <c r="QX24" s="1"/>
  <c r="QY24" s="1"/>
  <c r="QZ24" s="1"/>
  <c r="RA24" s="1"/>
  <c r="RB24" s="1"/>
  <c r="RC24" s="1"/>
  <c r="RD24" s="1"/>
  <c r="RE24" s="1"/>
  <c r="RF24" s="1"/>
  <c r="RG24" s="1"/>
  <c r="RH24" s="1"/>
  <c r="RI24" s="1"/>
  <c r="RJ24" s="1"/>
  <c r="RK24" s="1"/>
  <c r="RL24" s="1"/>
  <c r="RM24" s="1"/>
  <c r="RN24" s="1"/>
  <c r="RO24" s="1"/>
  <c r="RP24" s="1"/>
  <c r="RQ24" s="1"/>
  <c r="RR24" s="1"/>
  <c r="RS24" s="1"/>
  <c r="RT24" s="1"/>
  <c r="RU24" s="1"/>
  <c r="RV24" s="1"/>
  <c r="RW24" s="1"/>
  <c r="RX24" s="1"/>
  <c r="RY24" s="1"/>
  <c r="RZ24" s="1"/>
  <c r="SA24" s="1"/>
  <c r="SB24" s="1"/>
  <c r="SC24" s="1"/>
  <c r="SD24" s="1"/>
  <c r="SE24" s="1"/>
  <c r="SF24" s="1"/>
  <c r="SG24" s="1"/>
  <c r="SH24" s="1"/>
  <c r="SI24" s="1"/>
  <c r="SJ24" s="1"/>
  <c r="SK24" s="1"/>
  <c r="SL24" s="1"/>
  <c r="SM24" s="1"/>
  <c r="SN24" s="1"/>
  <c r="SO24" s="1"/>
  <c r="SP24" s="1"/>
  <c r="SQ24" s="1"/>
  <c r="SR24" s="1"/>
  <c r="SS24" s="1"/>
  <c r="ST24" s="1"/>
  <c r="SU24" s="1"/>
  <c r="SV24" s="1"/>
  <c r="SW24" s="1"/>
  <c r="SX24" s="1"/>
  <c r="SY24" s="1"/>
  <c r="SZ24" s="1"/>
  <c r="TA24" s="1"/>
  <c r="TB24" s="1"/>
  <c r="TC24" s="1"/>
  <c r="TD24" s="1"/>
  <c r="TE24" s="1"/>
  <c r="TF24" s="1"/>
  <c r="TG24" s="1"/>
  <c r="TH24" s="1"/>
  <c r="TI24" s="1"/>
  <c r="TJ24" s="1"/>
  <c r="TK24" s="1"/>
  <c r="TL24" s="1"/>
  <c r="TM24" s="1"/>
  <c r="TN24" s="1"/>
  <c r="TO24" s="1"/>
  <c r="TP24" s="1"/>
  <c r="TQ24" s="1"/>
  <c r="TR24" s="1"/>
  <c r="TS24" s="1"/>
  <c r="TT24" s="1"/>
  <c r="TU24" s="1"/>
  <c r="TV24" s="1"/>
  <c r="TW24" s="1"/>
  <c r="TX24" s="1"/>
  <c r="TY24" s="1"/>
  <c r="TZ24" s="1"/>
  <c r="UA24" s="1"/>
  <c r="UB24" s="1"/>
  <c r="UC24" s="1"/>
  <c r="UD24" s="1"/>
  <c r="UE24" s="1"/>
  <c r="UF24" s="1"/>
  <c r="UG24" s="1"/>
  <c r="UH24" s="1"/>
  <c r="UI24" s="1"/>
  <c r="UJ24" s="1"/>
  <c r="UK24" s="1"/>
  <c r="UL24" s="1"/>
  <c r="UM24" s="1"/>
  <c r="UN24" s="1"/>
  <c r="UO24" s="1"/>
  <c r="UP24" s="1"/>
  <c r="UQ24" s="1"/>
  <c r="UR24" s="1"/>
  <c r="US24" s="1"/>
  <c r="UT24" s="1"/>
  <c r="UU24" s="1"/>
  <c r="UV24" s="1"/>
  <c r="UW24" s="1"/>
  <c r="UX24" s="1"/>
  <c r="UY24" s="1"/>
  <c r="UZ24" s="1"/>
  <c r="VA24" s="1"/>
  <c r="VB24" s="1"/>
  <c r="VC24" s="1"/>
  <c r="VD24" s="1"/>
  <c r="VE24" s="1"/>
  <c r="VF24" s="1"/>
  <c r="VG24" s="1"/>
  <c r="VH24" s="1"/>
  <c r="VI24" s="1"/>
  <c r="VJ24" s="1"/>
  <c r="VK24" s="1"/>
  <c r="VL24" s="1"/>
  <c r="VM24" s="1"/>
  <c r="VN24" s="1"/>
  <c r="VO24" s="1"/>
  <c r="VP24" s="1"/>
  <c r="VQ24" s="1"/>
  <c r="VR24" s="1"/>
  <c r="VS24" s="1"/>
  <c r="VT24" s="1"/>
  <c r="VU24" s="1"/>
  <c r="VV24" s="1"/>
  <c r="VW24" s="1"/>
  <c r="VX24" s="1"/>
  <c r="VY24" s="1"/>
  <c r="VZ24" s="1"/>
  <c r="WA24" s="1"/>
  <c r="WB24" s="1"/>
  <c r="WC24" s="1"/>
  <c r="WD24" s="1"/>
  <c r="WE24" s="1"/>
  <c r="WF24" s="1"/>
  <c r="WG24" s="1"/>
  <c r="WH24" s="1"/>
  <c r="WI24" s="1"/>
  <c r="WJ24" s="1"/>
  <c r="WK24" s="1"/>
  <c r="WL24" s="1"/>
  <c r="WM24" s="1"/>
  <c r="WN24" s="1"/>
  <c r="WO24" s="1"/>
  <c r="WP24" s="1"/>
  <c r="WQ24" s="1"/>
  <c r="WR24" s="1"/>
  <c r="WS24" s="1"/>
  <c r="WT24" s="1"/>
  <c r="WU24" s="1"/>
  <c r="WV24" s="1"/>
  <c r="WW24" s="1"/>
  <c r="WX24" s="1"/>
  <c r="WY24" s="1"/>
  <c r="WZ24" s="1"/>
  <c r="XA24" s="1"/>
  <c r="XB24" s="1"/>
  <c r="XC24" s="1"/>
  <c r="XD24" s="1"/>
  <c r="XE24" s="1"/>
  <c r="XF24" s="1"/>
  <c r="XG24" s="1"/>
  <c r="XH24" s="1"/>
  <c r="XI24" s="1"/>
  <c r="XJ24" s="1"/>
  <c r="XK24" s="1"/>
  <c r="XL24" s="1"/>
  <c r="XM24" s="1"/>
  <c r="XN24" s="1"/>
  <c r="XO24" s="1"/>
  <c r="XP24" s="1"/>
  <c r="XQ24" s="1"/>
  <c r="XR24" s="1"/>
  <c r="XS24" s="1"/>
  <c r="XT24" s="1"/>
  <c r="XU24" s="1"/>
  <c r="XV24" s="1"/>
  <c r="XW24" s="1"/>
  <c r="XX24" s="1"/>
  <c r="XY24" s="1"/>
  <c r="XZ24" s="1"/>
  <c r="YA24" s="1"/>
  <c r="YB24" s="1"/>
  <c r="YC24" s="1"/>
  <c r="YD24" s="1"/>
  <c r="YE24" s="1"/>
  <c r="YF24" s="1"/>
  <c r="YG24" s="1"/>
  <c r="YH24" s="1"/>
  <c r="YI24" s="1"/>
  <c r="YJ24" s="1"/>
  <c r="YK24" s="1"/>
  <c r="YL24" s="1"/>
  <c r="YM24" s="1"/>
  <c r="YN24" s="1"/>
  <c r="YO24" s="1"/>
  <c r="YP24" s="1"/>
  <c r="YQ24" s="1"/>
  <c r="YR24" s="1"/>
  <c r="YS24" s="1"/>
  <c r="YT24" s="1"/>
  <c r="YU24" s="1"/>
  <c r="YV24" s="1"/>
  <c r="YW24" s="1"/>
  <c r="YX24" s="1"/>
  <c r="YY24" s="1"/>
  <c r="YZ24" s="1"/>
  <c r="ZA24" s="1"/>
  <c r="ZB24" s="1"/>
  <c r="ZC24" s="1"/>
  <c r="ZD24" s="1"/>
  <c r="ZE24" s="1"/>
  <c r="ZF24" s="1"/>
  <c r="ZG24" s="1"/>
  <c r="ZH24" s="1"/>
  <c r="ZI24" s="1"/>
  <c r="ZJ24" s="1"/>
  <c r="ZK24" s="1"/>
  <c r="ZL24" s="1"/>
  <c r="ZM24" s="1"/>
  <c r="ZN24" s="1"/>
  <c r="ZO24" s="1"/>
  <c r="ZP24" s="1"/>
  <c r="ZQ24" s="1"/>
  <c r="ZR24" s="1"/>
  <c r="ZS24" s="1"/>
  <c r="ZT24" s="1"/>
  <c r="ZU24" s="1"/>
  <c r="ZV24" s="1"/>
  <c r="ZW24" s="1"/>
  <c r="ZX24" s="1"/>
  <c r="ZY24" s="1"/>
  <c r="ZZ24" s="1"/>
  <c r="AAA24" s="1"/>
  <c r="AAB24" s="1"/>
  <c r="AAC24" s="1"/>
  <c r="AAD24" s="1"/>
  <c r="AAE24" s="1"/>
  <c r="AAF24" s="1"/>
  <c r="AAG24" s="1"/>
  <c r="AAH24" s="1"/>
  <c r="AAI24" s="1"/>
  <c r="AAJ24" s="1"/>
  <c r="AAK24" s="1"/>
  <c r="AAL24" s="1"/>
  <c r="AAM24" s="1"/>
  <c r="AAN24" s="1"/>
  <c r="AAO24" s="1"/>
  <c r="FG47" l="1"/>
  <c r="FH32" s="1"/>
  <c r="FG46"/>
  <c r="FH31" s="1"/>
  <c r="FH33"/>
  <c r="FH49" s="1"/>
  <c r="FG45"/>
  <c r="FG43"/>
  <c r="FH28" s="1"/>
  <c r="FG44"/>
  <c r="FH29" s="1"/>
  <c r="FH41"/>
  <c r="FI26" s="1"/>
  <c r="JF21"/>
  <c r="JE22"/>
  <c r="FH43" l="1"/>
  <c r="FI28" s="1"/>
  <c r="FH48"/>
  <c r="FI33" s="1"/>
  <c r="FH47"/>
  <c r="FI32" s="1"/>
  <c r="FI34"/>
  <c r="FI36" s="1"/>
  <c r="FI40"/>
  <c r="FJ25" s="1"/>
  <c r="FH30"/>
  <c r="FH46" s="1"/>
  <c r="FH42"/>
  <c r="FI27" s="1"/>
  <c r="JG21"/>
  <c r="JF22"/>
  <c r="FI49" l="1"/>
  <c r="FJ34" s="1"/>
  <c r="FI48"/>
  <c r="FJ33" s="1"/>
  <c r="FI50"/>
  <c r="FI31"/>
  <c r="FI47" s="1"/>
  <c r="FJ39"/>
  <c r="FI42"/>
  <c r="FJ27" s="1"/>
  <c r="FH45"/>
  <c r="FH44"/>
  <c r="FI29" s="1"/>
  <c r="FI43" s="1"/>
  <c r="FI41"/>
  <c r="FJ26" s="1"/>
  <c r="JH21"/>
  <c r="JG22"/>
  <c r="FJ49" l="1"/>
  <c r="FK34" s="1"/>
  <c r="FJ50"/>
  <c r="FJ36"/>
  <c r="FJ32"/>
  <c r="FJ48" s="1"/>
  <c r="FI30"/>
  <c r="FI46" s="1"/>
  <c r="FJ40"/>
  <c r="FK25" s="1"/>
  <c r="FJ41"/>
  <c r="FK26" s="1"/>
  <c r="FJ28"/>
  <c r="JI21"/>
  <c r="JH22"/>
  <c r="FI44" l="1"/>
  <c r="FJ29" s="1"/>
  <c r="FJ43" s="1"/>
  <c r="FK28" s="1"/>
  <c r="FK50"/>
  <c r="FK36"/>
  <c r="FJ31"/>
  <c r="FJ47" s="1"/>
  <c r="FK33"/>
  <c r="FK49" s="1"/>
  <c r="FK39"/>
  <c r="FK40"/>
  <c r="FL25" s="1"/>
  <c r="FJ42"/>
  <c r="FK27" s="1"/>
  <c r="FI45"/>
  <c r="JI22"/>
  <c r="JJ21"/>
  <c r="FL34" l="1"/>
  <c r="FK32"/>
  <c r="FK48" s="1"/>
  <c r="FJ30"/>
  <c r="FJ46" s="1"/>
  <c r="FL39"/>
  <c r="FK41"/>
  <c r="FL26" s="1"/>
  <c r="FK42"/>
  <c r="FL27" s="1"/>
  <c r="JJ22"/>
  <c r="JK21"/>
  <c r="FL50" l="1"/>
  <c r="FL36"/>
  <c r="FL33"/>
  <c r="FL49" s="1"/>
  <c r="FK31"/>
  <c r="FK47" s="1"/>
  <c r="FJ45"/>
  <c r="FJ44"/>
  <c r="FK29" s="1"/>
  <c r="FL40"/>
  <c r="FM25" s="1"/>
  <c r="FL41"/>
  <c r="FM26" s="1"/>
  <c r="JL21"/>
  <c r="JK22"/>
  <c r="FL32" l="1"/>
  <c r="FL48" s="1"/>
  <c r="FM34"/>
  <c r="FM40"/>
  <c r="FN25" s="1"/>
  <c r="FM39"/>
  <c r="FK30"/>
  <c r="FK46" s="1"/>
  <c r="FK43"/>
  <c r="JM21"/>
  <c r="JL22"/>
  <c r="FK44" l="1"/>
  <c r="FL29" s="1"/>
  <c r="FM50"/>
  <c r="FM36"/>
  <c r="FK45"/>
  <c r="FL30" s="1"/>
  <c r="FM33"/>
  <c r="FM49" s="1"/>
  <c r="FL31"/>
  <c r="FL47" s="1"/>
  <c r="FN39"/>
  <c r="FL28"/>
  <c r="JN21"/>
  <c r="JM22"/>
  <c r="FL44" l="1"/>
  <c r="FM29" s="1"/>
  <c r="FL46"/>
  <c r="FM31" s="1"/>
  <c r="FL45"/>
  <c r="FM30" s="1"/>
  <c r="FM32"/>
  <c r="FM48" s="1"/>
  <c r="FN34"/>
  <c r="FL42"/>
  <c r="FM27" s="1"/>
  <c r="FL43"/>
  <c r="JO21"/>
  <c r="JN22"/>
  <c r="FM47" l="1"/>
  <c r="FN32" s="1"/>
  <c r="FM45"/>
  <c r="FN30" s="1"/>
  <c r="FN50"/>
  <c r="FN36"/>
  <c r="FM46"/>
  <c r="FN31" s="1"/>
  <c r="FN33"/>
  <c r="FN49" s="1"/>
  <c r="FM28"/>
  <c r="FM44" s="1"/>
  <c r="FN29" s="1"/>
  <c r="FM41"/>
  <c r="FN26" s="1"/>
  <c r="JP21"/>
  <c r="JO22"/>
  <c r="FN45" l="1"/>
  <c r="FO30" s="1"/>
  <c r="FN46"/>
  <c r="FO31" s="1"/>
  <c r="FM42"/>
  <c r="FN27" s="1"/>
  <c r="FN41" s="1"/>
  <c r="FO26" s="1"/>
  <c r="FN47"/>
  <c r="FO32" s="1"/>
  <c r="FN48"/>
  <c r="FO33" s="1"/>
  <c r="FO34"/>
  <c r="FN40"/>
  <c r="FO25" s="1"/>
  <c r="FM43"/>
  <c r="JQ21"/>
  <c r="JP22"/>
  <c r="FO48" l="1"/>
  <c r="FP33" s="1"/>
  <c r="FO50"/>
  <c r="FO36"/>
  <c r="FO47"/>
  <c r="FP32" s="1"/>
  <c r="FO46"/>
  <c r="FP31" s="1"/>
  <c r="FO49"/>
  <c r="FP34" s="1"/>
  <c r="FO39"/>
  <c r="FO40"/>
  <c r="FP25" s="1"/>
  <c r="FN28"/>
  <c r="FN44" s="1"/>
  <c r="FO29" s="1"/>
  <c r="FO45" s="1"/>
  <c r="JR21"/>
  <c r="JQ22"/>
  <c r="FP47" l="1"/>
  <c r="FQ32" s="1"/>
  <c r="FP50"/>
  <c r="FP36"/>
  <c r="FP49"/>
  <c r="FQ34" s="1"/>
  <c r="FP48"/>
  <c r="FQ33" s="1"/>
  <c r="FP39"/>
  <c r="FN43"/>
  <c r="FN42"/>
  <c r="FO27" s="1"/>
  <c r="FP30"/>
  <c r="FP46" s="1"/>
  <c r="JS21"/>
  <c r="JR22"/>
  <c r="FQ49" l="1"/>
  <c r="FR34" s="1"/>
  <c r="FQ50"/>
  <c r="FQ36"/>
  <c r="FQ48"/>
  <c r="FR33" s="1"/>
  <c r="FO28"/>
  <c r="FO44" s="1"/>
  <c r="FP29" s="1"/>
  <c r="FP45" s="1"/>
  <c r="FO41"/>
  <c r="FP26" s="1"/>
  <c r="FQ31"/>
  <c r="FQ47" s="1"/>
  <c r="JT21"/>
  <c r="JS22"/>
  <c r="FR50" l="1"/>
  <c r="FR36"/>
  <c r="FR49"/>
  <c r="FS34" s="1"/>
  <c r="FQ30"/>
  <c r="FQ46" s="1"/>
  <c r="FR32"/>
  <c r="FR48" s="1"/>
  <c r="FO42"/>
  <c r="FP27" s="1"/>
  <c r="FP41" s="1"/>
  <c r="FQ26" s="1"/>
  <c r="FO43"/>
  <c r="FP40"/>
  <c r="FQ25" s="1"/>
  <c r="JU21"/>
  <c r="JT22"/>
  <c r="FS50" l="1"/>
  <c r="FS36"/>
  <c r="FR31"/>
  <c r="FR47" s="1"/>
  <c r="FS33"/>
  <c r="FS49" s="1"/>
  <c r="FQ40"/>
  <c r="FR25" s="1"/>
  <c r="FQ39"/>
  <c r="FP28"/>
  <c r="FP42" s="1"/>
  <c r="FQ27" s="1"/>
  <c r="JV21"/>
  <c r="JU22"/>
  <c r="FP44" l="1"/>
  <c r="FQ29" s="1"/>
  <c r="FQ45" s="1"/>
  <c r="FR30" s="1"/>
  <c r="FR46" s="1"/>
  <c r="FP43"/>
  <c r="FQ28" s="1"/>
  <c r="FT34"/>
  <c r="FS32"/>
  <c r="FS48" s="1"/>
  <c r="FR39"/>
  <c r="FQ41"/>
  <c r="FR26" s="1"/>
  <c r="FR40" s="1"/>
  <c r="FS25" s="1"/>
  <c r="JW21"/>
  <c r="JV22"/>
  <c r="FQ44" l="1"/>
  <c r="FR29" s="1"/>
  <c r="FR45" s="1"/>
  <c r="FS30" s="1"/>
  <c r="FQ43"/>
  <c r="FR28" s="1"/>
  <c r="FQ42"/>
  <c r="FR27" s="1"/>
  <c r="FT50"/>
  <c r="FT36"/>
  <c r="FT33"/>
  <c r="FT49" s="1"/>
  <c r="FS31"/>
  <c r="FS47" s="1"/>
  <c r="FS39"/>
  <c r="FR41"/>
  <c r="FS26" s="1"/>
  <c r="JX21"/>
  <c r="JW22"/>
  <c r="FS46" l="1"/>
  <c r="FT31" s="1"/>
  <c r="FR44"/>
  <c r="FS29" s="1"/>
  <c r="FS45" s="1"/>
  <c r="FT30" s="1"/>
  <c r="FR43"/>
  <c r="FS28" s="1"/>
  <c r="FU34"/>
  <c r="FT32"/>
  <c r="FT48" s="1"/>
  <c r="FR42"/>
  <c r="FS27" s="1"/>
  <c r="FS41" s="1"/>
  <c r="FT26" s="1"/>
  <c r="FS40"/>
  <c r="FT25" s="1"/>
  <c r="JY21"/>
  <c r="JX22"/>
  <c r="FS43" l="1"/>
  <c r="FT28" s="1"/>
  <c r="FT46"/>
  <c r="FU31" s="1"/>
  <c r="FS44"/>
  <c r="FT29" s="1"/>
  <c r="FT45" s="1"/>
  <c r="FU30" s="1"/>
  <c r="FU50"/>
  <c r="FU36"/>
  <c r="FT47"/>
  <c r="FU32" s="1"/>
  <c r="FU33"/>
  <c r="FU49" s="1"/>
  <c r="FT39"/>
  <c r="FT40"/>
  <c r="FU25" s="1"/>
  <c r="FS42"/>
  <c r="FT27" s="1"/>
  <c r="FT41" s="1"/>
  <c r="FU26" s="1"/>
  <c r="JZ21"/>
  <c r="JY22"/>
  <c r="FT44" l="1"/>
  <c r="FU29" s="1"/>
  <c r="FU45" s="1"/>
  <c r="FV30" s="1"/>
  <c r="FU47"/>
  <c r="FV32" s="1"/>
  <c r="FT42"/>
  <c r="FU27" s="1"/>
  <c r="FU41" s="1"/>
  <c r="FV26" s="1"/>
  <c r="FU48"/>
  <c r="FV33" s="1"/>
  <c r="FU46"/>
  <c r="FV31" s="1"/>
  <c r="FV34"/>
  <c r="FU39"/>
  <c r="FU40"/>
  <c r="FV25" s="1"/>
  <c r="FT43"/>
  <c r="KA21"/>
  <c r="JZ22"/>
  <c r="FV46" l="1"/>
  <c r="FW31" s="1"/>
  <c r="FV48"/>
  <c r="FW33" s="1"/>
  <c r="FV49"/>
  <c r="FW34" s="1"/>
  <c r="FV50"/>
  <c r="FV36"/>
  <c r="FV47"/>
  <c r="FW32" s="1"/>
  <c r="FU28"/>
  <c r="FV40"/>
  <c r="FW25" s="1"/>
  <c r="FV39"/>
  <c r="KB21"/>
  <c r="KA22"/>
  <c r="FW48" l="1"/>
  <c r="FX33" s="1"/>
  <c r="FW50"/>
  <c r="FW36"/>
  <c r="FW47"/>
  <c r="FX32" s="1"/>
  <c r="FW49"/>
  <c r="FX34" s="1"/>
  <c r="FW39"/>
  <c r="FU43"/>
  <c r="FV28" s="1"/>
  <c r="FU42"/>
  <c r="FV27" s="1"/>
  <c r="FU44"/>
  <c r="FV29" s="1"/>
  <c r="FV45" s="1"/>
  <c r="KC21"/>
  <c r="KB22"/>
  <c r="FX50" l="1"/>
  <c r="FX36"/>
  <c r="FX49"/>
  <c r="FY34" s="1"/>
  <c r="FX48"/>
  <c r="FY33" s="1"/>
  <c r="FV43"/>
  <c r="FW28" s="1"/>
  <c r="FV42"/>
  <c r="FW27" s="1"/>
  <c r="FV41"/>
  <c r="FW26" s="1"/>
  <c r="FV44"/>
  <c r="FW29" s="1"/>
  <c r="FW30"/>
  <c r="FW46" s="1"/>
  <c r="KD21"/>
  <c r="KC22"/>
  <c r="FY49" l="1"/>
  <c r="FZ34" s="1"/>
  <c r="FW45"/>
  <c r="FX30" s="1"/>
  <c r="FY50"/>
  <c r="FY36"/>
  <c r="FX31"/>
  <c r="FX47" s="1"/>
  <c r="FW42"/>
  <c r="FX27" s="1"/>
  <c r="FW41"/>
  <c r="FX26" s="1"/>
  <c r="FW40"/>
  <c r="FX25" s="1"/>
  <c r="FW43"/>
  <c r="FX28" s="1"/>
  <c r="FW44"/>
  <c r="FX29" s="1"/>
  <c r="KE21"/>
  <c r="KD22"/>
  <c r="FZ50" l="1"/>
  <c r="FZ36"/>
  <c r="FX44"/>
  <c r="FY29" s="1"/>
  <c r="FX46"/>
  <c r="FY31" s="1"/>
  <c r="FY32"/>
  <c r="FY48" s="1"/>
  <c r="FX41"/>
  <c r="FX40"/>
  <c r="FY25" s="1"/>
  <c r="FX39"/>
  <c r="FX42"/>
  <c r="FY27" s="1"/>
  <c r="FX45"/>
  <c r="FX43"/>
  <c r="FY28" s="1"/>
  <c r="KF21"/>
  <c r="KE22"/>
  <c r="FY47" l="1"/>
  <c r="FZ32" s="1"/>
  <c r="FY43"/>
  <c r="FZ28" s="1"/>
  <c r="FZ33"/>
  <c r="FZ49" s="1"/>
  <c r="FY39"/>
  <c r="FY30"/>
  <c r="FY45" s="1"/>
  <c r="FY26"/>
  <c r="FY40" s="1"/>
  <c r="FZ25" s="1"/>
  <c r="KG21"/>
  <c r="KF22"/>
  <c r="FZ48" l="1"/>
  <c r="GA33" s="1"/>
  <c r="FZ30"/>
  <c r="FZ39"/>
  <c r="GA34"/>
  <c r="GA36" s="1"/>
  <c r="FY41"/>
  <c r="FY44"/>
  <c r="FY42"/>
  <c r="FZ27" s="1"/>
  <c r="FY46"/>
  <c r="KH21"/>
  <c r="KG22"/>
  <c r="GA50" l="1"/>
  <c r="GA49"/>
  <c r="GB34" s="1"/>
  <c r="FZ26"/>
  <c r="FZ42" s="1"/>
  <c r="GA27" s="1"/>
  <c r="FZ31"/>
  <c r="FZ46" s="1"/>
  <c r="FZ29"/>
  <c r="FZ44" s="1"/>
  <c r="KI21"/>
  <c r="KH22"/>
  <c r="FZ43" l="1"/>
  <c r="GA28" s="1"/>
  <c r="FZ45"/>
  <c r="GA30" s="1"/>
  <c r="FZ47"/>
  <c r="GA32" s="1"/>
  <c r="GA48" s="1"/>
  <c r="GB50"/>
  <c r="GB36"/>
  <c r="GA31"/>
  <c r="GA29"/>
  <c r="FZ41"/>
  <c r="GA26" s="1"/>
  <c r="FZ40"/>
  <c r="GA25" s="1"/>
  <c r="KJ21"/>
  <c r="KI22"/>
  <c r="GA45" l="1"/>
  <c r="GB30" s="1"/>
  <c r="GA44"/>
  <c r="GB29" s="1"/>
  <c r="GA46"/>
  <c r="GB31" s="1"/>
  <c r="GA47"/>
  <c r="GB32" s="1"/>
  <c r="GB33"/>
  <c r="GB49" s="1"/>
  <c r="GA41"/>
  <c r="GA40"/>
  <c r="GB25" s="1"/>
  <c r="GA39"/>
  <c r="GA43"/>
  <c r="GA42"/>
  <c r="GB27" s="1"/>
  <c r="KK21"/>
  <c r="KJ22"/>
  <c r="GB45" l="1"/>
  <c r="GC30" s="1"/>
  <c r="GB48"/>
  <c r="GC33" s="1"/>
  <c r="GB46"/>
  <c r="GC31" s="1"/>
  <c r="GB47"/>
  <c r="GC32" s="1"/>
  <c r="GB26"/>
  <c r="GC34"/>
  <c r="GB28"/>
  <c r="GB43" s="1"/>
  <c r="GB39"/>
  <c r="KL21"/>
  <c r="KK22"/>
  <c r="GC49" l="1"/>
  <c r="GD34" s="1"/>
  <c r="GC48"/>
  <c r="GD33" s="1"/>
  <c r="GC50"/>
  <c r="GC36"/>
  <c r="GC47"/>
  <c r="GD32" s="1"/>
  <c r="GB42"/>
  <c r="GC27" s="1"/>
  <c r="GB41"/>
  <c r="GC26" s="1"/>
  <c r="GB44"/>
  <c r="GC29" s="1"/>
  <c r="GC45" s="1"/>
  <c r="GC46"/>
  <c r="GD31" s="1"/>
  <c r="GC28"/>
  <c r="GB40"/>
  <c r="GC25" s="1"/>
  <c r="KM21"/>
  <c r="KL22"/>
  <c r="GD47" l="1"/>
  <c r="GE32" s="1"/>
  <c r="GD49"/>
  <c r="GE34" s="1"/>
  <c r="GD50"/>
  <c r="GD36"/>
  <c r="GC44"/>
  <c r="GD29" s="1"/>
  <c r="GD48"/>
  <c r="GE33" s="1"/>
  <c r="GD30"/>
  <c r="GD46" s="1"/>
  <c r="GC42"/>
  <c r="GD27" s="1"/>
  <c r="GC43"/>
  <c r="GC41"/>
  <c r="GC39"/>
  <c r="GC40"/>
  <c r="GD25" s="1"/>
  <c r="KN21"/>
  <c r="KM22"/>
  <c r="GD45" l="1"/>
  <c r="GE30" s="1"/>
  <c r="GE49"/>
  <c r="GF34" s="1"/>
  <c r="GE50"/>
  <c r="GE36"/>
  <c r="GE48"/>
  <c r="GF33" s="1"/>
  <c r="GE31"/>
  <c r="GE47" s="1"/>
  <c r="GD39"/>
  <c r="GD26"/>
  <c r="GD40" s="1"/>
  <c r="GE25" s="1"/>
  <c r="GD28"/>
  <c r="KO21"/>
  <c r="KN22"/>
  <c r="GF49" l="1"/>
  <c r="GG34" s="1"/>
  <c r="GG36" s="1"/>
  <c r="GD42"/>
  <c r="GE27" s="1"/>
  <c r="GE46"/>
  <c r="GF31" s="1"/>
  <c r="GF50"/>
  <c r="GF36"/>
  <c r="GE39"/>
  <c r="GF32"/>
  <c r="GF48" s="1"/>
  <c r="GD43"/>
  <c r="GD44"/>
  <c r="GD41"/>
  <c r="KP21"/>
  <c r="KO22"/>
  <c r="GG50" l="1"/>
  <c r="GF47"/>
  <c r="GG32" s="1"/>
  <c r="GE29"/>
  <c r="GE45" s="1"/>
  <c r="GG33"/>
  <c r="GG49" s="1"/>
  <c r="GE26"/>
  <c r="GE28"/>
  <c r="KQ21"/>
  <c r="KP22"/>
  <c r="GE43" l="1"/>
  <c r="GF28" s="1"/>
  <c r="GE42"/>
  <c r="GF27" s="1"/>
  <c r="GG48"/>
  <c r="GH33" s="1"/>
  <c r="GH34"/>
  <c r="GF30"/>
  <c r="GF46" s="1"/>
  <c r="GE44"/>
  <c r="GE41"/>
  <c r="GE40"/>
  <c r="GF25" s="1"/>
  <c r="KR21"/>
  <c r="KQ22"/>
  <c r="GH50" l="1"/>
  <c r="GH36"/>
  <c r="GH49"/>
  <c r="GI34" s="1"/>
  <c r="GG31"/>
  <c r="GG47" s="1"/>
  <c r="GF39"/>
  <c r="GF29"/>
  <c r="GF44" s="1"/>
  <c r="GF26"/>
  <c r="GF40" s="1"/>
  <c r="GG25" s="1"/>
  <c r="KS21"/>
  <c r="KR22"/>
  <c r="GI50" l="1"/>
  <c r="GI36"/>
  <c r="GG39"/>
  <c r="GH32"/>
  <c r="GH48" s="1"/>
  <c r="GG29"/>
  <c r="GF41"/>
  <c r="GG26" s="1"/>
  <c r="GF42"/>
  <c r="GG27" s="1"/>
  <c r="GF45"/>
  <c r="GF43"/>
  <c r="KT21"/>
  <c r="KS22"/>
  <c r="GI33" l="1"/>
  <c r="GI49" s="1"/>
  <c r="GG28"/>
  <c r="GG40"/>
  <c r="GH25" s="1"/>
  <c r="GG30"/>
  <c r="GG45" s="1"/>
  <c r="GG41"/>
  <c r="KU21"/>
  <c r="KT22"/>
  <c r="GG44" l="1"/>
  <c r="GH29" s="1"/>
  <c r="GG46"/>
  <c r="GH31" s="1"/>
  <c r="GH47" s="1"/>
  <c r="GG43"/>
  <c r="GH28" s="1"/>
  <c r="GJ34"/>
  <c r="GH26"/>
  <c r="GH40" s="1"/>
  <c r="GI25" s="1"/>
  <c r="GH30"/>
  <c r="GH39"/>
  <c r="GG42"/>
  <c r="GH27" s="1"/>
  <c r="KV21"/>
  <c r="KU22"/>
  <c r="GH43" l="1"/>
  <c r="GI28" s="1"/>
  <c r="GH44"/>
  <c r="GI29" s="1"/>
  <c r="GJ50"/>
  <c r="GJ36"/>
  <c r="GH42"/>
  <c r="GI27" s="1"/>
  <c r="GH45"/>
  <c r="GI30" s="1"/>
  <c r="GH46"/>
  <c r="GI31" s="1"/>
  <c r="GI32"/>
  <c r="GI48" s="1"/>
  <c r="GH41"/>
  <c r="GI26" s="1"/>
  <c r="GI39"/>
  <c r="KW21"/>
  <c r="KV22"/>
  <c r="GI46" l="1"/>
  <c r="GJ31" s="1"/>
  <c r="GI43"/>
  <c r="GJ28" s="1"/>
  <c r="GI42"/>
  <c r="GJ27" s="1"/>
  <c r="GI44"/>
  <c r="GJ29" s="1"/>
  <c r="GI45"/>
  <c r="GJ30" s="1"/>
  <c r="GJ33"/>
  <c r="GJ49" s="1"/>
  <c r="GI47"/>
  <c r="GI40"/>
  <c r="GJ25" s="1"/>
  <c r="GI41"/>
  <c r="GJ26" s="1"/>
  <c r="KX21"/>
  <c r="KW22"/>
  <c r="GJ43" l="1"/>
  <c r="GK28" s="1"/>
  <c r="GJ45"/>
  <c r="GK30" s="1"/>
  <c r="GJ44"/>
  <c r="GK29" s="1"/>
  <c r="GK34"/>
  <c r="GK36" s="1"/>
  <c r="GJ41"/>
  <c r="GK26" s="1"/>
  <c r="GJ40"/>
  <c r="GK25" s="1"/>
  <c r="GJ39"/>
  <c r="GJ32"/>
  <c r="GJ46" s="1"/>
  <c r="GJ42"/>
  <c r="GK27" s="1"/>
  <c r="KY21"/>
  <c r="KX22"/>
  <c r="GK44" l="1"/>
  <c r="GL29" s="1"/>
  <c r="GK42"/>
  <c r="GL27" s="1"/>
  <c r="GK50"/>
  <c r="GK31"/>
  <c r="GJ47"/>
  <c r="GK41"/>
  <c r="GL26" s="1"/>
  <c r="GK40"/>
  <c r="GL25" s="1"/>
  <c r="GK39"/>
  <c r="GK43"/>
  <c r="GJ48"/>
  <c r="KZ21"/>
  <c r="KY22"/>
  <c r="GL41" l="1"/>
  <c r="GM26" s="1"/>
  <c r="GL39"/>
  <c r="GL40"/>
  <c r="GM25" s="1"/>
  <c r="GK32"/>
  <c r="GK33"/>
  <c r="GK49" s="1"/>
  <c r="GL28"/>
  <c r="GL43" s="1"/>
  <c r="GK45"/>
  <c r="LA21"/>
  <c r="KZ22"/>
  <c r="GK47" l="1"/>
  <c r="GK46"/>
  <c r="GL31" s="1"/>
  <c r="GK48"/>
  <c r="GL33" s="1"/>
  <c r="GM28"/>
  <c r="GL34"/>
  <c r="GM39"/>
  <c r="GM40"/>
  <c r="GN25" s="1"/>
  <c r="GL30"/>
  <c r="GL44" s="1"/>
  <c r="GL32"/>
  <c r="GL42"/>
  <c r="GM27" s="1"/>
  <c r="LB21"/>
  <c r="LA22"/>
  <c r="GL46" l="1"/>
  <c r="GM31" s="1"/>
  <c r="GL49"/>
  <c r="GM34" s="1"/>
  <c r="GM36" s="1"/>
  <c r="GL48"/>
  <c r="GM33" s="1"/>
  <c r="GL47"/>
  <c r="GM32" s="1"/>
  <c r="GL50"/>
  <c r="GL36"/>
  <c r="GM29"/>
  <c r="GM43" s="1"/>
  <c r="GN39"/>
  <c r="GL45"/>
  <c r="GM42"/>
  <c r="GN27" s="1"/>
  <c r="GM41"/>
  <c r="GN26" s="1"/>
  <c r="GN40" s="1"/>
  <c r="GO25" s="1"/>
  <c r="LC21"/>
  <c r="LB22"/>
  <c r="GM47" l="1"/>
  <c r="GN32" s="1"/>
  <c r="GM49"/>
  <c r="GN34" s="1"/>
  <c r="GM50"/>
  <c r="GM48"/>
  <c r="GN33" s="1"/>
  <c r="GO39"/>
  <c r="GN28"/>
  <c r="GN41"/>
  <c r="GO26" s="1"/>
  <c r="GM30"/>
  <c r="GM45" s="1"/>
  <c r="LD21"/>
  <c r="LC22"/>
  <c r="GN48" l="1"/>
  <c r="GO33" s="1"/>
  <c r="GN50"/>
  <c r="GN36"/>
  <c r="GN30"/>
  <c r="GN49"/>
  <c r="GN42"/>
  <c r="GO27" s="1"/>
  <c r="GO41" s="1"/>
  <c r="GP26" s="1"/>
  <c r="GM46"/>
  <c r="GO40"/>
  <c r="GP25" s="1"/>
  <c r="GM44"/>
  <c r="LE21"/>
  <c r="LD22"/>
  <c r="GP40" l="1"/>
  <c r="GQ25" s="1"/>
  <c r="GP39"/>
  <c r="GN31"/>
  <c r="GN46" s="1"/>
  <c r="GN29"/>
  <c r="GO34"/>
  <c r="LF21"/>
  <c r="LE22"/>
  <c r="GN45" l="1"/>
  <c r="GO30" s="1"/>
  <c r="GO49"/>
  <c r="GP34" s="1"/>
  <c r="GO36"/>
  <c r="GO31"/>
  <c r="GQ39"/>
  <c r="GO50"/>
  <c r="GN47"/>
  <c r="GN43"/>
  <c r="GN44"/>
  <c r="LG21"/>
  <c r="LF22"/>
  <c r="GP50" l="1"/>
  <c r="GP36"/>
  <c r="GO29"/>
  <c r="GO45" s="1"/>
  <c r="GO32"/>
  <c r="GO46" s="1"/>
  <c r="GO28"/>
  <c r="LH21"/>
  <c r="LG22"/>
  <c r="GP31" l="1"/>
  <c r="GP30"/>
  <c r="GO42"/>
  <c r="GP27" s="1"/>
  <c r="GO43"/>
  <c r="GO47"/>
  <c r="GO44"/>
  <c r="GO48"/>
  <c r="LI21"/>
  <c r="LH22"/>
  <c r="GP29" l="1"/>
  <c r="GP45" s="1"/>
  <c r="GP28"/>
  <c r="GP33"/>
  <c r="GP49" s="1"/>
  <c r="GP32"/>
  <c r="GP46" s="1"/>
  <c r="GP41"/>
  <c r="GQ26" s="1"/>
  <c r="LJ21"/>
  <c r="LI22"/>
  <c r="GP44" l="1"/>
  <c r="GQ29" s="1"/>
  <c r="GQ31"/>
  <c r="GQ34"/>
  <c r="GQ30"/>
  <c r="GQ40"/>
  <c r="GR25" s="1"/>
  <c r="GP47"/>
  <c r="GP42"/>
  <c r="GQ27" s="1"/>
  <c r="GQ41" s="1"/>
  <c r="GR26" s="1"/>
  <c r="GP43"/>
  <c r="GP48"/>
  <c r="LK21"/>
  <c r="LJ22"/>
  <c r="GQ50" l="1"/>
  <c r="GQ36"/>
  <c r="GQ45"/>
  <c r="GR30" s="1"/>
  <c r="GQ28"/>
  <c r="GQ44" s="1"/>
  <c r="GQ32"/>
  <c r="GQ46" s="1"/>
  <c r="GQ33"/>
  <c r="GQ49" s="1"/>
  <c r="GR39"/>
  <c r="GR40"/>
  <c r="GS25" s="1"/>
  <c r="LL21"/>
  <c r="LK22"/>
  <c r="GQ43" l="1"/>
  <c r="GR28" s="1"/>
  <c r="GR31"/>
  <c r="GR34"/>
  <c r="GR36" s="1"/>
  <c r="GR29"/>
  <c r="GS39"/>
  <c r="GQ47"/>
  <c r="GQ42"/>
  <c r="GR27" s="1"/>
  <c r="GQ48"/>
  <c r="LM21"/>
  <c r="LL22"/>
  <c r="GR45" l="1"/>
  <c r="GS30" s="1"/>
  <c r="GR50"/>
  <c r="GR44"/>
  <c r="GS29" s="1"/>
  <c r="GR33"/>
  <c r="GR49" s="1"/>
  <c r="GR32"/>
  <c r="GR43"/>
  <c r="GR42"/>
  <c r="GS27" s="1"/>
  <c r="GR41"/>
  <c r="GS26" s="1"/>
  <c r="LN21"/>
  <c r="LM22"/>
  <c r="GR48" l="1"/>
  <c r="GS33" s="1"/>
  <c r="GS34"/>
  <c r="GS36" s="1"/>
  <c r="GS41"/>
  <c r="GT26" s="1"/>
  <c r="GS40"/>
  <c r="GT25" s="1"/>
  <c r="GS28"/>
  <c r="GS44" s="1"/>
  <c r="GR47"/>
  <c r="GR46"/>
  <c r="LO21"/>
  <c r="LN22"/>
  <c r="GS43" l="1"/>
  <c r="GS49"/>
  <c r="GT34" s="1"/>
  <c r="GS50"/>
  <c r="GT29"/>
  <c r="GT28"/>
  <c r="GT40"/>
  <c r="GU25" s="1"/>
  <c r="GT39"/>
  <c r="GS31"/>
  <c r="GS32"/>
  <c r="GS48" s="1"/>
  <c r="GS42"/>
  <c r="GT27" s="1"/>
  <c r="GT41" s="1"/>
  <c r="GU26" s="1"/>
  <c r="LP21"/>
  <c r="LO22"/>
  <c r="GT42" l="1"/>
  <c r="GU27" s="1"/>
  <c r="GU41" s="1"/>
  <c r="GV26" s="1"/>
  <c r="GT36"/>
  <c r="GT50"/>
  <c r="GT43"/>
  <c r="GU28" s="1"/>
  <c r="GT33"/>
  <c r="GT49" s="1"/>
  <c r="GS45"/>
  <c r="GS46"/>
  <c r="GU40"/>
  <c r="GV25" s="1"/>
  <c r="GU39"/>
  <c r="GS47"/>
  <c r="LQ21"/>
  <c r="LP22"/>
  <c r="GU42" l="1"/>
  <c r="GV27" s="1"/>
  <c r="GV41" s="1"/>
  <c r="GW26" s="1"/>
  <c r="GU34"/>
  <c r="GT30"/>
  <c r="GV39"/>
  <c r="GV40"/>
  <c r="GW25" s="1"/>
  <c r="GT31"/>
  <c r="GT32"/>
  <c r="GT48" s="1"/>
  <c r="LR21"/>
  <c r="LQ22"/>
  <c r="GT47" l="1"/>
  <c r="GU32" s="1"/>
  <c r="GU50"/>
  <c r="GU36"/>
  <c r="GU33"/>
  <c r="GU49" s="1"/>
  <c r="GW39"/>
  <c r="GW40"/>
  <c r="GX25" s="1"/>
  <c r="GT45"/>
  <c r="GT44"/>
  <c r="GT46"/>
  <c r="LS21"/>
  <c r="LR22"/>
  <c r="GU48" l="1"/>
  <c r="GV33" s="1"/>
  <c r="GV34"/>
  <c r="GU30"/>
  <c r="GU31"/>
  <c r="GU47" s="1"/>
  <c r="GU29"/>
  <c r="GX39"/>
  <c r="LT21"/>
  <c r="LS22"/>
  <c r="GU46" l="1"/>
  <c r="GV31" s="1"/>
  <c r="GV50"/>
  <c r="GV36"/>
  <c r="GV49"/>
  <c r="GW34" s="1"/>
  <c r="GV32"/>
  <c r="GV48" s="1"/>
  <c r="GU44"/>
  <c r="GU43"/>
  <c r="GU45"/>
  <c r="LU21"/>
  <c r="LT22"/>
  <c r="GV47" l="1"/>
  <c r="GW32" s="1"/>
  <c r="GW50"/>
  <c r="GW36"/>
  <c r="GW33"/>
  <c r="GW49" s="1"/>
  <c r="GV28"/>
  <c r="GV30"/>
  <c r="GV46" s="1"/>
  <c r="GV29"/>
  <c r="LV21"/>
  <c r="LU22"/>
  <c r="GV45" l="1"/>
  <c r="GW30" s="1"/>
  <c r="GW48"/>
  <c r="GX33" s="1"/>
  <c r="GW31"/>
  <c r="GW47" s="1"/>
  <c r="GX34"/>
  <c r="GV42"/>
  <c r="GW27" s="1"/>
  <c r="GV43"/>
  <c r="GV44"/>
  <c r="LW21"/>
  <c r="LV22"/>
  <c r="GW46" l="1"/>
  <c r="GX31" s="1"/>
  <c r="GX49"/>
  <c r="GY34" s="1"/>
  <c r="GX50"/>
  <c r="GX36"/>
  <c r="GX32"/>
  <c r="GX48" s="1"/>
  <c r="GW28"/>
  <c r="GW29"/>
  <c r="GW45" s="1"/>
  <c r="GW41"/>
  <c r="GX26" s="1"/>
  <c r="LX21"/>
  <c r="LW22"/>
  <c r="GW44" l="1"/>
  <c r="GX29" s="1"/>
  <c r="GX47"/>
  <c r="GY32" s="1"/>
  <c r="GY50"/>
  <c r="GY36"/>
  <c r="GX30"/>
  <c r="GX46" s="1"/>
  <c r="GY33"/>
  <c r="GY49" s="1"/>
  <c r="GX40"/>
  <c r="GY25" s="1"/>
  <c r="GW42"/>
  <c r="GX27" s="1"/>
  <c r="GW43"/>
  <c r="LY21"/>
  <c r="LX22"/>
  <c r="GY48" l="1"/>
  <c r="GZ33" s="1"/>
  <c r="GX45"/>
  <c r="GY30" s="1"/>
  <c r="GZ34"/>
  <c r="GY31"/>
  <c r="GY47" s="1"/>
  <c r="GX28"/>
  <c r="GX44" s="1"/>
  <c r="GY39"/>
  <c r="GX41"/>
  <c r="GY26" s="1"/>
  <c r="LZ21"/>
  <c r="LY22"/>
  <c r="GZ49" l="1"/>
  <c r="HA34" s="1"/>
  <c r="HA36" s="1"/>
  <c r="GY46"/>
  <c r="GZ31" s="1"/>
  <c r="GX42"/>
  <c r="GY27" s="1"/>
  <c r="GY41" s="1"/>
  <c r="GZ26" s="1"/>
  <c r="GX43"/>
  <c r="GY28" s="1"/>
  <c r="GZ50"/>
  <c r="GZ36"/>
  <c r="GY29"/>
  <c r="GY45" s="1"/>
  <c r="GZ32"/>
  <c r="GZ48" s="1"/>
  <c r="GY40"/>
  <c r="GZ25" s="1"/>
  <c r="MA21"/>
  <c r="LZ22"/>
  <c r="GY43" l="1"/>
  <c r="GZ28" s="1"/>
  <c r="HA50"/>
  <c r="GZ47"/>
  <c r="HA32" s="1"/>
  <c r="HA33"/>
  <c r="HA49" s="1"/>
  <c r="GZ30"/>
  <c r="GZ46" s="1"/>
  <c r="GY44"/>
  <c r="GY42"/>
  <c r="GZ27" s="1"/>
  <c r="GZ40"/>
  <c r="HA25" s="1"/>
  <c r="GZ39"/>
  <c r="MB21"/>
  <c r="MA22"/>
  <c r="GZ42" l="1"/>
  <c r="HA27" s="1"/>
  <c r="HA48"/>
  <c r="HB33" s="1"/>
  <c r="HA31"/>
  <c r="HA47" s="1"/>
  <c r="HB34"/>
  <c r="GZ29"/>
  <c r="GZ44" s="1"/>
  <c r="GZ41"/>
  <c r="HA26" s="1"/>
  <c r="HA40" s="1"/>
  <c r="HB25" s="1"/>
  <c r="HA39"/>
  <c r="MC21"/>
  <c r="MB22"/>
  <c r="HB49" l="1"/>
  <c r="HC34" s="1"/>
  <c r="HB50"/>
  <c r="HB36"/>
  <c r="GZ43"/>
  <c r="HA28" s="1"/>
  <c r="GZ45"/>
  <c r="HA30" s="1"/>
  <c r="HA46" s="1"/>
  <c r="HA29"/>
  <c r="HB32"/>
  <c r="HB48" s="1"/>
  <c r="HA41"/>
  <c r="HB26" s="1"/>
  <c r="HB40" s="1"/>
  <c r="HC25" s="1"/>
  <c r="HB39"/>
  <c r="MD21"/>
  <c r="MC22"/>
  <c r="HA43" l="1"/>
  <c r="HB28" s="1"/>
  <c r="HC50"/>
  <c r="HC36"/>
  <c r="HA45"/>
  <c r="HB30" s="1"/>
  <c r="HC39"/>
  <c r="HB31"/>
  <c r="HB47" s="1"/>
  <c r="HC33"/>
  <c r="HC49" s="1"/>
  <c r="HA42"/>
  <c r="HB27" s="1"/>
  <c r="HB41" s="1"/>
  <c r="HC26" s="1"/>
  <c r="HA44"/>
  <c r="ME21"/>
  <c r="MD22"/>
  <c r="HB46" l="1"/>
  <c r="HC31" s="1"/>
  <c r="HB42"/>
  <c r="HC27" s="1"/>
  <c r="HC41" s="1"/>
  <c r="HD26" s="1"/>
  <c r="HD34"/>
  <c r="HB29"/>
  <c r="HB44" s="1"/>
  <c r="HC32"/>
  <c r="HC48" s="1"/>
  <c r="HC40"/>
  <c r="HD25" s="1"/>
  <c r="MF21"/>
  <c r="ME22"/>
  <c r="HC47" l="1"/>
  <c r="HD32" s="1"/>
  <c r="HD50"/>
  <c r="HD36"/>
  <c r="HD33"/>
  <c r="HD49" s="1"/>
  <c r="HD40"/>
  <c r="HE25" s="1"/>
  <c r="HD39"/>
  <c r="HB45"/>
  <c r="HB43"/>
  <c r="HC29"/>
  <c r="MG21"/>
  <c r="MF22"/>
  <c r="HD48" l="1"/>
  <c r="HE33" s="1"/>
  <c r="HE34"/>
  <c r="HC28"/>
  <c r="HC30"/>
  <c r="HC45" s="1"/>
  <c r="HE39"/>
  <c r="MH21"/>
  <c r="MG22"/>
  <c r="HC44" l="1"/>
  <c r="HD29" s="1"/>
  <c r="HC46"/>
  <c r="HD31" s="1"/>
  <c r="HD47" s="1"/>
  <c r="HE50"/>
  <c r="HE36"/>
  <c r="HE49"/>
  <c r="HF34" s="1"/>
  <c r="HD30"/>
  <c r="HC42"/>
  <c r="HD27" s="1"/>
  <c r="HC43"/>
  <c r="MI21"/>
  <c r="MH22"/>
  <c r="HF50" l="1"/>
  <c r="HF36"/>
  <c r="HD46"/>
  <c r="HE31" s="1"/>
  <c r="HD45"/>
  <c r="HE30" s="1"/>
  <c r="HE32"/>
  <c r="HE48" s="1"/>
  <c r="HD28"/>
  <c r="HD44" s="1"/>
  <c r="HD41"/>
  <c r="HE26" s="1"/>
  <c r="MJ21"/>
  <c r="MI22"/>
  <c r="HE46" l="1"/>
  <c r="HF31" s="1"/>
  <c r="HE47"/>
  <c r="HF32" s="1"/>
  <c r="HE29"/>
  <c r="HE45" s="1"/>
  <c r="HF33"/>
  <c r="HF49" s="1"/>
  <c r="HE40"/>
  <c r="HF25" s="1"/>
  <c r="HD42"/>
  <c r="HE27" s="1"/>
  <c r="HD43"/>
  <c r="MK21"/>
  <c r="MJ22"/>
  <c r="HF48" l="1"/>
  <c r="HG33" s="1"/>
  <c r="HF47"/>
  <c r="HG32" s="1"/>
  <c r="HF30"/>
  <c r="HF46" s="1"/>
  <c r="HG34"/>
  <c r="HE28"/>
  <c r="HE44" s="1"/>
  <c r="HF39"/>
  <c r="HE41"/>
  <c r="HF26" s="1"/>
  <c r="ML21"/>
  <c r="MK22"/>
  <c r="HE42" l="1"/>
  <c r="HF27" s="1"/>
  <c r="HF41" s="1"/>
  <c r="HG26" s="1"/>
  <c r="HE43"/>
  <c r="HF28" s="1"/>
  <c r="HG48"/>
  <c r="HH33" s="1"/>
  <c r="HG49"/>
  <c r="HG50"/>
  <c r="HG36"/>
  <c r="HG31"/>
  <c r="HG47" s="1"/>
  <c r="HF29"/>
  <c r="HF45" s="1"/>
  <c r="HH34"/>
  <c r="HF40"/>
  <c r="HG25" s="1"/>
  <c r="MM21"/>
  <c r="ML22"/>
  <c r="HF42" l="1"/>
  <c r="HG27" s="1"/>
  <c r="HG41" s="1"/>
  <c r="HH26" s="1"/>
  <c r="HF44"/>
  <c r="HG29" s="1"/>
  <c r="HH49"/>
  <c r="HI34" s="1"/>
  <c r="HH50"/>
  <c r="HH36"/>
  <c r="HH32"/>
  <c r="HH48" s="1"/>
  <c r="HG30"/>
  <c r="HG46" s="1"/>
  <c r="HG39"/>
  <c r="HG40"/>
  <c r="HH25" s="1"/>
  <c r="HF43"/>
  <c r="MN21"/>
  <c r="MM22"/>
  <c r="HI50" l="1"/>
  <c r="HI36"/>
  <c r="HG45"/>
  <c r="HH30" s="1"/>
  <c r="HH31"/>
  <c r="HH47" s="1"/>
  <c r="HI33"/>
  <c r="HI49" s="1"/>
  <c r="HG28"/>
  <c r="HH39"/>
  <c r="HH40"/>
  <c r="HI25" s="1"/>
  <c r="MO21"/>
  <c r="MN22"/>
  <c r="HH46" l="1"/>
  <c r="HI31" s="1"/>
  <c r="HJ34"/>
  <c r="HJ36" s="1"/>
  <c r="HI32"/>
  <c r="HI48" s="1"/>
  <c r="HG42"/>
  <c r="HH27" s="1"/>
  <c r="HG43"/>
  <c r="HI39"/>
  <c r="HG44"/>
  <c r="MP21"/>
  <c r="MO22"/>
  <c r="HI47" l="1"/>
  <c r="HJ32" s="1"/>
  <c r="HJ50"/>
  <c r="HH41"/>
  <c r="HI26" s="1"/>
  <c r="HJ33"/>
  <c r="HJ49" s="1"/>
  <c r="HH29"/>
  <c r="HH45" s="1"/>
  <c r="HH28"/>
  <c r="MQ21"/>
  <c r="MP22"/>
  <c r="HH43" l="1"/>
  <c r="HI28" s="1"/>
  <c r="HJ48"/>
  <c r="HK33" s="1"/>
  <c r="HH44"/>
  <c r="HI29" s="1"/>
  <c r="HI30"/>
  <c r="HI46" s="1"/>
  <c r="HK34"/>
  <c r="HI40"/>
  <c r="HJ25" s="1"/>
  <c r="HH42"/>
  <c r="HI27" s="1"/>
  <c r="MR21"/>
  <c r="MQ22"/>
  <c r="HK49" l="1"/>
  <c r="HL34" s="1"/>
  <c r="HK50"/>
  <c r="HK36"/>
  <c r="HI44"/>
  <c r="HJ29" s="1"/>
  <c r="HI43"/>
  <c r="HJ28" s="1"/>
  <c r="HI45"/>
  <c r="HJ30" s="1"/>
  <c r="HJ31"/>
  <c r="HJ47" s="1"/>
  <c r="HJ39"/>
  <c r="HI41"/>
  <c r="HJ26" s="1"/>
  <c r="HI42"/>
  <c r="HJ27" s="1"/>
  <c r="MS21"/>
  <c r="MR22"/>
  <c r="HJ42" l="1"/>
  <c r="HK27" s="1"/>
  <c r="HJ44"/>
  <c r="HK29" s="1"/>
  <c r="HL50"/>
  <c r="HL36"/>
  <c r="HJ46"/>
  <c r="HK31" s="1"/>
  <c r="HJ45"/>
  <c r="HK30" s="1"/>
  <c r="HK32"/>
  <c r="HK48" s="1"/>
  <c r="HJ41"/>
  <c r="HK26" s="1"/>
  <c r="HJ43"/>
  <c r="HJ40"/>
  <c r="HK25" s="1"/>
  <c r="MT21"/>
  <c r="MS22"/>
  <c r="HK46" l="1"/>
  <c r="HL31" s="1"/>
  <c r="HK47"/>
  <c r="HL32" s="1"/>
  <c r="HK45"/>
  <c r="HL30" s="1"/>
  <c r="HL33"/>
  <c r="HL49" s="1"/>
  <c r="HK28"/>
  <c r="HK43" s="1"/>
  <c r="HK41"/>
  <c r="HL26" s="1"/>
  <c r="HK39"/>
  <c r="HK40"/>
  <c r="HL25" s="1"/>
  <c r="MU21"/>
  <c r="MT22"/>
  <c r="HK42" l="1"/>
  <c r="HL27" s="1"/>
  <c r="HL41" s="1"/>
  <c r="HM26" s="1"/>
  <c r="HL47"/>
  <c r="HM32" s="1"/>
  <c r="HL46"/>
  <c r="HM31" s="1"/>
  <c r="HL48"/>
  <c r="HM33" s="1"/>
  <c r="HM34"/>
  <c r="HL28"/>
  <c r="HL40"/>
  <c r="HM25" s="1"/>
  <c r="HL39"/>
  <c r="HK44"/>
  <c r="MV21"/>
  <c r="MU22"/>
  <c r="HM49" l="1"/>
  <c r="HN34" s="1"/>
  <c r="HM50"/>
  <c r="HM36"/>
  <c r="HM48"/>
  <c r="HN33" s="1"/>
  <c r="HM47"/>
  <c r="HN32" s="1"/>
  <c r="HL29"/>
  <c r="HL43" s="1"/>
  <c r="HM39"/>
  <c r="HM40"/>
  <c r="HN25" s="1"/>
  <c r="HL42"/>
  <c r="HM27" s="1"/>
  <c r="MW21"/>
  <c r="MV22"/>
  <c r="HN49" l="1"/>
  <c r="HO34" s="1"/>
  <c r="HN50"/>
  <c r="HN36"/>
  <c r="HL45"/>
  <c r="HM30" s="1"/>
  <c r="HM46" s="1"/>
  <c r="HN48"/>
  <c r="HO33" s="1"/>
  <c r="HN39"/>
  <c r="HM28"/>
  <c r="HM42" s="1"/>
  <c r="HN27" s="1"/>
  <c r="HM41"/>
  <c r="HN26" s="1"/>
  <c r="HL44"/>
  <c r="MX21"/>
  <c r="MW22"/>
  <c r="HO49" l="1"/>
  <c r="HP34" s="1"/>
  <c r="HO50"/>
  <c r="HO36"/>
  <c r="HN31"/>
  <c r="HN47" s="1"/>
  <c r="HM29"/>
  <c r="HN40"/>
  <c r="HO25" s="1"/>
  <c r="HN41"/>
  <c r="HO26" s="1"/>
  <c r="MY21"/>
  <c r="MX22"/>
  <c r="HP50" l="1"/>
  <c r="HP36"/>
  <c r="HO32"/>
  <c r="HO48" s="1"/>
  <c r="HM44"/>
  <c r="HM43"/>
  <c r="HO40"/>
  <c r="HP25" s="1"/>
  <c r="HO39"/>
  <c r="HM45"/>
  <c r="MZ21"/>
  <c r="MY22"/>
  <c r="HP33" l="1"/>
  <c r="HP49" s="1"/>
  <c r="HN30"/>
  <c r="HN46" s="1"/>
  <c r="HP39"/>
  <c r="HN29"/>
  <c r="HN28"/>
  <c r="NA21"/>
  <c r="MZ22"/>
  <c r="HN45" l="1"/>
  <c r="HO30" s="1"/>
  <c r="HN44"/>
  <c r="HO29" s="1"/>
  <c r="HO31"/>
  <c r="HO47" s="1"/>
  <c r="HQ34"/>
  <c r="HN42"/>
  <c r="HO27" s="1"/>
  <c r="HN43"/>
  <c r="NB21"/>
  <c r="NA22"/>
  <c r="HO46" l="1"/>
  <c r="HP31" s="1"/>
  <c r="HQ50"/>
  <c r="HQ36"/>
  <c r="HO45"/>
  <c r="HP30" s="1"/>
  <c r="HP32"/>
  <c r="HP48" s="1"/>
  <c r="HO28"/>
  <c r="HO44" s="1"/>
  <c r="HO41"/>
  <c r="HP26" s="1"/>
  <c r="NC21"/>
  <c r="NB22"/>
  <c r="HP47" l="1"/>
  <c r="HQ32" s="1"/>
  <c r="HP46"/>
  <c r="HQ31" s="1"/>
  <c r="HP29"/>
  <c r="HP45" s="1"/>
  <c r="HQ33"/>
  <c r="HQ49" s="1"/>
  <c r="HP40"/>
  <c r="HQ25" s="1"/>
  <c r="HO42"/>
  <c r="HP27" s="1"/>
  <c r="HO43"/>
  <c r="ND21"/>
  <c r="NC22"/>
  <c r="HQ47" l="1"/>
  <c r="HR32" s="1"/>
  <c r="HQ48"/>
  <c r="HR33" s="1"/>
  <c r="HQ30"/>
  <c r="HQ46" s="1"/>
  <c r="HQ39"/>
  <c r="HR34"/>
  <c r="HR36" s="1"/>
  <c r="HP28"/>
  <c r="HP42" s="1"/>
  <c r="HQ27" s="1"/>
  <c r="HP41"/>
  <c r="HQ26" s="1"/>
  <c r="HQ40" s="1"/>
  <c r="HR25" s="1"/>
  <c r="NE21"/>
  <c r="ND22"/>
  <c r="HR49" l="1"/>
  <c r="HS34" s="1"/>
  <c r="HR48"/>
  <c r="HS33" s="1"/>
  <c r="HP43"/>
  <c r="HQ28" s="1"/>
  <c r="HP44"/>
  <c r="HQ29" s="1"/>
  <c r="HQ45" s="1"/>
  <c r="HR50"/>
  <c r="HR31"/>
  <c r="HR47" s="1"/>
  <c r="HQ41"/>
  <c r="HR26" s="1"/>
  <c r="HR40" s="1"/>
  <c r="HS25" s="1"/>
  <c r="HR39"/>
  <c r="NF21"/>
  <c r="NE22"/>
  <c r="HQ43" l="1"/>
  <c r="HS49"/>
  <c r="HT34" s="1"/>
  <c r="HS50"/>
  <c r="HS36"/>
  <c r="HQ44"/>
  <c r="HR29" s="1"/>
  <c r="HS32"/>
  <c r="HS48" s="1"/>
  <c r="HS39"/>
  <c r="HR30"/>
  <c r="HR46" s="1"/>
  <c r="HR28"/>
  <c r="HQ42"/>
  <c r="HR27" s="1"/>
  <c r="NG21"/>
  <c r="NF22"/>
  <c r="HR42" l="1"/>
  <c r="HS27" s="1"/>
  <c r="HR44"/>
  <c r="HT50"/>
  <c r="HT36"/>
  <c r="HR45"/>
  <c r="HS30" s="1"/>
  <c r="HT33"/>
  <c r="HT49" s="1"/>
  <c r="HS31"/>
  <c r="HS47" s="1"/>
  <c r="HR43"/>
  <c r="HR41"/>
  <c r="HS26" s="1"/>
  <c r="HS29"/>
  <c r="NH21"/>
  <c r="NG22"/>
  <c r="HS45" l="1"/>
  <c r="HT30" s="1"/>
  <c r="HS46"/>
  <c r="HT31" s="1"/>
  <c r="HU34"/>
  <c r="HT32"/>
  <c r="HT48" s="1"/>
  <c r="HS41"/>
  <c r="HT26" s="1"/>
  <c r="HS40"/>
  <c r="HT25" s="1"/>
  <c r="HS28"/>
  <c r="HS43" s="1"/>
  <c r="NI21"/>
  <c r="NH22"/>
  <c r="HT47" l="1"/>
  <c r="HU32" s="1"/>
  <c r="HT46"/>
  <c r="HU31" s="1"/>
  <c r="HU50"/>
  <c r="HU36"/>
  <c r="HS44"/>
  <c r="HT29" s="1"/>
  <c r="HT45" s="1"/>
  <c r="HU33"/>
  <c r="HU49" s="1"/>
  <c r="HT28"/>
  <c r="HT39"/>
  <c r="HT40"/>
  <c r="HU25" s="1"/>
  <c r="HS42"/>
  <c r="HT27" s="1"/>
  <c r="NJ21"/>
  <c r="NI22"/>
  <c r="HT42" l="1"/>
  <c r="HU27" s="1"/>
  <c r="HU47"/>
  <c r="HV32" s="1"/>
  <c r="HT44"/>
  <c r="HU29" s="1"/>
  <c r="HU48"/>
  <c r="HV33" s="1"/>
  <c r="HV34"/>
  <c r="HU39"/>
  <c r="HT43"/>
  <c r="HT41"/>
  <c r="HU26" s="1"/>
  <c r="HU30"/>
  <c r="HU46" s="1"/>
  <c r="NK21"/>
  <c r="NJ22"/>
  <c r="HU41" l="1"/>
  <c r="HV26" s="1"/>
  <c r="HV49"/>
  <c r="HW34" s="1"/>
  <c r="HV48"/>
  <c r="HW33" s="1"/>
  <c r="HU45"/>
  <c r="HV30" s="1"/>
  <c r="HV50"/>
  <c r="HV36"/>
  <c r="HV31"/>
  <c r="HV47" s="1"/>
  <c r="HU28"/>
  <c r="HU43" s="1"/>
  <c r="HU40"/>
  <c r="HV25" s="1"/>
  <c r="NL21"/>
  <c r="NK22"/>
  <c r="HW49" l="1"/>
  <c r="HX34" s="1"/>
  <c r="HU42"/>
  <c r="HV27" s="1"/>
  <c r="HV41" s="1"/>
  <c r="HW26" s="1"/>
  <c r="HV46"/>
  <c r="HW31" s="1"/>
  <c r="HW50"/>
  <c r="HW36"/>
  <c r="HU44"/>
  <c r="HV29" s="1"/>
  <c r="HV45" s="1"/>
  <c r="HW32"/>
  <c r="HW48" s="1"/>
  <c r="HV40"/>
  <c r="HW25" s="1"/>
  <c r="HV39"/>
  <c r="HV28"/>
  <c r="NM21"/>
  <c r="NL22"/>
  <c r="HV44" l="1"/>
  <c r="HW29" s="1"/>
  <c r="HV42"/>
  <c r="HW27" s="1"/>
  <c r="HW41" s="1"/>
  <c r="HX26" s="1"/>
  <c r="HV43"/>
  <c r="HW28" s="1"/>
  <c r="HX50"/>
  <c r="HX36"/>
  <c r="HW47"/>
  <c r="HX32" s="1"/>
  <c r="HX33"/>
  <c r="HX49" s="1"/>
  <c r="HW40"/>
  <c r="HX25" s="1"/>
  <c r="HW39"/>
  <c r="HW30"/>
  <c r="HW46" s="1"/>
  <c r="NN21"/>
  <c r="NM22"/>
  <c r="HW44" l="1"/>
  <c r="HX29" s="1"/>
  <c r="HW43"/>
  <c r="HX28" s="1"/>
  <c r="HW45"/>
  <c r="HX30" s="1"/>
  <c r="HX48"/>
  <c r="HY33" s="1"/>
  <c r="HY34"/>
  <c r="HX40"/>
  <c r="HY25" s="1"/>
  <c r="HX39"/>
  <c r="HW42"/>
  <c r="HX27" s="1"/>
  <c r="HX31"/>
  <c r="HX47" s="1"/>
  <c r="NO21"/>
  <c r="NN22"/>
  <c r="HX44" l="1"/>
  <c r="HY29" s="1"/>
  <c r="HY49"/>
  <c r="HZ34" s="1"/>
  <c r="HY50"/>
  <c r="HY36"/>
  <c r="HX43"/>
  <c r="HY28" s="1"/>
  <c r="HX46"/>
  <c r="HY31" s="1"/>
  <c r="HX45"/>
  <c r="HY30" s="1"/>
  <c r="HY32"/>
  <c r="HY48" s="1"/>
  <c r="HX42"/>
  <c r="HY27" s="1"/>
  <c r="HX41"/>
  <c r="HY26" s="1"/>
  <c r="HY39"/>
  <c r="NP21"/>
  <c r="NO22"/>
  <c r="HY47" l="1"/>
  <c r="HZ32" s="1"/>
  <c r="HY42"/>
  <c r="HZ27" s="1"/>
  <c r="HZ50"/>
  <c r="HZ36"/>
  <c r="HY46"/>
  <c r="HZ31" s="1"/>
  <c r="HY44"/>
  <c r="HZ29" s="1"/>
  <c r="HY45"/>
  <c r="HZ30" s="1"/>
  <c r="HZ33"/>
  <c r="HZ49" s="1"/>
  <c r="HY40"/>
  <c r="HZ25" s="1"/>
  <c r="HY41"/>
  <c r="HZ26" s="1"/>
  <c r="HY43"/>
  <c r="NQ21"/>
  <c r="NP22"/>
  <c r="HZ47" l="1"/>
  <c r="IA32" s="1"/>
  <c r="HZ48"/>
  <c r="IA33" s="1"/>
  <c r="HZ45"/>
  <c r="IA30" s="1"/>
  <c r="HZ46"/>
  <c r="IA31" s="1"/>
  <c r="IA34"/>
  <c r="HZ28"/>
  <c r="HZ43" s="1"/>
  <c r="HZ41"/>
  <c r="IA26" s="1"/>
  <c r="HZ39"/>
  <c r="HZ40"/>
  <c r="IA25" s="1"/>
  <c r="NR21"/>
  <c r="NQ22"/>
  <c r="HZ42" l="1"/>
  <c r="IA27" s="1"/>
  <c r="IA41" s="1"/>
  <c r="IB26" s="1"/>
  <c r="IA49"/>
  <c r="IB34" s="1"/>
  <c r="IA50"/>
  <c r="IA36"/>
  <c r="IA46"/>
  <c r="IB31" s="1"/>
  <c r="IA48"/>
  <c r="IB33" s="1"/>
  <c r="IA47"/>
  <c r="IB32" s="1"/>
  <c r="IA39"/>
  <c r="IA40"/>
  <c r="IB25" s="1"/>
  <c r="HZ44"/>
  <c r="IA28"/>
  <c r="NS21"/>
  <c r="NR22"/>
  <c r="IA42" l="1"/>
  <c r="IB27" s="1"/>
  <c r="IB41" s="1"/>
  <c r="IC26" s="1"/>
  <c r="IB49"/>
  <c r="IC34" s="1"/>
  <c r="IB50"/>
  <c r="IB36"/>
  <c r="IB47"/>
  <c r="IC32" s="1"/>
  <c r="IB48"/>
  <c r="IC33" s="1"/>
  <c r="IA29"/>
  <c r="IA45" s="1"/>
  <c r="IB39"/>
  <c r="IB40"/>
  <c r="IC25" s="1"/>
  <c r="NT21"/>
  <c r="NS22"/>
  <c r="IA43" l="1"/>
  <c r="IB28" s="1"/>
  <c r="IC49"/>
  <c r="ID34" s="1"/>
  <c r="ID36" s="1"/>
  <c r="IC50"/>
  <c r="IC36"/>
  <c r="IA44"/>
  <c r="IB29" s="1"/>
  <c r="IC48"/>
  <c r="ID33" s="1"/>
  <c r="IB30"/>
  <c r="IB46" s="1"/>
  <c r="IC39"/>
  <c r="IC40"/>
  <c r="ID25" s="1"/>
  <c r="NU21"/>
  <c r="NT22"/>
  <c r="ID50" l="1"/>
  <c r="IB45"/>
  <c r="IC30" s="1"/>
  <c r="ID49"/>
  <c r="IE34" s="1"/>
  <c r="IB43"/>
  <c r="IB42"/>
  <c r="IC27" s="1"/>
  <c r="IC31"/>
  <c r="IC47" s="1"/>
  <c r="ID39"/>
  <c r="IB44"/>
  <c r="NV21"/>
  <c r="NU22"/>
  <c r="IC46" l="1"/>
  <c r="ID31" s="1"/>
  <c r="IE50"/>
  <c r="IE36"/>
  <c r="ID32"/>
  <c r="ID48" s="1"/>
  <c r="IC28"/>
  <c r="IC29"/>
  <c r="IC45" s="1"/>
  <c r="IC41"/>
  <c r="ID26" s="1"/>
  <c r="NW21"/>
  <c r="NV22"/>
  <c r="IC44" l="1"/>
  <c r="ID29" s="1"/>
  <c r="ID47"/>
  <c r="IE32" s="1"/>
  <c r="IC42"/>
  <c r="ID27" s="1"/>
  <c r="ID41" s="1"/>
  <c r="IE26" s="1"/>
  <c r="IC43"/>
  <c r="ID28" s="1"/>
  <c r="IE33"/>
  <c r="IE49" s="1"/>
  <c r="ID30"/>
  <c r="ID46" s="1"/>
  <c r="ID40"/>
  <c r="IE25" s="1"/>
  <c r="NX21"/>
  <c r="NW22"/>
  <c r="IE48" l="1"/>
  <c r="IF33" s="1"/>
  <c r="ID43"/>
  <c r="IE28" s="1"/>
  <c r="ID42"/>
  <c r="IE27" s="1"/>
  <c r="IE41" s="1"/>
  <c r="IF26" s="1"/>
  <c r="ID44"/>
  <c r="IE29" s="1"/>
  <c r="ID45"/>
  <c r="IE30" s="1"/>
  <c r="IF34"/>
  <c r="IE31"/>
  <c r="IE47" s="1"/>
  <c r="IE40"/>
  <c r="IF25" s="1"/>
  <c r="IE39"/>
  <c r="NY21"/>
  <c r="NX22"/>
  <c r="IE46" l="1"/>
  <c r="IF31" s="1"/>
  <c r="IE42"/>
  <c r="IF27" s="1"/>
  <c r="IF41" s="1"/>
  <c r="IG26" s="1"/>
  <c r="IE43"/>
  <c r="IF28" s="1"/>
  <c r="IF50"/>
  <c r="IF36"/>
  <c r="IE44"/>
  <c r="IF29" s="1"/>
  <c r="IF49"/>
  <c r="IE45"/>
  <c r="IF30" s="1"/>
  <c r="IF32"/>
  <c r="IF48" s="1"/>
  <c r="IG34"/>
  <c r="IG36" s="1"/>
  <c r="IF40"/>
  <c r="IG25" s="1"/>
  <c r="IF39"/>
  <c r="NZ21"/>
  <c r="NY22"/>
  <c r="IF46" l="1"/>
  <c r="IG31" s="1"/>
  <c r="IF42"/>
  <c r="IG27" s="1"/>
  <c r="IG41" s="1"/>
  <c r="IH26" s="1"/>
  <c r="IF47"/>
  <c r="IG32" s="1"/>
  <c r="IG50"/>
  <c r="IF45"/>
  <c r="IG30" s="1"/>
  <c r="IF43"/>
  <c r="IG28" s="1"/>
  <c r="IF44"/>
  <c r="IG29" s="1"/>
  <c r="IG33"/>
  <c r="IG49" s="1"/>
  <c r="IG39"/>
  <c r="IG40"/>
  <c r="IH25" s="1"/>
  <c r="OA21"/>
  <c r="NZ22"/>
  <c r="IG46" l="1"/>
  <c r="IH31" s="1"/>
  <c r="IG47"/>
  <c r="IH32" s="1"/>
  <c r="IG45"/>
  <c r="IH30" s="1"/>
  <c r="IG42"/>
  <c r="IH27" s="1"/>
  <c r="IH41" s="1"/>
  <c r="II26" s="1"/>
  <c r="IG43"/>
  <c r="IH28" s="1"/>
  <c r="IG44"/>
  <c r="IH29" s="1"/>
  <c r="IG48"/>
  <c r="IH33" s="1"/>
  <c r="IH39"/>
  <c r="IH40"/>
  <c r="II25" s="1"/>
  <c r="IH34"/>
  <c r="OB21"/>
  <c r="OA22"/>
  <c r="IH45" l="1"/>
  <c r="II30" s="1"/>
  <c r="IH48"/>
  <c r="II33" s="1"/>
  <c r="IH42"/>
  <c r="II27" s="1"/>
  <c r="II41" s="1"/>
  <c r="IJ26" s="1"/>
  <c r="IH49"/>
  <c r="II34" s="1"/>
  <c r="IH50"/>
  <c r="IH36"/>
  <c r="IH47"/>
  <c r="II32" s="1"/>
  <c r="IH46"/>
  <c r="II31" s="1"/>
  <c r="IH43"/>
  <c r="II28" s="1"/>
  <c r="IH44"/>
  <c r="II39"/>
  <c r="II40"/>
  <c r="IJ25" s="1"/>
  <c r="OC21"/>
  <c r="OB22"/>
  <c r="II42" l="1"/>
  <c r="IJ27" s="1"/>
  <c r="IJ41" s="1"/>
  <c r="IK26" s="1"/>
  <c r="II48"/>
  <c r="IJ33" s="1"/>
  <c r="II36"/>
  <c r="II50"/>
  <c r="II49"/>
  <c r="IJ34" s="1"/>
  <c r="II46"/>
  <c r="IJ31" s="1"/>
  <c r="II47"/>
  <c r="IJ32" s="1"/>
  <c r="IJ39"/>
  <c r="IJ40"/>
  <c r="IK25" s="1"/>
  <c r="II29"/>
  <c r="II45" s="1"/>
  <c r="OD21"/>
  <c r="OC22"/>
  <c r="IJ47" l="1"/>
  <c r="IK32" s="1"/>
  <c r="IJ49"/>
  <c r="IK34" s="1"/>
  <c r="IK36" s="1"/>
  <c r="IJ50"/>
  <c r="IJ36"/>
  <c r="IJ48"/>
  <c r="IK33" s="1"/>
  <c r="IJ30"/>
  <c r="IJ46" s="1"/>
  <c r="II44"/>
  <c r="II43"/>
  <c r="IK40"/>
  <c r="IL25" s="1"/>
  <c r="IK39"/>
  <c r="OE21"/>
  <c r="OD22"/>
  <c r="IK48" l="1"/>
  <c r="IL33" s="1"/>
  <c r="IK49"/>
  <c r="IL34" s="1"/>
  <c r="IK50"/>
  <c r="IK31"/>
  <c r="IK47" s="1"/>
  <c r="IL39"/>
  <c r="IJ28"/>
  <c r="IJ29"/>
  <c r="IJ45" s="1"/>
  <c r="OF21"/>
  <c r="OE22"/>
  <c r="IL50" l="1"/>
  <c r="IL36"/>
  <c r="IL49"/>
  <c r="IM34" s="1"/>
  <c r="IM36" s="1"/>
  <c r="IK30"/>
  <c r="IK46" s="1"/>
  <c r="IL32"/>
  <c r="IL48" s="1"/>
  <c r="IJ42"/>
  <c r="IK27" s="1"/>
  <c r="IJ43"/>
  <c r="IJ44"/>
  <c r="OG21"/>
  <c r="OF22"/>
  <c r="IM50" l="1"/>
  <c r="IK41"/>
  <c r="IL26" s="1"/>
  <c r="IM33"/>
  <c r="IM49" s="1"/>
  <c r="IL31"/>
  <c r="IL47" s="1"/>
  <c r="IK29"/>
  <c r="IK45" s="1"/>
  <c r="IK28"/>
  <c r="OH21"/>
  <c r="OG22"/>
  <c r="IK44" l="1"/>
  <c r="IL29" s="1"/>
  <c r="IM32"/>
  <c r="IM48" s="1"/>
  <c r="IL30"/>
  <c r="IL46" s="1"/>
  <c r="IN34"/>
  <c r="IN36" s="1"/>
  <c r="IK42"/>
  <c r="IL27" s="1"/>
  <c r="IL41" s="1"/>
  <c r="IM26" s="1"/>
  <c r="IK43"/>
  <c r="IL40"/>
  <c r="IM25" s="1"/>
  <c r="OI21"/>
  <c r="OH22"/>
  <c r="IL45" l="1"/>
  <c r="IM30" s="1"/>
  <c r="IN50"/>
  <c r="IN33"/>
  <c r="IN49" s="1"/>
  <c r="IM31"/>
  <c r="IM47" s="1"/>
  <c r="IM40"/>
  <c r="IN25" s="1"/>
  <c r="IM39"/>
  <c r="IL28"/>
  <c r="IL42" s="1"/>
  <c r="IM27" s="1"/>
  <c r="OJ21"/>
  <c r="OI22"/>
  <c r="IM46" l="1"/>
  <c r="IN31" s="1"/>
  <c r="IO34"/>
  <c r="IO36" s="1"/>
  <c r="IN32"/>
  <c r="IN48" s="1"/>
  <c r="IM41"/>
  <c r="IN26" s="1"/>
  <c r="IN40" s="1"/>
  <c r="IO25" s="1"/>
  <c r="IN39"/>
  <c r="IL44"/>
  <c r="IL43"/>
  <c r="OK21"/>
  <c r="OJ22"/>
  <c r="IN47" l="1"/>
  <c r="IO32" s="1"/>
  <c r="IO50"/>
  <c r="IM29"/>
  <c r="IM45" s="1"/>
  <c r="IO33"/>
  <c r="IO49" s="1"/>
  <c r="IM28"/>
  <c r="IO39"/>
  <c r="OL21"/>
  <c r="OK22"/>
  <c r="IM44" l="1"/>
  <c r="IN29" s="1"/>
  <c r="IO48"/>
  <c r="IP33" s="1"/>
  <c r="IN30"/>
  <c r="IN46" s="1"/>
  <c r="IP34"/>
  <c r="IP36" s="1"/>
  <c r="IM43"/>
  <c r="IM42"/>
  <c r="IN27" s="1"/>
  <c r="OM21"/>
  <c r="OL22"/>
  <c r="IP49" l="1"/>
  <c r="IQ34" s="1"/>
  <c r="IN45"/>
  <c r="IO30" s="1"/>
  <c r="IP50"/>
  <c r="IO31"/>
  <c r="IO47" s="1"/>
  <c r="IN28"/>
  <c r="IN44" s="1"/>
  <c r="IN41"/>
  <c r="IO26" s="1"/>
  <c r="ON21"/>
  <c r="OM22"/>
  <c r="IN42" l="1"/>
  <c r="IO27" s="1"/>
  <c r="IO41" s="1"/>
  <c r="IP26" s="1"/>
  <c r="IN43"/>
  <c r="IO28" s="1"/>
  <c r="IO46"/>
  <c r="IP31" s="1"/>
  <c r="IQ50"/>
  <c r="IQ36"/>
  <c r="IP32"/>
  <c r="IP48" s="1"/>
  <c r="IO29"/>
  <c r="IO45" s="1"/>
  <c r="IO40"/>
  <c r="IP25" s="1"/>
  <c r="OO21"/>
  <c r="ON22"/>
  <c r="IO44" l="1"/>
  <c r="IP29" s="1"/>
  <c r="IO42"/>
  <c r="IP27" s="1"/>
  <c r="IP41" s="1"/>
  <c r="IQ26" s="1"/>
  <c r="IP47"/>
  <c r="IQ32" s="1"/>
  <c r="IO43"/>
  <c r="IP28" s="1"/>
  <c r="IQ33"/>
  <c r="IQ49" s="1"/>
  <c r="IP30"/>
  <c r="IP46" s="1"/>
  <c r="IP40"/>
  <c r="IQ25" s="1"/>
  <c r="IP39"/>
  <c r="OP21"/>
  <c r="OO22"/>
  <c r="IQ48" l="1"/>
  <c r="IR33" s="1"/>
  <c r="IP42"/>
  <c r="IQ27" s="1"/>
  <c r="IQ41" s="1"/>
  <c r="IR26" s="1"/>
  <c r="IP45"/>
  <c r="IQ30" s="1"/>
  <c r="IP43"/>
  <c r="IQ28" s="1"/>
  <c r="IP44"/>
  <c r="IQ29" s="1"/>
  <c r="IR34"/>
  <c r="IQ31"/>
  <c r="IQ47" s="1"/>
  <c r="IQ40"/>
  <c r="IR25" s="1"/>
  <c r="IQ39"/>
  <c r="OQ21"/>
  <c r="OP22"/>
  <c r="IQ42" l="1"/>
  <c r="IR27" s="1"/>
  <c r="IR41" s="1"/>
  <c r="IS26" s="1"/>
  <c r="IR49"/>
  <c r="IS34" s="1"/>
  <c r="IQ45"/>
  <c r="IR30" s="1"/>
  <c r="IQ44"/>
  <c r="IR29" s="1"/>
  <c r="IQ46"/>
  <c r="IR31" s="1"/>
  <c r="IR50"/>
  <c r="IR36"/>
  <c r="IR40"/>
  <c r="IS25" s="1"/>
  <c r="IR39"/>
  <c r="IR32"/>
  <c r="IR48" s="1"/>
  <c r="IQ43"/>
  <c r="OR21"/>
  <c r="OQ22"/>
  <c r="IR47" l="1"/>
  <c r="IS32" s="1"/>
  <c r="IS50"/>
  <c r="IS36"/>
  <c r="IR45"/>
  <c r="IS30" s="1"/>
  <c r="IS33"/>
  <c r="IS49" s="1"/>
  <c r="IR46"/>
  <c r="IR28"/>
  <c r="IR44" s="1"/>
  <c r="IS40"/>
  <c r="IT25" s="1"/>
  <c r="IS39"/>
  <c r="OS21"/>
  <c r="OR22"/>
  <c r="IS48" l="1"/>
  <c r="IT33" s="1"/>
  <c r="IS29"/>
  <c r="IT34"/>
  <c r="IT39"/>
  <c r="IR42"/>
  <c r="IS27" s="1"/>
  <c r="IR43"/>
  <c r="IS31"/>
  <c r="IS46" s="1"/>
  <c r="OT21"/>
  <c r="OS22"/>
  <c r="IT49" l="1"/>
  <c r="IU34" s="1"/>
  <c r="IU36" s="1"/>
  <c r="IT50"/>
  <c r="IT36"/>
  <c r="IS47"/>
  <c r="IT32" s="1"/>
  <c r="IS45"/>
  <c r="IT30" s="1"/>
  <c r="IT31"/>
  <c r="IS41"/>
  <c r="IT26" s="1"/>
  <c r="IS28"/>
  <c r="IS42" s="1"/>
  <c r="IT27" s="1"/>
  <c r="OU21"/>
  <c r="OT22"/>
  <c r="IT47" l="1"/>
  <c r="IU32" s="1"/>
  <c r="IT46"/>
  <c r="IU31" s="1"/>
  <c r="IT48"/>
  <c r="IU33" s="1"/>
  <c r="IU50"/>
  <c r="IT40"/>
  <c r="IU25" s="1"/>
  <c r="IT41"/>
  <c r="IU26" s="1"/>
  <c r="IS43"/>
  <c r="IS44"/>
  <c r="OV21"/>
  <c r="OU22"/>
  <c r="IU47" l="1"/>
  <c r="IV32" s="1"/>
  <c r="IU49"/>
  <c r="IV34" s="1"/>
  <c r="IU39"/>
  <c r="IU40"/>
  <c r="IV25" s="1"/>
  <c r="IU48"/>
  <c r="IT28"/>
  <c r="IT29"/>
  <c r="IT45" s="1"/>
  <c r="OW21"/>
  <c r="OV22"/>
  <c r="IT44" l="1"/>
  <c r="IU29" s="1"/>
  <c r="IV50"/>
  <c r="IV36"/>
  <c r="IU30"/>
  <c r="IU46" s="1"/>
  <c r="IV39"/>
  <c r="IT42"/>
  <c r="IU27" s="1"/>
  <c r="IT43"/>
  <c r="IV33"/>
  <c r="IV48" s="1"/>
  <c r="OX21"/>
  <c r="OW22"/>
  <c r="IV49" l="1"/>
  <c r="IW34" s="1"/>
  <c r="IU45"/>
  <c r="IV30" s="1"/>
  <c r="IV31"/>
  <c r="IV47" s="1"/>
  <c r="IW33"/>
  <c r="IU41"/>
  <c r="IU28"/>
  <c r="IU42" s="1"/>
  <c r="OY21"/>
  <c r="OX22"/>
  <c r="IV46" l="1"/>
  <c r="IW31" s="1"/>
  <c r="IW50"/>
  <c r="IW36"/>
  <c r="IW32"/>
  <c r="IW48" s="1"/>
  <c r="IV27"/>
  <c r="IV26"/>
  <c r="IU43"/>
  <c r="IW49"/>
  <c r="IU44"/>
  <c r="OZ21"/>
  <c r="OY22"/>
  <c r="IW47" l="1"/>
  <c r="IX32" s="1"/>
  <c r="IX33"/>
  <c r="IV29"/>
  <c r="IV45" s="1"/>
  <c r="IV28"/>
  <c r="IX34"/>
  <c r="IX36" s="1"/>
  <c r="IV40"/>
  <c r="IW25" s="1"/>
  <c r="IV41"/>
  <c r="PA21"/>
  <c r="OZ22"/>
  <c r="IX48" l="1"/>
  <c r="IY33" s="1"/>
  <c r="IV44"/>
  <c r="IW29" s="1"/>
  <c r="IX50"/>
  <c r="IX49"/>
  <c r="IY34" s="1"/>
  <c r="IW30"/>
  <c r="IW46" s="1"/>
  <c r="IW39"/>
  <c r="IW26"/>
  <c r="IW40" s="1"/>
  <c r="IX25" s="1"/>
  <c r="IV43"/>
  <c r="IV42"/>
  <c r="PB21"/>
  <c r="PA22"/>
  <c r="IW45" l="1"/>
  <c r="IX30" s="1"/>
  <c r="IY49"/>
  <c r="IZ34" s="1"/>
  <c r="IY50"/>
  <c r="IY36"/>
  <c r="IX39"/>
  <c r="IX31"/>
  <c r="IX47" s="1"/>
  <c r="IW27"/>
  <c r="IW41" s="1"/>
  <c r="IW28"/>
  <c r="IW44" s="1"/>
  <c r="PC21"/>
  <c r="PB22"/>
  <c r="IW42" l="1"/>
  <c r="IW43"/>
  <c r="IX28" s="1"/>
  <c r="IX46"/>
  <c r="IY31" s="1"/>
  <c r="IZ50"/>
  <c r="IZ36"/>
  <c r="IX26"/>
  <c r="IY32"/>
  <c r="IY48" s="1"/>
  <c r="IX29"/>
  <c r="IX45" s="1"/>
  <c r="IX27"/>
  <c r="PD21"/>
  <c r="PC22"/>
  <c r="IX44" l="1"/>
  <c r="IY29" s="1"/>
  <c r="IX42"/>
  <c r="IY27" s="1"/>
  <c r="IX43"/>
  <c r="IY28" s="1"/>
  <c r="IY47"/>
  <c r="IZ32" s="1"/>
  <c r="IY30"/>
  <c r="IY46" s="1"/>
  <c r="IZ33"/>
  <c r="IZ49" s="1"/>
  <c r="IX41"/>
  <c r="IX40"/>
  <c r="IY25" s="1"/>
  <c r="PE21"/>
  <c r="PD22"/>
  <c r="IY45" l="1"/>
  <c r="IZ30" s="1"/>
  <c r="IY43"/>
  <c r="IZ28" s="1"/>
  <c r="IY44"/>
  <c r="IZ29" s="1"/>
  <c r="IZ48"/>
  <c r="JA33" s="1"/>
  <c r="IY26"/>
  <c r="IY42" s="1"/>
  <c r="JA34"/>
  <c r="JA36" s="1"/>
  <c r="IZ31"/>
  <c r="IZ47" s="1"/>
  <c r="IY39"/>
  <c r="PF21"/>
  <c r="PE22"/>
  <c r="IZ45" l="1"/>
  <c r="JA30" s="1"/>
  <c r="JA49"/>
  <c r="JB34" s="1"/>
  <c r="IZ46"/>
  <c r="JA31" s="1"/>
  <c r="JA50"/>
  <c r="IY40"/>
  <c r="IZ25" s="1"/>
  <c r="IZ39" s="1"/>
  <c r="IY41"/>
  <c r="IZ26" s="1"/>
  <c r="IZ44"/>
  <c r="JA29" s="1"/>
  <c r="JA32"/>
  <c r="JA48" s="1"/>
  <c r="IZ27"/>
  <c r="IZ43" s="1"/>
  <c r="PG21"/>
  <c r="PF22"/>
  <c r="JA47" l="1"/>
  <c r="IZ41"/>
  <c r="JA26" s="1"/>
  <c r="JA45"/>
  <c r="JB30" s="1"/>
  <c r="JB50"/>
  <c r="JB36"/>
  <c r="JA46"/>
  <c r="JB31" s="1"/>
  <c r="JB33"/>
  <c r="JB49" s="1"/>
  <c r="JA28"/>
  <c r="JA44" s="1"/>
  <c r="JB32"/>
  <c r="IZ40"/>
  <c r="JA25" s="1"/>
  <c r="IZ42"/>
  <c r="PH21"/>
  <c r="PG22"/>
  <c r="JB48" l="1"/>
  <c r="JC33" s="1"/>
  <c r="JB46"/>
  <c r="JC31" s="1"/>
  <c r="JC34"/>
  <c r="JB29"/>
  <c r="JB45" s="1"/>
  <c r="JB47"/>
  <c r="JA40"/>
  <c r="JB25" s="1"/>
  <c r="JA39"/>
  <c r="JA27"/>
  <c r="JA42" s="1"/>
  <c r="PI21"/>
  <c r="PH22"/>
  <c r="JC49" l="1"/>
  <c r="JD34" s="1"/>
  <c r="JC50"/>
  <c r="JC36"/>
  <c r="JA43"/>
  <c r="JB28" s="1"/>
  <c r="JB44" s="1"/>
  <c r="JB39"/>
  <c r="JC32"/>
  <c r="JC47" s="1"/>
  <c r="JC30"/>
  <c r="JB27"/>
  <c r="JA41"/>
  <c r="PJ21"/>
  <c r="PI22"/>
  <c r="JB43" l="1"/>
  <c r="JC28" s="1"/>
  <c r="JC46"/>
  <c r="JD31" s="1"/>
  <c r="JD50"/>
  <c r="JD36"/>
  <c r="JC29"/>
  <c r="JC45" s="1"/>
  <c r="JD32"/>
  <c r="JB26"/>
  <c r="JB42" s="1"/>
  <c r="JC48"/>
  <c r="PK21"/>
  <c r="PJ22"/>
  <c r="JC44" l="1"/>
  <c r="JD29" s="1"/>
  <c r="JD30"/>
  <c r="JD46" s="1"/>
  <c r="JC27"/>
  <c r="JC43" s="1"/>
  <c r="JD33"/>
  <c r="JD48" s="1"/>
  <c r="JB41"/>
  <c r="JB40"/>
  <c r="JC25" s="1"/>
  <c r="PL21"/>
  <c r="PK22"/>
  <c r="JD45" l="1"/>
  <c r="JE30" s="1"/>
  <c r="JD49"/>
  <c r="JE34" s="1"/>
  <c r="JE36" s="1"/>
  <c r="JE33"/>
  <c r="JE31"/>
  <c r="JD28"/>
  <c r="JD44" s="1"/>
  <c r="JD47"/>
  <c r="JC26"/>
  <c r="JC42" s="1"/>
  <c r="JC39"/>
  <c r="PM21"/>
  <c r="PL22"/>
  <c r="JE49" l="1"/>
  <c r="JF34" s="1"/>
  <c r="JF36" s="1"/>
  <c r="JE50"/>
  <c r="JD27"/>
  <c r="JD43" s="1"/>
  <c r="JE32"/>
  <c r="JE48" s="1"/>
  <c r="JE29"/>
  <c r="JE45" s="1"/>
  <c r="JC40"/>
  <c r="JD25" s="1"/>
  <c r="JC41"/>
  <c r="PN21"/>
  <c r="PM22"/>
  <c r="JF50" l="1"/>
  <c r="JE28"/>
  <c r="JE44" s="1"/>
  <c r="JF30"/>
  <c r="JF33"/>
  <c r="JF49" s="1"/>
  <c r="JD39"/>
  <c r="JD26"/>
  <c r="JD42" s="1"/>
  <c r="JE47"/>
  <c r="JE46"/>
  <c r="PO21"/>
  <c r="PN22"/>
  <c r="JF29" l="1"/>
  <c r="JE27"/>
  <c r="JE43" s="1"/>
  <c r="JG34"/>
  <c r="JG36" s="1"/>
  <c r="JF31"/>
  <c r="JD40"/>
  <c r="JE25" s="1"/>
  <c r="JD41"/>
  <c r="JF32"/>
  <c r="JF48" s="1"/>
  <c r="PP21"/>
  <c r="PO22"/>
  <c r="JF47" l="1"/>
  <c r="JG32" s="1"/>
  <c r="JG50"/>
  <c r="JF45"/>
  <c r="JG30" s="1"/>
  <c r="JG33"/>
  <c r="JG49" s="1"/>
  <c r="JE26"/>
  <c r="JE42" s="1"/>
  <c r="JF28"/>
  <c r="JF44" s="1"/>
  <c r="JF46"/>
  <c r="JE39"/>
  <c r="PQ21"/>
  <c r="PP22"/>
  <c r="JG48" l="1"/>
  <c r="JH33" s="1"/>
  <c r="JE40"/>
  <c r="JF25" s="1"/>
  <c r="JF39" s="1"/>
  <c r="JE41"/>
  <c r="JF26" s="1"/>
  <c r="JG31"/>
  <c r="JG47" s="1"/>
  <c r="JG29"/>
  <c r="JF27"/>
  <c r="JF43" s="1"/>
  <c r="JH34"/>
  <c r="PR21"/>
  <c r="PQ22"/>
  <c r="JF42" l="1"/>
  <c r="JG27" s="1"/>
  <c r="JF40"/>
  <c r="JG25" s="1"/>
  <c r="JG39" s="1"/>
  <c r="JF41"/>
  <c r="JG26" s="1"/>
  <c r="JH49"/>
  <c r="JI34" s="1"/>
  <c r="JG45"/>
  <c r="JH30" s="1"/>
  <c r="JH50"/>
  <c r="JH36"/>
  <c r="JG28"/>
  <c r="JG44" s="1"/>
  <c r="JH32"/>
  <c r="JH48" s="1"/>
  <c r="JG46"/>
  <c r="PS21"/>
  <c r="PR22"/>
  <c r="JG42" l="1"/>
  <c r="JH27" s="1"/>
  <c r="JG40"/>
  <c r="JH25" s="1"/>
  <c r="JH39" s="1"/>
  <c r="JG43"/>
  <c r="JG41"/>
  <c r="JI36"/>
  <c r="JI50"/>
  <c r="JH31"/>
  <c r="JH46" s="1"/>
  <c r="JI33"/>
  <c r="JI49" s="1"/>
  <c r="JH29"/>
  <c r="JH28"/>
  <c r="JH26"/>
  <c r="PT21"/>
  <c r="PS22"/>
  <c r="JH40" l="1"/>
  <c r="JI25" s="1"/>
  <c r="JI39" s="1"/>
  <c r="JH42"/>
  <c r="JI27" s="1"/>
  <c r="JH45"/>
  <c r="JI30" s="1"/>
  <c r="JH43"/>
  <c r="JI28" s="1"/>
  <c r="JH41"/>
  <c r="JI26" s="1"/>
  <c r="JH44"/>
  <c r="JI29" s="1"/>
  <c r="JJ34"/>
  <c r="JJ36" s="1"/>
  <c r="JH47"/>
  <c r="JI31"/>
  <c r="PU21"/>
  <c r="PT22"/>
  <c r="JI43" l="1"/>
  <c r="JJ28" s="1"/>
  <c r="JI42"/>
  <c r="JJ27" s="1"/>
  <c r="JI41"/>
  <c r="JJ26" s="1"/>
  <c r="JI40"/>
  <c r="JJ25" s="1"/>
  <c r="JI44"/>
  <c r="JJ29" s="1"/>
  <c r="JI45"/>
  <c r="JJ30" s="1"/>
  <c r="JJ50"/>
  <c r="JI32"/>
  <c r="JI47" s="1"/>
  <c r="PV21"/>
  <c r="PU22"/>
  <c r="JJ42" l="1"/>
  <c r="JJ40"/>
  <c r="JK25" s="1"/>
  <c r="JK39" s="1"/>
  <c r="JJ39"/>
  <c r="JJ41"/>
  <c r="JK26" s="1"/>
  <c r="JJ44"/>
  <c r="JK29" s="1"/>
  <c r="JI46"/>
  <c r="JJ31" s="1"/>
  <c r="JJ43"/>
  <c r="JK28" s="1"/>
  <c r="JI48"/>
  <c r="JJ33" s="1"/>
  <c r="JJ49" s="1"/>
  <c r="JK27"/>
  <c r="JJ32"/>
  <c r="PW21"/>
  <c r="PV22"/>
  <c r="JK40" l="1"/>
  <c r="JL25" s="1"/>
  <c r="JL39" s="1"/>
  <c r="JK42"/>
  <c r="JL27" s="1"/>
  <c r="JK41"/>
  <c r="JL26" s="1"/>
  <c r="JJ48"/>
  <c r="JK33" s="1"/>
  <c r="JK43"/>
  <c r="JL28" s="1"/>
  <c r="JK34"/>
  <c r="JJ46"/>
  <c r="JJ45"/>
  <c r="JJ47"/>
  <c r="PX21"/>
  <c r="PW22"/>
  <c r="JK50" l="1"/>
  <c r="JK36"/>
  <c r="JL41"/>
  <c r="JM26" s="1"/>
  <c r="JK49"/>
  <c r="JL34" s="1"/>
  <c r="JK30"/>
  <c r="JL40"/>
  <c r="JM25" s="1"/>
  <c r="JK32"/>
  <c r="JK48" s="1"/>
  <c r="JK31"/>
  <c r="JL42"/>
  <c r="PY21"/>
  <c r="PX22"/>
  <c r="JL50" l="1"/>
  <c r="JL36"/>
  <c r="JK47"/>
  <c r="JL32" s="1"/>
  <c r="JL33"/>
  <c r="JL49" s="1"/>
  <c r="JM39"/>
  <c r="JM40"/>
  <c r="JN25" s="1"/>
  <c r="JM27"/>
  <c r="JK45"/>
  <c r="JK44"/>
  <c r="JK46"/>
  <c r="PZ21"/>
  <c r="PY22"/>
  <c r="JL48" l="1"/>
  <c r="JM33" s="1"/>
  <c r="JM34"/>
  <c r="JM41"/>
  <c r="JN26" s="1"/>
  <c r="JN40" s="1"/>
  <c r="JO25" s="1"/>
  <c r="JL29"/>
  <c r="JL31"/>
  <c r="JL47" s="1"/>
  <c r="JL30"/>
  <c r="JN39"/>
  <c r="QA21"/>
  <c r="PZ22"/>
  <c r="JM49" l="1"/>
  <c r="JN34" s="1"/>
  <c r="JN36" s="1"/>
  <c r="JM50"/>
  <c r="JM36"/>
  <c r="JL46"/>
  <c r="JM31" s="1"/>
  <c r="JL45"/>
  <c r="JM30" s="1"/>
  <c r="JM32"/>
  <c r="JM48" s="1"/>
  <c r="JO39"/>
  <c r="JL44"/>
  <c r="JL43"/>
  <c r="QB21"/>
  <c r="QA22"/>
  <c r="JM47" l="1"/>
  <c r="JN32" s="1"/>
  <c r="JN50"/>
  <c r="JM46"/>
  <c r="JN31" s="1"/>
  <c r="JN33"/>
  <c r="JN49" s="1"/>
  <c r="JM28"/>
  <c r="JM29"/>
  <c r="JM45" s="1"/>
  <c r="QC21"/>
  <c r="QB22"/>
  <c r="JN48" l="1"/>
  <c r="JO33" s="1"/>
  <c r="JM44"/>
  <c r="JN29" s="1"/>
  <c r="JN47"/>
  <c r="JO32" s="1"/>
  <c r="JO34"/>
  <c r="JN30"/>
  <c r="JM43"/>
  <c r="JM42"/>
  <c r="QD21"/>
  <c r="QC22"/>
  <c r="JO49" l="1"/>
  <c r="JP34" s="1"/>
  <c r="JP36" s="1"/>
  <c r="JO48"/>
  <c r="JP33" s="1"/>
  <c r="JN45"/>
  <c r="JO30" s="1"/>
  <c r="JO50"/>
  <c r="JO36"/>
  <c r="JN46"/>
  <c r="JO31" s="1"/>
  <c r="JO47" s="1"/>
  <c r="JN28"/>
  <c r="JN44" s="1"/>
  <c r="JN27"/>
  <c r="QE21"/>
  <c r="QD22"/>
  <c r="JN43" l="1"/>
  <c r="JO28" s="1"/>
  <c r="JP49"/>
  <c r="JQ34" s="1"/>
  <c r="JO46"/>
  <c r="JP31" s="1"/>
  <c r="JP50"/>
  <c r="JP32"/>
  <c r="JP48" s="1"/>
  <c r="JO29"/>
  <c r="JO45" s="1"/>
  <c r="JN41"/>
  <c r="JN42"/>
  <c r="QF21"/>
  <c r="QE22"/>
  <c r="JQ50" l="1"/>
  <c r="JQ36"/>
  <c r="JO44"/>
  <c r="JP29" s="1"/>
  <c r="JQ33"/>
  <c r="JQ49" s="1"/>
  <c r="JP30"/>
  <c r="JP46" s="1"/>
  <c r="JQ31" s="1"/>
  <c r="JP47"/>
  <c r="JO27"/>
  <c r="JO43" s="1"/>
  <c r="JO26"/>
  <c r="QG21"/>
  <c r="QF22"/>
  <c r="JP45" l="1"/>
  <c r="JQ30" s="1"/>
  <c r="JP28"/>
  <c r="JP44" s="1"/>
  <c r="JR34"/>
  <c r="JO40"/>
  <c r="JP25" s="1"/>
  <c r="JO41"/>
  <c r="JQ32"/>
  <c r="JQ48" s="1"/>
  <c r="JO42"/>
  <c r="QH21"/>
  <c r="QG22"/>
  <c r="JQ46" l="1"/>
  <c r="JR31" s="1"/>
  <c r="JR50"/>
  <c r="JR36"/>
  <c r="JR33"/>
  <c r="JR49" s="1"/>
  <c r="JQ29"/>
  <c r="JQ45" s="1"/>
  <c r="JP26"/>
  <c r="JP40" s="1"/>
  <c r="JQ25" s="1"/>
  <c r="JQ47"/>
  <c r="JP27"/>
  <c r="JP43" s="1"/>
  <c r="JP39"/>
  <c r="QI21"/>
  <c r="QH22"/>
  <c r="JQ28" l="1"/>
  <c r="JQ44" s="1"/>
  <c r="JR32"/>
  <c r="JR48" s="1"/>
  <c r="JR30"/>
  <c r="JS34"/>
  <c r="JP42"/>
  <c r="JQ39"/>
  <c r="JP41"/>
  <c r="QJ21"/>
  <c r="QI22"/>
  <c r="JR46" l="1"/>
  <c r="JS31" s="1"/>
  <c r="JS50"/>
  <c r="JS36"/>
  <c r="JR29"/>
  <c r="JR45" s="1"/>
  <c r="JS33"/>
  <c r="JS49" s="1"/>
  <c r="JR47"/>
  <c r="JQ26"/>
  <c r="JQ27"/>
  <c r="JQ43" s="1"/>
  <c r="QK21"/>
  <c r="QJ22"/>
  <c r="JT34" l="1"/>
  <c r="JT36" s="1"/>
  <c r="JS30"/>
  <c r="JR28"/>
  <c r="JR44" s="1"/>
  <c r="JQ40"/>
  <c r="JR25" s="1"/>
  <c r="JQ41"/>
  <c r="JS32"/>
  <c r="JS48" s="1"/>
  <c r="JQ42"/>
  <c r="QL21"/>
  <c r="QK22"/>
  <c r="JT50" l="1"/>
  <c r="JT33"/>
  <c r="JT49" s="1"/>
  <c r="JR26"/>
  <c r="JS29"/>
  <c r="JS45" s="1"/>
  <c r="JS47"/>
  <c r="JS46"/>
  <c r="JR27"/>
  <c r="JR39"/>
  <c r="QM21"/>
  <c r="QL22"/>
  <c r="JR41" l="1"/>
  <c r="JS26" s="1"/>
  <c r="JR40"/>
  <c r="JS25" s="1"/>
  <c r="JR42"/>
  <c r="JS27" s="1"/>
  <c r="JR43"/>
  <c r="JS28" s="1"/>
  <c r="JS44" s="1"/>
  <c r="JT32"/>
  <c r="JT48" s="1"/>
  <c r="JT30"/>
  <c r="JU34"/>
  <c r="JT31"/>
  <c r="QN21"/>
  <c r="QM22"/>
  <c r="JS40" l="1"/>
  <c r="JT25" s="1"/>
  <c r="JT39" s="1"/>
  <c r="JS39"/>
  <c r="JS43"/>
  <c r="JT28" s="1"/>
  <c r="JS41"/>
  <c r="JT26" s="1"/>
  <c r="JU50"/>
  <c r="JU36"/>
  <c r="JT47"/>
  <c r="JU32" s="1"/>
  <c r="JS42"/>
  <c r="JT27" s="1"/>
  <c r="JT46"/>
  <c r="JU31" s="1"/>
  <c r="JU33"/>
  <c r="JU49" s="1"/>
  <c r="JT29"/>
  <c r="JT45" s="1"/>
  <c r="QO21"/>
  <c r="QN22"/>
  <c r="JU48" l="1"/>
  <c r="JV33" s="1"/>
  <c r="JT43"/>
  <c r="JU28" s="1"/>
  <c r="JT42"/>
  <c r="JU27" s="1"/>
  <c r="JU47"/>
  <c r="JV32" s="1"/>
  <c r="JT44"/>
  <c r="JU29" s="1"/>
  <c r="JV34"/>
  <c r="JV36" s="1"/>
  <c r="JU30"/>
  <c r="JU46" s="1"/>
  <c r="JT40"/>
  <c r="JU25" s="1"/>
  <c r="JT41"/>
  <c r="QP21"/>
  <c r="QO22"/>
  <c r="JU45" l="1"/>
  <c r="JV30" s="1"/>
  <c r="JU43"/>
  <c r="JV28" s="1"/>
  <c r="JU44"/>
  <c r="JV29" s="1"/>
  <c r="JV49"/>
  <c r="JW34" s="1"/>
  <c r="JW36" s="1"/>
  <c r="JV48"/>
  <c r="JW33" s="1"/>
  <c r="JV50"/>
  <c r="JV31"/>
  <c r="JU39"/>
  <c r="JU26"/>
  <c r="JU42" s="1"/>
  <c r="QQ21"/>
  <c r="QP22"/>
  <c r="JV46" l="1"/>
  <c r="JW31" s="1"/>
  <c r="JV44"/>
  <c r="JW29" s="1"/>
  <c r="JV45"/>
  <c r="JW30" s="1"/>
  <c r="JW50"/>
  <c r="JV47"/>
  <c r="JW32" s="1"/>
  <c r="JW48" s="1"/>
  <c r="JW49"/>
  <c r="JX34" s="1"/>
  <c r="JV27"/>
  <c r="JV43" s="1"/>
  <c r="JU41"/>
  <c r="JU40"/>
  <c r="JV25" s="1"/>
  <c r="QR21"/>
  <c r="QQ22"/>
  <c r="JW46" l="1"/>
  <c r="JX31" s="1"/>
  <c r="JX50"/>
  <c r="JX36"/>
  <c r="JW45"/>
  <c r="JX30" s="1"/>
  <c r="JW47"/>
  <c r="JX32" s="1"/>
  <c r="JX33"/>
  <c r="JX49" s="1"/>
  <c r="JW28"/>
  <c r="JW44" s="1"/>
  <c r="JV26"/>
  <c r="JV42" s="1"/>
  <c r="JV39"/>
  <c r="QS21"/>
  <c r="QR22"/>
  <c r="JV41" l="1"/>
  <c r="JW26" s="1"/>
  <c r="JX46"/>
  <c r="JY31" s="1"/>
  <c r="JX48"/>
  <c r="JY33" s="1"/>
  <c r="JX47"/>
  <c r="JY32" s="1"/>
  <c r="JY34"/>
  <c r="JX29"/>
  <c r="JX45" s="1"/>
  <c r="JW27"/>
  <c r="JW43" s="1"/>
  <c r="JV40"/>
  <c r="JW25" s="1"/>
  <c r="QT21"/>
  <c r="QS22"/>
  <c r="JY48" l="1"/>
  <c r="JZ33" s="1"/>
  <c r="JW42"/>
  <c r="JX27" s="1"/>
  <c r="JY47"/>
  <c r="JZ32" s="1"/>
  <c r="JY50"/>
  <c r="JY36"/>
  <c r="JY49"/>
  <c r="JZ34" s="1"/>
  <c r="JX28"/>
  <c r="JX44" s="1"/>
  <c r="JY30"/>
  <c r="JY46" s="1"/>
  <c r="JW39"/>
  <c r="JW40"/>
  <c r="JX25" s="1"/>
  <c r="JW41"/>
  <c r="QU21"/>
  <c r="QT22"/>
  <c r="JX43" l="1"/>
  <c r="JY28" s="1"/>
  <c r="JZ49"/>
  <c r="KA34" s="1"/>
  <c r="JZ50"/>
  <c r="JZ36"/>
  <c r="JZ48"/>
  <c r="KA33" s="1"/>
  <c r="JY29"/>
  <c r="JY45" s="1"/>
  <c r="JZ31"/>
  <c r="JZ47" s="1"/>
  <c r="JX39"/>
  <c r="JX26"/>
  <c r="JX41" s="1"/>
  <c r="QV21"/>
  <c r="QU22"/>
  <c r="JY44" l="1"/>
  <c r="JZ29" s="1"/>
  <c r="JX42"/>
  <c r="JY27" s="1"/>
  <c r="JY43" s="1"/>
  <c r="KA49"/>
  <c r="KB34" s="1"/>
  <c r="KA50"/>
  <c r="KA36"/>
  <c r="JY26"/>
  <c r="KA32"/>
  <c r="KA48" s="1"/>
  <c r="JZ30"/>
  <c r="JZ46" s="1"/>
  <c r="JX40"/>
  <c r="JY25" s="1"/>
  <c r="QW21"/>
  <c r="QV22"/>
  <c r="JZ45" l="1"/>
  <c r="KA30" s="1"/>
  <c r="KB50"/>
  <c r="KB36"/>
  <c r="JY42"/>
  <c r="JZ27" s="1"/>
  <c r="JZ28"/>
  <c r="JZ44" s="1"/>
  <c r="KB33"/>
  <c r="KB49" s="1"/>
  <c r="KA31"/>
  <c r="KA47" s="1"/>
  <c r="JY39"/>
  <c r="JY40"/>
  <c r="JZ25" s="1"/>
  <c r="JY41"/>
  <c r="QX21"/>
  <c r="QW22"/>
  <c r="JZ43" l="1"/>
  <c r="KA28" s="1"/>
  <c r="KA46"/>
  <c r="KB31" s="1"/>
  <c r="KB32"/>
  <c r="KB48" s="1"/>
  <c r="KC34"/>
  <c r="KA29"/>
  <c r="KA45" s="1"/>
  <c r="JZ39"/>
  <c r="JZ26"/>
  <c r="JZ41" s="1"/>
  <c r="QY21"/>
  <c r="QX22"/>
  <c r="JZ42" l="1"/>
  <c r="KA27" s="1"/>
  <c r="KA43" s="1"/>
  <c r="KC50"/>
  <c r="KC36"/>
  <c r="KA44"/>
  <c r="KB47"/>
  <c r="KC32" s="1"/>
  <c r="KA26"/>
  <c r="KB30"/>
  <c r="KB46" s="1"/>
  <c r="KB29"/>
  <c r="KC33"/>
  <c r="KC49" s="1"/>
  <c r="JZ40"/>
  <c r="KA25" s="1"/>
  <c r="QZ21"/>
  <c r="QY22"/>
  <c r="KC48" l="1"/>
  <c r="KD33" s="1"/>
  <c r="KB45"/>
  <c r="KC30" s="1"/>
  <c r="KA42"/>
  <c r="KB27" s="1"/>
  <c r="KB28"/>
  <c r="KB44" s="1"/>
  <c r="KD34"/>
  <c r="KC31"/>
  <c r="KC47" s="1"/>
  <c r="KA39"/>
  <c r="KA40"/>
  <c r="KB25" s="1"/>
  <c r="KA41"/>
  <c r="RA21"/>
  <c r="QZ22"/>
  <c r="KD49" l="1"/>
  <c r="KE34" s="1"/>
  <c r="KD50"/>
  <c r="KD36"/>
  <c r="KB43"/>
  <c r="KC28" s="1"/>
  <c r="KC46"/>
  <c r="KD31" s="1"/>
  <c r="KD32"/>
  <c r="KD48" s="1"/>
  <c r="KC29"/>
  <c r="KC45" s="1"/>
  <c r="KB39"/>
  <c r="KB26"/>
  <c r="KB41" s="1"/>
  <c r="RB21"/>
  <c r="RA22"/>
  <c r="KB42" l="1"/>
  <c r="KC27" s="1"/>
  <c r="KC43" s="1"/>
  <c r="KD47"/>
  <c r="KE32" s="1"/>
  <c r="KB40"/>
  <c r="KC25" s="1"/>
  <c r="KC39" s="1"/>
  <c r="KC44"/>
  <c r="KD29" s="1"/>
  <c r="KE50"/>
  <c r="KE36"/>
  <c r="KC26"/>
  <c r="KD30"/>
  <c r="KD46" s="1"/>
  <c r="KE33"/>
  <c r="KE49" s="1"/>
  <c r="RC21"/>
  <c r="RB22"/>
  <c r="KD45" l="1"/>
  <c r="KE30" s="1"/>
  <c r="KC42"/>
  <c r="KD27" s="1"/>
  <c r="KE48"/>
  <c r="KF33" s="1"/>
  <c r="KD28"/>
  <c r="KD44" s="1"/>
  <c r="KF34"/>
  <c r="KE31"/>
  <c r="KE47" s="1"/>
  <c r="KC40"/>
  <c r="KD25" s="1"/>
  <c r="KC41"/>
  <c r="RD21"/>
  <c r="RC22"/>
  <c r="KF49" l="1"/>
  <c r="KG34" s="1"/>
  <c r="KD43"/>
  <c r="KE28" s="1"/>
  <c r="KE46"/>
  <c r="KF31" s="1"/>
  <c r="KF50"/>
  <c r="KF36"/>
  <c r="KF32"/>
  <c r="KF48" s="1"/>
  <c r="KE29"/>
  <c r="KE45" s="1"/>
  <c r="KD26"/>
  <c r="KD42" s="1"/>
  <c r="KD39"/>
  <c r="RE21"/>
  <c r="RD22"/>
  <c r="KE44" l="1"/>
  <c r="KF29" s="1"/>
  <c r="KF47"/>
  <c r="KG32" s="1"/>
  <c r="KG50"/>
  <c r="KG36"/>
  <c r="KE27"/>
  <c r="KE43" s="1"/>
  <c r="KF30"/>
  <c r="KF46" s="1"/>
  <c r="KG33"/>
  <c r="KG49" s="1"/>
  <c r="KD40"/>
  <c r="KE25" s="1"/>
  <c r="KD41"/>
  <c r="RF21"/>
  <c r="RE22"/>
  <c r="KF45" l="1"/>
  <c r="KG30" s="1"/>
  <c r="KG48"/>
  <c r="KH33" s="1"/>
  <c r="KG31"/>
  <c r="KG47" s="1"/>
  <c r="KH34"/>
  <c r="KF28"/>
  <c r="KF44" s="1"/>
  <c r="KE26"/>
  <c r="KE42" s="1"/>
  <c r="KE39"/>
  <c r="RG21"/>
  <c r="RF22"/>
  <c r="KG46" l="1"/>
  <c r="KH31" s="1"/>
  <c r="KH49"/>
  <c r="KI34" s="1"/>
  <c r="KE40"/>
  <c r="KF25" s="1"/>
  <c r="KF39" s="1"/>
  <c r="KH50"/>
  <c r="KH36"/>
  <c r="KF27"/>
  <c r="KF43" s="1"/>
  <c r="KG29"/>
  <c r="KG45" s="1"/>
  <c r="KH32"/>
  <c r="KH48" s="1"/>
  <c r="KE41"/>
  <c r="RH21"/>
  <c r="RG22"/>
  <c r="KI50" l="1"/>
  <c r="KI36"/>
  <c r="KH47"/>
  <c r="KI32" s="1"/>
  <c r="KG28"/>
  <c r="KG44" s="1"/>
  <c r="KI33"/>
  <c r="KI49" s="1"/>
  <c r="KH30"/>
  <c r="KH46" s="1"/>
  <c r="KF26"/>
  <c r="RI21"/>
  <c r="RH22"/>
  <c r="KI48" l="1"/>
  <c r="KJ33" s="1"/>
  <c r="KI31"/>
  <c r="KI47" s="1"/>
  <c r="KH29"/>
  <c r="KH45" s="1"/>
  <c r="KJ34"/>
  <c r="KF41"/>
  <c r="KF40"/>
  <c r="KG25" s="1"/>
  <c r="KF42"/>
  <c r="RJ21"/>
  <c r="RI22"/>
  <c r="KJ49" l="1"/>
  <c r="KK34" s="1"/>
  <c r="KJ50"/>
  <c r="KJ36"/>
  <c r="KI30"/>
  <c r="KI46" s="1"/>
  <c r="KJ32"/>
  <c r="KJ48" s="1"/>
  <c r="KG27"/>
  <c r="KG43" s="1"/>
  <c r="KG26"/>
  <c r="KG40" s="1"/>
  <c r="KH25" s="1"/>
  <c r="KG39"/>
  <c r="RK21"/>
  <c r="RJ22"/>
  <c r="KK50" l="1"/>
  <c r="KK36"/>
  <c r="KG42"/>
  <c r="KH27" s="1"/>
  <c r="KH28"/>
  <c r="KH44" s="1"/>
  <c r="KJ31"/>
  <c r="KJ47" s="1"/>
  <c r="KK33"/>
  <c r="KK49" s="1"/>
  <c r="KH39"/>
  <c r="KG41"/>
  <c r="RL21"/>
  <c r="RK22"/>
  <c r="KH43" l="1"/>
  <c r="KI28" s="1"/>
  <c r="KL34"/>
  <c r="KK32"/>
  <c r="KK48" s="1"/>
  <c r="KI29"/>
  <c r="KI45" s="1"/>
  <c r="KH26"/>
  <c r="KH42" s="1"/>
  <c r="RM21"/>
  <c r="RL22"/>
  <c r="KL50" l="1"/>
  <c r="KL36"/>
  <c r="KI44"/>
  <c r="KJ29" s="1"/>
  <c r="KJ30"/>
  <c r="KJ46" s="1"/>
  <c r="KL33"/>
  <c r="KL49" s="1"/>
  <c r="KI27"/>
  <c r="KI43" s="1"/>
  <c r="KH41"/>
  <c r="KH40"/>
  <c r="KI25" s="1"/>
  <c r="RN21"/>
  <c r="RM22"/>
  <c r="KJ45" l="1"/>
  <c r="KK30" s="1"/>
  <c r="KM34"/>
  <c r="KJ28"/>
  <c r="KJ44" s="1"/>
  <c r="KK31"/>
  <c r="KK47" s="1"/>
  <c r="KI26"/>
  <c r="KI42" s="1"/>
  <c r="KI39"/>
  <c r="RO21"/>
  <c r="RN22"/>
  <c r="KI40" l="1"/>
  <c r="KJ25" s="1"/>
  <c r="KJ39" s="1"/>
  <c r="KM50"/>
  <c r="KM36"/>
  <c r="KK46"/>
  <c r="KL31" s="1"/>
  <c r="KL32"/>
  <c r="KL48" s="1"/>
  <c r="KJ27"/>
  <c r="KJ43" s="1"/>
  <c r="KK29"/>
  <c r="KK45" s="1"/>
  <c r="KI41"/>
  <c r="RP21"/>
  <c r="RO22"/>
  <c r="KL47" l="1"/>
  <c r="KM32" s="1"/>
  <c r="KK28"/>
  <c r="KK44" s="1"/>
  <c r="KL30"/>
  <c r="KL46" s="1"/>
  <c r="KM33"/>
  <c r="KM49" s="1"/>
  <c r="KJ26"/>
  <c r="KJ42" s="1"/>
  <c r="RQ21"/>
  <c r="RP22"/>
  <c r="KM48" l="1"/>
  <c r="KN33" s="1"/>
  <c r="KN34"/>
  <c r="KL29"/>
  <c r="KL45" s="1"/>
  <c r="KK27"/>
  <c r="KK43" s="1"/>
  <c r="KM31"/>
  <c r="KM47" s="1"/>
  <c r="KJ40"/>
  <c r="KK25" s="1"/>
  <c r="KJ41"/>
  <c r="RR21"/>
  <c r="RQ22"/>
  <c r="KN49" l="1"/>
  <c r="KO34" s="1"/>
  <c r="KN50"/>
  <c r="KN36"/>
  <c r="KN32"/>
  <c r="KN48" s="1"/>
  <c r="KM30"/>
  <c r="KM46" s="1"/>
  <c r="KL28"/>
  <c r="KL44" s="1"/>
  <c r="KK26"/>
  <c r="KK42" s="1"/>
  <c r="KK39"/>
  <c r="RS21"/>
  <c r="RR22"/>
  <c r="KO50" l="1"/>
  <c r="KO36"/>
  <c r="KM29"/>
  <c r="KM45" s="1"/>
  <c r="KN31"/>
  <c r="KN47" s="1"/>
  <c r="KL27"/>
  <c r="KL43" s="1"/>
  <c r="KO33"/>
  <c r="KO49" s="1"/>
  <c r="KK40"/>
  <c r="KL25" s="1"/>
  <c r="KK41"/>
  <c r="RT21"/>
  <c r="RS22"/>
  <c r="KP34" l="1"/>
  <c r="KO32"/>
  <c r="KO48" s="1"/>
  <c r="KM28"/>
  <c r="KM44" s="1"/>
  <c r="KN30"/>
  <c r="KN46" s="1"/>
  <c r="KL26"/>
  <c r="KL42" s="1"/>
  <c r="KL39"/>
  <c r="RU21"/>
  <c r="RT22"/>
  <c r="KP50" l="1"/>
  <c r="KP36"/>
  <c r="KO31"/>
  <c r="KO47" s="1"/>
  <c r="KP33"/>
  <c r="KP49" s="1"/>
  <c r="KM27"/>
  <c r="KM43" s="1"/>
  <c r="KN29"/>
  <c r="KN45" s="1"/>
  <c r="KL41"/>
  <c r="KL40"/>
  <c r="KM25" s="1"/>
  <c r="RV21"/>
  <c r="RU22"/>
  <c r="KP32" l="1"/>
  <c r="KP48" s="1"/>
  <c r="KM26"/>
  <c r="KM42" s="1"/>
  <c r="KO30"/>
  <c r="KO46" s="1"/>
  <c r="KN28"/>
  <c r="KN44" s="1"/>
  <c r="KQ34"/>
  <c r="KQ36" s="1"/>
  <c r="KM39"/>
  <c r="RW21"/>
  <c r="RV22"/>
  <c r="KM40" l="1"/>
  <c r="KN25" s="1"/>
  <c r="KN39" s="1"/>
  <c r="KM41"/>
  <c r="KN26" s="1"/>
  <c r="KQ50"/>
  <c r="KQ33"/>
  <c r="KQ49" s="1"/>
  <c r="KO29"/>
  <c r="KO45" s="1"/>
  <c r="KP31"/>
  <c r="KP47" s="1"/>
  <c r="KN27"/>
  <c r="KN43" s="1"/>
  <c r="RX21"/>
  <c r="RW22"/>
  <c r="KN42" l="1"/>
  <c r="KO27" s="1"/>
  <c r="KN40"/>
  <c r="KO25" s="1"/>
  <c r="KO39" s="1"/>
  <c r="KN41"/>
  <c r="KO26" s="1"/>
  <c r="KO28"/>
  <c r="KO44" s="1"/>
  <c r="KP30"/>
  <c r="KP46" s="1"/>
  <c r="KR34"/>
  <c r="KQ32"/>
  <c r="KQ48" s="1"/>
  <c r="RY21"/>
  <c r="RX22"/>
  <c r="KO43" l="1"/>
  <c r="KP28" s="1"/>
  <c r="KO40"/>
  <c r="KP25" s="1"/>
  <c r="KP39" s="1"/>
  <c r="KO42"/>
  <c r="KP27" s="1"/>
  <c r="KR50"/>
  <c r="KR36"/>
  <c r="KP29"/>
  <c r="KP45" s="1"/>
  <c r="KR33"/>
  <c r="KR49" s="1"/>
  <c r="KQ31"/>
  <c r="KQ47" s="1"/>
  <c r="KO41"/>
  <c r="RZ21"/>
  <c r="RY22"/>
  <c r="KP43" l="1"/>
  <c r="KQ28" s="1"/>
  <c r="KP44"/>
  <c r="KQ29" s="1"/>
  <c r="KQ30"/>
  <c r="KQ46" s="1"/>
  <c r="KP26"/>
  <c r="KR32"/>
  <c r="KR48" s="1"/>
  <c r="KS34"/>
  <c r="SA21"/>
  <c r="RZ22"/>
  <c r="KQ45" l="1"/>
  <c r="KR30" s="1"/>
  <c r="KS50"/>
  <c r="KS36"/>
  <c r="KQ44"/>
  <c r="KR29" s="1"/>
  <c r="KS33"/>
  <c r="KS49" s="1"/>
  <c r="KR31"/>
  <c r="KR47" s="1"/>
  <c r="KP40"/>
  <c r="KQ25" s="1"/>
  <c r="KP41"/>
  <c r="KP42"/>
  <c r="SB21"/>
  <c r="SA22"/>
  <c r="KR45" l="1"/>
  <c r="KS30" s="1"/>
  <c r="KR46"/>
  <c r="KS31" s="1"/>
  <c r="KS32"/>
  <c r="KS48" s="1"/>
  <c r="KT34"/>
  <c r="KQ26"/>
  <c r="KQ27"/>
  <c r="KQ43" s="1"/>
  <c r="KQ39"/>
  <c r="SC21"/>
  <c r="SB22"/>
  <c r="KS47" l="1"/>
  <c r="KT32" s="1"/>
  <c r="KQ41"/>
  <c r="KR26" s="1"/>
  <c r="KS46"/>
  <c r="KT31" s="1"/>
  <c r="KT50"/>
  <c r="KT36"/>
  <c r="KQ42"/>
  <c r="KR27" s="1"/>
  <c r="KR28"/>
  <c r="KR44" s="1"/>
  <c r="KT33"/>
  <c r="KT49" s="1"/>
  <c r="KQ40"/>
  <c r="KR25" s="1"/>
  <c r="SD21"/>
  <c r="SC22"/>
  <c r="KR43" l="1"/>
  <c r="KS28" s="1"/>
  <c r="KR42"/>
  <c r="KS27" s="1"/>
  <c r="KT48"/>
  <c r="KU33" s="1"/>
  <c r="KT47"/>
  <c r="KU32" s="1"/>
  <c r="KU34"/>
  <c r="KS29"/>
  <c r="KS45" s="1"/>
  <c r="KR40"/>
  <c r="KS25" s="1"/>
  <c r="KR41"/>
  <c r="KR39"/>
  <c r="SE21"/>
  <c r="SD22"/>
  <c r="KU48" l="1"/>
  <c r="KV33" s="1"/>
  <c r="KS44"/>
  <c r="KT29" s="1"/>
  <c r="KS43"/>
  <c r="KT28" s="1"/>
  <c r="KU50"/>
  <c r="KU36"/>
  <c r="KU49"/>
  <c r="KV34" s="1"/>
  <c r="KT30"/>
  <c r="KT46" s="1"/>
  <c r="KS26"/>
  <c r="KS42" s="1"/>
  <c r="KS39"/>
  <c r="SF21"/>
  <c r="SE22"/>
  <c r="KT45" l="1"/>
  <c r="KU30" s="1"/>
  <c r="KV49"/>
  <c r="KW34" s="1"/>
  <c r="KT44"/>
  <c r="KU29" s="1"/>
  <c r="KV50"/>
  <c r="KV36"/>
  <c r="KT27"/>
  <c r="KT43" s="1"/>
  <c r="KU31"/>
  <c r="KU47" s="1"/>
  <c r="KS40"/>
  <c r="KT25" s="1"/>
  <c r="KS41"/>
  <c r="SG21"/>
  <c r="SF22"/>
  <c r="KU46" l="1"/>
  <c r="KV31" s="1"/>
  <c r="KW50"/>
  <c r="KW36"/>
  <c r="KU45"/>
  <c r="KV30" s="1"/>
  <c r="KV32"/>
  <c r="KV48" s="1"/>
  <c r="KU28"/>
  <c r="KU44" s="1"/>
  <c r="KT26"/>
  <c r="KT42" s="1"/>
  <c r="KT39"/>
  <c r="SH21"/>
  <c r="SG22"/>
  <c r="KT41" l="1"/>
  <c r="KU26" s="1"/>
  <c r="KV46"/>
  <c r="KW31" s="1"/>
  <c r="KV47"/>
  <c r="KW32" s="1"/>
  <c r="KU27"/>
  <c r="KU43" s="1"/>
  <c r="KV29"/>
  <c r="KV45" s="1"/>
  <c r="KW33"/>
  <c r="KW49" s="1"/>
  <c r="KT40"/>
  <c r="KU25" s="1"/>
  <c r="SI21"/>
  <c r="SH22"/>
  <c r="KU42" l="1"/>
  <c r="KV27" s="1"/>
  <c r="KW47"/>
  <c r="KX32" s="1"/>
  <c r="KW48"/>
  <c r="KX33" s="1"/>
  <c r="KW30"/>
  <c r="KW46" s="1"/>
  <c r="KX34"/>
  <c r="KV28"/>
  <c r="KV44" s="1"/>
  <c r="KU41"/>
  <c r="KU39"/>
  <c r="KU40"/>
  <c r="KV25" s="1"/>
  <c r="SJ21"/>
  <c r="SI22"/>
  <c r="KX50" l="1"/>
  <c r="KX36"/>
  <c r="KX49"/>
  <c r="KY34" s="1"/>
  <c r="KX48"/>
  <c r="KY33" s="1"/>
  <c r="KV43"/>
  <c r="KW28" s="1"/>
  <c r="KW29"/>
  <c r="KW45" s="1"/>
  <c r="KX31"/>
  <c r="KX47" s="1"/>
  <c r="KV39"/>
  <c r="KV26"/>
  <c r="KV41" s="1"/>
  <c r="SK21"/>
  <c r="SJ22"/>
  <c r="KV42" l="1"/>
  <c r="KW27" s="1"/>
  <c r="KW43" s="1"/>
  <c r="KY49"/>
  <c r="KZ34" s="1"/>
  <c r="KY50"/>
  <c r="KY36"/>
  <c r="KW44"/>
  <c r="KX29" s="1"/>
  <c r="KW26"/>
  <c r="KY32"/>
  <c r="KY48" s="1"/>
  <c r="KX30"/>
  <c r="KX46" s="1"/>
  <c r="KV40"/>
  <c r="KW25" s="1"/>
  <c r="SL21"/>
  <c r="SK22"/>
  <c r="KW42" l="1"/>
  <c r="KX27" s="1"/>
  <c r="KZ50"/>
  <c r="KZ36"/>
  <c r="KX45"/>
  <c r="KY30" s="1"/>
  <c r="KX28"/>
  <c r="KX44" s="1"/>
  <c r="KY31"/>
  <c r="KY47" s="1"/>
  <c r="KZ33"/>
  <c r="KZ49" s="1"/>
  <c r="KW39"/>
  <c r="KW40"/>
  <c r="KX25" s="1"/>
  <c r="KW41"/>
  <c r="SM21"/>
  <c r="SL22"/>
  <c r="KX43" l="1"/>
  <c r="KY28" s="1"/>
  <c r="KY46"/>
  <c r="KZ31" s="1"/>
  <c r="LA34"/>
  <c r="KZ32"/>
  <c r="KZ48" s="1"/>
  <c r="KY29"/>
  <c r="KY45" s="1"/>
  <c r="KX39"/>
  <c r="KX26"/>
  <c r="KX41" s="1"/>
  <c r="SN21"/>
  <c r="SM22"/>
  <c r="KX42" l="1"/>
  <c r="KY27" s="1"/>
  <c r="KY43" s="1"/>
  <c r="LA50"/>
  <c r="LA36"/>
  <c r="KY44"/>
  <c r="KZ29" s="1"/>
  <c r="KZ47"/>
  <c r="LA32" s="1"/>
  <c r="KY26"/>
  <c r="LA33"/>
  <c r="LA49" s="1"/>
  <c r="KZ30"/>
  <c r="KZ46" s="1"/>
  <c r="KX40"/>
  <c r="KY25" s="1"/>
  <c r="SO21"/>
  <c r="SN22"/>
  <c r="LA48" l="1"/>
  <c r="LB33" s="1"/>
  <c r="KZ45"/>
  <c r="LA30" s="1"/>
  <c r="KY42"/>
  <c r="KZ27" s="1"/>
  <c r="KZ28"/>
  <c r="KZ44" s="1"/>
  <c r="LA31"/>
  <c r="LA47" s="1"/>
  <c r="LB34"/>
  <c r="KY40"/>
  <c r="KZ25" s="1"/>
  <c r="KY41"/>
  <c r="KY39"/>
  <c r="SP21"/>
  <c r="SO22"/>
  <c r="LA46" l="1"/>
  <c r="LB31" s="1"/>
  <c r="LB49"/>
  <c r="LC34" s="1"/>
  <c r="KZ43"/>
  <c r="LA28" s="1"/>
  <c r="LB50"/>
  <c r="LB36"/>
  <c r="LB32"/>
  <c r="LB48" s="1"/>
  <c r="LA29"/>
  <c r="LA45" s="1"/>
  <c r="KZ26"/>
  <c r="KZ42" s="1"/>
  <c r="KZ39"/>
  <c r="SQ21"/>
  <c r="SP22"/>
  <c r="LB47" l="1"/>
  <c r="LC32" s="1"/>
  <c r="LC50"/>
  <c r="LC36"/>
  <c r="KZ40"/>
  <c r="LA25" s="1"/>
  <c r="LA39" s="1"/>
  <c r="LA44"/>
  <c r="LB29" s="1"/>
  <c r="LA27"/>
  <c r="LA43" s="1"/>
  <c r="LB30"/>
  <c r="LB46" s="1"/>
  <c r="LC33"/>
  <c r="LC49" s="1"/>
  <c r="KZ41"/>
  <c r="SR21"/>
  <c r="SQ22"/>
  <c r="LB45" l="1"/>
  <c r="LC30" s="1"/>
  <c r="LC48"/>
  <c r="LD33" s="1"/>
  <c r="LD34"/>
  <c r="LC31"/>
  <c r="LC47" s="1"/>
  <c r="LB28"/>
  <c r="LB44" s="1"/>
  <c r="LA26"/>
  <c r="SS21"/>
  <c r="SR22"/>
  <c r="LC46" l="1"/>
  <c r="LD31" s="1"/>
  <c r="LD50"/>
  <c r="LD36"/>
  <c r="LD49"/>
  <c r="LE34" s="1"/>
  <c r="LD32"/>
  <c r="LD48" s="1"/>
  <c r="LC29"/>
  <c r="LC45" s="1"/>
  <c r="LA41"/>
  <c r="LA40"/>
  <c r="LB25" s="1"/>
  <c r="LA42"/>
  <c r="ST21"/>
  <c r="SS22"/>
  <c r="LE50" l="1"/>
  <c r="LE36"/>
  <c r="LD47"/>
  <c r="LE32" s="1"/>
  <c r="LD30"/>
  <c r="LD46" s="1"/>
  <c r="LE33"/>
  <c r="LE49" s="1"/>
  <c r="LB39"/>
  <c r="LB27"/>
  <c r="LB43" s="1"/>
  <c r="LB26"/>
  <c r="SU21"/>
  <c r="ST22"/>
  <c r="LB41" l="1"/>
  <c r="LC26" s="1"/>
  <c r="LB40"/>
  <c r="LC25" s="1"/>
  <c r="LC39" s="1"/>
  <c r="LE48"/>
  <c r="LF33" s="1"/>
  <c r="LB42"/>
  <c r="LC27" s="1"/>
  <c r="LE31"/>
  <c r="LE47" s="1"/>
  <c r="LF34"/>
  <c r="LC28"/>
  <c r="LC44" s="1"/>
  <c r="SV21"/>
  <c r="SU22"/>
  <c r="LF49" l="1"/>
  <c r="LG34" s="1"/>
  <c r="LC43"/>
  <c r="LD28" s="1"/>
  <c r="LF50"/>
  <c r="LF36"/>
  <c r="LC42"/>
  <c r="LD27" s="1"/>
  <c r="LD29"/>
  <c r="LD45" s="1"/>
  <c r="LF32"/>
  <c r="LF48" s="1"/>
  <c r="LC40"/>
  <c r="LD25" s="1"/>
  <c r="LC41"/>
  <c r="SW21"/>
  <c r="SV22"/>
  <c r="LD44" l="1"/>
  <c r="LE29" s="1"/>
  <c r="LG50"/>
  <c r="LG36"/>
  <c r="LD43"/>
  <c r="LE28" s="1"/>
  <c r="LE30"/>
  <c r="LE46" s="1"/>
  <c r="LG33"/>
  <c r="LG49" s="1"/>
  <c r="LD26"/>
  <c r="LD42" s="1"/>
  <c r="LD39"/>
  <c r="SX21"/>
  <c r="SW22"/>
  <c r="LE45" l="1"/>
  <c r="LF30" s="1"/>
  <c r="LD41"/>
  <c r="LE26" s="1"/>
  <c r="LE44"/>
  <c r="LF29" s="1"/>
  <c r="LF31"/>
  <c r="LF47" s="1"/>
  <c r="LE27"/>
  <c r="LE43" s="1"/>
  <c r="LH34"/>
  <c r="LD40"/>
  <c r="LE25" s="1"/>
  <c r="SY21"/>
  <c r="SX22"/>
  <c r="LF45" l="1"/>
  <c r="LG30" s="1"/>
  <c r="LE42"/>
  <c r="LF27" s="1"/>
  <c r="LH50"/>
  <c r="LH36"/>
  <c r="LF46"/>
  <c r="LG31" s="1"/>
  <c r="LG32"/>
  <c r="LG48" s="1"/>
  <c r="LF28"/>
  <c r="LF44" s="1"/>
  <c r="LE40"/>
  <c r="LF25" s="1"/>
  <c r="LE41"/>
  <c r="LE39"/>
  <c r="SZ21"/>
  <c r="SY22"/>
  <c r="LF43" l="1"/>
  <c r="LG28" s="1"/>
  <c r="LG46"/>
  <c r="LH31" s="1"/>
  <c r="LG47"/>
  <c r="LG29"/>
  <c r="LG45" s="1"/>
  <c r="LH33"/>
  <c r="LH49" s="1"/>
  <c r="LH32"/>
  <c r="LF26"/>
  <c r="LF42" s="1"/>
  <c r="LF39"/>
  <c r="TA21"/>
  <c r="SZ22"/>
  <c r="LG44" l="1"/>
  <c r="LH29" s="1"/>
  <c r="LH48"/>
  <c r="LI33" s="1"/>
  <c r="LF41"/>
  <c r="LG26" s="1"/>
  <c r="LH47"/>
  <c r="LI32" s="1"/>
  <c r="LG27"/>
  <c r="LG43" s="1"/>
  <c r="LI34"/>
  <c r="LH30"/>
  <c r="LH46" s="1"/>
  <c r="LF40"/>
  <c r="LG25" s="1"/>
  <c r="TB21"/>
  <c r="TA22"/>
  <c r="LG42" l="1"/>
  <c r="LH27" s="1"/>
  <c r="LH45"/>
  <c r="LI30" s="1"/>
  <c r="LI49"/>
  <c r="LJ34" s="1"/>
  <c r="LI48"/>
  <c r="LJ33" s="1"/>
  <c r="LI50"/>
  <c r="LI36"/>
  <c r="LI31"/>
  <c r="LI47" s="1"/>
  <c r="LH28"/>
  <c r="LH44" s="1"/>
  <c r="LG40"/>
  <c r="LH25" s="1"/>
  <c r="LG41"/>
  <c r="LG39"/>
  <c r="TC21"/>
  <c r="TB22"/>
  <c r="LJ49" l="1"/>
  <c r="LK34" s="1"/>
  <c r="LI46"/>
  <c r="LJ31" s="1"/>
  <c r="LJ50"/>
  <c r="LJ36"/>
  <c r="LH43"/>
  <c r="LI28" s="1"/>
  <c r="LI29"/>
  <c r="LI45" s="1"/>
  <c r="LJ32"/>
  <c r="LJ48" s="1"/>
  <c r="LH39"/>
  <c r="LH26"/>
  <c r="LH41" s="1"/>
  <c r="TD21"/>
  <c r="TC22"/>
  <c r="LK50" l="1"/>
  <c r="LK36"/>
  <c r="LH40"/>
  <c r="LI25" s="1"/>
  <c r="LI39" s="1"/>
  <c r="LJ47"/>
  <c r="LK32" s="1"/>
  <c r="LH42"/>
  <c r="LI27" s="1"/>
  <c r="LI44"/>
  <c r="LJ29" s="1"/>
  <c r="LI26"/>
  <c r="LK33"/>
  <c r="LK49" s="1"/>
  <c r="LJ30"/>
  <c r="LJ46" s="1"/>
  <c r="TE21"/>
  <c r="TD22"/>
  <c r="LI43" l="1"/>
  <c r="LJ28" s="1"/>
  <c r="LJ44" s="1"/>
  <c r="LI41"/>
  <c r="LJ26" s="1"/>
  <c r="LJ45"/>
  <c r="LK30" s="1"/>
  <c r="LK48"/>
  <c r="LL33" s="1"/>
  <c r="LI42"/>
  <c r="LJ27" s="1"/>
  <c r="LK31"/>
  <c r="LK47" s="1"/>
  <c r="LL34"/>
  <c r="LI40"/>
  <c r="LJ25" s="1"/>
  <c r="TF21"/>
  <c r="TE22"/>
  <c r="LK46" l="1"/>
  <c r="LL31" s="1"/>
  <c r="LL49"/>
  <c r="LM34" s="1"/>
  <c r="LJ42"/>
  <c r="LK27" s="1"/>
  <c r="LJ43"/>
  <c r="LK28" s="1"/>
  <c r="LL50"/>
  <c r="LL36"/>
  <c r="LL32"/>
  <c r="LL48" s="1"/>
  <c r="LK29"/>
  <c r="LK45" s="1"/>
  <c r="LJ39"/>
  <c r="LJ40"/>
  <c r="LK25" s="1"/>
  <c r="LJ41"/>
  <c r="TG21"/>
  <c r="TF22"/>
  <c r="LM50" l="1"/>
  <c r="LM36"/>
  <c r="LK43"/>
  <c r="LL28" s="1"/>
  <c r="LK44"/>
  <c r="LL29" s="1"/>
  <c r="LL47"/>
  <c r="LM32" s="1"/>
  <c r="LL30"/>
  <c r="LL46" s="1"/>
  <c r="LM33"/>
  <c r="LM49" s="1"/>
  <c r="LK39"/>
  <c r="LK26"/>
  <c r="LK40" s="1"/>
  <c r="LL25" s="1"/>
  <c r="TH21"/>
  <c r="TG22"/>
  <c r="LL45" l="1"/>
  <c r="LM30" s="1"/>
  <c r="LM48"/>
  <c r="LN33" s="1"/>
  <c r="LK42"/>
  <c r="LL27" s="1"/>
  <c r="LL43" s="1"/>
  <c r="LK41"/>
  <c r="LL26" s="1"/>
  <c r="LL40" s="1"/>
  <c r="LM25" s="1"/>
  <c r="LL44"/>
  <c r="LM29" s="1"/>
  <c r="LL39"/>
  <c r="LN34"/>
  <c r="LN36" s="1"/>
  <c r="LM31"/>
  <c r="LM47" s="1"/>
  <c r="TI21"/>
  <c r="TH22"/>
  <c r="LN49" l="1"/>
  <c r="LO34" s="1"/>
  <c r="LO36" s="1"/>
  <c r="LM45"/>
  <c r="LN30" s="1"/>
  <c r="LL42"/>
  <c r="LM27" s="1"/>
  <c r="LN50"/>
  <c r="LL41"/>
  <c r="LM26" s="1"/>
  <c r="LM46"/>
  <c r="LN31" s="1"/>
  <c r="LM39"/>
  <c r="LM28"/>
  <c r="LM44" s="1"/>
  <c r="LN32"/>
  <c r="LN48" s="1"/>
  <c r="TJ21"/>
  <c r="TI22"/>
  <c r="LN47" l="1"/>
  <c r="LO32" s="1"/>
  <c r="LM43"/>
  <c r="LN28" s="1"/>
  <c r="LO50"/>
  <c r="LM41"/>
  <c r="LN26" s="1"/>
  <c r="LM40"/>
  <c r="LN25" s="1"/>
  <c r="LN39" s="1"/>
  <c r="LM42"/>
  <c r="LN27" s="1"/>
  <c r="LN29"/>
  <c r="LN45" s="1"/>
  <c r="LN46"/>
  <c r="LO33"/>
  <c r="LO49" s="1"/>
  <c r="TK21"/>
  <c r="TJ22"/>
  <c r="LN43" l="1"/>
  <c r="LO28" s="1"/>
  <c r="LN40"/>
  <c r="LO25" s="1"/>
  <c r="LO39" s="1"/>
  <c r="LN44"/>
  <c r="LO29" s="1"/>
  <c r="LO48"/>
  <c r="LP33" s="1"/>
  <c r="LN41"/>
  <c r="LO26" s="1"/>
  <c r="LN42"/>
  <c r="LO27" s="1"/>
  <c r="LO30"/>
  <c r="LP34"/>
  <c r="LO31"/>
  <c r="LO47" s="1"/>
  <c r="TL21"/>
  <c r="TK22"/>
  <c r="LP49" l="1"/>
  <c r="LQ34" s="1"/>
  <c r="LO41"/>
  <c r="LP26" s="1"/>
  <c r="LO44"/>
  <c r="LP29" s="1"/>
  <c r="LO45"/>
  <c r="LP30" s="1"/>
  <c r="LO42"/>
  <c r="LP27" s="1"/>
  <c r="LP50"/>
  <c r="LP36"/>
  <c r="LO40"/>
  <c r="LP25" s="1"/>
  <c r="LP39" s="1"/>
  <c r="LO46"/>
  <c r="LP31" s="1"/>
  <c r="LO43"/>
  <c r="LP28" s="1"/>
  <c r="LP32"/>
  <c r="LP48" s="1"/>
  <c r="TM21"/>
  <c r="TL22"/>
  <c r="LP43" l="1"/>
  <c r="LQ28" s="1"/>
  <c r="LP47"/>
  <c r="LQ32" s="1"/>
  <c r="LP45"/>
  <c r="LQ30" s="1"/>
  <c r="LQ50"/>
  <c r="LQ36"/>
  <c r="LP41"/>
  <c r="LQ26" s="1"/>
  <c r="LP42"/>
  <c r="LQ27" s="1"/>
  <c r="LP46"/>
  <c r="LQ31" s="1"/>
  <c r="LP44"/>
  <c r="LQ29" s="1"/>
  <c r="LQ33"/>
  <c r="LQ49" s="1"/>
  <c r="LP40"/>
  <c r="LQ25" s="1"/>
  <c r="TN21"/>
  <c r="TM22"/>
  <c r="LQ48" l="1"/>
  <c r="LR33" s="1"/>
  <c r="LQ42"/>
  <c r="LR27" s="1"/>
  <c r="LQ46"/>
  <c r="LR31" s="1"/>
  <c r="LQ43"/>
  <c r="LR28" s="1"/>
  <c r="LQ44"/>
  <c r="LR29" s="1"/>
  <c r="LQ47"/>
  <c r="LR32" s="1"/>
  <c r="LQ45"/>
  <c r="LR30" s="1"/>
  <c r="LR34"/>
  <c r="LQ41"/>
  <c r="LQ40"/>
  <c r="LR25" s="1"/>
  <c r="LQ39"/>
  <c r="TO21"/>
  <c r="TN22"/>
  <c r="LR47" l="1"/>
  <c r="LS32" s="1"/>
  <c r="LR46"/>
  <c r="LS31" s="1"/>
  <c r="LR45"/>
  <c r="LS30" s="1"/>
  <c r="LR48"/>
  <c r="LS33" s="1"/>
  <c r="LR49"/>
  <c r="LS34" s="1"/>
  <c r="LR43"/>
  <c r="LS28" s="1"/>
  <c r="LR50"/>
  <c r="LR36"/>
  <c r="LR44"/>
  <c r="LS29" s="1"/>
  <c r="LR39"/>
  <c r="LR26"/>
  <c r="LR41" s="1"/>
  <c r="TP21"/>
  <c r="TO22"/>
  <c r="LS49" l="1"/>
  <c r="LT34" s="1"/>
  <c r="LS44"/>
  <c r="LT29" s="1"/>
  <c r="LS46"/>
  <c r="LT31" s="1"/>
  <c r="LS50"/>
  <c r="LS36"/>
  <c r="LR40"/>
  <c r="LS25" s="1"/>
  <c r="LS39" s="1"/>
  <c r="LS48"/>
  <c r="LT33" s="1"/>
  <c r="LR42"/>
  <c r="LS47"/>
  <c r="LT32" s="1"/>
  <c r="LS45"/>
  <c r="LT30" s="1"/>
  <c r="LS26"/>
  <c r="LS27"/>
  <c r="LS43" s="1"/>
  <c r="TQ21"/>
  <c r="TP22"/>
  <c r="LT45" l="1"/>
  <c r="LU30" s="1"/>
  <c r="LT48"/>
  <c r="LU33" s="1"/>
  <c r="LT49"/>
  <c r="LU34" s="1"/>
  <c r="LT50"/>
  <c r="LT36"/>
  <c r="LT47"/>
  <c r="LU32" s="1"/>
  <c r="LT46"/>
  <c r="LU31" s="1"/>
  <c r="LS42"/>
  <c r="LT27" s="1"/>
  <c r="LT28"/>
  <c r="LT44" s="1"/>
  <c r="LS41"/>
  <c r="LS40"/>
  <c r="LT25" s="1"/>
  <c r="TR21"/>
  <c r="TQ22"/>
  <c r="LT43" l="1"/>
  <c r="LU28" s="1"/>
  <c r="LU47"/>
  <c r="LV32" s="1"/>
  <c r="LU49"/>
  <c r="LV34" s="1"/>
  <c r="LU50"/>
  <c r="LU36"/>
  <c r="LU48"/>
  <c r="LV33" s="1"/>
  <c r="LU46"/>
  <c r="LV31" s="1"/>
  <c r="LU29"/>
  <c r="LU45" s="1"/>
  <c r="LT39"/>
  <c r="LT26"/>
  <c r="LT41" s="1"/>
  <c r="TS21"/>
  <c r="TR22"/>
  <c r="LV49" l="1"/>
  <c r="LW34" s="1"/>
  <c r="LV47"/>
  <c r="LW32" s="1"/>
  <c r="LV50"/>
  <c r="LV36"/>
  <c r="LT40"/>
  <c r="LU25" s="1"/>
  <c r="LU39" s="1"/>
  <c r="LT42"/>
  <c r="LU27" s="1"/>
  <c r="LU44"/>
  <c r="LV29" s="1"/>
  <c r="LV48"/>
  <c r="LW33" s="1"/>
  <c r="LU26"/>
  <c r="LV30"/>
  <c r="LV46" s="1"/>
  <c r="TT21"/>
  <c r="TS22"/>
  <c r="LW49" l="1"/>
  <c r="LU41"/>
  <c r="LV26" s="1"/>
  <c r="LW50"/>
  <c r="LW36"/>
  <c r="LU43"/>
  <c r="LV28" s="1"/>
  <c r="LV44" s="1"/>
  <c r="LV45"/>
  <c r="LW30" s="1"/>
  <c r="LW48"/>
  <c r="LX33" s="1"/>
  <c r="LU42"/>
  <c r="LV27" s="1"/>
  <c r="LX34"/>
  <c r="LW31"/>
  <c r="LW47" s="1"/>
  <c r="LU40"/>
  <c r="LV25" s="1"/>
  <c r="TU21"/>
  <c r="TT22"/>
  <c r="LX49" l="1"/>
  <c r="LY34" s="1"/>
  <c r="LV43"/>
  <c r="LW28" s="1"/>
  <c r="LW46"/>
  <c r="LX31" s="1"/>
  <c r="LX50"/>
  <c r="LX36"/>
  <c r="LV42"/>
  <c r="LW27" s="1"/>
  <c r="LX32"/>
  <c r="LX48" s="1"/>
  <c r="LW29"/>
  <c r="LW45" s="1"/>
  <c r="LV40"/>
  <c r="LW25" s="1"/>
  <c r="LV41"/>
  <c r="LV39"/>
  <c r="TV21"/>
  <c r="TU22"/>
  <c r="LX47" l="1"/>
  <c r="LY32" s="1"/>
  <c r="LW43"/>
  <c r="LX28" s="1"/>
  <c r="LY50"/>
  <c r="LY36"/>
  <c r="LW44"/>
  <c r="LX29" s="1"/>
  <c r="LX30"/>
  <c r="LX46" s="1"/>
  <c r="LY33"/>
  <c r="LY49" s="1"/>
  <c r="LW26"/>
  <c r="LW42" s="1"/>
  <c r="LW39"/>
  <c r="TW21"/>
  <c r="TV22"/>
  <c r="LW40" l="1"/>
  <c r="LX25" s="1"/>
  <c r="LX39" s="1"/>
  <c r="LX44"/>
  <c r="LY29" s="1"/>
  <c r="LY48"/>
  <c r="LZ33" s="1"/>
  <c r="LX45"/>
  <c r="LY30" s="1"/>
  <c r="LX27"/>
  <c r="LX43" s="1"/>
  <c r="LZ34"/>
  <c r="LY31"/>
  <c r="LY47" s="1"/>
  <c r="LW41"/>
  <c r="TX21"/>
  <c r="TW22"/>
  <c r="LZ49" l="1"/>
  <c r="MA34" s="1"/>
  <c r="LY46"/>
  <c r="LZ31" s="1"/>
  <c r="LZ50"/>
  <c r="LZ36"/>
  <c r="LY45"/>
  <c r="LZ30" s="1"/>
  <c r="LZ32"/>
  <c r="LZ48" s="1"/>
  <c r="LY28"/>
  <c r="LY44" s="1"/>
  <c r="LX26"/>
  <c r="LX42" s="1"/>
  <c r="TY21"/>
  <c r="TX22"/>
  <c r="MA50" l="1"/>
  <c r="MA36"/>
  <c r="LZ47"/>
  <c r="MA32" s="1"/>
  <c r="LZ46"/>
  <c r="MA31" s="1"/>
  <c r="LZ29"/>
  <c r="LZ45" s="1"/>
  <c r="MA33"/>
  <c r="MA49" s="1"/>
  <c r="LY27"/>
  <c r="LY43" s="1"/>
  <c r="LX40"/>
  <c r="LY25" s="1"/>
  <c r="LX41"/>
  <c r="TZ21"/>
  <c r="TY22"/>
  <c r="MA48" l="1"/>
  <c r="MB33" s="1"/>
  <c r="MA47"/>
  <c r="MB32" s="1"/>
  <c r="MB34"/>
  <c r="LZ28"/>
  <c r="LZ44" s="1"/>
  <c r="MA30"/>
  <c r="MA46" s="1"/>
  <c r="LY26"/>
  <c r="LY42" s="1"/>
  <c r="LY39"/>
  <c r="UA21"/>
  <c r="TZ22"/>
  <c r="MB50" l="1"/>
  <c r="MB36"/>
  <c r="LY40"/>
  <c r="LZ25" s="1"/>
  <c r="LZ39" s="1"/>
  <c r="MB48"/>
  <c r="MC33" s="1"/>
  <c r="MB49"/>
  <c r="MC34" s="1"/>
  <c r="LZ27"/>
  <c r="LZ43" s="1"/>
  <c r="MA29"/>
  <c r="MA45" s="1"/>
  <c r="MB31"/>
  <c r="MB47" s="1"/>
  <c r="LY41"/>
  <c r="UB21"/>
  <c r="UA22"/>
  <c r="MC49" l="1"/>
  <c r="MD34" s="1"/>
  <c r="MC50"/>
  <c r="MC36"/>
  <c r="MC32"/>
  <c r="MC48" s="1"/>
  <c r="MA28"/>
  <c r="MA44" s="1"/>
  <c r="MB30"/>
  <c r="MB46" s="1"/>
  <c r="LZ26"/>
  <c r="UC21"/>
  <c r="UB22"/>
  <c r="MD50" l="1"/>
  <c r="MD36"/>
  <c r="MC31"/>
  <c r="MC47" s="1"/>
  <c r="MB29"/>
  <c r="MB45" s="1"/>
  <c r="MD33"/>
  <c r="MD49" s="1"/>
  <c r="LZ40"/>
  <c r="MA25" s="1"/>
  <c r="LZ41"/>
  <c r="LZ42"/>
  <c r="UD21"/>
  <c r="UC22"/>
  <c r="MC30" l="1"/>
  <c r="MC46" s="1"/>
  <c r="ME34"/>
  <c r="MD32"/>
  <c r="MD48" s="1"/>
  <c r="MA27"/>
  <c r="MA43" s="1"/>
  <c r="MA39"/>
  <c r="MA26"/>
  <c r="MA40" s="1"/>
  <c r="MB25" s="1"/>
  <c r="UE21"/>
  <c r="UD22"/>
  <c r="ME50" l="1"/>
  <c r="ME36"/>
  <c r="MB39"/>
  <c r="MB28"/>
  <c r="MB44" s="1"/>
  <c r="ME33"/>
  <c r="ME49" s="1"/>
  <c r="MD31"/>
  <c r="MD47" s="1"/>
  <c r="MA42"/>
  <c r="MA41"/>
  <c r="UF21"/>
  <c r="UE22"/>
  <c r="MB27" l="1"/>
  <c r="MB43" s="1"/>
  <c r="ME32"/>
  <c r="ME48" s="1"/>
  <c r="MC29"/>
  <c r="MC45" s="1"/>
  <c r="MB26"/>
  <c r="MF34"/>
  <c r="UG21"/>
  <c r="UF22"/>
  <c r="MF50" l="1"/>
  <c r="MF36"/>
  <c r="MF33"/>
  <c r="MF49" s="1"/>
  <c r="MD30"/>
  <c r="MD46" s="1"/>
  <c r="MC28"/>
  <c r="MC44" s="1"/>
  <c r="MB41"/>
  <c r="MB40"/>
  <c r="MC25" s="1"/>
  <c r="MB42"/>
  <c r="UH21"/>
  <c r="UG22"/>
  <c r="ME31" l="1"/>
  <c r="ME47" s="1"/>
  <c r="MD29"/>
  <c r="MD45" s="1"/>
  <c r="MG34"/>
  <c r="MC27"/>
  <c r="MC43" s="1"/>
  <c r="MC26"/>
  <c r="MC39"/>
  <c r="UI21"/>
  <c r="UH22"/>
  <c r="MG50" l="1"/>
  <c r="MG36"/>
  <c r="MC42"/>
  <c r="MD27" s="1"/>
  <c r="MD28"/>
  <c r="MD44" s="1"/>
  <c r="ME30"/>
  <c r="ME46" s="1"/>
  <c r="MF32"/>
  <c r="MF48" s="1"/>
  <c r="MC40"/>
  <c r="MD25" s="1"/>
  <c r="MC41"/>
  <c r="UJ21"/>
  <c r="UI22"/>
  <c r="MD43" l="1"/>
  <c r="ME28" s="1"/>
  <c r="MG33"/>
  <c r="MG49" s="1"/>
  <c r="MF31"/>
  <c r="MF47" s="1"/>
  <c r="ME29"/>
  <c r="ME45" s="1"/>
  <c r="MD26"/>
  <c r="MD42" s="1"/>
  <c r="MD39"/>
  <c r="UK21"/>
  <c r="UJ22"/>
  <c r="ME44" l="1"/>
  <c r="MF29" s="1"/>
  <c r="MD40"/>
  <c r="ME25" s="1"/>
  <c r="ME39" s="1"/>
  <c r="MF30"/>
  <c r="MF46" s="1"/>
  <c r="MG32"/>
  <c r="MG48" s="1"/>
  <c r="ME27"/>
  <c r="ME43" s="1"/>
  <c r="MH34"/>
  <c r="MD41"/>
  <c r="UL21"/>
  <c r="UK22"/>
  <c r="MF45" l="1"/>
  <c r="MG30" s="1"/>
  <c r="MH50"/>
  <c r="MH36"/>
  <c r="MH33"/>
  <c r="MH49" s="1"/>
  <c r="MF28"/>
  <c r="MF44" s="1"/>
  <c r="MG31"/>
  <c r="MG47" s="1"/>
  <c r="ME26"/>
  <c r="UM21"/>
  <c r="UL22"/>
  <c r="MG46" l="1"/>
  <c r="MH31" s="1"/>
  <c r="MG29"/>
  <c r="MG45" s="1"/>
  <c r="MH32"/>
  <c r="MH48" s="1"/>
  <c r="MI34"/>
  <c r="ME41"/>
  <c r="ME40"/>
  <c r="MF25" s="1"/>
  <c r="ME42"/>
  <c r="UN21"/>
  <c r="UM22"/>
  <c r="MI50" l="1"/>
  <c r="MI36"/>
  <c r="MH47"/>
  <c r="MI32" s="1"/>
  <c r="MI33"/>
  <c r="MI49" s="1"/>
  <c r="MH30"/>
  <c r="MH46" s="1"/>
  <c r="MF39"/>
  <c r="MF27"/>
  <c r="MF43" s="1"/>
  <c r="MF26"/>
  <c r="UO21"/>
  <c r="UN22"/>
  <c r="MI48" l="1"/>
  <c r="MJ33" s="1"/>
  <c r="MF41"/>
  <c r="MG26" s="1"/>
  <c r="MF42"/>
  <c r="MG27" s="1"/>
  <c r="MF40"/>
  <c r="MG25" s="1"/>
  <c r="MG39" s="1"/>
  <c r="MJ34"/>
  <c r="MI31"/>
  <c r="MI47" s="1"/>
  <c r="MG28"/>
  <c r="MG44" s="1"/>
  <c r="UP21"/>
  <c r="UO22"/>
  <c r="MG40" l="1"/>
  <c r="MH25" s="1"/>
  <c r="MH39" s="1"/>
  <c r="MJ49"/>
  <c r="MK34" s="1"/>
  <c r="MG42"/>
  <c r="MH27" s="1"/>
  <c r="MJ50"/>
  <c r="MJ36"/>
  <c r="MG43"/>
  <c r="MH28" s="1"/>
  <c r="MH29"/>
  <c r="MH45" s="1"/>
  <c r="MJ32"/>
  <c r="MJ48" s="1"/>
  <c r="MG41"/>
  <c r="UQ21"/>
  <c r="UP22"/>
  <c r="MH44" l="1"/>
  <c r="MI29" s="1"/>
  <c r="MK50"/>
  <c r="MK36"/>
  <c r="MH43"/>
  <c r="MI28" s="1"/>
  <c r="MK33"/>
  <c r="MK49" s="1"/>
  <c r="MI30"/>
  <c r="MI46" s="1"/>
  <c r="MH26"/>
  <c r="MH42" s="1"/>
  <c r="UR21"/>
  <c r="UQ22"/>
  <c r="MI44" l="1"/>
  <c r="MJ29" s="1"/>
  <c r="MI45"/>
  <c r="MJ30" s="1"/>
  <c r="MJ31"/>
  <c r="MJ47" s="1"/>
  <c r="ML34"/>
  <c r="MI27"/>
  <c r="MI43" s="1"/>
  <c r="MH41"/>
  <c r="MH40"/>
  <c r="MI25" s="1"/>
  <c r="US21"/>
  <c r="UR22"/>
  <c r="MJ46" l="1"/>
  <c r="MK31" s="1"/>
  <c r="MJ45"/>
  <c r="MK30" s="1"/>
  <c r="ML50"/>
  <c r="ML36"/>
  <c r="MJ28"/>
  <c r="MJ44" s="1"/>
  <c r="MK32"/>
  <c r="MK48" s="1"/>
  <c r="MI39"/>
  <c r="MI26"/>
  <c r="MI41" s="1"/>
  <c r="UT21"/>
  <c r="US22"/>
  <c r="MI42" l="1"/>
  <c r="MJ27" s="1"/>
  <c r="MJ43" s="1"/>
  <c r="MI40"/>
  <c r="MJ25" s="1"/>
  <c r="MJ39" s="1"/>
  <c r="MK46"/>
  <c r="ML31" s="1"/>
  <c r="MK47"/>
  <c r="ML32" s="1"/>
  <c r="MJ26"/>
  <c r="ML33"/>
  <c r="ML49" s="1"/>
  <c r="MK29"/>
  <c r="MK45" s="1"/>
  <c r="UU21"/>
  <c r="UT22"/>
  <c r="ML48" l="1"/>
  <c r="MM33" s="1"/>
  <c r="MJ42"/>
  <c r="MK27" s="1"/>
  <c r="ML47"/>
  <c r="MM32" s="1"/>
  <c r="MK28"/>
  <c r="MK44" s="1"/>
  <c r="ML30"/>
  <c r="ML46" s="1"/>
  <c r="MM34"/>
  <c r="MJ40"/>
  <c r="MK25" s="1"/>
  <c r="MJ41"/>
  <c r="UV21"/>
  <c r="UU22"/>
  <c r="MM49" l="1"/>
  <c r="MN34" s="1"/>
  <c r="MK43"/>
  <c r="ML28" s="1"/>
  <c r="MM48"/>
  <c r="MN33" s="1"/>
  <c r="MM50"/>
  <c r="MM36"/>
  <c r="MM31"/>
  <c r="MM47" s="1"/>
  <c r="ML29"/>
  <c r="ML45" s="1"/>
  <c r="MK26"/>
  <c r="MK42" s="1"/>
  <c r="MK39"/>
  <c r="UW21"/>
  <c r="UV22"/>
  <c r="MK40" l="1"/>
  <c r="ML25" s="1"/>
  <c r="ML39" s="1"/>
  <c r="MN50"/>
  <c r="MN36"/>
  <c r="MN49"/>
  <c r="MO34" s="1"/>
  <c r="ML44"/>
  <c r="MM29" s="1"/>
  <c r="ML27"/>
  <c r="ML43" s="1"/>
  <c r="MM30"/>
  <c r="MM46" s="1"/>
  <c r="MN32"/>
  <c r="MN48" s="1"/>
  <c r="MK41"/>
  <c r="UX21"/>
  <c r="UW22"/>
  <c r="MM45" l="1"/>
  <c r="MN30" s="1"/>
  <c r="MO50"/>
  <c r="MO36"/>
  <c r="MO33"/>
  <c r="MO49" s="1"/>
  <c r="MN31"/>
  <c r="MN47" s="1"/>
  <c r="MM28"/>
  <c r="MM44" s="1"/>
  <c r="ML26"/>
  <c r="UY21"/>
  <c r="UX22"/>
  <c r="MN46" l="1"/>
  <c r="MO31" s="1"/>
  <c r="MN29"/>
  <c r="MN45" s="1"/>
  <c r="MO32"/>
  <c r="MO48" s="1"/>
  <c r="MP34"/>
  <c r="ML41"/>
  <c r="ML40"/>
  <c r="MM25" s="1"/>
  <c r="ML42"/>
  <c r="UZ21"/>
  <c r="UY22"/>
  <c r="MO47" l="1"/>
  <c r="MP32" s="1"/>
  <c r="MP50"/>
  <c r="MP36"/>
  <c r="MP33"/>
  <c r="MP49" s="1"/>
  <c r="MO30"/>
  <c r="MO46" s="1"/>
  <c r="MM39"/>
  <c r="MM27"/>
  <c r="MM43" s="1"/>
  <c r="MM26"/>
  <c r="VA21"/>
  <c r="UZ22"/>
  <c r="MM41" l="1"/>
  <c r="MN26" s="1"/>
  <c r="MM42"/>
  <c r="MN27" s="1"/>
  <c r="MP48"/>
  <c r="MQ33" s="1"/>
  <c r="MQ34"/>
  <c r="MP31"/>
  <c r="MP47" s="1"/>
  <c r="MN28"/>
  <c r="MN44" s="1"/>
  <c r="MM40"/>
  <c r="MN25" s="1"/>
  <c r="VB21"/>
  <c r="VA22"/>
  <c r="MQ49" l="1"/>
  <c r="MR34" s="1"/>
  <c r="MQ50"/>
  <c r="MQ36"/>
  <c r="MN43"/>
  <c r="MO28" s="1"/>
  <c r="MN42"/>
  <c r="MO27" s="1"/>
  <c r="MQ32"/>
  <c r="MQ48" s="1"/>
  <c r="MO29"/>
  <c r="MO45" s="1"/>
  <c r="MN41"/>
  <c r="MN39"/>
  <c r="MN40"/>
  <c r="MO25" s="1"/>
  <c r="VC21"/>
  <c r="VB22"/>
  <c r="MO43" l="1"/>
  <c r="MP28" s="1"/>
  <c r="MR50"/>
  <c r="MR36"/>
  <c r="MO44"/>
  <c r="MP29" s="1"/>
  <c r="MP30"/>
  <c r="MP46" s="1"/>
  <c r="MR33"/>
  <c r="MR49" s="1"/>
  <c r="MO39"/>
  <c r="MO26"/>
  <c r="MO41" s="1"/>
  <c r="VD21"/>
  <c r="VC22"/>
  <c r="MO42" l="1"/>
  <c r="MP27" s="1"/>
  <c r="MP43" s="1"/>
  <c r="MO40"/>
  <c r="MP25" s="1"/>
  <c r="MP39" s="1"/>
  <c r="MP44"/>
  <c r="MQ29" s="1"/>
  <c r="MP45"/>
  <c r="MQ30" s="1"/>
  <c r="MP26"/>
  <c r="MS34"/>
  <c r="MQ31"/>
  <c r="MQ47" s="1"/>
  <c r="VE21"/>
  <c r="VD22"/>
  <c r="MP42" l="1"/>
  <c r="MS50"/>
  <c r="MS36"/>
  <c r="MP40"/>
  <c r="MQ25" s="1"/>
  <c r="MQ39" s="1"/>
  <c r="MQ45"/>
  <c r="MR30" s="1"/>
  <c r="MQ46"/>
  <c r="MR31" s="1"/>
  <c r="MQ28"/>
  <c r="MQ44" s="1"/>
  <c r="MR32"/>
  <c r="MR48" s="1"/>
  <c r="MQ27"/>
  <c r="MP41"/>
  <c r="VF21"/>
  <c r="VE22"/>
  <c r="MQ43" l="1"/>
  <c r="MR28" s="1"/>
  <c r="MR47"/>
  <c r="MS32" s="1"/>
  <c r="MR46"/>
  <c r="MS31" s="1"/>
  <c r="MS33"/>
  <c r="MS49" s="1"/>
  <c r="MR29"/>
  <c r="MR45" s="1"/>
  <c r="MQ26"/>
  <c r="VG21"/>
  <c r="VF22"/>
  <c r="MS48" l="1"/>
  <c r="MT33" s="1"/>
  <c r="MS47"/>
  <c r="MT32" s="1"/>
  <c r="MR44"/>
  <c r="MS29" s="1"/>
  <c r="MS30"/>
  <c r="MS46" s="1"/>
  <c r="MT34"/>
  <c r="MQ41"/>
  <c r="MQ40"/>
  <c r="MR25" s="1"/>
  <c r="MQ42"/>
  <c r="VH21"/>
  <c r="VG22"/>
  <c r="MT48" l="1"/>
  <c r="MU33" s="1"/>
  <c r="MS45"/>
  <c r="MT30" s="1"/>
  <c r="MT50"/>
  <c r="MT36"/>
  <c r="MT49"/>
  <c r="MU34" s="1"/>
  <c r="MT31"/>
  <c r="MT47" s="1"/>
  <c r="MR39"/>
  <c r="MR27"/>
  <c r="MR43" s="1"/>
  <c r="MR26"/>
  <c r="VI21"/>
  <c r="VH22"/>
  <c r="MU50" l="1"/>
  <c r="MU36"/>
  <c r="MR41"/>
  <c r="MS26" s="1"/>
  <c r="MT46"/>
  <c r="MU31" s="1"/>
  <c r="MR42"/>
  <c r="MS27" s="1"/>
  <c r="MU49"/>
  <c r="MV34" s="1"/>
  <c r="MU32"/>
  <c r="MU48" s="1"/>
  <c r="MS28"/>
  <c r="MS44" s="1"/>
  <c r="MR40"/>
  <c r="MS25" s="1"/>
  <c r="VJ21"/>
  <c r="VI22"/>
  <c r="MS43" l="1"/>
  <c r="MT28" s="1"/>
  <c r="MU47"/>
  <c r="MV32" s="1"/>
  <c r="MV50"/>
  <c r="MV36"/>
  <c r="MS42"/>
  <c r="MT27" s="1"/>
  <c r="MT29"/>
  <c r="MT45" s="1"/>
  <c r="MV33"/>
  <c r="MV49" s="1"/>
  <c r="MS41"/>
  <c r="MS40"/>
  <c r="MT25" s="1"/>
  <c r="MS39"/>
  <c r="VK21"/>
  <c r="VJ22"/>
  <c r="MT44" l="1"/>
  <c r="MU29" s="1"/>
  <c r="MT43"/>
  <c r="MU28" s="1"/>
  <c r="MV48"/>
  <c r="MW33" s="1"/>
  <c r="MW34"/>
  <c r="MU30"/>
  <c r="MU46" s="1"/>
  <c r="MT39"/>
  <c r="MT26"/>
  <c r="MT41" s="1"/>
  <c r="VL21"/>
  <c r="VK22"/>
  <c r="MW49" l="1"/>
  <c r="MX34" s="1"/>
  <c r="MU45"/>
  <c r="MV30" s="1"/>
  <c r="MT40"/>
  <c r="MU25" s="1"/>
  <c r="MT42"/>
  <c r="MU27" s="1"/>
  <c r="MU43" s="1"/>
  <c r="MU44"/>
  <c r="MV29" s="1"/>
  <c r="MW50"/>
  <c r="MW36"/>
  <c r="MV31"/>
  <c r="MV47" s="1"/>
  <c r="MU26"/>
  <c r="VM21"/>
  <c r="VL22"/>
  <c r="MV46" l="1"/>
  <c r="MW31" s="1"/>
  <c r="MU40"/>
  <c r="MV25" s="1"/>
  <c r="MV39" s="1"/>
  <c r="MU39"/>
  <c r="MX50"/>
  <c r="MX36"/>
  <c r="MU42"/>
  <c r="MV27" s="1"/>
  <c r="MV45"/>
  <c r="MW30" s="1"/>
  <c r="MW32"/>
  <c r="MW48" s="1"/>
  <c r="MV28"/>
  <c r="MV44" s="1"/>
  <c r="MU41"/>
  <c r="VN21"/>
  <c r="VM22"/>
  <c r="MW46" l="1"/>
  <c r="MX31" s="1"/>
  <c r="MW47"/>
  <c r="MX32" s="1"/>
  <c r="MV43"/>
  <c r="MW28" s="1"/>
  <c r="MW29"/>
  <c r="MW45" s="1"/>
  <c r="MX33"/>
  <c r="MX49" s="1"/>
  <c r="MV26"/>
  <c r="VO21"/>
  <c r="VN22"/>
  <c r="MW44" l="1"/>
  <c r="MX29" s="1"/>
  <c r="MX48"/>
  <c r="MY33" s="1"/>
  <c r="MX47"/>
  <c r="MY32" s="1"/>
  <c r="MY34"/>
  <c r="MX30"/>
  <c r="MV41"/>
  <c r="MV40"/>
  <c r="MW25" s="1"/>
  <c r="MV42"/>
  <c r="VP21"/>
  <c r="VO22"/>
  <c r="MY49" l="1"/>
  <c r="MY48"/>
  <c r="MZ33" s="1"/>
  <c r="MX45"/>
  <c r="MY30" s="1"/>
  <c r="MY50"/>
  <c r="MY36"/>
  <c r="MX46"/>
  <c r="MY31" s="1"/>
  <c r="MY47" s="1"/>
  <c r="MW27"/>
  <c r="MW43" s="1"/>
  <c r="MW26"/>
  <c r="MZ34"/>
  <c r="MZ36" s="1"/>
  <c r="MW39"/>
  <c r="VQ21"/>
  <c r="VP22"/>
  <c r="MZ49" l="1"/>
  <c r="NA34" s="1"/>
  <c r="MW42"/>
  <c r="MX27" s="1"/>
  <c r="MY46"/>
  <c r="MZ31" s="1"/>
  <c r="MW40"/>
  <c r="MX25" s="1"/>
  <c r="MX39" s="1"/>
  <c r="MW41"/>
  <c r="MX26" s="1"/>
  <c r="MZ50"/>
  <c r="MZ32"/>
  <c r="MZ48" s="1"/>
  <c r="MX28"/>
  <c r="MX44" s="1"/>
  <c r="VR21"/>
  <c r="VQ22"/>
  <c r="MX43" l="1"/>
  <c r="MY28" s="1"/>
  <c r="MX40"/>
  <c r="MY25" s="1"/>
  <c r="MY39" s="1"/>
  <c r="MZ47"/>
  <c r="NA32" s="1"/>
  <c r="NA50"/>
  <c r="NA36"/>
  <c r="MY29"/>
  <c r="MY45" s="1"/>
  <c r="NA33"/>
  <c r="NA49" s="1"/>
  <c r="MX41"/>
  <c r="MX42"/>
  <c r="VS21"/>
  <c r="VR22"/>
  <c r="MY44" l="1"/>
  <c r="MZ29" s="1"/>
  <c r="NA48"/>
  <c r="NB33" s="1"/>
  <c r="NB34"/>
  <c r="NB36" s="1"/>
  <c r="MZ30"/>
  <c r="MZ46" s="1"/>
  <c r="MY27"/>
  <c r="MY43" s="1"/>
  <c r="MY26"/>
  <c r="VT21"/>
  <c r="VS22"/>
  <c r="MZ45" l="1"/>
  <c r="NA30" s="1"/>
  <c r="MY42"/>
  <c r="MZ27" s="1"/>
  <c r="NB49"/>
  <c r="NC34" s="1"/>
  <c r="NB50"/>
  <c r="NA31"/>
  <c r="NA47" s="1"/>
  <c r="MZ28"/>
  <c r="MZ44" s="1"/>
  <c r="MY40"/>
  <c r="MZ25" s="1"/>
  <c r="MY41"/>
  <c r="VU21"/>
  <c r="VT22"/>
  <c r="NC50" l="1"/>
  <c r="NC36"/>
  <c r="NA46"/>
  <c r="NB31" s="1"/>
  <c r="MZ43"/>
  <c r="NA28" s="1"/>
  <c r="NA29"/>
  <c r="NA45" s="1"/>
  <c r="NB32"/>
  <c r="NB48" s="1"/>
  <c r="MZ26"/>
  <c r="MZ42" s="1"/>
  <c r="MZ39"/>
  <c r="VV21"/>
  <c r="VU22"/>
  <c r="NA44" l="1"/>
  <c r="NB29" s="1"/>
  <c r="MZ40"/>
  <c r="NA25" s="1"/>
  <c r="NA39" s="1"/>
  <c r="NB47"/>
  <c r="NC32" s="1"/>
  <c r="NC33"/>
  <c r="NC49" s="1"/>
  <c r="NA27"/>
  <c r="NA43" s="1"/>
  <c r="NB30"/>
  <c r="NB46" s="1"/>
  <c r="MZ41"/>
  <c r="VW21"/>
  <c r="VV22"/>
  <c r="NC48" l="1"/>
  <c r="ND33" s="1"/>
  <c r="NB45"/>
  <c r="NC30" s="1"/>
  <c r="NC31"/>
  <c r="NC47" s="1"/>
  <c r="NB28"/>
  <c r="NB44" s="1"/>
  <c r="ND34"/>
  <c r="NA26"/>
  <c r="VX21"/>
  <c r="VW22"/>
  <c r="ND49" l="1"/>
  <c r="NE34" s="1"/>
  <c r="NC46"/>
  <c r="ND31" s="1"/>
  <c r="ND50"/>
  <c r="ND36"/>
  <c r="NC29"/>
  <c r="NC45" s="1"/>
  <c r="ND32"/>
  <c r="ND48" s="1"/>
  <c r="NA41"/>
  <c r="NA40"/>
  <c r="NB25" s="1"/>
  <c r="NA42"/>
  <c r="VY21"/>
  <c r="VX22"/>
  <c r="NE50" l="1"/>
  <c r="NE36"/>
  <c r="ND47"/>
  <c r="NE32" s="1"/>
  <c r="NE33"/>
  <c r="NE49" s="1"/>
  <c r="ND30"/>
  <c r="ND46" s="1"/>
  <c r="NB39"/>
  <c r="NB27"/>
  <c r="NB43" s="1"/>
  <c r="NB26"/>
  <c r="VZ21"/>
  <c r="VY22"/>
  <c r="NB41" l="1"/>
  <c r="NC26" s="1"/>
  <c r="NB40"/>
  <c r="NC25" s="1"/>
  <c r="NC39" s="1"/>
  <c r="NB42"/>
  <c r="NC27" s="1"/>
  <c r="NE48"/>
  <c r="NF33" s="1"/>
  <c r="NE31"/>
  <c r="NE47" s="1"/>
  <c r="NF34"/>
  <c r="NC28"/>
  <c r="NC44" s="1"/>
  <c r="WA21"/>
  <c r="VZ22"/>
  <c r="NF49" l="1"/>
  <c r="NG34" s="1"/>
  <c r="NC40"/>
  <c r="ND25" s="1"/>
  <c r="ND39" s="1"/>
  <c r="NC43"/>
  <c r="ND28" s="1"/>
  <c r="NF50"/>
  <c r="NF36"/>
  <c r="NC42"/>
  <c r="ND27" s="1"/>
  <c r="ND29"/>
  <c r="ND45" s="1"/>
  <c r="NF32"/>
  <c r="NF48" s="1"/>
  <c r="NC41"/>
  <c r="WB21"/>
  <c r="WA22"/>
  <c r="ND44" l="1"/>
  <c r="NE29" s="1"/>
  <c r="ND43"/>
  <c r="NE28" s="1"/>
  <c r="NG50"/>
  <c r="NG36"/>
  <c r="NG33"/>
  <c r="NG49" s="1"/>
  <c r="NE30"/>
  <c r="NE46" s="1"/>
  <c r="ND26"/>
  <c r="WC21"/>
  <c r="WB22"/>
  <c r="NE45" l="1"/>
  <c r="NF30" s="1"/>
  <c r="NE44"/>
  <c r="NF29" s="1"/>
  <c r="NF31"/>
  <c r="NF47" s="1"/>
  <c r="NH34"/>
  <c r="ND40"/>
  <c r="NE25" s="1"/>
  <c r="ND41"/>
  <c r="ND42"/>
  <c r="WD21"/>
  <c r="WC22"/>
  <c r="NF46" l="1"/>
  <c r="NG31" s="1"/>
  <c r="NH50"/>
  <c r="NH36"/>
  <c r="NF45"/>
  <c r="NG30" s="1"/>
  <c r="NG32"/>
  <c r="NG48" s="1"/>
  <c r="NE26"/>
  <c r="NE40" s="1"/>
  <c r="NF25" s="1"/>
  <c r="NE27"/>
  <c r="NE43" s="1"/>
  <c r="NE39"/>
  <c r="WE21"/>
  <c r="WD22"/>
  <c r="NG46" l="1"/>
  <c r="NH31" s="1"/>
  <c r="NE42"/>
  <c r="NF27" s="1"/>
  <c r="NG47"/>
  <c r="NH32" s="1"/>
  <c r="NH33"/>
  <c r="NH49" s="1"/>
  <c r="NF28"/>
  <c r="NF44" s="1"/>
  <c r="NF39"/>
  <c r="NE41"/>
  <c r="WF21"/>
  <c r="WE22"/>
  <c r="NF43" l="1"/>
  <c r="NG28" s="1"/>
  <c r="NH48"/>
  <c r="NI33" s="1"/>
  <c r="NH47"/>
  <c r="NI32" s="1"/>
  <c r="NG29"/>
  <c r="NG45" s="1"/>
  <c r="NI34"/>
  <c r="NF26"/>
  <c r="WG21"/>
  <c r="WF22"/>
  <c r="NI48" l="1"/>
  <c r="NJ33" s="1"/>
  <c r="NI50"/>
  <c r="NI36"/>
  <c r="NI49"/>
  <c r="NJ34" s="1"/>
  <c r="NG44"/>
  <c r="NH29" s="1"/>
  <c r="NH30"/>
  <c r="NH46" s="1"/>
  <c r="NF41"/>
  <c r="NF40"/>
  <c r="NG25" s="1"/>
  <c r="NF42"/>
  <c r="WH21"/>
  <c r="WG22"/>
  <c r="NJ50" l="1"/>
  <c r="NJ36"/>
  <c r="NH45"/>
  <c r="NI30" s="1"/>
  <c r="NJ49"/>
  <c r="NK34" s="1"/>
  <c r="NI31"/>
  <c r="NI47" s="1"/>
  <c r="NG39"/>
  <c r="NG27"/>
  <c r="NG43" s="1"/>
  <c r="NG26"/>
  <c r="WI21"/>
  <c r="WH22"/>
  <c r="NG41" l="1"/>
  <c r="NH26" s="1"/>
  <c r="NI46"/>
  <c r="NJ31" s="1"/>
  <c r="NK50"/>
  <c r="NK36"/>
  <c r="NG42"/>
  <c r="NH27" s="1"/>
  <c r="NG40"/>
  <c r="NH25" s="1"/>
  <c r="NH39" s="1"/>
  <c r="NJ32"/>
  <c r="NJ48" s="1"/>
  <c r="NH28"/>
  <c r="NH44" s="1"/>
  <c r="WJ21"/>
  <c r="WI22"/>
  <c r="NH40" l="1"/>
  <c r="NI25" s="1"/>
  <c r="NI39" s="1"/>
  <c r="NH43"/>
  <c r="NI28" s="1"/>
  <c r="NJ47"/>
  <c r="NK32" s="1"/>
  <c r="NH42"/>
  <c r="NI27" s="1"/>
  <c r="NK33"/>
  <c r="NK49" s="1"/>
  <c r="NI29"/>
  <c r="NI45" s="1"/>
  <c r="NH41"/>
  <c r="WK21"/>
  <c r="WJ22"/>
  <c r="NK48" l="1"/>
  <c r="NL33" s="1"/>
  <c r="NI43"/>
  <c r="NJ28" s="1"/>
  <c r="NI44"/>
  <c r="NJ29" s="1"/>
  <c r="NL34"/>
  <c r="NJ30"/>
  <c r="NJ46" s="1"/>
  <c r="NI26"/>
  <c r="WL21"/>
  <c r="WK22"/>
  <c r="NJ45" l="1"/>
  <c r="NK30" s="1"/>
  <c r="NL50"/>
  <c r="NL36"/>
  <c r="NJ44"/>
  <c r="NK29" s="1"/>
  <c r="NL49"/>
  <c r="NM34" s="1"/>
  <c r="NK31"/>
  <c r="NK47" s="1"/>
  <c r="NI41"/>
  <c r="NI40"/>
  <c r="NJ25" s="1"/>
  <c r="NI42"/>
  <c r="WM21"/>
  <c r="WL22"/>
  <c r="NK45" l="1"/>
  <c r="NL30" s="1"/>
  <c r="NM50"/>
  <c r="NM36"/>
  <c r="NK46"/>
  <c r="NL31" s="1"/>
  <c r="NL32"/>
  <c r="NL48" s="1"/>
  <c r="NJ39"/>
  <c r="NJ27"/>
  <c r="NJ43" s="1"/>
  <c r="NJ26"/>
  <c r="WN21"/>
  <c r="WM22"/>
  <c r="NJ41" l="1"/>
  <c r="NK26" s="1"/>
  <c r="NL47"/>
  <c r="NM32" s="1"/>
  <c r="NJ42"/>
  <c r="NK27" s="1"/>
  <c r="NJ40"/>
  <c r="NK25" s="1"/>
  <c r="NK39" s="1"/>
  <c r="NL46"/>
  <c r="NM31" s="1"/>
  <c r="NM33"/>
  <c r="NM49" s="1"/>
  <c r="NK28"/>
  <c r="NK44" s="1"/>
  <c r="WO21"/>
  <c r="WN22"/>
  <c r="NK40" l="1"/>
  <c r="NL25" s="1"/>
  <c r="NL39" s="1"/>
  <c r="NM47"/>
  <c r="NN32" s="1"/>
  <c r="NM48"/>
  <c r="NN33" s="1"/>
  <c r="NK42"/>
  <c r="NL27" s="1"/>
  <c r="NK43"/>
  <c r="NL28" s="1"/>
  <c r="NL29"/>
  <c r="NL45" s="1"/>
  <c r="NN34"/>
  <c r="NK41"/>
  <c r="WP21"/>
  <c r="WO22"/>
  <c r="NL43" l="1"/>
  <c r="NM28" s="1"/>
  <c r="NL44"/>
  <c r="NM29" s="1"/>
  <c r="NN50"/>
  <c r="NN36"/>
  <c r="NN48"/>
  <c r="NO33" s="1"/>
  <c r="NN49"/>
  <c r="NO34" s="1"/>
  <c r="NM30"/>
  <c r="NM46" s="1"/>
  <c r="NL26"/>
  <c r="WQ21"/>
  <c r="WP22"/>
  <c r="NO50" l="1"/>
  <c r="NO36"/>
  <c r="NO49"/>
  <c r="NP34" s="1"/>
  <c r="NM44"/>
  <c r="NN29" s="1"/>
  <c r="NM45"/>
  <c r="NN30" s="1"/>
  <c r="NN31"/>
  <c r="NN47" s="1"/>
  <c r="NL41"/>
  <c r="NL40"/>
  <c r="NM25" s="1"/>
  <c r="NL42"/>
  <c r="WR21"/>
  <c r="WQ22"/>
  <c r="NN46" l="1"/>
  <c r="NO31" s="1"/>
  <c r="NP50"/>
  <c r="NP36"/>
  <c r="NN45"/>
  <c r="NO30" s="1"/>
  <c r="NO32"/>
  <c r="NO48" s="1"/>
  <c r="NM39"/>
  <c r="NM27"/>
  <c r="NM43" s="1"/>
  <c r="NM26"/>
  <c r="NM40" s="1"/>
  <c r="NN25" s="1"/>
  <c r="WS21"/>
  <c r="WR22"/>
  <c r="NO46" l="1"/>
  <c r="NP31" s="1"/>
  <c r="NO47"/>
  <c r="NP32" s="1"/>
  <c r="NN28"/>
  <c r="NN44" s="1"/>
  <c r="NN39"/>
  <c r="NP33"/>
  <c r="NP49" s="1"/>
  <c r="NM41"/>
  <c r="NM42"/>
  <c r="WT21"/>
  <c r="WS22"/>
  <c r="NP48" l="1"/>
  <c r="NQ33" s="1"/>
  <c r="NP47"/>
  <c r="NQ32" s="1"/>
  <c r="NQ34"/>
  <c r="NQ36" s="1"/>
  <c r="NN27"/>
  <c r="NN43" s="1"/>
  <c r="NO29"/>
  <c r="NO45" s="1"/>
  <c r="NN26"/>
  <c r="NN42" s="1"/>
  <c r="WU21"/>
  <c r="WT22"/>
  <c r="NQ48" l="1"/>
  <c r="NR33" s="1"/>
  <c r="NQ49"/>
  <c r="NR34" s="1"/>
  <c r="NQ50"/>
  <c r="NO27"/>
  <c r="NP30"/>
  <c r="NP46" s="1"/>
  <c r="NO28"/>
  <c r="NO44" s="1"/>
  <c r="NN41"/>
  <c r="NN40"/>
  <c r="NO25" s="1"/>
  <c r="WV21"/>
  <c r="WU22"/>
  <c r="NR49" l="1"/>
  <c r="NS34" s="1"/>
  <c r="NR50"/>
  <c r="NR36"/>
  <c r="NO43"/>
  <c r="NP28" s="1"/>
  <c r="NQ31"/>
  <c r="NQ47" s="1"/>
  <c r="NP29"/>
  <c r="NP45" s="1"/>
  <c r="NO39"/>
  <c r="NO26"/>
  <c r="NO41" s="1"/>
  <c r="WW21"/>
  <c r="WV22"/>
  <c r="NO42" l="1"/>
  <c r="NP27" s="1"/>
  <c r="NP43" s="1"/>
  <c r="NS50"/>
  <c r="NS36"/>
  <c r="NO40"/>
  <c r="NP25" s="1"/>
  <c r="NP44"/>
  <c r="NQ29" s="1"/>
  <c r="NP26"/>
  <c r="NR32"/>
  <c r="NR48" s="1"/>
  <c r="NQ30"/>
  <c r="NQ46" s="1"/>
  <c r="WX21"/>
  <c r="WW22"/>
  <c r="NP41" l="1"/>
  <c r="NQ26" s="1"/>
  <c r="NP39"/>
  <c r="NQ45"/>
  <c r="NR30" s="1"/>
  <c r="NP42"/>
  <c r="NQ27" s="1"/>
  <c r="NR31"/>
  <c r="NR47" s="1"/>
  <c r="NQ28"/>
  <c r="NQ44" s="1"/>
  <c r="NS33"/>
  <c r="NS49" s="1"/>
  <c r="NP40"/>
  <c r="NQ25" s="1"/>
  <c r="WY21"/>
  <c r="WX22"/>
  <c r="NR46" l="1"/>
  <c r="NS31" s="1"/>
  <c r="NQ43"/>
  <c r="NR28" s="1"/>
  <c r="NQ42"/>
  <c r="NR27" s="1"/>
  <c r="NT34"/>
  <c r="NR29"/>
  <c r="NR45" s="1"/>
  <c r="NS32"/>
  <c r="NS48" s="1"/>
  <c r="NQ39"/>
  <c r="NQ41"/>
  <c r="NQ40"/>
  <c r="NR25" s="1"/>
  <c r="WZ21"/>
  <c r="WY22"/>
  <c r="NR44" l="1"/>
  <c r="NS29" s="1"/>
  <c r="NR43"/>
  <c r="NS28" s="1"/>
  <c r="NT50"/>
  <c r="NT36"/>
  <c r="NS47"/>
  <c r="NT32" s="1"/>
  <c r="NT33"/>
  <c r="NT49" s="1"/>
  <c r="NS30"/>
  <c r="NS46" s="1"/>
  <c r="NR26"/>
  <c r="NR42" s="1"/>
  <c r="NR39"/>
  <c r="XA21"/>
  <c r="WZ22"/>
  <c r="NS45" l="1"/>
  <c r="NT30" s="1"/>
  <c r="NT48"/>
  <c r="NU33" s="1"/>
  <c r="NR41"/>
  <c r="NS26" s="1"/>
  <c r="NS44"/>
  <c r="NT29" s="1"/>
  <c r="NS27"/>
  <c r="NS43" s="1"/>
  <c r="NT31"/>
  <c r="NT47" s="1"/>
  <c r="NU34"/>
  <c r="NR40"/>
  <c r="NS25" s="1"/>
  <c r="XB21"/>
  <c r="XA22"/>
  <c r="NS42" l="1"/>
  <c r="NT27" s="1"/>
  <c r="NT45"/>
  <c r="NU30" s="1"/>
  <c r="NT46"/>
  <c r="NU31" s="1"/>
  <c r="NU50"/>
  <c r="NU36"/>
  <c r="NU49"/>
  <c r="NV34" s="1"/>
  <c r="NU32"/>
  <c r="NU48" s="1"/>
  <c r="NT28"/>
  <c r="NT44" s="1"/>
  <c r="NS40"/>
  <c r="NT25" s="1"/>
  <c r="NS41"/>
  <c r="NS39"/>
  <c r="XC21"/>
  <c r="XB22"/>
  <c r="NU47" l="1"/>
  <c r="NV32" s="1"/>
  <c r="NT43"/>
  <c r="NU28" s="1"/>
  <c r="NU46"/>
  <c r="NV31" s="1"/>
  <c r="NV50"/>
  <c r="NV36"/>
  <c r="NU29"/>
  <c r="NU45" s="1"/>
  <c r="NV33"/>
  <c r="NV49" s="1"/>
  <c r="NT26"/>
  <c r="NT42" s="1"/>
  <c r="NT39"/>
  <c r="XD21"/>
  <c r="XC22"/>
  <c r="NU44" l="1"/>
  <c r="NV29" s="1"/>
  <c r="NV47"/>
  <c r="NW32" s="1"/>
  <c r="NV48"/>
  <c r="NW33" s="1"/>
  <c r="NU27"/>
  <c r="NU43" s="1"/>
  <c r="NW34"/>
  <c r="NV30"/>
  <c r="NV46" s="1"/>
  <c r="NT41"/>
  <c r="NT40"/>
  <c r="NU25" s="1"/>
  <c r="XE21"/>
  <c r="XD22"/>
  <c r="NW49" l="1"/>
  <c r="NX34" s="1"/>
  <c r="NW48"/>
  <c r="NX33" s="1"/>
  <c r="NV45"/>
  <c r="NW30" s="1"/>
  <c r="NW50"/>
  <c r="NW36"/>
  <c r="NW31"/>
  <c r="NW47" s="1"/>
  <c r="NV28"/>
  <c r="NV44" s="1"/>
  <c r="NU39"/>
  <c r="NU26"/>
  <c r="NU40" s="1"/>
  <c r="NV25" s="1"/>
  <c r="XF21"/>
  <c r="XE22"/>
  <c r="NW46" l="1"/>
  <c r="NU42"/>
  <c r="NV27" s="1"/>
  <c r="NV43" s="1"/>
  <c r="NX50"/>
  <c r="NX36"/>
  <c r="NX49"/>
  <c r="NY34" s="1"/>
  <c r="NU41"/>
  <c r="NV26" s="1"/>
  <c r="NV39"/>
  <c r="NW29"/>
  <c r="NW45" s="1"/>
  <c r="NX31"/>
  <c r="NX32"/>
  <c r="NX48" s="1"/>
  <c r="XG21"/>
  <c r="XF22"/>
  <c r="NX47" l="1"/>
  <c r="NY32" s="1"/>
  <c r="NY36"/>
  <c r="NY50"/>
  <c r="NV41"/>
  <c r="NW26" s="1"/>
  <c r="NW28"/>
  <c r="NW44" s="1"/>
  <c r="NY33"/>
  <c r="NY49" s="1"/>
  <c r="NX30"/>
  <c r="NX46" s="1"/>
  <c r="NV40"/>
  <c r="NW25" s="1"/>
  <c r="NV42"/>
  <c r="XH21"/>
  <c r="XG22"/>
  <c r="NY48" l="1"/>
  <c r="NZ33" s="1"/>
  <c r="NZ34"/>
  <c r="NY31"/>
  <c r="NY47" s="1"/>
  <c r="NX29"/>
  <c r="NX45" s="1"/>
  <c r="NW27"/>
  <c r="NW42" s="1"/>
  <c r="NW40"/>
  <c r="NX25" s="1"/>
  <c r="NW39"/>
  <c r="XI21"/>
  <c r="XH22"/>
  <c r="NW41" l="1"/>
  <c r="NX26" s="1"/>
  <c r="NW43"/>
  <c r="NX28" s="1"/>
  <c r="NX44" s="1"/>
  <c r="NZ50"/>
  <c r="NZ36"/>
  <c r="NZ49"/>
  <c r="OA34" s="1"/>
  <c r="NX27"/>
  <c r="NY30"/>
  <c r="NY46" s="1"/>
  <c r="NZ32"/>
  <c r="NZ48" s="1"/>
  <c r="NX39"/>
  <c r="XJ21"/>
  <c r="XI22"/>
  <c r="NX43" l="1"/>
  <c r="NY28" s="1"/>
  <c r="NX41"/>
  <c r="NY26" s="1"/>
  <c r="OA50"/>
  <c r="OA36"/>
  <c r="NX42"/>
  <c r="NY27" s="1"/>
  <c r="OA33"/>
  <c r="OA49" s="1"/>
  <c r="NZ31"/>
  <c r="NZ47" s="1"/>
  <c r="NY29"/>
  <c r="NY45" s="1"/>
  <c r="NX40"/>
  <c r="NY25" s="1"/>
  <c r="XK21"/>
  <c r="XJ22"/>
  <c r="NY43" l="1"/>
  <c r="NZ28" s="1"/>
  <c r="NY42"/>
  <c r="NZ27" s="1"/>
  <c r="NY44"/>
  <c r="NZ29" s="1"/>
  <c r="NZ30"/>
  <c r="NZ46" s="1"/>
  <c r="OA32"/>
  <c r="OA48" s="1"/>
  <c r="OB34"/>
  <c r="NY39"/>
  <c r="NY40"/>
  <c r="NZ25" s="1"/>
  <c r="NY41"/>
  <c r="XL21"/>
  <c r="XK22"/>
  <c r="NZ45" l="1"/>
  <c r="OA30" s="1"/>
  <c r="NZ44"/>
  <c r="OA29" s="1"/>
  <c r="OB50"/>
  <c r="OB36"/>
  <c r="NZ43"/>
  <c r="OA28" s="1"/>
  <c r="OB33"/>
  <c r="OB49" s="1"/>
  <c r="OA31"/>
  <c r="OA47" s="1"/>
  <c r="NZ39"/>
  <c r="NZ26"/>
  <c r="NZ41" s="1"/>
  <c r="XM21"/>
  <c r="XL22"/>
  <c r="OA44" l="1"/>
  <c r="OA45"/>
  <c r="NZ42"/>
  <c r="NZ40"/>
  <c r="OA25" s="1"/>
  <c r="OA39" s="1"/>
  <c r="OA46"/>
  <c r="OB31" s="1"/>
  <c r="OC34"/>
  <c r="OA26"/>
  <c r="OB32"/>
  <c r="OB48" s="1"/>
  <c r="OB29"/>
  <c r="OB30"/>
  <c r="OA27"/>
  <c r="XN21"/>
  <c r="XM22"/>
  <c r="OA41" l="1"/>
  <c r="OB26" s="1"/>
  <c r="OC50"/>
  <c r="OC36"/>
  <c r="OB46"/>
  <c r="OC31" s="1"/>
  <c r="OB47"/>
  <c r="OC32" s="1"/>
  <c r="OA43"/>
  <c r="OB28" s="1"/>
  <c r="OB44" s="1"/>
  <c r="OB45"/>
  <c r="OC30" s="1"/>
  <c r="OA42"/>
  <c r="OB27" s="1"/>
  <c r="OC33"/>
  <c r="OC49" s="1"/>
  <c r="OA40"/>
  <c r="OB25" s="1"/>
  <c r="XO21"/>
  <c r="XN22"/>
  <c r="OC48" l="1"/>
  <c r="OD33" s="1"/>
  <c r="OC46"/>
  <c r="OD31" s="1"/>
  <c r="OB43"/>
  <c r="OC28" s="1"/>
  <c r="OC47"/>
  <c r="OD32" s="1"/>
  <c r="OB42"/>
  <c r="OC27" s="1"/>
  <c r="OD34"/>
  <c r="OC29"/>
  <c r="OC45" s="1"/>
  <c r="OB41"/>
  <c r="OB39"/>
  <c r="OB40"/>
  <c r="OC25" s="1"/>
  <c r="XP21"/>
  <c r="XO22"/>
  <c r="OD49" l="1"/>
  <c r="OD48"/>
  <c r="OE33" s="1"/>
  <c r="OD50"/>
  <c r="OD36"/>
  <c r="OC43"/>
  <c r="OD28" s="1"/>
  <c r="OC44"/>
  <c r="OD29" s="1"/>
  <c r="OD47"/>
  <c r="OE32" s="1"/>
  <c r="OD30"/>
  <c r="OD46" s="1"/>
  <c r="OE34"/>
  <c r="OC39"/>
  <c r="OC26"/>
  <c r="OC40" s="1"/>
  <c r="OD25" s="1"/>
  <c r="XQ21"/>
  <c r="XP22"/>
  <c r="OC42" l="1"/>
  <c r="OD27" s="1"/>
  <c r="OD43" s="1"/>
  <c r="OC41"/>
  <c r="OD26" s="1"/>
  <c r="OD45"/>
  <c r="OE30" s="1"/>
  <c r="OE48"/>
  <c r="OF33" s="1"/>
  <c r="OE49"/>
  <c r="OD44"/>
  <c r="OE29" s="1"/>
  <c r="OE50"/>
  <c r="OE36"/>
  <c r="OF34"/>
  <c r="OD39"/>
  <c r="OE31"/>
  <c r="OE47" s="1"/>
  <c r="XR21"/>
  <c r="XQ22"/>
  <c r="OD42" l="1"/>
  <c r="OE27" s="1"/>
  <c r="OE45"/>
  <c r="OF30" s="1"/>
  <c r="OE46"/>
  <c r="OF31" s="1"/>
  <c r="OF50"/>
  <c r="OF36"/>
  <c r="OD41"/>
  <c r="OE26" s="1"/>
  <c r="OF49"/>
  <c r="OG34" s="1"/>
  <c r="OE28"/>
  <c r="OE44" s="1"/>
  <c r="OF32"/>
  <c r="OF48" s="1"/>
  <c r="OD40"/>
  <c r="OE25" s="1"/>
  <c r="XS21"/>
  <c r="XR22"/>
  <c r="OE43" l="1"/>
  <c r="OF47"/>
  <c r="OG32" s="1"/>
  <c r="OF46"/>
  <c r="OG31" s="1"/>
  <c r="OE42"/>
  <c r="OF27" s="1"/>
  <c r="OG50"/>
  <c r="OG36"/>
  <c r="OG33"/>
  <c r="OG49" s="1"/>
  <c r="OF29"/>
  <c r="OF45" s="1"/>
  <c r="OF28"/>
  <c r="OE39"/>
  <c r="OE40"/>
  <c r="OF25" s="1"/>
  <c r="OE41"/>
  <c r="XT21"/>
  <c r="XS22"/>
  <c r="OG48" l="1"/>
  <c r="OH33" s="1"/>
  <c r="OF44"/>
  <c r="OG29" s="1"/>
  <c r="OF43"/>
  <c r="OG28" s="1"/>
  <c r="OG47"/>
  <c r="OH32" s="1"/>
  <c r="OH34"/>
  <c r="OG30"/>
  <c r="OG46" s="1"/>
  <c r="OF39"/>
  <c r="OF26"/>
  <c r="OF40" s="1"/>
  <c r="OG25" s="1"/>
  <c r="XU21"/>
  <c r="XT22"/>
  <c r="OH49" l="1"/>
  <c r="OI34" s="1"/>
  <c r="OF42"/>
  <c r="OG27" s="1"/>
  <c r="OG43" s="1"/>
  <c r="OH50"/>
  <c r="OH36"/>
  <c r="OG45"/>
  <c r="OH48"/>
  <c r="OI33" s="1"/>
  <c r="OG44"/>
  <c r="OH29" s="1"/>
  <c r="OH31"/>
  <c r="OH47" s="1"/>
  <c r="OH30"/>
  <c r="OG39"/>
  <c r="OF41"/>
  <c r="XV21"/>
  <c r="XU22"/>
  <c r="OH45" l="1"/>
  <c r="OI30" s="1"/>
  <c r="OI49"/>
  <c r="OJ34" s="1"/>
  <c r="OI50"/>
  <c r="OI36"/>
  <c r="OH46"/>
  <c r="OI31" s="1"/>
  <c r="OH28"/>
  <c r="OH44" s="1"/>
  <c r="OI32"/>
  <c r="OI48" s="1"/>
  <c r="OG26"/>
  <c r="XW21"/>
  <c r="XV22"/>
  <c r="OJ50" l="1"/>
  <c r="OJ36"/>
  <c r="OI46"/>
  <c r="OJ31" s="1"/>
  <c r="OI47"/>
  <c r="OJ32" s="1"/>
  <c r="OJ33"/>
  <c r="OJ49" s="1"/>
  <c r="OI29"/>
  <c r="OI45" s="1"/>
  <c r="OG41"/>
  <c r="OG40"/>
  <c r="OH25" s="1"/>
  <c r="OG42"/>
  <c r="XX21"/>
  <c r="XW22"/>
  <c r="OJ47" l="1"/>
  <c r="OK32" s="1"/>
  <c r="OJ48"/>
  <c r="OK33" s="1"/>
  <c r="OJ30"/>
  <c r="OJ46" s="1"/>
  <c r="OK34"/>
  <c r="OH27"/>
  <c r="OH43" s="1"/>
  <c r="OH26"/>
  <c r="OH40" s="1"/>
  <c r="OI25" s="1"/>
  <c r="OH39"/>
  <c r="XY21"/>
  <c r="XX22"/>
  <c r="OK50" l="1"/>
  <c r="OK36"/>
  <c r="OH42"/>
  <c r="OI27" s="1"/>
  <c r="OK48"/>
  <c r="OL33" s="1"/>
  <c r="OK49"/>
  <c r="OL34" s="1"/>
  <c r="OI28"/>
  <c r="OI44" s="1"/>
  <c r="OK31"/>
  <c r="OK47" s="1"/>
  <c r="OI39"/>
  <c r="OH41"/>
  <c r="XZ21"/>
  <c r="XY22"/>
  <c r="OI43" l="1"/>
  <c r="OJ28" s="1"/>
  <c r="OL49"/>
  <c r="OM34" s="1"/>
  <c r="OL50"/>
  <c r="OL36"/>
  <c r="OJ29"/>
  <c r="OJ45" s="1"/>
  <c r="OL32"/>
  <c r="OL48" s="1"/>
  <c r="OI26"/>
  <c r="OI42" s="1"/>
  <c r="YA21"/>
  <c r="XZ22"/>
  <c r="OJ44" l="1"/>
  <c r="OK29" s="1"/>
  <c r="OM50"/>
  <c r="OM36"/>
  <c r="OJ27"/>
  <c r="OJ43" s="1"/>
  <c r="OM33"/>
  <c r="OM49" s="1"/>
  <c r="OK30"/>
  <c r="OK46" s="1"/>
  <c r="OI40"/>
  <c r="OJ25" s="1"/>
  <c r="OI41"/>
  <c r="YB21"/>
  <c r="YA22"/>
  <c r="OK45" l="1"/>
  <c r="OL30" s="1"/>
  <c r="OL31"/>
  <c r="OL47" s="1"/>
  <c r="OK28"/>
  <c r="OK44" s="1"/>
  <c r="ON34"/>
  <c r="OJ26"/>
  <c r="OJ42" s="1"/>
  <c r="OJ39"/>
  <c r="YC21"/>
  <c r="YB22"/>
  <c r="ON50" l="1"/>
  <c r="ON36"/>
  <c r="OJ41"/>
  <c r="OK26" s="1"/>
  <c r="OL46"/>
  <c r="OM31" s="1"/>
  <c r="OL29"/>
  <c r="OL45" s="1"/>
  <c r="OK27"/>
  <c r="OK43" s="1"/>
  <c r="OM32"/>
  <c r="OM48" s="1"/>
  <c r="OJ40"/>
  <c r="OK25" s="1"/>
  <c r="YD21"/>
  <c r="YC22"/>
  <c r="OM47" l="1"/>
  <c r="ON32" s="1"/>
  <c r="OK42"/>
  <c r="OL27" s="1"/>
  <c r="ON33"/>
  <c r="ON49" s="1"/>
  <c r="OM30"/>
  <c r="OM46" s="1"/>
  <c r="OL28"/>
  <c r="OL44" s="1"/>
  <c r="OK40"/>
  <c r="OL25" s="1"/>
  <c r="OK41"/>
  <c r="OK39"/>
  <c r="YE21"/>
  <c r="YD22"/>
  <c r="ON48" l="1"/>
  <c r="OO33" s="1"/>
  <c r="OL43"/>
  <c r="OM28" s="1"/>
  <c r="OM29"/>
  <c r="OM45" s="1"/>
  <c r="ON31"/>
  <c r="ON47" s="1"/>
  <c r="OO34"/>
  <c r="OL26"/>
  <c r="OL42" s="1"/>
  <c r="OL39"/>
  <c r="YF21"/>
  <c r="YE22"/>
  <c r="OL41" l="1"/>
  <c r="OM26" s="1"/>
  <c r="OO49"/>
  <c r="OP34" s="1"/>
  <c r="OM44"/>
  <c r="ON29" s="1"/>
  <c r="OO50"/>
  <c r="OO36"/>
  <c r="OM27"/>
  <c r="OM43" s="1"/>
  <c r="OO32"/>
  <c r="OO48" s="1"/>
  <c r="ON30"/>
  <c r="ON46" s="1"/>
  <c r="OL40"/>
  <c r="OM25" s="1"/>
  <c r="YG21"/>
  <c r="YF22"/>
  <c r="OM42" l="1"/>
  <c r="ON27" s="1"/>
  <c r="ON45"/>
  <c r="OO30" s="1"/>
  <c r="OP50"/>
  <c r="OP36"/>
  <c r="OO31"/>
  <c r="OO47" s="1"/>
  <c r="OP33"/>
  <c r="OP49" s="1"/>
  <c r="ON28"/>
  <c r="ON44" s="1"/>
  <c r="OM40"/>
  <c r="ON25" s="1"/>
  <c r="OM41"/>
  <c r="OM39"/>
  <c r="YH21"/>
  <c r="YG22"/>
  <c r="OO46" l="1"/>
  <c r="OP31" s="1"/>
  <c r="OP47" s="1"/>
  <c r="ON43"/>
  <c r="OO28" s="1"/>
  <c r="OP32"/>
  <c r="OP48" s="1"/>
  <c r="OO29"/>
  <c r="OO45" s="1"/>
  <c r="OQ34"/>
  <c r="ON39"/>
  <c r="ON26"/>
  <c r="ON40" s="1"/>
  <c r="OO25" s="1"/>
  <c r="YI21"/>
  <c r="YH22"/>
  <c r="OQ50" l="1"/>
  <c r="OQ36"/>
  <c r="ON42"/>
  <c r="OO27" s="1"/>
  <c r="OO43" s="1"/>
  <c r="ON41"/>
  <c r="OO26" s="1"/>
  <c r="OO44"/>
  <c r="OP29" s="1"/>
  <c r="OO39"/>
  <c r="OQ32"/>
  <c r="OP30"/>
  <c r="OP46" s="1"/>
  <c r="OQ33"/>
  <c r="OQ49" s="1"/>
  <c r="YJ21"/>
  <c r="YI22"/>
  <c r="OP45" l="1"/>
  <c r="OQ30" s="1"/>
  <c r="OO41"/>
  <c r="OP26" s="1"/>
  <c r="OQ48"/>
  <c r="OR33" s="1"/>
  <c r="OO40"/>
  <c r="OP25" s="1"/>
  <c r="OO42"/>
  <c r="OP27" s="1"/>
  <c r="OP28"/>
  <c r="OP44" s="1"/>
  <c r="OR34"/>
  <c r="OQ31"/>
  <c r="OQ47" s="1"/>
  <c r="OP39"/>
  <c r="YK21"/>
  <c r="YJ22"/>
  <c r="OP43" l="1"/>
  <c r="OQ28" s="1"/>
  <c r="OR49"/>
  <c r="OR50"/>
  <c r="OR36"/>
  <c r="OQ46"/>
  <c r="OP42"/>
  <c r="OQ27" s="1"/>
  <c r="OR32"/>
  <c r="OR48" s="1"/>
  <c r="OQ29"/>
  <c r="OQ45" s="1"/>
  <c r="OR31"/>
  <c r="OS34"/>
  <c r="OP40"/>
  <c r="OQ25" s="1"/>
  <c r="OP41"/>
  <c r="YL21"/>
  <c r="YK22"/>
  <c r="OR47" l="1"/>
  <c r="OS32" s="1"/>
  <c r="OQ43"/>
  <c r="OR28" s="1"/>
  <c r="OQ44"/>
  <c r="OR29" s="1"/>
  <c r="OS50"/>
  <c r="OS36"/>
  <c r="OR30"/>
  <c r="OR46" s="1"/>
  <c r="OS33"/>
  <c r="OS49" s="1"/>
  <c r="OQ26"/>
  <c r="OQ42" s="1"/>
  <c r="OQ39"/>
  <c r="YM21"/>
  <c r="YL22"/>
  <c r="OQ40" l="1"/>
  <c r="OR25" s="1"/>
  <c r="OR39" s="1"/>
  <c r="OR45"/>
  <c r="OS30" s="1"/>
  <c r="OR44"/>
  <c r="OS29" s="1"/>
  <c r="OS48"/>
  <c r="OR27"/>
  <c r="OR43" s="1"/>
  <c r="OT33"/>
  <c r="OS31"/>
  <c r="OS47" s="1"/>
  <c r="OT34"/>
  <c r="OQ41"/>
  <c r="YN21"/>
  <c r="YM22"/>
  <c r="OS46" l="1"/>
  <c r="OT31" s="1"/>
  <c r="OS45"/>
  <c r="OT30" s="1"/>
  <c r="OT49"/>
  <c r="OU34" s="1"/>
  <c r="OT50"/>
  <c r="OT36"/>
  <c r="OT32"/>
  <c r="OT48" s="1"/>
  <c r="OS28"/>
  <c r="OS44" s="1"/>
  <c r="OR26"/>
  <c r="YO21"/>
  <c r="YN22"/>
  <c r="OU50" l="1"/>
  <c r="OU36"/>
  <c r="OT47"/>
  <c r="OU32" s="1"/>
  <c r="OT46"/>
  <c r="OU31" s="1"/>
  <c r="OU33"/>
  <c r="OU49" s="1"/>
  <c r="OT29"/>
  <c r="OT45" s="1"/>
  <c r="OR40"/>
  <c r="OS25" s="1"/>
  <c r="OR41"/>
  <c r="OR42"/>
  <c r="YP21"/>
  <c r="YO22"/>
  <c r="OU48" l="1"/>
  <c r="OV33" s="1"/>
  <c r="OU47"/>
  <c r="OV32" s="1"/>
  <c r="OU30"/>
  <c r="OU46" s="1"/>
  <c r="OV34"/>
  <c r="OS26"/>
  <c r="OS40" s="1"/>
  <c r="OT25" s="1"/>
  <c r="OS27"/>
  <c r="OS43" s="1"/>
  <c r="OS39"/>
  <c r="YQ21"/>
  <c r="YP22"/>
  <c r="OS42" l="1"/>
  <c r="OT27" s="1"/>
  <c r="OV49"/>
  <c r="OW34" s="1"/>
  <c r="OV48"/>
  <c r="OW33" s="1"/>
  <c r="OV50"/>
  <c r="OV36"/>
  <c r="OT28"/>
  <c r="OT44" s="1"/>
  <c r="OV31"/>
  <c r="OV47" s="1"/>
  <c r="OT39"/>
  <c r="OS41"/>
  <c r="YR21"/>
  <c r="YQ22"/>
  <c r="OT43" l="1"/>
  <c r="OU28" s="1"/>
  <c r="OW50"/>
  <c r="OW36"/>
  <c r="OW49"/>
  <c r="OX34" s="1"/>
  <c r="OW32"/>
  <c r="OW48" s="1"/>
  <c r="OU29"/>
  <c r="OU45" s="1"/>
  <c r="OT26"/>
  <c r="OT42" s="1"/>
  <c r="YS21"/>
  <c r="YR22"/>
  <c r="OU44" l="1"/>
  <c r="OV29" s="1"/>
  <c r="OX50"/>
  <c r="OX36"/>
  <c r="OV30"/>
  <c r="OV46" s="1"/>
  <c r="OU27"/>
  <c r="OU43" s="1"/>
  <c r="OX33"/>
  <c r="OX49" s="1"/>
  <c r="OT41"/>
  <c r="OT40"/>
  <c r="OU25" s="1"/>
  <c r="YT21"/>
  <c r="YS22"/>
  <c r="OV45" l="1"/>
  <c r="OW30" s="1"/>
  <c r="OY34"/>
  <c r="OV28"/>
  <c r="OV44" s="1"/>
  <c r="OW31"/>
  <c r="OW47" s="1"/>
  <c r="OU39"/>
  <c r="OU26"/>
  <c r="OU40" s="1"/>
  <c r="OV25" s="1"/>
  <c r="YU21"/>
  <c r="YT22"/>
  <c r="OY50" l="1"/>
  <c r="OY36"/>
  <c r="OU42"/>
  <c r="OU41"/>
  <c r="OV26" s="1"/>
  <c r="OV40" s="1"/>
  <c r="OW25" s="1"/>
  <c r="OW46"/>
  <c r="OX31" s="1"/>
  <c r="OV39"/>
  <c r="OX32"/>
  <c r="OX48" s="1"/>
  <c r="OW29"/>
  <c r="OW45" s="1"/>
  <c r="OV27"/>
  <c r="OV43" s="1"/>
  <c r="YV21"/>
  <c r="YU22"/>
  <c r="OX47" l="1"/>
  <c r="OY32" s="1"/>
  <c r="OW28"/>
  <c r="OW44" s="1"/>
  <c r="OX30"/>
  <c r="OX46" s="1"/>
  <c r="OW39"/>
  <c r="OY33"/>
  <c r="OY49" s="1"/>
  <c r="OV41"/>
  <c r="OV42"/>
  <c r="YW21"/>
  <c r="YV22"/>
  <c r="OY48" l="1"/>
  <c r="OZ33" s="1"/>
  <c r="OX29"/>
  <c r="OX45" s="1"/>
  <c r="OY31"/>
  <c r="OY47" s="1"/>
  <c r="OW26"/>
  <c r="OZ34"/>
  <c r="OW27"/>
  <c r="OW43" s="1"/>
  <c r="YX21"/>
  <c r="YW22"/>
  <c r="OZ49" l="1"/>
  <c r="PA34" s="1"/>
  <c r="OZ50"/>
  <c r="OZ36"/>
  <c r="OW42"/>
  <c r="OX27" s="1"/>
  <c r="OX28"/>
  <c r="OX44" s="1"/>
  <c r="OZ32"/>
  <c r="OZ48" s="1"/>
  <c r="OY30"/>
  <c r="OY46" s="1"/>
  <c r="OW41"/>
  <c r="OW40"/>
  <c r="OX25" s="1"/>
  <c r="YY21"/>
  <c r="YX22"/>
  <c r="PA50" l="1"/>
  <c r="PA36"/>
  <c r="OX43"/>
  <c r="OY28" s="1"/>
  <c r="OZ31"/>
  <c r="OZ47" s="1"/>
  <c r="PA33"/>
  <c r="PA49" s="1"/>
  <c r="OY29"/>
  <c r="OY45" s="1"/>
  <c r="OX39"/>
  <c r="OX26"/>
  <c r="OX41" s="1"/>
  <c r="YZ21"/>
  <c r="YY22"/>
  <c r="OY44" l="1"/>
  <c r="OZ29" s="1"/>
  <c r="OZ45" s="1"/>
  <c r="OX42"/>
  <c r="OY27" s="1"/>
  <c r="OY43" s="1"/>
  <c r="OZ30"/>
  <c r="OZ46" s="1"/>
  <c r="PA32"/>
  <c r="PA48" s="1"/>
  <c r="OY26"/>
  <c r="PB34"/>
  <c r="OX40"/>
  <c r="OY25" s="1"/>
  <c r="ZA21"/>
  <c r="YZ22"/>
  <c r="OY42" l="1"/>
  <c r="OZ27" s="1"/>
  <c r="PB50"/>
  <c r="PB36"/>
  <c r="OZ28"/>
  <c r="OZ44" s="1"/>
  <c r="PB33"/>
  <c r="PB49" s="1"/>
  <c r="PA30"/>
  <c r="PA31"/>
  <c r="PA47" s="1"/>
  <c r="OY39"/>
  <c r="OY40"/>
  <c r="OZ25" s="1"/>
  <c r="OY41"/>
  <c r="ZB21"/>
  <c r="ZA22"/>
  <c r="OZ43" l="1"/>
  <c r="PA28" s="1"/>
  <c r="PA46"/>
  <c r="PB31" s="1"/>
  <c r="PC34"/>
  <c r="PB32"/>
  <c r="PB48" s="1"/>
  <c r="PA29"/>
  <c r="PA45" s="1"/>
  <c r="OZ39"/>
  <c r="OZ26"/>
  <c r="OZ40" s="1"/>
  <c r="PA25" s="1"/>
  <c r="ZC21"/>
  <c r="ZB22"/>
  <c r="PB47" l="1"/>
  <c r="PC32" s="1"/>
  <c r="PC50"/>
  <c r="PC36"/>
  <c r="OZ42"/>
  <c r="PA27" s="1"/>
  <c r="PA43" s="1"/>
  <c r="OZ41"/>
  <c r="PA26" s="1"/>
  <c r="PA44"/>
  <c r="PB29" s="1"/>
  <c r="PA39"/>
  <c r="PB30"/>
  <c r="PB46" s="1"/>
  <c r="PC33"/>
  <c r="PC49" s="1"/>
  <c r="ZD21"/>
  <c r="ZC22"/>
  <c r="PB45" l="1"/>
  <c r="PC30" s="1"/>
  <c r="PC48"/>
  <c r="PD33" s="1"/>
  <c r="PA41"/>
  <c r="PB26" s="1"/>
  <c r="PA42"/>
  <c r="PB27" s="1"/>
  <c r="PD34"/>
  <c r="PC31"/>
  <c r="PC47" s="1"/>
  <c r="PA40"/>
  <c r="PB25" s="1"/>
  <c r="PB28"/>
  <c r="PB44" s="1"/>
  <c r="ZE21"/>
  <c r="ZD22"/>
  <c r="PD49" l="1"/>
  <c r="PE34" s="1"/>
  <c r="PB43"/>
  <c r="PC28" s="1"/>
  <c r="PD50"/>
  <c r="PD36"/>
  <c r="PC46"/>
  <c r="PD31" s="1"/>
  <c r="PB42"/>
  <c r="PC27" s="1"/>
  <c r="PD32"/>
  <c r="PD48" s="1"/>
  <c r="PC29"/>
  <c r="PC45" s="1"/>
  <c r="PB40"/>
  <c r="PC25" s="1"/>
  <c r="PB41"/>
  <c r="PB39"/>
  <c r="ZF21"/>
  <c r="ZE22"/>
  <c r="PD47" l="1"/>
  <c r="PE32" s="1"/>
  <c r="PC44"/>
  <c r="PD29" s="1"/>
  <c r="PC43"/>
  <c r="PD28" s="1"/>
  <c r="PE50"/>
  <c r="PE36"/>
  <c r="PD30"/>
  <c r="PD46" s="1"/>
  <c r="PE33"/>
  <c r="PE49" s="1"/>
  <c r="PC26"/>
  <c r="PC42" s="1"/>
  <c r="PC39"/>
  <c r="ZG21"/>
  <c r="ZF22"/>
  <c r="PC40" l="1"/>
  <c r="PD25" s="1"/>
  <c r="PD39" s="1"/>
  <c r="PD45"/>
  <c r="PE30" s="1"/>
  <c r="PD44"/>
  <c r="PE29" s="1"/>
  <c r="PE48"/>
  <c r="PF33" s="1"/>
  <c r="PD27"/>
  <c r="PD43" s="1"/>
  <c r="PF34"/>
  <c r="PE31"/>
  <c r="PE47" s="1"/>
  <c r="PC41"/>
  <c r="ZH21"/>
  <c r="ZG22"/>
  <c r="PF49" l="1"/>
  <c r="PG34" s="1"/>
  <c r="PE46"/>
  <c r="PF31" s="1"/>
  <c r="PF50"/>
  <c r="PF36"/>
  <c r="PE45"/>
  <c r="PF30" s="1"/>
  <c r="PF32"/>
  <c r="PF48" s="1"/>
  <c r="PE28"/>
  <c r="PE44" s="1"/>
  <c r="PD26"/>
  <c r="ZI21"/>
  <c r="ZH22"/>
  <c r="PF47" l="1"/>
  <c r="PG32" s="1"/>
  <c r="PF46"/>
  <c r="PG31" s="1"/>
  <c r="PG50"/>
  <c r="PG36"/>
  <c r="PF29"/>
  <c r="PF45" s="1"/>
  <c r="PG33"/>
  <c r="PG49" s="1"/>
  <c r="PD40"/>
  <c r="PE25" s="1"/>
  <c r="PD41"/>
  <c r="PD42"/>
  <c r="ZJ21"/>
  <c r="ZI22"/>
  <c r="PG47" l="1"/>
  <c r="PH32" s="1"/>
  <c r="PG48"/>
  <c r="PH33" s="1"/>
  <c r="PH34"/>
  <c r="PG30"/>
  <c r="PG46" s="1"/>
  <c r="PE27"/>
  <c r="PE43" s="1"/>
  <c r="PE39"/>
  <c r="PE26"/>
  <c r="ZK21"/>
  <c r="ZJ22"/>
  <c r="PE41" l="1"/>
  <c r="PF26" s="1"/>
  <c r="PH49"/>
  <c r="PI34" s="1"/>
  <c r="PH50"/>
  <c r="PH36"/>
  <c r="PE40"/>
  <c r="PF25" s="1"/>
  <c r="PF39" s="1"/>
  <c r="PE42"/>
  <c r="PF27" s="1"/>
  <c r="PH48"/>
  <c r="PI33" s="1"/>
  <c r="PH31"/>
  <c r="PH47" s="1"/>
  <c r="PF28"/>
  <c r="PF44" s="1"/>
  <c r="ZL21"/>
  <c r="ZK22"/>
  <c r="PF43" l="1"/>
  <c r="PG28" s="1"/>
  <c r="PI50"/>
  <c r="PI36"/>
  <c r="PI49"/>
  <c r="PJ34" s="1"/>
  <c r="PF42"/>
  <c r="PG27" s="1"/>
  <c r="PG29"/>
  <c r="PG45" s="1"/>
  <c r="PI32"/>
  <c r="PI48" s="1"/>
  <c r="PF41"/>
  <c r="PF40"/>
  <c r="PG25" s="1"/>
  <c r="ZM21"/>
  <c r="ZL22"/>
  <c r="PG43" l="1"/>
  <c r="PH28" s="1"/>
  <c r="PJ50"/>
  <c r="PJ36"/>
  <c r="PG44"/>
  <c r="PH29" s="1"/>
  <c r="PH30"/>
  <c r="PH46" s="1"/>
  <c r="PJ33"/>
  <c r="PJ49" s="1"/>
  <c r="PG39"/>
  <c r="PG26"/>
  <c r="PG41" s="1"/>
  <c r="ZN21"/>
  <c r="ZM22"/>
  <c r="PH45" l="1"/>
  <c r="PI30" s="1"/>
  <c r="PH44"/>
  <c r="PI29" s="1"/>
  <c r="PG42"/>
  <c r="PH27" s="1"/>
  <c r="PH43" s="1"/>
  <c r="PI31"/>
  <c r="PI47" s="1"/>
  <c r="PH26"/>
  <c r="PK34"/>
  <c r="PG40"/>
  <c r="PH25" s="1"/>
  <c r="ZO21"/>
  <c r="ZN22"/>
  <c r="PI45" l="1"/>
  <c r="PJ30" s="1"/>
  <c r="PK50"/>
  <c r="PK36"/>
  <c r="PH42"/>
  <c r="PI27" s="1"/>
  <c r="PI46"/>
  <c r="PJ31" s="1"/>
  <c r="PI28"/>
  <c r="PI44" s="1"/>
  <c r="PJ32"/>
  <c r="PJ48" s="1"/>
  <c r="PH40"/>
  <c r="PI25" s="1"/>
  <c r="PH41"/>
  <c r="PH39"/>
  <c r="ZP21"/>
  <c r="ZO22"/>
  <c r="PJ47" l="1"/>
  <c r="PK32" s="1"/>
  <c r="PI43"/>
  <c r="PJ28" s="1"/>
  <c r="PJ46"/>
  <c r="PK31" s="1"/>
  <c r="PK33"/>
  <c r="PK49" s="1"/>
  <c r="PJ29"/>
  <c r="PJ45" s="1"/>
  <c r="PI26"/>
  <c r="PI42" s="1"/>
  <c r="PI39"/>
  <c r="ZQ21"/>
  <c r="ZP22"/>
  <c r="PI40" l="1"/>
  <c r="PJ25" s="1"/>
  <c r="PJ39" s="1"/>
  <c r="PK48"/>
  <c r="PL33" s="1"/>
  <c r="PJ44"/>
  <c r="PK29" s="1"/>
  <c r="PK47"/>
  <c r="PL32" s="1"/>
  <c r="PJ27"/>
  <c r="PJ43" s="1"/>
  <c r="PL34"/>
  <c r="PK30"/>
  <c r="PK46" s="1"/>
  <c r="PI41"/>
  <c r="ZR21"/>
  <c r="ZQ22"/>
  <c r="PL49" l="1"/>
  <c r="PM34" s="1"/>
  <c r="PK45"/>
  <c r="PL30" s="1"/>
  <c r="PL48"/>
  <c r="PM33" s="1"/>
  <c r="PL50"/>
  <c r="PL36"/>
  <c r="PL31"/>
  <c r="PL47" s="1"/>
  <c r="PK28"/>
  <c r="PK44" s="1"/>
  <c r="PJ26"/>
  <c r="ZS21"/>
  <c r="ZR22"/>
  <c r="PM49" l="1"/>
  <c r="PN34" s="1"/>
  <c r="PN36" s="1"/>
  <c r="PL46"/>
  <c r="PM31" s="1"/>
  <c r="PM50"/>
  <c r="PM36"/>
  <c r="PM32"/>
  <c r="PM48" s="1"/>
  <c r="PL29"/>
  <c r="PL45" s="1"/>
  <c r="PJ41"/>
  <c r="PJ40"/>
  <c r="PK25" s="1"/>
  <c r="PJ42"/>
  <c r="ZT21"/>
  <c r="ZS22"/>
  <c r="PM47" l="1"/>
  <c r="PN32" s="1"/>
  <c r="PN50"/>
  <c r="PN33"/>
  <c r="PN49" s="1"/>
  <c r="PK27"/>
  <c r="PK43" s="1"/>
  <c r="PK26"/>
  <c r="PK40" s="1"/>
  <c r="PL25" s="1"/>
  <c r="PM30"/>
  <c r="PM46" s="1"/>
  <c r="PK39"/>
  <c r="ZU21"/>
  <c r="ZT22"/>
  <c r="PK42" l="1"/>
  <c r="PL27" s="1"/>
  <c r="PN48"/>
  <c r="PO33" s="1"/>
  <c r="PL28"/>
  <c r="PL44" s="1"/>
  <c r="PN31"/>
  <c r="PN47" s="1"/>
  <c r="PO34"/>
  <c r="PL39"/>
  <c r="PK41"/>
  <c r="ZV21"/>
  <c r="ZU22"/>
  <c r="PL43" l="1"/>
  <c r="PM28" s="1"/>
  <c r="PO49"/>
  <c r="PP34" s="1"/>
  <c r="PP36" s="1"/>
  <c r="PO50"/>
  <c r="PO36"/>
  <c r="PM29"/>
  <c r="PM45" s="1"/>
  <c r="PO32"/>
  <c r="PO48" s="1"/>
  <c r="PL26"/>
  <c r="PL42" s="1"/>
  <c r="ZW21"/>
  <c r="ZV22"/>
  <c r="PM44" l="1"/>
  <c r="PN29" s="1"/>
  <c r="PP50"/>
  <c r="PM27"/>
  <c r="PM43" s="1"/>
  <c r="PP33"/>
  <c r="PP49" s="1"/>
  <c r="PN30"/>
  <c r="PN46" s="1"/>
  <c r="PL41"/>
  <c r="PL40"/>
  <c r="PM25" s="1"/>
  <c r="ZX21"/>
  <c r="ZW22"/>
  <c r="PN45" l="1"/>
  <c r="PO30" s="1"/>
  <c r="PQ34"/>
  <c r="PO31"/>
  <c r="PO47" s="1"/>
  <c r="PN28"/>
  <c r="PN44" s="1"/>
  <c r="PM39"/>
  <c r="PM26"/>
  <c r="PM41" s="1"/>
  <c r="ZY21"/>
  <c r="ZX22"/>
  <c r="PM42" l="1"/>
  <c r="PN27" s="1"/>
  <c r="PN43" s="1"/>
  <c r="PQ50"/>
  <c r="PQ36"/>
  <c r="PO46"/>
  <c r="PP31" s="1"/>
  <c r="PO29"/>
  <c r="PO45" s="1"/>
  <c r="PN26"/>
  <c r="PP32"/>
  <c r="PP48" s="1"/>
  <c r="PM40"/>
  <c r="PN25" s="1"/>
  <c r="ZZ21"/>
  <c r="ZY22"/>
  <c r="PP47" l="1"/>
  <c r="PQ32" s="1"/>
  <c r="PN42"/>
  <c r="PO27" s="1"/>
  <c r="PO28"/>
  <c r="PO44" s="1"/>
  <c r="PQ33"/>
  <c r="PQ49" s="1"/>
  <c r="PP30"/>
  <c r="PP46" s="1"/>
  <c r="PN40"/>
  <c r="PO25" s="1"/>
  <c r="PN41"/>
  <c r="PN39"/>
  <c r="AAA21"/>
  <c r="ZZ22"/>
  <c r="PO43" l="1"/>
  <c r="PP28" s="1"/>
  <c r="PQ48"/>
  <c r="PR33" s="1"/>
  <c r="PR34"/>
  <c r="PQ31"/>
  <c r="PQ47" s="1"/>
  <c r="PP29"/>
  <c r="PP45" s="1"/>
  <c r="PO26"/>
  <c r="PO42" s="1"/>
  <c r="PO39"/>
  <c r="AAB21"/>
  <c r="AAA22"/>
  <c r="PR49" l="1"/>
  <c r="PS34" s="1"/>
  <c r="PO40"/>
  <c r="PP25" s="1"/>
  <c r="PP39" s="1"/>
  <c r="PR50"/>
  <c r="PR36"/>
  <c r="PP44"/>
  <c r="PQ29" s="1"/>
  <c r="PP27"/>
  <c r="PP43" s="1"/>
  <c r="PQ30"/>
  <c r="PQ46" s="1"/>
  <c r="PR32"/>
  <c r="PR48" s="1"/>
  <c r="PO41"/>
  <c r="AAC21"/>
  <c r="AAB22"/>
  <c r="PQ45" l="1"/>
  <c r="PR30" s="1"/>
  <c r="PS50"/>
  <c r="PS36"/>
  <c r="PR31"/>
  <c r="PR47" s="1"/>
  <c r="PS33"/>
  <c r="PS49" s="1"/>
  <c r="PQ28"/>
  <c r="PQ44" s="1"/>
  <c r="PP26"/>
  <c r="PP42" s="1"/>
  <c r="AAD21"/>
  <c r="AAC22"/>
  <c r="PR46" l="1"/>
  <c r="PS31" s="1"/>
  <c r="PR29"/>
  <c r="PR45" s="1"/>
  <c r="PT34"/>
  <c r="PQ27"/>
  <c r="PQ43" s="1"/>
  <c r="PS32"/>
  <c r="PS48" s="1"/>
  <c r="PP41"/>
  <c r="PP40"/>
  <c r="PQ25" s="1"/>
  <c r="AAE21"/>
  <c r="AAD22"/>
  <c r="PS47" l="1"/>
  <c r="PT32" s="1"/>
  <c r="PT50"/>
  <c r="PT36"/>
  <c r="PT33"/>
  <c r="PT49" s="1"/>
  <c r="PR28"/>
  <c r="PR44" s="1"/>
  <c r="PS30"/>
  <c r="PS46" s="1"/>
  <c r="PQ39"/>
  <c r="PQ26"/>
  <c r="PQ41" s="1"/>
  <c r="AAF21"/>
  <c r="AAE22"/>
  <c r="PQ42" l="1"/>
  <c r="PR27" s="1"/>
  <c r="PR43" s="1"/>
  <c r="PT48"/>
  <c r="PU33" s="1"/>
  <c r="PT31"/>
  <c r="PT47" s="1"/>
  <c r="PU34"/>
  <c r="PR26"/>
  <c r="PS29"/>
  <c r="PS45" s="1"/>
  <c r="PQ40"/>
  <c r="PR25" s="1"/>
  <c r="AAG21"/>
  <c r="AAF22"/>
  <c r="PU49" l="1"/>
  <c r="PV34" s="1"/>
  <c r="PR42"/>
  <c r="PS27" s="1"/>
  <c r="PU50"/>
  <c r="PU36"/>
  <c r="PS28"/>
  <c r="PS44" s="1"/>
  <c r="PT30"/>
  <c r="PT46" s="1"/>
  <c r="PU32"/>
  <c r="PU48" s="1"/>
  <c r="PR40"/>
  <c r="PS25" s="1"/>
  <c r="PR41"/>
  <c r="PR39"/>
  <c r="AAH21"/>
  <c r="AAG22"/>
  <c r="PS43" l="1"/>
  <c r="PT28" s="1"/>
  <c r="PV50"/>
  <c r="PV36"/>
  <c r="PU31"/>
  <c r="PU47" s="1"/>
  <c r="PV33"/>
  <c r="PV49" s="1"/>
  <c r="PT29"/>
  <c r="PT45" s="1"/>
  <c r="PS26"/>
  <c r="PS42" s="1"/>
  <c r="PS39"/>
  <c r="AAI21"/>
  <c r="AAH22"/>
  <c r="PS41" l="1"/>
  <c r="PT26" s="1"/>
  <c r="PT44"/>
  <c r="PU29" s="1"/>
  <c r="PU30"/>
  <c r="PU46" s="1"/>
  <c r="PV32"/>
  <c r="PV48" s="1"/>
  <c r="PT27"/>
  <c r="PT43" s="1"/>
  <c r="PW34"/>
  <c r="PS40"/>
  <c r="PT25" s="1"/>
  <c r="AAJ21"/>
  <c r="AAI22"/>
  <c r="PU45" l="1"/>
  <c r="PV30" s="1"/>
  <c r="PW50"/>
  <c r="PW36"/>
  <c r="PT42"/>
  <c r="PU27" s="1"/>
  <c r="PW33"/>
  <c r="PW49" s="1"/>
  <c r="PU28"/>
  <c r="PU44" s="1"/>
  <c r="PV31"/>
  <c r="PV47" s="1"/>
  <c r="PT41"/>
  <c r="PT39"/>
  <c r="PT40"/>
  <c r="PU25" s="1"/>
  <c r="AAK21"/>
  <c r="AAJ22"/>
  <c r="PU43" l="1"/>
  <c r="PV28" s="1"/>
  <c r="PV44" s="1"/>
  <c r="PV46"/>
  <c r="PW31" s="1"/>
  <c r="PV29"/>
  <c r="PV45" s="1"/>
  <c r="PX34"/>
  <c r="PW32"/>
  <c r="PW48" s="1"/>
  <c r="PU39"/>
  <c r="PU26"/>
  <c r="PU40" s="1"/>
  <c r="PV25" s="1"/>
  <c r="AAL21"/>
  <c r="AAK22"/>
  <c r="PX50" l="1"/>
  <c r="PX36"/>
  <c r="PU42"/>
  <c r="PV27" s="1"/>
  <c r="PV43" s="1"/>
  <c r="PU41"/>
  <c r="PV26" s="1"/>
  <c r="PW47"/>
  <c r="PX32" s="1"/>
  <c r="PV39"/>
  <c r="PW29"/>
  <c r="PX33"/>
  <c r="PX49" s="1"/>
  <c r="PW30"/>
  <c r="PW46" s="1"/>
  <c r="AAM21"/>
  <c r="AAL22"/>
  <c r="PW45" l="1"/>
  <c r="PX30" s="1"/>
  <c r="PX48"/>
  <c r="PY33" s="1"/>
  <c r="PV41"/>
  <c r="PW26" s="1"/>
  <c r="PV42"/>
  <c r="PW27" s="1"/>
  <c r="PX31"/>
  <c r="PX47" s="1"/>
  <c r="PY34"/>
  <c r="PV40"/>
  <c r="PW25" s="1"/>
  <c r="PW28"/>
  <c r="PW44" s="1"/>
  <c r="AAN21"/>
  <c r="AAM22"/>
  <c r="PX46" l="1"/>
  <c r="PY31" s="1"/>
  <c r="PY50"/>
  <c r="PY36"/>
  <c r="PW43"/>
  <c r="PX28" s="1"/>
  <c r="PW42"/>
  <c r="PX27" s="1"/>
  <c r="PY49"/>
  <c r="PZ34" s="1"/>
  <c r="PY32"/>
  <c r="PY48" s="1"/>
  <c r="PW40"/>
  <c r="PX25" s="1"/>
  <c r="PW41"/>
  <c r="PW39"/>
  <c r="PX29"/>
  <c r="PX45" s="1"/>
  <c r="AAO21"/>
  <c r="AAO22" s="1"/>
  <c r="AAN22"/>
  <c r="PX43" l="1"/>
  <c r="PY28" s="1"/>
  <c r="PY47"/>
  <c r="PZ32" s="1"/>
  <c r="PZ50"/>
  <c r="PZ36"/>
  <c r="PX44"/>
  <c r="PY29" s="1"/>
  <c r="PZ33"/>
  <c r="PZ49" s="1"/>
  <c r="PX26"/>
  <c r="PX42" s="1"/>
  <c r="PX39"/>
  <c r="PY30"/>
  <c r="PY46" s="1"/>
  <c r="PZ48" l="1"/>
  <c r="QA33" s="1"/>
  <c r="PY44"/>
  <c r="PZ29" s="1"/>
  <c r="PY45"/>
  <c r="PZ30" s="1"/>
  <c r="PX41"/>
  <c r="PY26" s="1"/>
  <c r="QA34"/>
  <c r="PY27"/>
  <c r="PY43" s="1"/>
  <c r="PZ31"/>
  <c r="PZ47" s="1"/>
  <c r="PX40"/>
  <c r="PY25" s="1"/>
  <c r="PZ45" l="1"/>
  <c r="QA30" s="1"/>
  <c r="PY42"/>
  <c r="PZ27" s="1"/>
  <c r="QA50"/>
  <c r="QA36"/>
  <c r="PZ46"/>
  <c r="QA31" s="1"/>
  <c r="QA47" s="1"/>
  <c r="QA49"/>
  <c r="QB34" s="1"/>
  <c r="QA32"/>
  <c r="QA48" s="1"/>
  <c r="PZ28"/>
  <c r="PZ44" s="1"/>
  <c r="PY39"/>
  <c r="PY40"/>
  <c r="PZ25" s="1"/>
  <c r="PY41"/>
  <c r="QB50" l="1"/>
  <c r="QB36"/>
  <c r="QA46"/>
  <c r="QB31" s="1"/>
  <c r="PZ43"/>
  <c r="QA28" s="1"/>
  <c r="QB32"/>
  <c r="QA29"/>
  <c r="QA45" s="1"/>
  <c r="QB33"/>
  <c r="QB49" s="1"/>
  <c r="PZ39"/>
  <c r="PZ26"/>
  <c r="PZ41" s="1"/>
  <c r="QB47" l="1"/>
  <c r="QC32" s="1"/>
  <c r="PZ40"/>
  <c r="QA25" s="1"/>
  <c r="QA39" s="1"/>
  <c r="QB48"/>
  <c r="PZ42"/>
  <c r="QA27" s="1"/>
  <c r="QA43" s="1"/>
  <c r="QA44"/>
  <c r="QB29" s="1"/>
  <c r="QA26"/>
  <c r="QC34"/>
  <c r="QB30"/>
  <c r="QB46" s="1"/>
  <c r="QC33"/>
  <c r="QC49" l="1"/>
  <c r="QD34" s="1"/>
  <c r="QB45"/>
  <c r="QC30" s="1"/>
  <c r="QC50"/>
  <c r="QC36"/>
  <c r="QC48"/>
  <c r="QD33" s="1"/>
  <c r="QA42"/>
  <c r="QB27" s="1"/>
  <c r="QB28"/>
  <c r="QB44" s="1"/>
  <c r="QC31"/>
  <c r="QC47" s="1"/>
  <c r="QA40"/>
  <c r="QB25" s="1"/>
  <c r="QA41"/>
  <c r="QD49" l="1"/>
  <c r="QE34" s="1"/>
  <c r="QB43"/>
  <c r="QC28" s="1"/>
  <c r="QC46"/>
  <c r="QD31" s="1"/>
  <c r="QD50"/>
  <c r="QD36"/>
  <c r="QD32"/>
  <c r="QD48" s="1"/>
  <c r="QC29"/>
  <c r="QC45" s="1"/>
  <c r="QB26"/>
  <c r="QB42" s="1"/>
  <c r="QB39"/>
  <c r="QC44" l="1"/>
  <c r="QD29" s="1"/>
  <c r="QE50"/>
  <c r="QE36"/>
  <c r="QB41"/>
  <c r="QC26" s="1"/>
  <c r="QD47"/>
  <c r="QE32" s="1"/>
  <c r="QC27"/>
  <c r="QC43" s="1"/>
  <c r="QE33"/>
  <c r="QE49" s="1"/>
  <c r="QD30"/>
  <c r="QD46" s="1"/>
  <c r="QB40"/>
  <c r="QC25" s="1"/>
  <c r="QC42" l="1"/>
  <c r="QD27" s="1"/>
  <c r="QE48"/>
  <c r="QF33" s="1"/>
  <c r="QD45"/>
  <c r="QE30" s="1"/>
  <c r="QE31"/>
  <c r="QE47" s="1"/>
  <c r="QF34"/>
  <c r="QD28"/>
  <c r="QD44" s="1"/>
  <c r="QC39"/>
  <c r="QC41"/>
  <c r="QC40"/>
  <c r="QD25" s="1"/>
  <c r="QE46" l="1"/>
  <c r="QF31" s="1"/>
  <c r="QD43"/>
  <c r="QE28" s="1"/>
  <c r="QF50"/>
  <c r="QF36"/>
  <c r="QF49"/>
  <c r="QG34" s="1"/>
  <c r="QE29"/>
  <c r="QE45" s="1"/>
  <c r="QF32"/>
  <c r="QF48" s="1"/>
  <c r="QD26"/>
  <c r="QD42" s="1"/>
  <c r="QD39"/>
  <c r="QD40" l="1"/>
  <c r="QE25" s="1"/>
  <c r="QE39" s="1"/>
  <c r="QF47"/>
  <c r="QG32" s="1"/>
  <c r="QG50"/>
  <c r="QG36"/>
  <c r="QE44"/>
  <c r="QF29" s="1"/>
  <c r="QG33"/>
  <c r="QG49" s="1"/>
  <c r="QF30"/>
  <c r="QF46" s="1"/>
  <c r="QE27"/>
  <c r="QE43" s="1"/>
  <c r="QD41"/>
  <c r="QG48" l="1"/>
  <c r="QH33" s="1"/>
  <c r="QF45"/>
  <c r="QG30" s="1"/>
  <c r="QH34"/>
  <c r="QF28"/>
  <c r="QF44" s="1"/>
  <c r="QG31"/>
  <c r="QG47" s="1"/>
  <c r="QE26"/>
  <c r="QE42" s="1"/>
  <c r="QH49" l="1"/>
  <c r="QI34" s="1"/>
  <c r="QH50"/>
  <c r="QH36"/>
  <c r="QG46"/>
  <c r="QH31" s="1"/>
  <c r="QG29"/>
  <c r="QG45" s="1"/>
  <c r="QH32"/>
  <c r="QH48" s="1"/>
  <c r="QF27"/>
  <c r="QF43" s="1"/>
  <c r="QE41"/>
  <c r="QE40"/>
  <c r="QF25" s="1"/>
  <c r="QI50" l="1"/>
  <c r="QI36"/>
  <c r="QH47"/>
  <c r="QI32" s="1"/>
  <c r="QG28"/>
  <c r="QG44" s="1"/>
  <c r="QI33"/>
  <c r="QI49" s="1"/>
  <c r="QH30"/>
  <c r="QH46" s="1"/>
  <c r="QF39"/>
  <c r="QF26"/>
  <c r="QF41" s="1"/>
  <c r="QI48" l="1"/>
  <c r="QJ33" s="1"/>
  <c r="QF42"/>
  <c r="QG27" s="1"/>
  <c r="QG43" s="1"/>
  <c r="QI31"/>
  <c r="QI47" s="1"/>
  <c r="QH29"/>
  <c r="QH45" s="1"/>
  <c r="QG26"/>
  <c r="QJ34"/>
  <c r="QF40"/>
  <c r="QG25" s="1"/>
  <c r="QJ50" l="1"/>
  <c r="QJ36"/>
  <c r="QJ49"/>
  <c r="QK34" s="1"/>
  <c r="QG42"/>
  <c r="QH27" s="1"/>
  <c r="QH28"/>
  <c r="QH44" s="1"/>
  <c r="QI30"/>
  <c r="QI46" s="1"/>
  <c r="QJ32"/>
  <c r="QJ48" s="1"/>
  <c r="QG40"/>
  <c r="QH25" s="1"/>
  <c r="QG41"/>
  <c r="QG39"/>
  <c r="QH43" l="1"/>
  <c r="QI28" s="1"/>
  <c r="QK50"/>
  <c r="QK36"/>
  <c r="QJ31"/>
  <c r="QJ47" s="1"/>
  <c r="QK33"/>
  <c r="QK49" s="1"/>
  <c r="QI29"/>
  <c r="QI45" s="1"/>
  <c r="QH26"/>
  <c r="QH42" s="1"/>
  <c r="QH39"/>
  <c r="QH40" l="1"/>
  <c r="QI25" s="1"/>
  <c r="QI39" s="1"/>
  <c r="QI44"/>
  <c r="QJ29" s="1"/>
  <c r="QJ30"/>
  <c r="QJ46" s="1"/>
  <c r="QK32"/>
  <c r="QK48" s="1"/>
  <c r="QI27"/>
  <c r="QI43" s="1"/>
  <c r="QL34"/>
  <c r="QH41"/>
  <c r="QJ45" l="1"/>
  <c r="QK30" s="1"/>
  <c r="QL50"/>
  <c r="QL36"/>
  <c r="QL33"/>
  <c r="QL49" s="1"/>
  <c r="QJ28"/>
  <c r="QJ44" s="1"/>
  <c r="QK31"/>
  <c r="QK47" s="1"/>
  <c r="QI26"/>
  <c r="QI42" s="1"/>
  <c r="QK46" l="1"/>
  <c r="QL31" s="1"/>
  <c r="QL32"/>
  <c r="QL48" s="1"/>
  <c r="QJ27"/>
  <c r="QJ43" s="1"/>
  <c r="QK29"/>
  <c r="QK45" s="1"/>
  <c r="QM34"/>
  <c r="QI41"/>
  <c r="QI40"/>
  <c r="QJ25" s="1"/>
  <c r="QM50" l="1"/>
  <c r="QM36"/>
  <c r="QL47"/>
  <c r="QM32" s="1"/>
  <c r="QL30"/>
  <c r="QL46" s="1"/>
  <c r="QK28"/>
  <c r="QK44" s="1"/>
  <c r="QM33"/>
  <c r="QM49" s="1"/>
  <c r="QJ39"/>
  <c r="QJ26"/>
  <c r="QJ41" s="1"/>
  <c r="QM48" l="1"/>
  <c r="QN33" s="1"/>
  <c r="QJ40"/>
  <c r="QK25" s="1"/>
  <c r="QK39" s="1"/>
  <c r="QJ42"/>
  <c r="QK27" s="1"/>
  <c r="QK43" s="1"/>
  <c r="QK26"/>
  <c r="QN34"/>
  <c r="QL29"/>
  <c r="QL45" s="1"/>
  <c r="QM31"/>
  <c r="QM47" s="1"/>
  <c r="QN50" l="1"/>
  <c r="QN36"/>
  <c r="QN49"/>
  <c r="QO34" s="1"/>
  <c r="QK42"/>
  <c r="QL27" s="1"/>
  <c r="QL28"/>
  <c r="QL44" s="1"/>
  <c r="QM30"/>
  <c r="QM46" s="1"/>
  <c r="QN32"/>
  <c r="QN48" s="1"/>
  <c r="QK40"/>
  <c r="QL25" s="1"/>
  <c r="QK41"/>
  <c r="QL43" l="1"/>
  <c r="QM28" s="1"/>
  <c r="QO36"/>
  <c r="QO50"/>
  <c r="QL39"/>
  <c r="QO33"/>
  <c r="QO49" s="1"/>
  <c r="QN31"/>
  <c r="QN47" s="1"/>
  <c r="QM29"/>
  <c r="QM45" s="1"/>
  <c r="QL26"/>
  <c r="QL40" s="1"/>
  <c r="QM25" s="1"/>
  <c r="QL42" l="1"/>
  <c r="QM27" s="1"/>
  <c r="QM43" s="1"/>
  <c r="QM44"/>
  <c r="QN29" s="1"/>
  <c r="QM39"/>
  <c r="QN30"/>
  <c r="QN46" s="1"/>
  <c r="QP34"/>
  <c r="QP36" s="1"/>
  <c r="QL41"/>
  <c r="QO32"/>
  <c r="QO48" s="1"/>
  <c r="QP50" l="1"/>
  <c r="QN45"/>
  <c r="QO30" s="1"/>
  <c r="QP33"/>
  <c r="QP49" s="1"/>
  <c r="QO31"/>
  <c r="QO47" s="1"/>
  <c r="QN28"/>
  <c r="QN44" s="1"/>
  <c r="QM26"/>
  <c r="QM42" s="1"/>
  <c r="QO46" l="1"/>
  <c r="QP31" s="1"/>
  <c r="QO29"/>
  <c r="QO45" s="1"/>
  <c r="QP32"/>
  <c r="QP48" s="1"/>
  <c r="QN27"/>
  <c r="QN43" s="1"/>
  <c r="QQ34"/>
  <c r="QM41"/>
  <c r="QM40"/>
  <c r="QN25" s="1"/>
  <c r="QP47" l="1"/>
  <c r="QQ32" s="1"/>
  <c r="QQ50"/>
  <c r="QQ36"/>
  <c r="QQ33"/>
  <c r="QQ49" s="1"/>
  <c r="QO28"/>
  <c r="QO44" s="1"/>
  <c r="QP30"/>
  <c r="QP46" s="1"/>
  <c r="QN39"/>
  <c r="QN26"/>
  <c r="QN40" s="1"/>
  <c r="QO25" s="1"/>
  <c r="QN42" l="1"/>
  <c r="QO27" s="1"/>
  <c r="QO43" s="1"/>
  <c r="QN41"/>
  <c r="QO26" s="1"/>
  <c r="QO40" s="1"/>
  <c r="QP25" s="1"/>
  <c r="QQ48"/>
  <c r="QR33" s="1"/>
  <c r="QO39"/>
  <c r="QQ31"/>
  <c r="QQ47" s="1"/>
  <c r="QR34"/>
  <c r="QR36" s="1"/>
  <c r="QP29"/>
  <c r="QP45" s="1"/>
  <c r="QR49" l="1"/>
  <c r="QS34" s="1"/>
  <c r="QS36" s="1"/>
  <c r="QO42"/>
  <c r="QP27" s="1"/>
  <c r="QR50"/>
  <c r="QP39"/>
  <c r="QQ30"/>
  <c r="QQ46" s="1"/>
  <c r="QO41"/>
  <c r="QP28"/>
  <c r="QR32"/>
  <c r="QR48" s="1"/>
  <c r="QP43" l="1"/>
  <c r="QQ28" s="1"/>
  <c r="QS50"/>
  <c r="QS33"/>
  <c r="QS49" s="1"/>
  <c r="QP26"/>
  <c r="QR31"/>
  <c r="QR47" s="1"/>
  <c r="QP44"/>
  <c r="QS32" l="1"/>
  <c r="QS48" s="1"/>
  <c r="QT34"/>
  <c r="QP40"/>
  <c r="QQ25" s="1"/>
  <c r="QP41"/>
  <c r="QQ29"/>
  <c r="QQ44" s="1"/>
  <c r="QP42"/>
  <c r="QT50" l="1"/>
  <c r="QT36"/>
  <c r="QQ45"/>
  <c r="QR29"/>
  <c r="QT33"/>
  <c r="QT49" s="1"/>
  <c r="QQ27"/>
  <c r="QQ43" s="1"/>
  <c r="QQ39"/>
  <c r="QQ26"/>
  <c r="QR30"/>
  <c r="QR46" s="1"/>
  <c r="QQ41" l="1"/>
  <c r="QR26" s="1"/>
  <c r="QR45"/>
  <c r="QS30" s="1"/>
  <c r="QU34"/>
  <c r="QR28"/>
  <c r="QR44" s="1"/>
  <c r="QS31"/>
  <c r="QS47" s="1"/>
  <c r="QQ42"/>
  <c r="QQ40"/>
  <c r="QR25" s="1"/>
  <c r="QU50" l="1"/>
  <c r="QU36"/>
  <c r="QS46"/>
  <c r="QT31" s="1"/>
  <c r="QT32"/>
  <c r="QT48" s="1"/>
  <c r="QS29"/>
  <c r="QS45" s="1"/>
  <c r="QR40"/>
  <c r="QS25" s="1"/>
  <c r="QR39"/>
  <c r="QR27"/>
  <c r="QR42" s="1"/>
  <c r="QT47" l="1"/>
  <c r="QU32" s="1"/>
  <c r="QS27"/>
  <c r="QU33"/>
  <c r="QU49" s="1"/>
  <c r="QT30"/>
  <c r="QT46" s="1"/>
  <c r="QR43"/>
  <c r="QR41"/>
  <c r="QS39"/>
  <c r="QU48" l="1"/>
  <c r="QV33" s="1"/>
  <c r="QV34"/>
  <c r="QU31"/>
  <c r="QU47" s="1"/>
  <c r="QS26"/>
  <c r="QS28"/>
  <c r="QS43" s="1"/>
  <c r="QS42" l="1"/>
  <c r="QT27" s="1"/>
  <c r="QS44"/>
  <c r="QT29" s="1"/>
  <c r="QT45" s="1"/>
  <c r="QV50"/>
  <c r="QV36"/>
  <c r="QV49"/>
  <c r="QW34" s="1"/>
  <c r="QV32"/>
  <c r="QV48" s="1"/>
  <c r="QT28"/>
  <c r="QS40"/>
  <c r="QT25" s="1"/>
  <c r="QS41"/>
  <c r="QT44" l="1"/>
  <c r="QU29" s="1"/>
  <c r="QT43"/>
  <c r="QU28" s="1"/>
  <c r="QW50"/>
  <c r="QW36"/>
  <c r="QU30"/>
  <c r="QU46" s="1"/>
  <c r="QW33"/>
  <c r="QW49" s="1"/>
  <c r="QT39"/>
  <c r="QT26"/>
  <c r="QT40" s="1"/>
  <c r="QU25" s="1"/>
  <c r="QU45" l="1"/>
  <c r="QV30" s="1"/>
  <c r="QU44"/>
  <c r="QV29" s="1"/>
  <c r="QT42"/>
  <c r="QU27" s="1"/>
  <c r="QU43" s="1"/>
  <c r="QT41"/>
  <c r="QU26" s="1"/>
  <c r="QU39"/>
  <c r="QX34"/>
  <c r="QX36" s="1"/>
  <c r="QV31"/>
  <c r="QV47" s="1"/>
  <c r="QV46" l="1"/>
  <c r="QW31" s="1"/>
  <c r="QU41"/>
  <c r="QV26" s="1"/>
  <c r="QV45"/>
  <c r="QW30" s="1"/>
  <c r="QU40"/>
  <c r="QV25" s="1"/>
  <c r="QV39" s="1"/>
  <c r="QU42"/>
  <c r="QV27" s="1"/>
  <c r="QX50"/>
  <c r="QW32"/>
  <c r="QW48" s="1"/>
  <c r="QV28"/>
  <c r="QV44" s="1"/>
  <c r="QW46" l="1"/>
  <c r="QX31" s="1"/>
  <c r="QV41"/>
  <c r="QW26" s="1"/>
  <c r="QV43"/>
  <c r="QW28" s="1"/>
  <c r="QW47"/>
  <c r="QX32" s="1"/>
  <c r="QV42"/>
  <c r="QW27" s="1"/>
  <c r="QX33"/>
  <c r="QX49" s="1"/>
  <c r="QW29"/>
  <c r="QW45" s="1"/>
  <c r="QV40"/>
  <c r="QW25" s="1"/>
  <c r="QW43" l="1"/>
  <c r="QX28" s="1"/>
  <c r="QW42"/>
  <c r="QX27" s="1"/>
  <c r="QX47"/>
  <c r="QY32" s="1"/>
  <c r="QX48"/>
  <c r="QY33" s="1"/>
  <c r="QW44"/>
  <c r="QX29" s="1"/>
  <c r="QX30"/>
  <c r="QX46" s="1"/>
  <c r="QY34"/>
  <c r="QW39"/>
  <c r="QW40"/>
  <c r="QX25" s="1"/>
  <c r="QW41"/>
  <c r="QX45" l="1"/>
  <c r="QY30" s="1"/>
  <c r="QY49"/>
  <c r="QZ34" s="1"/>
  <c r="QX44"/>
  <c r="QY29" s="1"/>
  <c r="QY50"/>
  <c r="QY36"/>
  <c r="QY48"/>
  <c r="QZ33" s="1"/>
  <c r="QX43"/>
  <c r="QY28" s="1"/>
  <c r="QY31"/>
  <c r="QY47" s="1"/>
  <c r="QX39"/>
  <c r="QX26"/>
  <c r="QX40" s="1"/>
  <c r="QY25" s="1"/>
  <c r="QY44" l="1"/>
  <c r="QZ29" s="1"/>
  <c r="QZ50"/>
  <c r="QZ36"/>
  <c r="QY45"/>
  <c r="QZ30" s="1"/>
  <c r="QX42"/>
  <c r="QY27" s="1"/>
  <c r="QY43" s="1"/>
  <c r="QX41"/>
  <c r="QY26" s="1"/>
  <c r="QY46"/>
  <c r="QZ31" s="1"/>
  <c r="QZ49"/>
  <c r="RA34" s="1"/>
  <c r="RA36" s="1"/>
  <c r="QY39"/>
  <c r="QZ32"/>
  <c r="QZ48" s="1"/>
  <c r="QZ46" l="1"/>
  <c r="RA31" s="1"/>
  <c r="QZ45"/>
  <c r="RA30" s="1"/>
  <c r="QZ47"/>
  <c r="RA32" s="1"/>
  <c r="QY41"/>
  <c r="QZ26" s="1"/>
  <c r="QY42"/>
  <c r="QZ27" s="1"/>
  <c r="RA50"/>
  <c r="QZ28"/>
  <c r="QZ44" s="1"/>
  <c r="RA33"/>
  <c r="RA49" s="1"/>
  <c r="QY40"/>
  <c r="QZ25" s="1"/>
  <c r="RA46" l="1"/>
  <c r="RB31" s="1"/>
  <c r="QZ43"/>
  <c r="RA28" s="1"/>
  <c r="RA47"/>
  <c r="RB32" s="1"/>
  <c r="QZ42"/>
  <c r="RA27" s="1"/>
  <c r="RA48"/>
  <c r="RB33" s="1"/>
  <c r="RB34"/>
  <c r="RA29"/>
  <c r="RA45" s="1"/>
  <c r="QZ41"/>
  <c r="QZ39"/>
  <c r="QZ40"/>
  <c r="RA25" s="1"/>
  <c r="RA44" l="1"/>
  <c r="RB29" s="1"/>
  <c r="RA43"/>
  <c r="RB28" s="1"/>
  <c r="RB49"/>
  <c r="RC34" s="1"/>
  <c r="RB50"/>
  <c r="RB36"/>
  <c r="RB48"/>
  <c r="RC33" s="1"/>
  <c r="RB47"/>
  <c r="RC32" s="1"/>
  <c r="RB30"/>
  <c r="RB46" s="1"/>
  <c r="RA39"/>
  <c r="RA26"/>
  <c r="RA41" s="1"/>
  <c r="RC49" l="1"/>
  <c r="RD34" s="1"/>
  <c r="RA42"/>
  <c r="RB27" s="1"/>
  <c r="RB43" s="1"/>
  <c r="RC48"/>
  <c r="RD33" s="1"/>
  <c r="RC50"/>
  <c r="RC36"/>
  <c r="RB45"/>
  <c r="RC30" s="1"/>
  <c r="RB44"/>
  <c r="RC29" s="1"/>
  <c r="RC31"/>
  <c r="RC47" s="1"/>
  <c r="RB26"/>
  <c r="RA40"/>
  <c r="RB25" s="1"/>
  <c r="RC46" l="1"/>
  <c r="RD31" s="1"/>
  <c r="RC45"/>
  <c r="RD30" s="1"/>
  <c r="RB42"/>
  <c r="RC27" s="1"/>
  <c r="RD49"/>
  <c r="RE34" s="1"/>
  <c r="RD50"/>
  <c r="RD36"/>
  <c r="RC28"/>
  <c r="RC44" s="1"/>
  <c r="RD32"/>
  <c r="RD48" s="1"/>
  <c r="RB41"/>
  <c r="RB39"/>
  <c r="RB40"/>
  <c r="RC25" s="1"/>
  <c r="RE50" l="1"/>
  <c r="RE36"/>
  <c r="RC43"/>
  <c r="RD28" s="1"/>
  <c r="RD47"/>
  <c r="RE32" s="1"/>
  <c r="RD46"/>
  <c r="RE31" s="1"/>
  <c r="RE33"/>
  <c r="RE49" s="1"/>
  <c r="RD29"/>
  <c r="RD45" s="1"/>
  <c r="RC39"/>
  <c r="RC26"/>
  <c r="RC40" s="1"/>
  <c r="RD25" s="1"/>
  <c r="RD44" l="1"/>
  <c r="RE29" s="1"/>
  <c r="RE48"/>
  <c r="RF33" s="1"/>
  <c r="RE47"/>
  <c r="RF32" s="1"/>
  <c r="RD39"/>
  <c r="RF34"/>
  <c r="RE30"/>
  <c r="RE46" s="1"/>
  <c r="RC41"/>
  <c r="RC42"/>
  <c r="RF49" l="1"/>
  <c r="RG34" s="1"/>
  <c r="RG36" s="1"/>
  <c r="RF50"/>
  <c r="RF36"/>
  <c r="RE45"/>
  <c r="RF30" s="1"/>
  <c r="RF48"/>
  <c r="RG33" s="1"/>
  <c r="RF31"/>
  <c r="RF47" s="1"/>
  <c r="RD27"/>
  <c r="RD43" s="1"/>
  <c r="RD26"/>
  <c r="RF46" l="1"/>
  <c r="RG31" s="1"/>
  <c r="RD42"/>
  <c r="RE27" s="1"/>
  <c r="RG49"/>
  <c r="RH34" s="1"/>
  <c r="RG50"/>
  <c r="RE28"/>
  <c r="RE44" s="1"/>
  <c r="RG32"/>
  <c r="RG48" s="1"/>
  <c r="RD40"/>
  <c r="RE25" s="1"/>
  <c r="RD41"/>
  <c r="RE43" l="1"/>
  <c r="RF28" s="1"/>
  <c r="RG47"/>
  <c r="RH32" s="1"/>
  <c r="RH50"/>
  <c r="RH36"/>
  <c r="RH33"/>
  <c r="RH49" s="1"/>
  <c r="RF29"/>
  <c r="RF45" s="1"/>
  <c r="RE26"/>
  <c r="RE42" s="1"/>
  <c r="RE39"/>
  <c r="RF44" l="1"/>
  <c r="RG29" s="1"/>
  <c r="RH48"/>
  <c r="RI33" s="1"/>
  <c r="RG30"/>
  <c r="RG46" s="1"/>
  <c r="RF27"/>
  <c r="RF43" s="1"/>
  <c r="RI34"/>
  <c r="RE41"/>
  <c r="RE40"/>
  <c r="RF25" s="1"/>
  <c r="RI49" l="1"/>
  <c r="RJ34" s="1"/>
  <c r="RI50"/>
  <c r="RI36"/>
  <c r="RG45"/>
  <c r="RH31"/>
  <c r="RH47" s="1"/>
  <c r="RG28"/>
  <c r="RG44" s="1"/>
  <c r="RH30"/>
  <c r="RF39"/>
  <c r="RF26"/>
  <c r="RF40" s="1"/>
  <c r="RG25" s="1"/>
  <c r="RH46" l="1"/>
  <c r="RI31" s="1"/>
  <c r="RF42"/>
  <c r="RG27" s="1"/>
  <c r="RG43" s="1"/>
  <c r="RF41"/>
  <c r="RJ50"/>
  <c r="RJ36"/>
  <c r="RG39"/>
  <c r="RI32"/>
  <c r="RI48" s="1"/>
  <c r="RH29"/>
  <c r="RH45" s="1"/>
  <c r="RG26"/>
  <c r="RG40" s="1"/>
  <c r="RH25" s="1"/>
  <c r="RI47" l="1"/>
  <c r="RJ32" s="1"/>
  <c r="RG42"/>
  <c r="RH27" s="1"/>
  <c r="RG41"/>
  <c r="RH26" s="1"/>
  <c r="RH40" s="1"/>
  <c r="RI25" s="1"/>
  <c r="RH39"/>
  <c r="RH28"/>
  <c r="RH44" s="1"/>
  <c r="RI30"/>
  <c r="RI46" s="1"/>
  <c r="RJ33"/>
  <c r="RJ49" s="1"/>
  <c r="RH43" l="1"/>
  <c r="RJ48"/>
  <c r="RK33" s="1"/>
  <c r="RH42"/>
  <c r="RI27" s="1"/>
  <c r="RH41"/>
  <c r="RI26" s="1"/>
  <c r="RI39"/>
  <c r="RK34"/>
  <c r="RK36" s="1"/>
  <c r="RJ31"/>
  <c r="RJ47" s="1"/>
  <c r="RI29"/>
  <c r="RI45" s="1"/>
  <c r="RI28"/>
  <c r="RK49" l="1"/>
  <c r="RL34" s="1"/>
  <c r="RI43"/>
  <c r="RJ28" s="1"/>
  <c r="RI44"/>
  <c r="RJ29" s="1"/>
  <c r="RK50"/>
  <c r="RI41"/>
  <c r="RJ26" s="1"/>
  <c r="RI42"/>
  <c r="RJ27" s="1"/>
  <c r="RK32"/>
  <c r="RK48" s="1"/>
  <c r="RI40"/>
  <c r="RJ25" s="1"/>
  <c r="RJ30"/>
  <c r="RJ46" s="1"/>
  <c r="RJ45" l="1"/>
  <c r="RK30" s="1"/>
  <c r="RL50"/>
  <c r="RL36"/>
  <c r="RJ43"/>
  <c r="RK28" s="1"/>
  <c r="RJ42"/>
  <c r="RK27" s="1"/>
  <c r="RJ44"/>
  <c r="RK29" s="1"/>
  <c r="RL33"/>
  <c r="RL49" s="1"/>
  <c r="RK31"/>
  <c r="RK47" s="1"/>
  <c r="RJ41"/>
  <c r="RJ39"/>
  <c r="RJ40"/>
  <c r="RK25" s="1"/>
  <c r="RK44" l="1"/>
  <c r="RL29" s="1"/>
  <c r="RK43"/>
  <c r="RL28" s="1"/>
  <c r="RK46"/>
  <c r="RL31" s="1"/>
  <c r="RK45"/>
  <c r="RL30" s="1"/>
  <c r="RL32"/>
  <c r="RL48" s="1"/>
  <c r="RM34"/>
  <c r="RK39"/>
  <c r="RK26"/>
  <c r="RK41" s="1"/>
  <c r="RL46" l="1"/>
  <c r="RM31" s="1"/>
  <c r="RM50"/>
  <c r="RM36"/>
  <c r="RK40"/>
  <c r="RL25" s="1"/>
  <c r="RL39" s="1"/>
  <c r="RK42"/>
  <c r="RL27" s="1"/>
  <c r="RL45"/>
  <c r="RM30" s="1"/>
  <c r="RL47"/>
  <c r="RM32" s="1"/>
  <c r="RL44"/>
  <c r="RM29" s="1"/>
  <c r="RL26"/>
  <c r="RM33"/>
  <c r="RM49" s="1"/>
  <c r="RM48" l="1"/>
  <c r="RN33" s="1"/>
  <c r="RM45"/>
  <c r="RN30" s="1"/>
  <c r="RL43"/>
  <c r="RM28" s="1"/>
  <c r="RM44" s="1"/>
  <c r="RL41"/>
  <c r="RM26" s="1"/>
  <c r="RM47"/>
  <c r="RN32" s="1"/>
  <c r="RL42"/>
  <c r="RM27" s="1"/>
  <c r="RM46"/>
  <c r="RN31" s="1"/>
  <c r="RN34"/>
  <c r="RL40"/>
  <c r="RM25" s="1"/>
  <c r="RN46" l="1"/>
  <c r="RM43"/>
  <c r="RN28" s="1"/>
  <c r="RN49"/>
  <c r="RO34" s="1"/>
  <c r="RN48"/>
  <c r="RO33" s="1"/>
  <c r="RN47"/>
  <c r="RO32" s="1"/>
  <c r="RN50"/>
  <c r="RN36"/>
  <c r="RM42"/>
  <c r="RN27" s="1"/>
  <c r="RO31"/>
  <c r="RN29"/>
  <c r="RN45" s="1"/>
  <c r="RM39"/>
  <c r="RM40"/>
  <c r="RN25" s="1"/>
  <c r="RM41"/>
  <c r="RN44" l="1"/>
  <c r="RO29" s="1"/>
  <c r="RN43"/>
  <c r="RO28" s="1"/>
  <c r="RO49"/>
  <c r="RP34" s="1"/>
  <c r="RO47"/>
  <c r="RP32" s="1"/>
  <c r="RO50"/>
  <c r="RO36"/>
  <c r="RO48"/>
  <c r="RP33" s="1"/>
  <c r="RO30"/>
  <c r="RO46" s="1"/>
  <c r="RN39"/>
  <c r="RN26"/>
  <c r="RN41" s="1"/>
  <c r="RP49" l="1"/>
  <c r="RQ34" s="1"/>
  <c r="RN42"/>
  <c r="RO27" s="1"/>
  <c r="RO43" s="1"/>
  <c r="RO45"/>
  <c r="RP30" s="1"/>
  <c r="RP48"/>
  <c r="RQ33" s="1"/>
  <c r="RO44"/>
  <c r="RP29" s="1"/>
  <c r="RP50"/>
  <c r="RP36"/>
  <c r="RO26"/>
  <c r="RP31"/>
  <c r="RP47" s="1"/>
  <c r="RN40"/>
  <c r="RO25" s="1"/>
  <c r="RP45" l="1"/>
  <c r="RQ30" s="1"/>
  <c r="RP46"/>
  <c r="RQ31" s="1"/>
  <c r="RQ50"/>
  <c r="RQ36"/>
  <c r="RO42"/>
  <c r="RP27" s="1"/>
  <c r="RQ49"/>
  <c r="RR34" s="1"/>
  <c r="RP28"/>
  <c r="RP44" s="1"/>
  <c r="RQ32"/>
  <c r="RQ48" s="1"/>
  <c r="RO40"/>
  <c r="RP25" s="1"/>
  <c r="RO41"/>
  <c r="RO39"/>
  <c r="RP43" l="1"/>
  <c r="RQ28" s="1"/>
  <c r="RR50"/>
  <c r="RR36"/>
  <c r="RQ47"/>
  <c r="RR32" s="1"/>
  <c r="RQ46"/>
  <c r="RR31" s="1"/>
  <c r="RR33"/>
  <c r="RR49" s="1"/>
  <c r="RQ29"/>
  <c r="RQ45" s="1"/>
  <c r="RP26"/>
  <c r="RP42" s="1"/>
  <c r="RP39"/>
  <c r="RR48" l="1"/>
  <c r="RS33" s="1"/>
  <c r="RR47"/>
  <c r="RS32" s="1"/>
  <c r="RQ44"/>
  <c r="RR29" s="1"/>
  <c r="RQ27"/>
  <c r="RQ43" s="1"/>
  <c r="RR30"/>
  <c r="RR46" s="1"/>
  <c r="RS34"/>
  <c r="RP40"/>
  <c r="RQ25" s="1"/>
  <c r="RP41"/>
  <c r="RR45" l="1"/>
  <c r="RS30" s="1"/>
  <c r="RS49"/>
  <c r="RT34" s="1"/>
  <c r="RS50"/>
  <c r="RS36"/>
  <c r="RS48"/>
  <c r="RT33" s="1"/>
  <c r="RS31"/>
  <c r="RS47" s="1"/>
  <c r="RR28"/>
  <c r="RR44" s="1"/>
  <c r="RQ26"/>
  <c r="RQ42" s="1"/>
  <c r="RQ39"/>
  <c r="RQ41" l="1"/>
  <c r="RR26" s="1"/>
  <c r="RS46"/>
  <c r="RT31" s="1"/>
  <c r="RT49"/>
  <c r="RU34" s="1"/>
  <c r="RT50"/>
  <c r="RT36"/>
  <c r="RR27"/>
  <c r="RR43" s="1"/>
  <c r="RT32"/>
  <c r="RT48" s="1"/>
  <c r="RS29"/>
  <c r="RS45" s="1"/>
  <c r="RQ40"/>
  <c r="RR25" s="1"/>
  <c r="RT47" l="1"/>
  <c r="RU32" s="1"/>
  <c r="RR42"/>
  <c r="RS27" s="1"/>
  <c r="RU50"/>
  <c r="RU36"/>
  <c r="RU33"/>
  <c r="RU49" s="1"/>
  <c r="RT30"/>
  <c r="RT46" s="1"/>
  <c r="RS28"/>
  <c r="RS44" s="1"/>
  <c r="RR40"/>
  <c r="RS25" s="1"/>
  <c r="RR39"/>
  <c r="RR41"/>
  <c r="RU48" l="1"/>
  <c r="RV33" s="1"/>
  <c r="RS43"/>
  <c r="RT28" s="1"/>
  <c r="RU31"/>
  <c r="RU47" s="1"/>
  <c r="RT29"/>
  <c r="RT45" s="1"/>
  <c r="RV34"/>
  <c r="RS26"/>
  <c r="RS42" s="1"/>
  <c r="RS39"/>
  <c r="RV50" l="1"/>
  <c r="RV36"/>
  <c r="RT44"/>
  <c r="RU29" s="1"/>
  <c r="RV49"/>
  <c r="RW34" s="1"/>
  <c r="RT27"/>
  <c r="RT43" s="1"/>
  <c r="RU30"/>
  <c r="RU46" s="1"/>
  <c r="RV32"/>
  <c r="RV48" s="1"/>
  <c r="RS41"/>
  <c r="RS40"/>
  <c r="RT25" s="1"/>
  <c r="RW50" l="1"/>
  <c r="RW36"/>
  <c r="RU45"/>
  <c r="RV30" s="1"/>
  <c r="RV31"/>
  <c r="RV47" s="1"/>
  <c r="RW33"/>
  <c r="RW49" s="1"/>
  <c r="RU28"/>
  <c r="RU44" s="1"/>
  <c r="RT39"/>
  <c r="RT26"/>
  <c r="RT41" s="1"/>
  <c r="RV46" l="1"/>
  <c r="RW31" s="1"/>
  <c r="RT42"/>
  <c r="RU27" s="1"/>
  <c r="RU43" s="1"/>
  <c r="RV29"/>
  <c r="RV45" s="1"/>
  <c r="RX34"/>
  <c r="RU26"/>
  <c r="RW32"/>
  <c r="RW48" s="1"/>
  <c r="RT40"/>
  <c r="RU25" s="1"/>
  <c r="RU42" l="1"/>
  <c r="RV27" s="1"/>
  <c r="RX50"/>
  <c r="RX36"/>
  <c r="RW47"/>
  <c r="RX32" s="1"/>
  <c r="RV28"/>
  <c r="RV44" s="1"/>
  <c r="RX33"/>
  <c r="RX49" s="1"/>
  <c r="RW30"/>
  <c r="RW46" s="1"/>
  <c r="RU40"/>
  <c r="RV25" s="1"/>
  <c r="RU41"/>
  <c r="RU39"/>
  <c r="RV43" l="1"/>
  <c r="RW28" s="1"/>
  <c r="RX48"/>
  <c r="RY33" s="1"/>
  <c r="RX31"/>
  <c r="RX47" s="1"/>
  <c r="RY34"/>
  <c r="RW29"/>
  <c r="RW45" s="1"/>
  <c r="RV39"/>
  <c r="RV26"/>
  <c r="RV40" s="1"/>
  <c r="RW25" s="1"/>
  <c r="RW44" l="1"/>
  <c r="RX29" s="1"/>
  <c r="RY50"/>
  <c r="RY36"/>
  <c r="RV42"/>
  <c r="RW27" s="1"/>
  <c r="RV41"/>
  <c r="RW26" s="1"/>
  <c r="RY49"/>
  <c r="RZ34" s="1"/>
  <c r="RW39"/>
  <c r="RX30"/>
  <c r="RX46" s="1"/>
  <c r="RY32"/>
  <c r="RY48" s="1"/>
  <c r="RX45" l="1"/>
  <c r="RY30" s="1"/>
  <c r="RZ50"/>
  <c r="RZ36"/>
  <c r="RW43"/>
  <c r="RX28" s="1"/>
  <c r="RX44" s="1"/>
  <c r="RW42"/>
  <c r="RX27" s="1"/>
  <c r="RW41"/>
  <c r="RX26" s="1"/>
  <c r="RW40"/>
  <c r="RX25" s="1"/>
  <c r="RX39" s="1"/>
  <c r="RZ33"/>
  <c r="RZ49" s="1"/>
  <c r="RY31"/>
  <c r="RY47" s="1"/>
  <c r="RX43" l="1"/>
  <c r="RY28" s="1"/>
  <c r="RX40"/>
  <c r="RY25" s="1"/>
  <c r="RY39" s="1"/>
  <c r="RY46"/>
  <c r="RZ31" s="1"/>
  <c r="RX42"/>
  <c r="RY27" s="1"/>
  <c r="RZ32"/>
  <c r="RZ48" s="1"/>
  <c r="SA34"/>
  <c r="RY29"/>
  <c r="RY45" s="1"/>
  <c r="RX41"/>
  <c r="RZ47" l="1"/>
  <c r="SA32" s="1"/>
  <c r="RY43"/>
  <c r="RZ28" s="1"/>
  <c r="SA50"/>
  <c r="SA36"/>
  <c r="RY44"/>
  <c r="RZ29" s="1"/>
  <c r="RZ30"/>
  <c r="RZ46" s="1"/>
  <c r="SA33"/>
  <c r="SA49" s="1"/>
  <c r="RY26"/>
  <c r="RZ44" l="1"/>
  <c r="SA29" s="1"/>
  <c r="RZ45"/>
  <c r="SA30" s="1"/>
  <c r="SA48"/>
  <c r="SB33" s="1"/>
  <c r="SB34"/>
  <c r="SA31"/>
  <c r="SA47" s="1"/>
  <c r="RY41"/>
  <c r="RY40"/>
  <c r="RZ25" s="1"/>
  <c r="RY42"/>
  <c r="SA46" l="1"/>
  <c r="SB31" s="1"/>
  <c r="SB50"/>
  <c r="SB36"/>
  <c r="SA45"/>
  <c r="SB30" s="1"/>
  <c r="SB49"/>
  <c r="SC34" s="1"/>
  <c r="SB32"/>
  <c r="SB48" s="1"/>
  <c r="RZ39"/>
  <c r="RZ27"/>
  <c r="RZ43" s="1"/>
  <c r="RZ26"/>
  <c r="RZ41" l="1"/>
  <c r="SA26" s="1"/>
  <c r="RZ42"/>
  <c r="SA27" s="1"/>
  <c r="SB47"/>
  <c r="SC32" s="1"/>
  <c r="SC50"/>
  <c r="SC36"/>
  <c r="SB46"/>
  <c r="SC31" s="1"/>
  <c r="SC33"/>
  <c r="SC49" s="1"/>
  <c r="SA28"/>
  <c r="SA44" s="1"/>
  <c r="RZ40"/>
  <c r="SA25" s="1"/>
  <c r="SA43" l="1"/>
  <c r="SB28" s="1"/>
  <c r="SC48"/>
  <c r="SD33" s="1"/>
  <c r="SC47"/>
  <c r="SD32" s="1"/>
  <c r="SA42"/>
  <c r="SB27" s="1"/>
  <c r="SB29"/>
  <c r="SB45" s="1"/>
  <c r="SD34"/>
  <c r="SA39"/>
  <c r="SA40"/>
  <c r="SB25" s="1"/>
  <c r="SA41"/>
  <c r="SB44" l="1"/>
  <c r="SC29" s="1"/>
  <c r="SD49"/>
  <c r="SE34" s="1"/>
  <c r="SB43"/>
  <c r="SC28" s="1"/>
  <c r="SD50"/>
  <c r="SD36"/>
  <c r="SD48"/>
  <c r="SE33" s="1"/>
  <c r="SC30"/>
  <c r="SC46" s="1"/>
  <c r="SB39"/>
  <c r="SB26"/>
  <c r="SB41" s="1"/>
  <c r="SE49" l="1"/>
  <c r="SF34" s="1"/>
  <c r="SB42"/>
  <c r="SC27" s="1"/>
  <c r="SC43" s="1"/>
  <c r="SE50"/>
  <c r="SE36"/>
  <c r="SC44"/>
  <c r="SD29" s="1"/>
  <c r="SC45"/>
  <c r="SD30" s="1"/>
  <c r="SD31"/>
  <c r="SD47" s="1"/>
  <c r="SC26"/>
  <c r="SB40"/>
  <c r="SC25" s="1"/>
  <c r="SD46" l="1"/>
  <c r="SE31" s="1"/>
  <c r="SF50"/>
  <c r="SF36"/>
  <c r="SD45"/>
  <c r="SE30" s="1"/>
  <c r="SC42"/>
  <c r="SD27" s="1"/>
  <c r="SD28"/>
  <c r="SD44" s="1"/>
  <c r="SE32"/>
  <c r="SE48" s="1"/>
  <c r="SC40"/>
  <c r="SD25" s="1"/>
  <c r="SC41"/>
  <c r="SC39"/>
  <c r="SE46" l="1"/>
  <c r="SF31" s="1"/>
  <c r="SD43"/>
  <c r="SE28" s="1"/>
  <c r="SE47"/>
  <c r="SF32" s="1"/>
  <c r="SF33"/>
  <c r="SF49" s="1"/>
  <c r="SE29"/>
  <c r="SE45" s="1"/>
  <c r="SD26"/>
  <c r="SD42" s="1"/>
  <c r="SD39"/>
  <c r="SD40" l="1"/>
  <c r="SE25" s="1"/>
  <c r="SE39" s="1"/>
  <c r="SE44"/>
  <c r="SF29" s="1"/>
  <c r="SF48"/>
  <c r="SG33" s="1"/>
  <c r="SF47"/>
  <c r="SG32" s="1"/>
  <c r="SE27"/>
  <c r="SE43" s="1"/>
  <c r="SF30"/>
  <c r="SF46" s="1"/>
  <c r="SG34"/>
  <c r="SD41"/>
  <c r="SF45" l="1"/>
  <c r="SG30" s="1"/>
  <c r="SG49"/>
  <c r="SH34" s="1"/>
  <c r="SG50"/>
  <c r="SG36"/>
  <c r="SG48"/>
  <c r="SH33" s="1"/>
  <c r="SG31"/>
  <c r="SG47" s="1"/>
  <c r="SF28"/>
  <c r="SF44" s="1"/>
  <c r="SE26"/>
  <c r="SG46" l="1"/>
  <c r="SH31" s="1"/>
  <c r="SH50"/>
  <c r="SH36"/>
  <c r="SH49"/>
  <c r="SI34" s="1"/>
  <c r="SH32"/>
  <c r="SH48" s="1"/>
  <c r="SG29"/>
  <c r="SG45" s="1"/>
  <c r="SE41"/>
  <c r="SE40"/>
  <c r="SF25" s="1"/>
  <c r="SE42"/>
  <c r="SH47" l="1"/>
  <c r="SI32" s="1"/>
  <c r="SI50"/>
  <c r="SI36"/>
  <c r="SI33"/>
  <c r="SI49" s="1"/>
  <c r="SH30"/>
  <c r="SH46" s="1"/>
  <c r="SF39"/>
  <c r="SF27"/>
  <c r="SF43" s="1"/>
  <c r="SF26"/>
  <c r="SF40" s="1"/>
  <c r="SG25" s="1"/>
  <c r="SF42" l="1"/>
  <c r="SG27" s="1"/>
  <c r="SF41"/>
  <c r="SG26" s="1"/>
  <c r="SI48"/>
  <c r="SJ33" s="1"/>
  <c r="SJ34"/>
  <c r="SG39"/>
  <c r="SI31"/>
  <c r="SI47" s="1"/>
  <c r="SG28"/>
  <c r="SG44" s="1"/>
  <c r="SG43" l="1"/>
  <c r="SJ49"/>
  <c r="SJ50"/>
  <c r="SJ36"/>
  <c r="SG41"/>
  <c r="SH26" s="1"/>
  <c r="SG40"/>
  <c r="SH25" s="1"/>
  <c r="SH39" s="1"/>
  <c r="SG42"/>
  <c r="SH27" s="1"/>
  <c r="SH29"/>
  <c r="SH45" s="1"/>
  <c r="SH28"/>
  <c r="SK34"/>
  <c r="SJ32"/>
  <c r="SJ48" s="1"/>
  <c r="SH42" l="1"/>
  <c r="SI27" s="1"/>
  <c r="SH40"/>
  <c r="SI25" s="1"/>
  <c r="SI39" s="1"/>
  <c r="SK50"/>
  <c r="SK36"/>
  <c r="SH44"/>
  <c r="SI29" s="1"/>
  <c r="SH43"/>
  <c r="SI28" s="1"/>
  <c r="SI30"/>
  <c r="SI46" s="1"/>
  <c r="SH41"/>
  <c r="SK33"/>
  <c r="SK49" s="1"/>
  <c r="SI43" l="1"/>
  <c r="SJ28" s="1"/>
  <c r="SI44"/>
  <c r="SJ29" s="1"/>
  <c r="SI45"/>
  <c r="SJ30" s="1"/>
  <c r="SL34"/>
  <c r="SJ31"/>
  <c r="SJ47" s="1"/>
  <c r="SI26"/>
  <c r="SJ46" l="1"/>
  <c r="SK31" s="1"/>
  <c r="SJ45"/>
  <c r="SK30" s="1"/>
  <c r="SL50"/>
  <c r="SL36"/>
  <c r="SJ44"/>
  <c r="SK29" s="1"/>
  <c r="SK32"/>
  <c r="SK48" s="1"/>
  <c r="SI40"/>
  <c r="SJ25" s="1"/>
  <c r="SI41"/>
  <c r="SI42"/>
  <c r="SK47" l="1"/>
  <c r="SL32" s="1"/>
  <c r="SK45"/>
  <c r="SL30" s="1"/>
  <c r="SK46"/>
  <c r="SL31" s="1"/>
  <c r="SL33"/>
  <c r="SL49" s="1"/>
  <c r="SJ26"/>
  <c r="SJ27"/>
  <c r="SJ43" s="1"/>
  <c r="SJ39"/>
  <c r="SL47" l="1"/>
  <c r="SM32" s="1"/>
  <c r="SJ42"/>
  <c r="SK27" s="1"/>
  <c r="SL48"/>
  <c r="SM33" s="1"/>
  <c r="SL46"/>
  <c r="SM31" s="1"/>
  <c r="SK28"/>
  <c r="SK44" s="1"/>
  <c r="SM34"/>
  <c r="SJ40"/>
  <c r="SK25" s="1"/>
  <c r="SJ41"/>
  <c r="SM47" l="1"/>
  <c r="SN32" s="1"/>
  <c r="SK43"/>
  <c r="SL28" s="1"/>
  <c r="SM50"/>
  <c r="SM36"/>
  <c r="SM49"/>
  <c r="SN34" s="1"/>
  <c r="SM48"/>
  <c r="SN33" s="1"/>
  <c r="SL29"/>
  <c r="SL45" s="1"/>
  <c r="SK26"/>
  <c r="SK42" s="1"/>
  <c r="SK39"/>
  <c r="SN49" l="1"/>
  <c r="SO34" s="1"/>
  <c r="SL44"/>
  <c r="SM29" s="1"/>
  <c r="SN50"/>
  <c r="SN36"/>
  <c r="SK41"/>
  <c r="SL26" s="1"/>
  <c r="SN48"/>
  <c r="SO33" s="1"/>
  <c r="SL27"/>
  <c r="SL43" s="1"/>
  <c r="SM30"/>
  <c r="SM46" s="1"/>
  <c r="SK40"/>
  <c r="SL25" s="1"/>
  <c r="SL42" l="1"/>
  <c r="SM27" s="1"/>
  <c r="SO49"/>
  <c r="SP34" s="1"/>
  <c r="SO50"/>
  <c r="SO36"/>
  <c r="SM45"/>
  <c r="SN30" s="1"/>
  <c r="SN31"/>
  <c r="SN47" s="1"/>
  <c r="SM28"/>
  <c r="SM44" s="1"/>
  <c r="SL39"/>
  <c r="SL40"/>
  <c r="SM25" s="1"/>
  <c r="SL41"/>
  <c r="SN46" l="1"/>
  <c r="SO31" s="1"/>
  <c r="SP50"/>
  <c r="SP36"/>
  <c r="SM43"/>
  <c r="SN28" s="1"/>
  <c r="SO32"/>
  <c r="SO48" s="1"/>
  <c r="SN29"/>
  <c r="SN45" s="1"/>
  <c r="SM39"/>
  <c r="SM26"/>
  <c r="SM40" s="1"/>
  <c r="SN25" s="1"/>
  <c r="SM42" l="1"/>
  <c r="SN27" s="1"/>
  <c r="SN43" s="1"/>
  <c r="SM41"/>
  <c r="SN26" s="1"/>
  <c r="SO47"/>
  <c r="SP32" s="1"/>
  <c r="SN44"/>
  <c r="SO29" s="1"/>
  <c r="SO30"/>
  <c r="SO46" s="1"/>
  <c r="SN39"/>
  <c r="SP33"/>
  <c r="SP49" s="1"/>
  <c r="SN41" l="1"/>
  <c r="SO26" s="1"/>
  <c r="SO45"/>
  <c r="SP30" s="1"/>
  <c r="SN42"/>
  <c r="SO27" s="1"/>
  <c r="SP48"/>
  <c r="SQ33" s="1"/>
  <c r="SP31"/>
  <c r="SP47" s="1"/>
  <c r="SO28"/>
  <c r="SO44" s="1"/>
  <c r="SQ34"/>
  <c r="SN40"/>
  <c r="SO25" s="1"/>
  <c r="SP46" l="1"/>
  <c r="SQ31" s="1"/>
  <c r="SO43"/>
  <c r="SP28" s="1"/>
  <c r="SQ49"/>
  <c r="SR34" s="1"/>
  <c r="SQ50"/>
  <c r="SQ36"/>
  <c r="SO42"/>
  <c r="SP27" s="1"/>
  <c r="SP29"/>
  <c r="SP45" s="1"/>
  <c r="SQ32"/>
  <c r="SQ48" s="1"/>
  <c r="SO40"/>
  <c r="SP25" s="1"/>
  <c r="SO39"/>
  <c r="SO41"/>
  <c r="SP44" l="1"/>
  <c r="SQ29" s="1"/>
  <c r="SP43"/>
  <c r="SQ28" s="1"/>
  <c r="SQ47"/>
  <c r="SR32" s="1"/>
  <c r="SR50"/>
  <c r="SR36"/>
  <c r="SR33"/>
  <c r="SR49" s="1"/>
  <c r="SQ30"/>
  <c r="SQ46" s="1"/>
  <c r="SP26"/>
  <c r="SP42" s="1"/>
  <c r="SP39"/>
  <c r="SQ44" l="1"/>
  <c r="SR29" s="1"/>
  <c r="SR48"/>
  <c r="SS33" s="1"/>
  <c r="SQ45"/>
  <c r="SR30" s="1"/>
  <c r="SQ27"/>
  <c r="SQ43" s="1"/>
  <c r="SS34"/>
  <c r="SR31"/>
  <c r="SR47" s="1"/>
  <c r="SP40"/>
  <c r="SQ25" s="1"/>
  <c r="SP41"/>
  <c r="SS49" l="1"/>
  <c r="ST34" s="1"/>
  <c r="SR46"/>
  <c r="SS31" s="1"/>
  <c r="SR45"/>
  <c r="SS30" s="1"/>
  <c r="SS50"/>
  <c r="SS36"/>
  <c r="SS32"/>
  <c r="SS48" s="1"/>
  <c r="SR28"/>
  <c r="SR44" s="1"/>
  <c r="SQ26"/>
  <c r="SQ42" s="1"/>
  <c r="SQ39"/>
  <c r="SQ40" l="1"/>
  <c r="SR25" s="1"/>
  <c r="SR39" s="1"/>
  <c r="ST50"/>
  <c r="ST36"/>
  <c r="SS46"/>
  <c r="ST31" s="1"/>
  <c r="SS47"/>
  <c r="ST32" s="1"/>
  <c r="SR27"/>
  <c r="SR43" s="1"/>
  <c r="ST33"/>
  <c r="ST49" s="1"/>
  <c r="SS29"/>
  <c r="SS45" s="1"/>
  <c r="SQ41"/>
  <c r="ST48" l="1"/>
  <c r="SU33" s="1"/>
  <c r="ST47"/>
  <c r="SU32" s="1"/>
  <c r="SU34"/>
  <c r="ST30"/>
  <c r="ST46" s="1"/>
  <c r="SS28"/>
  <c r="SS44" s="1"/>
  <c r="SR26"/>
  <c r="SU49" l="1"/>
  <c r="SV34" s="1"/>
  <c r="SU50"/>
  <c r="SU36"/>
  <c r="SU48"/>
  <c r="SV33" s="1"/>
  <c r="SU31"/>
  <c r="SU47" s="1"/>
  <c r="ST29"/>
  <c r="ST45" s="1"/>
  <c r="SR41"/>
  <c r="SR40"/>
  <c r="SS25" s="1"/>
  <c r="SR42"/>
  <c r="SV50" l="1"/>
  <c r="SV36"/>
  <c r="SV49"/>
  <c r="SW34" s="1"/>
  <c r="SU30"/>
  <c r="SU46" s="1"/>
  <c r="SV32"/>
  <c r="SV48" s="1"/>
  <c r="SS27"/>
  <c r="SS43" s="1"/>
  <c r="SS26"/>
  <c r="SS39"/>
  <c r="SS42" l="1"/>
  <c r="ST27" s="1"/>
  <c r="SS40"/>
  <c r="ST25" s="1"/>
  <c r="ST39" s="1"/>
  <c r="SW50"/>
  <c r="SW36"/>
  <c r="ST28"/>
  <c r="ST44" s="1"/>
  <c r="SV31"/>
  <c r="SV47" s="1"/>
  <c r="SW33"/>
  <c r="SW49" s="1"/>
  <c r="SS41"/>
  <c r="ST43" l="1"/>
  <c r="SU28" s="1"/>
  <c r="SX34"/>
  <c r="SW32"/>
  <c r="SW48" s="1"/>
  <c r="SU29"/>
  <c r="SU45" s="1"/>
  <c r="ST26"/>
  <c r="ST42" s="1"/>
  <c r="SX50" l="1"/>
  <c r="SX36"/>
  <c r="SU44"/>
  <c r="SV29" s="1"/>
  <c r="SV30"/>
  <c r="SV46" s="1"/>
  <c r="SX33"/>
  <c r="SX49" s="1"/>
  <c r="SU27"/>
  <c r="SU43" s="1"/>
  <c r="ST40"/>
  <c r="SU25" s="1"/>
  <c r="ST41"/>
  <c r="SV45" l="1"/>
  <c r="SW30" s="1"/>
  <c r="SY34"/>
  <c r="SV28"/>
  <c r="SV44" s="1"/>
  <c r="SW31"/>
  <c r="SW47" s="1"/>
  <c r="SU26"/>
  <c r="SU42" s="1"/>
  <c r="SU39"/>
  <c r="SW46" l="1"/>
  <c r="SX31" s="1"/>
  <c r="SU40"/>
  <c r="SV25" s="1"/>
  <c r="SV39" s="1"/>
  <c r="SY50"/>
  <c r="SY36"/>
  <c r="SV27"/>
  <c r="SV43" s="1"/>
  <c r="SW29"/>
  <c r="SW45" s="1"/>
  <c r="SX32"/>
  <c r="SX48" s="1"/>
  <c r="SU41"/>
  <c r="SX47" l="1"/>
  <c r="SY32" s="1"/>
  <c r="SY33"/>
  <c r="SY49" s="1"/>
  <c r="SX30"/>
  <c r="SX46" s="1"/>
  <c r="SW28"/>
  <c r="SW44" s="1"/>
  <c r="SV26"/>
  <c r="SY48" l="1"/>
  <c r="SZ33" s="1"/>
  <c r="SX29"/>
  <c r="SX45" s="1"/>
  <c r="SY31"/>
  <c r="SY47" s="1"/>
  <c r="SZ34"/>
  <c r="SV40"/>
  <c r="SW25" s="1"/>
  <c r="SV41"/>
  <c r="SV42"/>
  <c r="SZ49" l="1"/>
  <c r="SZ50"/>
  <c r="SZ36"/>
  <c r="SZ32"/>
  <c r="SZ48" s="1"/>
  <c r="TA34"/>
  <c r="SY30"/>
  <c r="SY46" s="1"/>
  <c r="SW26"/>
  <c r="SW27"/>
  <c r="SW43" s="1"/>
  <c r="SW39"/>
  <c r="TA50" l="1"/>
  <c r="TA36"/>
  <c r="SW42"/>
  <c r="SX27" s="1"/>
  <c r="SX28"/>
  <c r="SX44" s="1"/>
  <c r="SZ31"/>
  <c r="SZ47" s="1"/>
  <c r="TA33"/>
  <c r="TA49" s="1"/>
  <c r="SW40"/>
  <c r="SX25" s="1"/>
  <c r="SW41"/>
  <c r="SX43" l="1"/>
  <c r="SY28" s="1"/>
  <c r="TB34"/>
  <c r="SY29"/>
  <c r="SY45" s="1"/>
  <c r="TA32"/>
  <c r="TA48" s="1"/>
  <c r="SX26"/>
  <c r="SX42" s="1"/>
  <c r="SX39"/>
  <c r="SX40" l="1"/>
  <c r="SY25" s="1"/>
  <c r="SY39" s="1"/>
  <c r="TB50"/>
  <c r="TB36"/>
  <c r="SY44"/>
  <c r="SZ29" s="1"/>
  <c r="SZ30"/>
  <c r="SZ46" s="1"/>
  <c r="SY27"/>
  <c r="SY43" s="1"/>
  <c r="TB33"/>
  <c r="TB49" s="1"/>
  <c r="SX41"/>
  <c r="SZ45" l="1"/>
  <c r="TA30" s="1"/>
  <c r="TC34"/>
  <c r="TA31"/>
  <c r="TA47" s="1"/>
  <c r="SZ28"/>
  <c r="SZ44" s="1"/>
  <c r="SY26"/>
  <c r="SY42" s="1"/>
  <c r="TA46" l="1"/>
  <c r="TB31" s="1"/>
  <c r="TC50"/>
  <c r="TC36"/>
  <c r="TB32"/>
  <c r="TB48" s="1"/>
  <c r="SZ27"/>
  <c r="SZ43" s="1"/>
  <c r="TA29"/>
  <c r="TA45" s="1"/>
  <c r="SY41"/>
  <c r="SY40"/>
  <c r="SZ25" s="1"/>
  <c r="TB47" l="1"/>
  <c r="TC32" s="1"/>
  <c r="TB30"/>
  <c r="TB46" s="1"/>
  <c r="TC33"/>
  <c r="TC49" s="1"/>
  <c r="TA28"/>
  <c r="TA44" s="1"/>
  <c r="SZ26"/>
  <c r="SZ42" s="1"/>
  <c r="SZ39"/>
  <c r="TC48" l="1"/>
  <c r="TD33" s="1"/>
  <c r="SZ40"/>
  <c r="TA25" s="1"/>
  <c r="TA39" s="1"/>
  <c r="TD34"/>
  <c r="TA27"/>
  <c r="TA43" s="1"/>
  <c r="TB29"/>
  <c r="TB45" s="1"/>
  <c r="TC31"/>
  <c r="TC47" s="1"/>
  <c r="SZ41"/>
  <c r="TD50" l="1"/>
  <c r="TD36"/>
  <c r="TD49"/>
  <c r="TE34" s="1"/>
  <c r="TC30"/>
  <c r="TC46" s="1"/>
  <c r="TD32"/>
  <c r="TD48" s="1"/>
  <c r="TB28"/>
  <c r="TB44" s="1"/>
  <c r="TA26"/>
  <c r="TE50" l="1"/>
  <c r="TE36"/>
  <c r="TE33"/>
  <c r="TE49" s="1"/>
  <c r="TC29"/>
  <c r="TC45" s="1"/>
  <c r="TD31"/>
  <c r="TD47" s="1"/>
  <c r="TA41"/>
  <c r="TA40"/>
  <c r="TB25" s="1"/>
  <c r="TA42"/>
  <c r="TE32" l="1"/>
  <c r="TE48" s="1"/>
  <c r="TF34"/>
  <c r="TD30"/>
  <c r="TD46" s="1"/>
  <c r="TB39"/>
  <c r="TB27"/>
  <c r="TB43" s="1"/>
  <c r="TB26"/>
  <c r="TB42" l="1"/>
  <c r="TC27" s="1"/>
  <c r="TF50"/>
  <c r="TF36"/>
  <c r="TC28"/>
  <c r="TC44" s="1"/>
  <c r="TE31"/>
  <c r="TE47" s="1"/>
  <c r="TF33"/>
  <c r="TF49" s="1"/>
  <c r="TB40"/>
  <c r="TC25" s="1"/>
  <c r="TB41"/>
  <c r="TC43" l="1"/>
  <c r="TD28" s="1"/>
  <c r="TG34"/>
  <c r="TD29"/>
  <c r="TD45" s="1"/>
  <c r="TF32"/>
  <c r="TF48" s="1"/>
  <c r="TC39"/>
  <c r="TC26"/>
  <c r="TC40" s="1"/>
  <c r="TD25" s="1"/>
  <c r="TD44" l="1"/>
  <c r="TE29" s="1"/>
  <c r="TC42"/>
  <c r="TD27" s="1"/>
  <c r="TD43" s="1"/>
  <c r="TC41"/>
  <c r="TG50"/>
  <c r="TG36"/>
  <c r="TD39"/>
  <c r="TE30"/>
  <c r="TE46" s="1"/>
  <c r="TG33"/>
  <c r="TG49" s="1"/>
  <c r="TD26"/>
  <c r="TD41" l="1"/>
  <c r="TE26" s="1"/>
  <c r="TE45"/>
  <c r="TF30" s="1"/>
  <c r="TD40"/>
  <c r="TE25" s="1"/>
  <c r="TE39" s="1"/>
  <c r="TD42"/>
  <c r="TE27" s="1"/>
  <c r="TH34"/>
  <c r="TF31"/>
  <c r="TF47" s="1"/>
  <c r="TE28"/>
  <c r="TE44" s="1"/>
  <c r="TF46" l="1"/>
  <c r="TG31" s="1"/>
  <c r="TE43"/>
  <c r="TF28" s="1"/>
  <c r="TH50"/>
  <c r="TH36"/>
  <c r="TE42"/>
  <c r="TF27" s="1"/>
  <c r="TG32"/>
  <c r="TG48" s="1"/>
  <c r="TF29"/>
  <c r="TF45" s="1"/>
  <c r="TE40"/>
  <c r="TF25" s="1"/>
  <c r="TE41"/>
  <c r="TG47" l="1"/>
  <c r="TH32" s="1"/>
  <c r="TF43"/>
  <c r="TG28" s="1"/>
  <c r="TF44"/>
  <c r="TG29" s="1"/>
  <c r="TG30"/>
  <c r="TG46" s="1"/>
  <c r="TH33"/>
  <c r="TH49" s="1"/>
  <c r="TF26"/>
  <c r="TF42" s="1"/>
  <c r="TF39"/>
  <c r="TH48" l="1"/>
  <c r="TI33" s="1"/>
  <c r="TG44"/>
  <c r="TH29" s="1"/>
  <c r="TG45"/>
  <c r="TH30" s="1"/>
  <c r="TG27"/>
  <c r="TG43" s="1"/>
  <c r="TI34"/>
  <c r="TH31"/>
  <c r="TH47" s="1"/>
  <c r="TF40"/>
  <c r="TG25" s="1"/>
  <c r="TF41"/>
  <c r="TH45" l="1"/>
  <c r="TI30" s="1"/>
  <c r="TI49"/>
  <c r="TJ34" s="1"/>
  <c r="TH46"/>
  <c r="TI31" s="1"/>
  <c r="TI50"/>
  <c r="TI36"/>
  <c r="TI32"/>
  <c r="TI48" s="1"/>
  <c r="TH28"/>
  <c r="TH44" s="1"/>
  <c r="TG26"/>
  <c r="TG42" s="1"/>
  <c r="TG39"/>
  <c r="TI47" l="1"/>
  <c r="TJ32" s="1"/>
  <c r="TJ50"/>
  <c r="TJ36"/>
  <c r="TG40"/>
  <c r="TH25" s="1"/>
  <c r="TH39" s="1"/>
  <c r="TI46"/>
  <c r="TJ31" s="1"/>
  <c r="TH27"/>
  <c r="TH43" s="1"/>
  <c r="TI29"/>
  <c r="TI45" s="1"/>
  <c r="TJ33"/>
  <c r="TJ49" s="1"/>
  <c r="TG41"/>
  <c r="TJ48" l="1"/>
  <c r="TK33" s="1"/>
  <c r="TJ47"/>
  <c r="TK32" s="1"/>
  <c r="TJ30"/>
  <c r="TJ46" s="1"/>
  <c r="TK34"/>
  <c r="TI28"/>
  <c r="TI44" s="1"/>
  <c r="TH26"/>
  <c r="TK48" l="1"/>
  <c r="TL33" s="1"/>
  <c r="TK49"/>
  <c r="TL34" s="1"/>
  <c r="TK50"/>
  <c r="TK36"/>
  <c r="TJ29"/>
  <c r="TJ45" s="1"/>
  <c r="TK31"/>
  <c r="TK47" s="1"/>
  <c r="TH40"/>
  <c r="TI25" s="1"/>
  <c r="TH41"/>
  <c r="TH42"/>
  <c r="TL49" l="1"/>
  <c r="TM34" s="1"/>
  <c r="TL50"/>
  <c r="TL36"/>
  <c r="TL32"/>
  <c r="TL48" s="1"/>
  <c r="TK30"/>
  <c r="TK46" s="1"/>
  <c r="TI26"/>
  <c r="TI27"/>
  <c r="TI43" s="1"/>
  <c r="TI39"/>
  <c r="TI42" l="1"/>
  <c r="TJ27" s="1"/>
  <c r="TM50"/>
  <c r="TM36"/>
  <c r="TL31"/>
  <c r="TL47" s="1"/>
  <c r="TJ28"/>
  <c r="TJ44" s="1"/>
  <c r="TM33"/>
  <c r="TM49" s="1"/>
  <c r="TI40"/>
  <c r="TJ25" s="1"/>
  <c r="TI41"/>
  <c r="TJ43" l="1"/>
  <c r="TK28" s="1"/>
  <c r="TK29"/>
  <c r="TK45" s="1"/>
  <c r="TN34"/>
  <c r="TM32"/>
  <c r="TM48" s="1"/>
  <c r="TJ26"/>
  <c r="TJ42" s="1"/>
  <c r="TJ39"/>
  <c r="TJ41" l="1"/>
  <c r="TK26" s="1"/>
  <c r="TK44"/>
  <c r="TL29" s="1"/>
  <c r="TN50"/>
  <c r="TN36"/>
  <c r="TN33"/>
  <c r="TN49" s="1"/>
  <c r="TK27"/>
  <c r="TK43" s="1"/>
  <c r="TL30"/>
  <c r="TL46" s="1"/>
  <c r="TJ40"/>
  <c r="TK25" s="1"/>
  <c r="TL45" l="1"/>
  <c r="TM30" s="1"/>
  <c r="TM31"/>
  <c r="TM47" s="1"/>
  <c r="TL28"/>
  <c r="TL44" s="1"/>
  <c r="TO34"/>
  <c r="TK39"/>
  <c r="TK40"/>
  <c r="TL25" s="1"/>
  <c r="TK41"/>
  <c r="TK42"/>
  <c r="TO50" l="1"/>
  <c r="TO36"/>
  <c r="TM46"/>
  <c r="TN31" s="1"/>
  <c r="TM29"/>
  <c r="TM45" s="1"/>
  <c r="TN32"/>
  <c r="TN48" s="1"/>
  <c r="TL27"/>
  <c r="TL43" s="1"/>
  <c r="TL39"/>
  <c r="TL26"/>
  <c r="TL41" l="1"/>
  <c r="TM26" s="1"/>
  <c r="TN47"/>
  <c r="TO32" s="1"/>
  <c r="TL42"/>
  <c r="TM27" s="1"/>
  <c r="TL40"/>
  <c r="TM25" s="1"/>
  <c r="TM39" s="1"/>
  <c r="TM28"/>
  <c r="TM44" s="1"/>
  <c r="TN30"/>
  <c r="TN46" s="1"/>
  <c r="TO33"/>
  <c r="TO49" s="1"/>
  <c r="TO48" l="1"/>
  <c r="TP33" s="1"/>
  <c r="TM43"/>
  <c r="TN28" s="1"/>
  <c r="TM42"/>
  <c r="TN27" s="1"/>
  <c r="TP34"/>
  <c r="TN29"/>
  <c r="TN45" s="1"/>
  <c r="TO31"/>
  <c r="TO47" s="1"/>
  <c r="TM40"/>
  <c r="TN25" s="1"/>
  <c r="TM41"/>
  <c r="TN43" l="1"/>
  <c r="TO28" s="1"/>
  <c r="TP49"/>
  <c r="TQ34" s="1"/>
  <c r="TN44"/>
  <c r="TO29" s="1"/>
  <c r="TP50"/>
  <c r="TP36"/>
  <c r="TP32"/>
  <c r="TP48" s="1"/>
  <c r="TO30"/>
  <c r="TO46" s="1"/>
  <c r="TN26"/>
  <c r="TN42" s="1"/>
  <c r="TN39"/>
  <c r="TN41" l="1"/>
  <c r="TO26" s="1"/>
  <c r="TO45"/>
  <c r="TP30" s="1"/>
  <c r="TO44"/>
  <c r="TP29" s="1"/>
  <c r="TQ50"/>
  <c r="TQ36"/>
  <c r="TO27"/>
  <c r="TO43" s="1"/>
  <c r="TP31"/>
  <c r="TP47" s="1"/>
  <c r="TQ33"/>
  <c r="TQ49" s="1"/>
  <c r="TN40"/>
  <c r="TO25" s="1"/>
  <c r="TP45" l="1"/>
  <c r="TQ30" s="1"/>
  <c r="TP46"/>
  <c r="TQ31" s="1"/>
  <c r="TO42"/>
  <c r="TP27" s="1"/>
  <c r="TR34"/>
  <c r="TQ32"/>
  <c r="TQ48" s="1"/>
  <c r="TP28"/>
  <c r="TP44" s="1"/>
  <c r="TO40"/>
  <c r="TP25" s="1"/>
  <c r="TO41"/>
  <c r="TO39"/>
  <c r="TP43" l="1"/>
  <c r="TQ28" s="1"/>
  <c r="TR50"/>
  <c r="TR36"/>
  <c r="TQ47"/>
  <c r="TR32" s="1"/>
  <c r="TQ46"/>
  <c r="TR31" s="1"/>
  <c r="TQ29"/>
  <c r="TQ45" s="1"/>
  <c r="TR33"/>
  <c r="TR49" s="1"/>
  <c r="TP26"/>
  <c r="TP42" s="1"/>
  <c r="TP39"/>
  <c r="TQ44" l="1"/>
  <c r="TR29" s="1"/>
  <c r="TR47"/>
  <c r="TS32" s="1"/>
  <c r="TP41"/>
  <c r="TQ26" s="1"/>
  <c r="TR48"/>
  <c r="TS33" s="1"/>
  <c r="TQ27"/>
  <c r="TQ43" s="1"/>
  <c r="TS34"/>
  <c r="TR30"/>
  <c r="TR46" s="1"/>
  <c r="TP40"/>
  <c r="TQ25" s="1"/>
  <c r="TQ42" l="1"/>
  <c r="TR27" s="1"/>
  <c r="TS49"/>
  <c r="TT34" s="1"/>
  <c r="TR45"/>
  <c r="TS30" s="1"/>
  <c r="TS48"/>
  <c r="TT33" s="1"/>
  <c r="TS50"/>
  <c r="TS36"/>
  <c r="TS31"/>
  <c r="TS47" s="1"/>
  <c r="TR28"/>
  <c r="TR44" s="1"/>
  <c r="TQ39"/>
  <c r="TQ40"/>
  <c r="TR25" s="1"/>
  <c r="TQ41"/>
  <c r="TS46" l="1"/>
  <c r="TT31" s="1"/>
  <c r="TR43"/>
  <c r="TS28" s="1"/>
  <c r="TT49"/>
  <c r="TU34" s="1"/>
  <c r="TT50"/>
  <c r="TT36"/>
  <c r="TS29"/>
  <c r="TS45" s="1"/>
  <c r="TT32"/>
  <c r="TT48" s="1"/>
  <c r="TR39"/>
  <c r="TR26"/>
  <c r="TR41" s="1"/>
  <c r="TU50" l="1"/>
  <c r="TU36"/>
  <c r="TR42"/>
  <c r="TS27" s="1"/>
  <c r="TT47"/>
  <c r="TU32" s="1"/>
  <c r="TS44"/>
  <c r="TT29" s="1"/>
  <c r="TS26"/>
  <c r="TT30"/>
  <c r="TT46" s="1"/>
  <c r="TU33"/>
  <c r="TU49" s="1"/>
  <c r="TR40"/>
  <c r="TS25" s="1"/>
  <c r="TT45" l="1"/>
  <c r="TU30" s="1"/>
  <c r="TS42"/>
  <c r="TT27" s="1"/>
  <c r="TS43"/>
  <c r="TT28" s="1"/>
  <c r="TT44" s="1"/>
  <c r="TU48"/>
  <c r="TV33" s="1"/>
  <c r="TS40"/>
  <c r="TT25" s="1"/>
  <c r="TS41"/>
  <c r="TS39"/>
  <c r="TV34"/>
  <c r="TV36" s="1"/>
  <c r="TU31"/>
  <c r="TU47" s="1"/>
  <c r="TT43" l="1"/>
  <c r="TU28" s="1"/>
  <c r="TU46"/>
  <c r="TV31" s="1"/>
  <c r="TV50"/>
  <c r="TV49"/>
  <c r="TW34" s="1"/>
  <c r="TW36" s="1"/>
  <c r="TT39"/>
  <c r="TV32"/>
  <c r="TV48" s="1"/>
  <c r="TU29"/>
  <c r="TU45" s="1"/>
  <c r="TT26"/>
  <c r="TT40" s="1"/>
  <c r="TU25" s="1"/>
  <c r="TV47" l="1"/>
  <c r="TW32" s="1"/>
  <c r="TT42"/>
  <c r="TU27" s="1"/>
  <c r="TU43" s="1"/>
  <c r="TW50"/>
  <c r="TT41"/>
  <c r="TU44"/>
  <c r="TV29" s="1"/>
  <c r="TU39"/>
  <c r="TW33"/>
  <c r="TW49" s="1"/>
  <c r="TV30"/>
  <c r="TV46" s="1"/>
  <c r="TU26"/>
  <c r="TU40" s="1"/>
  <c r="TV25" s="1"/>
  <c r="TW48" l="1"/>
  <c r="TX33" s="1"/>
  <c r="TV45"/>
  <c r="TW30" s="1"/>
  <c r="TV39"/>
  <c r="TX34"/>
  <c r="TV28"/>
  <c r="TV44" s="1"/>
  <c r="TW31"/>
  <c r="TW47" s="1"/>
  <c r="TU41"/>
  <c r="TU42"/>
  <c r="TW46" l="1"/>
  <c r="TX31" s="1"/>
  <c r="TX50"/>
  <c r="TX36"/>
  <c r="TX49"/>
  <c r="TY34" s="1"/>
  <c r="TY36" s="1"/>
  <c r="TW29"/>
  <c r="TW45" s="1"/>
  <c r="TX32"/>
  <c r="TX48" s="1"/>
  <c r="TV27"/>
  <c r="TV43" s="1"/>
  <c r="TV26"/>
  <c r="TX47" l="1"/>
  <c r="TY32" s="1"/>
  <c r="TV42"/>
  <c r="TW27" s="1"/>
  <c r="TY50"/>
  <c r="TW28"/>
  <c r="TW44" s="1"/>
  <c r="TX30"/>
  <c r="TX46" s="1"/>
  <c r="TY33"/>
  <c r="TV40"/>
  <c r="TW25" s="1"/>
  <c r="TV41"/>
  <c r="TW43" l="1"/>
  <c r="TX28" s="1"/>
  <c r="TY48"/>
  <c r="TZ33" s="1"/>
  <c r="TY49"/>
  <c r="TZ34" s="1"/>
  <c r="TZ36" s="1"/>
  <c r="TX29"/>
  <c r="TX45" s="1"/>
  <c r="TY31"/>
  <c r="TY47" s="1"/>
  <c r="TW39"/>
  <c r="TW26"/>
  <c r="TW42" s="1"/>
  <c r="TX44" l="1"/>
  <c r="TY29" s="1"/>
  <c r="TZ49"/>
  <c r="UA34" s="1"/>
  <c r="UA36" s="1"/>
  <c r="TZ50"/>
  <c r="TX27"/>
  <c r="TX43" s="1"/>
  <c r="TZ32"/>
  <c r="TZ48" s="1"/>
  <c r="TY30"/>
  <c r="TY46" s="1"/>
  <c r="TW40"/>
  <c r="TX25" s="1"/>
  <c r="TW41"/>
  <c r="TY45" l="1"/>
  <c r="TZ30" s="1"/>
  <c r="UA50"/>
  <c r="TX39"/>
  <c r="UA33"/>
  <c r="UA49" s="1"/>
  <c r="TY28"/>
  <c r="TY44" s="1"/>
  <c r="TZ31"/>
  <c r="TZ47" s="1"/>
  <c r="TX26"/>
  <c r="TX40" s="1"/>
  <c r="TY25" s="1"/>
  <c r="TZ46" l="1"/>
  <c r="UA31" s="1"/>
  <c r="UA32"/>
  <c r="UA48" s="1"/>
  <c r="UB34"/>
  <c r="UB36" s="1"/>
  <c r="TY39"/>
  <c r="TZ29"/>
  <c r="TZ45" s="1"/>
  <c r="TX41"/>
  <c r="TX42"/>
  <c r="UA47" l="1"/>
  <c r="UB32" s="1"/>
  <c r="UB50"/>
  <c r="UA30"/>
  <c r="UA46" s="1"/>
  <c r="UB33"/>
  <c r="UB49" s="1"/>
  <c r="TY27"/>
  <c r="TY43" s="1"/>
  <c r="TY26"/>
  <c r="TY42" l="1"/>
  <c r="TZ27" s="1"/>
  <c r="UB48"/>
  <c r="UC33" s="1"/>
  <c r="TZ28"/>
  <c r="TZ44" s="1"/>
  <c r="UC34"/>
  <c r="UC36" s="1"/>
  <c r="UB31"/>
  <c r="UB47" s="1"/>
  <c r="TY40"/>
  <c r="TZ25" s="1"/>
  <c r="TY41"/>
  <c r="UC49" l="1"/>
  <c r="UD34" s="1"/>
  <c r="UD36" s="1"/>
  <c r="TZ43"/>
  <c r="UA28" s="1"/>
  <c r="UC50"/>
  <c r="UA29"/>
  <c r="UA45" s="1"/>
  <c r="TZ39"/>
  <c r="UC32"/>
  <c r="UC48" s="1"/>
  <c r="TZ26"/>
  <c r="TZ42" s="1"/>
  <c r="UD50" l="1"/>
  <c r="UA44"/>
  <c r="UB29" s="1"/>
  <c r="UD33"/>
  <c r="UD49" s="1"/>
  <c r="UA27"/>
  <c r="UA43" s="1"/>
  <c r="UB30"/>
  <c r="UB46" s="1"/>
  <c r="TZ40"/>
  <c r="UA25" s="1"/>
  <c r="TZ41"/>
  <c r="UB45" l="1"/>
  <c r="UC30" s="1"/>
  <c r="UC31"/>
  <c r="UC47" s="1"/>
  <c r="UB28"/>
  <c r="UB44" s="1"/>
  <c r="UE34"/>
  <c r="UE36" s="1"/>
  <c r="UA39"/>
  <c r="UA26"/>
  <c r="UA40" s="1"/>
  <c r="UB25" s="1"/>
  <c r="UC46" l="1"/>
  <c r="UD31" s="1"/>
  <c r="UE50"/>
  <c r="UB39"/>
  <c r="UC29"/>
  <c r="UC45" s="1"/>
  <c r="UD32"/>
  <c r="UD48" s="1"/>
  <c r="UA41"/>
  <c r="UA42"/>
  <c r="UD47" l="1"/>
  <c r="UE32" s="1"/>
  <c r="UE33"/>
  <c r="UE49" s="1"/>
  <c r="UD30"/>
  <c r="UD46" s="1"/>
  <c r="UB27"/>
  <c r="UB43" s="1"/>
  <c r="UB26"/>
  <c r="UE48" l="1"/>
  <c r="UF33" s="1"/>
  <c r="UB42"/>
  <c r="UC27" s="1"/>
  <c r="UF34"/>
  <c r="UF36" s="1"/>
  <c r="UC28"/>
  <c r="UC44" s="1"/>
  <c r="UE31"/>
  <c r="UE47" s="1"/>
  <c r="UB41"/>
  <c r="UB40"/>
  <c r="UC25" s="1"/>
  <c r="UF49" l="1"/>
  <c r="UG34" s="1"/>
  <c r="UG36" s="1"/>
  <c r="UC43"/>
  <c r="UD28" s="1"/>
  <c r="UF50"/>
  <c r="UC26"/>
  <c r="UC42" s="1"/>
  <c r="UF32"/>
  <c r="UF48" s="1"/>
  <c r="UD29"/>
  <c r="UD45" s="1"/>
  <c r="UC39"/>
  <c r="UC40" l="1"/>
  <c r="UD25" s="1"/>
  <c r="UD39" s="1"/>
  <c r="UD44"/>
  <c r="UE29" s="1"/>
  <c r="UC41"/>
  <c r="UD26" s="1"/>
  <c r="UG50"/>
  <c r="UD27"/>
  <c r="UD43" s="1"/>
  <c r="UE30"/>
  <c r="UE46" s="1"/>
  <c r="UG33"/>
  <c r="UG49" s="1"/>
  <c r="UD42" l="1"/>
  <c r="UE27" s="1"/>
  <c r="UE45"/>
  <c r="UF30" s="1"/>
  <c r="UD40"/>
  <c r="UE25" s="1"/>
  <c r="UE39" s="1"/>
  <c r="UD41"/>
  <c r="UE26" s="1"/>
  <c r="UE28"/>
  <c r="UE44" s="1"/>
  <c r="UH34"/>
  <c r="UF31"/>
  <c r="UF47" s="1"/>
  <c r="UE43" l="1"/>
  <c r="UF28" s="1"/>
  <c r="UH50"/>
  <c r="UH36"/>
  <c r="UE41"/>
  <c r="UF26" s="1"/>
  <c r="UF46"/>
  <c r="UG31" s="1"/>
  <c r="UF29"/>
  <c r="UF45" s="1"/>
  <c r="UG32"/>
  <c r="UG48" s="1"/>
  <c r="UE40"/>
  <c r="UF25" s="1"/>
  <c r="UE42"/>
  <c r="UF44" l="1"/>
  <c r="UG29" s="1"/>
  <c r="UG47"/>
  <c r="UH32" s="1"/>
  <c r="UH33"/>
  <c r="UH49" s="1"/>
  <c r="UG30"/>
  <c r="UG46" s="1"/>
  <c r="UF40"/>
  <c r="UG25" s="1"/>
  <c r="UF39"/>
  <c r="UF27"/>
  <c r="UF42" s="1"/>
  <c r="UG45" l="1"/>
  <c r="UH30" s="1"/>
  <c r="UH48"/>
  <c r="UI33" s="1"/>
  <c r="UG27"/>
  <c r="UH31"/>
  <c r="UH47" s="1"/>
  <c r="UI34"/>
  <c r="UI36" s="1"/>
  <c r="UG39"/>
  <c r="UF43"/>
  <c r="UF41"/>
  <c r="UH46" l="1"/>
  <c r="UI31" s="1"/>
  <c r="UI50"/>
  <c r="UI49"/>
  <c r="UJ34" s="1"/>
  <c r="UI32"/>
  <c r="UI48" s="1"/>
  <c r="UG26"/>
  <c r="UG28"/>
  <c r="UG43" s="1"/>
  <c r="UG42" l="1"/>
  <c r="UH27" s="1"/>
  <c r="UI47"/>
  <c r="UJ32" s="1"/>
  <c r="UJ50"/>
  <c r="UJ36"/>
  <c r="UJ33"/>
  <c r="UJ49" s="1"/>
  <c r="UH28"/>
  <c r="UG44"/>
  <c r="UG41"/>
  <c r="UG40"/>
  <c r="UH25" s="1"/>
  <c r="UJ48" l="1"/>
  <c r="UK33" s="1"/>
  <c r="UK34"/>
  <c r="UH29"/>
  <c r="UH44" s="1"/>
  <c r="UH39"/>
  <c r="UH26"/>
  <c r="UH40" s="1"/>
  <c r="UI25" s="1"/>
  <c r="UK49" l="1"/>
  <c r="UL34" s="1"/>
  <c r="UL36" s="1"/>
  <c r="UH42"/>
  <c r="UI27" s="1"/>
  <c r="UH41"/>
  <c r="UI26" s="1"/>
  <c r="UK50"/>
  <c r="UK36"/>
  <c r="UI39"/>
  <c r="UI29"/>
  <c r="UH43"/>
  <c r="UH45"/>
  <c r="UI41" l="1"/>
  <c r="UJ26" s="1"/>
  <c r="UL50"/>
  <c r="UI30"/>
  <c r="UI45" s="1"/>
  <c r="UI40"/>
  <c r="UJ25" s="1"/>
  <c r="UI28"/>
  <c r="UI42" s="1"/>
  <c r="UI46" l="1"/>
  <c r="UJ31" s="1"/>
  <c r="UJ47" s="1"/>
  <c r="UJ39"/>
  <c r="UJ40"/>
  <c r="UK25" s="1"/>
  <c r="UJ30"/>
  <c r="UJ27"/>
  <c r="UJ41" s="1"/>
  <c r="UI44"/>
  <c r="UI43"/>
  <c r="UJ46" l="1"/>
  <c r="UK31" s="1"/>
  <c r="UK26"/>
  <c r="UK40" s="1"/>
  <c r="UL25" s="1"/>
  <c r="UK32"/>
  <c r="UK48" s="1"/>
  <c r="UK39"/>
  <c r="UJ29"/>
  <c r="UJ45" s="1"/>
  <c r="UJ28"/>
  <c r="UK47" l="1"/>
  <c r="UL32" s="1"/>
  <c r="UJ43"/>
  <c r="UK28" s="1"/>
  <c r="UJ44"/>
  <c r="UK29" s="1"/>
  <c r="UK30"/>
  <c r="UK46" s="1"/>
  <c r="UL39"/>
  <c r="UL33"/>
  <c r="UL49" s="1"/>
  <c r="UJ42"/>
  <c r="UK45" l="1"/>
  <c r="UL30" s="1"/>
  <c r="UK44"/>
  <c r="UL29" s="1"/>
  <c r="UL48"/>
  <c r="UM33" s="1"/>
  <c r="UL31"/>
  <c r="UL47" s="1"/>
  <c r="UM34"/>
  <c r="UK27"/>
  <c r="UK43" s="1"/>
  <c r="UL45" l="1"/>
  <c r="UM30" s="1"/>
  <c r="UM50"/>
  <c r="UM36"/>
  <c r="UM49"/>
  <c r="UN34" s="1"/>
  <c r="UL46"/>
  <c r="UM31" s="1"/>
  <c r="UL28"/>
  <c r="UL44" s="1"/>
  <c r="UM32"/>
  <c r="UK41"/>
  <c r="UK42"/>
  <c r="UM46" l="1"/>
  <c r="UN31" s="1"/>
  <c r="UN50"/>
  <c r="UN36"/>
  <c r="UM47"/>
  <c r="UN32" s="1"/>
  <c r="UM48"/>
  <c r="UN33" s="1"/>
  <c r="UN49" s="1"/>
  <c r="UM29"/>
  <c r="UM45" s="1"/>
  <c r="UL26"/>
  <c r="UL27"/>
  <c r="UL43" s="1"/>
  <c r="UN48" l="1"/>
  <c r="UO33" s="1"/>
  <c r="UL42"/>
  <c r="UM27" s="1"/>
  <c r="UN47"/>
  <c r="UO32" s="1"/>
  <c r="UN30"/>
  <c r="UN46" s="1"/>
  <c r="UO34"/>
  <c r="UO50" s="1"/>
  <c r="UM28"/>
  <c r="UL40"/>
  <c r="UM25" s="1"/>
  <c r="UL41"/>
  <c r="UM43" l="1"/>
  <c r="UN28" s="1"/>
  <c r="UO48"/>
  <c r="UP33" s="1"/>
  <c r="UM44"/>
  <c r="UN29" s="1"/>
  <c r="UN45" s="1"/>
  <c r="UO49"/>
  <c r="UP34" s="1"/>
  <c r="UP36" s="1"/>
  <c r="UO36"/>
  <c r="UM39"/>
  <c r="UO31"/>
  <c r="UO47" s="1"/>
  <c r="UM26"/>
  <c r="UM40" s="1"/>
  <c r="UN25" s="1"/>
  <c r="UP49" l="1"/>
  <c r="UQ34" s="1"/>
  <c r="UQ36" s="1"/>
  <c r="UP50"/>
  <c r="UO30"/>
  <c r="UO46" s="1"/>
  <c r="UN39"/>
  <c r="UP32"/>
  <c r="UP48" s="1"/>
  <c r="UM41"/>
  <c r="UN44"/>
  <c r="UM42"/>
  <c r="UQ50" l="1"/>
  <c r="UQ33"/>
  <c r="UQ49" s="1"/>
  <c r="UP31"/>
  <c r="UP47" s="1"/>
  <c r="UO29"/>
  <c r="UO45" s="1"/>
  <c r="UN27"/>
  <c r="UN43" s="1"/>
  <c r="UN26"/>
  <c r="UN42" l="1"/>
  <c r="UO27" s="1"/>
  <c r="UR34"/>
  <c r="UR36" s="1"/>
  <c r="UO28"/>
  <c r="UO44" s="1"/>
  <c r="UP30"/>
  <c r="UP46" s="1"/>
  <c r="UQ32"/>
  <c r="UQ48" s="1"/>
  <c r="UN40"/>
  <c r="UO25" s="1"/>
  <c r="UN41"/>
  <c r="UO43" l="1"/>
  <c r="UP28" s="1"/>
  <c r="UR50"/>
  <c r="UO39"/>
  <c r="UR33"/>
  <c r="UR49" s="1"/>
  <c r="UQ31"/>
  <c r="UQ47" s="1"/>
  <c r="UP29"/>
  <c r="UP45" s="1"/>
  <c r="UO26"/>
  <c r="UO41" s="1"/>
  <c r="UP44" l="1"/>
  <c r="UQ29" s="1"/>
  <c r="UR32"/>
  <c r="UR48" s="1"/>
  <c r="UP26"/>
  <c r="UQ30"/>
  <c r="UQ46" s="1"/>
  <c r="US34"/>
  <c r="US36" s="1"/>
  <c r="UO40"/>
  <c r="UP25" s="1"/>
  <c r="UO42"/>
  <c r="US50" l="1"/>
  <c r="UQ45"/>
  <c r="UR30" s="1"/>
  <c r="UR31"/>
  <c r="UR47" s="1"/>
  <c r="US33"/>
  <c r="US49" s="1"/>
  <c r="UP40"/>
  <c r="UQ25" s="1"/>
  <c r="UP39"/>
  <c r="UP27"/>
  <c r="UP42" s="1"/>
  <c r="UR46" l="1"/>
  <c r="US31" s="1"/>
  <c r="UQ39"/>
  <c r="UT34"/>
  <c r="US32"/>
  <c r="US48" s="1"/>
  <c r="UQ27"/>
  <c r="UP43"/>
  <c r="UP41"/>
  <c r="US47" l="1"/>
  <c r="UT32" s="1"/>
  <c r="UT50"/>
  <c r="UT36"/>
  <c r="UT33"/>
  <c r="UT49" s="1"/>
  <c r="UQ26"/>
  <c r="UQ28"/>
  <c r="UQ44" s="1"/>
  <c r="UT48" l="1"/>
  <c r="UU33" s="1"/>
  <c r="UU34"/>
  <c r="UR29"/>
  <c r="UR45" s="1"/>
  <c r="UQ43"/>
  <c r="UQ40"/>
  <c r="UR25" s="1"/>
  <c r="UQ41"/>
  <c r="UQ42"/>
  <c r="UU49" l="1"/>
  <c r="UV34" s="1"/>
  <c r="UV36" s="1"/>
  <c r="UU50"/>
  <c r="UU36"/>
  <c r="UR26"/>
  <c r="UR28"/>
  <c r="UR44" s="1"/>
  <c r="US30"/>
  <c r="US46" s="1"/>
  <c r="UR27"/>
  <c r="UR39"/>
  <c r="UR42" l="1"/>
  <c r="US27" s="1"/>
  <c r="UR41"/>
  <c r="US26" s="1"/>
  <c r="UR40"/>
  <c r="US25" s="1"/>
  <c r="US39" s="1"/>
  <c r="UR43"/>
  <c r="US28" s="1"/>
  <c r="UV50"/>
  <c r="UT31"/>
  <c r="UT47" s="1"/>
  <c r="US29"/>
  <c r="US45" s="1"/>
  <c r="US41" l="1"/>
  <c r="UT26" s="1"/>
  <c r="US44"/>
  <c r="UT29" s="1"/>
  <c r="US40"/>
  <c r="UT25" s="1"/>
  <c r="UT39" s="1"/>
  <c r="US43"/>
  <c r="UT28" s="1"/>
  <c r="UT30"/>
  <c r="UU32"/>
  <c r="UU48" s="1"/>
  <c r="US42"/>
  <c r="UT40" l="1"/>
  <c r="UU25" s="1"/>
  <c r="UU39" s="1"/>
  <c r="UT45"/>
  <c r="UU30" s="1"/>
  <c r="UT46"/>
  <c r="UU31" s="1"/>
  <c r="UT44"/>
  <c r="UU29" s="1"/>
  <c r="UT27"/>
  <c r="UT43" s="1"/>
  <c r="UV33"/>
  <c r="UV49" s="1"/>
  <c r="UU45" l="1"/>
  <c r="UV30" s="1"/>
  <c r="UU47"/>
  <c r="UV32" s="1"/>
  <c r="UV48" s="1"/>
  <c r="UU46"/>
  <c r="UV31" s="1"/>
  <c r="UW34"/>
  <c r="UU28"/>
  <c r="UU44" s="1"/>
  <c r="UT42"/>
  <c r="UT41"/>
  <c r="UV47" l="1"/>
  <c r="UW32" s="1"/>
  <c r="UW50"/>
  <c r="UW36"/>
  <c r="UV46"/>
  <c r="UW31" s="1"/>
  <c r="UV29"/>
  <c r="UV45" s="1"/>
  <c r="UW33"/>
  <c r="UW49" s="1"/>
  <c r="UU27"/>
  <c r="UU43" s="1"/>
  <c r="UU26"/>
  <c r="UW48" l="1"/>
  <c r="UX33" s="1"/>
  <c r="UU42"/>
  <c r="UV27" s="1"/>
  <c r="UW47"/>
  <c r="UX32" s="1"/>
  <c r="UW30"/>
  <c r="UW46" s="1"/>
  <c r="UV28"/>
  <c r="UV44" s="1"/>
  <c r="UX34"/>
  <c r="UX36" s="1"/>
  <c r="UU41"/>
  <c r="UU40"/>
  <c r="UV25" s="1"/>
  <c r="UV43" l="1"/>
  <c r="UW28" s="1"/>
  <c r="UX48"/>
  <c r="UY33" s="1"/>
  <c r="UX49"/>
  <c r="UY34" s="1"/>
  <c r="UX50"/>
  <c r="UX31"/>
  <c r="UX47" s="1"/>
  <c r="UV26"/>
  <c r="UV42" s="1"/>
  <c r="UW29"/>
  <c r="UW45" s="1"/>
  <c r="UV39"/>
  <c r="UW44" l="1"/>
  <c r="UX29" s="1"/>
  <c r="UY49"/>
  <c r="UZ34" s="1"/>
  <c r="UZ36" s="1"/>
  <c r="UY36"/>
  <c r="UV40"/>
  <c r="UW25" s="1"/>
  <c r="UW39" s="1"/>
  <c r="UV41"/>
  <c r="UW26" s="1"/>
  <c r="UY50"/>
  <c r="UY32"/>
  <c r="UY48" s="1"/>
  <c r="UX30"/>
  <c r="UX46" s="1"/>
  <c r="UW27"/>
  <c r="UW43" s="1"/>
  <c r="UW41" l="1"/>
  <c r="UX26" s="1"/>
  <c r="UX45"/>
  <c r="UY30" s="1"/>
  <c r="UZ50"/>
  <c r="UY31"/>
  <c r="UY47" s="1"/>
  <c r="UZ33"/>
  <c r="UZ49" s="1"/>
  <c r="UX28"/>
  <c r="UX44" s="1"/>
  <c r="UW40"/>
  <c r="UX25" s="1"/>
  <c r="UW42"/>
  <c r="UY46" l="1"/>
  <c r="UZ31" s="1"/>
  <c r="UZ32"/>
  <c r="UZ48" s="1"/>
  <c r="UY29"/>
  <c r="UY45" s="1"/>
  <c r="VA34"/>
  <c r="VA36" s="1"/>
  <c r="UX40"/>
  <c r="UY25" s="1"/>
  <c r="UX39"/>
  <c r="UX27"/>
  <c r="UX42" s="1"/>
  <c r="UZ47" l="1"/>
  <c r="VA32" s="1"/>
  <c r="VA50"/>
  <c r="VA33"/>
  <c r="VA49" s="1"/>
  <c r="UY39"/>
  <c r="UZ30"/>
  <c r="UZ46" s="1"/>
  <c r="UY27"/>
  <c r="UX43"/>
  <c r="UX41"/>
  <c r="VA48" l="1"/>
  <c r="VB33" s="1"/>
  <c r="VB34"/>
  <c r="VA31"/>
  <c r="VA47" s="1"/>
  <c r="UY26"/>
  <c r="UY28"/>
  <c r="UY44" s="1"/>
  <c r="VB49" l="1"/>
  <c r="VC34" s="1"/>
  <c r="VC36" s="1"/>
  <c r="VB50"/>
  <c r="VB36"/>
  <c r="UZ29"/>
  <c r="UZ45" s="1"/>
  <c r="VB32"/>
  <c r="VB48" s="1"/>
  <c r="UY43"/>
  <c r="UY41"/>
  <c r="UY40"/>
  <c r="UZ25" s="1"/>
  <c r="UY42"/>
  <c r="VC50" l="1"/>
  <c r="VA30"/>
  <c r="VA46" s="1"/>
  <c r="UZ28"/>
  <c r="UZ44" s="1"/>
  <c r="VC33"/>
  <c r="VC49" s="1"/>
  <c r="UZ39"/>
  <c r="UZ27"/>
  <c r="UZ26"/>
  <c r="UZ43" l="1"/>
  <c r="VA28" s="1"/>
  <c r="UZ42"/>
  <c r="VA27" s="1"/>
  <c r="VD34"/>
  <c r="VA29"/>
  <c r="VA45" s="1"/>
  <c r="VB31"/>
  <c r="VB47" s="1"/>
  <c r="UZ41"/>
  <c r="UZ40"/>
  <c r="VA25" s="1"/>
  <c r="VA43" l="1"/>
  <c r="VB28" s="1"/>
  <c r="VA44"/>
  <c r="VB29" s="1"/>
  <c r="VD50"/>
  <c r="VD36"/>
  <c r="VC32"/>
  <c r="VC48" s="1"/>
  <c r="VB30"/>
  <c r="VB46" s="1"/>
  <c r="VA26"/>
  <c r="VA42" s="1"/>
  <c r="VA39"/>
  <c r="VA40" l="1"/>
  <c r="VB25" s="1"/>
  <c r="VB39" s="1"/>
  <c r="VA41"/>
  <c r="VB26" s="1"/>
  <c r="VB45"/>
  <c r="VC30" s="1"/>
  <c r="VB44"/>
  <c r="VC29" s="1"/>
  <c r="VB27"/>
  <c r="VB43" s="1"/>
  <c r="VD33"/>
  <c r="VD49" s="1"/>
  <c r="VC31"/>
  <c r="VC47" s="1"/>
  <c r="VC46" l="1"/>
  <c r="VD31" s="1"/>
  <c r="VC45"/>
  <c r="VD30" s="1"/>
  <c r="VB42"/>
  <c r="VC27" s="1"/>
  <c r="VB40"/>
  <c r="VC25" s="1"/>
  <c r="VC39" s="1"/>
  <c r="VB41"/>
  <c r="VC26" s="1"/>
  <c r="VC28"/>
  <c r="VC44" s="1"/>
  <c r="VD32"/>
  <c r="VE34"/>
  <c r="VE36" s="1"/>
  <c r="VC40" l="1"/>
  <c r="VD25" s="1"/>
  <c r="VD39" s="1"/>
  <c r="VC43"/>
  <c r="VD28" s="1"/>
  <c r="VD46"/>
  <c r="VE31" s="1"/>
  <c r="VC42"/>
  <c r="VD27" s="1"/>
  <c r="VD47"/>
  <c r="VE32" s="1"/>
  <c r="VC41"/>
  <c r="VD26" s="1"/>
  <c r="VE50"/>
  <c r="VD48"/>
  <c r="VE33" s="1"/>
  <c r="VE49" s="1"/>
  <c r="VD29"/>
  <c r="VD45" s="1"/>
  <c r="VD42" l="1"/>
  <c r="VE27" s="1"/>
  <c r="VE47"/>
  <c r="VF32" s="1"/>
  <c r="VD41"/>
  <c r="VE26" s="1"/>
  <c r="VD43"/>
  <c r="VE28" s="1"/>
  <c r="VD40"/>
  <c r="VE25" s="1"/>
  <c r="VE39" s="1"/>
  <c r="VD44"/>
  <c r="VE29" s="1"/>
  <c r="VE48"/>
  <c r="VF33" s="1"/>
  <c r="VE30"/>
  <c r="VE46" s="1"/>
  <c r="VF34"/>
  <c r="VF36" s="1"/>
  <c r="VE40" l="1"/>
  <c r="VF25" s="1"/>
  <c r="VF39" s="1"/>
  <c r="VE45"/>
  <c r="VF30" s="1"/>
  <c r="VE43"/>
  <c r="VF28" s="1"/>
  <c r="VF48"/>
  <c r="VG33" s="1"/>
  <c r="VF50"/>
  <c r="VF49"/>
  <c r="VG34" s="1"/>
  <c r="VE44"/>
  <c r="VF29" s="1"/>
  <c r="VF31"/>
  <c r="VF47" s="1"/>
  <c r="VE41"/>
  <c r="VE42"/>
  <c r="VF45" l="1"/>
  <c r="VG30" s="1"/>
  <c r="VG50"/>
  <c r="VG36"/>
  <c r="VF46"/>
  <c r="VG31" s="1"/>
  <c r="VG49"/>
  <c r="VH34" s="1"/>
  <c r="VH36" s="1"/>
  <c r="VF44"/>
  <c r="VG29" s="1"/>
  <c r="VG32"/>
  <c r="VG48" s="1"/>
  <c r="VF27"/>
  <c r="VF43" s="1"/>
  <c r="VF26"/>
  <c r="VG47" l="1"/>
  <c r="VH32" s="1"/>
  <c r="VG45"/>
  <c r="VH30" s="1"/>
  <c r="VF42"/>
  <c r="VG27" s="1"/>
  <c r="VG46"/>
  <c r="VH31" s="1"/>
  <c r="VH50"/>
  <c r="VH33"/>
  <c r="VH49" s="1"/>
  <c r="VG28"/>
  <c r="VF40"/>
  <c r="VG25" s="1"/>
  <c r="VF41"/>
  <c r="VH48" l="1"/>
  <c r="VI33" s="1"/>
  <c r="VH47"/>
  <c r="VI32" s="1"/>
  <c r="VG43"/>
  <c r="VH28" s="1"/>
  <c r="VH46"/>
  <c r="VI31" s="1"/>
  <c r="VG44"/>
  <c r="VH29" s="1"/>
  <c r="VH45" s="1"/>
  <c r="VG39"/>
  <c r="VI34"/>
  <c r="VG26"/>
  <c r="VG40" s="1"/>
  <c r="VH25" s="1"/>
  <c r="VI47" l="1"/>
  <c r="VJ32" s="1"/>
  <c r="VI48"/>
  <c r="VJ33" s="1"/>
  <c r="VI50"/>
  <c r="VI36"/>
  <c r="VI49"/>
  <c r="VJ34" s="1"/>
  <c r="VH44"/>
  <c r="VI29" s="1"/>
  <c r="VI30"/>
  <c r="VI46" s="1"/>
  <c r="VH39"/>
  <c r="VG41"/>
  <c r="VG42"/>
  <c r="VI45" l="1"/>
  <c r="VJ30" s="1"/>
  <c r="VJ50"/>
  <c r="VJ36"/>
  <c r="VJ48"/>
  <c r="VK33" s="1"/>
  <c r="VH27"/>
  <c r="VH43" s="1"/>
  <c r="VJ31"/>
  <c r="VJ47" s="1"/>
  <c r="VJ49"/>
  <c r="VH26"/>
  <c r="VJ46" l="1"/>
  <c r="VK31" s="1"/>
  <c r="VH41"/>
  <c r="VH40"/>
  <c r="VI25" s="1"/>
  <c r="VK34"/>
  <c r="VK32"/>
  <c r="VI28"/>
  <c r="VI44" s="1"/>
  <c r="VH42"/>
  <c r="VK48" l="1"/>
  <c r="VL33" s="1"/>
  <c r="VK47"/>
  <c r="VL32" s="1"/>
  <c r="VK49"/>
  <c r="VL34" s="1"/>
  <c r="VL36" s="1"/>
  <c r="VK36"/>
  <c r="VK50"/>
  <c r="VI27"/>
  <c r="VI43" s="1"/>
  <c r="VJ29"/>
  <c r="VJ45" s="1"/>
  <c r="VI26"/>
  <c r="VI39"/>
  <c r="VI42" l="1"/>
  <c r="VJ27" s="1"/>
  <c r="VL48"/>
  <c r="VM33" s="1"/>
  <c r="VL49"/>
  <c r="VM34" s="1"/>
  <c r="VI40"/>
  <c r="VJ25" s="1"/>
  <c r="VJ39" s="1"/>
  <c r="VI41"/>
  <c r="VJ26" s="1"/>
  <c r="VL50"/>
  <c r="VK30"/>
  <c r="VK46" s="1"/>
  <c r="VJ28"/>
  <c r="VJ44" s="1"/>
  <c r="VJ42" l="1"/>
  <c r="VK27" s="1"/>
  <c r="VM49"/>
  <c r="VN34" s="1"/>
  <c r="VN36" s="1"/>
  <c r="VM50"/>
  <c r="VM36"/>
  <c r="VJ43"/>
  <c r="VK28" s="1"/>
  <c r="VK29"/>
  <c r="VK45" s="1"/>
  <c r="VL31"/>
  <c r="VL47" s="1"/>
  <c r="VJ40"/>
  <c r="VK25" s="1"/>
  <c r="VJ41"/>
  <c r="VK43" l="1"/>
  <c r="VL28" s="1"/>
  <c r="VK44"/>
  <c r="VL29" s="1"/>
  <c r="VN50"/>
  <c r="VM32"/>
  <c r="VM48" s="1"/>
  <c r="VK39"/>
  <c r="VL30"/>
  <c r="VL46" s="1"/>
  <c r="VK26"/>
  <c r="VK41" s="1"/>
  <c r="VL45" l="1"/>
  <c r="VM30" s="1"/>
  <c r="VL44"/>
  <c r="VM29" s="1"/>
  <c r="VM31"/>
  <c r="VM47" s="1"/>
  <c r="VN33"/>
  <c r="VN49" s="1"/>
  <c r="VL26"/>
  <c r="VK40"/>
  <c r="VL25" s="1"/>
  <c r="VK42"/>
  <c r="VM46" l="1"/>
  <c r="VN31" s="1"/>
  <c r="VM45"/>
  <c r="VN30" s="1"/>
  <c r="VL39"/>
  <c r="VL40"/>
  <c r="VM25" s="1"/>
  <c r="VO34"/>
  <c r="VN32"/>
  <c r="VN48" s="1"/>
  <c r="VL27"/>
  <c r="VL42" s="1"/>
  <c r="VN46" l="1"/>
  <c r="VO31" s="1"/>
  <c r="VN47"/>
  <c r="VO32" s="1"/>
  <c r="VO50"/>
  <c r="VO36"/>
  <c r="VO33"/>
  <c r="VO49" s="1"/>
  <c r="VM27"/>
  <c r="VM39"/>
  <c r="VL41"/>
  <c r="VL43"/>
  <c r="VO47" l="1"/>
  <c r="VP32" s="1"/>
  <c r="VO48"/>
  <c r="VP33" s="1"/>
  <c r="VM28"/>
  <c r="VM43" s="1"/>
  <c r="VP34"/>
  <c r="VM26"/>
  <c r="VM42" l="1"/>
  <c r="VN27" s="1"/>
  <c r="VP48"/>
  <c r="VQ33" s="1"/>
  <c r="VP50"/>
  <c r="VP36"/>
  <c r="VP49"/>
  <c r="VQ34" s="1"/>
  <c r="VQ36" s="1"/>
  <c r="VM44"/>
  <c r="VM41"/>
  <c r="VM40"/>
  <c r="VN25" s="1"/>
  <c r="VN28"/>
  <c r="VQ49" l="1"/>
  <c r="VR34" s="1"/>
  <c r="VQ50"/>
  <c r="VN39"/>
  <c r="VN29"/>
  <c r="VN44" s="1"/>
  <c r="VN26"/>
  <c r="VN40" s="1"/>
  <c r="VO25" s="1"/>
  <c r="VR50" l="1"/>
  <c r="VR36"/>
  <c r="VO39"/>
  <c r="VO29"/>
  <c r="VN43"/>
  <c r="VN42"/>
  <c r="VN45"/>
  <c r="VN41"/>
  <c r="VO26" l="1"/>
  <c r="VO27"/>
  <c r="VO30"/>
  <c r="VO46" s="1"/>
  <c r="VO28"/>
  <c r="VO44" l="1"/>
  <c r="VP29" s="1"/>
  <c r="VO43"/>
  <c r="VP28" s="1"/>
  <c r="VP31"/>
  <c r="VP47" s="1"/>
  <c r="VO41"/>
  <c r="VO40"/>
  <c r="VP25" s="1"/>
  <c r="VO45"/>
  <c r="VO42"/>
  <c r="VP30" l="1"/>
  <c r="VP46" s="1"/>
  <c r="VP26"/>
  <c r="VQ32"/>
  <c r="VQ48" s="1"/>
  <c r="VP27"/>
  <c r="VP43" s="1"/>
  <c r="VP39"/>
  <c r="VP41" l="1"/>
  <c r="VQ26" s="1"/>
  <c r="VP42"/>
  <c r="VQ27" s="1"/>
  <c r="VP40"/>
  <c r="VQ25" s="1"/>
  <c r="VQ39" s="1"/>
  <c r="VR33"/>
  <c r="VR49" s="1"/>
  <c r="VQ31"/>
  <c r="VQ47" s="1"/>
  <c r="VQ28"/>
  <c r="VP45"/>
  <c r="VP44"/>
  <c r="VQ40" l="1"/>
  <c r="VR25" s="1"/>
  <c r="VR39" s="1"/>
  <c r="VQ29"/>
  <c r="VR32"/>
  <c r="VR48" s="1"/>
  <c r="VS34"/>
  <c r="VS36" s="1"/>
  <c r="VQ30"/>
  <c r="VQ46" s="1"/>
  <c r="VQ41"/>
  <c r="VQ42"/>
  <c r="VQ45" l="1"/>
  <c r="VR30" s="1"/>
  <c r="VS50"/>
  <c r="VR26"/>
  <c r="VR31"/>
  <c r="VR47" s="1"/>
  <c r="VS33"/>
  <c r="VS49" s="1"/>
  <c r="VR27"/>
  <c r="VQ44"/>
  <c r="VQ43"/>
  <c r="VR46" l="1"/>
  <c r="VS31" s="1"/>
  <c r="VR29"/>
  <c r="VR45" s="1"/>
  <c r="VT34"/>
  <c r="VT36" s="1"/>
  <c r="VS32"/>
  <c r="VS48" s="1"/>
  <c r="VR28"/>
  <c r="VR44" s="1"/>
  <c r="VR40"/>
  <c r="VS25" s="1"/>
  <c r="VR41"/>
  <c r="VS47" l="1"/>
  <c r="VT32" s="1"/>
  <c r="VT50"/>
  <c r="VS39"/>
  <c r="VS29"/>
  <c r="VT33"/>
  <c r="VT49" s="1"/>
  <c r="VS30"/>
  <c r="VS46" s="1"/>
  <c r="VS26"/>
  <c r="VS40" s="1"/>
  <c r="VT25" s="1"/>
  <c r="VR42"/>
  <c r="VR43"/>
  <c r="VT48" l="1"/>
  <c r="VU33" s="1"/>
  <c r="VS45"/>
  <c r="VT30" s="1"/>
  <c r="VT31"/>
  <c r="VT47" s="1"/>
  <c r="VU34"/>
  <c r="VU36" s="1"/>
  <c r="VT39"/>
  <c r="VS28"/>
  <c r="VS44" s="1"/>
  <c r="VS27"/>
  <c r="VU49" l="1"/>
  <c r="VV34" s="1"/>
  <c r="VV36" s="1"/>
  <c r="VS42"/>
  <c r="VT27" s="1"/>
  <c r="VT46"/>
  <c r="VU31" s="1"/>
  <c r="VS43"/>
  <c r="VT28" s="1"/>
  <c r="VU50"/>
  <c r="VT29"/>
  <c r="VT45" s="1"/>
  <c r="VU32"/>
  <c r="VU48" s="1"/>
  <c r="VS41"/>
  <c r="VT43" l="1"/>
  <c r="VU28" s="1"/>
  <c r="VU47"/>
  <c r="VV32" s="1"/>
  <c r="VT44"/>
  <c r="VU29" s="1"/>
  <c r="VV50"/>
  <c r="VT26"/>
  <c r="VT42" s="1"/>
  <c r="VV33"/>
  <c r="VV49" s="1"/>
  <c r="VU30"/>
  <c r="VU46" s="1"/>
  <c r="VV48" l="1"/>
  <c r="VW33" s="1"/>
  <c r="VU45"/>
  <c r="VV30" s="1"/>
  <c r="VU44"/>
  <c r="VV29" s="1"/>
  <c r="VV31"/>
  <c r="VV47" s="1"/>
  <c r="VW34"/>
  <c r="VU27"/>
  <c r="VU43" s="1"/>
  <c r="VT40"/>
  <c r="VU25" s="1"/>
  <c r="VT41"/>
  <c r="VV45" l="1"/>
  <c r="VW30" s="1"/>
  <c r="VW49"/>
  <c r="VX34" s="1"/>
  <c r="VW36"/>
  <c r="VW50"/>
  <c r="VV46"/>
  <c r="VW31" s="1"/>
  <c r="VU39"/>
  <c r="VW32"/>
  <c r="VW48" s="1"/>
  <c r="VV28"/>
  <c r="VV44" s="1"/>
  <c r="VU26"/>
  <c r="VU42" s="1"/>
  <c r="VX36" l="1"/>
  <c r="VX50"/>
  <c r="VW46"/>
  <c r="VX31" s="1"/>
  <c r="VW29"/>
  <c r="VW45" s="1"/>
  <c r="VV27"/>
  <c r="VV43" s="1"/>
  <c r="VX33"/>
  <c r="VX49" s="1"/>
  <c r="VU40"/>
  <c r="VV25" s="1"/>
  <c r="VU41"/>
  <c r="VW47"/>
  <c r="VX32" l="1"/>
  <c r="VX47" s="1"/>
  <c r="VV39"/>
  <c r="VY34"/>
  <c r="VW28"/>
  <c r="VW44" s="1"/>
  <c r="VX30"/>
  <c r="VX46" s="1"/>
  <c r="VV26"/>
  <c r="VV41" s="1"/>
  <c r="VY50" l="1"/>
  <c r="VY36"/>
  <c r="VY31"/>
  <c r="VW26"/>
  <c r="VX29"/>
  <c r="VX45" s="1"/>
  <c r="VV40"/>
  <c r="VW25" s="1"/>
  <c r="VX48"/>
  <c r="VY32"/>
  <c r="VV42"/>
  <c r="VY30" l="1"/>
  <c r="VY46" s="1"/>
  <c r="VW27"/>
  <c r="VW43" s="1"/>
  <c r="VW39"/>
  <c r="VW40"/>
  <c r="VX25" s="1"/>
  <c r="VY33"/>
  <c r="VY48" s="1"/>
  <c r="VY47" l="1"/>
  <c r="VZ32" s="1"/>
  <c r="VY49"/>
  <c r="VZ34" s="1"/>
  <c r="VZ36" s="1"/>
  <c r="VZ33"/>
  <c r="VX28"/>
  <c r="VX44" s="1"/>
  <c r="VZ31"/>
  <c r="VX39"/>
  <c r="VW42"/>
  <c r="VW41"/>
  <c r="VZ48" l="1"/>
  <c r="WA33" s="1"/>
  <c r="VZ49"/>
  <c r="WA34" s="1"/>
  <c r="VZ50"/>
  <c r="VX26"/>
  <c r="VY29"/>
  <c r="VY45" s="1"/>
  <c r="VX27"/>
  <c r="VZ47"/>
  <c r="VX42" l="1"/>
  <c r="VY27" s="1"/>
  <c r="VX43"/>
  <c r="VY28" s="1"/>
  <c r="VY44" s="1"/>
  <c r="WA36"/>
  <c r="WA50"/>
  <c r="WA49"/>
  <c r="WB34" s="1"/>
  <c r="VZ30"/>
  <c r="VZ46" s="1"/>
  <c r="WA32"/>
  <c r="WA48" s="1"/>
  <c r="VX40"/>
  <c r="VY25" s="1"/>
  <c r="VX41"/>
  <c r="WB50" l="1"/>
  <c r="WB36"/>
  <c r="VY43"/>
  <c r="VZ28" s="1"/>
  <c r="WB33"/>
  <c r="WB49" s="1"/>
  <c r="VZ29"/>
  <c r="VZ45" s="1"/>
  <c r="WA31"/>
  <c r="WA47" s="1"/>
  <c r="VY39"/>
  <c r="VY26"/>
  <c r="VY40" s="1"/>
  <c r="VZ25" s="1"/>
  <c r="VZ44" l="1"/>
  <c r="WA29" s="1"/>
  <c r="VZ39"/>
  <c r="WB32"/>
  <c r="WB48" s="1"/>
  <c r="WA30"/>
  <c r="WA46" s="1"/>
  <c r="WC34"/>
  <c r="VY41"/>
  <c r="VY42"/>
  <c r="WC50" l="1"/>
  <c r="WC36"/>
  <c r="WA45"/>
  <c r="WB30" s="1"/>
  <c r="WC33"/>
  <c r="WC49" s="1"/>
  <c r="WB31"/>
  <c r="WB47" s="1"/>
  <c r="VZ27"/>
  <c r="VZ43" s="1"/>
  <c r="VZ26"/>
  <c r="WB46" l="1"/>
  <c r="WC31" s="1"/>
  <c r="WD34"/>
  <c r="WD36" s="1"/>
  <c r="WA28"/>
  <c r="WA44" s="1"/>
  <c r="WC32"/>
  <c r="WC48" s="1"/>
  <c r="VZ41"/>
  <c r="VZ40"/>
  <c r="WA25" s="1"/>
  <c r="VZ42"/>
  <c r="WC47" l="1"/>
  <c r="WD32" s="1"/>
  <c r="WD50"/>
  <c r="WA27"/>
  <c r="WA43" s="1"/>
  <c r="WA26"/>
  <c r="WD33"/>
  <c r="WD49" s="1"/>
  <c r="WB29"/>
  <c r="WB45" s="1"/>
  <c r="WA39"/>
  <c r="WD48" l="1"/>
  <c r="WE33" s="1"/>
  <c r="WA42"/>
  <c r="WB27" s="1"/>
  <c r="WA40"/>
  <c r="WB25" s="1"/>
  <c r="WB39" s="1"/>
  <c r="WA41"/>
  <c r="WB26" s="1"/>
  <c r="WC30"/>
  <c r="WC46" s="1"/>
  <c r="WE34"/>
  <c r="WB28"/>
  <c r="WB44" s="1"/>
  <c r="WB40" l="1"/>
  <c r="WC25" s="1"/>
  <c r="WC39" s="1"/>
  <c r="WB41"/>
  <c r="WE50"/>
  <c r="WE36"/>
  <c r="WE49"/>
  <c r="WF34" s="1"/>
  <c r="WB43"/>
  <c r="WC28" s="1"/>
  <c r="WB42"/>
  <c r="WC27" s="1"/>
  <c r="WD31"/>
  <c r="WD47" s="1"/>
  <c r="WC29"/>
  <c r="WC45" s="1"/>
  <c r="WC26"/>
  <c r="WC43" l="1"/>
  <c r="WD28" s="1"/>
  <c r="WC41"/>
  <c r="WD26" s="1"/>
  <c r="WC44"/>
  <c r="WD29" s="1"/>
  <c r="WC40"/>
  <c r="WD25" s="1"/>
  <c r="WD39" s="1"/>
  <c r="WC42"/>
  <c r="WD27" s="1"/>
  <c r="WF50"/>
  <c r="WF36"/>
  <c r="WD30"/>
  <c r="WD46" s="1"/>
  <c r="WE32"/>
  <c r="WE48" s="1"/>
  <c r="WD40" l="1"/>
  <c r="WE25" s="1"/>
  <c r="WE39" s="1"/>
  <c r="WD43"/>
  <c r="WE28" s="1"/>
  <c r="WD42"/>
  <c r="WE27" s="1"/>
  <c r="WD44"/>
  <c r="WE29" s="1"/>
  <c r="WD45"/>
  <c r="WE30" s="1"/>
  <c r="WD41"/>
  <c r="WE26" s="1"/>
  <c r="WF33"/>
  <c r="WF49" s="1"/>
  <c r="WE31"/>
  <c r="WE47" s="1"/>
  <c r="WE41" l="1"/>
  <c r="WF26" s="1"/>
  <c r="WE40"/>
  <c r="WF25" s="1"/>
  <c r="WF39" s="1"/>
  <c r="WE44"/>
  <c r="WF29" s="1"/>
  <c r="WE43"/>
  <c r="WF28" s="1"/>
  <c r="WE46"/>
  <c r="WF31" s="1"/>
  <c r="WE45"/>
  <c r="WF30" s="1"/>
  <c r="WE42"/>
  <c r="WF27" s="1"/>
  <c r="WG34"/>
  <c r="WF32"/>
  <c r="WF48" s="1"/>
  <c r="WF41" l="1"/>
  <c r="WG26" s="1"/>
  <c r="WF47"/>
  <c r="WF46"/>
  <c r="WG31" s="1"/>
  <c r="WF42"/>
  <c r="WG27" s="1"/>
  <c r="WG50"/>
  <c r="WG36"/>
  <c r="WF45"/>
  <c r="WG30" s="1"/>
  <c r="WF44"/>
  <c r="WG29" s="1"/>
  <c r="WF43"/>
  <c r="WG28" s="1"/>
  <c r="WG32"/>
  <c r="WG33"/>
  <c r="WF40"/>
  <c r="WG25" s="1"/>
  <c r="WG48" l="1"/>
  <c r="WH33" s="1"/>
  <c r="WG47"/>
  <c r="WH32" s="1"/>
  <c r="WG44"/>
  <c r="WH29" s="1"/>
  <c r="WG45"/>
  <c r="WH30" s="1"/>
  <c r="WG46"/>
  <c r="WH31" s="1"/>
  <c r="WG49"/>
  <c r="WH34" s="1"/>
  <c r="WG43"/>
  <c r="WH28" s="1"/>
  <c r="WG39"/>
  <c r="WG41"/>
  <c r="WG40"/>
  <c r="WH25" s="1"/>
  <c r="WG42"/>
  <c r="WH49" l="1"/>
  <c r="WH44"/>
  <c r="WI29" s="1"/>
  <c r="WH47"/>
  <c r="WI32" s="1"/>
  <c r="WH50"/>
  <c r="WH36"/>
  <c r="WH46"/>
  <c r="WI31" s="1"/>
  <c r="WH45"/>
  <c r="WI30" s="1"/>
  <c r="WH48"/>
  <c r="WI33" s="1"/>
  <c r="WI34"/>
  <c r="WI36" s="1"/>
  <c r="WH39"/>
  <c r="WH27"/>
  <c r="WH43" s="1"/>
  <c r="WH26"/>
  <c r="WI47" l="1"/>
  <c r="WI46"/>
  <c r="WJ31" s="1"/>
  <c r="WI48"/>
  <c r="WJ33" s="1"/>
  <c r="WI49"/>
  <c r="WJ34" s="1"/>
  <c r="WI45"/>
  <c r="WJ30" s="1"/>
  <c r="WH41"/>
  <c r="WI26" s="1"/>
  <c r="WI50"/>
  <c r="WI28"/>
  <c r="WI44" s="1"/>
  <c r="WJ32"/>
  <c r="WH40"/>
  <c r="WI25" s="1"/>
  <c r="WH42"/>
  <c r="WJ46" l="1"/>
  <c r="WJ47"/>
  <c r="WJ49"/>
  <c r="WK34" s="1"/>
  <c r="WJ48"/>
  <c r="WK33" s="1"/>
  <c r="WJ36"/>
  <c r="WJ50"/>
  <c r="WI40"/>
  <c r="WJ25" s="1"/>
  <c r="WI39"/>
  <c r="WK31"/>
  <c r="WK32"/>
  <c r="WJ29"/>
  <c r="WJ45" s="1"/>
  <c r="WI27"/>
  <c r="WI42" s="1"/>
  <c r="WK49" l="1"/>
  <c r="WL34" s="1"/>
  <c r="WL36" s="1"/>
  <c r="WK48"/>
  <c r="WL33" s="1"/>
  <c r="WK47"/>
  <c r="WL32" s="1"/>
  <c r="WK50"/>
  <c r="WK36"/>
  <c r="WK30"/>
  <c r="WK46" s="1"/>
  <c r="WJ27"/>
  <c r="WI43"/>
  <c r="WI41"/>
  <c r="WJ39"/>
  <c r="WL50" l="1"/>
  <c r="WL49"/>
  <c r="WM34" s="1"/>
  <c r="WL48"/>
  <c r="WM33" s="1"/>
  <c r="WJ28"/>
  <c r="WJ43" s="1"/>
  <c r="WL31"/>
  <c r="WL47" s="1"/>
  <c r="WJ26"/>
  <c r="WJ42" l="1"/>
  <c r="WK27" s="1"/>
  <c r="WM49"/>
  <c r="WN34" s="1"/>
  <c r="WM50"/>
  <c r="WM36"/>
  <c r="WM32"/>
  <c r="WM48" s="1"/>
  <c r="WJ44"/>
  <c r="WJ41"/>
  <c r="WJ40"/>
  <c r="WK25" s="1"/>
  <c r="WK28"/>
  <c r="WN50" l="1"/>
  <c r="WN36"/>
  <c r="WN33"/>
  <c r="WN49" s="1"/>
  <c r="WK39"/>
  <c r="WK29"/>
  <c r="WK43" s="1"/>
  <c r="WK26"/>
  <c r="WK40" s="1"/>
  <c r="WL25" s="1"/>
  <c r="WK42" l="1"/>
  <c r="WL27" s="1"/>
  <c r="WK45"/>
  <c r="WL30" s="1"/>
  <c r="WL46" s="1"/>
  <c r="WO34"/>
  <c r="WO36" s="1"/>
  <c r="WL39"/>
  <c r="WL28"/>
  <c r="WK41"/>
  <c r="WK44"/>
  <c r="WO50" l="1"/>
  <c r="WM31"/>
  <c r="WM47" s="1"/>
  <c r="WL29"/>
  <c r="WL44" s="1"/>
  <c r="WL26"/>
  <c r="WL42" s="1"/>
  <c r="WL45" l="1"/>
  <c r="WM30" s="1"/>
  <c r="WM46" s="1"/>
  <c r="WL43"/>
  <c r="WM28" s="1"/>
  <c r="WM29"/>
  <c r="WN32"/>
  <c r="WN48" s="1"/>
  <c r="WM27"/>
  <c r="WL41"/>
  <c r="WL40"/>
  <c r="WM25" s="1"/>
  <c r="WM44" l="1"/>
  <c r="WN29" s="1"/>
  <c r="WM43"/>
  <c r="WN28" s="1"/>
  <c r="WM45"/>
  <c r="WN30" s="1"/>
  <c r="WN31"/>
  <c r="WN47" s="1"/>
  <c r="WO33"/>
  <c r="WO49" s="1"/>
  <c r="WM26"/>
  <c r="WM42" s="1"/>
  <c r="WM39"/>
  <c r="WN46" l="1"/>
  <c r="WO31" s="1"/>
  <c r="WM40"/>
  <c r="WN25" s="1"/>
  <c r="WN39" s="1"/>
  <c r="WN45"/>
  <c r="WO30" s="1"/>
  <c r="WM41"/>
  <c r="WN26" s="1"/>
  <c r="WN44"/>
  <c r="WO29" s="1"/>
  <c r="WN27"/>
  <c r="WN43" s="1"/>
  <c r="WP34"/>
  <c r="WO32"/>
  <c r="WO48" s="1"/>
  <c r="WN40" l="1"/>
  <c r="WO25" s="1"/>
  <c r="WO39" s="1"/>
  <c r="WO47"/>
  <c r="WP50"/>
  <c r="WP36"/>
  <c r="WO46"/>
  <c r="WP31" s="1"/>
  <c r="WN41"/>
  <c r="WO26" s="1"/>
  <c r="WO45"/>
  <c r="WP30" s="1"/>
  <c r="WN42"/>
  <c r="WO27" s="1"/>
  <c r="WP33"/>
  <c r="WP49" s="1"/>
  <c r="WP32"/>
  <c r="WO28"/>
  <c r="WO44" s="1"/>
  <c r="WO40" l="1"/>
  <c r="WP25" s="1"/>
  <c r="WP39" s="1"/>
  <c r="WP48"/>
  <c r="WQ33" s="1"/>
  <c r="WO43"/>
  <c r="WP28" s="1"/>
  <c r="WP47"/>
  <c r="WQ32" s="1"/>
  <c r="WP46"/>
  <c r="WQ31" s="1"/>
  <c r="WP29"/>
  <c r="WP45" s="1"/>
  <c r="WQ34"/>
  <c r="WO41"/>
  <c r="WO42"/>
  <c r="WQ49" l="1"/>
  <c r="WR34" s="1"/>
  <c r="WR36" s="1"/>
  <c r="WQ50"/>
  <c r="WQ36"/>
  <c r="WP44"/>
  <c r="WQ29" s="1"/>
  <c r="WQ47"/>
  <c r="WR32" s="1"/>
  <c r="WQ48"/>
  <c r="WR33" s="1"/>
  <c r="WQ30"/>
  <c r="WQ46" s="1"/>
  <c r="WP27"/>
  <c r="WP43" s="1"/>
  <c r="WP26"/>
  <c r="WQ45" l="1"/>
  <c r="WR30" s="1"/>
  <c r="WP42"/>
  <c r="WQ27" s="1"/>
  <c r="WR49"/>
  <c r="WS34" s="1"/>
  <c r="WS36" s="1"/>
  <c r="WR50"/>
  <c r="WR48"/>
  <c r="WS33" s="1"/>
  <c r="WQ28"/>
  <c r="WQ44" s="1"/>
  <c r="WR31"/>
  <c r="WR47" s="1"/>
  <c r="WP41"/>
  <c r="WP40"/>
  <c r="WQ25" s="1"/>
  <c r="WR46" l="1"/>
  <c r="WS31" s="1"/>
  <c r="WS49"/>
  <c r="WT34" s="1"/>
  <c r="WQ43"/>
  <c r="WR28" s="1"/>
  <c r="WS50"/>
  <c r="WQ26"/>
  <c r="WQ42" s="1"/>
  <c r="WS32"/>
  <c r="WS48" s="1"/>
  <c r="WR29"/>
  <c r="WR45" s="1"/>
  <c r="WQ39"/>
  <c r="WQ40" l="1"/>
  <c r="WR25" s="1"/>
  <c r="WR39" s="1"/>
  <c r="WQ41"/>
  <c r="WR26" s="1"/>
  <c r="WT50"/>
  <c r="WT36"/>
  <c r="WR44"/>
  <c r="WS29" s="1"/>
  <c r="WS45" s="1"/>
  <c r="WS47"/>
  <c r="WT32" s="1"/>
  <c r="WS30"/>
  <c r="WS46" s="1"/>
  <c r="WR27"/>
  <c r="WR43" s="1"/>
  <c r="WT33"/>
  <c r="WT49" s="1"/>
  <c r="WR42" l="1"/>
  <c r="WS27" s="1"/>
  <c r="WT48"/>
  <c r="WU33" s="1"/>
  <c r="WR41"/>
  <c r="WS26" s="1"/>
  <c r="WR40"/>
  <c r="WS25" s="1"/>
  <c r="WS39" s="1"/>
  <c r="WT30"/>
  <c r="WT31"/>
  <c r="WT47" s="1"/>
  <c r="WU34"/>
  <c r="WU36" s="1"/>
  <c r="WS28"/>
  <c r="WS44" s="1"/>
  <c r="WS42" l="1"/>
  <c r="WT27" s="1"/>
  <c r="WS43"/>
  <c r="WT28" s="1"/>
  <c r="WU49"/>
  <c r="WV34" s="1"/>
  <c r="WT46"/>
  <c r="WU31" s="1"/>
  <c r="WS40"/>
  <c r="WT25" s="1"/>
  <c r="WT39" s="1"/>
  <c r="WS41"/>
  <c r="WT26" s="1"/>
  <c r="WU50"/>
  <c r="WT29"/>
  <c r="WT45" s="1"/>
  <c r="WU32"/>
  <c r="WU48" s="1"/>
  <c r="WT41" l="1"/>
  <c r="WU26" s="1"/>
  <c r="WT40"/>
  <c r="WU25" s="1"/>
  <c r="WU39" s="1"/>
  <c r="WU47"/>
  <c r="WV32" s="1"/>
  <c r="WT44"/>
  <c r="WU29" s="1"/>
  <c r="WV50"/>
  <c r="WV36"/>
  <c r="WT42"/>
  <c r="WU27" s="1"/>
  <c r="WV33"/>
  <c r="WV49" s="1"/>
  <c r="WU30"/>
  <c r="WU46" s="1"/>
  <c r="WT43"/>
  <c r="WU40" l="1"/>
  <c r="WV25" s="1"/>
  <c r="WV39" s="1"/>
  <c r="WV48"/>
  <c r="WW33" s="1"/>
  <c r="WU45"/>
  <c r="WV30" s="1"/>
  <c r="WV31"/>
  <c r="WV47" s="1"/>
  <c r="WW34"/>
  <c r="WU28"/>
  <c r="WU43" s="1"/>
  <c r="WU41"/>
  <c r="WV46" l="1"/>
  <c r="WW31" s="1"/>
  <c r="WU44"/>
  <c r="WV29" s="1"/>
  <c r="WV45" s="1"/>
  <c r="WU42"/>
  <c r="WV27" s="1"/>
  <c r="WW50"/>
  <c r="WW36"/>
  <c r="WW49"/>
  <c r="WX34" s="1"/>
  <c r="WX36" s="1"/>
  <c r="WV28"/>
  <c r="WV26"/>
  <c r="WW32"/>
  <c r="WW47" l="1"/>
  <c r="WX32" s="1"/>
  <c r="WX50"/>
  <c r="WW48"/>
  <c r="WX33" s="1"/>
  <c r="WX49" s="1"/>
  <c r="WV42"/>
  <c r="WW27" s="1"/>
  <c r="WV43"/>
  <c r="WW28" s="1"/>
  <c r="WV44"/>
  <c r="WW29" s="1"/>
  <c r="WW30"/>
  <c r="WW46" s="1"/>
  <c r="WV40"/>
  <c r="WW25" s="1"/>
  <c r="WV41"/>
  <c r="WW43" l="1"/>
  <c r="WX28" s="1"/>
  <c r="WX48"/>
  <c r="WY33" s="1"/>
  <c r="WW44"/>
  <c r="WX29" s="1"/>
  <c r="WW45"/>
  <c r="WX30" s="1"/>
  <c r="WY34"/>
  <c r="WY36" s="1"/>
  <c r="WX31"/>
  <c r="WX47" s="1"/>
  <c r="WW39"/>
  <c r="WW26"/>
  <c r="WW40" s="1"/>
  <c r="WX25" s="1"/>
  <c r="WY50" l="1"/>
  <c r="WX46"/>
  <c r="WY31" s="1"/>
  <c r="WY49"/>
  <c r="WZ34" s="1"/>
  <c r="WX44"/>
  <c r="WY29" s="1"/>
  <c r="WX45"/>
  <c r="WY30" s="1"/>
  <c r="WX39"/>
  <c r="WY32"/>
  <c r="WY48" s="1"/>
  <c r="WW41"/>
  <c r="WW42"/>
  <c r="WY46" l="1"/>
  <c r="WZ31" s="1"/>
  <c r="WZ50"/>
  <c r="WZ36"/>
  <c r="WY45"/>
  <c r="WZ30" s="1"/>
  <c r="WY47"/>
  <c r="WZ32" s="1"/>
  <c r="WZ33"/>
  <c r="WZ49" s="1"/>
  <c r="WX27"/>
  <c r="WX43" s="1"/>
  <c r="WX26"/>
  <c r="WX42" l="1"/>
  <c r="WY27" s="1"/>
  <c r="WZ48"/>
  <c r="XA33" s="1"/>
  <c r="WZ46"/>
  <c r="XA31" s="1"/>
  <c r="WZ47"/>
  <c r="XA32" s="1"/>
  <c r="WY28"/>
  <c r="WY44" s="1"/>
  <c r="XA34"/>
  <c r="WX40"/>
  <c r="WY25" s="1"/>
  <c r="WX41"/>
  <c r="WY43" l="1"/>
  <c r="WZ28" s="1"/>
  <c r="XA48"/>
  <c r="XB33" s="1"/>
  <c r="XA47"/>
  <c r="XB32" s="1"/>
  <c r="XA49"/>
  <c r="XB34" s="1"/>
  <c r="XB36" s="1"/>
  <c r="XA50"/>
  <c r="XA36"/>
  <c r="WZ29"/>
  <c r="WZ45" s="1"/>
  <c r="WY39"/>
  <c r="WY26"/>
  <c r="WY41" s="1"/>
  <c r="WZ44" l="1"/>
  <c r="XA29" s="1"/>
  <c r="XB48"/>
  <c r="XC33" s="1"/>
  <c r="XB49"/>
  <c r="XC34" s="1"/>
  <c r="XC36" s="1"/>
  <c r="XB50"/>
  <c r="WZ26"/>
  <c r="XA30"/>
  <c r="XA46" s="1"/>
  <c r="WY40"/>
  <c r="WZ25" s="1"/>
  <c r="WY42"/>
  <c r="XA45" l="1"/>
  <c r="XB30" s="1"/>
  <c r="XC49"/>
  <c r="XD34" s="1"/>
  <c r="XC50"/>
  <c r="WZ39"/>
  <c r="WZ40"/>
  <c r="XA25" s="1"/>
  <c r="XB31"/>
  <c r="XB47" s="1"/>
  <c r="WZ27"/>
  <c r="WZ42" s="1"/>
  <c r="XD50" l="1"/>
  <c r="XD36"/>
  <c r="XB46"/>
  <c r="XC31" s="1"/>
  <c r="XC32"/>
  <c r="XC48" s="1"/>
  <c r="XA27"/>
  <c r="XA39"/>
  <c r="WZ41"/>
  <c r="WZ43"/>
  <c r="XC47" l="1"/>
  <c r="XD32" s="1"/>
  <c r="XA28"/>
  <c r="XA43" s="1"/>
  <c r="XD33"/>
  <c r="XD49" s="1"/>
  <c r="XA26"/>
  <c r="XA42" l="1"/>
  <c r="XB27" s="1"/>
  <c r="XD48"/>
  <c r="XE33" s="1"/>
  <c r="XA44"/>
  <c r="XB29" s="1"/>
  <c r="XB45" s="1"/>
  <c r="XE34"/>
  <c r="XA41"/>
  <c r="XA40"/>
  <c r="XB25" s="1"/>
  <c r="XB28"/>
  <c r="XB44" l="1"/>
  <c r="XC29" s="1"/>
  <c r="XE49"/>
  <c r="XF34" s="1"/>
  <c r="XF36" s="1"/>
  <c r="XE50"/>
  <c r="XE36"/>
  <c r="XB43"/>
  <c r="XC28" s="1"/>
  <c r="XC30"/>
  <c r="XB26"/>
  <c r="XB42" s="1"/>
  <c r="XB39"/>
  <c r="XC45" l="1"/>
  <c r="XD30" s="1"/>
  <c r="XB40"/>
  <c r="XC25" s="1"/>
  <c r="XC39" s="1"/>
  <c r="XB41"/>
  <c r="XC26" s="1"/>
  <c r="XC46"/>
  <c r="XD31" s="1"/>
  <c r="XD47" s="1"/>
  <c r="XF50"/>
  <c r="XC44"/>
  <c r="XD29" s="1"/>
  <c r="XC27"/>
  <c r="XC43" s="1"/>
  <c r="XD46" l="1"/>
  <c r="XE31" s="1"/>
  <c r="XC42"/>
  <c r="XD27" s="1"/>
  <c r="XD45"/>
  <c r="XE30" s="1"/>
  <c r="XD28"/>
  <c r="XD44" s="1"/>
  <c r="XE32"/>
  <c r="XE48" s="1"/>
  <c r="XC40"/>
  <c r="XD25" s="1"/>
  <c r="XC41"/>
  <c r="XD43" l="1"/>
  <c r="XE28" s="1"/>
  <c r="XE47"/>
  <c r="XF32" s="1"/>
  <c r="XE46"/>
  <c r="XF31" s="1"/>
  <c r="XF33"/>
  <c r="XF49" s="1"/>
  <c r="XE29"/>
  <c r="XE45" s="1"/>
  <c r="XD39"/>
  <c r="XD26"/>
  <c r="XD42" s="1"/>
  <c r="XE44" l="1"/>
  <c r="XF29" s="1"/>
  <c r="XF48"/>
  <c r="XG33" s="1"/>
  <c r="XF47"/>
  <c r="XG32" s="1"/>
  <c r="XE27"/>
  <c r="XE43" s="1"/>
  <c r="XF30"/>
  <c r="XF46" s="1"/>
  <c r="XG34"/>
  <c r="XG36" s="1"/>
  <c r="XD40"/>
  <c r="XE25" s="1"/>
  <c r="XD41"/>
  <c r="XG48" l="1"/>
  <c r="XH33" s="1"/>
  <c r="XF45"/>
  <c r="XG30" s="1"/>
  <c r="XG49"/>
  <c r="XH34" s="1"/>
  <c r="XG50"/>
  <c r="XE39"/>
  <c r="XG31"/>
  <c r="XG47" s="1"/>
  <c r="XF28"/>
  <c r="XF44" s="1"/>
  <c r="XE26"/>
  <c r="XE42" s="1"/>
  <c r="XH49" l="1"/>
  <c r="XI34" s="1"/>
  <c r="XI36" s="1"/>
  <c r="XG46"/>
  <c r="XH31" s="1"/>
  <c r="XH50"/>
  <c r="XH36"/>
  <c r="XF27"/>
  <c r="XF43" s="1"/>
  <c r="XG29"/>
  <c r="XG45" s="1"/>
  <c r="XH32"/>
  <c r="XH48" s="1"/>
  <c r="XE40"/>
  <c r="XF25" s="1"/>
  <c r="XE41"/>
  <c r="XI50" l="1"/>
  <c r="XH47"/>
  <c r="XI32" s="1"/>
  <c r="XG28"/>
  <c r="XG44" s="1"/>
  <c r="XI33"/>
  <c r="XI49" s="1"/>
  <c r="XH30"/>
  <c r="XH46" s="1"/>
  <c r="XF39"/>
  <c r="XF26"/>
  <c r="XF41" s="1"/>
  <c r="XI48" l="1"/>
  <c r="XJ33" s="1"/>
  <c r="XF42"/>
  <c r="XG27" s="1"/>
  <c r="XG43" s="1"/>
  <c r="XG26"/>
  <c r="XH29"/>
  <c r="XH45" s="1"/>
  <c r="XJ34"/>
  <c r="XJ36" s="1"/>
  <c r="XI31"/>
  <c r="XI47" s="1"/>
  <c r="XF40"/>
  <c r="XG25" s="1"/>
  <c r="XJ49" l="1"/>
  <c r="XK34" s="1"/>
  <c r="XJ50"/>
  <c r="XH28"/>
  <c r="XH44" s="1"/>
  <c r="XG39"/>
  <c r="XG40"/>
  <c r="XH25" s="1"/>
  <c r="XG41"/>
  <c r="XJ32"/>
  <c r="XJ48" s="1"/>
  <c r="XI30"/>
  <c r="XI46" s="1"/>
  <c r="XG42"/>
  <c r="XK50" l="1"/>
  <c r="XK36"/>
  <c r="XJ31"/>
  <c r="XJ47" s="1"/>
  <c r="XI29"/>
  <c r="XI45" s="1"/>
  <c r="XK33"/>
  <c r="XK49" s="1"/>
  <c r="XH26"/>
  <c r="XH27"/>
  <c r="XH43" s="1"/>
  <c r="XH39"/>
  <c r="XH42" l="1"/>
  <c r="XI27" s="1"/>
  <c r="XH40"/>
  <c r="XI25" s="1"/>
  <c r="XI39" s="1"/>
  <c r="XI28"/>
  <c r="XI44" s="1"/>
  <c r="XL34"/>
  <c r="XL36" s="1"/>
  <c r="XK32"/>
  <c r="XK48" s="1"/>
  <c r="XJ30"/>
  <c r="XJ46" s="1"/>
  <c r="XH41"/>
  <c r="XI43" l="1"/>
  <c r="XJ28" s="1"/>
  <c r="XL50"/>
  <c r="XK31"/>
  <c r="XK47" s="1"/>
  <c r="XL33"/>
  <c r="XL49" s="1"/>
  <c r="XJ29"/>
  <c r="XJ45" s="1"/>
  <c r="XI26"/>
  <c r="XI42" s="1"/>
  <c r="XJ44" l="1"/>
  <c r="XK29" s="1"/>
  <c r="XK30"/>
  <c r="XK46" s="1"/>
  <c r="XM34"/>
  <c r="XM36" s="1"/>
  <c r="XL32"/>
  <c r="XL48" s="1"/>
  <c r="XJ27"/>
  <c r="XJ43" s="1"/>
  <c r="XI41"/>
  <c r="XI40"/>
  <c r="XJ25" s="1"/>
  <c r="XK45" l="1"/>
  <c r="XL30" s="1"/>
  <c r="XM50"/>
  <c r="XJ26"/>
  <c r="XJ40" s="1"/>
  <c r="XK25" s="1"/>
  <c r="XK28"/>
  <c r="XK44" s="1"/>
  <c r="XM33"/>
  <c r="XM49" s="1"/>
  <c r="XL31"/>
  <c r="XL47" s="1"/>
  <c r="XJ39"/>
  <c r="XJ41" l="1"/>
  <c r="XJ42"/>
  <c r="XK27" s="1"/>
  <c r="XK43" s="1"/>
  <c r="XL46"/>
  <c r="XK39"/>
  <c r="XM32"/>
  <c r="XM48" s="1"/>
  <c r="XM31"/>
  <c r="XN34"/>
  <c r="XL29"/>
  <c r="XL45" s="1"/>
  <c r="XK26"/>
  <c r="XK40" s="1"/>
  <c r="XL25" s="1"/>
  <c r="XN50" l="1"/>
  <c r="XN36"/>
  <c r="XM47"/>
  <c r="XN32" s="1"/>
  <c r="XL39"/>
  <c r="XM30"/>
  <c r="XM46" s="1"/>
  <c r="XL28"/>
  <c r="XL44" s="1"/>
  <c r="XN33"/>
  <c r="XN49" s="1"/>
  <c r="XK41"/>
  <c r="XK42"/>
  <c r="XN48" l="1"/>
  <c r="XO33" s="1"/>
  <c r="XO34"/>
  <c r="XM29"/>
  <c r="XM45" s="1"/>
  <c r="XN31"/>
  <c r="XN47" s="1"/>
  <c r="XL27"/>
  <c r="XL43" s="1"/>
  <c r="XL26"/>
  <c r="XO50" l="1"/>
  <c r="XO36"/>
  <c r="XL42"/>
  <c r="XM27" s="1"/>
  <c r="XO49"/>
  <c r="XP34" s="1"/>
  <c r="XP36" s="1"/>
  <c r="XM28"/>
  <c r="XM44" s="1"/>
  <c r="XN30"/>
  <c r="XN46" s="1"/>
  <c r="XO32"/>
  <c r="XO48" s="1"/>
  <c r="XL41"/>
  <c r="XL40"/>
  <c r="XM25" s="1"/>
  <c r="XM43" l="1"/>
  <c r="XN28" s="1"/>
  <c r="XP50"/>
  <c r="XM26"/>
  <c r="XM42" s="1"/>
  <c r="XP33"/>
  <c r="XP49" s="1"/>
  <c r="XO31"/>
  <c r="XO47" s="1"/>
  <c r="XN29"/>
  <c r="XN45" s="1"/>
  <c r="XM39"/>
  <c r="XN44" l="1"/>
  <c r="XO29" s="1"/>
  <c r="XO45" s="1"/>
  <c r="XM41"/>
  <c r="XN26" s="1"/>
  <c r="XM40"/>
  <c r="XN25" s="1"/>
  <c r="XN39" s="1"/>
  <c r="XO30"/>
  <c r="XO46" s="1"/>
  <c r="XP32"/>
  <c r="XP48" s="1"/>
  <c r="XQ34"/>
  <c r="XN27"/>
  <c r="XN43" s="1"/>
  <c r="XN42" l="1"/>
  <c r="XO27" s="1"/>
  <c r="XQ50"/>
  <c r="XQ36"/>
  <c r="XQ33"/>
  <c r="XQ49" s="1"/>
  <c r="XO28"/>
  <c r="XO44" s="1"/>
  <c r="XP30"/>
  <c r="XP31"/>
  <c r="XP47" s="1"/>
  <c r="XN40"/>
  <c r="XO25" s="1"/>
  <c r="XN41"/>
  <c r="XP46" l="1"/>
  <c r="XQ31" s="1"/>
  <c r="XO43"/>
  <c r="XP28" s="1"/>
  <c r="XQ32"/>
  <c r="XQ48" s="1"/>
  <c r="XP29"/>
  <c r="XP45" s="1"/>
  <c r="XR34"/>
  <c r="XO39"/>
  <c r="XO26"/>
  <c r="XO40" s="1"/>
  <c r="XP25" s="1"/>
  <c r="XP44" l="1"/>
  <c r="XQ29" s="1"/>
  <c r="XO42"/>
  <c r="XP27" s="1"/>
  <c r="XP43" s="1"/>
  <c r="XQ47"/>
  <c r="XR32" s="1"/>
  <c r="XR50"/>
  <c r="XR36"/>
  <c r="XP39"/>
  <c r="XQ30"/>
  <c r="XQ46" s="1"/>
  <c r="XR33"/>
  <c r="XR49" s="1"/>
  <c r="XO41"/>
  <c r="XS34" l="1"/>
  <c r="XR31"/>
  <c r="XR47" s="1"/>
  <c r="XQ28"/>
  <c r="XQ44" s="1"/>
  <c r="XP26"/>
  <c r="XP42" s="1"/>
  <c r="XQ45"/>
  <c r="XR48"/>
  <c r="XS50" l="1"/>
  <c r="XS36"/>
  <c r="XQ27"/>
  <c r="XQ43" s="1"/>
  <c r="XR29"/>
  <c r="XS32"/>
  <c r="XR30"/>
  <c r="XR46" s="1"/>
  <c r="XS33"/>
  <c r="XS49" s="1"/>
  <c r="XP41"/>
  <c r="XP40"/>
  <c r="XQ25" s="1"/>
  <c r="XR45" l="1"/>
  <c r="XS30" s="1"/>
  <c r="XS48"/>
  <c r="XT33" s="1"/>
  <c r="XT34"/>
  <c r="XT36" s="1"/>
  <c r="XS31"/>
  <c r="XS47" s="1"/>
  <c r="XR28"/>
  <c r="XR44" s="1"/>
  <c r="XQ26"/>
  <c r="XQ42" s="1"/>
  <c r="XQ39"/>
  <c r="XQ41" l="1"/>
  <c r="XT49"/>
  <c r="XU34" s="1"/>
  <c r="XS46"/>
  <c r="XT31" s="1"/>
  <c r="XQ40"/>
  <c r="XR25" s="1"/>
  <c r="XR39" s="1"/>
  <c r="XT50"/>
  <c r="XR27"/>
  <c r="XR43" s="1"/>
  <c r="XS29"/>
  <c r="XS45" s="1"/>
  <c r="XT32"/>
  <c r="XT48" s="1"/>
  <c r="XR26"/>
  <c r="XU50" l="1"/>
  <c r="XU36"/>
  <c r="XT47"/>
  <c r="XU32" s="1"/>
  <c r="XR41"/>
  <c r="XS26" s="1"/>
  <c r="XT30"/>
  <c r="XT46" s="1"/>
  <c r="XU33"/>
  <c r="XU49" s="1"/>
  <c r="XS28"/>
  <c r="XS44" s="1"/>
  <c r="XR40"/>
  <c r="XS25" s="1"/>
  <c r="XR42"/>
  <c r="XU48" l="1"/>
  <c r="XV33" s="1"/>
  <c r="XT29"/>
  <c r="XT45" s="1"/>
  <c r="XV34"/>
  <c r="XU31"/>
  <c r="XU47" s="1"/>
  <c r="XS40"/>
  <c r="XT25" s="1"/>
  <c r="XS39"/>
  <c r="XS27"/>
  <c r="XS42" s="1"/>
  <c r="XV49" l="1"/>
  <c r="XW34" s="1"/>
  <c r="XV50"/>
  <c r="XV36"/>
  <c r="XT27"/>
  <c r="XV32"/>
  <c r="XV48" s="1"/>
  <c r="XU30"/>
  <c r="XU46" s="1"/>
  <c r="XS41"/>
  <c r="XS43"/>
  <c r="XT39"/>
  <c r="XW50" l="1"/>
  <c r="XW36"/>
  <c r="XV31"/>
  <c r="XV47" s="1"/>
  <c r="XW33"/>
  <c r="XW49" s="1"/>
  <c r="XT28"/>
  <c r="XT43" s="1"/>
  <c r="XT26"/>
  <c r="XT42" l="1"/>
  <c r="XU27" s="1"/>
  <c r="XT44"/>
  <c r="XU29" s="1"/>
  <c r="XU45" s="1"/>
  <c r="XU28"/>
  <c r="XX34"/>
  <c r="XW32"/>
  <c r="XW48" s="1"/>
  <c r="XT41"/>
  <c r="XT40"/>
  <c r="XU25" s="1"/>
  <c r="XX50" l="1"/>
  <c r="XX36"/>
  <c r="XU44"/>
  <c r="XV29" s="1"/>
  <c r="XU43"/>
  <c r="XV28" s="1"/>
  <c r="XV30"/>
  <c r="XV46" s="1"/>
  <c r="XX33"/>
  <c r="XX49" s="1"/>
  <c r="XU39"/>
  <c r="XU26"/>
  <c r="XU40" s="1"/>
  <c r="XV25" s="1"/>
  <c r="XV45" l="1"/>
  <c r="XW30" s="1"/>
  <c r="XV44"/>
  <c r="XW29" s="1"/>
  <c r="XU42"/>
  <c r="XV27" s="1"/>
  <c r="XV43" s="1"/>
  <c r="XU41"/>
  <c r="XV26" s="1"/>
  <c r="XV40" s="1"/>
  <c r="XW25" s="1"/>
  <c r="XV39"/>
  <c r="XW31"/>
  <c r="XW47" s="1"/>
  <c r="XY34"/>
  <c r="XY36" s="1"/>
  <c r="XW46" l="1"/>
  <c r="XX31" s="1"/>
  <c r="XW45"/>
  <c r="XX30" s="1"/>
  <c r="XV42"/>
  <c r="XW27" s="1"/>
  <c r="XY50"/>
  <c r="XV41"/>
  <c r="XW26" s="1"/>
  <c r="XW40" s="1"/>
  <c r="XX25" s="1"/>
  <c r="XW39"/>
  <c r="XW28"/>
  <c r="XW44" s="1"/>
  <c r="XX32"/>
  <c r="XX48" s="1"/>
  <c r="XX47" l="1"/>
  <c r="XY32" s="1"/>
  <c r="XW43"/>
  <c r="XX28" s="1"/>
  <c r="XX46"/>
  <c r="XY31" s="1"/>
  <c r="XW42"/>
  <c r="XX27" s="1"/>
  <c r="XX39"/>
  <c r="XY33"/>
  <c r="XY49" s="1"/>
  <c r="XX29"/>
  <c r="XX45" s="1"/>
  <c r="XW41"/>
  <c r="XY48" l="1"/>
  <c r="XZ33" s="1"/>
  <c r="XY47"/>
  <c r="XZ32" s="1"/>
  <c r="XX44"/>
  <c r="XY29" s="1"/>
  <c r="XX43"/>
  <c r="XY28" s="1"/>
  <c r="XX26"/>
  <c r="XY30"/>
  <c r="XY46" s="1"/>
  <c r="XZ34"/>
  <c r="XZ49" l="1"/>
  <c r="YA34" s="1"/>
  <c r="XY45"/>
  <c r="XZ30" s="1"/>
  <c r="XY44"/>
  <c r="XZ29" s="1"/>
  <c r="XZ50"/>
  <c r="XZ36"/>
  <c r="XZ48"/>
  <c r="YA33" s="1"/>
  <c r="XZ31"/>
  <c r="XZ47" s="1"/>
  <c r="XX40"/>
  <c r="XY25" s="1"/>
  <c r="XX41"/>
  <c r="XX42"/>
  <c r="YA50" l="1"/>
  <c r="YA36"/>
  <c r="XZ46"/>
  <c r="YA31" s="1"/>
  <c r="XZ45"/>
  <c r="YA30" s="1"/>
  <c r="YA49"/>
  <c r="YB34" s="1"/>
  <c r="YA32"/>
  <c r="YA48" s="1"/>
  <c r="XY26"/>
  <c r="XY27"/>
  <c r="XY43" s="1"/>
  <c r="XY39"/>
  <c r="XY42" l="1"/>
  <c r="XZ27" s="1"/>
  <c r="YB50"/>
  <c r="YB36"/>
  <c r="YA46"/>
  <c r="YB31" s="1"/>
  <c r="XY41"/>
  <c r="XZ26" s="1"/>
  <c r="YA47"/>
  <c r="YB32" s="1"/>
  <c r="XZ28"/>
  <c r="XZ44" s="1"/>
  <c r="YB33"/>
  <c r="YB49" s="1"/>
  <c r="XY40"/>
  <c r="XZ25" s="1"/>
  <c r="YB47" l="1"/>
  <c r="YC32" s="1"/>
  <c r="XZ42"/>
  <c r="YA27" s="1"/>
  <c r="XZ43"/>
  <c r="YA28" s="1"/>
  <c r="YB48"/>
  <c r="YC33" s="1"/>
  <c r="YC34"/>
  <c r="YA29"/>
  <c r="YA45" s="1"/>
  <c r="XZ39"/>
  <c r="XZ40"/>
  <c r="YA25" s="1"/>
  <c r="XZ41"/>
  <c r="YC49" l="1"/>
  <c r="YD34" s="1"/>
  <c r="YC48"/>
  <c r="YD33" s="1"/>
  <c r="YA44"/>
  <c r="YB29" s="1"/>
  <c r="YA43"/>
  <c r="YB28" s="1"/>
  <c r="YC50"/>
  <c r="YC36"/>
  <c r="YB30"/>
  <c r="YB46" s="1"/>
  <c r="YA39"/>
  <c r="YA26"/>
  <c r="YA41" s="1"/>
  <c r="YB45" l="1"/>
  <c r="YC30" s="1"/>
  <c r="YB44"/>
  <c r="YC29" s="1"/>
  <c r="YA42"/>
  <c r="YB27" s="1"/>
  <c r="YB43" s="1"/>
  <c r="YD50"/>
  <c r="YD36"/>
  <c r="YD49"/>
  <c r="YE34" s="1"/>
  <c r="YB26"/>
  <c r="YC31"/>
  <c r="YC47" s="1"/>
  <c r="YA40"/>
  <c r="YB25" s="1"/>
  <c r="YB42" l="1"/>
  <c r="YC27" s="1"/>
  <c r="YE50"/>
  <c r="YE36"/>
  <c r="YC45"/>
  <c r="YD30" s="1"/>
  <c r="YC46"/>
  <c r="YD31" s="1"/>
  <c r="YC28"/>
  <c r="YC44" s="1"/>
  <c r="YD32"/>
  <c r="YD48" s="1"/>
  <c r="YB41"/>
  <c r="YB39"/>
  <c r="YB40"/>
  <c r="YC25" s="1"/>
  <c r="YD46" l="1"/>
  <c r="YE31" s="1"/>
  <c r="YC43"/>
  <c r="YD28" s="1"/>
  <c r="YD47"/>
  <c r="YE32" s="1"/>
  <c r="YE33"/>
  <c r="YE49" s="1"/>
  <c r="YD29"/>
  <c r="YD45" s="1"/>
  <c r="YC39"/>
  <c r="YC26"/>
  <c r="YC41" s="1"/>
  <c r="YE48" l="1"/>
  <c r="YF33" s="1"/>
  <c r="YC42"/>
  <c r="YD27" s="1"/>
  <c r="YD43" s="1"/>
  <c r="YD44"/>
  <c r="YE29" s="1"/>
  <c r="YE47"/>
  <c r="YF32" s="1"/>
  <c r="YD26"/>
  <c r="YF34"/>
  <c r="YE30"/>
  <c r="YE46" s="1"/>
  <c r="YC40"/>
  <c r="YD25" s="1"/>
  <c r="YF48" l="1"/>
  <c r="YG33" s="1"/>
  <c r="YF50"/>
  <c r="YF36"/>
  <c r="YE45"/>
  <c r="YF30" s="1"/>
  <c r="YF49"/>
  <c r="YG34" s="1"/>
  <c r="YD42"/>
  <c r="YE27" s="1"/>
  <c r="YF31"/>
  <c r="YF47" s="1"/>
  <c r="YE28"/>
  <c r="YE44" s="1"/>
  <c r="YD41"/>
  <c r="YD39"/>
  <c r="YD40"/>
  <c r="YE25" s="1"/>
  <c r="YF46" l="1"/>
  <c r="YG31" s="1"/>
  <c r="YG50"/>
  <c r="YG36"/>
  <c r="YG49"/>
  <c r="YH34" s="1"/>
  <c r="YE43"/>
  <c r="YF28" s="1"/>
  <c r="YG32"/>
  <c r="YG48" s="1"/>
  <c r="YF29"/>
  <c r="YF45" s="1"/>
  <c r="YE39"/>
  <c r="YE26"/>
  <c r="YE41" s="1"/>
  <c r="YE42" l="1"/>
  <c r="YF27" s="1"/>
  <c r="YF43" s="1"/>
  <c r="YF44"/>
  <c r="YG29" s="1"/>
  <c r="YG47"/>
  <c r="YH32" s="1"/>
  <c r="YH50"/>
  <c r="YH36"/>
  <c r="YE40"/>
  <c r="YF25" s="1"/>
  <c r="YF39" s="1"/>
  <c r="YG30"/>
  <c r="YG46" s="1"/>
  <c r="YF26"/>
  <c r="YH33"/>
  <c r="YH49" s="1"/>
  <c r="YG45" l="1"/>
  <c r="YH30" s="1"/>
  <c r="YF42"/>
  <c r="YG27" s="1"/>
  <c r="YH48"/>
  <c r="YI33" s="1"/>
  <c r="YG28"/>
  <c r="YG44" s="1"/>
  <c r="YI34"/>
  <c r="YH31"/>
  <c r="YH47" s="1"/>
  <c r="YF40"/>
  <c r="YG25" s="1"/>
  <c r="YF41"/>
  <c r="YG43" l="1"/>
  <c r="YH28" s="1"/>
  <c r="YI49"/>
  <c r="YJ34" s="1"/>
  <c r="YI50"/>
  <c r="YI36"/>
  <c r="YH46"/>
  <c r="YI31" s="1"/>
  <c r="YI32"/>
  <c r="YI48" s="1"/>
  <c r="YH29"/>
  <c r="YH45" s="1"/>
  <c r="YG26"/>
  <c r="YG42" s="1"/>
  <c r="YG39"/>
  <c r="YG40" l="1"/>
  <c r="YH25" s="1"/>
  <c r="YH39" s="1"/>
  <c r="YJ50"/>
  <c r="YJ36"/>
  <c r="YH44"/>
  <c r="YI29" s="1"/>
  <c r="YI47"/>
  <c r="YJ32" s="1"/>
  <c r="YH27"/>
  <c r="YH43" s="1"/>
  <c r="YI30"/>
  <c r="YI46" s="1"/>
  <c r="YJ33"/>
  <c r="YJ49" s="1"/>
  <c r="YG41"/>
  <c r="YJ48" l="1"/>
  <c r="YK33" s="1"/>
  <c r="YI45"/>
  <c r="YJ30" s="1"/>
  <c r="YK34"/>
  <c r="YJ31"/>
  <c r="YJ47" s="1"/>
  <c r="YI28"/>
  <c r="YI44" s="1"/>
  <c r="YH26"/>
  <c r="YK49" l="1"/>
  <c r="YL34" s="1"/>
  <c r="YK50"/>
  <c r="YK36"/>
  <c r="YJ46"/>
  <c r="YK31" s="1"/>
  <c r="YK32"/>
  <c r="YK48" s="1"/>
  <c r="YJ29"/>
  <c r="YJ45" s="1"/>
  <c r="YH41"/>
  <c r="YH40"/>
  <c r="YI25" s="1"/>
  <c r="YH42"/>
  <c r="YL50" l="1"/>
  <c r="YL36"/>
  <c r="YK47"/>
  <c r="YL32" s="1"/>
  <c r="YK30"/>
  <c r="YK46" s="1"/>
  <c r="YL33"/>
  <c r="YL49" s="1"/>
  <c r="YI39"/>
  <c r="YI27"/>
  <c r="YI43" s="1"/>
  <c r="YI26"/>
  <c r="YI41" l="1"/>
  <c r="YJ26" s="1"/>
  <c r="YI42"/>
  <c r="YJ27" s="1"/>
  <c r="YL48"/>
  <c r="YM33" s="1"/>
  <c r="YL31"/>
  <c r="YL47" s="1"/>
  <c r="YM34"/>
  <c r="YJ28"/>
  <c r="YJ44" s="1"/>
  <c r="YI40"/>
  <c r="YJ25" s="1"/>
  <c r="YJ43" l="1"/>
  <c r="YK28" s="1"/>
  <c r="YJ42"/>
  <c r="YK27" s="1"/>
  <c r="YM49"/>
  <c r="YN34" s="1"/>
  <c r="YM50"/>
  <c r="YM36"/>
  <c r="YK29"/>
  <c r="YK45" s="1"/>
  <c r="YM32"/>
  <c r="YM48" s="1"/>
  <c r="YJ41"/>
  <c r="YJ39"/>
  <c r="YJ40"/>
  <c r="YK25" s="1"/>
  <c r="YK44" l="1"/>
  <c r="YL29" s="1"/>
  <c r="YN50"/>
  <c r="YN36"/>
  <c r="YK43"/>
  <c r="YL28" s="1"/>
  <c r="YN33"/>
  <c r="YN49" s="1"/>
  <c r="YL30"/>
  <c r="YL46" s="1"/>
  <c r="YK39"/>
  <c r="YK26"/>
  <c r="YK41" s="1"/>
  <c r="YK42" l="1"/>
  <c r="YL27" s="1"/>
  <c r="YL43" s="1"/>
  <c r="YL44"/>
  <c r="YM29" s="1"/>
  <c r="YL45"/>
  <c r="YM30" s="1"/>
  <c r="YM31"/>
  <c r="YM47" s="1"/>
  <c r="YL26"/>
  <c r="YO34"/>
  <c r="YK40"/>
  <c r="YL25" s="1"/>
  <c r="YM46" l="1"/>
  <c r="YN31" s="1"/>
  <c r="YO50"/>
  <c r="YO36"/>
  <c r="YM45"/>
  <c r="YN30" s="1"/>
  <c r="YL42"/>
  <c r="YM27" s="1"/>
  <c r="YM28"/>
  <c r="YM44" s="1"/>
  <c r="YN32"/>
  <c r="YN48" s="1"/>
  <c r="YL41"/>
  <c r="YL39"/>
  <c r="YL40"/>
  <c r="YM25" s="1"/>
  <c r="YM43" l="1"/>
  <c r="YN28" s="1"/>
  <c r="YN46"/>
  <c r="YO31" s="1"/>
  <c r="YN47"/>
  <c r="YO32" s="1"/>
  <c r="YO33"/>
  <c r="YO49" s="1"/>
  <c r="YN29"/>
  <c r="YN45" s="1"/>
  <c r="YM39"/>
  <c r="YM26"/>
  <c r="YM41" s="1"/>
  <c r="YM40" l="1"/>
  <c r="YN25" s="1"/>
  <c r="YN44"/>
  <c r="YO29" s="1"/>
  <c r="YM42"/>
  <c r="YN27" s="1"/>
  <c r="YN43" s="1"/>
  <c r="YO48"/>
  <c r="YP33" s="1"/>
  <c r="YO47"/>
  <c r="YP32" s="1"/>
  <c r="YN26"/>
  <c r="YO30"/>
  <c r="YO46" s="1"/>
  <c r="YP34"/>
  <c r="YN39"/>
  <c r="YN40" l="1"/>
  <c r="YO25" s="1"/>
  <c r="YO39" s="1"/>
  <c r="YO45"/>
  <c r="YP30" s="1"/>
  <c r="YP48"/>
  <c r="YQ33" s="1"/>
  <c r="YP50"/>
  <c r="YP36"/>
  <c r="YN42"/>
  <c r="YO27" s="1"/>
  <c r="YP49"/>
  <c r="YQ34" s="1"/>
  <c r="YP31"/>
  <c r="YP47" s="1"/>
  <c r="YO28"/>
  <c r="YO44" s="1"/>
  <c r="YN41"/>
  <c r="YQ50" l="1"/>
  <c r="YQ36"/>
  <c r="YO43"/>
  <c r="YP28" s="1"/>
  <c r="YQ49"/>
  <c r="YR34" s="1"/>
  <c r="YP46"/>
  <c r="YQ31" s="1"/>
  <c r="YP29"/>
  <c r="YP45" s="1"/>
  <c r="YQ32"/>
  <c r="YQ48" s="1"/>
  <c r="YO26"/>
  <c r="YQ47" l="1"/>
  <c r="YR32" s="1"/>
  <c r="YP44"/>
  <c r="YQ29" s="1"/>
  <c r="YR50"/>
  <c r="YR36"/>
  <c r="YR33"/>
  <c r="YR49" s="1"/>
  <c r="YQ30"/>
  <c r="YQ46" s="1"/>
  <c r="YO40"/>
  <c r="YP25" s="1"/>
  <c r="YO41"/>
  <c r="YO42"/>
  <c r="YR48" l="1"/>
  <c r="YS33" s="1"/>
  <c r="YQ45"/>
  <c r="YR30" s="1"/>
  <c r="YR31"/>
  <c r="YR47" s="1"/>
  <c r="YS34"/>
  <c r="YP26"/>
  <c r="YP27"/>
  <c r="YP43" s="1"/>
  <c r="YP39"/>
  <c r="YR46" l="1"/>
  <c r="YS31" s="1"/>
  <c r="YP41"/>
  <c r="YQ26" s="1"/>
  <c r="YP42"/>
  <c r="YQ27" s="1"/>
  <c r="YS50"/>
  <c r="YS36"/>
  <c r="YS49"/>
  <c r="YT34" s="1"/>
  <c r="YQ28"/>
  <c r="YQ44" s="1"/>
  <c r="YS32"/>
  <c r="YS48" s="1"/>
  <c r="YP40"/>
  <c r="YQ25" s="1"/>
  <c r="YT50" l="1"/>
  <c r="YT36"/>
  <c r="YQ43"/>
  <c r="YR28" s="1"/>
  <c r="YQ42"/>
  <c r="YR27" s="1"/>
  <c r="YS47"/>
  <c r="YT32" s="1"/>
  <c r="YT33"/>
  <c r="YT49" s="1"/>
  <c r="YR29"/>
  <c r="YR45" s="1"/>
  <c r="YQ41"/>
  <c r="YQ39"/>
  <c r="YQ40"/>
  <c r="YR25" s="1"/>
  <c r="YR43" l="1"/>
  <c r="YS28" s="1"/>
  <c r="YR44"/>
  <c r="YS29" s="1"/>
  <c r="YT48"/>
  <c r="YU33" s="1"/>
  <c r="YS30"/>
  <c r="YS46" s="1"/>
  <c r="YU34"/>
  <c r="YR39"/>
  <c r="YR26"/>
  <c r="YR41" s="1"/>
  <c r="YR42" l="1"/>
  <c r="YS45"/>
  <c r="YT30" s="1"/>
  <c r="YU50"/>
  <c r="YU36"/>
  <c r="YS44"/>
  <c r="YT29" s="1"/>
  <c r="YU49"/>
  <c r="YV34" s="1"/>
  <c r="YS26"/>
  <c r="YT31"/>
  <c r="YT47" s="1"/>
  <c r="YS27"/>
  <c r="YS43" s="1"/>
  <c r="YR40"/>
  <c r="YS25" s="1"/>
  <c r="YV50" l="1"/>
  <c r="YV36"/>
  <c r="YT46"/>
  <c r="YU31" s="1"/>
  <c r="YT45"/>
  <c r="YU30" s="1"/>
  <c r="YS42"/>
  <c r="YT27" s="1"/>
  <c r="YT28"/>
  <c r="YT44" s="1"/>
  <c r="YU32"/>
  <c r="YU48" s="1"/>
  <c r="YS41"/>
  <c r="YS39"/>
  <c r="YS40"/>
  <c r="YT25" s="1"/>
  <c r="YU47" l="1"/>
  <c r="YV32" s="1"/>
  <c r="YT43"/>
  <c r="YU28" s="1"/>
  <c r="YU46"/>
  <c r="YV31" s="1"/>
  <c r="YV33"/>
  <c r="YV49" s="1"/>
  <c r="YU29"/>
  <c r="YU45" s="1"/>
  <c r="YT39"/>
  <c r="YT26"/>
  <c r="YT41" s="1"/>
  <c r="YT42" l="1"/>
  <c r="YU27" s="1"/>
  <c r="YU43" s="1"/>
  <c r="YV48"/>
  <c r="YW33" s="1"/>
  <c r="YT40"/>
  <c r="YU25" s="1"/>
  <c r="YU39" s="1"/>
  <c r="YU44"/>
  <c r="YV29" s="1"/>
  <c r="YV47"/>
  <c r="YW32" s="1"/>
  <c r="YW34"/>
  <c r="YU26"/>
  <c r="YV30"/>
  <c r="YV46" s="1"/>
  <c r="YW48" l="1"/>
  <c r="YX33" s="1"/>
  <c r="YU40"/>
  <c r="YV25" s="1"/>
  <c r="YV39" s="1"/>
  <c r="YW50"/>
  <c r="YW36"/>
  <c r="YV45"/>
  <c r="YW30" s="1"/>
  <c r="YU42"/>
  <c r="YV27" s="1"/>
  <c r="YW49"/>
  <c r="YW31"/>
  <c r="YW47" s="1"/>
  <c r="YV28"/>
  <c r="YV44" s="1"/>
  <c r="YX34"/>
  <c r="YU41"/>
  <c r="YW46" l="1"/>
  <c r="YX31" s="1"/>
  <c r="YX49"/>
  <c r="YY34" s="1"/>
  <c r="YV43"/>
  <c r="YW28" s="1"/>
  <c r="YX50"/>
  <c r="YX36"/>
  <c r="YX32"/>
  <c r="YX48" s="1"/>
  <c r="YW29"/>
  <c r="YW45" s="1"/>
  <c r="YV26"/>
  <c r="YY50" l="1"/>
  <c r="YY36"/>
  <c r="YW44"/>
  <c r="YX29" s="1"/>
  <c r="YX47"/>
  <c r="YY32" s="1"/>
  <c r="YX30"/>
  <c r="YX46" s="1"/>
  <c r="YY33"/>
  <c r="YY49" s="1"/>
  <c r="YV41"/>
  <c r="YV40"/>
  <c r="YW25" s="1"/>
  <c r="YV42"/>
  <c r="YX45" l="1"/>
  <c r="YY30" s="1"/>
  <c r="YY48"/>
  <c r="YZ33" s="1"/>
  <c r="YZ34"/>
  <c r="YY31"/>
  <c r="YY47" s="1"/>
  <c r="YW39"/>
  <c r="YW27"/>
  <c r="YW43" s="1"/>
  <c r="YW26"/>
  <c r="YW40" s="1"/>
  <c r="YX25" s="1"/>
  <c r="YZ50" l="1"/>
  <c r="YZ36"/>
  <c r="YW42"/>
  <c r="YX27" s="1"/>
  <c r="YW41"/>
  <c r="YX26" s="1"/>
  <c r="YY46"/>
  <c r="YZ31" s="1"/>
  <c r="YZ49"/>
  <c r="ZA34" s="1"/>
  <c r="ZA36" s="1"/>
  <c r="YX39"/>
  <c r="YZ32"/>
  <c r="YZ48" s="1"/>
  <c r="YX28"/>
  <c r="YX44" s="1"/>
  <c r="YX41" l="1"/>
  <c r="YY26" s="1"/>
  <c r="YX43"/>
  <c r="YY28" s="1"/>
  <c r="YZ47"/>
  <c r="ZA32" s="1"/>
  <c r="YX40"/>
  <c r="YY25" s="1"/>
  <c r="YY39" s="1"/>
  <c r="YX42"/>
  <c r="YY27" s="1"/>
  <c r="ZA50"/>
  <c r="YY29"/>
  <c r="YY45" s="1"/>
  <c r="ZA33"/>
  <c r="ZA49" s="1"/>
  <c r="YY44" l="1"/>
  <c r="YZ29" s="1"/>
  <c r="YY43"/>
  <c r="YZ28" s="1"/>
  <c r="YY41"/>
  <c r="YZ26" s="1"/>
  <c r="ZA48"/>
  <c r="ZB33" s="1"/>
  <c r="YY42"/>
  <c r="YZ27" s="1"/>
  <c r="ZB34"/>
  <c r="YZ30"/>
  <c r="YZ46" s="1"/>
  <c r="YY40"/>
  <c r="YZ25" s="1"/>
  <c r="ZB49" l="1"/>
  <c r="ZC34" s="1"/>
  <c r="YZ43"/>
  <c r="ZA28" s="1"/>
  <c r="YZ45"/>
  <c r="ZA30" s="1"/>
  <c r="YZ42"/>
  <c r="ZA27" s="1"/>
  <c r="ZB50"/>
  <c r="ZB36"/>
  <c r="YZ44"/>
  <c r="ZA29" s="1"/>
  <c r="ZA31"/>
  <c r="ZA47" s="1"/>
  <c r="YZ39"/>
  <c r="YZ40"/>
  <c r="ZA25" s="1"/>
  <c r="YZ41"/>
  <c r="ZA46" l="1"/>
  <c r="ZB31" s="1"/>
  <c r="ZC50"/>
  <c r="ZC36"/>
  <c r="ZA44"/>
  <c r="ZB29" s="1"/>
  <c r="ZA45"/>
  <c r="ZB30" s="1"/>
  <c r="ZA43"/>
  <c r="ZB28" s="1"/>
  <c r="ZB32"/>
  <c r="ZB48" s="1"/>
  <c r="ZA39"/>
  <c r="ZA26"/>
  <c r="ZA41" s="1"/>
  <c r="ZB45" l="1"/>
  <c r="ZC30" s="1"/>
  <c r="ZA42"/>
  <c r="ZB27" s="1"/>
  <c r="ZB43" s="1"/>
  <c r="ZB46"/>
  <c r="ZC31" s="1"/>
  <c r="ZB47"/>
  <c r="ZC32" s="1"/>
  <c r="ZB44"/>
  <c r="ZC29" s="1"/>
  <c r="ZB26"/>
  <c r="ZC33"/>
  <c r="ZC49" s="1"/>
  <c r="ZA40"/>
  <c r="ZB25" s="1"/>
  <c r="ZC48" l="1"/>
  <c r="ZD33" s="1"/>
  <c r="ZC45"/>
  <c r="ZD30" s="1"/>
  <c r="ZC47"/>
  <c r="ZD32" s="1"/>
  <c r="ZC46"/>
  <c r="ZD31" s="1"/>
  <c r="ZB42"/>
  <c r="ZC27" s="1"/>
  <c r="ZC43" s="1"/>
  <c r="ZC28"/>
  <c r="ZC44" s="1"/>
  <c r="ZD34"/>
  <c r="ZB39"/>
  <c r="ZB40"/>
  <c r="ZC25" s="1"/>
  <c r="ZB41"/>
  <c r="ZD47" l="1"/>
  <c r="ZE32" s="1"/>
  <c r="ZD49"/>
  <c r="ZE34" s="1"/>
  <c r="ZD48"/>
  <c r="ZE33" s="1"/>
  <c r="ZD46"/>
  <c r="ZE31" s="1"/>
  <c r="ZD50"/>
  <c r="ZD36"/>
  <c r="ZD29"/>
  <c r="ZD45" s="1"/>
  <c r="ZD28"/>
  <c r="ZC39"/>
  <c r="ZC26"/>
  <c r="ZC41" s="1"/>
  <c r="ZD44" l="1"/>
  <c r="ZE29" s="1"/>
  <c r="ZC42"/>
  <c r="ZD27" s="1"/>
  <c r="ZD43" s="1"/>
  <c r="ZE49"/>
  <c r="ZF34" s="1"/>
  <c r="ZE50"/>
  <c r="ZE36"/>
  <c r="ZE47"/>
  <c r="ZF32" s="1"/>
  <c r="ZC40"/>
  <c r="ZD25" s="1"/>
  <c r="ZD39" s="1"/>
  <c r="ZE48"/>
  <c r="ZF33" s="1"/>
  <c r="ZD26"/>
  <c r="ZE30"/>
  <c r="ZE46" s="1"/>
  <c r="ZE45" l="1"/>
  <c r="ZF30" s="1"/>
  <c r="ZD42"/>
  <c r="ZE27" s="1"/>
  <c r="ZD41"/>
  <c r="ZE26" s="1"/>
  <c r="ZF36"/>
  <c r="ZF50"/>
  <c r="ZF48"/>
  <c r="ZG33" s="1"/>
  <c r="ZF49"/>
  <c r="ZG34" s="1"/>
  <c r="ZD40"/>
  <c r="ZE25" s="1"/>
  <c r="ZE39" s="1"/>
  <c r="ZE28"/>
  <c r="ZE44" s="1"/>
  <c r="ZF31"/>
  <c r="ZF47" s="1"/>
  <c r="ZE40" l="1"/>
  <c r="ZF25" s="1"/>
  <c r="ZF39" s="1"/>
  <c r="ZE43"/>
  <c r="ZF28" s="1"/>
  <c r="ZG49"/>
  <c r="ZH34" s="1"/>
  <c r="ZG50"/>
  <c r="ZG36"/>
  <c r="ZF46"/>
  <c r="ZG31" s="1"/>
  <c r="ZG32"/>
  <c r="ZG48" s="1"/>
  <c r="ZF29"/>
  <c r="ZF45" s="1"/>
  <c r="ZE41"/>
  <c r="ZE42"/>
  <c r="ZG47" l="1"/>
  <c r="ZH32" s="1"/>
  <c r="ZF44"/>
  <c r="ZG29" s="1"/>
  <c r="ZH50"/>
  <c r="ZH36"/>
  <c r="ZH33"/>
  <c r="ZH49" s="1"/>
  <c r="ZF26"/>
  <c r="ZG30"/>
  <c r="ZG46" s="1"/>
  <c r="ZF27"/>
  <c r="ZF43" s="1"/>
  <c r="ZH48" l="1"/>
  <c r="ZI33" s="1"/>
  <c r="ZG45"/>
  <c r="ZH30" s="1"/>
  <c r="ZG28"/>
  <c r="ZG44" s="1"/>
  <c r="ZH31"/>
  <c r="ZH47" s="1"/>
  <c r="ZI34"/>
  <c r="ZF41"/>
  <c r="ZF40"/>
  <c r="ZG25" s="1"/>
  <c r="ZF42"/>
  <c r="ZH46" l="1"/>
  <c r="ZI31" s="1"/>
  <c r="ZI50"/>
  <c r="ZI36"/>
  <c r="ZI49"/>
  <c r="ZJ34" s="1"/>
  <c r="ZH29"/>
  <c r="ZH45" s="1"/>
  <c r="ZI32"/>
  <c r="ZI48" s="1"/>
  <c r="ZG39"/>
  <c r="ZG27"/>
  <c r="ZG43" s="1"/>
  <c r="ZG26"/>
  <c r="ZG41" l="1"/>
  <c r="ZH26" s="1"/>
  <c r="ZJ50"/>
  <c r="ZJ36"/>
  <c r="ZG42"/>
  <c r="ZH27" s="1"/>
  <c r="ZI47"/>
  <c r="ZJ32" s="1"/>
  <c r="ZJ33"/>
  <c r="ZJ49" s="1"/>
  <c r="ZI30"/>
  <c r="ZI46" s="1"/>
  <c r="ZH28"/>
  <c r="ZH44" s="1"/>
  <c r="ZG40"/>
  <c r="ZH25" s="1"/>
  <c r="ZJ48" l="1"/>
  <c r="ZK33" s="1"/>
  <c r="ZH43"/>
  <c r="ZI28" s="1"/>
  <c r="ZH42"/>
  <c r="ZI27" s="1"/>
  <c r="ZH40"/>
  <c r="ZI25" s="1"/>
  <c r="ZH41"/>
  <c r="ZH39"/>
  <c r="ZI29"/>
  <c r="ZI45" s="1"/>
  <c r="ZJ31"/>
  <c r="ZJ47" s="1"/>
  <c r="ZK34"/>
  <c r="ZK36" s="1"/>
  <c r="ZK49" l="1"/>
  <c r="ZL34" s="1"/>
  <c r="ZI44"/>
  <c r="ZJ29" s="1"/>
  <c r="ZK50"/>
  <c r="ZI43"/>
  <c r="ZJ28" s="1"/>
  <c r="ZJ30"/>
  <c r="ZJ46" s="1"/>
  <c r="ZI39"/>
  <c r="ZK32"/>
  <c r="ZK48" s="1"/>
  <c r="ZI26"/>
  <c r="ZI41" s="1"/>
  <c r="ZI42" l="1"/>
  <c r="ZJ27" s="1"/>
  <c r="ZJ43" s="1"/>
  <c r="ZL50"/>
  <c r="ZL36"/>
  <c r="ZJ44"/>
  <c r="ZK29" s="1"/>
  <c r="ZJ45"/>
  <c r="ZK30" s="1"/>
  <c r="ZK31"/>
  <c r="ZK47" s="1"/>
  <c r="ZJ26"/>
  <c r="ZL33"/>
  <c r="ZL49" s="1"/>
  <c r="ZI40"/>
  <c r="ZJ25" s="1"/>
  <c r="ZK46" l="1"/>
  <c r="ZL31" s="1"/>
  <c r="ZK45"/>
  <c r="ZL30" s="1"/>
  <c r="ZJ42"/>
  <c r="ZK27" s="1"/>
  <c r="ZM34"/>
  <c r="ZL32"/>
  <c r="ZL48" s="1"/>
  <c r="ZK28"/>
  <c r="ZK44" s="1"/>
  <c r="ZJ40"/>
  <c r="ZK25" s="1"/>
  <c r="ZJ41"/>
  <c r="ZJ39"/>
  <c r="ZL46" l="1"/>
  <c r="ZM31" s="1"/>
  <c r="ZK43"/>
  <c r="ZL28" s="1"/>
  <c r="ZM50"/>
  <c r="ZM36"/>
  <c r="ZL47"/>
  <c r="ZM32" s="1"/>
  <c r="ZL29"/>
  <c r="ZL45" s="1"/>
  <c r="ZM33"/>
  <c r="ZM49" s="1"/>
  <c r="ZK39"/>
  <c r="ZK26"/>
  <c r="ZK40" s="1"/>
  <c r="ZL25" s="1"/>
  <c r="ZM48" l="1"/>
  <c r="ZN33" s="1"/>
  <c r="ZK42"/>
  <c r="ZL27" s="1"/>
  <c r="ZL43" s="1"/>
  <c r="ZM47"/>
  <c r="ZN32" s="1"/>
  <c r="ZL44"/>
  <c r="ZM29" s="1"/>
  <c r="ZL39"/>
  <c r="ZN34"/>
  <c r="ZN36" s="1"/>
  <c r="ZM30"/>
  <c r="ZM46" s="1"/>
  <c r="ZK41"/>
  <c r="ZN49" l="1"/>
  <c r="ZO34" s="1"/>
  <c r="ZN48"/>
  <c r="ZO33" s="1"/>
  <c r="ZN50"/>
  <c r="ZM45"/>
  <c r="ZN30" s="1"/>
  <c r="ZM28"/>
  <c r="ZM44" s="1"/>
  <c r="ZN31"/>
  <c r="ZN47" s="1"/>
  <c r="ZL26"/>
  <c r="ZN46" l="1"/>
  <c r="ZO31" s="1"/>
  <c r="ZO49"/>
  <c r="ZP34" s="1"/>
  <c r="ZP36" s="1"/>
  <c r="ZO50"/>
  <c r="ZO36"/>
  <c r="ZO32"/>
  <c r="ZO48" s="1"/>
  <c r="ZN29"/>
  <c r="ZN45" s="1"/>
  <c r="ZL41"/>
  <c r="ZL40"/>
  <c r="ZM25" s="1"/>
  <c r="ZL42"/>
  <c r="ZO47" l="1"/>
  <c r="ZP32" s="1"/>
  <c r="ZP50"/>
  <c r="ZM26"/>
  <c r="ZM27"/>
  <c r="ZM43" s="1"/>
  <c r="ZO30"/>
  <c r="ZO46" s="1"/>
  <c r="ZP33"/>
  <c r="ZP49" s="1"/>
  <c r="ZM39"/>
  <c r="ZM41" l="1"/>
  <c r="ZN26" s="1"/>
  <c r="ZP48"/>
  <c r="ZQ33" s="1"/>
  <c r="ZM42"/>
  <c r="ZN27" s="1"/>
  <c r="ZM40"/>
  <c r="ZN25" s="1"/>
  <c r="ZN39" s="1"/>
  <c r="ZQ34"/>
  <c r="ZP31"/>
  <c r="ZP47" s="1"/>
  <c r="ZN28"/>
  <c r="ZN44" s="1"/>
  <c r="ZN43" l="1"/>
  <c r="ZO28" s="1"/>
  <c r="ZQ50"/>
  <c r="ZQ36"/>
  <c r="ZN41"/>
  <c r="ZO26" s="1"/>
  <c r="ZQ49"/>
  <c r="ZR34" s="1"/>
  <c r="ZQ32"/>
  <c r="ZQ48" s="1"/>
  <c r="ZO29"/>
  <c r="ZO45" s="1"/>
  <c r="ZN40"/>
  <c r="ZO25" s="1"/>
  <c r="ZN42"/>
  <c r="ZO44" l="1"/>
  <c r="ZP29" s="1"/>
  <c r="ZR50"/>
  <c r="ZR36"/>
  <c r="ZP30"/>
  <c r="ZP46" s="1"/>
  <c r="ZR33"/>
  <c r="ZR49" s="1"/>
  <c r="ZO40"/>
  <c r="ZP25" s="1"/>
  <c r="ZO39"/>
  <c r="ZO27"/>
  <c r="ZO42" s="1"/>
  <c r="ZO43" l="1"/>
  <c r="ZP28" s="1"/>
  <c r="ZP44" s="1"/>
  <c r="ZO41"/>
  <c r="ZP26" s="1"/>
  <c r="ZP45"/>
  <c r="ZQ30" s="1"/>
  <c r="ZS34"/>
  <c r="ZP27"/>
  <c r="ZQ31"/>
  <c r="ZQ47" s="1"/>
  <c r="ZP39"/>
  <c r="ZQ46" l="1"/>
  <c r="ZR31" s="1"/>
  <c r="ZP43"/>
  <c r="ZQ28" s="1"/>
  <c r="ZP42"/>
  <c r="ZQ27" s="1"/>
  <c r="ZP40"/>
  <c r="ZQ25" s="1"/>
  <c r="ZQ39" s="1"/>
  <c r="ZP41"/>
  <c r="ZQ26" s="1"/>
  <c r="ZS50"/>
  <c r="ZS36"/>
  <c r="ZQ29"/>
  <c r="ZQ45" s="1"/>
  <c r="ZR32"/>
  <c r="ZR48" s="1"/>
  <c r="ZQ43" l="1"/>
  <c r="ZR28" s="1"/>
  <c r="ZQ44"/>
  <c r="ZR29" s="1"/>
  <c r="ZR47"/>
  <c r="ZS32" s="1"/>
  <c r="ZQ41"/>
  <c r="ZR26" s="1"/>
  <c r="ZS33"/>
  <c r="ZS49" s="1"/>
  <c r="ZR30"/>
  <c r="ZR46" s="1"/>
  <c r="ZQ40"/>
  <c r="ZR25" s="1"/>
  <c r="ZQ42"/>
  <c r="ZR45" l="1"/>
  <c r="ZS30" s="1"/>
  <c r="ZR44"/>
  <c r="ZS29" s="1"/>
  <c r="ZS48"/>
  <c r="ZT33" s="1"/>
  <c r="ZT34"/>
  <c r="ZS31"/>
  <c r="ZS47" s="1"/>
  <c r="ZR40"/>
  <c r="ZS25" s="1"/>
  <c r="ZR39"/>
  <c r="ZR27"/>
  <c r="ZR42" s="1"/>
  <c r="ZR43" l="1"/>
  <c r="ZS28" s="1"/>
  <c r="ZS44" s="1"/>
  <c r="ZR41"/>
  <c r="ZS26" s="1"/>
  <c r="ZS45"/>
  <c r="ZT30" s="1"/>
  <c r="ZT50"/>
  <c r="ZT36"/>
  <c r="ZS46"/>
  <c r="ZT31" s="1"/>
  <c r="ZT32"/>
  <c r="ZT48" s="1"/>
  <c r="ZS27"/>
  <c r="ZS39"/>
  <c r="ZT49"/>
  <c r="ZS43" l="1"/>
  <c r="ZT28" s="1"/>
  <c r="ZS42"/>
  <c r="ZT27" s="1"/>
  <c r="ZT47"/>
  <c r="ZU32" s="1"/>
  <c r="ZS40"/>
  <c r="ZT25" s="1"/>
  <c r="ZT39" s="1"/>
  <c r="ZS41"/>
  <c r="ZT26" s="1"/>
  <c r="ZT46"/>
  <c r="ZU31" s="1"/>
  <c r="ZT29"/>
  <c r="ZT45" s="1"/>
  <c r="ZU33"/>
  <c r="ZU34"/>
  <c r="ZU49" l="1"/>
  <c r="ZV34" s="1"/>
  <c r="ZT43"/>
  <c r="ZU28" s="1"/>
  <c r="ZU50"/>
  <c r="ZU36"/>
  <c r="ZT42"/>
  <c r="ZU27" s="1"/>
  <c r="ZU47"/>
  <c r="ZV32" s="1"/>
  <c r="ZT40"/>
  <c r="ZU25" s="1"/>
  <c r="ZU39" s="1"/>
  <c r="ZT44"/>
  <c r="ZU29" s="1"/>
  <c r="ZU48"/>
  <c r="ZV33" s="1"/>
  <c r="ZU30"/>
  <c r="ZU46" s="1"/>
  <c r="ZT41"/>
  <c r="ZV48" l="1"/>
  <c r="ZW33" s="1"/>
  <c r="ZV49"/>
  <c r="ZW34" s="1"/>
  <c r="ZU45"/>
  <c r="ZV30" s="1"/>
  <c r="ZV50"/>
  <c r="ZV36"/>
  <c r="ZU43"/>
  <c r="ZV28" s="1"/>
  <c r="ZU44"/>
  <c r="ZV29" s="1"/>
  <c r="ZV31"/>
  <c r="ZV47" s="1"/>
  <c r="ZU26"/>
  <c r="ZU42" s="1"/>
  <c r="ZV45" l="1"/>
  <c r="ZW30" s="1"/>
  <c r="ZW50"/>
  <c r="ZW36"/>
  <c r="ZV46"/>
  <c r="ZW31" s="1"/>
  <c r="ZW49"/>
  <c r="ZX34" s="1"/>
  <c r="ZV44"/>
  <c r="ZW29" s="1"/>
  <c r="ZW32"/>
  <c r="ZW48" s="1"/>
  <c r="ZV27"/>
  <c r="ZV43" s="1"/>
  <c r="ZU41"/>
  <c r="ZU40"/>
  <c r="ZV25" s="1"/>
  <c r="ZW47" l="1"/>
  <c r="ZX32" s="1"/>
  <c r="ZX50"/>
  <c r="ZX36"/>
  <c r="ZW45"/>
  <c r="ZX30" s="1"/>
  <c r="ZW46"/>
  <c r="ZX31" s="1"/>
  <c r="ZW28"/>
  <c r="ZW44" s="1"/>
  <c r="ZX33"/>
  <c r="ZX49" s="1"/>
  <c r="ZV39"/>
  <c r="ZV26"/>
  <c r="ZV41" s="1"/>
  <c r="ZV42" l="1"/>
  <c r="ZX47"/>
  <c r="ZY32" s="1"/>
  <c r="ZX48"/>
  <c r="ZY33" s="1"/>
  <c r="ZV40"/>
  <c r="ZW25" s="1"/>
  <c r="ZW39" s="1"/>
  <c r="ZX46"/>
  <c r="ZY31" s="1"/>
  <c r="ZX29"/>
  <c r="ZX45" s="1"/>
  <c r="ZW26"/>
  <c r="ZY34"/>
  <c r="ZW27"/>
  <c r="ZW43" s="1"/>
  <c r="ZY47" l="1"/>
  <c r="ZZ32" s="1"/>
  <c r="ZY48"/>
  <c r="ZZ33" s="1"/>
  <c r="ZW42"/>
  <c r="ZX27" s="1"/>
  <c r="ZY49"/>
  <c r="ZZ34" s="1"/>
  <c r="ZY50"/>
  <c r="ZY36"/>
  <c r="ZX28"/>
  <c r="ZX44" s="1"/>
  <c r="ZY30"/>
  <c r="ZY46" s="1"/>
  <c r="ZW40"/>
  <c r="ZX25" s="1"/>
  <c r="ZW41"/>
  <c r="ZX43" l="1"/>
  <c r="ZY28" s="1"/>
  <c r="ZZ48"/>
  <c r="AAA33" s="1"/>
  <c r="ZZ50"/>
  <c r="ZZ36"/>
  <c r="ZZ49"/>
  <c r="AAA34" s="1"/>
  <c r="ZZ31"/>
  <c r="ZZ47" s="1"/>
  <c r="ZY29"/>
  <c r="ZY45" s="1"/>
  <c r="ZX26"/>
  <c r="ZX42" s="1"/>
  <c r="ZX39"/>
  <c r="ZX40" l="1"/>
  <c r="ZY25" s="1"/>
  <c r="ZY39" s="1"/>
  <c r="AAA49"/>
  <c r="AAB34" s="1"/>
  <c r="AAA50"/>
  <c r="AAA36"/>
  <c r="ZY44"/>
  <c r="ZZ29" s="1"/>
  <c r="ZY27"/>
  <c r="ZY43" s="1"/>
  <c r="ZZ30"/>
  <c r="ZZ46" s="1"/>
  <c r="AAA32"/>
  <c r="AAA48" s="1"/>
  <c r="ZX41"/>
  <c r="AAB50" l="1"/>
  <c r="AAB36"/>
  <c r="ZZ45"/>
  <c r="AAA30" s="1"/>
  <c r="AAB33"/>
  <c r="AAB49" s="1"/>
  <c r="AAA31"/>
  <c r="AAA47" s="1"/>
  <c r="ZZ28"/>
  <c r="ZZ44" s="1"/>
  <c r="ZY26"/>
  <c r="AAA46" l="1"/>
  <c r="AAB31" s="1"/>
  <c r="AAA29"/>
  <c r="AAA45" s="1"/>
  <c r="AAC34"/>
  <c r="AAB32"/>
  <c r="AAB48" s="1"/>
  <c r="ZY41"/>
  <c r="ZY40"/>
  <c r="ZZ25" s="1"/>
  <c r="ZY42"/>
  <c r="AAC50" l="1"/>
  <c r="AAC36"/>
  <c r="AAB47"/>
  <c r="AAC32" s="1"/>
  <c r="AAC33"/>
  <c r="AAC49" s="1"/>
  <c r="AAB30"/>
  <c r="AAB46" s="1"/>
  <c r="ZZ39"/>
  <c r="ZZ27"/>
  <c r="ZZ43" s="1"/>
  <c r="ZZ26"/>
  <c r="ZZ40" s="1"/>
  <c r="AAA25" s="1"/>
  <c r="ZZ42" l="1"/>
  <c r="AAA27" s="1"/>
  <c r="AAC48"/>
  <c r="AAD33" s="1"/>
  <c r="ZZ41"/>
  <c r="AAA26" s="1"/>
  <c r="AAA40" s="1"/>
  <c r="AAB25" s="1"/>
  <c r="AAD34"/>
  <c r="AAA39"/>
  <c r="AAC31"/>
  <c r="AAC47" s="1"/>
  <c r="AAA28"/>
  <c r="AAA43" l="1"/>
  <c r="AAB28" s="1"/>
  <c r="AAA42"/>
  <c r="AAB27" s="1"/>
  <c r="AAA44"/>
  <c r="AAB29" s="1"/>
  <c r="AAA41"/>
  <c r="AAB26" s="1"/>
  <c r="AAB40" s="1"/>
  <c r="AAC25" s="1"/>
  <c r="AAD50"/>
  <c r="AAD36"/>
  <c r="AAB39"/>
  <c r="AAD32"/>
  <c r="AAD48" s="1"/>
  <c r="AAD49"/>
  <c r="AAB42" l="1"/>
  <c r="AAC27" s="1"/>
  <c r="AAB41"/>
  <c r="AAC26" s="1"/>
  <c r="AAB43"/>
  <c r="AAC28" s="1"/>
  <c r="AAC39"/>
  <c r="AAE33"/>
  <c r="AAB44"/>
  <c r="AAB45"/>
  <c r="AAE34"/>
  <c r="AAE36" s="1"/>
  <c r="AAE50" l="1"/>
  <c r="AAE49"/>
  <c r="AAF34" s="1"/>
  <c r="AAC40"/>
  <c r="AAD25" s="1"/>
  <c r="AAD39" s="1"/>
  <c r="AAC41"/>
  <c r="AAD26" s="1"/>
  <c r="AAC42"/>
  <c r="AAD27" s="1"/>
  <c r="AAC30"/>
  <c r="AAC29"/>
  <c r="AAC43" s="1"/>
  <c r="AAD40" l="1"/>
  <c r="AAE25" s="1"/>
  <c r="AAE39" s="1"/>
  <c r="AAC45"/>
  <c r="AAD30" s="1"/>
  <c r="AAF50"/>
  <c r="AAF36"/>
  <c r="AAC44"/>
  <c r="AAD29" s="1"/>
  <c r="AAD28"/>
  <c r="AAD41"/>
  <c r="AAC46"/>
  <c r="AAD43" l="1"/>
  <c r="AAE28" s="1"/>
  <c r="AAD44"/>
  <c r="AAE29" s="1"/>
  <c r="AAD42"/>
  <c r="AAE27" s="1"/>
  <c r="AAD31"/>
  <c r="AAE26"/>
  <c r="AAE43" l="1"/>
  <c r="AAF28" s="1"/>
  <c r="AAE41"/>
  <c r="AAE40"/>
  <c r="AAF25" s="1"/>
  <c r="AAD46"/>
  <c r="AAD45"/>
  <c r="AAE42"/>
  <c r="AAD47"/>
  <c r="AAE32" l="1"/>
  <c r="AAE48" s="1"/>
  <c r="AAF39"/>
  <c r="AAF27"/>
  <c r="AAE31"/>
  <c r="AAF26"/>
  <c r="AAF42" s="1"/>
  <c r="AAE30"/>
  <c r="AAE46" l="1"/>
  <c r="AAF31" s="1"/>
  <c r="AAE47"/>
  <c r="AAF32" s="1"/>
  <c r="AAG27"/>
  <c r="AAF33"/>
  <c r="AAF49" s="1"/>
  <c r="AAF40"/>
  <c r="AAG25" s="1"/>
  <c r="AAF41"/>
  <c r="AAE44"/>
  <c r="AAE45"/>
  <c r="AAG34" l="1"/>
  <c r="AAG36" s="1"/>
  <c r="AAF30"/>
  <c r="AAF46" s="1"/>
  <c r="AAG26"/>
  <c r="AAG41" s="1"/>
  <c r="AAF29"/>
  <c r="AAG40"/>
  <c r="AAH25" s="1"/>
  <c r="AAG39"/>
  <c r="AAF47"/>
  <c r="AAF48"/>
  <c r="AAF45" l="1"/>
  <c r="AAG30" s="1"/>
  <c r="AAG50"/>
  <c r="AAG33"/>
  <c r="AAG49" s="1"/>
  <c r="AAG31"/>
  <c r="AAH39"/>
  <c r="AAG32"/>
  <c r="AAH26"/>
  <c r="AAF44"/>
  <c r="AAF43"/>
  <c r="AAG48" l="1"/>
  <c r="AAH33" s="1"/>
  <c r="AAG46"/>
  <c r="AAH31" s="1"/>
  <c r="AAG47"/>
  <c r="AAH32" s="1"/>
  <c r="AAH34"/>
  <c r="AAH36" s="1"/>
  <c r="AAG28"/>
  <c r="AAH40"/>
  <c r="AAI25" s="1"/>
  <c r="AAG29"/>
  <c r="AAG45" s="1"/>
  <c r="AAH49" l="1"/>
  <c r="AAI34" s="1"/>
  <c r="AAI36" s="1"/>
  <c r="AAH48"/>
  <c r="AAI33" s="1"/>
  <c r="AAH47"/>
  <c r="AAI32" s="1"/>
  <c r="AAH50"/>
  <c r="AAH30"/>
  <c r="AAH46" s="1"/>
  <c r="AAG43"/>
  <c r="AAG42"/>
  <c r="AAI39"/>
  <c r="AAG44"/>
  <c r="AAI49" l="1"/>
  <c r="AAJ34" s="1"/>
  <c r="AAI48"/>
  <c r="AAJ33" s="1"/>
  <c r="AAI50"/>
  <c r="AAH28"/>
  <c r="AAI31"/>
  <c r="AAI47" s="1"/>
  <c r="AAH29"/>
  <c r="AAH45" s="1"/>
  <c r="AAH27"/>
  <c r="AAH43" l="1"/>
  <c r="AAI28" s="1"/>
  <c r="AAJ49"/>
  <c r="AAK34" s="1"/>
  <c r="AAK36" s="1"/>
  <c r="AAJ50"/>
  <c r="AAJ36"/>
  <c r="AAH44"/>
  <c r="AAI29" s="1"/>
  <c r="AAI30"/>
  <c r="AAI46" s="1"/>
  <c r="AAJ32"/>
  <c r="AAJ48" s="1"/>
  <c r="AAH42"/>
  <c r="AAH41"/>
  <c r="AAI44" l="1"/>
  <c r="AAJ29" s="1"/>
  <c r="AAI45"/>
  <c r="AAJ30" s="1"/>
  <c r="AAK50"/>
  <c r="AAI27"/>
  <c r="AAI43" s="1"/>
  <c r="AAK33"/>
  <c r="AAK49" s="1"/>
  <c r="AAJ31"/>
  <c r="AAJ47" s="1"/>
  <c r="AAI26"/>
  <c r="AAI42" l="1"/>
  <c r="AAJ27" s="1"/>
  <c r="AAJ45"/>
  <c r="AAK30" s="1"/>
  <c r="AAJ46"/>
  <c r="AAK31" s="1"/>
  <c r="AAK32"/>
  <c r="AAK48" s="1"/>
  <c r="AAL34"/>
  <c r="AAL36" s="1"/>
  <c r="AAJ28"/>
  <c r="AAJ44" s="1"/>
  <c r="AAI41"/>
  <c r="AAI40"/>
  <c r="AAJ25" s="1"/>
  <c r="AAK47" l="1"/>
  <c r="AAL32" s="1"/>
  <c r="AAK46"/>
  <c r="AAL31" s="1"/>
  <c r="AAJ43"/>
  <c r="AAK28" s="1"/>
  <c r="AAL50"/>
  <c r="AAJ26"/>
  <c r="AAJ42" s="1"/>
  <c r="AAK29"/>
  <c r="AAK45" s="1"/>
  <c r="AAL33"/>
  <c r="AAL49" s="1"/>
  <c r="AAJ39"/>
  <c r="AAJ40" l="1"/>
  <c r="AAK25" s="1"/>
  <c r="AAK39" s="1"/>
  <c r="AAK44"/>
  <c r="AAL29" s="1"/>
  <c r="AAJ41"/>
  <c r="AAK26" s="1"/>
  <c r="AAL48"/>
  <c r="AAM33" s="1"/>
  <c r="AAL47"/>
  <c r="AAM32" s="1"/>
  <c r="AAM34"/>
  <c r="AAL30"/>
  <c r="AAL46" s="1"/>
  <c r="AAK27"/>
  <c r="AAK43" s="1"/>
  <c r="AAK41" l="1"/>
  <c r="AAL26" s="1"/>
  <c r="AAM49"/>
  <c r="AAN34" s="1"/>
  <c r="AAN36" s="1"/>
  <c r="AAL45"/>
  <c r="AAM50"/>
  <c r="AAM36"/>
  <c r="AAM48"/>
  <c r="AAN33" s="1"/>
  <c r="AAL28"/>
  <c r="AAL44" s="1"/>
  <c r="AAM31"/>
  <c r="AAM47" s="1"/>
  <c r="AAM30"/>
  <c r="AAK40"/>
  <c r="AAL25" s="1"/>
  <c r="AAK42"/>
  <c r="AAN49" l="1"/>
  <c r="AAO34" s="1"/>
  <c r="AAO36" s="1"/>
  <c r="AAP36" s="1"/>
  <c r="AAN50"/>
  <c r="AAM46"/>
  <c r="AAN31" s="1"/>
  <c r="AAM29"/>
  <c r="AAM45" s="1"/>
  <c r="AAN32"/>
  <c r="AAL40"/>
  <c r="AAM25" s="1"/>
  <c r="AAL39"/>
  <c r="AAL27"/>
  <c r="AAL42" s="1"/>
  <c r="AAO50" l="1"/>
  <c r="AAN47"/>
  <c r="AAO32" s="1"/>
  <c r="AAN48"/>
  <c r="AAO33" s="1"/>
  <c r="AAO49" s="1"/>
  <c r="AAM27"/>
  <c r="AAM39"/>
  <c r="AAN30"/>
  <c r="AAN46" s="1"/>
  <c r="AAL43"/>
  <c r="AAL41"/>
  <c r="AAO48" l="1"/>
  <c r="AAO31"/>
  <c r="AAO47" s="1"/>
  <c r="AAM26"/>
  <c r="AAM28"/>
  <c r="AAM43" s="1"/>
  <c r="AAM42" l="1"/>
  <c r="AAN27" s="1"/>
  <c r="AAN28"/>
  <c r="AAM44"/>
  <c r="AAM41"/>
  <c r="AAM40"/>
  <c r="AAN25" s="1"/>
  <c r="AAN39" l="1"/>
  <c r="AAN29"/>
  <c r="AAN44" s="1"/>
  <c r="AAN26"/>
  <c r="AAN41" s="1"/>
  <c r="AAO26" l="1"/>
  <c r="AAO29"/>
  <c r="AAN40"/>
  <c r="AAO25" s="1"/>
  <c r="AAN43"/>
  <c r="AAN42"/>
  <c r="AAN45"/>
  <c r="AAO40" l="1"/>
  <c r="AAO39"/>
  <c r="AAO27"/>
  <c r="AAO30"/>
  <c r="AAO45" s="1"/>
  <c r="AAO28"/>
  <c r="AAO44" l="1"/>
  <c r="AAO42"/>
  <c r="AAO46"/>
  <c r="AAO43"/>
  <c r="AAO41"/>
</calcChain>
</file>

<file path=xl/sharedStrings.xml><?xml version="1.0" encoding="utf-8"?>
<sst xmlns="http://schemas.openxmlformats.org/spreadsheetml/2006/main" count="170" uniqueCount="115">
  <si>
    <t>Inside</t>
  </si>
  <si>
    <t>Outside</t>
  </si>
  <si>
    <t>ho</t>
  </si>
  <si>
    <t>hi</t>
  </si>
  <si>
    <t>Conductivity</t>
  </si>
  <si>
    <t>Density</t>
  </si>
  <si>
    <t>Specific Heat</t>
  </si>
  <si>
    <t>BTU*in/(Hr*FT2*F)</t>
  </si>
  <si>
    <t>BTU/(Hr*Ft2*F)</t>
  </si>
  <si>
    <t>lb/Ft3</t>
  </si>
  <si>
    <t>BTU/(lb*F)</t>
  </si>
  <si>
    <t>Brick</t>
  </si>
  <si>
    <t>Insul</t>
  </si>
  <si>
    <t>F</t>
  </si>
  <si>
    <t>Ft</t>
  </si>
  <si>
    <t>BTU/Ft2</t>
  </si>
  <si>
    <t>Hour</t>
  </si>
  <si>
    <t>[K]</t>
  </si>
  <si>
    <t>i</t>
  </si>
  <si>
    <t>K1</t>
  </si>
  <si>
    <t>K2</t>
  </si>
  <si>
    <t>K3</t>
  </si>
  <si>
    <t>K6</t>
  </si>
  <si>
    <t>K7</t>
  </si>
  <si>
    <t>K8</t>
  </si>
  <si>
    <t>K9</t>
  </si>
  <si>
    <t>Gyp.</t>
  </si>
  <si>
    <t>K10</t>
  </si>
  <si>
    <t>o</t>
  </si>
  <si>
    <t>{Q}</t>
  </si>
  <si>
    <t>{T}</t>
  </si>
  <si>
    <t>Solar</t>
  </si>
  <si>
    <t>Time (Hr)</t>
  </si>
  <si>
    <t>Outside Air T</t>
  </si>
  <si>
    <t>Inside Air T</t>
  </si>
  <si>
    <t>Qinside</t>
  </si>
  <si>
    <t>Peak Solar</t>
  </si>
  <si>
    <t>BTU/Ft2-Hr</t>
  </si>
  <si>
    <t>Thickness, dx</t>
  </si>
  <si>
    <t>Time Incr., dt</t>
  </si>
  <si>
    <t>Surface Absorp.</t>
  </si>
  <si>
    <t>(Varies from 0 to 0.95)</t>
  </si>
  <si>
    <t>[k]{T}</t>
  </si>
  <si>
    <t>{C}</t>
  </si>
  <si>
    <r>
      <t>{C}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</si>
  <si>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1/(ρ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)</t>
    </r>
  </si>
  <si>
    <r>
      <t>T</t>
    </r>
    <r>
      <rPr>
        <vertAlign val="subscript"/>
        <sz val="11"/>
        <color theme="1"/>
        <rFont val="Calibri"/>
        <family val="2"/>
        <scheme val="minor"/>
      </rPr>
      <t>i</t>
    </r>
  </si>
  <si>
    <r>
      <t>ρ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i</t>
    </r>
  </si>
  <si>
    <r>
      <t>2/(ρ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>)</t>
    </r>
  </si>
  <si>
    <t>N</t>
  </si>
  <si>
    <r>
      <t>T</t>
    </r>
    <r>
      <rPr>
        <vertAlign val="subscript"/>
        <sz val="11"/>
        <color theme="1"/>
        <rFont val="Calibri"/>
        <family val="2"/>
        <scheme val="minor"/>
      </rPr>
      <t>N</t>
    </r>
  </si>
  <si>
    <r>
      <t>ρ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>/2</t>
    </r>
  </si>
  <si>
    <r>
      <t>2/(ρ</t>
    </r>
    <r>
      <rPr>
        <vertAlign val="subscript"/>
        <sz val="11"/>
        <color theme="1"/>
        <rFont val="Calibri"/>
        <family val="2"/>
        <scheme val="minor"/>
      </rPr>
      <t>(N-2)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(N-2)</t>
    </r>
    <r>
      <rPr>
        <sz val="11"/>
        <color theme="1"/>
        <rFont val="Calibri"/>
        <family val="2"/>
        <scheme val="minor"/>
      </rPr>
      <t xml:space="preserve"> + ρ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>)</t>
    </r>
  </si>
  <si>
    <t>N-1</t>
  </si>
  <si>
    <r>
      <t>T</t>
    </r>
    <r>
      <rPr>
        <vertAlign val="subscript"/>
        <sz val="11"/>
        <color theme="1"/>
        <rFont val="Calibri"/>
        <family val="2"/>
        <scheme val="minor"/>
      </rPr>
      <t>N-1</t>
    </r>
  </si>
  <si>
    <r>
      <t>ρ</t>
    </r>
    <r>
      <rPr>
        <vertAlign val="subscript"/>
        <sz val="11"/>
        <color theme="1"/>
        <rFont val="Calibri"/>
        <family val="2"/>
        <scheme val="minor"/>
      </rPr>
      <t>(N-2)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(N-2)</t>
    </r>
    <r>
      <rPr>
        <sz val="11"/>
        <color theme="1"/>
        <rFont val="Calibri"/>
        <family val="2"/>
        <scheme val="minor"/>
      </rPr>
      <t>/2 + ρ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>/2</t>
    </r>
  </si>
  <si>
    <t>/ dx</t>
  </si>
  <si>
    <r>
      <t>2/(ρ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 xml:space="preserve"> + ρ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)</t>
    </r>
  </si>
  <si>
    <t>n</t>
  </si>
  <si>
    <r>
      <t>{C}</t>
    </r>
    <r>
      <rPr>
        <vertAlign val="superscript"/>
        <sz val="14"/>
        <color theme="1"/>
        <rFont val="Calibri"/>
        <family val="2"/>
        <scheme val="minor"/>
      </rPr>
      <t>-1</t>
    </r>
    <r>
      <rPr>
        <sz val="14"/>
        <color theme="1"/>
        <rFont val="Calibri"/>
        <family val="2"/>
        <scheme val="minor"/>
      </rPr>
      <t>=</t>
    </r>
  </si>
  <si>
    <t>x dx</t>
  </si>
  <si>
    <r>
      <t>T</t>
    </r>
    <r>
      <rPr>
        <vertAlign val="subscript"/>
        <sz val="11"/>
        <color theme="1"/>
        <rFont val="Calibri"/>
        <family val="2"/>
        <scheme val="minor"/>
      </rPr>
      <t>3</t>
    </r>
  </si>
  <si>
    <r>
      <t>ρ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>/2 + ρ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/2</t>
    </r>
  </si>
  <si>
    <t>{C}{T} =</t>
  </si>
  <si>
    <r>
      <t>2/(ρ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ρ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</si>
  <si>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T</t>
    </r>
    <r>
      <rPr>
        <vertAlign val="subscript"/>
        <sz val="11"/>
        <color theme="1"/>
        <rFont val="Calibri"/>
        <family val="2"/>
        <scheme val="minor"/>
      </rPr>
      <t>2</t>
    </r>
  </si>
  <si>
    <r>
      <t>ρ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/2 + ρ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/2</t>
    </r>
  </si>
  <si>
    <r>
      <t xml:space="preserve"> 2/ρ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1</t>
    </r>
  </si>
  <si>
    <r>
      <t>T</t>
    </r>
    <r>
      <rPr>
        <vertAlign val="subscript"/>
        <sz val="11"/>
        <color theme="1"/>
        <rFont val="Calibri"/>
        <family val="2"/>
        <scheme val="minor"/>
      </rPr>
      <t>1</t>
    </r>
  </si>
  <si>
    <r>
      <t xml:space="preserve"> ρ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/2</t>
    </r>
  </si>
  <si>
    <r>
      <t>1/(ρ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)</t>
    </r>
  </si>
  <si>
    <r>
      <t>T</t>
    </r>
    <r>
      <rPr>
        <vertAlign val="subscript"/>
        <sz val="11"/>
        <color theme="1"/>
        <rFont val="Calibri"/>
        <family val="2"/>
        <scheme val="minor"/>
      </rPr>
      <t>o</t>
    </r>
  </si>
  <si>
    <r>
      <t>ρ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Cp</t>
    </r>
    <r>
      <rPr>
        <vertAlign val="subscript"/>
        <sz val="11"/>
        <color theme="1"/>
        <rFont val="Calibri"/>
        <family val="2"/>
        <scheme val="minor"/>
      </rPr>
      <t>o</t>
    </r>
  </si>
  <si>
    <r>
      <t>h</t>
    </r>
    <r>
      <rPr>
        <vertAlign val="subscript"/>
        <sz val="11"/>
        <color theme="1"/>
        <rFont val="Calibri"/>
        <family val="2"/>
        <scheme val="minor"/>
      </rPr>
      <t>i</t>
    </r>
  </si>
  <si>
    <r>
      <t>h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(-T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+ T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)</t>
    </r>
  </si>
  <si>
    <t>Heat transfer "Inside" caused by rise in inside temperature, all other temperatures equal and unchanged.</t>
  </si>
  <si>
    <r>
      <rPr>
        <vertAlign val="subscript"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>(-T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 xml:space="preserve"> + T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) + h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(T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- T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)</t>
    </r>
  </si>
  <si>
    <t>…</t>
  </si>
  <si>
    <r>
      <rPr>
        <vertAlign val="subscript"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</t>
    </r>
    <r>
      <rPr>
        <vertAlign val="subscript"/>
        <sz val="11"/>
        <color theme="1"/>
        <rFont val="Calibri"/>
        <family val="2"/>
        <scheme val="minor"/>
      </rPr>
      <t>(N-2)</t>
    </r>
    <r>
      <rPr>
        <sz val="11"/>
        <color theme="1"/>
        <rFont val="Calibri"/>
        <family val="2"/>
        <scheme val="minor"/>
      </rPr>
      <t>(-T</t>
    </r>
    <r>
      <rPr>
        <vertAlign val="subscript"/>
        <sz val="11"/>
        <color theme="1"/>
        <rFont val="Calibri"/>
        <family val="2"/>
        <scheme val="minor"/>
      </rPr>
      <t>(N-2)</t>
    </r>
    <r>
      <rPr>
        <sz val="11"/>
        <color theme="1"/>
        <rFont val="Calibri"/>
        <family val="2"/>
        <scheme val="minor"/>
      </rPr>
      <t xml:space="preserve"> + T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>) + K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>(T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 xml:space="preserve"> - T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)</t>
    </r>
  </si>
  <si>
    <r>
      <t>T</t>
    </r>
    <r>
      <rPr>
        <vertAlign val="subscript"/>
        <sz val="11"/>
        <color theme="1"/>
        <rFont val="Calibri"/>
        <family val="2"/>
        <scheme val="minor"/>
      </rPr>
      <t>N-2</t>
    </r>
  </si>
  <si>
    <t>N-2</t>
  </si>
  <si>
    <r>
      <rPr>
        <vertAlign val="subscript"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</t>
    </r>
    <r>
      <rPr>
        <vertAlign val="subscript"/>
        <sz val="11"/>
        <color theme="1"/>
        <rFont val="Calibri"/>
        <family val="2"/>
        <scheme val="minor"/>
      </rPr>
      <t>(N-3)</t>
    </r>
    <r>
      <rPr>
        <sz val="11"/>
        <color theme="1"/>
        <rFont val="Calibri"/>
        <family val="2"/>
        <scheme val="minor"/>
      </rPr>
      <t>(-T</t>
    </r>
    <r>
      <rPr>
        <vertAlign val="subscript"/>
        <sz val="11"/>
        <color theme="1"/>
        <rFont val="Calibri"/>
        <family val="2"/>
        <scheme val="minor"/>
      </rPr>
      <t>(N-3)</t>
    </r>
    <r>
      <rPr>
        <sz val="11"/>
        <color theme="1"/>
        <rFont val="Calibri"/>
        <family val="2"/>
        <scheme val="minor"/>
      </rPr>
      <t xml:space="preserve"> +T</t>
    </r>
    <r>
      <rPr>
        <vertAlign val="subscript"/>
        <sz val="11"/>
        <color theme="1"/>
        <rFont val="Calibri"/>
        <family val="2"/>
        <scheme val="minor"/>
      </rPr>
      <t>(N-2)</t>
    </r>
    <r>
      <rPr>
        <sz val="11"/>
        <color theme="1"/>
        <rFont val="Calibri"/>
        <family val="2"/>
        <scheme val="minor"/>
      </rPr>
      <t>) + K</t>
    </r>
    <r>
      <rPr>
        <vertAlign val="subscript"/>
        <sz val="11"/>
        <color theme="1"/>
        <rFont val="Calibri"/>
        <family val="2"/>
        <scheme val="minor"/>
      </rPr>
      <t>(N-2)</t>
    </r>
    <r>
      <rPr>
        <sz val="11"/>
        <color theme="1"/>
        <rFont val="Calibri"/>
        <family val="2"/>
        <scheme val="minor"/>
      </rPr>
      <t>(T</t>
    </r>
    <r>
      <rPr>
        <vertAlign val="subscript"/>
        <sz val="11"/>
        <color theme="1"/>
        <rFont val="Calibri"/>
        <family val="2"/>
        <scheme val="minor"/>
      </rPr>
      <t>(N-2)</t>
    </r>
    <r>
      <rPr>
        <sz val="11"/>
        <color theme="1"/>
        <rFont val="Calibri"/>
        <family val="2"/>
        <scheme val="minor"/>
      </rPr>
      <t xml:space="preserve"> - T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>)</t>
    </r>
  </si>
  <si>
    <r>
      <t>T</t>
    </r>
    <r>
      <rPr>
        <vertAlign val="subscript"/>
        <sz val="11"/>
        <color theme="1"/>
        <rFont val="Calibri"/>
        <family val="2"/>
        <scheme val="minor"/>
      </rPr>
      <t>N-3</t>
    </r>
  </si>
  <si>
    <t>N-3</t>
  </si>
  <si>
    <r>
      <rPr>
        <vertAlign val="subscript"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</t>
    </r>
    <r>
      <rPr>
        <vertAlign val="subscript"/>
        <sz val="11"/>
        <color theme="1"/>
        <rFont val="Calibri"/>
        <family val="2"/>
        <scheme val="minor"/>
      </rPr>
      <t>(N-4)</t>
    </r>
    <r>
      <rPr>
        <sz val="11"/>
        <color theme="1"/>
        <rFont val="Calibri"/>
        <family val="2"/>
        <scheme val="minor"/>
      </rPr>
      <t>(-T</t>
    </r>
    <r>
      <rPr>
        <vertAlign val="subscript"/>
        <sz val="11"/>
        <color theme="1"/>
        <rFont val="Calibri"/>
        <family val="2"/>
        <scheme val="minor"/>
      </rPr>
      <t>(N-4)</t>
    </r>
    <r>
      <rPr>
        <sz val="11"/>
        <color theme="1"/>
        <rFont val="Calibri"/>
        <family val="2"/>
        <scheme val="minor"/>
      </rPr>
      <t xml:space="preserve"> +T</t>
    </r>
    <r>
      <rPr>
        <vertAlign val="subscript"/>
        <sz val="11"/>
        <color theme="1"/>
        <rFont val="Calibri"/>
        <family val="2"/>
        <scheme val="minor"/>
      </rPr>
      <t>(N-3)</t>
    </r>
    <r>
      <rPr>
        <sz val="11"/>
        <color theme="1"/>
        <rFont val="Calibri"/>
        <family val="2"/>
        <scheme val="minor"/>
      </rPr>
      <t>) + K</t>
    </r>
    <r>
      <rPr>
        <vertAlign val="subscript"/>
        <sz val="11"/>
        <color theme="1"/>
        <rFont val="Calibri"/>
        <family val="2"/>
        <scheme val="minor"/>
      </rPr>
      <t>(N-3)</t>
    </r>
    <r>
      <rPr>
        <sz val="11"/>
        <color theme="1"/>
        <rFont val="Calibri"/>
        <family val="2"/>
        <scheme val="minor"/>
      </rPr>
      <t>(T</t>
    </r>
    <r>
      <rPr>
        <vertAlign val="subscript"/>
        <sz val="11"/>
        <color theme="1"/>
        <rFont val="Calibri"/>
        <family val="2"/>
        <scheme val="minor"/>
      </rPr>
      <t>(N-3)</t>
    </r>
    <r>
      <rPr>
        <sz val="11"/>
        <color theme="1"/>
        <rFont val="Calibri"/>
        <family val="2"/>
        <scheme val="minor"/>
      </rPr>
      <t xml:space="preserve"> - T</t>
    </r>
    <r>
      <rPr>
        <vertAlign val="subscript"/>
        <sz val="11"/>
        <color theme="1"/>
        <rFont val="Calibri"/>
        <family val="2"/>
        <scheme val="minor"/>
      </rPr>
      <t>(N-2)</t>
    </r>
    <r>
      <rPr>
        <sz val="11"/>
        <color theme="1"/>
        <rFont val="Calibri"/>
        <family val="2"/>
        <scheme val="minor"/>
      </rPr>
      <t>)</t>
    </r>
  </si>
  <si>
    <r>
      <t>T</t>
    </r>
    <r>
      <rPr>
        <vertAlign val="subscript"/>
        <sz val="11"/>
        <color theme="1"/>
        <rFont val="Calibri"/>
        <family val="2"/>
        <scheme val="minor"/>
      </rPr>
      <t>...</t>
    </r>
  </si>
  <si>
    <r>
      <rPr>
        <vertAlign val="subscript"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>(-T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 xml:space="preserve"> +T</t>
    </r>
    <r>
      <rPr>
        <vertAlign val="subscript"/>
        <sz val="11"/>
        <color theme="1"/>
        <rFont val="Calibri"/>
        <family val="2"/>
        <scheme val="minor"/>
      </rPr>
      <t>(N-3)</t>
    </r>
    <r>
      <rPr>
        <sz val="11"/>
        <color theme="1"/>
        <rFont val="Calibri"/>
        <family val="2"/>
        <scheme val="minor"/>
      </rPr>
      <t>) + K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(T</t>
    </r>
    <r>
      <rPr>
        <vertAlign val="subscript"/>
        <sz val="11"/>
        <color theme="1"/>
        <rFont val="Calibri"/>
        <family val="2"/>
        <scheme val="minor"/>
      </rPr>
      <t>(n-1)</t>
    </r>
    <r>
      <rPr>
        <sz val="11"/>
        <color theme="1"/>
        <rFont val="Calibri"/>
        <family val="2"/>
        <scheme val="minor"/>
      </rPr>
      <t xml:space="preserve"> - T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)</t>
    </r>
  </si>
  <si>
    <r>
      <t>T</t>
    </r>
    <r>
      <rPr>
        <vertAlign val="subscript"/>
        <sz val="11"/>
        <color theme="1"/>
        <rFont val="Calibri"/>
        <family val="2"/>
        <scheme val="minor"/>
      </rPr>
      <t>5</t>
    </r>
  </si>
  <si>
    <r>
      <rPr>
        <vertAlign val="subscript"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(-T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+T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) + K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(T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- T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)</t>
    </r>
  </si>
  <si>
    <r>
      <t>T</t>
    </r>
    <r>
      <rPr>
        <vertAlign val="subscript"/>
        <sz val="11"/>
        <color theme="1"/>
        <rFont val="Calibri"/>
        <family val="2"/>
        <scheme val="minor"/>
      </rPr>
      <t>4</t>
    </r>
  </si>
  <si>
    <r>
      <rPr>
        <vertAlign val="subscript"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(-T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+T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 + K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(T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- T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)</t>
    </r>
  </si>
  <si>
    <r>
      <rPr>
        <vertAlign val="subscript"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(-T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+T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 + K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(T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T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</si>
  <si>
    <r>
      <rPr>
        <vertAlign val="subscript"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(-T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+T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+ 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(T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T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</si>
  <si>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Heat Transfer at node 2, caused by rise in temperature at node 2, all other temperatures equal and unchanged.</t>
  </si>
  <si>
    <r>
      <t>h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(T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-T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 + K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(T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T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</si>
  <si>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Heat Transfer at node 1, caused by rise in temperature at node 1, all other temperatures equal and unchanged.</t>
  </si>
  <si>
    <r>
      <t>h</t>
    </r>
    <r>
      <rPr>
        <vertAlign val="subscript"/>
        <sz val="11"/>
        <color theme="1"/>
        <rFont val="Calibri"/>
        <family val="2"/>
        <scheme val="minor"/>
      </rPr>
      <t>o</t>
    </r>
  </si>
  <si>
    <r>
      <t>h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(T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-T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</si>
  <si>
    <t>Heat transfer "Outside" caused by rise in outside temperature, all other temperatures equal and unchanged.</t>
  </si>
  <si>
    <t>Materials</t>
  </si>
  <si>
    <t>Plywood</t>
  </si>
  <si>
    <t>Inches</t>
  </si>
  <si>
    <t>Thickness</t>
  </si>
  <si>
    <t>R-value</t>
  </si>
  <si>
    <t>Material</t>
  </si>
  <si>
    <t>Douglas Fir</t>
  </si>
  <si>
    <t>Polystyrene</t>
  </si>
  <si>
    <t>Concrete</t>
  </si>
  <si>
    <t>Soil</t>
  </si>
  <si>
    <t>Roofing</t>
  </si>
  <si>
    <t>Asphalt Shingles</t>
  </si>
  <si>
    <t>Roofing Roll</t>
  </si>
  <si>
    <t>5/8" Plywood</t>
  </si>
  <si>
    <t>3/4" Plywood</t>
  </si>
  <si>
    <t>Wall Material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</si>
</sst>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0.000"/>
  </numFmts>
  <fonts count="7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vertical="top" textRotation="180"/>
    </xf>
    <xf numFmtId="0" fontId="0" fillId="0" borderId="0" xfId="0" applyAlignment="1">
      <alignment vertical="top"/>
    </xf>
    <xf numFmtId="43" fontId="0" fillId="0" borderId="0" xfId="1" applyFont="1"/>
    <xf numFmtId="0" fontId="0" fillId="2" borderId="0" xfId="0" applyFill="1"/>
    <xf numFmtId="0" fontId="0" fillId="0" borderId="0" xfId="0" applyFill="1"/>
    <xf numFmtId="0" fontId="0" fillId="2" borderId="7" xfId="0" applyFill="1" applyBorder="1"/>
    <xf numFmtId="164" fontId="0" fillId="2" borderId="7" xfId="0" applyNumberForma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center" wrapText="1"/>
    </xf>
    <xf numFmtId="2" fontId="0" fillId="2" borderId="0" xfId="0" applyNumberFormat="1" applyFill="1"/>
    <xf numFmtId="0" fontId="0" fillId="0" borderId="0" xfId="0" applyAlignment="1">
      <alignment textRotation="90"/>
    </xf>
    <xf numFmtId="0" fontId="0" fillId="0" borderId="0" xfId="0" applyAlignment="1">
      <alignment textRotation="255"/>
    </xf>
    <xf numFmtId="0" fontId="0" fillId="0" borderId="0" xfId="0" applyAlignment="1">
      <alignment horizontal="center" textRotation="90"/>
    </xf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Temperature Profile of Wall</a:t>
            </a:r>
          </a:p>
        </c:rich>
      </c:tx>
      <c:layout>
        <c:manualLayout>
          <c:xMode val="edge"/>
          <c:yMode val="edge"/>
          <c:x val="0.17737532808398948"/>
          <c:y val="2.6507936507936515E-2"/>
        </c:manualLayout>
      </c:layout>
    </c:title>
    <c:plotArea>
      <c:layout/>
      <c:lineChart>
        <c:grouping val="standard"/>
        <c:ser>
          <c:idx val="0"/>
          <c:order val="0"/>
          <c:tx>
            <c:strRef>
              <c:f>Calculations!$A$24</c:f>
              <c:strCache>
                <c:ptCount val="1"/>
                <c:pt idx="0">
                  <c:v>Outside</c:v>
                </c:pt>
              </c:strCache>
            </c:strRef>
          </c:tx>
          <c:marker>
            <c:symbol val="none"/>
          </c:marker>
          <c:cat>
            <c:numRef>
              <c:f>Calculations!$B$21:$AAO$21</c:f>
              <c:numCache>
                <c:formatCode>0.00</c:formatCode>
                <c:ptCount val="716"/>
                <c:pt idx="0" formatCode="General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5.0000000000000036</c:v>
                </c:pt>
                <c:pt idx="126">
                  <c:v>5.0400000000000036</c:v>
                </c:pt>
                <c:pt idx="127">
                  <c:v>5.0800000000000036</c:v>
                </c:pt>
                <c:pt idx="128">
                  <c:v>5.1200000000000037</c:v>
                </c:pt>
                <c:pt idx="129">
                  <c:v>5.1600000000000037</c:v>
                </c:pt>
                <c:pt idx="130">
                  <c:v>5.2000000000000037</c:v>
                </c:pt>
                <c:pt idx="131">
                  <c:v>5.2400000000000038</c:v>
                </c:pt>
                <c:pt idx="132">
                  <c:v>5.2800000000000038</c:v>
                </c:pt>
                <c:pt idx="133">
                  <c:v>5.3200000000000038</c:v>
                </c:pt>
                <c:pt idx="134">
                  <c:v>5.3600000000000039</c:v>
                </c:pt>
                <c:pt idx="135">
                  <c:v>5.4000000000000039</c:v>
                </c:pt>
                <c:pt idx="136">
                  <c:v>5.4400000000000039</c:v>
                </c:pt>
                <c:pt idx="137">
                  <c:v>5.480000000000004</c:v>
                </c:pt>
                <c:pt idx="138">
                  <c:v>5.520000000000004</c:v>
                </c:pt>
                <c:pt idx="139">
                  <c:v>5.5600000000000041</c:v>
                </c:pt>
                <c:pt idx="140">
                  <c:v>5.6000000000000041</c:v>
                </c:pt>
                <c:pt idx="141">
                  <c:v>5.6400000000000041</c:v>
                </c:pt>
                <c:pt idx="142">
                  <c:v>5.6800000000000042</c:v>
                </c:pt>
                <c:pt idx="143">
                  <c:v>5.7200000000000042</c:v>
                </c:pt>
                <c:pt idx="144">
                  <c:v>5.7600000000000042</c:v>
                </c:pt>
                <c:pt idx="145">
                  <c:v>5.8000000000000043</c:v>
                </c:pt>
                <c:pt idx="146">
                  <c:v>5.8400000000000043</c:v>
                </c:pt>
                <c:pt idx="147">
                  <c:v>5.8800000000000043</c:v>
                </c:pt>
                <c:pt idx="148">
                  <c:v>5.9200000000000044</c:v>
                </c:pt>
                <c:pt idx="149">
                  <c:v>5.9600000000000044</c:v>
                </c:pt>
                <c:pt idx="150">
                  <c:v>6.0000000000000044</c:v>
                </c:pt>
                <c:pt idx="151">
                  <c:v>6.0400000000000045</c:v>
                </c:pt>
                <c:pt idx="152">
                  <c:v>6.0800000000000045</c:v>
                </c:pt>
                <c:pt idx="153">
                  <c:v>6.1200000000000045</c:v>
                </c:pt>
                <c:pt idx="154">
                  <c:v>6.1600000000000046</c:v>
                </c:pt>
                <c:pt idx="155">
                  <c:v>6.2000000000000046</c:v>
                </c:pt>
                <c:pt idx="156">
                  <c:v>6.2400000000000047</c:v>
                </c:pt>
                <c:pt idx="157">
                  <c:v>6.2800000000000047</c:v>
                </c:pt>
                <c:pt idx="158">
                  <c:v>6.3200000000000047</c:v>
                </c:pt>
                <c:pt idx="159">
                  <c:v>6.3600000000000048</c:v>
                </c:pt>
                <c:pt idx="160">
                  <c:v>6.4000000000000048</c:v>
                </c:pt>
                <c:pt idx="161">
                  <c:v>6.4400000000000048</c:v>
                </c:pt>
                <c:pt idx="162">
                  <c:v>6.4800000000000049</c:v>
                </c:pt>
                <c:pt idx="163">
                  <c:v>6.5200000000000049</c:v>
                </c:pt>
                <c:pt idx="164">
                  <c:v>6.5600000000000049</c:v>
                </c:pt>
                <c:pt idx="165">
                  <c:v>6.600000000000005</c:v>
                </c:pt>
                <c:pt idx="166">
                  <c:v>6.640000000000005</c:v>
                </c:pt>
                <c:pt idx="167">
                  <c:v>6.680000000000005</c:v>
                </c:pt>
                <c:pt idx="168">
                  <c:v>6.7200000000000051</c:v>
                </c:pt>
                <c:pt idx="169">
                  <c:v>6.7600000000000051</c:v>
                </c:pt>
                <c:pt idx="170">
                  <c:v>6.8000000000000052</c:v>
                </c:pt>
                <c:pt idx="171">
                  <c:v>6.8400000000000052</c:v>
                </c:pt>
                <c:pt idx="172">
                  <c:v>6.8800000000000052</c:v>
                </c:pt>
                <c:pt idx="173">
                  <c:v>6.9200000000000053</c:v>
                </c:pt>
                <c:pt idx="174">
                  <c:v>6.9600000000000053</c:v>
                </c:pt>
                <c:pt idx="175">
                  <c:v>7.0000000000000053</c:v>
                </c:pt>
                <c:pt idx="176">
                  <c:v>7.0400000000000054</c:v>
                </c:pt>
                <c:pt idx="177">
                  <c:v>7.0800000000000054</c:v>
                </c:pt>
                <c:pt idx="178">
                  <c:v>7.1200000000000054</c:v>
                </c:pt>
                <c:pt idx="179">
                  <c:v>7.1600000000000055</c:v>
                </c:pt>
                <c:pt idx="180">
                  <c:v>7.2000000000000055</c:v>
                </c:pt>
                <c:pt idx="181">
                  <c:v>7.2400000000000055</c:v>
                </c:pt>
                <c:pt idx="182">
                  <c:v>7.2800000000000056</c:v>
                </c:pt>
                <c:pt idx="183">
                  <c:v>7.3200000000000056</c:v>
                </c:pt>
                <c:pt idx="184">
                  <c:v>7.3600000000000056</c:v>
                </c:pt>
                <c:pt idx="185">
                  <c:v>7.4000000000000057</c:v>
                </c:pt>
                <c:pt idx="186">
                  <c:v>7.4400000000000057</c:v>
                </c:pt>
                <c:pt idx="187">
                  <c:v>7.4800000000000058</c:v>
                </c:pt>
                <c:pt idx="188">
                  <c:v>7.5200000000000058</c:v>
                </c:pt>
                <c:pt idx="189">
                  <c:v>7.5600000000000058</c:v>
                </c:pt>
                <c:pt idx="190">
                  <c:v>7.6000000000000059</c:v>
                </c:pt>
                <c:pt idx="191">
                  <c:v>7.6400000000000059</c:v>
                </c:pt>
                <c:pt idx="192">
                  <c:v>7.6800000000000059</c:v>
                </c:pt>
                <c:pt idx="193">
                  <c:v>7.720000000000006</c:v>
                </c:pt>
                <c:pt idx="194">
                  <c:v>7.760000000000006</c:v>
                </c:pt>
                <c:pt idx="195">
                  <c:v>7.800000000000006</c:v>
                </c:pt>
                <c:pt idx="196">
                  <c:v>7.8400000000000061</c:v>
                </c:pt>
                <c:pt idx="197">
                  <c:v>7.8800000000000061</c:v>
                </c:pt>
                <c:pt idx="198">
                  <c:v>7.9200000000000061</c:v>
                </c:pt>
                <c:pt idx="199">
                  <c:v>7.9600000000000062</c:v>
                </c:pt>
                <c:pt idx="200">
                  <c:v>8.0000000000000053</c:v>
                </c:pt>
                <c:pt idx="201">
                  <c:v>8.0400000000000045</c:v>
                </c:pt>
                <c:pt idx="202">
                  <c:v>8.0800000000000036</c:v>
                </c:pt>
                <c:pt idx="203">
                  <c:v>8.1200000000000028</c:v>
                </c:pt>
                <c:pt idx="204">
                  <c:v>8.1600000000000019</c:v>
                </c:pt>
                <c:pt idx="205">
                  <c:v>8.2000000000000011</c:v>
                </c:pt>
                <c:pt idx="206">
                  <c:v>8.24</c:v>
                </c:pt>
                <c:pt idx="207">
                  <c:v>8.2799999999999994</c:v>
                </c:pt>
                <c:pt idx="208">
                  <c:v>8.3199999999999985</c:v>
                </c:pt>
                <c:pt idx="209">
                  <c:v>8.3599999999999977</c:v>
                </c:pt>
                <c:pt idx="210">
                  <c:v>8.3999999999999968</c:v>
                </c:pt>
                <c:pt idx="211">
                  <c:v>8.4399999999999959</c:v>
                </c:pt>
                <c:pt idx="212">
                  <c:v>8.4799999999999951</c:v>
                </c:pt>
                <c:pt idx="213">
                  <c:v>8.5199999999999942</c:v>
                </c:pt>
                <c:pt idx="214">
                  <c:v>8.5599999999999934</c:v>
                </c:pt>
                <c:pt idx="215">
                  <c:v>8.5999999999999925</c:v>
                </c:pt>
                <c:pt idx="216">
                  <c:v>8.6399999999999917</c:v>
                </c:pt>
                <c:pt idx="217">
                  <c:v>8.6799999999999908</c:v>
                </c:pt>
                <c:pt idx="218">
                  <c:v>8.71999999999999</c:v>
                </c:pt>
                <c:pt idx="219">
                  <c:v>8.7599999999999891</c:v>
                </c:pt>
                <c:pt idx="220">
                  <c:v>8.7999999999999883</c:v>
                </c:pt>
                <c:pt idx="221">
                  <c:v>8.8399999999999874</c:v>
                </c:pt>
                <c:pt idx="222">
                  <c:v>8.8799999999999866</c:v>
                </c:pt>
                <c:pt idx="223">
                  <c:v>8.9199999999999857</c:v>
                </c:pt>
                <c:pt idx="224">
                  <c:v>8.9599999999999849</c:v>
                </c:pt>
                <c:pt idx="225">
                  <c:v>8.999999999999984</c:v>
                </c:pt>
                <c:pt idx="226">
                  <c:v>9.0399999999999832</c:v>
                </c:pt>
                <c:pt idx="227">
                  <c:v>9.0799999999999823</c:v>
                </c:pt>
                <c:pt idx="228">
                  <c:v>9.1199999999999815</c:v>
                </c:pt>
                <c:pt idx="229">
                  <c:v>9.1599999999999806</c:v>
                </c:pt>
                <c:pt idx="230">
                  <c:v>9.1999999999999797</c:v>
                </c:pt>
                <c:pt idx="231">
                  <c:v>9.2399999999999789</c:v>
                </c:pt>
                <c:pt idx="232">
                  <c:v>9.279999999999978</c:v>
                </c:pt>
                <c:pt idx="233">
                  <c:v>9.3199999999999772</c:v>
                </c:pt>
                <c:pt idx="234">
                  <c:v>9.3599999999999763</c:v>
                </c:pt>
                <c:pt idx="235">
                  <c:v>9.3999999999999755</c:v>
                </c:pt>
                <c:pt idx="236">
                  <c:v>9.4399999999999746</c:v>
                </c:pt>
                <c:pt idx="237">
                  <c:v>9.4799999999999738</c:v>
                </c:pt>
                <c:pt idx="238">
                  <c:v>9.5199999999999729</c:v>
                </c:pt>
                <c:pt idx="239">
                  <c:v>9.5599999999999721</c:v>
                </c:pt>
                <c:pt idx="240">
                  <c:v>9.5999999999999712</c:v>
                </c:pt>
                <c:pt idx="241">
                  <c:v>9.6399999999999704</c:v>
                </c:pt>
                <c:pt idx="242">
                  <c:v>9.6799999999999695</c:v>
                </c:pt>
                <c:pt idx="243">
                  <c:v>9.7199999999999687</c:v>
                </c:pt>
                <c:pt idx="244">
                  <c:v>9.7599999999999678</c:v>
                </c:pt>
                <c:pt idx="245">
                  <c:v>9.799999999999967</c:v>
                </c:pt>
                <c:pt idx="246">
                  <c:v>9.8399999999999661</c:v>
                </c:pt>
                <c:pt idx="247">
                  <c:v>9.8799999999999653</c:v>
                </c:pt>
                <c:pt idx="248">
                  <c:v>9.9199999999999644</c:v>
                </c:pt>
                <c:pt idx="249">
                  <c:v>9.9599999999999635</c:v>
                </c:pt>
                <c:pt idx="250">
                  <c:v>9.9999999999999627</c:v>
                </c:pt>
                <c:pt idx="251">
                  <c:v>10.039999999999962</c:v>
                </c:pt>
                <c:pt idx="252">
                  <c:v>10.079999999999961</c:v>
                </c:pt>
                <c:pt idx="253">
                  <c:v>10.11999999999996</c:v>
                </c:pt>
                <c:pt idx="254">
                  <c:v>10.159999999999959</c:v>
                </c:pt>
                <c:pt idx="255">
                  <c:v>10.199999999999958</c:v>
                </c:pt>
                <c:pt idx="256">
                  <c:v>10.239999999999958</c:v>
                </c:pt>
                <c:pt idx="257">
                  <c:v>10.279999999999957</c:v>
                </c:pt>
                <c:pt idx="258">
                  <c:v>10.319999999999956</c:v>
                </c:pt>
                <c:pt idx="259">
                  <c:v>10.359999999999955</c:v>
                </c:pt>
                <c:pt idx="260">
                  <c:v>10.399999999999954</c:v>
                </c:pt>
                <c:pt idx="261">
                  <c:v>10.439999999999953</c:v>
                </c:pt>
                <c:pt idx="262">
                  <c:v>10.479999999999952</c:v>
                </c:pt>
                <c:pt idx="263">
                  <c:v>10.519999999999952</c:v>
                </c:pt>
                <c:pt idx="264">
                  <c:v>10.559999999999951</c:v>
                </c:pt>
                <c:pt idx="265">
                  <c:v>10.59999999999995</c:v>
                </c:pt>
                <c:pt idx="266">
                  <c:v>10.639999999999949</c:v>
                </c:pt>
                <c:pt idx="267">
                  <c:v>10.679999999999948</c:v>
                </c:pt>
                <c:pt idx="268">
                  <c:v>10.719999999999947</c:v>
                </c:pt>
                <c:pt idx="269">
                  <c:v>10.759999999999946</c:v>
                </c:pt>
                <c:pt idx="270">
                  <c:v>10.799999999999946</c:v>
                </c:pt>
                <c:pt idx="271">
                  <c:v>10.839999999999945</c:v>
                </c:pt>
                <c:pt idx="272">
                  <c:v>10.879999999999944</c:v>
                </c:pt>
                <c:pt idx="273">
                  <c:v>10.919999999999943</c:v>
                </c:pt>
                <c:pt idx="274">
                  <c:v>10.959999999999942</c:v>
                </c:pt>
                <c:pt idx="275">
                  <c:v>10.999999999999941</c:v>
                </c:pt>
                <c:pt idx="276">
                  <c:v>11.039999999999941</c:v>
                </c:pt>
                <c:pt idx="277">
                  <c:v>11.07999999999994</c:v>
                </c:pt>
                <c:pt idx="278">
                  <c:v>11.119999999999939</c:v>
                </c:pt>
                <c:pt idx="279">
                  <c:v>11.159999999999938</c:v>
                </c:pt>
                <c:pt idx="280">
                  <c:v>11.199999999999937</c:v>
                </c:pt>
                <c:pt idx="281">
                  <c:v>11.239999999999936</c:v>
                </c:pt>
                <c:pt idx="282">
                  <c:v>11.279999999999935</c:v>
                </c:pt>
                <c:pt idx="283">
                  <c:v>11.319999999999935</c:v>
                </c:pt>
                <c:pt idx="284">
                  <c:v>11.359999999999934</c:v>
                </c:pt>
                <c:pt idx="285">
                  <c:v>11.399999999999933</c:v>
                </c:pt>
                <c:pt idx="286">
                  <c:v>11.439999999999932</c:v>
                </c:pt>
                <c:pt idx="287">
                  <c:v>11.479999999999931</c:v>
                </c:pt>
                <c:pt idx="288">
                  <c:v>11.51999999999993</c:v>
                </c:pt>
                <c:pt idx="289">
                  <c:v>11.559999999999929</c:v>
                </c:pt>
                <c:pt idx="290">
                  <c:v>11.599999999999929</c:v>
                </c:pt>
                <c:pt idx="291">
                  <c:v>11.639999999999928</c:v>
                </c:pt>
                <c:pt idx="292">
                  <c:v>11.679999999999927</c:v>
                </c:pt>
                <c:pt idx="293">
                  <c:v>11.719999999999926</c:v>
                </c:pt>
                <c:pt idx="294">
                  <c:v>11.759999999999925</c:v>
                </c:pt>
                <c:pt idx="295">
                  <c:v>11.799999999999924</c:v>
                </c:pt>
                <c:pt idx="296">
                  <c:v>11.839999999999923</c:v>
                </c:pt>
                <c:pt idx="297">
                  <c:v>11.879999999999923</c:v>
                </c:pt>
                <c:pt idx="298">
                  <c:v>11.919999999999922</c:v>
                </c:pt>
                <c:pt idx="299">
                  <c:v>11.959999999999921</c:v>
                </c:pt>
                <c:pt idx="300">
                  <c:v>11.99999999999992</c:v>
                </c:pt>
                <c:pt idx="301">
                  <c:v>12.039999999999919</c:v>
                </c:pt>
                <c:pt idx="302">
                  <c:v>12.079999999999918</c:v>
                </c:pt>
                <c:pt idx="303">
                  <c:v>12.119999999999918</c:v>
                </c:pt>
                <c:pt idx="304">
                  <c:v>12.159999999999917</c:v>
                </c:pt>
                <c:pt idx="305">
                  <c:v>12.199999999999916</c:v>
                </c:pt>
                <c:pt idx="306">
                  <c:v>12.239999999999915</c:v>
                </c:pt>
                <c:pt idx="307">
                  <c:v>12.279999999999914</c:v>
                </c:pt>
                <c:pt idx="308">
                  <c:v>12.319999999999913</c:v>
                </c:pt>
                <c:pt idx="309">
                  <c:v>12.359999999999912</c:v>
                </c:pt>
                <c:pt idx="310">
                  <c:v>12.399999999999912</c:v>
                </c:pt>
                <c:pt idx="311">
                  <c:v>12.439999999999911</c:v>
                </c:pt>
                <c:pt idx="312">
                  <c:v>12.47999999999991</c:v>
                </c:pt>
                <c:pt idx="313">
                  <c:v>12.519999999999909</c:v>
                </c:pt>
                <c:pt idx="314">
                  <c:v>12.559999999999908</c:v>
                </c:pt>
                <c:pt idx="315">
                  <c:v>12.599999999999907</c:v>
                </c:pt>
                <c:pt idx="316">
                  <c:v>12.639999999999906</c:v>
                </c:pt>
                <c:pt idx="317">
                  <c:v>12.679999999999906</c:v>
                </c:pt>
                <c:pt idx="318">
                  <c:v>12.719999999999905</c:v>
                </c:pt>
                <c:pt idx="319">
                  <c:v>12.759999999999904</c:v>
                </c:pt>
                <c:pt idx="320">
                  <c:v>12.799999999999903</c:v>
                </c:pt>
                <c:pt idx="321">
                  <c:v>12.839999999999902</c:v>
                </c:pt>
                <c:pt idx="322">
                  <c:v>12.879999999999901</c:v>
                </c:pt>
                <c:pt idx="323">
                  <c:v>12.9199999999999</c:v>
                </c:pt>
                <c:pt idx="324">
                  <c:v>12.9599999999999</c:v>
                </c:pt>
                <c:pt idx="325">
                  <c:v>12.999999999999899</c:v>
                </c:pt>
                <c:pt idx="326">
                  <c:v>13.039999999999898</c:v>
                </c:pt>
                <c:pt idx="327">
                  <c:v>13.079999999999897</c:v>
                </c:pt>
                <c:pt idx="328">
                  <c:v>13.119999999999896</c:v>
                </c:pt>
                <c:pt idx="329">
                  <c:v>13.159999999999895</c:v>
                </c:pt>
                <c:pt idx="330">
                  <c:v>13.199999999999894</c:v>
                </c:pt>
                <c:pt idx="331">
                  <c:v>13.239999999999894</c:v>
                </c:pt>
                <c:pt idx="332">
                  <c:v>13.279999999999893</c:v>
                </c:pt>
                <c:pt idx="333">
                  <c:v>13.319999999999892</c:v>
                </c:pt>
                <c:pt idx="334">
                  <c:v>13.359999999999891</c:v>
                </c:pt>
                <c:pt idx="335">
                  <c:v>13.39999999999989</c:v>
                </c:pt>
                <c:pt idx="336">
                  <c:v>13.439999999999889</c:v>
                </c:pt>
                <c:pt idx="337">
                  <c:v>13.479999999999889</c:v>
                </c:pt>
                <c:pt idx="338">
                  <c:v>13.519999999999888</c:v>
                </c:pt>
                <c:pt idx="339">
                  <c:v>13.559999999999887</c:v>
                </c:pt>
                <c:pt idx="340">
                  <c:v>13.599999999999886</c:v>
                </c:pt>
                <c:pt idx="341">
                  <c:v>13.639999999999885</c:v>
                </c:pt>
                <c:pt idx="342">
                  <c:v>13.679999999999884</c:v>
                </c:pt>
                <c:pt idx="343">
                  <c:v>13.719999999999883</c:v>
                </c:pt>
                <c:pt idx="344">
                  <c:v>13.759999999999883</c:v>
                </c:pt>
                <c:pt idx="345">
                  <c:v>13.799999999999882</c:v>
                </c:pt>
                <c:pt idx="346">
                  <c:v>13.839999999999881</c:v>
                </c:pt>
                <c:pt idx="347">
                  <c:v>13.87999999999988</c:v>
                </c:pt>
                <c:pt idx="348">
                  <c:v>13.919999999999879</c:v>
                </c:pt>
                <c:pt idx="349">
                  <c:v>13.959999999999878</c:v>
                </c:pt>
                <c:pt idx="350">
                  <c:v>13.999999999999877</c:v>
                </c:pt>
                <c:pt idx="351">
                  <c:v>14.039999999999877</c:v>
                </c:pt>
                <c:pt idx="352">
                  <c:v>14.079999999999876</c:v>
                </c:pt>
                <c:pt idx="353">
                  <c:v>14.119999999999875</c:v>
                </c:pt>
                <c:pt idx="354">
                  <c:v>14.159999999999874</c:v>
                </c:pt>
                <c:pt idx="355">
                  <c:v>14.199999999999873</c:v>
                </c:pt>
                <c:pt idx="356">
                  <c:v>14.239999999999872</c:v>
                </c:pt>
                <c:pt idx="357">
                  <c:v>14.279999999999871</c:v>
                </c:pt>
                <c:pt idx="358">
                  <c:v>14.319999999999871</c:v>
                </c:pt>
                <c:pt idx="359">
                  <c:v>14.35999999999987</c:v>
                </c:pt>
                <c:pt idx="360">
                  <c:v>14.399999999999869</c:v>
                </c:pt>
                <c:pt idx="361">
                  <c:v>14.439999999999868</c:v>
                </c:pt>
                <c:pt idx="362">
                  <c:v>14.479999999999867</c:v>
                </c:pt>
                <c:pt idx="363">
                  <c:v>14.519999999999866</c:v>
                </c:pt>
                <c:pt idx="364">
                  <c:v>14.559999999999865</c:v>
                </c:pt>
                <c:pt idx="365">
                  <c:v>14.599999999999865</c:v>
                </c:pt>
                <c:pt idx="366">
                  <c:v>14.639999999999864</c:v>
                </c:pt>
                <c:pt idx="367">
                  <c:v>14.679999999999863</c:v>
                </c:pt>
                <c:pt idx="368">
                  <c:v>14.719999999999862</c:v>
                </c:pt>
                <c:pt idx="369">
                  <c:v>14.759999999999861</c:v>
                </c:pt>
                <c:pt idx="370">
                  <c:v>14.79999999999986</c:v>
                </c:pt>
                <c:pt idx="371">
                  <c:v>14.83999999999986</c:v>
                </c:pt>
                <c:pt idx="372">
                  <c:v>14.879999999999859</c:v>
                </c:pt>
                <c:pt idx="373">
                  <c:v>14.919999999999858</c:v>
                </c:pt>
                <c:pt idx="374">
                  <c:v>14.959999999999857</c:v>
                </c:pt>
                <c:pt idx="375">
                  <c:v>14.999999999999856</c:v>
                </c:pt>
                <c:pt idx="376">
                  <c:v>15.039999999999855</c:v>
                </c:pt>
                <c:pt idx="377">
                  <c:v>15.079999999999854</c:v>
                </c:pt>
                <c:pt idx="378">
                  <c:v>15.119999999999854</c:v>
                </c:pt>
                <c:pt idx="379">
                  <c:v>15.159999999999853</c:v>
                </c:pt>
                <c:pt idx="380">
                  <c:v>15.199999999999852</c:v>
                </c:pt>
                <c:pt idx="381">
                  <c:v>15.239999999999851</c:v>
                </c:pt>
                <c:pt idx="382">
                  <c:v>15.27999999999985</c:v>
                </c:pt>
                <c:pt idx="383">
                  <c:v>15.319999999999849</c:v>
                </c:pt>
                <c:pt idx="384">
                  <c:v>15.359999999999848</c:v>
                </c:pt>
                <c:pt idx="385">
                  <c:v>15.399999999999848</c:v>
                </c:pt>
                <c:pt idx="386">
                  <c:v>15.439999999999847</c:v>
                </c:pt>
                <c:pt idx="387">
                  <c:v>15.479999999999846</c:v>
                </c:pt>
                <c:pt idx="388">
                  <c:v>15.519999999999845</c:v>
                </c:pt>
                <c:pt idx="389">
                  <c:v>15.559999999999844</c:v>
                </c:pt>
                <c:pt idx="390">
                  <c:v>15.599999999999843</c:v>
                </c:pt>
                <c:pt idx="391">
                  <c:v>15.639999999999842</c:v>
                </c:pt>
                <c:pt idx="392">
                  <c:v>15.679999999999842</c:v>
                </c:pt>
                <c:pt idx="393">
                  <c:v>15.719999999999841</c:v>
                </c:pt>
                <c:pt idx="394">
                  <c:v>15.75999999999984</c:v>
                </c:pt>
                <c:pt idx="395">
                  <c:v>15.799999999999839</c:v>
                </c:pt>
                <c:pt idx="396">
                  <c:v>15.839999999999838</c:v>
                </c:pt>
                <c:pt idx="397">
                  <c:v>15.879999999999837</c:v>
                </c:pt>
                <c:pt idx="398">
                  <c:v>15.919999999999837</c:v>
                </c:pt>
                <c:pt idx="399">
                  <c:v>15.959999999999836</c:v>
                </c:pt>
                <c:pt idx="400">
                  <c:v>15.999999999999835</c:v>
                </c:pt>
                <c:pt idx="401">
                  <c:v>16.039999999999836</c:v>
                </c:pt>
                <c:pt idx="402">
                  <c:v>16.079999999999835</c:v>
                </c:pt>
                <c:pt idx="403">
                  <c:v>16.119999999999834</c:v>
                </c:pt>
                <c:pt idx="404">
                  <c:v>16.159999999999833</c:v>
                </c:pt>
                <c:pt idx="405">
                  <c:v>16.199999999999832</c:v>
                </c:pt>
                <c:pt idx="406">
                  <c:v>16.239999999999831</c:v>
                </c:pt>
                <c:pt idx="407">
                  <c:v>16.279999999999831</c:v>
                </c:pt>
                <c:pt idx="408">
                  <c:v>16.31999999999983</c:v>
                </c:pt>
                <c:pt idx="409">
                  <c:v>16.359999999999829</c:v>
                </c:pt>
                <c:pt idx="410">
                  <c:v>16.399999999999828</c:v>
                </c:pt>
                <c:pt idx="411">
                  <c:v>16.439999999999827</c:v>
                </c:pt>
                <c:pt idx="412">
                  <c:v>16.479999999999826</c:v>
                </c:pt>
                <c:pt idx="413">
                  <c:v>16.519999999999825</c:v>
                </c:pt>
                <c:pt idx="414">
                  <c:v>16.559999999999825</c:v>
                </c:pt>
                <c:pt idx="415">
                  <c:v>16.599999999999824</c:v>
                </c:pt>
                <c:pt idx="416">
                  <c:v>16.639999999999823</c:v>
                </c:pt>
                <c:pt idx="417">
                  <c:v>16.679999999999822</c:v>
                </c:pt>
                <c:pt idx="418">
                  <c:v>16.719999999999821</c:v>
                </c:pt>
                <c:pt idx="419">
                  <c:v>16.75999999999982</c:v>
                </c:pt>
                <c:pt idx="420">
                  <c:v>16.79999999999982</c:v>
                </c:pt>
                <c:pt idx="421">
                  <c:v>16.839999999999819</c:v>
                </c:pt>
                <c:pt idx="422">
                  <c:v>16.879999999999818</c:v>
                </c:pt>
                <c:pt idx="423">
                  <c:v>16.919999999999817</c:v>
                </c:pt>
                <c:pt idx="424">
                  <c:v>16.959999999999816</c:v>
                </c:pt>
                <c:pt idx="425">
                  <c:v>16.999999999999815</c:v>
                </c:pt>
                <c:pt idx="426">
                  <c:v>17.039999999999814</c:v>
                </c:pt>
                <c:pt idx="427">
                  <c:v>17.079999999999814</c:v>
                </c:pt>
                <c:pt idx="428">
                  <c:v>17.119999999999813</c:v>
                </c:pt>
                <c:pt idx="429">
                  <c:v>17.159999999999812</c:v>
                </c:pt>
                <c:pt idx="430">
                  <c:v>17.199999999999811</c:v>
                </c:pt>
                <c:pt idx="431">
                  <c:v>17.23999999999981</c:v>
                </c:pt>
                <c:pt idx="432">
                  <c:v>17.279999999999809</c:v>
                </c:pt>
                <c:pt idx="433">
                  <c:v>17.319999999999808</c:v>
                </c:pt>
                <c:pt idx="434">
                  <c:v>17.359999999999808</c:v>
                </c:pt>
                <c:pt idx="435">
                  <c:v>17.399999999999807</c:v>
                </c:pt>
                <c:pt idx="436">
                  <c:v>17.439999999999806</c:v>
                </c:pt>
                <c:pt idx="437">
                  <c:v>17.479999999999805</c:v>
                </c:pt>
                <c:pt idx="438">
                  <c:v>17.519999999999804</c:v>
                </c:pt>
                <c:pt idx="439">
                  <c:v>17.559999999999803</c:v>
                </c:pt>
                <c:pt idx="440">
                  <c:v>17.599999999999802</c:v>
                </c:pt>
                <c:pt idx="441">
                  <c:v>17.639999999999802</c:v>
                </c:pt>
                <c:pt idx="442">
                  <c:v>17.679999999999801</c:v>
                </c:pt>
                <c:pt idx="443">
                  <c:v>17.7199999999998</c:v>
                </c:pt>
                <c:pt idx="444">
                  <c:v>17.759999999999799</c:v>
                </c:pt>
                <c:pt idx="445">
                  <c:v>17.799999999999798</c:v>
                </c:pt>
                <c:pt idx="446">
                  <c:v>17.839999999999797</c:v>
                </c:pt>
                <c:pt idx="447">
                  <c:v>17.879999999999797</c:v>
                </c:pt>
                <c:pt idx="448">
                  <c:v>17.919999999999796</c:v>
                </c:pt>
                <c:pt idx="449">
                  <c:v>17.959999999999795</c:v>
                </c:pt>
                <c:pt idx="450">
                  <c:v>17.999999999999794</c:v>
                </c:pt>
                <c:pt idx="451">
                  <c:v>18.039999999999793</c:v>
                </c:pt>
                <c:pt idx="452">
                  <c:v>18.079999999999792</c:v>
                </c:pt>
                <c:pt idx="453">
                  <c:v>18.119999999999791</c:v>
                </c:pt>
                <c:pt idx="454">
                  <c:v>18.159999999999791</c:v>
                </c:pt>
                <c:pt idx="455">
                  <c:v>18.19999999999979</c:v>
                </c:pt>
                <c:pt idx="456">
                  <c:v>18.239999999999789</c:v>
                </c:pt>
                <c:pt idx="457">
                  <c:v>18.279999999999788</c:v>
                </c:pt>
                <c:pt idx="458">
                  <c:v>18.319999999999787</c:v>
                </c:pt>
                <c:pt idx="459">
                  <c:v>18.359999999999786</c:v>
                </c:pt>
                <c:pt idx="460">
                  <c:v>18.399999999999785</c:v>
                </c:pt>
                <c:pt idx="461">
                  <c:v>18.439999999999785</c:v>
                </c:pt>
                <c:pt idx="462">
                  <c:v>18.479999999999784</c:v>
                </c:pt>
                <c:pt idx="463">
                  <c:v>18.519999999999783</c:v>
                </c:pt>
                <c:pt idx="464">
                  <c:v>18.559999999999782</c:v>
                </c:pt>
                <c:pt idx="465">
                  <c:v>18.599999999999781</c:v>
                </c:pt>
                <c:pt idx="466">
                  <c:v>18.63999999999978</c:v>
                </c:pt>
                <c:pt idx="467">
                  <c:v>18.679999999999779</c:v>
                </c:pt>
                <c:pt idx="468">
                  <c:v>18.719999999999779</c:v>
                </c:pt>
                <c:pt idx="469">
                  <c:v>18.759999999999778</c:v>
                </c:pt>
                <c:pt idx="470">
                  <c:v>18.799999999999777</c:v>
                </c:pt>
                <c:pt idx="471">
                  <c:v>18.839999999999776</c:v>
                </c:pt>
                <c:pt idx="472">
                  <c:v>18.879999999999775</c:v>
                </c:pt>
                <c:pt idx="473">
                  <c:v>18.919999999999774</c:v>
                </c:pt>
                <c:pt idx="474">
                  <c:v>18.959999999999773</c:v>
                </c:pt>
                <c:pt idx="475">
                  <c:v>18.999999999999773</c:v>
                </c:pt>
                <c:pt idx="476">
                  <c:v>19.039999999999772</c:v>
                </c:pt>
                <c:pt idx="477">
                  <c:v>19.079999999999771</c:v>
                </c:pt>
                <c:pt idx="478">
                  <c:v>19.11999999999977</c:v>
                </c:pt>
                <c:pt idx="479">
                  <c:v>19.159999999999769</c:v>
                </c:pt>
                <c:pt idx="480">
                  <c:v>19.199999999999768</c:v>
                </c:pt>
                <c:pt idx="481">
                  <c:v>19.239999999999768</c:v>
                </c:pt>
                <c:pt idx="482">
                  <c:v>19.279999999999767</c:v>
                </c:pt>
                <c:pt idx="483">
                  <c:v>19.319999999999766</c:v>
                </c:pt>
                <c:pt idx="484">
                  <c:v>19.359999999999765</c:v>
                </c:pt>
                <c:pt idx="485">
                  <c:v>19.399999999999764</c:v>
                </c:pt>
                <c:pt idx="486">
                  <c:v>19.439999999999763</c:v>
                </c:pt>
                <c:pt idx="487">
                  <c:v>19.479999999999762</c:v>
                </c:pt>
                <c:pt idx="488">
                  <c:v>19.519999999999762</c:v>
                </c:pt>
                <c:pt idx="489">
                  <c:v>19.559999999999761</c:v>
                </c:pt>
                <c:pt idx="490">
                  <c:v>19.59999999999976</c:v>
                </c:pt>
                <c:pt idx="491">
                  <c:v>19.639999999999759</c:v>
                </c:pt>
                <c:pt idx="492">
                  <c:v>19.679999999999758</c:v>
                </c:pt>
                <c:pt idx="493">
                  <c:v>19.719999999999757</c:v>
                </c:pt>
                <c:pt idx="494">
                  <c:v>19.759999999999756</c:v>
                </c:pt>
                <c:pt idx="495">
                  <c:v>19.799999999999756</c:v>
                </c:pt>
                <c:pt idx="496">
                  <c:v>19.839999999999755</c:v>
                </c:pt>
                <c:pt idx="497">
                  <c:v>19.879999999999754</c:v>
                </c:pt>
                <c:pt idx="498">
                  <c:v>19.919999999999753</c:v>
                </c:pt>
                <c:pt idx="499">
                  <c:v>19.959999999999752</c:v>
                </c:pt>
                <c:pt idx="500">
                  <c:v>19.999999999999751</c:v>
                </c:pt>
                <c:pt idx="501">
                  <c:v>20.03999999999975</c:v>
                </c:pt>
                <c:pt idx="502">
                  <c:v>20.07999999999975</c:v>
                </c:pt>
                <c:pt idx="503">
                  <c:v>20.119999999999749</c:v>
                </c:pt>
                <c:pt idx="504">
                  <c:v>20.159999999999748</c:v>
                </c:pt>
                <c:pt idx="505">
                  <c:v>20.199999999999747</c:v>
                </c:pt>
                <c:pt idx="506">
                  <c:v>20.239999999999746</c:v>
                </c:pt>
                <c:pt idx="507">
                  <c:v>20.279999999999745</c:v>
                </c:pt>
                <c:pt idx="508">
                  <c:v>20.319999999999744</c:v>
                </c:pt>
                <c:pt idx="509">
                  <c:v>20.359999999999744</c:v>
                </c:pt>
                <c:pt idx="510">
                  <c:v>20.399999999999743</c:v>
                </c:pt>
                <c:pt idx="511">
                  <c:v>20.439999999999742</c:v>
                </c:pt>
                <c:pt idx="512">
                  <c:v>20.479999999999741</c:v>
                </c:pt>
                <c:pt idx="513">
                  <c:v>20.51999999999974</c:v>
                </c:pt>
                <c:pt idx="514">
                  <c:v>20.559999999999739</c:v>
                </c:pt>
                <c:pt idx="515">
                  <c:v>20.599999999999739</c:v>
                </c:pt>
                <c:pt idx="516">
                  <c:v>20.639999999999738</c:v>
                </c:pt>
                <c:pt idx="517">
                  <c:v>20.679999999999737</c:v>
                </c:pt>
                <c:pt idx="518">
                  <c:v>20.719999999999736</c:v>
                </c:pt>
                <c:pt idx="519">
                  <c:v>20.759999999999735</c:v>
                </c:pt>
                <c:pt idx="520">
                  <c:v>20.799999999999734</c:v>
                </c:pt>
                <c:pt idx="521">
                  <c:v>20.839999999999733</c:v>
                </c:pt>
                <c:pt idx="522">
                  <c:v>20.879999999999733</c:v>
                </c:pt>
                <c:pt idx="523">
                  <c:v>20.919999999999732</c:v>
                </c:pt>
                <c:pt idx="524">
                  <c:v>20.959999999999731</c:v>
                </c:pt>
                <c:pt idx="525">
                  <c:v>20.99999999999973</c:v>
                </c:pt>
                <c:pt idx="526">
                  <c:v>21.039999999999729</c:v>
                </c:pt>
                <c:pt idx="527">
                  <c:v>21.079999999999728</c:v>
                </c:pt>
                <c:pt idx="528">
                  <c:v>21.119999999999727</c:v>
                </c:pt>
                <c:pt idx="529">
                  <c:v>21.159999999999727</c:v>
                </c:pt>
                <c:pt idx="530">
                  <c:v>21.199999999999726</c:v>
                </c:pt>
                <c:pt idx="531">
                  <c:v>21.239999999999725</c:v>
                </c:pt>
                <c:pt idx="532">
                  <c:v>21.279999999999724</c:v>
                </c:pt>
                <c:pt idx="533">
                  <c:v>21.319999999999723</c:v>
                </c:pt>
                <c:pt idx="534">
                  <c:v>21.359999999999722</c:v>
                </c:pt>
                <c:pt idx="535">
                  <c:v>21.399999999999721</c:v>
                </c:pt>
                <c:pt idx="536">
                  <c:v>21.439999999999721</c:v>
                </c:pt>
                <c:pt idx="537">
                  <c:v>21.47999999999972</c:v>
                </c:pt>
                <c:pt idx="538">
                  <c:v>21.519999999999719</c:v>
                </c:pt>
                <c:pt idx="539">
                  <c:v>21.559999999999718</c:v>
                </c:pt>
                <c:pt idx="540">
                  <c:v>21.599999999999717</c:v>
                </c:pt>
                <c:pt idx="541">
                  <c:v>21.639999999999716</c:v>
                </c:pt>
                <c:pt idx="542">
                  <c:v>21.679999999999715</c:v>
                </c:pt>
                <c:pt idx="543">
                  <c:v>21.719999999999715</c:v>
                </c:pt>
                <c:pt idx="544">
                  <c:v>21.759999999999714</c:v>
                </c:pt>
                <c:pt idx="545">
                  <c:v>21.799999999999713</c:v>
                </c:pt>
                <c:pt idx="546">
                  <c:v>21.839999999999712</c:v>
                </c:pt>
                <c:pt idx="547">
                  <c:v>21.879999999999711</c:v>
                </c:pt>
                <c:pt idx="548">
                  <c:v>21.91999999999971</c:v>
                </c:pt>
                <c:pt idx="549">
                  <c:v>21.95999999999971</c:v>
                </c:pt>
                <c:pt idx="550">
                  <c:v>21.999999999999709</c:v>
                </c:pt>
                <c:pt idx="551">
                  <c:v>22.039999999999708</c:v>
                </c:pt>
                <c:pt idx="552">
                  <c:v>22.079999999999707</c:v>
                </c:pt>
                <c:pt idx="553">
                  <c:v>22.119999999999706</c:v>
                </c:pt>
                <c:pt idx="554">
                  <c:v>22.159999999999705</c:v>
                </c:pt>
                <c:pt idx="555">
                  <c:v>22.199999999999704</c:v>
                </c:pt>
                <c:pt idx="556">
                  <c:v>22.239999999999704</c:v>
                </c:pt>
                <c:pt idx="557">
                  <c:v>22.279999999999703</c:v>
                </c:pt>
                <c:pt idx="558">
                  <c:v>22.319999999999702</c:v>
                </c:pt>
                <c:pt idx="559">
                  <c:v>22.359999999999701</c:v>
                </c:pt>
                <c:pt idx="560">
                  <c:v>22.3999999999997</c:v>
                </c:pt>
                <c:pt idx="561">
                  <c:v>22.439999999999699</c:v>
                </c:pt>
                <c:pt idx="562">
                  <c:v>22.479999999999698</c:v>
                </c:pt>
                <c:pt idx="563">
                  <c:v>22.519999999999698</c:v>
                </c:pt>
                <c:pt idx="564">
                  <c:v>22.559999999999697</c:v>
                </c:pt>
                <c:pt idx="565">
                  <c:v>22.599999999999696</c:v>
                </c:pt>
                <c:pt idx="566">
                  <c:v>22.639999999999695</c:v>
                </c:pt>
                <c:pt idx="567">
                  <c:v>22.679999999999694</c:v>
                </c:pt>
                <c:pt idx="568">
                  <c:v>22.719999999999693</c:v>
                </c:pt>
                <c:pt idx="569">
                  <c:v>22.759999999999692</c:v>
                </c:pt>
                <c:pt idx="570">
                  <c:v>22.799999999999692</c:v>
                </c:pt>
                <c:pt idx="571">
                  <c:v>22.839999999999691</c:v>
                </c:pt>
                <c:pt idx="572">
                  <c:v>22.87999999999969</c:v>
                </c:pt>
                <c:pt idx="573">
                  <c:v>22.919999999999689</c:v>
                </c:pt>
                <c:pt idx="574">
                  <c:v>22.959999999999688</c:v>
                </c:pt>
                <c:pt idx="575">
                  <c:v>22.999999999999687</c:v>
                </c:pt>
                <c:pt idx="576">
                  <c:v>23.039999999999687</c:v>
                </c:pt>
                <c:pt idx="577">
                  <c:v>23.079999999999686</c:v>
                </c:pt>
                <c:pt idx="578">
                  <c:v>23.119999999999685</c:v>
                </c:pt>
                <c:pt idx="579">
                  <c:v>23.159999999999684</c:v>
                </c:pt>
                <c:pt idx="580">
                  <c:v>23.199999999999683</c:v>
                </c:pt>
                <c:pt idx="581">
                  <c:v>23.239999999999682</c:v>
                </c:pt>
                <c:pt idx="582">
                  <c:v>23.279999999999681</c:v>
                </c:pt>
                <c:pt idx="583">
                  <c:v>23.319999999999681</c:v>
                </c:pt>
                <c:pt idx="584">
                  <c:v>23.35999999999968</c:v>
                </c:pt>
                <c:pt idx="585">
                  <c:v>23.399999999999679</c:v>
                </c:pt>
                <c:pt idx="586">
                  <c:v>23.439999999999678</c:v>
                </c:pt>
                <c:pt idx="587">
                  <c:v>23.479999999999677</c:v>
                </c:pt>
                <c:pt idx="588">
                  <c:v>23.519999999999676</c:v>
                </c:pt>
                <c:pt idx="589">
                  <c:v>23.559999999999675</c:v>
                </c:pt>
                <c:pt idx="590">
                  <c:v>23.599999999999675</c:v>
                </c:pt>
                <c:pt idx="591">
                  <c:v>23.639999999999674</c:v>
                </c:pt>
                <c:pt idx="592">
                  <c:v>23.679999999999673</c:v>
                </c:pt>
                <c:pt idx="593">
                  <c:v>23.719999999999672</c:v>
                </c:pt>
                <c:pt idx="594">
                  <c:v>23.759999999999671</c:v>
                </c:pt>
                <c:pt idx="595">
                  <c:v>23.79999999999967</c:v>
                </c:pt>
                <c:pt idx="596">
                  <c:v>23.839999999999669</c:v>
                </c:pt>
                <c:pt idx="597">
                  <c:v>23.879999999999669</c:v>
                </c:pt>
                <c:pt idx="598">
                  <c:v>23.919999999999668</c:v>
                </c:pt>
                <c:pt idx="599">
                  <c:v>23.959999999999667</c:v>
                </c:pt>
                <c:pt idx="600">
                  <c:v>23.999999999999666</c:v>
                </c:pt>
                <c:pt idx="601">
                  <c:v>24.039999999999665</c:v>
                </c:pt>
                <c:pt idx="602">
                  <c:v>24.079999999999664</c:v>
                </c:pt>
                <c:pt idx="603">
                  <c:v>24.119999999999663</c:v>
                </c:pt>
                <c:pt idx="604">
                  <c:v>24.159999999999663</c:v>
                </c:pt>
                <c:pt idx="605">
                  <c:v>24.199999999999662</c:v>
                </c:pt>
                <c:pt idx="606">
                  <c:v>24.239999999999661</c:v>
                </c:pt>
                <c:pt idx="607">
                  <c:v>24.27999999999966</c:v>
                </c:pt>
                <c:pt idx="608">
                  <c:v>24.319999999999659</c:v>
                </c:pt>
                <c:pt idx="609">
                  <c:v>24.359999999999658</c:v>
                </c:pt>
                <c:pt idx="610">
                  <c:v>24.399999999999658</c:v>
                </c:pt>
                <c:pt idx="611">
                  <c:v>24.439999999999657</c:v>
                </c:pt>
                <c:pt idx="612">
                  <c:v>24.479999999999656</c:v>
                </c:pt>
                <c:pt idx="613">
                  <c:v>24.519999999999655</c:v>
                </c:pt>
                <c:pt idx="614">
                  <c:v>24.559999999999654</c:v>
                </c:pt>
                <c:pt idx="615">
                  <c:v>24.599999999999653</c:v>
                </c:pt>
                <c:pt idx="616">
                  <c:v>24.639999999999652</c:v>
                </c:pt>
                <c:pt idx="617">
                  <c:v>24.679999999999652</c:v>
                </c:pt>
                <c:pt idx="618">
                  <c:v>24.719999999999651</c:v>
                </c:pt>
                <c:pt idx="619">
                  <c:v>24.75999999999965</c:v>
                </c:pt>
                <c:pt idx="620">
                  <c:v>24.799999999999649</c:v>
                </c:pt>
                <c:pt idx="621">
                  <c:v>24.839999999999648</c:v>
                </c:pt>
                <c:pt idx="622">
                  <c:v>24.879999999999647</c:v>
                </c:pt>
                <c:pt idx="623">
                  <c:v>24.919999999999646</c:v>
                </c:pt>
                <c:pt idx="624">
                  <c:v>24.959999999999646</c:v>
                </c:pt>
                <c:pt idx="625">
                  <c:v>24.999999999999645</c:v>
                </c:pt>
                <c:pt idx="626">
                  <c:v>25.039999999999644</c:v>
                </c:pt>
                <c:pt idx="627">
                  <c:v>25.079999999999643</c:v>
                </c:pt>
                <c:pt idx="628">
                  <c:v>25.119999999999642</c:v>
                </c:pt>
                <c:pt idx="629">
                  <c:v>25.159999999999641</c:v>
                </c:pt>
                <c:pt idx="630">
                  <c:v>25.19999999999964</c:v>
                </c:pt>
                <c:pt idx="631">
                  <c:v>25.23999999999964</c:v>
                </c:pt>
                <c:pt idx="632">
                  <c:v>25.279999999999639</c:v>
                </c:pt>
                <c:pt idx="633">
                  <c:v>25.319999999999638</c:v>
                </c:pt>
                <c:pt idx="634">
                  <c:v>25.359999999999637</c:v>
                </c:pt>
                <c:pt idx="635">
                  <c:v>25.399999999999636</c:v>
                </c:pt>
                <c:pt idx="636">
                  <c:v>25.439999999999635</c:v>
                </c:pt>
                <c:pt idx="637">
                  <c:v>25.479999999999634</c:v>
                </c:pt>
                <c:pt idx="638">
                  <c:v>25.519999999999634</c:v>
                </c:pt>
                <c:pt idx="639">
                  <c:v>25.559999999999633</c:v>
                </c:pt>
                <c:pt idx="640">
                  <c:v>25.599999999999632</c:v>
                </c:pt>
                <c:pt idx="641">
                  <c:v>25.639999999999631</c:v>
                </c:pt>
                <c:pt idx="642">
                  <c:v>25.67999999999963</c:v>
                </c:pt>
                <c:pt idx="643">
                  <c:v>25.719999999999629</c:v>
                </c:pt>
                <c:pt idx="644">
                  <c:v>25.759999999999629</c:v>
                </c:pt>
                <c:pt idx="645">
                  <c:v>25.799999999999628</c:v>
                </c:pt>
                <c:pt idx="646">
                  <c:v>25.839999999999627</c:v>
                </c:pt>
                <c:pt idx="647">
                  <c:v>25.879999999999626</c:v>
                </c:pt>
                <c:pt idx="648">
                  <c:v>25.919999999999625</c:v>
                </c:pt>
                <c:pt idx="649">
                  <c:v>25.959999999999624</c:v>
                </c:pt>
                <c:pt idx="650">
                  <c:v>25.999999999999623</c:v>
                </c:pt>
                <c:pt idx="651">
                  <c:v>26.039999999999623</c:v>
                </c:pt>
                <c:pt idx="652">
                  <c:v>26.079999999999622</c:v>
                </c:pt>
                <c:pt idx="653">
                  <c:v>26.119999999999621</c:v>
                </c:pt>
                <c:pt idx="654">
                  <c:v>26.15999999999962</c:v>
                </c:pt>
                <c:pt idx="655">
                  <c:v>26.199999999999619</c:v>
                </c:pt>
                <c:pt idx="656">
                  <c:v>26.239999999999618</c:v>
                </c:pt>
                <c:pt idx="657">
                  <c:v>26.279999999999617</c:v>
                </c:pt>
                <c:pt idx="658">
                  <c:v>26.319999999999617</c:v>
                </c:pt>
                <c:pt idx="659">
                  <c:v>26.359999999999616</c:v>
                </c:pt>
                <c:pt idx="660">
                  <c:v>26.399999999999615</c:v>
                </c:pt>
                <c:pt idx="661">
                  <c:v>26.439999999999614</c:v>
                </c:pt>
                <c:pt idx="662">
                  <c:v>26.479999999999613</c:v>
                </c:pt>
                <c:pt idx="663">
                  <c:v>26.519999999999612</c:v>
                </c:pt>
                <c:pt idx="664">
                  <c:v>26.559999999999611</c:v>
                </c:pt>
                <c:pt idx="665">
                  <c:v>26.599999999999611</c:v>
                </c:pt>
                <c:pt idx="666">
                  <c:v>26.63999999999961</c:v>
                </c:pt>
                <c:pt idx="667">
                  <c:v>26.679999999999609</c:v>
                </c:pt>
                <c:pt idx="668">
                  <c:v>26.719999999999608</c:v>
                </c:pt>
                <c:pt idx="669">
                  <c:v>26.759999999999607</c:v>
                </c:pt>
                <c:pt idx="670">
                  <c:v>26.799999999999606</c:v>
                </c:pt>
                <c:pt idx="671">
                  <c:v>26.839999999999606</c:v>
                </c:pt>
                <c:pt idx="672">
                  <c:v>26.879999999999605</c:v>
                </c:pt>
                <c:pt idx="673">
                  <c:v>26.919999999999604</c:v>
                </c:pt>
                <c:pt idx="674">
                  <c:v>26.959999999999603</c:v>
                </c:pt>
                <c:pt idx="675">
                  <c:v>26.999999999999602</c:v>
                </c:pt>
                <c:pt idx="676">
                  <c:v>27.039999999999601</c:v>
                </c:pt>
                <c:pt idx="677">
                  <c:v>27.0799999999996</c:v>
                </c:pt>
                <c:pt idx="678">
                  <c:v>27.1199999999996</c:v>
                </c:pt>
                <c:pt idx="679">
                  <c:v>27.159999999999599</c:v>
                </c:pt>
                <c:pt idx="680">
                  <c:v>27.199999999999598</c:v>
                </c:pt>
                <c:pt idx="681">
                  <c:v>27.239999999999597</c:v>
                </c:pt>
                <c:pt idx="682">
                  <c:v>27.279999999999596</c:v>
                </c:pt>
                <c:pt idx="683">
                  <c:v>27.319999999999595</c:v>
                </c:pt>
                <c:pt idx="684">
                  <c:v>27.359999999999594</c:v>
                </c:pt>
                <c:pt idx="685">
                  <c:v>27.399999999999594</c:v>
                </c:pt>
                <c:pt idx="686">
                  <c:v>27.439999999999593</c:v>
                </c:pt>
                <c:pt idx="687">
                  <c:v>27.479999999999592</c:v>
                </c:pt>
                <c:pt idx="688">
                  <c:v>27.519999999999591</c:v>
                </c:pt>
                <c:pt idx="689">
                  <c:v>27.55999999999959</c:v>
                </c:pt>
                <c:pt idx="690">
                  <c:v>27.599999999999589</c:v>
                </c:pt>
                <c:pt idx="691">
                  <c:v>27.639999999999588</c:v>
                </c:pt>
                <c:pt idx="692">
                  <c:v>27.679999999999588</c:v>
                </c:pt>
                <c:pt idx="693">
                  <c:v>27.719999999999587</c:v>
                </c:pt>
                <c:pt idx="694">
                  <c:v>27.759999999999586</c:v>
                </c:pt>
                <c:pt idx="695">
                  <c:v>27.799999999999585</c:v>
                </c:pt>
                <c:pt idx="696">
                  <c:v>27.839999999999584</c:v>
                </c:pt>
                <c:pt idx="697">
                  <c:v>27.879999999999583</c:v>
                </c:pt>
                <c:pt idx="698">
                  <c:v>27.919999999999582</c:v>
                </c:pt>
                <c:pt idx="699">
                  <c:v>27.959999999999582</c:v>
                </c:pt>
                <c:pt idx="700">
                  <c:v>27.999999999999581</c:v>
                </c:pt>
                <c:pt idx="701">
                  <c:v>28.03999999999958</c:v>
                </c:pt>
                <c:pt idx="702">
                  <c:v>28.079999999999579</c:v>
                </c:pt>
                <c:pt idx="703">
                  <c:v>28.119999999999578</c:v>
                </c:pt>
                <c:pt idx="704">
                  <c:v>28.159999999999577</c:v>
                </c:pt>
                <c:pt idx="705">
                  <c:v>28.199999999999577</c:v>
                </c:pt>
                <c:pt idx="706">
                  <c:v>28.239999999999576</c:v>
                </c:pt>
                <c:pt idx="707">
                  <c:v>28.279999999999575</c:v>
                </c:pt>
                <c:pt idx="708">
                  <c:v>28.319999999999574</c:v>
                </c:pt>
                <c:pt idx="709">
                  <c:v>28.359999999999573</c:v>
                </c:pt>
                <c:pt idx="710">
                  <c:v>28.399999999999572</c:v>
                </c:pt>
                <c:pt idx="711">
                  <c:v>28.439999999999571</c:v>
                </c:pt>
                <c:pt idx="712">
                  <c:v>28.479999999999571</c:v>
                </c:pt>
                <c:pt idx="713">
                  <c:v>28.51999999999957</c:v>
                </c:pt>
                <c:pt idx="714">
                  <c:v>28.559999999999569</c:v>
                </c:pt>
                <c:pt idx="715">
                  <c:v>28.599999999999568</c:v>
                </c:pt>
              </c:numCache>
            </c:numRef>
          </c:cat>
          <c:val>
            <c:numRef>
              <c:f>Calculations!$B$24:$AAO$24</c:f>
              <c:numCache>
                <c:formatCode>General</c:formatCode>
                <c:ptCount val="71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</c:v>
                </c:pt>
                <c:pt idx="555">
                  <c:v>30</c:v>
                </c:pt>
                <c:pt idx="556">
                  <c:v>30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30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30</c:v>
                </c:pt>
                <c:pt idx="576">
                  <c:v>30</c:v>
                </c:pt>
                <c:pt idx="577">
                  <c:v>30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30</c:v>
                </c:pt>
                <c:pt idx="650">
                  <c:v>30</c:v>
                </c:pt>
                <c:pt idx="651">
                  <c:v>30</c:v>
                </c:pt>
                <c:pt idx="652">
                  <c:v>30</c:v>
                </c:pt>
                <c:pt idx="653">
                  <c:v>30</c:v>
                </c:pt>
                <c:pt idx="654">
                  <c:v>30</c:v>
                </c:pt>
                <c:pt idx="655">
                  <c:v>30</c:v>
                </c:pt>
                <c:pt idx="656">
                  <c:v>30</c:v>
                </c:pt>
                <c:pt idx="657">
                  <c:v>30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30</c:v>
                </c:pt>
                <c:pt idx="662">
                  <c:v>30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30</c:v>
                </c:pt>
                <c:pt idx="667">
                  <c:v>30</c:v>
                </c:pt>
                <c:pt idx="668">
                  <c:v>30</c:v>
                </c:pt>
                <c:pt idx="669">
                  <c:v>30</c:v>
                </c:pt>
                <c:pt idx="670">
                  <c:v>30</c:v>
                </c:pt>
                <c:pt idx="671">
                  <c:v>30</c:v>
                </c:pt>
                <c:pt idx="672">
                  <c:v>30</c:v>
                </c:pt>
                <c:pt idx="673">
                  <c:v>30</c:v>
                </c:pt>
                <c:pt idx="674">
                  <c:v>30</c:v>
                </c:pt>
                <c:pt idx="675">
                  <c:v>30</c:v>
                </c:pt>
                <c:pt idx="676">
                  <c:v>30</c:v>
                </c:pt>
                <c:pt idx="677">
                  <c:v>30</c:v>
                </c:pt>
                <c:pt idx="678">
                  <c:v>30</c:v>
                </c:pt>
                <c:pt idx="679">
                  <c:v>30</c:v>
                </c:pt>
                <c:pt idx="680">
                  <c:v>30</c:v>
                </c:pt>
                <c:pt idx="681">
                  <c:v>30</c:v>
                </c:pt>
                <c:pt idx="682">
                  <c:v>30</c:v>
                </c:pt>
                <c:pt idx="683">
                  <c:v>30</c:v>
                </c:pt>
                <c:pt idx="684">
                  <c:v>30</c:v>
                </c:pt>
                <c:pt idx="685">
                  <c:v>30</c:v>
                </c:pt>
                <c:pt idx="686">
                  <c:v>30</c:v>
                </c:pt>
                <c:pt idx="687">
                  <c:v>30</c:v>
                </c:pt>
                <c:pt idx="688">
                  <c:v>30</c:v>
                </c:pt>
                <c:pt idx="689">
                  <c:v>30</c:v>
                </c:pt>
                <c:pt idx="690">
                  <c:v>30</c:v>
                </c:pt>
                <c:pt idx="691">
                  <c:v>30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</c:numCache>
            </c:numRef>
          </c:val>
        </c:ser>
        <c:ser>
          <c:idx val="1"/>
          <c:order val="1"/>
          <c:tx>
            <c:strRef>
              <c:f>Calculations!$A$25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Calculations!$B$21:$AAO$21</c:f>
              <c:numCache>
                <c:formatCode>0.00</c:formatCode>
                <c:ptCount val="716"/>
                <c:pt idx="0" formatCode="General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5.0000000000000036</c:v>
                </c:pt>
                <c:pt idx="126">
                  <c:v>5.0400000000000036</c:v>
                </c:pt>
                <c:pt idx="127">
                  <c:v>5.0800000000000036</c:v>
                </c:pt>
                <c:pt idx="128">
                  <c:v>5.1200000000000037</c:v>
                </c:pt>
                <c:pt idx="129">
                  <c:v>5.1600000000000037</c:v>
                </c:pt>
                <c:pt idx="130">
                  <c:v>5.2000000000000037</c:v>
                </c:pt>
                <c:pt idx="131">
                  <c:v>5.2400000000000038</c:v>
                </c:pt>
                <c:pt idx="132">
                  <c:v>5.2800000000000038</c:v>
                </c:pt>
                <c:pt idx="133">
                  <c:v>5.3200000000000038</c:v>
                </c:pt>
                <c:pt idx="134">
                  <c:v>5.3600000000000039</c:v>
                </c:pt>
                <c:pt idx="135">
                  <c:v>5.4000000000000039</c:v>
                </c:pt>
                <c:pt idx="136">
                  <c:v>5.4400000000000039</c:v>
                </c:pt>
                <c:pt idx="137">
                  <c:v>5.480000000000004</c:v>
                </c:pt>
                <c:pt idx="138">
                  <c:v>5.520000000000004</c:v>
                </c:pt>
                <c:pt idx="139">
                  <c:v>5.5600000000000041</c:v>
                </c:pt>
                <c:pt idx="140">
                  <c:v>5.6000000000000041</c:v>
                </c:pt>
                <c:pt idx="141">
                  <c:v>5.6400000000000041</c:v>
                </c:pt>
                <c:pt idx="142">
                  <c:v>5.6800000000000042</c:v>
                </c:pt>
                <c:pt idx="143">
                  <c:v>5.7200000000000042</c:v>
                </c:pt>
                <c:pt idx="144">
                  <c:v>5.7600000000000042</c:v>
                </c:pt>
                <c:pt idx="145">
                  <c:v>5.8000000000000043</c:v>
                </c:pt>
                <c:pt idx="146">
                  <c:v>5.8400000000000043</c:v>
                </c:pt>
                <c:pt idx="147">
                  <c:v>5.8800000000000043</c:v>
                </c:pt>
                <c:pt idx="148">
                  <c:v>5.9200000000000044</c:v>
                </c:pt>
                <c:pt idx="149">
                  <c:v>5.9600000000000044</c:v>
                </c:pt>
                <c:pt idx="150">
                  <c:v>6.0000000000000044</c:v>
                </c:pt>
                <c:pt idx="151">
                  <c:v>6.0400000000000045</c:v>
                </c:pt>
                <c:pt idx="152">
                  <c:v>6.0800000000000045</c:v>
                </c:pt>
                <c:pt idx="153">
                  <c:v>6.1200000000000045</c:v>
                </c:pt>
                <c:pt idx="154">
                  <c:v>6.1600000000000046</c:v>
                </c:pt>
                <c:pt idx="155">
                  <c:v>6.2000000000000046</c:v>
                </c:pt>
                <c:pt idx="156">
                  <c:v>6.2400000000000047</c:v>
                </c:pt>
                <c:pt idx="157">
                  <c:v>6.2800000000000047</c:v>
                </c:pt>
                <c:pt idx="158">
                  <c:v>6.3200000000000047</c:v>
                </c:pt>
                <c:pt idx="159">
                  <c:v>6.3600000000000048</c:v>
                </c:pt>
                <c:pt idx="160">
                  <c:v>6.4000000000000048</c:v>
                </c:pt>
                <c:pt idx="161">
                  <c:v>6.4400000000000048</c:v>
                </c:pt>
                <c:pt idx="162">
                  <c:v>6.4800000000000049</c:v>
                </c:pt>
                <c:pt idx="163">
                  <c:v>6.5200000000000049</c:v>
                </c:pt>
                <c:pt idx="164">
                  <c:v>6.5600000000000049</c:v>
                </c:pt>
                <c:pt idx="165">
                  <c:v>6.600000000000005</c:v>
                </c:pt>
                <c:pt idx="166">
                  <c:v>6.640000000000005</c:v>
                </c:pt>
                <c:pt idx="167">
                  <c:v>6.680000000000005</c:v>
                </c:pt>
                <c:pt idx="168">
                  <c:v>6.7200000000000051</c:v>
                </c:pt>
                <c:pt idx="169">
                  <c:v>6.7600000000000051</c:v>
                </c:pt>
                <c:pt idx="170">
                  <c:v>6.8000000000000052</c:v>
                </c:pt>
                <c:pt idx="171">
                  <c:v>6.8400000000000052</c:v>
                </c:pt>
                <c:pt idx="172">
                  <c:v>6.8800000000000052</c:v>
                </c:pt>
                <c:pt idx="173">
                  <c:v>6.9200000000000053</c:v>
                </c:pt>
                <c:pt idx="174">
                  <c:v>6.9600000000000053</c:v>
                </c:pt>
                <c:pt idx="175">
                  <c:v>7.0000000000000053</c:v>
                </c:pt>
                <c:pt idx="176">
                  <c:v>7.0400000000000054</c:v>
                </c:pt>
                <c:pt idx="177">
                  <c:v>7.0800000000000054</c:v>
                </c:pt>
                <c:pt idx="178">
                  <c:v>7.1200000000000054</c:v>
                </c:pt>
                <c:pt idx="179">
                  <c:v>7.1600000000000055</c:v>
                </c:pt>
                <c:pt idx="180">
                  <c:v>7.2000000000000055</c:v>
                </c:pt>
                <c:pt idx="181">
                  <c:v>7.2400000000000055</c:v>
                </c:pt>
                <c:pt idx="182">
                  <c:v>7.2800000000000056</c:v>
                </c:pt>
                <c:pt idx="183">
                  <c:v>7.3200000000000056</c:v>
                </c:pt>
                <c:pt idx="184">
                  <c:v>7.3600000000000056</c:v>
                </c:pt>
                <c:pt idx="185">
                  <c:v>7.4000000000000057</c:v>
                </c:pt>
                <c:pt idx="186">
                  <c:v>7.4400000000000057</c:v>
                </c:pt>
                <c:pt idx="187">
                  <c:v>7.4800000000000058</c:v>
                </c:pt>
                <c:pt idx="188">
                  <c:v>7.5200000000000058</c:v>
                </c:pt>
                <c:pt idx="189">
                  <c:v>7.5600000000000058</c:v>
                </c:pt>
                <c:pt idx="190">
                  <c:v>7.6000000000000059</c:v>
                </c:pt>
                <c:pt idx="191">
                  <c:v>7.6400000000000059</c:v>
                </c:pt>
                <c:pt idx="192">
                  <c:v>7.6800000000000059</c:v>
                </c:pt>
                <c:pt idx="193">
                  <c:v>7.720000000000006</c:v>
                </c:pt>
                <c:pt idx="194">
                  <c:v>7.760000000000006</c:v>
                </c:pt>
                <c:pt idx="195">
                  <c:v>7.800000000000006</c:v>
                </c:pt>
                <c:pt idx="196">
                  <c:v>7.8400000000000061</c:v>
                </c:pt>
                <c:pt idx="197">
                  <c:v>7.8800000000000061</c:v>
                </c:pt>
                <c:pt idx="198">
                  <c:v>7.9200000000000061</c:v>
                </c:pt>
                <c:pt idx="199">
                  <c:v>7.9600000000000062</c:v>
                </c:pt>
                <c:pt idx="200">
                  <c:v>8.0000000000000053</c:v>
                </c:pt>
                <c:pt idx="201">
                  <c:v>8.0400000000000045</c:v>
                </c:pt>
                <c:pt idx="202">
                  <c:v>8.0800000000000036</c:v>
                </c:pt>
                <c:pt idx="203">
                  <c:v>8.1200000000000028</c:v>
                </c:pt>
                <c:pt idx="204">
                  <c:v>8.1600000000000019</c:v>
                </c:pt>
                <c:pt idx="205">
                  <c:v>8.2000000000000011</c:v>
                </c:pt>
                <c:pt idx="206">
                  <c:v>8.24</c:v>
                </c:pt>
                <c:pt idx="207">
                  <c:v>8.2799999999999994</c:v>
                </c:pt>
                <c:pt idx="208">
                  <c:v>8.3199999999999985</c:v>
                </c:pt>
                <c:pt idx="209">
                  <c:v>8.3599999999999977</c:v>
                </c:pt>
                <c:pt idx="210">
                  <c:v>8.3999999999999968</c:v>
                </c:pt>
                <c:pt idx="211">
                  <c:v>8.4399999999999959</c:v>
                </c:pt>
                <c:pt idx="212">
                  <c:v>8.4799999999999951</c:v>
                </c:pt>
                <c:pt idx="213">
                  <c:v>8.5199999999999942</c:v>
                </c:pt>
                <c:pt idx="214">
                  <c:v>8.5599999999999934</c:v>
                </c:pt>
                <c:pt idx="215">
                  <c:v>8.5999999999999925</c:v>
                </c:pt>
                <c:pt idx="216">
                  <c:v>8.6399999999999917</c:v>
                </c:pt>
                <c:pt idx="217">
                  <c:v>8.6799999999999908</c:v>
                </c:pt>
                <c:pt idx="218">
                  <c:v>8.71999999999999</c:v>
                </c:pt>
                <c:pt idx="219">
                  <c:v>8.7599999999999891</c:v>
                </c:pt>
                <c:pt idx="220">
                  <c:v>8.7999999999999883</c:v>
                </c:pt>
                <c:pt idx="221">
                  <c:v>8.8399999999999874</c:v>
                </c:pt>
                <c:pt idx="222">
                  <c:v>8.8799999999999866</c:v>
                </c:pt>
                <c:pt idx="223">
                  <c:v>8.9199999999999857</c:v>
                </c:pt>
                <c:pt idx="224">
                  <c:v>8.9599999999999849</c:v>
                </c:pt>
                <c:pt idx="225">
                  <c:v>8.999999999999984</c:v>
                </c:pt>
                <c:pt idx="226">
                  <c:v>9.0399999999999832</c:v>
                </c:pt>
                <c:pt idx="227">
                  <c:v>9.0799999999999823</c:v>
                </c:pt>
                <c:pt idx="228">
                  <c:v>9.1199999999999815</c:v>
                </c:pt>
                <c:pt idx="229">
                  <c:v>9.1599999999999806</c:v>
                </c:pt>
                <c:pt idx="230">
                  <c:v>9.1999999999999797</c:v>
                </c:pt>
                <c:pt idx="231">
                  <c:v>9.2399999999999789</c:v>
                </c:pt>
                <c:pt idx="232">
                  <c:v>9.279999999999978</c:v>
                </c:pt>
                <c:pt idx="233">
                  <c:v>9.3199999999999772</c:v>
                </c:pt>
                <c:pt idx="234">
                  <c:v>9.3599999999999763</c:v>
                </c:pt>
                <c:pt idx="235">
                  <c:v>9.3999999999999755</c:v>
                </c:pt>
                <c:pt idx="236">
                  <c:v>9.4399999999999746</c:v>
                </c:pt>
                <c:pt idx="237">
                  <c:v>9.4799999999999738</c:v>
                </c:pt>
                <c:pt idx="238">
                  <c:v>9.5199999999999729</c:v>
                </c:pt>
                <c:pt idx="239">
                  <c:v>9.5599999999999721</c:v>
                </c:pt>
                <c:pt idx="240">
                  <c:v>9.5999999999999712</c:v>
                </c:pt>
                <c:pt idx="241">
                  <c:v>9.6399999999999704</c:v>
                </c:pt>
                <c:pt idx="242">
                  <c:v>9.6799999999999695</c:v>
                </c:pt>
                <c:pt idx="243">
                  <c:v>9.7199999999999687</c:v>
                </c:pt>
                <c:pt idx="244">
                  <c:v>9.7599999999999678</c:v>
                </c:pt>
                <c:pt idx="245">
                  <c:v>9.799999999999967</c:v>
                </c:pt>
                <c:pt idx="246">
                  <c:v>9.8399999999999661</c:v>
                </c:pt>
                <c:pt idx="247">
                  <c:v>9.8799999999999653</c:v>
                </c:pt>
                <c:pt idx="248">
                  <c:v>9.9199999999999644</c:v>
                </c:pt>
                <c:pt idx="249">
                  <c:v>9.9599999999999635</c:v>
                </c:pt>
                <c:pt idx="250">
                  <c:v>9.9999999999999627</c:v>
                </c:pt>
                <c:pt idx="251">
                  <c:v>10.039999999999962</c:v>
                </c:pt>
                <c:pt idx="252">
                  <c:v>10.079999999999961</c:v>
                </c:pt>
                <c:pt idx="253">
                  <c:v>10.11999999999996</c:v>
                </c:pt>
                <c:pt idx="254">
                  <c:v>10.159999999999959</c:v>
                </c:pt>
                <c:pt idx="255">
                  <c:v>10.199999999999958</c:v>
                </c:pt>
                <c:pt idx="256">
                  <c:v>10.239999999999958</c:v>
                </c:pt>
                <c:pt idx="257">
                  <c:v>10.279999999999957</c:v>
                </c:pt>
                <c:pt idx="258">
                  <c:v>10.319999999999956</c:v>
                </c:pt>
                <c:pt idx="259">
                  <c:v>10.359999999999955</c:v>
                </c:pt>
                <c:pt idx="260">
                  <c:v>10.399999999999954</c:v>
                </c:pt>
                <c:pt idx="261">
                  <c:v>10.439999999999953</c:v>
                </c:pt>
                <c:pt idx="262">
                  <c:v>10.479999999999952</c:v>
                </c:pt>
                <c:pt idx="263">
                  <c:v>10.519999999999952</c:v>
                </c:pt>
                <c:pt idx="264">
                  <c:v>10.559999999999951</c:v>
                </c:pt>
                <c:pt idx="265">
                  <c:v>10.59999999999995</c:v>
                </c:pt>
                <c:pt idx="266">
                  <c:v>10.639999999999949</c:v>
                </c:pt>
                <c:pt idx="267">
                  <c:v>10.679999999999948</c:v>
                </c:pt>
                <c:pt idx="268">
                  <c:v>10.719999999999947</c:v>
                </c:pt>
                <c:pt idx="269">
                  <c:v>10.759999999999946</c:v>
                </c:pt>
                <c:pt idx="270">
                  <c:v>10.799999999999946</c:v>
                </c:pt>
                <c:pt idx="271">
                  <c:v>10.839999999999945</c:v>
                </c:pt>
                <c:pt idx="272">
                  <c:v>10.879999999999944</c:v>
                </c:pt>
                <c:pt idx="273">
                  <c:v>10.919999999999943</c:v>
                </c:pt>
                <c:pt idx="274">
                  <c:v>10.959999999999942</c:v>
                </c:pt>
                <c:pt idx="275">
                  <c:v>10.999999999999941</c:v>
                </c:pt>
                <c:pt idx="276">
                  <c:v>11.039999999999941</c:v>
                </c:pt>
                <c:pt idx="277">
                  <c:v>11.07999999999994</c:v>
                </c:pt>
                <c:pt idx="278">
                  <c:v>11.119999999999939</c:v>
                </c:pt>
                <c:pt idx="279">
                  <c:v>11.159999999999938</c:v>
                </c:pt>
                <c:pt idx="280">
                  <c:v>11.199999999999937</c:v>
                </c:pt>
                <c:pt idx="281">
                  <c:v>11.239999999999936</c:v>
                </c:pt>
                <c:pt idx="282">
                  <c:v>11.279999999999935</c:v>
                </c:pt>
                <c:pt idx="283">
                  <c:v>11.319999999999935</c:v>
                </c:pt>
                <c:pt idx="284">
                  <c:v>11.359999999999934</c:v>
                </c:pt>
                <c:pt idx="285">
                  <c:v>11.399999999999933</c:v>
                </c:pt>
                <c:pt idx="286">
                  <c:v>11.439999999999932</c:v>
                </c:pt>
                <c:pt idx="287">
                  <c:v>11.479999999999931</c:v>
                </c:pt>
                <c:pt idx="288">
                  <c:v>11.51999999999993</c:v>
                </c:pt>
                <c:pt idx="289">
                  <c:v>11.559999999999929</c:v>
                </c:pt>
                <c:pt idx="290">
                  <c:v>11.599999999999929</c:v>
                </c:pt>
                <c:pt idx="291">
                  <c:v>11.639999999999928</c:v>
                </c:pt>
                <c:pt idx="292">
                  <c:v>11.679999999999927</c:v>
                </c:pt>
                <c:pt idx="293">
                  <c:v>11.719999999999926</c:v>
                </c:pt>
                <c:pt idx="294">
                  <c:v>11.759999999999925</c:v>
                </c:pt>
                <c:pt idx="295">
                  <c:v>11.799999999999924</c:v>
                </c:pt>
                <c:pt idx="296">
                  <c:v>11.839999999999923</c:v>
                </c:pt>
                <c:pt idx="297">
                  <c:v>11.879999999999923</c:v>
                </c:pt>
                <c:pt idx="298">
                  <c:v>11.919999999999922</c:v>
                </c:pt>
                <c:pt idx="299">
                  <c:v>11.959999999999921</c:v>
                </c:pt>
                <c:pt idx="300">
                  <c:v>11.99999999999992</c:v>
                </c:pt>
                <c:pt idx="301">
                  <c:v>12.039999999999919</c:v>
                </c:pt>
                <c:pt idx="302">
                  <c:v>12.079999999999918</c:v>
                </c:pt>
                <c:pt idx="303">
                  <c:v>12.119999999999918</c:v>
                </c:pt>
                <c:pt idx="304">
                  <c:v>12.159999999999917</c:v>
                </c:pt>
                <c:pt idx="305">
                  <c:v>12.199999999999916</c:v>
                </c:pt>
                <c:pt idx="306">
                  <c:v>12.239999999999915</c:v>
                </c:pt>
                <c:pt idx="307">
                  <c:v>12.279999999999914</c:v>
                </c:pt>
                <c:pt idx="308">
                  <c:v>12.319999999999913</c:v>
                </c:pt>
                <c:pt idx="309">
                  <c:v>12.359999999999912</c:v>
                </c:pt>
                <c:pt idx="310">
                  <c:v>12.399999999999912</c:v>
                </c:pt>
                <c:pt idx="311">
                  <c:v>12.439999999999911</c:v>
                </c:pt>
                <c:pt idx="312">
                  <c:v>12.47999999999991</c:v>
                </c:pt>
                <c:pt idx="313">
                  <c:v>12.519999999999909</c:v>
                </c:pt>
                <c:pt idx="314">
                  <c:v>12.559999999999908</c:v>
                </c:pt>
                <c:pt idx="315">
                  <c:v>12.599999999999907</c:v>
                </c:pt>
                <c:pt idx="316">
                  <c:v>12.639999999999906</c:v>
                </c:pt>
                <c:pt idx="317">
                  <c:v>12.679999999999906</c:v>
                </c:pt>
                <c:pt idx="318">
                  <c:v>12.719999999999905</c:v>
                </c:pt>
                <c:pt idx="319">
                  <c:v>12.759999999999904</c:v>
                </c:pt>
                <c:pt idx="320">
                  <c:v>12.799999999999903</c:v>
                </c:pt>
                <c:pt idx="321">
                  <c:v>12.839999999999902</c:v>
                </c:pt>
                <c:pt idx="322">
                  <c:v>12.879999999999901</c:v>
                </c:pt>
                <c:pt idx="323">
                  <c:v>12.9199999999999</c:v>
                </c:pt>
                <c:pt idx="324">
                  <c:v>12.9599999999999</c:v>
                </c:pt>
                <c:pt idx="325">
                  <c:v>12.999999999999899</c:v>
                </c:pt>
                <c:pt idx="326">
                  <c:v>13.039999999999898</c:v>
                </c:pt>
                <c:pt idx="327">
                  <c:v>13.079999999999897</c:v>
                </c:pt>
                <c:pt idx="328">
                  <c:v>13.119999999999896</c:v>
                </c:pt>
                <c:pt idx="329">
                  <c:v>13.159999999999895</c:v>
                </c:pt>
                <c:pt idx="330">
                  <c:v>13.199999999999894</c:v>
                </c:pt>
                <c:pt idx="331">
                  <c:v>13.239999999999894</c:v>
                </c:pt>
                <c:pt idx="332">
                  <c:v>13.279999999999893</c:v>
                </c:pt>
                <c:pt idx="333">
                  <c:v>13.319999999999892</c:v>
                </c:pt>
                <c:pt idx="334">
                  <c:v>13.359999999999891</c:v>
                </c:pt>
                <c:pt idx="335">
                  <c:v>13.39999999999989</c:v>
                </c:pt>
                <c:pt idx="336">
                  <c:v>13.439999999999889</c:v>
                </c:pt>
                <c:pt idx="337">
                  <c:v>13.479999999999889</c:v>
                </c:pt>
                <c:pt idx="338">
                  <c:v>13.519999999999888</c:v>
                </c:pt>
                <c:pt idx="339">
                  <c:v>13.559999999999887</c:v>
                </c:pt>
                <c:pt idx="340">
                  <c:v>13.599999999999886</c:v>
                </c:pt>
                <c:pt idx="341">
                  <c:v>13.639999999999885</c:v>
                </c:pt>
                <c:pt idx="342">
                  <c:v>13.679999999999884</c:v>
                </c:pt>
                <c:pt idx="343">
                  <c:v>13.719999999999883</c:v>
                </c:pt>
                <c:pt idx="344">
                  <c:v>13.759999999999883</c:v>
                </c:pt>
                <c:pt idx="345">
                  <c:v>13.799999999999882</c:v>
                </c:pt>
                <c:pt idx="346">
                  <c:v>13.839999999999881</c:v>
                </c:pt>
                <c:pt idx="347">
                  <c:v>13.87999999999988</c:v>
                </c:pt>
                <c:pt idx="348">
                  <c:v>13.919999999999879</c:v>
                </c:pt>
                <c:pt idx="349">
                  <c:v>13.959999999999878</c:v>
                </c:pt>
                <c:pt idx="350">
                  <c:v>13.999999999999877</c:v>
                </c:pt>
                <c:pt idx="351">
                  <c:v>14.039999999999877</c:v>
                </c:pt>
                <c:pt idx="352">
                  <c:v>14.079999999999876</c:v>
                </c:pt>
                <c:pt idx="353">
                  <c:v>14.119999999999875</c:v>
                </c:pt>
                <c:pt idx="354">
                  <c:v>14.159999999999874</c:v>
                </c:pt>
                <c:pt idx="355">
                  <c:v>14.199999999999873</c:v>
                </c:pt>
                <c:pt idx="356">
                  <c:v>14.239999999999872</c:v>
                </c:pt>
                <c:pt idx="357">
                  <c:v>14.279999999999871</c:v>
                </c:pt>
                <c:pt idx="358">
                  <c:v>14.319999999999871</c:v>
                </c:pt>
                <c:pt idx="359">
                  <c:v>14.35999999999987</c:v>
                </c:pt>
                <c:pt idx="360">
                  <c:v>14.399999999999869</c:v>
                </c:pt>
                <c:pt idx="361">
                  <c:v>14.439999999999868</c:v>
                </c:pt>
                <c:pt idx="362">
                  <c:v>14.479999999999867</c:v>
                </c:pt>
                <c:pt idx="363">
                  <c:v>14.519999999999866</c:v>
                </c:pt>
                <c:pt idx="364">
                  <c:v>14.559999999999865</c:v>
                </c:pt>
                <c:pt idx="365">
                  <c:v>14.599999999999865</c:v>
                </c:pt>
                <c:pt idx="366">
                  <c:v>14.639999999999864</c:v>
                </c:pt>
                <c:pt idx="367">
                  <c:v>14.679999999999863</c:v>
                </c:pt>
                <c:pt idx="368">
                  <c:v>14.719999999999862</c:v>
                </c:pt>
                <c:pt idx="369">
                  <c:v>14.759999999999861</c:v>
                </c:pt>
                <c:pt idx="370">
                  <c:v>14.79999999999986</c:v>
                </c:pt>
                <c:pt idx="371">
                  <c:v>14.83999999999986</c:v>
                </c:pt>
                <c:pt idx="372">
                  <c:v>14.879999999999859</c:v>
                </c:pt>
                <c:pt idx="373">
                  <c:v>14.919999999999858</c:v>
                </c:pt>
                <c:pt idx="374">
                  <c:v>14.959999999999857</c:v>
                </c:pt>
                <c:pt idx="375">
                  <c:v>14.999999999999856</c:v>
                </c:pt>
                <c:pt idx="376">
                  <c:v>15.039999999999855</c:v>
                </c:pt>
                <c:pt idx="377">
                  <c:v>15.079999999999854</c:v>
                </c:pt>
                <c:pt idx="378">
                  <c:v>15.119999999999854</c:v>
                </c:pt>
                <c:pt idx="379">
                  <c:v>15.159999999999853</c:v>
                </c:pt>
                <c:pt idx="380">
                  <c:v>15.199999999999852</c:v>
                </c:pt>
                <c:pt idx="381">
                  <c:v>15.239999999999851</c:v>
                </c:pt>
                <c:pt idx="382">
                  <c:v>15.27999999999985</c:v>
                </c:pt>
                <c:pt idx="383">
                  <c:v>15.319999999999849</c:v>
                </c:pt>
                <c:pt idx="384">
                  <c:v>15.359999999999848</c:v>
                </c:pt>
                <c:pt idx="385">
                  <c:v>15.399999999999848</c:v>
                </c:pt>
                <c:pt idx="386">
                  <c:v>15.439999999999847</c:v>
                </c:pt>
                <c:pt idx="387">
                  <c:v>15.479999999999846</c:v>
                </c:pt>
                <c:pt idx="388">
                  <c:v>15.519999999999845</c:v>
                </c:pt>
                <c:pt idx="389">
                  <c:v>15.559999999999844</c:v>
                </c:pt>
                <c:pt idx="390">
                  <c:v>15.599999999999843</c:v>
                </c:pt>
                <c:pt idx="391">
                  <c:v>15.639999999999842</c:v>
                </c:pt>
                <c:pt idx="392">
                  <c:v>15.679999999999842</c:v>
                </c:pt>
                <c:pt idx="393">
                  <c:v>15.719999999999841</c:v>
                </c:pt>
                <c:pt idx="394">
                  <c:v>15.75999999999984</c:v>
                </c:pt>
                <c:pt idx="395">
                  <c:v>15.799999999999839</c:v>
                </c:pt>
                <c:pt idx="396">
                  <c:v>15.839999999999838</c:v>
                </c:pt>
                <c:pt idx="397">
                  <c:v>15.879999999999837</c:v>
                </c:pt>
                <c:pt idx="398">
                  <c:v>15.919999999999837</c:v>
                </c:pt>
                <c:pt idx="399">
                  <c:v>15.959999999999836</c:v>
                </c:pt>
                <c:pt idx="400">
                  <c:v>15.999999999999835</c:v>
                </c:pt>
                <c:pt idx="401">
                  <c:v>16.039999999999836</c:v>
                </c:pt>
                <c:pt idx="402">
                  <c:v>16.079999999999835</c:v>
                </c:pt>
                <c:pt idx="403">
                  <c:v>16.119999999999834</c:v>
                </c:pt>
                <c:pt idx="404">
                  <c:v>16.159999999999833</c:v>
                </c:pt>
                <c:pt idx="405">
                  <c:v>16.199999999999832</c:v>
                </c:pt>
                <c:pt idx="406">
                  <c:v>16.239999999999831</c:v>
                </c:pt>
                <c:pt idx="407">
                  <c:v>16.279999999999831</c:v>
                </c:pt>
                <c:pt idx="408">
                  <c:v>16.31999999999983</c:v>
                </c:pt>
                <c:pt idx="409">
                  <c:v>16.359999999999829</c:v>
                </c:pt>
                <c:pt idx="410">
                  <c:v>16.399999999999828</c:v>
                </c:pt>
                <c:pt idx="411">
                  <c:v>16.439999999999827</c:v>
                </c:pt>
                <c:pt idx="412">
                  <c:v>16.479999999999826</c:v>
                </c:pt>
                <c:pt idx="413">
                  <c:v>16.519999999999825</c:v>
                </c:pt>
                <c:pt idx="414">
                  <c:v>16.559999999999825</c:v>
                </c:pt>
                <c:pt idx="415">
                  <c:v>16.599999999999824</c:v>
                </c:pt>
                <c:pt idx="416">
                  <c:v>16.639999999999823</c:v>
                </c:pt>
                <c:pt idx="417">
                  <c:v>16.679999999999822</c:v>
                </c:pt>
                <c:pt idx="418">
                  <c:v>16.719999999999821</c:v>
                </c:pt>
                <c:pt idx="419">
                  <c:v>16.75999999999982</c:v>
                </c:pt>
                <c:pt idx="420">
                  <c:v>16.79999999999982</c:v>
                </c:pt>
                <c:pt idx="421">
                  <c:v>16.839999999999819</c:v>
                </c:pt>
                <c:pt idx="422">
                  <c:v>16.879999999999818</c:v>
                </c:pt>
                <c:pt idx="423">
                  <c:v>16.919999999999817</c:v>
                </c:pt>
                <c:pt idx="424">
                  <c:v>16.959999999999816</c:v>
                </c:pt>
                <c:pt idx="425">
                  <c:v>16.999999999999815</c:v>
                </c:pt>
                <c:pt idx="426">
                  <c:v>17.039999999999814</c:v>
                </c:pt>
                <c:pt idx="427">
                  <c:v>17.079999999999814</c:v>
                </c:pt>
                <c:pt idx="428">
                  <c:v>17.119999999999813</c:v>
                </c:pt>
                <c:pt idx="429">
                  <c:v>17.159999999999812</c:v>
                </c:pt>
                <c:pt idx="430">
                  <c:v>17.199999999999811</c:v>
                </c:pt>
                <c:pt idx="431">
                  <c:v>17.23999999999981</c:v>
                </c:pt>
                <c:pt idx="432">
                  <c:v>17.279999999999809</c:v>
                </c:pt>
                <c:pt idx="433">
                  <c:v>17.319999999999808</c:v>
                </c:pt>
                <c:pt idx="434">
                  <c:v>17.359999999999808</c:v>
                </c:pt>
                <c:pt idx="435">
                  <c:v>17.399999999999807</c:v>
                </c:pt>
                <c:pt idx="436">
                  <c:v>17.439999999999806</c:v>
                </c:pt>
                <c:pt idx="437">
                  <c:v>17.479999999999805</c:v>
                </c:pt>
                <c:pt idx="438">
                  <c:v>17.519999999999804</c:v>
                </c:pt>
                <c:pt idx="439">
                  <c:v>17.559999999999803</c:v>
                </c:pt>
                <c:pt idx="440">
                  <c:v>17.599999999999802</c:v>
                </c:pt>
                <c:pt idx="441">
                  <c:v>17.639999999999802</c:v>
                </c:pt>
                <c:pt idx="442">
                  <c:v>17.679999999999801</c:v>
                </c:pt>
                <c:pt idx="443">
                  <c:v>17.7199999999998</c:v>
                </c:pt>
                <c:pt idx="444">
                  <c:v>17.759999999999799</c:v>
                </c:pt>
                <c:pt idx="445">
                  <c:v>17.799999999999798</c:v>
                </c:pt>
                <c:pt idx="446">
                  <c:v>17.839999999999797</c:v>
                </c:pt>
                <c:pt idx="447">
                  <c:v>17.879999999999797</c:v>
                </c:pt>
                <c:pt idx="448">
                  <c:v>17.919999999999796</c:v>
                </c:pt>
                <c:pt idx="449">
                  <c:v>17.959999999999795</c:v>
                </c:pt>
                <c:pt idx="450">
                  <c:v>17.999999999999794</c:v>
                </c:pt>
                <c:pt idx="451">
                  <c:v>18.039999999999793</c:v>
                </c:pt>
                <c:pt idx="452">
                  <c:v>18.079999999999792</c:v>
                </c:pt>
                <c:pt idx="453">
                  <c:v>18.119999999999791</c:v>
                </c:pt>
                <c:pt idx="454">
                  <c:v>18.159999999999791</c:v>
                </c:pt>
                <c:pt idx="455">
                  <c:v>18.19999999999979</c:v>
                </c:pt>
                <c:pt idx="456">
                  <c:v>18.239999999999789</c:v>
                </c:pt>
                <c:pt idx="457">
                  <c:v>18.279999999999788</c:v>
                </c:pt>
                <c:pt idx="458">
                  <c:v>18.319999999999787</c:v>
                </c:pt>
                <c:pt idx="459">
                  <c:v>18.359999999999786</c:v>
                </c:pt>
                <c:pt idx="460">
                  <c:v>18.399999999999785</c:v>
                </c:pt>
                <c:pt idx="461">
                  <c:v>18.439999999999785</c:v>
                </c:pt>
                <c:pt idx="462">
                  <c:v>18.479999999999784</c:v>
                </c:pt>
                <c:pt idx="463">
                  <c:v>18.519999999999783</c:v>
                </c:pt>
                <c:pt idx="464">
                  <c:v>18.559999999999782</c:v>
                </c:pt>
                <c:pt idx="465">
                  <c:v>18.599999999999781</c:v>
                </c:pt>
                <c:pt idx="466">
                  <c:v>18.63999999999978</c:v>
                </c:pt>
                <c:pt idx="467">
                  <c:v>18.679999999999779</c:v>
                </c:pt>
                <c:pt idx="468">
                  <c:v>18.719999999999779</c:v>
                </c:pt>
                <c:pt idx="469">
                  <c:v>18.759999999999778</c:v>
                </c:pt>
                <c:pt idx="470">
                  <c:v>18.799999999999777</c:v>
                </c:pt>
                <c:pt idx="471">
                  <c:v>18.839999999999776</c:v>
                </c:pt>
                <c:pt idx="472">
                  <c:v>18.879999999999775</c:v>
                </c:pt>
                <c:pt idx="473">
                  <c:v>18.919999999999774</c:v>
                </c:pt>
                <c:pt idx="474">
                  <c:v>18.959999999999773</c:v>
                </c:pt>
                <c:pt idx="475">
                  <c:v>18.999999999999773</c:v>
                </c:pt>
                <c:pt idx="476">
                  <c:v>19.039999999999772</c:v>
                </c:pt>
                <c:pt idx="477">
                  <c:v>19.079999999999771</c:v>
                </c:pt>
                <c:pt idx="478">
                  <c:v>19.11999999999977</c:v>
                </c:pt>
                <c:pt idx="479">
                  <c:v>19.159999999999769</c:v>
                </c:pt>
                <c:pt idx="480">
                  <c:v>19.199999999999768</c:v>
                </c:pt>
                <c:pt idx="481">
                  <c:v>19.239999999999768</c:v>
                </c:pt>
                <c:pt idx="482">
                  <c:v>19.279999999999767</c:v>
                </c:pt>
                <c:pt idx="483">
                  <c:v>19.319999999999766</c:v>
                </c:pt>
                <c:pt idx="484">
                  <c:v>19.359999999999765</c:v>
                </c:pt>
                <c:pt idx="485">
                  <c:v>19.399999999999764</c:v>
                </c:pt>
                <c:pt idx="486">
                  <c:v>19.439999999999763</c:v>
                </c:pt>
                <c:pt idx="487">
                  <c:v>19.479999999999762</c:v>
                </c:pt>
                <c:pt idx="488">
                  <c:v>19.519999999999762</c:v>
                </c:pt>
                <c:pt idx="489">
                  <c:v>19.559999999999761</c:v>
                </c:pt>
                <c:pt idx="490">
                  <c:v>19.59999999999976</c:v>
                </c:pt>
                <c:pt idx="491">
                  <c:v>19.639999999999759</c:v>
                </c:pt>
                <c:pt idx="492">
                  <c:v>19.679999999999758</c:v>
                </c:pt>
                <c:pt idx="493">
                  <c:v>19.719999999999757</c:v>
                </c:pt>
                <c:pt idx="494">
                  <c:v>19.759999999999756</c:v>
                </c:pt>
                <c:pt idx="495">
                  <c:v>19.799999999999756</c:v>
                </c:pt>
                <c:pt idx="496">
                  <c:v>19.839999999999755</c:v>
                </c:pt>
                <c:pt idx="497">
                  <c:v>19.879999999999754</c:v>
                </c:pt>
                <c:pt idx="498">
                  <c:v>19.919999999999753</c:v>
                </c:pt>
                <c:pt idx="499">
                  <c:v>19.959999999999752</c:v>
                </c:pt>
                <c:pt idx="500">
                  <c:v>19.999999999999751</c:v>
                </c:pt>
                <c:pt idx="501">
                  <c:v>20.03999999999975</c:v>
                </c:pt>
                <c:pt idx="502">
                  <c:v>20.07999999999975</c:v>
                </c:pt>
                <c:pt idx="503">
                  <c:v>20.119999999999749</c:v>
                </c:pt>
                <c:pt idx="504">
                  <c:v>20.159999999999748</c:v>
                </c:pt>
                <c:pt idx="505">
                  <c:v>20.199999999999747</c:v>
                </c:pt>
                <c:pt idx="506">
                  <c:v>20.239999999999746</c:v>
                </c:pt>
                <c:pt idx="507">
                  <c:v>20.279999999999745</c:v>
                </c:pt>
                <c:pt idx="508">
                  <c:v>20.319999999999744</c:v>
                </c:pt>
                <c:pt idx="509">
                  <c:v>20.359999999999744</c:v>
                </c:pt>
                <c:pt idx="510">
                  <c:v>20.399999999999743</c:v>
                </c:pt>
                <c:pt idx="511">
                  <c:v>20.439999999999742</c:v>
                </c:pt>
                <c:pt idx="512">
                  <c:v>20.479999999999741</c:v>
                </c:pt>
                <c:pt idx="513">
                  <c:v>20.51999999999974</c:v>
                </c:pt>
                <c:pt idx="514">
                  <c:v>20.559999999999739</c:v>
                </c:pt>
                <c:pt idx="515">
                  <c:v>20.599999999999739</c:v>
                </c:pt>
                <c:pt idx="516">
                  <c:v>20.639999999999738</c:v>
                </c:pt>
                <c:pt idx="517">
                  <c:v>20.679999999999737</c:v>
                </c:pt>
                <c:pt idx="518">
                  <c:v>20.719999999999736</c:v>
                </c:pt>
                <c:pt idx="519">
                  <c:v>20.759999999999735</c:v>
                </c:pt>
                <c:pt idx="520">
                  <c:v>20.799999999999734</c:v>
                </c:pt>
                <c:pt idx="521">
                  <c:v>20.839999999999733</c:v>
                </c:pt>
                <c:pt idx="522">
                  <c:v>20.879999999999733</c:v>
                </c:pt>
                <c:pt idx="523">
                  <c:v>20.919999999999732</c:v>
                </c:pt>
                <c:pt idx="524">
                  <c:v>20.959999999999731</c:v>
                </c:pt>
                <c:pt idx="525">
                  <c:v>20.99999999999973</c:v>
                </c:pt>
                <c:pt idx="526">
                  <c:v>21.039999999999729</c:v>
                </c:pt>
                <c:pt idx="527">
                  <c:v>21.079999999999728</c:v>
                </c:pt>
                <c:pt idx="528">
                  <c:v>21.119999999999727</c:v>
                </c:pt>
                <c:pt idx="529">
                  <c:v>21.159999999999727</c:v>
                </c:pt>
                <c:pt idx="530">
                  <c:v>21.199999999999726</c:v>
                </c:pt>
                <c:pt idx="531">
                  <c:v>21.239999999999725</c:v>
                </c:pt>
                <c:pt idx="532">
                  <c:v>21.279999999999724</c:v>
                </c:pt>
                <c:pt idx="533">
                  <c:v>21.319999999999723</c:v>
                </c:pt>
                <c:pt idx="534">
                  <c:v>21.359999999999722</c:v>
                </c:pt>
                <c:pt idx="535">
                  <c:v>21.399999999999721</c:v>
                </c:pt>
                <c:pt idx="536">
                  <c:v>21.439999999999721</c:v>
                </c:pt>
                <c:pt idx="537">
                  <c:v>21.47999999999972</c:v>
                </c:pt>
                <c:pt idx="538">
                  <c:v>21.519999999999719</c:v>
                </c:pt>
                <c:pt idx="539">
                  <c:v>21.559999999999718</c:v>
                </c:pt>
                <c:pt idx="540">
                  <c:v>21.599999999999717</c:v>
                </c:pt>
                <c:pt idx="541">
                  <c:v>21.639999999999716</c:v>
                </c:pt>
                <c:pt idx="542">
                  <c:v>21.679999999999715</c:v>
                </c:pt>
                <c:pt idx="543">
                  <c:v>21.719999999999715</c:v>
                </c:pt>
                <c:pt idx="544">
                  <c:v>21.759999999999714</c:v>
                </c:pt>
                <c:pt idx="545">
                  <c:v>21.799999999999713</c:v>
                </c:pt>
                <c:pt idx="546">
                  <c:v>21.839999999999712</c:v>
                </c:pt>
                <c:pt idx="547">
                  <c:v>21.879999999999711</c:v>
                </c:pt>
                <c:pt idx="548">
                  <c:v>21.91999999999971</c:v>
                </c:pt>
                <c:pt idx="549">
                  <c:v>21.95999999999971</c:v>
                </c:pt>
                <c:pt idx="550">
                  <c:v>21.999999999999709</c:v>
                </c:pt>
                <c:pt idx="551">
                  <c:v>22.039999999999708</c:v>
                </c:pt>
                <c:pt idx="552">
                  <c:v>22.079999999999707</c:v>
                </c:pt>
                <c:pt idx="553">
                  <c:v>22.119999999999706</c:v>
                </c:pt>
                <c:pt idx="554">
                  <c:v>22.159999999999705</c:v>
                </c:pt>
                <c:pt idx="555">
                  <c:v>22.199999999999704</c:v>
                </c:pt>
                <c:pt idx="556">
                  <c:v>22.239999999999704</c:v>
                </c:pt>
                <c:pt idx="557">
                  <c:v>22.279999999999703</c:v>
                </c:pt>
                <c:pt idx="558">
                  <c:v>22.319999999999702</c:v>
                </c:pt>
                <c:pt idx="559">
                  <c:v>22.359999999999701</c:v>
                </c:pt>
                <c:pt idx="560">
                  <c:v>22.3999999999997</c:v>
                </c:pt>
                <c:pt idx="561">
                  <c:v>22.439999999999699</c:v>
                </c:pt>
                <c:pt idx="562">
                  <c:v>22.479999999999698</c:v>
                </c:pt>
                <c:pt idx="563">
                  <c:v>22.519999999999698</c:v>
                </c:pt>
                <c:pt idx="564">
                  <c:v>22.559999999999697</c:v>
                </c:pt>
                <c:pt idx="565">
                  <c:v>22.599999999999696</c:v>
                </c:pt>
                <c:pt idx="566">
                  <c:v>22.639999999999695</c:v>
                </c:pt>
                <c:pt idx="567">
                  <c:v>22.679999999999694</c:v>
                </c:pt>
                <c:pt idx="568">
                  <c:v>22.719999999999693</c:v>
                </c:pt>
                <c:pt idx="569">
                  <c:v>22.759999999999692</c:v>
                </c:pt>
                <c:pt idx="570">
                  <c:v>22.799999999999692</c:v>
                </c:pt>
                <c:pt idx="571">
                  <c:v>22.839999999999691</c:v>
                </c:pt>
                <c:pt idx="572">
                  <c:v>22.87999999999969</c:v>
                </c:pt>
                <c:pt idx="573">
                  <c:v>22.919999999999689</c:v>
                </c:pt>
                <c:pt idx="574">
                  <c:v>22.959999999999688</c:v>
                </c:pt>
                <c:pt idx="575">
                  <c:v>22.999999999999687</c:v>
                </c:pt>
                <c:pt idx="576">
                  <c:v>23.039999999999687</c:v>
                </c:pt>
                <c:pt idx="577">
                  <c:v>23.079999999999686</c:v>
                </c:pt>
                <c:pt idx="578">
                  <c:v>23.119999999999685</c:v>
                </c:pt>
                <c:pt idx="579">
                  <c:v>23.159999999999684</c:v>
                </c:pt>
                <c:pt idx="580">
                  <c:v>23.199999999999683</c:v>
                </c:pt>
                <c:pt idx="581">
                  <c:v>23.239999999999682</c:v>
                </c:pt>
                <c:pt idx="582">
                  <c:v>23.279999999999681</c:v>
                </c:pt>
                <c:pt idx="583">
                  <c:v>23.319999999999681</c:v>
                </c:pt>
                <c:pt idx="584">
                  <c:v>23.35999999999968</c:v>
                </c:pt>
                <c:pt idx="585">
                  <c:v>23.399999999999679</c:v>
                </c:pt>
                <c:pt idx="586">
                  <c:v>23.439999999999678</c:v>
                </c:pt>
                <c:pt idx="587">
                  <c:v>23.479999999999677</c:v>
                </c:pt>
                <c:pt idx="588">
                  <c:v>23.519999999999676</c:v>
                </c:pt>
                <c:pt idx="589">
                  <c:v>23.559999999999675</c:v>
                </c:pt>
                <c:pt idx="590">
                  <c:v>23.599999999999675</c:v>
                </c:pt>
                <c:pt idx="591">
                  <c:v>23.639999999999674</c:v>
                </c:pt>
                <c:pt idx="592">
                  <c:v>23.679999999999673</c:v>
                </c:pt>
                <c:pt idx="593">
                  <c:v>23.719999999999672</c:v>
                </c:pt>
                <c:pt idx="594">
                  <c:v>23.759999999999671</c:v>
                </c:pt>
                <c:pt idx="595">
                  <c:v>23.79999999999967</c:v>
                </c:pt>
                <c:pt idx="596">
                  <c:v>23.839999999999669</c:v>
                </c:pt>
                <c:pt idx="597">
                  <c:v>23.879999999999669</c:v>
                </c:pt>
                <c:pt idx="598">
                  <c:v>23.919999999999668</c:v>
                </c:pt>
                <c:pt idx="599">
                  <c:v>23.959999999999667</c:v>
                </c:pt>
                <c:pt idx="600">
                  <c:v>23.999999999999666</c:v>
                </c:pt>
                <c:pt idx="601">
                  <c:v>24.039999999999665</c:v>
                </c:pt>
                <c:pt idx="602">
                  <c:v>24.079999999999664</c:v>
                </c:pt>
                <c:pt idx="603">
                  <c:v>24.119999999999663</c:v>
                </c:pt>
                <c:pt idx="604">
                  <c:v>24.159999999999663</c:v>
                </c:pt>
                <c:pt idx="605">
                  <c:v>24.199999999999662</c:v>
                </c:pt>
                <c:pt idx="606">
                  <c:v>24.239999999999661</c:v>
                </c:pt>
                <c:pt idx="607">
                  <c:v>24.27999999999966</c:v>
                </c:pt>
                <c:pt idx="608">
                  <c:v>24.319999999999659</c:v>
                </c:pt>
                <c:pt idx="609">
                  <c:v>24.359999999999658</c:v>
                </c:pt>
                <c:pt idx="610">
                  <c:v>24.399999999999658</c:v>
                </c:pt>
                <c:pt idx="611">
                  <c:v>24.439999999999657</c:v>
                </c:pt>
                <c:pt idx="612">
                  <c:v>24.479999999999656</c:v>
                </c:pt>
                <c:pt idx="613">
                  <c:v>24.519999999999655</c:v>
                </c:pt>
                <c:pt idx="614">
                  <c:v>24.559999999999654</c:v>
                </c:pt>
                <c:pt idx="615">
                  <c:v>24.599999999999653</c:v>
                </c:pt>
                <c:pt idx="616">
                  <c:v>24.639999999999652</c:v>
                </c:pt>
                <c:pt idx="617">
                  <c:v>24.679999999999652</c:v>
                </c:pt>
                <c:pt idx="618">
                  <c:v>24.719999999999651</c:v>
                </c:pt>
                <c:pt idx="619">
                  <c:v>24.75999999999965</c:v>
                </c:pt>
                <c:pt idx="620">
                  <c:v>24.799999999999649</c:v>
                </c:pt>
                <c:pt idx="621">
                  <c:v>24.839999999999648</c:v>
                </c:pt>
                <c:pt idx="622">
                  <c:v>24.879999999999647</c:v>
                </c:pt>
                <c:pt idx="623">
                  <c:v>24.919999999999646</c:v>
                </c:pt>
                <c:pt idx="624">
                  <c:v>24.959999999999646</c:v>
                </c:pt>
                <c:pt idx="625">
                  <c:v>24.999999999999645</c:v>
                </c:pt>
                <c:pt idx="626">
                  <c:v>25.039999999999644</c:v>
                </c:pt>
                <c:pt idx="627">
                  <c:v>25.079999999999643</c:v>
                </c:pt>
                <c:pt idx="628">
                  <c:v>25.119999999999642</c:v>
                </c:pt>
                <c:pt idx="629">
                  <c:v>25.159999999999641</c:v>
                </c:pt>
                <c:pt idx="630">
                  <c:v>25.19999999999964</c:v>
                </c:pt>
                <c:pt idx="631">
                  <c:v>25.23999999999964</c:v>
                </c:pt>
                <c:pt idx="632">
                  <c:v>25.279999999999639</c:v>
                </c:pt>
                <c:pt idx="633">
                  <c:v>25.319999999999638</c:v>
                </c:pt>
                <c:pt idx="634">
                  <c:v>25.359999999999637</c:v>
                </c:pt>
                <c:pt idx="635">
                  <c:v>25.399999999999636</c:v>
                </c:pt>
                <c:pt idx="636">
                  <c:v>25.439999999999635</c:v>
                </c:pt>
                <c:pt idx="637">
                  <c:v>25.479999999999634</c:v>
                </c:pt>
                <c:pt idx="638">
                  <c:v>25.519999999999634</c:v>
                </c:pt>
                <c:pt idx="639">
                  <c:v>25.559999999999633</c:v>
                </c:pt>
                <c:pt idx="640">
                  <c:v>25.599999999999632</c:v>
                </c:pt>
                <c:pt idx="641">
                  <c:v>25.639999999999631</c:v>
                </c:pt>
                <c:pt idx="642">
                  <c:v>25.67999999999963</c:v>
                </c:pt>
                <c:pt idx="643">
                  <c:v>25.719999999999629</c:v>
                </c:pt>
                <c:pt idx="644">
                  <c:v>25.759999999999629</c:v>
                </c:pt>
                <c:pt idx="645">
                  <c:v>25.799999999999628</c:v>
                </c:pt>
                <c:pt idx="646">
                  <c:v>25.839999999999627</c:v>
                </c:pt>
                <c:pt idx="647">
                  <c:v>25.879999999999626</c:v>
                </c:pt>
                <c:pt idx="648">
                  <c:v>25.919999999999625</c:v>
                </c:pt>
                <c:pt idx="649">
                  <c:v>25.959999999999624</c:v>
                </c:pt>
                <c:pt idx="650">
                  <c:v>25.999999999999623</c:v>
                </c:pt>
                <c:pt idx="651">
                  <c:v>26.039999999999623</c:v>
                </c:pt>
                <c:pt idx="652">
                  <c:v>26.079999999999622</c:v>
                </c:pt>
                <c:pt idx="653">
                  <c:v>26.119999999999621</c:v>
                </c:pt>
                <c:pt idx="654">
                  <c:v>26.15999999999962</c:v>
                </c:pt>
                <c:pt idx="655">
                  <c:v>26.199999999999619</c:v>
                </c:pt>
                <c:pt idx="656">
                  <c:v>26.239999999999618</c:v>
                </c:pt>
                <c:pt idx="657">
                  <c:v>26.279999999999617</c:v>
                </c:pt>
                <c:pt idx="658">
                  <c:v>26.319999999999617</c:v>
                </c:pt>
                <c:pt idx="659">
                  <c:v>26.359999999999616</c:v>
                </c:pt>
                <c:pt idx="660">
                  <c:v>26.399999999999615</c:v>
                </c:pt>
                <c:pt idx="661">
                  <c:v>26.439999999999614</c:v>
                </c:pt>
                <c:pt idx="662">
                  <c:v>26.479999999999613</c:v>
                </c:pt>
                <c:pt idx="663">
                  <c:v>26.519999999999612</c:v>
                </c:pt>
                <c:pt idx="664">
                  <c:v>26.559999999999611</c:v>
                </c:pt>
                <c:pt idx="665">
                  <c:v>26.599999999999611</c:v>
                </c:pt>
                <c:pt idx="666">
                  <c:v>26.63999999999961</c:v>
                </c:pt>
                <c:pt idx="667">
                  <c:v>26.679999999999609</c:v>
                </c:pt>
                <c:pt idx="668">
                  <c:v>26.719999999999608</c:v>
                </c:pt>
                <c:pt idx="669">
                  <c:v>26.759999999999607</c:v>
                </c:pt>
                <c:pt idx="670">
                  <c:v>26.799999999999606</c:v>
                </c:pt>
                <c:pt idx="671">
                  <c:v>26.839999999999606</c:v>
                </c:pt>
                <c:pt idx="672">
                  <c:v>26.879999999999605</c:v>
                </c:pt>
                <c:pt idx="673">
                  <c:v>26.919999999999604</c:v>
                </c:pt>
                <c:pt idx="674">
                  <c:v>26.959999999999603</c:v>
                </c:pt>
                <c:pt idx="675">
                  <c:v>26.999999999999602</c:v>
                </c:pt>
                <c:pt idx="676">
                  <c:v>27.039999999999601</c:v>
                </c:pt>
                <c:pt idx="677">
                  <c:v>27.0799999999996</c:v>
                </c:pt>
                <c:pt idx="678">
                  <c:v>27.1199999999996</c:v>
                </c:pt>
                <c:pt idx="679">
                  <c:v>27.159999999999599</c:v>
                </c:pt>
                <c:pt idx="680">
                  <c:v>27.199999999999598</c:v>
                </c:pt>
                <c:pt idx="681">
                  <c:v>27.239999999999597</c:v>
                </c:pt>
                <c:pt idx="682">
                  <c:v>27.279999999999596</c:v>
                </c:pt>
                <c:pt idx="683">
                  <c:v>27.319999999999595</c:v>
                </c:pt>
                <c:pt idx="684">
                  <c:v>27.359999999999594</c:v>
                </c:pt>
                <c:pt idx="685">
                  <c:v>27.399999999999594</c:v>
                </c:pt>
                <c:pt idx="686">
                  <c:v>27.439999999999593</c:v>
                </c:pt>
                <c:pt idx="687">
                  <c:v>27.479999999999592</c:v>
                </c:pt>
                <c:pt idx="688">
                  <c:v>27.519999999999591</c:v>
                </c:pt>
                <c:pt idx="689">
                  <c:v>27.55999999999959</c:v>
                </c:pt>
                <c:pt idx="690">
                  <c:v>27.599999999999589</c:v>
                </c:pt>
                <c:pt idx="691">
                  <c:v>27.639999999999588</c:v>
                </c:pt>
                <c:pt idx="692">
                  <c:v>27.679999999999588</c:v>
                </c:pt>
                <c:pt idx="693">
                  <c:v>27.719999999999587</c:v>
                </c:pt>
                <c:pt idx="694">
                  <c:v>27.759999999999586</c:v>
                </c:pt>
                <c:pt idx="695">
                  <c:v>27.799999999999585</c:v>
                </c:pt>
                <c:pt idx="696">
                  <c:v>27.839999999999584</c:v>
                </c:pt>
                <c:pt idx="697">
                  <c:v>27.879999999999583</c:v>
                </c:pt>
                <c:pt idx="698">
                  <c:v>27.919999999999582</c:v>
                </c:pt>
                <c:pt idx="699">
                  <c:v>27.959999999999582</c:v>
                </c:pt>
                <c:pt idx="700">
                  <c:v>27.999999999999581</c:v>
                </c:pt>
                <c:pt idx="701">
                  <c:v>28.03999999999958</c:v>
                </c:pt>
                <c:pt idx="702">
                  <c:v>28.079999999999579</c:v>
                </c:pt>
                <c:pt idx="703">
                  <c:v>28.119999999999578</c:v>
                </c:pt>
                <c:pt idx="704">
                  <c:v>28.159999999999577</c:v>
                </c:pt>
                <c:pt idx="705">
                  <c:v>28.199999999999577</c:v>
                </c:pt>
                <c:pt idx="706">
                  <c:v>28.239999999999576</c:v>
                </c:pt>
                <c:pt idx="707">
                  <c:v>28.279999999999575</c:v>
                </c:pt>
                <c:pt idx="708">
                  <c:v>28.319999999999574</c:v>
                </c:pt>
                <c:pt idx="709">
                  <c:v>28.359999999999573</c:v>
                </c:pt>
                <c:pt idx="710">
                  <c:v>28.399999999999572</c:v>
                </c:pt>
                <c:pt idx="711">
                  <c:v>28.439999999999571</c:v>
                </c:pt>
                <c:pt idx="712">
                  <c:v>28.479999999999571</c:v>
                </c:pt>
                <c:pt idx="713">
                  <c:v>28.51999999999957</c:v>
                </c:pt>
                <c:pt idx="714">
                  <c:v>28.559999999999569</c:v>
                </c:pt>
                <c:pt idx="715">
                  <c:v>28.599999999999568</c:v>
                </c:pt>
              </c:numCache>
            </c:numRef>
          </c:cat>
          <c:val>
            <c:numRef>
              <c:f>Calculations!$B$25:$AAO$25</c:f>
              <c:numCache>
                <c:formatCode>General</c:formatCode>
                <c:ptCount val="716"/>
                <c:pt idx="0">
                  <c:v>30.794568939900092</c:v>
                </c:pt>
                <c:pt idx="1">
                  <c:v>30.852478669995961</c:v>
                </c:pt>
                <c:pt idx="2">
                  <c:v>30.942794918020933</c:v>
                </c:pt>
                <c:pt idx="3">
                  <c:v>31.053705502594386</c:v>
                </c:pt>
                <c:pt idx="4">
                  <c:v>31.179253281324367</c:v>
                </c:pt>
                <c:pt idx="5">
                  <c:v>31.316114427580377</c:v>
                </c:pt>
                <c:pt idx="6">
                  <c:v>31.462231496886314</c:v>
                </c:pt>
                <c:pt idx="7">
                  <c:v>31.616207678525175</c:v>
                </c:pt>
                <c:pt idx="8">
                  <c:v>31.777022582710245</c:v>
                </c:pt>
                <c:pt idx="9">
                  <c:v>31.943889296229226</c:v>
                </c:pt>
                <c:pt idx="10">
                  <c:v>32.116176762800052</c:v>
                </c:pt>
                <c:pt idx="11">
                  <c:v>32.293364305037763</c:v>
                </c:pt>
                <c:pt idx="12">
                  <c:v>32.47501308833278</c:v>
                </c:pt>
                <c:pt idx="13">
                  <c:v>32.660747154195192</c:v>
                </c:pt>
                <c:pt idx="14">
                  <c:v>32.85024021143299</c:v>
                </c:pt>
                <c:pt idx="15">
                  <c:v>33.04320608282729</c:v>
                </c:pt>
                <c:pt idx="16">
                  <c:v>33.239391576501028</c:v>
                </c:pt>
                <c:pt idx="17">
                  <c:v>33.438571023877998</c:v>
                </c:pt>
                <c:pt idx="18">
                  <c:v>33.640541997712376</c:v>
                </c:pt>
                <c:pt idx="19">
                  <c:v>33.845121887596967</c:v>
                </c:pt>
                <c:pt idx="20">
                  <c:v>34.052145113318012</c:v>
                </c:pt>
                <c:pt idx="21">
                  <c:v>34.261460823121418</c:v>
                </c:pt>
                <c:pt idx="22">
                  <c:v>34.472930968215906</c:v>
                </c:pt>
                <c:pt idx="23">
                  <c:v>34.686428674784715</c:v>
                </c:pt>
                <c:pt idx="24">
                  <c:v>34.901836855378413</c:v>
                </c:pt>
                <c:pt idx="25">
                  <c:v>35.119047015951239</c:v>
                </c:pt>
                <c:pt idx="26">
                  <c:v>35.337958225006965</c:v>
                </c:pt>
                <c:pt idx="27">
                  <c:v>35.558476218667067</c:v>
                </c:pt>
                <c:pt idx="28">
                  <c:v>35.780512620850111</c:v>
                </c:pt>
                <c:pt idx="29">
                  <c:v>36.00398426175223</c:v>
                </c:pt>
                <c:pt idx="30">
                  <c:v>36.228812580848334</c:v>
                </c:pt>
                <c:pt idx="31">
                  <c:v>36.45492310296968</c:v>
                </c:pt>
                <c:pt idx="32">
                  <c:v>36.682244977845599</c:v>
                </c:pt>
                <c:pt idx="33">
                  <c:v>36.910710574959161</c:v>
                </c:pt>
                <c:pt idx="34">
                  <c:v>37.140255126750873</c:v>
                </c:pt>
                <c:pt idx="35">
                  <c:v>37.370816414178265</c:v>
                </c:pt>
                <c:pt idx="36">
                  <c:v>37.602334489449213</c:v>
                </c:pt>
                <c:pt idx="37">
                  <c:v>37.834751431428337</c:v>
                </c:pt>
                <c:pt idx="38">
                  <c:v>38.068011129794499</c:v>
                </c:pt>
                <c:pt idx="39">
                  <c:v>38.302059094521944</c:v>
                </c:pt>
                <c:pt idx="40">
                  <c:v>38.536842287683747</c:v>
                </c:pt>
                <c:pt idx="41">
                  <c:v>38.772308974944487</c:v>
                </c:pt>
                <c:pt idx="42">
                  <c:v>39.008408594429014</c:v>
                </c:pt>
                <c:pt idx="43">
                  <c:v>39.245091640932991</c:v>
                </c:pt>
                <c:pt idx="44">
                  <c:v>39.482309563684517</c:v>
                </c:pt>
                <c:pt idx="45">
                  <c:v>39.720014676079323</c:v>
                </c:pt>
                <c:pt idx="46">
                  <c:v>39.958160075999047</c:v>
                </c:pt>
                <c:pt idx="47">
                  <c:v>40.196699575486356</c:v>
                </c:pt>
                <c:pt idx="48">
                  <c:v>40.43558763869499</c:v>
                </c:pt>
                <c:pt idx="49">
                  <c:v>40.674779327159804</c:v>
                </c:pt>
                <c:pt idx="50">
                  <c:v>40.914230251543685</c:v>
                </c:pt>
                <c:pt idx="51">
                  <c:v>41.153896529116828</c:v>
                </c:pt>
                <c:pt idx="52">
                  <c:v>41.393734746310464</c:v>
                </c:pt>
                <c:pt idx="53">
                  <c:v>41.633701925763901</c:v>
                </c:pt>
                <c:pt idx="54">
                  <c:v>41.873755497351105</c:v>
                </c:pt>
                <c:pt idx="55">
                  <c:v>42.113853272732634</c:v>
                </c:pt>
                <c:pt idx="56">
                  <c:v>42.353953423031427</c:v>
                </c:pt>
                <c:pt idx="57">
                  <c:v>42.594014459277105</c:v>
                </c:pt>
                <c:pt idx="58">
                  <c:v>42.833995215304718</c:v>
                </c:pt>
                <c:pt idx="59">
                  <c:v>43.073854832829767</c:v>
                </c:pt>
                <c:pt idx="60">
                  <c:v>43.313552748453539</c:v>
                </c:pt>
                <c:pt idx="61">
                  <c:v>43.553048682380791</c:v>
                </c:pt>
                <c:pt idx="62">
                  <c:v>43.792302628656941</c:v>
                </c:pt>
                <c:pt idx="63">
                  <c:v>44.031274846753909</c:v>
                </c:pt>
                <c:pt idx="64">
                  <c:v>44.269925854353204</c:v>
                </c:pt>
                <c:pt idx="65">
                  <c:v>44.508216421192138</c:v>
                </c:pt>
                <c:pt idx="66">
                  <c:v>44.746107563854281</c:v>
                </c:pt>
                <c:pt idx="67">
                  <c:v>44.983560541398624</c:v>
                </c:pt>
                <c:pt idx="68">
                  <c:v>45.220536851734082</c:v>
                </c:pt>
                <c:pt idx="69">
                  <c:v>45.456998228656204</c:v>
                </c:pt>
                <c:pt idx="70">
                  <c:v>45.692906639472596</c:v>
                </c:pt>
                <c:pt idx="71">
                  <c:v>45.928224283151522</c:v>
                </c:pt>
                <c:pt idx="72">
                  <c:v>46.162913588935737</c:v>
                </c:pt>
                <c:pt idx="73">
                  <c:v>46.396937215369888</c:v>
                </c:pt>
                <c:pt idx="74">
                  <c:v>46.630258049695584</c:v>
                </c:pt>
                <c:pt idx="75">
                  <c:v>46.862839207573408</c:v>
                </c:pt>
                <c:pt idx="76">
                  <c:v>47.094644033095562</c:v>
                </c:pt>
                <c:pt idx="77">
                  <c:v>47.325636099056801</c:v>
                </c:pt>
                <c:pt idx="78">
                  <c:v>47.555779207454947</c:v>
                </c:pt>
                <c:pt idx="79">
                  <c:v>47.785037390195292</c:v>
                </c:pt>
                <c:pt idx="80">
                  <c:v>48.013374909976072</c:v>
                </c:pt>
                <c:pt idx="81">
                  <c:v>48.240756261334646</c:v>
                </c:pt>
                <c:pt idx="82">
                  <c:v>48.467146171836099</c:v>
                </c:pt>
                <c:pt idx="83">
                  <c:v>48.692509603388132</c:v>
                </c:pt>
                <c:pt idx="84">
                  <c:v>48.916811753667567</c:v>
                </c:pt>
                <c:pt idx="85">
                  <c:v>49.140018057645619</c:v>
                </c:pt>
                <c:pt idx="86">
                  <c:v>49.362094189200178</c:v>
                </c:pt>
                <c:pt idx="87">
                  <c:v>49.583006062804735</c:v>
                </c:pt>
                <c:pt idx="88">
                  <c:v>49.802719835284613</c:v>
                </c:pt>
                <c:pt idx="89">
                  <c:v>50.021201907632033</c:v>
                </c:pt>
                <c:pt idx="90">
                  <c:v>50.238418926872576</c:v>
                </c:pt>
                <c:pt idx="91">
                  <c:v>50.454337787976186</c:v>
                </c:pt>
                <c:pt idx="92">
                  <c:v>50.668925635806609</c:v>
                </c:pt>
                <c:pt idx="93">
                  <c:v>50.882149867103834</c:v>
                </c:pt>
                <c:pt idx="94">
                  <c:v>51.093978132494428</c:v>
                </c:pt>
                <c:pt idx="95">
                  <c:v>51.304378338525446</c:v>
                </c:pt>
                <c:pt idx="96">
                  <c:v>51.513318649717633</c:v>
                </c:pt>
                <c:pt idx="97">
                  <c:v>51.720767490634479</c:v>
                </c:pt>
                <c:pt idx="98">
                  <c:v>51.926693547963566</c:v>
                </c:pt>
                <c:pt idx="99">
                  <c:v>52.131065772607279</c:v>
                </c:pt>
                <c:pt idx="100">
                  <c:v>52.333853381780095</c:v>
                </c:pt>
                <c:pt idx="101">
                  <c:v>52.535025861109879</c:v>
                </c:pt>
                <c:pt idx="102">
                  <c:v>52.734552966740914</c:v>
                </c:pt>
                <c:pt idx="103">
                  <c:v>52.932404727436534</c:v>
                </c:pt>
                <c:pt idx="104">
                  <c:v>53.128551446679452</c:v>
                </c:pt>
                <c:pt idx="105">
                  <c:v>53.322963704767893</c:v>
                </c:pt>
                <c:pt idx="106">
                  <c:v>53.515612360906054</c:v>
                </c:pt>
                <c:pt idx="107">
                  <c:v>53.706468555287216</c:v>
                </c:pt>
                <c:pt idx="108">
                  <c:v>53.895503711168161</c:v>
                </c:pt>
                <c:pt idx="109">
                  <c:v>54.082689536933657</c:v>
                </c:pt>
                <c:pt idx="110">
                  <c:v>54.267998028149663</c:v>
                </c:pt>
                <c:pt idx="111">
                  <c:v>54.451401469604292</c:v>
                </c:pt>
                <c:pt idx="112">
                  <c:v>54.632872437335308</c:v>
                </c:pt>
                <c:pt idx="113">
                  <c:v>54.812383800643325</c:v>
                </c:pt>
                <c:pt idx="114">
                  <c:v>54.98990872408968</c:v>
                </c:pt>
                <c:pt idx="115">
                  <c:v>55.165420669478181</c:v>
                </c:pt>
                <c:pt idx="116">
                  <c:v>55.338893397819866</c:v>
                </c:pt>
                <c:pt idx="117">
                  <c:v>55.510300971280017</c:v>
                </c:pt>
                <c:pt idx="118">
                  <c:v>55.679617755106776</c:v>
                </c:pt>
                <c:pt idx="119">
                  <c:v>55.846818419540504</c:v>
                </c:pt>
                <c:pt idx="120">
                  <c:v>56.011877941703403</c:v>
                </c:pt>
                <c:pt idx="121">
                  <c:v>56.174771607468685</c:v>
                </c:pt>
                <c:pt idx="122">
                  <c:v>56.335475013308717</c:v>
                </c:pt>
                <c:pt idx="123">
                  <c:v>56.493964068121578</c:v>
                </c:pt>
                <c:pt idx="124">
                  <c:v>56.650214995035462</c:v>
                </c:pt>
                <c:pt idx="125">
                  <c:v>56.804204333190491</c:v>
                </c:pt>
                <c:pt idx="126">
                  <c:v>56.955908939497284</c:v>
                </c:pt>
                <c:pt idx="127">
                  <c:v>57.105305990371988</c:v>
                </c:pt>
                <c:pt idx="128">
                  <c:v>57.252372983447174</c:v>
                </c:pt>
                <c:pt idx="129">
                  <c:v>57.397087739258225</c:v>
                </c:pt>
                <c:pt idx="130">
                  <c:v>57.539428402904733</c:v>
                </c:pt>
                <c:pt idx="131">
                  <c:v>57.679373445686593</c:v>
                </c:pt>
                <c:pt idx="132">
                  <c:v>57.816901666714273</c:v>
                </c:pt>
                <c:pt idx="133">
                  <c:v>57.951992194492945</c:v>
                </c:pt>
                <c:pt idx="134">
                  <c:v>58.084624488480124</c:v>
                </c:pt>
                <c:pt idx="135">
                  <c:v>58.214778340616363</c:v>
                </c:pt>
                <c:pt idx="136">
                  <c:v>58.342433876828778</c:v>
                </c:pt>
                <c:pt idx="137">
                  <c:v>58.467571558506954</c:v>
                </c:pt>
                <c:pt idx="138">
                  <c:v>58.590172183950934</c:v>
                </c:pt>
                <c:pt idx="139">
                  <c:v>58.710216889791035</c:v>
                </c:pt>
                <c:pt idx="140">
                  <c:v>58.827687152379099</c:v>
                </c:pt>
                <c:pt idx="141">
                  <c:v>58.942564789150865</c:v>
                </c:pt>
                <c:pt idx="142">
                  <c:v>59.054831959959287</c:v>
                </c:pt>
                <c:pt idx="143">
                  <c:v>59.16447116837837</c:v>
                </c:pt>
                <c:pt idx="144">
                  <c:v>59.27146526297733</c:v>
                </c:pt>
                <c:pt idx="145">
                  <c:v>59.375797438564774</c:v>
                </c:pt>
                <c:pt idx="146">
                  <c:v>59.477451237402676</c:v>
                </c:pt>
                <c:pt idx="147">
                  <c:v>59.576410550389838</c:v>
                </c:pt>
                <c:pt idx="148">
                  <c:v>59.672659618214631</c:v>
                </c:pt>
                <c:pt idx="149">
                  <c:v>59.766183032476754</c:v>
                </c:pt>
                <c:pt idx="150">
                  <c:v>59.856965736777731</c:v>
                </c:pt>
                <c:pt idx="151">
                  <c:v>59.944993027780058</c:v>
                </c:pt>
                <c:pt idx="152">
                  <c:v>60.030250556234598</c:v>
                </c:pt>
                <c:pt idx="153">
                  <c:v>60.112724327976125</c:v>
                </c:pt>
                <c:pt idx="154">
                  <c:v>60.192400704886786</c:v>
                </c:pt>
                <c:pt idx="155">
                  <c:v>60.26926640582721</c:v>
                </c:pt>
                <c:pt idx="156">
                  <c:v>60.343308507535191</c:v>
                </c:pt>
                <c:pt idx="157">
                  <c:v>60.414514445491619</c:v>
                </c:pt>
                <c:pt idx="158">
                  <c:v>60.482872014753546</c:v>
                </c:pt>
                <c:pt idx="159">
                  <c:v>60.54836937075423</c:v>
                </c:pt>
                <c:pt idx="160">
                  <c:v>60.610995030069866</c:v>
                </c:pt>
                <c:pt idx="161">
                  <c:v>60.670737871152987</c:v>
                </c:pt>
                <c:pt idx="162">
                  <c:v>60.727587135032216</c:v>
                </c:pt>
                <c:pt idx="163">
                  <c:v>60.781532425978369</c:v>
                </c:pt>
                <c:pt idx="164">
                  <c:v>60.832563712136597</c:v>
                </c:pt>
                <c:pt idx="165">
                  <c:v>60.880671326124528</c:v>
                </c:pt>
                <c:pt idx="166">
                  <c:v>60.925845965596231</c:v>
                </c:pt>
                <c:pt idx="167">
                  <c:v>60.968078693771844</c:v>
                </c:pt>
                <c:pt idx="168">
                  <c:v>61.007360939932752</c:v>
                </c:pt>
                <c:pt idx="169">
                  <c:v>61.043684499882204</c:v>
                </c:pt>
                <c:pt idx="170">
                  <c:v>61.077041536371219</c:v>
                </c:pt>
                <c:pt idx="171">
                  <c:v>61.107424579489674</c:v>
                </c:pt>
                <c:pt idx="172">
                  <c:v>61.134826527022419</c:v>
                </c:pt>
                <c:pt idx="173">
                  <c:v>61.159240644770428</c:v>
                </c:pt>
                <c:pt idx="174">
                  <c:v>61.18066056683675</c:v>
                </c:pt>
                <c:pt idx="175">
                  <c:v>61.199080295877238</c:v>
                </c:pt>
                <c:pt idx="176">
                  <c:v>61.214494203315923</c:v>
                </c:pt>
                <c:pt idx="177">
                  <c:v>61.226897029525027</c:v>
                </c:pt>
                <c:pt idx="178">
                  <c:v>61.236283883969392</c:v>
                </c:pt>
                <c:pt idx="179">
                  <c:v>61.242650245315382</c:v>
                </c:pt>
                <c:pt idx="180">
                  <c:v>61.24599196150411</c:v>
                </c:pt>
                <c:pt idx="181">
                  <c:v>61.246305249788975</c:v>
                </c:pt>
                <c:pt idx="182">
                  <c:v>61.24358669673736</c:v>
                </c:pt>
                <c:pt idx="183">
                  <c:v>61.237833258196531</c:v>
                </c:pt>
                <c:pt idx="184">
                  <c:v>61.229042259223604</c:v>
                </c:pt>
                <c:pt idx="185">
                  <c:v>61.217211393979603</c:v>
                </c:pt>
                <c:pt idx="186">
                  <c:v>61.202338725587531</c:v>
                </c:pt>
                <c:pt idx="187">
                  <c:v>61.184422685954345</c:v>
                </c:pt>
                <c:pt idx="188">
                  <c:v>61.163462075556957</c:v>
                </c:pt>
                <c:pt idx="189">
                  <c:v>61.1394560631921</c:v>
                </c:pt>
                <c:pt idx="190">
                  <c:v>61.112404185690075</c:v>
                </c:pt>
                <c:pt idx="191">
                  <c:v>61.082306347592372</c:v>
                </c:pt>
                <c:pt idx="192">
                  <c:v>61.049162820793136</c:v>
                </c:pt>
                <c:pt idx="193">
                  <c:v>61.012974244144473</c:v>
                </c:pt>
                <c:pt idx="194">
                  <c:v>60.973741623025589</c:v>
                </c:pt>
                <c:pt idx="195">
                  <c:v>60.931466328875757</c:v>
                </c:pt>
                <c:pt idx="196">
                  <c:v>60.886150098691132</c:v>
                </c:pt>
                <c:pt idx="197">
                  <c:v>60.837795034485382</c:v>
                </c:pt>
                <c:pt idx="198">
                  <c:v>60.786403602714174</c:v>
                </c:pt>
                <c:pt idx="199">
                  <c:v>60.731978633663601</c:v>
                </c:pt>
                <c:pt idx="200">
                  <c:v>60.674523320802393</c:v>
                </c:pt>
                <c:pt idx="201">
                  <c:v>60.614041220098152</c:v>
                </c:pt>
                <c:pt idx="202">
                  <c:v>60.550536249297437</c:v>
                </c:pt>
                <c:pt idx="203">
                  <c:v>60.484012687169965</c:v>
                </c:pt>
                <c:pt idx="204">
                  <c:v>60.41447517271672</c:v>
                </c:pt>
                <c:pt idx="205">
                  <c:v>60.341928704342195</c:v>
                </c:pt>
                <c:pt idx="206">
                  <c:v>60.266378638990751</c:v>
                </c:pt>
                <c:pt idx="207">
                  <c:v>60.18783069124715</c:v>
                </c:pt>
                <c:pt idx="208">
                  <c:v>60.106290932401294</c:v>
                </c:pt>
                <c:pt idx="209">
                  <c:v>60.021765789477307</c:v>
                </c:pt>
                <c:pt idx="210">
                  <c:v>59.934262044226948</c:v>
                </c:pt>
                <c:pt idx="211">
                  <c:v>59.843786832087474</c:v>
                </c:pt>
                <c:pt idx="212">
                  <c:v>59.750347641104</c:v>
                </c:pt>
                <c:pt idx="213">
                  <c:v>59.653952310816464</c:v>
                </c:pt>
                <c:pt idx="214">
                  <c:v>59.554609031111269</c:v>
                </c:pt>
                <c:pt idx="215">
                  <c:v>59.452326341037676</c:v>
                </c:pt>
                <c:pt idx="216">
                  <c:v>59.347113127589047</c:v>
                </c:pt>
                <c:pt idx="217">
                  <c:v>59.238978624449103</c:v>
                </c:pt>
                <c:pt idx="218">
                  <c:v>59.127932410703153</c:v>
                </c:pt>
                <c:pt idx="219">
                  <c:v>59.013984409514563</c:v>
                </c:pt>
                <c:pt idx="220">
                  <c:v>58.897144886766448</c:v>
                </c:pt>
                <c:pt idx="221">
                  <c:v>58.777424449668764</c:v>
                </c:pt>
                <c:pt idx="222">
                  <c:v>58.654834045330958</c:v>
                </c:pt>
                <c:pt idx="223">
                  <c:v>58.529384959300174</c:v>
                </c:pt>
                <c:pt idx="224">
                  <c:v>58.401088814065275</c:v>
                </c:pt>
                <c:pt idx="225">
                  <c:v>58.269957567526703</c:v>
                </c:pt>
                <c:pt idx="226">
                  <c:v>58.136003511432449</c:v>
                </c:pt>
                <c:pt idx="227">
                  <c:v>57.999239269780084</c:v>
                </c:pt>
                <c:pt idx="228">
                  <c:v>57.859677797185178</c:v>
                </c:pt>
                <c:pt idx="229">
                  <c:v>57.717332377216152</c:v>
                </c:pt>
                <c:pt idx="230">
                  <c:v>57.572216620695755</c:v>
                </c:pt>
                <c:pt idx="231">
                  <c:v>57.424344463969241</c:v>
                </c:pt>
                <c:pt idx="232">
                  <c:v>57.27373016713959</c:v>
                </c:pt>
                <c:pt idx="233">
                  <c:v>57.120388312269689</c:v>
                </c:pt>
                <c:pt idx="234">
                  <c:v>56.964333801551895</c:v>
                </c:pt>
                <c:pt idx="235">
                  <c:v>56.805581855444913</c:v>
                </c:pt>
                <c:pt idx="236">
                  <c:v>56.64414801077838</c:v>
                </c:pt>
                <c:pt idx="237">
                  <c:v>56.48004811882516</c:v>
                </c:pt>
                <c:pt idx="238">
                  <c:v>56.313298343341664</c:v>
                </c:pt>
                <c:pt idx="239">
                  <c:v>56.143915158576284</c:v>
                </c:pt>
                <c:pt idx="240">
                  <c:v>55.971915347246195</c:v>
                </c:pt>
                <c:pt idx="241">
                  <c:v>55.797315998482709</c:v>
                </c:pt>
                <c:pt idx="242">
                  <c:v>55.620134505745362</c:v>
                </c:pt>
                <c:pt idx="243">
                  <c:v>55.440388564704932</c:v>
                </c:pt>
                <c:pt idx="244">
                  <c:v>55.258096171095637</c:v>
                </c:pt>
                <c:pt idx="245">
                  <c:v>55.073275618536684</c:v>
                </c:pt>
                <c:pt idx="246">
                  <c:v>54.885945496323373</c:v>
                </c:pt>
                <c:pt idx="247">
                  <c:v>54.696124687188018</c:v>
                </c:pt>
                <c:pt idx="248">
                  <c:v>54.503832365030874</c:v>
                </c:pt>
                <c:pt idx="249">
                  <c:v>54.309087992621308</c:v>
                </c:pt>
                <c:pt idx="250">
                  <c:v>54.11191131926941</c:v>
                </c:pt>
                <c:pt idx="251">
                  <c:v>53.912322378468346</c:v>
                </c:pt>
                <c:pt idx="252">
                  <c:v>53.710341485507584</c:v>
                </c:pt>
                <c:pt idx="253">
                  <c:v>53.505989235057378</c:v>
                </c:pt>
                <c:pt idx="254">
                  <c:v>53.299286498724555</c:v>
                </c:pt>
                <c:pt idx="255">
                  <c:v>53.09025442258006</c:v>
                </c:pt>
                <c:pt idx="256">
                  <c:v>52.878914424658326</c:v>
                </c:pt>
                <c:pt idx="257">
                  <c:v>52.665288192428896</c:v>
                </c:pt>
                <c:pt idx="258">
                  <c:v>52.449397680240359</c:v>
                </c:pt>
                <c:pt idx="259">
                  <c:v>52.231265106737034</c:v>
                </c:pt>
                <c:pt idx="260">
                  <c:v>52.010912952248532</c:v>
                </c:pt>
                <c:pt idx="261">
                  <c:v>51.788363956152594</c:v>
                </c:pt>
                <c:pt idx="262">
                  <c:v>51.563641114211308</c:v>
                </c:pt>
                <c:pt idx="263">
                  <c:v>51.336767675881134</c:v>
                </c:pt>
                <c:pt idx="264">
                  <c:v>51.107767141596902</c:v>
                </c:pt>
                <c:pt idx="265">
                  <c:v>50.876663260030149</c:v>
                </c:pt>
                <c:pt idx="266">
                  <c:v>50.643480025321956</c:v>
                </c:pt>
                <c:pt idx="267">
                  <c:v>50.4082416742907</c:v>
                </c:pt>
                <c:pt idx="268">
                  <c:v>50.170972683614941</c:v>
                </c:pt>
                <c:pt idx="269">
                  <c:v>49.931697766991746</c:v>
                </c:pt>
                <c:pt idx="270">
                  <c:v>49.690441872270668</c:v>
                </c:pt>
                <c:pt idx="271">
                  <c:v>49.447230178563885</c:v>
                </c:pt>
                <c:pt idx="272">
                  <c:v>49.202088093332506</c:v>
                </c:pt>
                <c:pt idx="273">
                  <c:v>48.955041249449593</c:v>
                </c:pt>
                <c:pt idx="274">
                  <c:v>48.706115502240095</c:v>
                </c:pt>
                <c:pt idx="275">
                  <c:v>48.455336926497971</c:v>
                </c:pt>
                <c:pt idx="276">
                  <c:v>48.202731813480895</c:v>
                </c:pt>
                <c:pt idx="277">
                  <c:v>47.948326667882796</c:v>
                </c:pt>
                <c:pt idx="278">
                  <c:v>47.692148204784559</c:v>
                </c:pt>
                <c:pt idx="279">
                  <c:v>47.434223346583224</c:v>
                </c:pt>
                <c:pt idx="280">
                  <c:v>47.174579219899954</c:v>
                </c:pt>
                <c:pt idx="281">
                  <c:v>46.913243152467196</c:v>
                </c:pt>
                <c:pt idx="282">
                  <c:v>46.650242669995215</c:v>
                </c:pt>
                <c:pt idx="283">
                  <c:v>46.385605493018446</c:v>
                </c:pt>
                <c:pt idx="284">
                  <c:v>46.119359533721962</c:v>
                </c:pt>
                <c:pt idx="285">
                  <c:v>45.851532892748324</c:v>
                </c:pt>
                <c:pt idx="286">
                  <c:v>45.582153855985304</c:v>
                </c:pt>
                <c:pt idx="287">
                  <c:v>45.311250891334602</c:v>
                </c:pt>
                <c:pt idx="288">
                  <c:v>45.038852645462093</c:v>
                </c:pt>
                <c:pt idx="289">
                  <c:v>44.764987940529828</c:v>
                </c:pt>
                <c:pt idx="290">
                  <c:v>44.489685770910178</c:v>
                </c:pt>
                <c:pt idx="291">
                  <c:v>44.212975299882459</c:v>
                </c:pt>
                <c:pt idx="292">
                  <c:v>43.934885856312349</c:v>
                </c:pt>
                <c:pt idx="293">
                  <c:v>43.655446931314522</c:v>
                </c:pt>
                <c:pt idx="294">
                  <c:v>43.374688174898829</c:v>
                </c:pt>
                <c:pt idx="295">
                  <c:v>43.092639392600233</c:v>
                </c:pt>
                <c:pt idx="296">
                  <c:v>42.809330542093143</c:v>
                </c:pt>
                <c:pt idx="297">
                  <c:v>42.524791729790216</c:v>
                </c:pt>
                <c:pt idx="298">
                  <c:v>42.239053207426167</c:v>
                </c:pt>
                <c:pt idx="299">
                  <c:v>41.952145368626894</c:v>
                </c:pt>
                <c:pt idx="300">
                  <c:v>41.664098745464244</c:v>
                </c:pt>
                <c:pt idx="301">
                  <c:v>41.432853735092571</c:v>
                </c:pt>
                <c:pt idx="302">
                  <c:v>41.232937923917895</c:v>
                </c:pt>
                <c:pt idx="303">
                  <c:v>41.05257005716016</c:v>
                </c:pt>
                <c:pt idx="304">
                  <c:v>40.88582404355715</c:v>
                </c:pt>
                <c:pt idx="305">
                  <c:v>40.729407228625874</c:v>
                </c:pt>
                <c:pt idx="306">
                  <c:v>40.581293457532063</c:v>
                </c:pt>
                <c:pt idx="307">
                  <c:v>40.440117323159654</c:v>
                </c:pt>
                <c:pt idx="308">
                  <c:v>40.304889949735411</c:v>
                </c:pt>
                <c:pt idx="309">
                  <c:v>40.174856044915487</c:v>
                </c:pt>
                <c:pt idx="310">
                  <c:v>40.049416276573055</c:v>
                </c:pt>
                <c:pt idx="311">
                  <c:v>39.928081791186777</c:v>
                </c:pt>
                <c:pt idx="312">
                  <c:v>39.810445674130825</c:v>
                </c:pt>
                <c:pt idx="313">
                  <c:v>39.696163979421435</c:v>
                </c:pt>
                <c:pt idx="314">
                  <c:v>39.584942517288297</c:v>
                </c:pt>
                <c:pt idx="315">
                  <c:v>39.476527297234284</c:v>
                </c:pt>
                <c:pt idx="316">
                  <c:v>39.370697395780269</c:v>
                </c:pt>
                <c:pt idx="317">
                  <c:v>39.267259490792426</c:v>
                </c:pt>
                <c:pt idx="318">
                  <c:v>39.166043575872415</c:v>
                </c:pt>
                <c:pt idx="319">
                  <c:v>39.066899532219139</c:v>
                </c:pt>
                <c:pt idx="320">
                  <c:v>38.969694338330299</c:v>
                </c:pt>
                <c:pt idx="321">
                  <c:v>38.874309764609038</c:v>
                </c:pt>
                <c:pt idx="322">
                  <c:v>38.780640444201431</c:v>
                </c:pt>
                <c:pt idx="323">
                  <c:v>38.688592241337012</c:v>
                </c:pt>
                <c:pt idx="324">
                  <c:v>38.598080859045112</c:v>
                </c:pt>
                <c:pt idx="325">
                  <c:v>38.509030642510041</c:v>
                </c:pt>
                <c:pt idx="326">
                  <c:v>38.421373544531271</c:v>
                </c:pt>
                <c:pt idx="327">
                  <c:v>38.335048226901925</c:v>
                </c:pt>
                <c:pt idx="328">
                  <c:v>38.249999276894897</c:v>
                </c:pt>
                <c:pt idx="329">
                  <c:v>38.166176522046761</c:v>
                </c:pt>
                <c:pt idx="330">
                  <c:v>38.083534429459633</c:v>
                </c:pt>
                <c:pt idx="331">
                  <c:v>38.002031578176904</c:v>
                </c:pt>
                <c:pt idx="332">
                  <c:v>37.92163019502113</c:v>
                </c:pt>
                <c:pt idx="333">
                  <c:v>37.842295745744146</c:v>
                </c:pt>
                <c:pt idx="334">
                  <c:v>37.76399657452405</c:v>
                </c:pt>
                <c:pt idx="335">
                  <c:v>37.686703585817135</c:v>
                </c:pt>
                <c:pt idx="336">
                  <c:v>37.61038996338312</c:v>
                </c:pt>
                <c:pt idx="337">
                  <c:v>37.535030921983456</c:v>
                </c:pt>
                <c:pt idx="338">
                  <c:v>37.46060348783098</c:v>
                </c:pt>
                <c:pt idx="339">
                  <c:v>37.387086304364004</c:v>
                </c:pt>
                <c:pt idx="340">
                  <c:v>37.314459460343848</c:v>
                </c:pt>
                <c:pt idx="341">
                  <c:v>37.242704337643076</c:v>
                </c:pt>
                <c:pt idx="342">
                  <c:v>37.171803476411803</c:v>
                </c:pt>
                <c:pt idx="343">
                  <c:v>37.101740455588093</c:v>
                </c:pt>
                <c:pt idx="344">
                  <c:v>37.032499786962141</c:v>
                </c:pt>
                <c:pt idx="345">
                  <c:v>36.964066821217173</c:v>
                </c:pt>
                <c:pt idx="346">
                  <c:v>36.896427664556931</c:v>
                </c:pt>
                <c:pt idx="347">
                  <c:v>36.829569104693931</c:v>
                </c:pt>
                <c:pt idx="348">
                  <c:v>36.763478545116911</c:v>
                </c:pt>
                <c:pt idx="349">
                  <c:v>36.698143946683032</c:v>
                </c:pt>
                <c:pt idx="350">
                  <c:v>36.63355377569205</c:v>
                </c:pt>
                <c:pt idx="351">
                  <c:v>36.569696957698291</c:v>
                </c:pt>
                <c:pt idx="352">
                  <c:v>36.506562836403063</c:v>
                </c:pt>
                <c:pt idx="353">
                  <c:v>36.444141137046557</c:v>
                </c:pt>
                <c:pt idx="354">
                  <c:v>36.382421933786055</c:v>
                </c:pt>
                <c:pt idx="355">
                  <c:v>36.321395620606523</c:v>
                </c:pt>
                <c:pt idx="356">
                  <c:v>36.26105288536251</c:v>
                </c:pt>
                <c:pt idx="357">
                  <c:v>36.201384686596441</c:v>
                </c:pt>
                <c:pt idx="358">
                  <c:v>36.142382232819571</c:v>
                </c:pt>
                <c:pt idx="359">
                  <c:v>36.084036963977915</c:v>
                </c:pt>
                <c:pt idx="360">
                  <c:v>36.026340534857397</c:v>
                </c:pt>
                <c:pt idx="361">
                  <c:v>35.969284800210865</c:v>
                </c:pt>
                <c:pt idx="362">
                  <c:v>35.912861801414365</c:v>
                </c:pt>
                <c:pt idx="363">
                  <c:v>35.857063754482269</c:v>
                </c:pt>
                <c:pt idx="364">
                  <c:v>35.801883039290175</c:v>
                </c:pt>
                <c:pt idx="365">
                  <c:v>35.747312189871941</c:v>
                </c:pt>
                <c:pt idx="366">
                  <c:v>35.693343885672228</c:v>
                </c:pt>
                <c:pt idx="367">
                  <c:v>35.639970943649551</c:v>
                </c:pt>
                <c:pt idx="368">
                  <c:v>35.587186311136705</c:v>
                </c:pt>
                <c:pt idx="369">
                  <c:v>35.534983059375904</c:v>
                </c:pt>
                <c:pt idx="370">
                  <c:v>35.483354377655424</c:v>
                </c:pt>
                <c:pt idx="371">
                  <c:v>35.432293567982775</c:v>
                </c:pt>
                <c:pt idx="372">
                  <c:v>35.381794040236578</c:v>
                </c:pt>
                <c:pt idx="373">
                  <c:v>35.331849307746076</c:v>
                </c:pt>
                <c:pt idx="374">
                  <c:v>35.282452983252625</c:v>
                </c:pt>
                <c:pt idx="375">
                  <c:v>35.233598775212862</c:v>
                </c:pt>
                <c:pt idx="376">
                  <c:v>35.185280484407571</c:v>
                </c:pt>
                <c:pt idx="377">
                  <c:v>35.137492000824345</c:v>
                </c:pt>
                <c:pt idx="378">
                  <c:v>35.090227300785592</c:v>
                </c:pt>
                <c:pt idx="379">
                  <c:v>35.043480444296677</c:v>
                </c:pt>
                <c:pt idx="380">
                  <c:v>34.997245572591616</c:v>
                </c:pt>
                <c:pt idx="381">
                  <c:v>34.951516905856451</c:v>
                </c:pt>
                <c:pt idx="382">
                  <c:v>34.90628874111227</c:v>
                </c:pt>
                <c:pt idx="383">
                  <c:v>34.861555450242157</c:v>
                </c:pt>
                <c:pt idx="384">
                  <c:v>34.817311478147758</c:v>
                </c:pt>
                <c:pt idx="385">
                  <c:v>34.773551341022909</c:v>
                </c:pt>
                <c:pt idx="386">
                  <c:v>34.730269624732991</c:v>
                </c:pt>
                <c:pt idx="387">
                  <c:v>34.687460983289938</c:v>
                </c:pt>
                <c:pt idx="388">
                  <c:v>34.645120137413969</c:v>
                </c:pt>
                <c:pt idx="389">
                  <c:v>34.603241873173836</c:v>
                </c:pt>
                <c:pt idx="390">
                  <c:v>34.561821040698597</c:v>
                </c:pt>
                <c:pt idx="391">
                  <c:v>34.520852552954246</c:v>
                </c:pt>
                <c:pt idx="392">
                  <c:v>34.480331384579671</c:v>
                </c:pt>
                <c:pt idx="393">
                  <c:v>34.440252570776536</c:v>
                </c:pt>
                <c:pt idx="394">
                  <c:v>34.400611206248627</c:v>
                </c:pt>
                <c:pt idx="395">
                  <c:v>34.36140244418641</c:v>
                </c:pt>
                <c:pt idx="396">
                  <c:v>34.322621495293056</c:v>
                </c:pt>
                <c:pt idx="397">
                  <c:v>34.284263626848649</c:v>
                </c:pt>
                <c:pt idx="398">
                  <c:v>34.24632416180949</c:v>
                </c:pt>
                <c:pt idx="399">
                  <c:v>34.208798477939766</c:v>
                </c:pt>
                <c:pt idx="400">
                  <c:v>34.171682006973214</c:v>
                </c:pt>
                <c:pt idx="401">
                  <c:v>34.134970233802441</c:v>
                </c:pt>
                <c:pt idx="402">
                  <c:v>34.098658695694063</c:v>
                </c:pt>
                <c:pt idx="403">
                  <c:v>34.062742981527698</c:v>
                </c:pt>
                <c:pt idx="404">
                  <c:v>34.027218731057289</c:v>
                </c:pt>
                <c:pt idx="405">
                  <c:v>33.992081634193248</c:v>
                </c:pt>
                <c:pt idx="406">
                  <c:v>33.957327430304041</c:v>
                </c:pt>
                <c:pt idx="407">
                  <c:v>33.922951907536088</c:v>
                </c:pt>
                <c:pt idx="408">
                  <c:v>33.888950902150775</c:v>
                </c:pt>
                <c:pt idx="409">
                  <c:v>33.855320297877611</c:v>
                </c:pt>
                <c:pt idx="410">
                  <c:v>33.822056025282649</c:v>
                </c:pt>
                <c:pt idx="411">
                  <c:v>33.789154061151272</c:v>
                </c:pt>
                <c:pt idx="412">
                  <c:v>33.756610427884638</c:v>
                </c:pt>
                <c:pt idx="413">
                  <c:v>33.724421192909013</c:v>
                </c:pt>
                <c:pt idx="414">
                  <c:v>33.692582468097427</c:v>
                </c:pt>
                <c:pt idx="415">
                  <c:v>33.661090409203041</c:v>
                </c:pt>
                <c:pt idx="416">
                  <c:v>33.629941215303653</c:v>
                </c:pt>
                <c:pt idx="417">
                  <c:v>33.599131128256872</c:v>
                </c:pt>
                <c:pt idx="418">
                  <c:v>33.568656432165525</c:v>
                </c:pt>
                <c:pt idx="419">
                  <c:v>33.538513452852811</c:v>
                </c:pt>
                <c:pt idx="420">
                  <c:v>33.508698557346889</c:v>
                </c:pt>
                <c:pt idx="421">
                  <c:v>33.479208153374472</c:v>
                </c:pt>
                <c:pt idx="422">
                  <c:v>33.450038688863117</c:v>
                </c:pt>
                <c:pt idx="423">
                  <c:v>33.421186651451897</c:v>
                </c:pt>
                <c:pt idx="424">
                  <c:v>33.392648568010195</c:v>
                </c:pt>
                <c:pt idx="425">
                  <c:v>33.364421004164264</c:v>
                </c:pt>
                <c:pt idx="426">
                  <c:v>33.336500563831407</c:v>
                </c:pt>
                <c:pt idx="427">
                  <c:v>33.308883888761443</c:v>
                </c:pt>
                <c:pt idx="428">
                  <c:v>33.281567658085315</c:v>
                </c:pt>
                <c:pt idx="429">
                  <c:v>33.254548587870566</c:v>
                </c:pt>
                <c:pt idx="430">
                  <c:v>33.227823430683536</c:v>
                </c:pt>
                <c:pt idx="431">
                  <c:v>33.201388975158068</c:v>
                </c:pt>
                <c:pt idx="432">
                  <c:v>33.17524204557057</c:v>
                </c:pt>
                <c:pt idx="433">
                  <c:v>33.149379501421208</c:v>
                </c:pt>
                <c:pt idx="434">
                  <c:v>33.123798237021191</c:v>
                </c:pt>
                <c:pt idx="435">
                  <c:v>33.098495181085859</c:v>
                </c:pt>
                <c:pt idx="436">
                  <c:v>33.073467296333547</c:v>
                </c:pt>
                <c:pt idx="437">
                  <c:v>33.048711579090003</c:v>
                </c:pt>
                <c:pt idx="438">
                  <c:v>33.024225058898331</c:v>
                </c:pt>
                <c:pt idx="439">
                  <c:v>33.000004798134242</c:v>
                </c:pt>
                <c:pt idx="440">
                  <c:v>32.976047891626543</c:v>
                </c:pt>
                <c:pt idx="441">
                  <c:v>32.952351466282749</c:v>
                </c:pt>
                <c:pt idx="442">
                  <c:v>32.928912680719719</c:v>
                </c:pt>
                <c:pt idx="443">
                  <c:v>32.90572872489917</c:v>
                </c:pt>
                <c:pt idx="444">
                  <c:v>32.882796819768053</c:v>
                </c:pt>
                <c:pt idx="445">
                  <c:v>32.860114216903604</c:v>
                </c:pt>
                <c:pt idx="446">
                  <c:v>32.837678198163054</c:v>
                </c:pt>
                <c:pt idx="447">
                  <c:v>32.815486075337866</c:v>
                </c:pt>
                <c:pt idx="448">
                  <c:v>32.793535189812424</c:v>
                </c:pt>
                <c:pt idx="449">
                  <c:v>32.771822912227108</c:v>
                </c:pt>
                <c:pt idx="450">
                  <c:v>32.750346642145672</c:v>
                </c:pt>
                <c:pt idx="451">
                  <c:v>32.729103807726815</c:v>
                </c:pt>
                <c:pt idx="452">
                  <c:v>32.708091865399936</c:v>
                </c:pt>
                <c:pt idx="453">
                  <c:v>32.687308299544945</c:v>
                </c:pt>
                <c:pt idx="454">
                  <c:v>32.666750622176053</c:v>
                </c:pt>
                <c:pt idx="455">
                  <c:v>32.646416372629595</c:v>
                </c:pt>
                <c:pt idx="456">
                  <c:v>32.626303117255603</c:v>
                </c:pt>
                <c:pt idx="457">
                  <c:v>32.606408449113296</c:v>
                </c:pt>
                <c:pt idx="458">
                  <c:v>32.586729987670253</c:v>
                </c:pt>
                <c:pt idx="459">
                  <c:v>32.567265378505326</c:v>
                </c:pt>
                <c:pt idx="460">
                  <c:v>32.548012293015148</c:v>
                </c:pt>
                <c:pt idx="461">
                  <c:v>32.528968428124251</c:v>
                </c:pt>
                <c:pt idx="462">
                  <c:v>32.510131505998643</c:v>
                </c:pt>
                <c:pt idx="463">
                  <c:v>32.491499273762948</c:v>
                </c:pt>
                <c:pt idx="464">
                  <c:v>32.47306950322087</c:v>
                </c:pt>
                <c:pt idx="465">
                  <c:v>32.454839990579096</c:v>
                </c:pt>
                <c:pt idx="466">
                  <c:v>32.436808556174434</c:v>
                </c:pt>
                <c:pt idx="467">
                  <c:v>32.418973044204286</c:v>
                </c:pt>
                <c:pt idx="468">
                  <c:v>32.401331322460294</c:v>
                </c:pt>
                <c:pt idx="469">
                  <c:v>32.383881282065182</c:v>
                </c:pt>
                <c:pt idx="470">
                  <c:v>32.366620837212714</c:v>
                </c:pt>
                <c:pt idx="471">
                  <c:v>32.349547924910709</c:v>
                </c:pt>
                <c:pt idx="472">
                  <c:v>32.332660504727137</c:v>
                </c:pt>
                <c:pt idx="473">
                  <c:v>32.315956558539185</c:v>
                </c:pt>
                <c:pt idx="474">
                  <c:v>32.299434090285253</c:v>
                </c:pt>
                <c:pt idx="475">
                  <c:v>32.283091125719906</c:v>
                </c:pt>
                <c:pt idx="476">
                  <c:v>32.266925712171663</c:v>
                </c:pt>
                <c:pt idx="477">
                  <c:v>32.250935918303625</c:v>
                </c:pt>
                <c:pt idx="478">
                  <c:v>32.235119833876908</c:v>
                </c:pt>
                <c:pt idx="479">
                  <c:v>32.219475569516817</c:v>
                </c:pt>
                <c:pt idx="480">
                  <c:v>32.204001256481739</c:v>
                </c:pt>
                <c:pt idx="481">
                  <c:v>32.188695046434717</c:v>
                </c:pt>
                <c:pt idx="482">
                  <c:v>32.173555111217674</c:v>
                </c:pt>
                <c:pt idx="483">
                  <c:v>32.158579642628261</c:v>
                </c:pt>
                <c:pt idx="484">
                  <c:v>32.143766852199235</c:v>
                </c:pt>
                <c:pt idx="485">
                  <c:v>32.129114970980446</c:v>
                </c:pt>
                <c:pt idx="486">
                  <c:v>32.114622249323254</c:v>
                </c:pt>
                <c:pt idx="487">
                  <c:v>32.100286956667503</c:v>
                </c:pt>
                <c:pt idx="488">
                  <c:v>32.086107381330876</c:v>
                </c:pt>
                <c:pt idx="489">
                  <c:v>32.072081830300696</c:v>
                </c:pt>
                <c:pt idx="490">
                  <c:v>32.058208629028101</c:v>
                </c:pt>
                <c:pt idx="491">
                  <c:v>32.044486121224566</c:v>
                </c:pt>
                <c:pt idx="492">
                  <c:v>32.03091266866074</c:v>
                </c:pt>
                <c:pt idx="493">
                  <c:v>32.017486650967605</c:v>
                </c:pt>
                <c:pt idx="494">
                  <c:v>32.004206465439843</c:v>
                </c:pt>
                <c:pt idx="495">
                  <c:v>31.991070526841511</c:v>
                </c:pt>
                <c:pt idx="496">
                  <c:v>31.978077267213852</c:v>
                </c:pt>
                <c:pt idx="497">
                  <c:v>31.965225135685319</c:v>
                </c:pt>
                <c:pt idx="498">
                  <c:v>31.952512598283761</c:v>
                </c:pt>
                <c:pt idx="499">
                  <c:v>31.939938137750694</c:v>
                </c:pt>
                <c:pt idx="500">
                  <c:v>31.927500253357724</c:v>
                </c:pt>
                <c:pt idx="501">
                  <c:v>31.91519746072499</c:v>
                </c:pt>
                <c:pt idx="502">
                  <c:v>31.903028291641686</c:v>
                </c:pt>
                <c:pt idx="503">
                  <c:v>31.890991293888614</c:v>
                </c:pt>
                <c:pt idx="504">
                  <c:v>31.879085031062683</c:v>
                </c:pt>
                <c:pt idx="505">
                  <c:v>31.867308082403454</c:v>
                </c:pt>
                <c:pt idx="506">
                  <c:v>31.855659042621568</c:v>
                </c:pt>
                <c:pt idx="507">
                  <c:v>31.844136521729141</c:v>
                </c:pt>
                <c:pt idx="508">
                  <c:v>31.832739144872043</c:v>
                </c:pt>
                <c:pt idx="509">
                  <c:v>31.821465552164064</c:v>
                </c:pt>
                <c:pt idx="510">
                  <c:v>31.810314398522937</c:v>
                </c:pt>
                <c:pt idx="511">
                  <c:v>31.799284353508185</c:v>
                </c:pt>
                <c:pt idx="512">
                  <c:v>31.788374101160791</c:v>
                </c:pt>
                <c:pt idx="513">
                  <c:v>31.77758233984466</c:v>
                </c:pt>
                <c:pt idx="514">
                  <c:v>31.766907782089838</c:v>
                </c:pt>
                <c:pt idx="515">
                  <c:v>31.756349154437501</c:v>
                </c:pt>
                <c:pt idx="516">
                  <c:v>31.745905197286646</c:v>
                </c:pt>
                <c:pt idx="517">
                  <c:v>31.735574664742511</c:v>
                </c:pt>
                <c:pt idx="518">
                  <c:v>31.725356324466677</c:v>
                </c:pt>
                <c:pt idx="519">
                  <c:v>31.715248957528821</c:v>
                </c:pt>
                <c:pt idx="520">
                  <c:v>31.705251358260146</c:v>
                </c:pt>
                <c:pt idx="521">
                  <c:v>31.695362334108417</c:v>
                </c:pt>
                <c:pt idx="522">
                  <c:v>31.685580705494605</c:v>
                </c:pt>
                <c:pt idx="523">
                  <c:v>31.675905305671147</c:v>
                </c:pt>
                <c:pt idx="524">
                  <c:v>31.666334980581755</c:v>
                </c:pt>
                <c:pt idx="525">
                  <c:v>31.656868588722784</c:v>
                </c:pt>
                <c:pt idx="526">
                  <c:v>31.647505001006135</c:v>
                </c:pt>
                <c:pt idx="527">
                  <c:v>31.638243100623676</c:v>
                </c:pt>
                <c:pt idx="528">
                  <c:v>31.629081782913179</c:v>
                </c:pt>
                <c:pt idx="529">
                  <c:v>31.620019955225711</c:v>
                </c:pt>
                <c:pt idx="530">
                  <c:v>31.611056536794521</c:v>
                </c:pt>
                <c:pt idx="531">
                  <c:v>31.602190458605349</c:v>
                </c:pt>
                <c:pt idx="532">
                  <c:v>31.593420663268194</c:v>
                </c:pt>
                <c:pt idx="533">
                  <c:v>31.584746104890467</c:v>
                </c:pt>
                <c:pt idx="534">
                  <c:v>31.576165748951578</c:v>
                </c:pt>
                <c:pt idx="535">
                  <c:v>31.567678572178878</c:v>
                </c:pt>
                <c:pt idx="536">
                  <c:v>31.559283562424987</c:v>
                </c:pt>
                <c:pt idx="537">
                  <c:v>31.550979718546468</c:v>
                </c:pt>
                <c:pt idx="538">
                  <c:v>31.542766050283831</c:v>
                </c:pt>
                <c:pt idx="539">
                  <c:v>31.534641578142875</c:v>
                </c:pt>
                <c:pt idx="540">
                  <c:v>31.526605333277317</c:v>
                </c:pt>
                <c:pt idx="541">
                  <c:v>31.518656357372723</c:v>
                </c:pt>
                <c:pt idx="542">
                  <c:v>31.510793702531732</c:v>
                </c:pt>
                <c:pt idx="543">
                  <c:v>31.503016431160503</c:v>
                </c:pt>
                <c:pt idx="544">
                  <c:v>31.495323615856446</c:v>
                </c:pt>
                <c:pt idx="545">
                  <c:v>31.48771433929717</c:v>
                </c:pt>
                <c:pt idx="546">
                  <c:v>31.480187694130656</c:v>
                </c:pt>
                <c:pt idx="547">
                  <c:v>31.472742782866636</c:v>
                </c:pt>
                <c:pt idx="548">
                  <c:v>31.465378717769166</c:v>
                </c:pt>
                <c:pt idx="549">
                  <c:v>31.458094620750384</c:v>
                </c:pt>
                <c:pt idx="550">
                  <c:v>31.450889623265397</c:v>
                </c:pt>
                <c:pt idx="551">
                  <c:v>31.443762866208395</c:v>
                </c:pt>
                <c:pt idx="552">
                  <c:v>31.436713499809823</c:v>
                </c:pt>
                <c:pt idx="553">
                  <c:v>31.429740683534735</c:v>
                </c:pt>
                <c:pt idx="554">
                  <c:v>31.422843585982243</c:v>
                </c:pt>
                <c:pt idx="555">
                  <c:v>31.416021384786067</c:v>
                </c:pt>
                <c:pt idx="556">
                  <c:v>31.409273266516184</c:v>
                </c:pt>
                <c:pt idx="557">
                  <c:v>31.402598426581548</c:v>
                </c:pt>
                <c:pt idx="558">
                  <c:v>31.395996069133862</c:v>
                </c:pt>
                <c:pt idx="559">
                  <c:v>31.389465406972437</c:v>
                </c:pt>
                <c:pt idx="560">
                  <c:v>31.38300566145006</c:v>
                </c:pt>
                <c:pt idx="561">
                  <c:v>31.37661606237991</c:v>
                </c:pt>
                <c:pt idx="562">
                  <c:v>31.370295847943481</c:v>
                </c:pt>
                <c:pt idx="563">
                  <c:v>31.364044264599535</c:v>
                </c:pt>
                <c:pt idx="564">
                  <c:v>31.357860566994017</c:v>
                </c:pt>
                <c:pt idx="565">
                  <c:v>31.351744017870978</c:v>
                </c:pt>
                <c:pt idx="566">
                  <c:v>31.345693887984478</c:v>
                </c:pt>
                <c:pt idx="567">
                  <c:v>31.33970945601143</c:v>
                </c:pt>
                <c:pt idx="568">
                  <c:v>31.333790008465414</c:v>
                </c:pt>
                <c:pt idx="569">
                  <c:v>31.327934839611412</c:v>
                </c:pt>
                <c:pt idx="570">
                  <c:v>31.322143251381519</c:v>
                </c:pt>
                <c:pt idx="571">
                  <c:v>31.316414553291505</c:v>
                </c:pt>
                <c:pt idx="572">
                  <c:v>31.310748062358371</c:v>
                </c:pt>
                <c:pt idx="573">
                  <c:v>31.305143103018732</c:v>
                </c:pt>
                <c:pt idx="574">
                  <c:v>31.299599007048133</c:v>
                </c:pt>
                <c:pt idx="575">
                  <c:v>31.29411511348124</c:v>
                </c:pt>
                <c:pt idx="576">
                  <c:v>31.288690768532884</c:v>
                </c:pt>
                <c:pt idx="577">
                  <c:v>31.283325325519993</c:v>
                </c:pt>
                <c:pt idx="578">
                  <c:v>31.278018144784358</c:v>
                </c:pt>
                <c:pt idx="579">
                  <c:v>31.272768593616245</c:v>
                </c:pt>
                <c:pt idx="580">
                  <c:v>31.267576046178842</c:v>
                </c:pt>
                <c:pt idx="581">
                  <c:v>31.262439883433533</c:v>
                </c:pt>
                <c:pt idx="582">
                  <c:v>31.257359493065987</c:v>
                </c:pt>
                <c:pt idx="583">
                  <c:v>31.252334269413044</c:v>
                </c:pt>
                <c:pt idx="584">
                  <c:v>31.247363613390409</c:v>
                </c:pt>
                <c:pt idx="585">
                  <c:v>31.242446932421128</c:v>
                </c:pt>
                <c:pt idx="586">
                  <c:v>31.23758364036485</c:v>
                </c:pt>
                <c:pt idx="587">
                  <c:v>31.232773157447852</c:v>
                </c:pt>
                <c:pt idx="588">
                  <c:v>31.228014910193831</c:v>
                </c:pt>
                <c:pt idx="589">
                  <c:v>31.223308331355454</c:v>
                </c:pt>
                <c:pt idx="590">
                  <c:v>31.218652859846653</c:v>
                </c:pt>
                <c:pt idx="591">
                  <c:v>31.214047940675638</c:v>
                </c:pt>
                <c:pt idx="592">
                  <c:v>31.209493024878686</c:v>
                </c:pt>
                <c:pt idx="593">
                  <c:v>31.204987569454591</c:v>
                </c:pt>
                <c:pt idx="594">
                  <c:v>31.200531037299882</c:v>
                </c:pt>
                <c:pt idx="595">
                  <c:v>31.196122897144718</c:v>
                </c:pt>
                <c:pt idx="596">
                  <c:v>31.191762623489485</c:v>
                </c:pt>
                <c:pt idx="597">
                  <c:v>31.187449696542082</c:v>
                </c:pt>
                <c:pt idx="598">
                  <c:v>31.183183602155903</c:v>
                </c:pt>
                <c:pt idx="599">
                  <c:v>31.178963831768485</c:v>
                </c:pt>
                <c:pt idx="600">
                  <c:v>31.174789882340811</c:v>
                </c:pt>
                <c:pt idx="601">
                  <c:v>31.228570986392693</c:v>
                </c:pt>
                <c:pt idx="602">
                  <c:v>31.314803439586544</c:v>
                </c:pt>
                <c:pt idx="603">
                  <c:v>31.42167457371545</c:v>
                </c:pt>
                <c:pt idx="604">
                  <c:v>31.543226764848502</c:v>
                </c:pt>
                <c:pt idx="605">
                  <c:v>31.676135710046054</c:v>
                </c:pt>
                <c:pt idx="606">
                  <c:v>31.818343493695867</c:v>
                </c:pt>
                <c:pt idx="607">
                  <c:v>31.968452839061573</c:v>
                </c:pt>
                <c:pt idx="608">
                  <c:v>32.125442895398265</c:v>
                </c:pt>
                <c:pt idx="609">
                  <c:v>32.288526293541636</c:v>
                </c:pt>
                <c:pt idx="610">
                  <c:v>32.457071526209418</c:v>
                </c:pt>
                <c:pt idx="611">
                  <c:v>32.630557469914422</c:v>
                </c:pt>
                <c:pt idx="612">
                  <c:v>32.80854484878963</c:v>
                </c:pt>
                <c:pt idx="613">
                  <c:v>32.990657267879818</c:v>
                </c:pt>
                <c:pt idx="614">
                  <c:v>33.176568004267743</c:v>
                </c:pt>
                <c:pt idx="615">
                  <c:v>33.365990453697883</c:v>
                </c:pt>
                <c:pt idx="616">
                  <c:v>33.55867100189414</c:v>
                </c:pt>
                <c:pt idx="617">
                  <c:v>33.754383562468576</c:v>
                </c:pt>
                <c:pt idx="618">
                  <c:v>33.952925294901021</c:v>
                </c:pt>
                <c:pt idx="619">
                  <c:v>34.154113179998085</c:v>
                </c:pt>
                <c:pt idx="620">
                  <c:v>34.357781233199162</c:v>
                </c:pt>
                <c:pt idx="621">
                  <c:v>34.563778202794495</c:v>
                </c:pt>
                <c:pt idx="622">
                  <c:v>34.771965644380558</c:v>
                </c:pt>
                <c:pt idx="623">
                  <c:v>34.98221629282461</c:v>
                </c:pt>
                <c:pt idx="624">
                  <c:v>35.194412673610827</c:v>
                </c:pt>
                <c:pt idx="625">
                  <c:v>35.40844590983049</c:v>
                </c:pt>
                <c:pt idx="626">
                  <c:v>35.624214691282177</c:v>
                </c:pt>
                <c:pt idx="627">
                  <c:v>35.841624379494753</c:v>
                </c:pt>
                <c:pt idx="628">
                  <c:v>36.060586227862139</c:v>
                </c:pt>
                <c:pt idx="629">
                  <c:v>36.281016700079533</c:v>
                </c:pt>
                <c:pt idx="630">
                  <c:v>36.502836873100961</c:v>
                </c:pt>
                <c:pt idx="631">
                  <c:v>36.725971913173581</c:v>
                </c:pt>
                <c:pt idx="632">
                  <c:v>36.950350615336696</c:v>
                </c:pt>
                <c:pt idx="633">
                  <c:v>37.175904998235055</c:v>
                </c:pt>
                <c:pt idx="634">
                  <c:v>37.40256994728076</c:v>
                </c:pt>
                <c:pt idx="635">
                  <c:v>37.630282900171494</c:v>
                </c:pt>
                <c:pt idx="636">
                  <c:v>37.858983569582811</c:v>
                </c:pt>
                <c:pt idx="637">
                  <c:v>38.088613698534168</c:v>
                </c:pt>
                <c:pt idx="638">
                  <c:v>38.319116844506283</c:v>
                </c:pt>
                <c:pt idx="639">
                  <c:v>38.550438188882715</c:v>
                </c:pt>
                <c:pt idx="640">
                  <c:v>38.782524368714121</c:v>
                </c:pt>
                <c:pt idx="641">
                  <c:v>39.015323328172151</c:v>
                </c:pt>
                <c:pt idx="642">
                  <c:v>39.24878418737989</c:v>
                </c:pt>
                <c:pt idx="643">
                  <c:v>39.48285712658452</c:v>
                </c:pt>
                <c:pt idx="644">
                  <c:v>39.71749328388136</c:v>
                </c:pt>
                <c:pt idx="645">
                  <c:v>39.952644664912036</c:v>
                </c:pt>
                <c:pt idx="646">
                  <c:v>40.188264063146022</c:v>
                </c:pt>
                <c:pt idx="647">
                  <c:v>40.424304989519477</c:v>
                </c:pt>
                <c:pt idx="648">
                  <c:v>40.660721610349398</c:v>
                </c:pt>
                <c:pt idx="649">
                  <c:v>40.897468692568111</c:v>
                </c:pt>
                <c:pt idx="650">
                  <c:v>41.134501555435108</c:v>
                </c:pt>
                <c:pt idx="651">
                  <c:v>41.371776027981554</c:v>
                </c:pt>
                <c:pt idx="652">
                  <c:v>41.609248411529649</c:v>
                </c:pt>
                <c:pt idx="653">
                  <c:v>41.846875446705674</c:v>
                </c:pt>
                <c:pt idx="654">
                  <c:v>42.084614284432966</c:v>
                </c:pt>
                <c:pt idx="655">
                  <c:v>42.322422460450582</c:v>
                </c:pt>
                <c:pt idx="656">
                  <c:v>42.560257872956171</c:v>
                </c:pt>
                <c:pt idx="657">
                  <c:v>42.79807876301777</c:v>
                </c:pt>
                <c:pt idx="658">
                  <c:v>43.03584369744032</c:v>
                </c:pt>
                <c:pt idx="659">
                  <c:v>43.27351155380893</c:v>
                </c:pt>
                <c:pt idx="660">
                  <c:v>43.511041507462615</c:v>
                </c:pt>
                <c:pt idx="661">
                  <c:v>43.748393020180913</c:v>
                </c:pt>
                <c:pt idx="662">
                  <c:v>43.985525830390237</c:v>
                </c:pt>
                <c:pt idx="663">
                  <c:v>44.222399944719228</c:v>
                </c:pt>
                <c:pt idx="664">
                  <c:v>44.458975630751738</c:v>
                </c:pt>
                <c:pt idx="665">
                  <c:v>44.695213410843181</c:v>
                </c:pt>
                <c:pt idx="666">
                  <c:v>44.931074056881499</c:v>
                </c:pt>
                <c:pt idx="667">
                  <c:v>45.166518585887211</c:v>
                </c:pt>
                <c:pt idx="668">
                  <c:v>45.40150825635898</c:v>
                </c:pt>
                <c:pt idx="669">
                  <c:v>45.63600456528183</c:v>
                </c:pt>
                <c:pt idx="670">
                  <c:v>45.869969245724313</c:v>
                </c:pt>
                <c:pt idx="671">
                  <c:v>46.103364264959218</c:v>
                </c:pt>
                <c:pt idx="672">
                  <c:v>46.336151823049747</c:v>
                </c:pt>
                <c:pt idx="673">
                  <c:v>46.568294351849595</c:v>
                </c:pt>
                <c:pt idx="674">
                  <c:v>46.799754514371017</c:v>
                </c:pt>
                <c:pt idx="675">
                  <c:v>47.030495204480104</c:v>
                </c:pt>
                <c:pt idx="676">
                  <c:v>47.260479546882962</c:v>
                </c:pt>
                <c:pt idx="677">
                  <c:v>47.489670897370523</c:v>
                </c:pt>
                <c:pt idx="678">
                  <c:v>47.718032843293159</c:v>
                </c:pt>
                <c:pt idx="679">
                  <c:v>47.945529204239527</c:v>
                </c:pt>
                <c:pt idx="680">
                  <c:v>48.172124032896704</c:v>
                </c:pt>
                <c:pt idx="681">
                  <c:v>48.397781616071356</c:v>
                </c:pt>
                <c:pt idx="682">
                  <c:v>48.622466475853564</c:v>
                </c:pt>
                <c:pt idx="683">
                  <c:v>48.846143370907185</c:v>
                </c:pt>
                <c:pt idx="684">
                  <c:v>49.068777297872217</c:v>
                </c:pt>
                <c:pt idx="685">
                  <c:v>49.290333492865983</c:v>
                </c:pt>
                <c:pt idx="686">
                  <c:v>49.510777433071816</c:v>
                </c:pt>
                <c:pt idx="687">
                  <c:v>49.730074838404484</c:v>
                </c:pt>
                <c:pt idx="688">
                  <c:v>49.948191673243223</c:v>
                </c:pt>
                <c:pt idx="689">
                  <c:v>50.165094148223886</c:v>
                </c:pt>
                <c:pt idx="690">
                  <c:v>50.380748722082707</c:v>
                </c:pt>
                <c:pt idx="691">
                  <c:v>50.595122103544831</c:v>
                </c:pt>
                <c:pt idx="692">
                  <c:v>50.808181253251597</c:v>
                </c:pt>
                <c:pt idx="693">
                  <c:v>51.01989338572097</c:v>
                </c:pt>
                <c:pt idx="694">
                  <c:v>51.230225971336196</c:v>
                </c:pt>
                <c:pt idx="695">
                  <c:v>51.439146738358176</c:v>
                </c:pt>
                <c:pt idx="696">
                  <c:v>51.646623674957468</c:v>
                </c:pt>
                <c:pt idx="697">
                  <c:v>51.852625031262285</c:v>
                </c:pt>
                <c:pt idx="698">
                  <c:v>52.057119321419059</c:v>
                </c:pt>
                <c:pt idx="699">
                  <c:v>52.260075325662598</c:v>
                </c:pt>
                <c:pt idx="700">
                  <c:v>52.461462092392978</c:v>
                </c:pt>
                <c:pt idx="701">
                  <c:v>52.661248940256776</c:v>
                </c:pt>
                <c:pt idx="702">
                  <c:v>52.859405460230171</c:v>
                </c:pt>
                <c:pt idx="703">
                  <c:v>53.055901517701876</c:v>
                </c:pt>
                <c:pt idx="704">
                  <c:v>53.250707254554001</c:v>
                </c:pt>
                <c:pt idx="705">
                  <c:v>53.443793091238945</c:v>
                </c:pt>
                <c:pt idx="706">
                  <c:v>53.635129728850742</c:v>
                </c:pt>
                <c:pt idx="707">
                  <c:v>53.824688151189385</c:v>
                </c:pt>
                <c:pt idx="708">
                  <c:v>54.012439626816565</c:v>
                </c:pt>
                <c:pt idx="709">
                  <c:v>54.198355711101733</c:v>
                </c:pt>
                <c:pt idx="710">
                  <c:v>54.382408248257057</c:v>
                </c:pt>
                <c:pt idx="711">
                  <c:v>54.564569373360335</c:v>
                </c:pt>
                <c:pt idx="712">
                  <c:v>54.744811514364663</c:v>
                </c:pt>
                <c:pt idx="713">
                  <c:v>54.923107394093982</c:v>
                </c:pt>
                <c:pt idx="714">
                  <c:v>55.099430032223459</c:v>
                </c:pt>
                <c:pt idx="715">
                  <c:v>55.273752747243996</c:v>
                </c:pt>
              </c:numCache>
            </c:numRef>
          </c:val>
        </c:ser>
        <c:ser>
          <c:idx val="2"/>
          <c:order val="2"/>
          <c:tx>
            <c:strRef>
              <c:f>Calculations!$A$26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Calculations!$B$21:$AAO$21</c:f>
              <c:numCache>
                <c:formatCode>0.00</c:formatCode>
                <c:ptCount val="716"/>
                <c:pt idx="0" formatCode="General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5.0000000000000036</c:v>
                </c:pt>
                <c:pt idx="126">
                  <c:v>5.0400000000000036</c:v>
                </c:pt>
                <c:pt idx="127">
                  <c:v>5.0800000000000036</c:v>
                </c:pt>
                <c:pt idx="128">
                  <c:v>5.1200000000000037</c:v>
                </c:pt>
                <c:pt idx="129">
                  <c:v>5.1600000000000037</c:v>
                </c:pt>
                <c:pt idx="130">
                  <c:v>5.2000000000000037</c:v>
                </c:pt>
                <c:pt idx="131">
                  <c:v>5.2400000000000038</c:v>
                </c:pt>
                <c:pt idx="132">
                  <c:v>5.2800000000000038</c:v>
                </c:pt>
                <c:pt idx="133">
                  <c:v>5.3200000000000038</c:v>
                </c:pt>
                <c:pt idx="134">
                  <c:v>5.3600000000000039</c:v>
                </c:pt>
                <c:pt idx="135">
                  <c:v>5.4000000000000039</c:v>
                </c:pt>
                <c:pt idx="136">
                  <c:v>5.4400000000000039</c:v>
                </c:pt>
                <c:pt idx="137">
                  <c:v>5.480000000000004</c:v>
                </c:pt>
                <c:pt idx="138">
                  <c:v>5.520000000000004</c:v>
                </c:pt>
                <c:pt idx="139">
                  <c:v>5.5600000000000041</c:v>
                </c:pt>
                <c:pt idx="140">
                  <c:v>5.6000000000000041</c:v>
                </c:pt>
                <c:pt idx="141">
                  <c:v>5.6400000000000041</c:v>
                </c:pt>
                <c:pt idx="142">
                  <c:v>5.6800000000000042</c:v>
                </c:pt>
                <c:pt idx="143">
                  <c:v>5.7200000000000042</c:v>
                </c:pt>
                <c:pt idx="144">
                  <c:v>5.7600000000000042</c:v>
                </c:pt>
                <c:pt idx="145">
                  <c:v>5.8000000000000043</c:v>
                </c:pt>
                <c:pt idx="146">
                  <c:v>5.8400000000000043</c:v>
                </c:pt>
                <c:pt idx="147">
                  <c:v>5.8800000000000043</c:v>
                </c:pt>
                <c:pt idx="148">
                  <c:v>5.9200000000000044</c:v>
                </c:pt>
                <c:pt idx="149">
                  <c:v>5.9600000000000044</c:v>
                </c:pt>
                <c:pt idx="150">
                  <c:v>6.0000000000000044</c:v>
                </c:pt>
                <c:pt idx="151">
                  <c:v>6.0400000000000045</c:v>
                </c:pt>
                <c:pt idx="152">
                  <c:v>6.0800000000000045</c:v>
                </c:pt>
                <c:pt idx="153">
                  <c:v>6.1200000000000045</c:v>
                </c:pt>
                <c:pt idx="154">
                  <c:v>6.1600000000000046</c:v>
                </c:pt>
                <c:pt idx="155">
                  <c:v>6.2000000000000046</c:v>
                </c:pt>
                <c:pt idx="156">
                  <c:v>6.2400000000000047</c:v>
                </c:pt>
                <c:pt idx="157">
                  <c:v>6.2800000000000047</c:v>
                </c:pt>
                <c:pt idx="158">
                  <c:v>6.3200000000000047</c:v>
                </c:pt>
                <c:pt idx="159">
                  <c:v>6.3600000000000048</c:v>
                </c:pt>
                <c:pt idx="160">
                  <c:v>6.4000000000000048</c:v>
                </c:pt>
                <c:pt idx="161">
                  <c:v>6.4400000000000048</c:v>
                </c:pt>
                <c:pt idx="162">
                  <c:v>6.4800000000000049</c:v>
                </c:pt>
                <c:pt idx="163">
                  <c:v>6.5200000000000049</c:v>
                </c:pt>
                <c:pt idx="164">
                  <c:v>6.5600000000000049</c:v>
                </c:pt>
                <c:pt idx="165">
                  <c:v>6.600000000000005</c:v>
                </c:pt>
                <c:pt idx="166">
                  <c:v>6.640000000000005</c:v>
                </c:pt>
                <c:pt idx="167">
                  <c:v>6.680000000000005</c:v>
                </c:pt>
                <c:pt idx="168">
                  <c:v>6.7200000000000051</c:v>
                </c:pt>
                <c:pt idx="169">
                  <c:v>6.7600000000000051</c:v>
                </c:pt>
                <c:pt idx="170">
                  <c:v>6.8000000000000052</c:v>
                </c:pt>
                <c:pt idx="171">
                  <c:v>6.8400000000000052</c:v>
                </c:pt>
                <c:pt idx="172">
                  <c:v>6.8800000000000052</c:v>
                </c:pt>
                <c:pt idx="173">
                  <c:v>6.9200000000000053</c:v>
                </c:pt>
                <c:pt idx="174">
                  <c:v>6.9600000000000053</c:v>
                </c:pt>
                <c:pt idx="175">
                  <c:v>7.0000000000000053</c:v>
                </c:pt>
                <c:pt idx="176">
                  <c:v>7.0400000000000054</c:v>
                </c:pt>
                <c:pt idx="177">
                  <c:v>7.0800000000000054</c:v>
                </c:pt>
                <c:pt idx="178">
                  <c:v>7.1200000000000054</c:v>
                </c:pt>
                <c:pt idx="179">
                  <c:v>7.1600000000000055</c:v>
                </c:pt>
                <c:pt idx="180">
                  <c:v>7.2000000000000055</c:v>
                </c:pt>
                <c:pt idx="181">
                  <c:v>7.2400000000000055</c:v>
                </c:pt>
                <c:pt idx="182">
                  <c:v>7.2800000000000056</c:v>
                </c:pt>
                <c:pt idx="183">
                  <c:v>7.3200000000000056</c:v>
                </c:pt>
                <c:pt idx="184">
                  <c:v>7.3600000000000056</c:v>
                </c:pt>
                <c:pt idx="185">
                  <c:v>7.4000000000000057</c:v>
                </c:pt>
                <c:pt idx="186">
                  <c:v>7.4400000000000057</c:v>
                </c:pt>
                <c:pt idx="187">
                  <c:v>7.4800000000000058</c:v>
                </c:pt>
                <c:pt idx="188">
                  <c:v>7.5200000000000058</c:v>
                </c:pt>
                <c:pt idx="189">
                  <c:v>7.5600000000000058</c:v>
                </c:pt>
                <c:pt idx="190">
                  <c:v>7.6000000000000059</c:v>
                </c:pt>
                <c:pt idx="191">
                  <c:v>7.6400000000000059</c:v>
                </c:pt>
                <c:pt idx="192">
                  <c:v>7.6800000000000059</c:v>
                </c:pt>
                <c:pt idx="193">
                  <c:v>7.720000000000006</c:v>
                </c:pt>
                <c:pt idx="194">
                  <c:v>7.760000000000006</c:v>
                </c:pt>
                <c:pt idx="195">
                  <c:v>7.800000000000006</c:v>
                </c:pt>
                <c:pt idx="196">
                  <c:v>7.8400000000000061</c:v>
                </c:pt>
                <c:pt idx="197">
                  <c:v>7.8800000000000061</c:v>
                </c:pt>
                <c:pt idx="198">
                  <c:v>7.9200000000000061</c:v>
                </c:pt>
                <c:pt idx="199">
                  <c:v>7.9600000000000062</c:v>
                </c:pt>
                <c:pt idx="200">
                  <c:v>8.0000000000000053</c:v>
                </c:pt>
                <c:pt idx="201">
                  <c:v>8.0400000000000045</c:v>
                </c:pt>
                <c:pt idx="202">
                  <c:v>8.0800000000000036</c:v>
                </c:pt>
                <c:pt idx="203">
                  <c:v>8.1200000000000028</c:v>
                </c:pt>
                <c:pt idx="204">
                  <c:v>8.1600000000000019</c:v>
                </c:pt>
                <c:pt idx="205">
                  <c:v>8.2000000000000011</c:v>
                </c:pt>
                <c:pt idx="206">
                  <c:v>8.24</c:v>
                </c:pt>
                <c:pt idx="207">
                  <c:v>8.2799999999999994</c:v>
                </c:pt>
                <c:pt idx="208">
                  <c:v>8.3199999999999985</c:v>
                </c:pt>
                <c:pt idx="209">
                  <c:v>8.3599999999999977</c:v>
                </c:pt>
                <c:pt idx="210">
                  <c:v>8.3999999999999968</c:v>
                </c:pt>
                <c:pt idx="211">
                  <c:v>8.4399999999999959</c:v>
                </c:pt>
                <c:pt idx="212">
                  <c:v>8.4799999999999951</c:v>
                </c:pt>
                <c:pt idx="213">
                  <c:v>8.5199999999999942</c:v>
                </c:pt>
                <c:pt idx="214">
                  <c:v>8.5599999999999934</c:v>
                </c:pt>
                <c:pt idx="215">
                  <c:v>8.5999999999999925</c:v>
                </c:pt>
                <c:pt idx="216">
                  <c:v>8.6399999999999917</c:v>
                </c:pt>
                <c:pt idx="217">
                  <c:v>8.6799999999999908</c:v>
                </c:pt>
                <c:pt idx="218">
                  <c:v>8.71999999999999</c:v>
                </c:pt>
                <c:pt idx="219">
                  <c:v>8.7599999999999891</c:v>
                </c:pt>
                <c:pt idx="220">
                  <c:v>8.7999999999999883</c:v>
                </c:pt>
                <c:pt idx="221">
                  <c:v>8.8399999999999874</c:v>
                </c:pt>
                <c:pt idx="222">
                  <c:v>8.8799999999999866</c:v>
                </c:pt>
                <c:pt idx="223">
                  <c:v>8.9199999999999857</c:v>
                </c:pt>
                <c:pt idx="224">
                  <c:v>8.9599999999999849</c:v>
                </c:pt>
                <c:pt idx="225">
                  <c:v>8.999999999999984</c:v>
                </c:pt>
                <c:pt idx="226">
                  <c:v>9.0399999999999832</c:v>
                </c:pt>
                <c:pt idx="227">
                  <c:v>9.0799999999999823</c:v>
                </c:pt>
                <c:pt idx="228">
                  <c:v>9.1199999999999815</c:v>
                </c:pt>
                <c:pt idx="229">
                  <c:v>9.1599999999999806</c:v>
                </c:pt>
                <c:pt idx="230">
                  <c:v>9.1999999999999797</c:v>
                </c:pt>
                <c:pt idx="231">
                  <c:v>9.2399999999999789</c:v>
                </c:pt>
                <c:pt idx="232">
                  <c:v>9.279999999999978</c:v>
                </c:pt>
                <c:pt idx="233">
                  <c:v>9.3199999999999772</c:v>
                </c:pt>
                <c:pt idx="234">
                  <c:v>9.3599999999999763</c:v>
                </c:pt>
                <c:pt idx="235">
                  <c:v>9.3999999999999755</c:v>
                </c:pt>
                <c:pt idx="236">
                  <c:v>9.4399999999999746</c:v>
                </c:pt>
                <c:pt idx="237">
                  <c:v>9.4799999999999738</c:v>
                </c:pt>
                <c:pt idx="238">
                  <c:v>9.5199999999999729</c:v>
                </c:pt>
                <c:pt idx="239">
                  <c:v>9.5599999999999721</c:v>
                </c:pt>
                <c:pt idx="240">
                  <c:v>9.5999999999999712</c:v>
                </c:pt>
                <c:pt idx="241">
                  <c:v>9.6399999999999704</c:v>
                </c:pt>
                <c:pt idx="242">
                  <c:v>9.6799999999999695</c:v>
                </c:pt>
                <c:pt idx="243">
                  <c:v>9.7199999999999687</c:v>
                </c:pt>
                <c:pt idx="244">
                  <c:v>9.7599999999999678</c:v>
                </c:pt>
                <c:pt idx="245">
                  <c:v>9.799999999999967</c:v>
                </c:pt>
                <c:pt idx="246">
                  <c:v>9.8399999999999661</c:v>
                </c:pt>
                <c:pt idx="247">
                  <c:v>9.8799999999999653</c:v>
                </c:pt>
                <c:pt idx="248">
                  <c:v>9.9199999999999644</c:v>
                </c:pt>
                <c:pt idx="249">
                  <c:v>9.9599999999999635</c:v>
                </c:pt>
                <c:pt idx="250">
                  <c:v>9.9999999999999627</c:v>
                </c:pt>
                <c:pt idx="251">
                  <c:v>10.039999999999962</c:v>
                </c:pt>
                <c:pt idx="252">
                  <c:v>10.079999999999961</c:v>
                </c:pt>
                <c:pt idx="253">
                  <c:v>10.11999999999996</c:v>
                </c:pt>
                <c:pt idx="254">
                  <c:v>10.159999999999959</c:v>
                </c:pt>
                <c:pt idx="255">
                  <c:v>10.199999999999958</c:v>
                </c:pt>
                <c:pt idx="256">
                  <c:v>10.239999999999958</c:v>
                </c:pt>
                <c:pt idx="257">
                  <c:v>10.279999999999957</c:v>
                </c:pt>
                <c:pt idx="258">
                  <c:v>10.319999999999956</c:v>
                </c:pt>
                <c:pt idx="259">
                  <c:v>10.359999999999955</c:v>
                </c:pt>
                <c:pt idx="260">
                  <c:v>10.399999999999954</c:v>
                </c:pt>
                <c:pt idx="261">
                  <c:v>10.439999999999953</c:v>
                </c:pt>
                <c:pt idx="262">
                  <c:v>10.479999999999952</c:v>
                </c:pt>
                <c:pt idx="263">
                  <c:v>10.519999999999952</c:v>
                </c:pt>
                <c:pt idx="264">
                  <c:v>10.559999999999951</c:v>
                </c:pt>
                <c:pt idx="265">
                  <c:v>10.59999999999995</c:v>
                </c:pt>
                <c:pt idx="266">
                  <c:v>10.639999999999949</c:v>
                </c:pt>
                <c:pt idx="267">
                  <c:v>10.679999999999948</c:v>
                </c:pt>
                <c:pt idx="268">
                  <c:v>10.719999999999947</c:v>
                </c:pt>
                <c:pt idx="269">
                  <c:v>10.759999999999946</c:v>
                </c:pt>
                <c:pt idx="270">
                  <c:v>10.799999999999946</c:v>
                </c:pt>
                <c:pt idx="271">
                  <c:v>10.839999999999945</c:v>
                </c:pt>
                <c:pt idx="272">
                  <c:v>10.879999999999944</c:v>
                </c:pt>
                <c:pt idx="273">
                  <c:v>10.919999999999943</c:v>
                </c:pt>
                <c:pt idx="274">
                  <c:v>10.959999999999942</c:v>
                </c:pt>
                <c:pt idx="275">
                  <c:v>10.999999999999941</c:v>
                </c:pt>
                <c:pt idx="276">
                  <c:v>11.039999999999941</c:v>
                </c:pt>
                <c:pt idx="277">
                  <c:v>11.07999999999994</c:v>
                </c:pt>
                <c:pt idx="278">
                  <c:v>11.119999999999939</c:v>
                </c:pt>
                <c:pt idx="279">
                  <c:v>11.159999999999938</c:v>
                </c:pt>
                <c:pt idx="280">
                  <c:v>11.199999999999937</c:v>
                </c:pt>
                <c:pt idx="281">
                  <c:v>11.239999999999936</c:v>
                </c:pt>
                <c:pt idx="282">
                  <c:v>11.279999999999935</c:v>
                </c:pt>
                <c:pt idx="283">
                  <c:v>11.319999999999935</c:v>
                </c:pt>
                <c:pt idx="284">
                  <c:v>11.359999999999934</c:v>
                </c:pt>
                <c:pt idx="285">
                  <c:v>11.399999999999933</c:v>
                </c:pt>
                <c:pt idx="286">
                  <c:v>11.439999999999932</c:v>
                </c:pt>
                <c:pt idx="287">
                  <c:v>11.479999999999931</c:v>
                </c:pt>
                <c:pt idx="288">
                  <c:v>11.51999999999993</c:v>
                </c:pt>
                <c:pt idx="289">
                  <c:v>11.559999999999929</c:v>
                </c:pt>
                <c:pt idx="290">
                  <c:v>11.599999999999929</c:v>
                </c:pt>
                <c:pt idx="291">
                  <c:v>11.639999999999928</c:v>
                </c:pt>
                <c:pt idx="292">
                  <c:v>11.679999999999927</c:v>
                </c:pt>
                <c:pt idx="293">
                  <c:v>11.719999999999926</c:v>
                </c:pt>
                <c:pt idx="294">
                  <c:v>11.759999999999925</c:v>
                </c:pt>
                <c:pt idx="295">
                  <c:v>11.799999999999924</c:v>
                </c:pt>
                <c:pt idx="296">
                  <c:v>11.839999999999923</c:v>
                </c:pt>
                <c:pt idx="297">
                  <c:v>11.879999999999923</c:v>
                </c:pt>
                <c:pt idx="298">
                  <c:v>11.919999999999922</c:v>
                </c:pt>
                <c:pt idx="299">
                  <c:v>11.959999999999921</c:v>
                </c:pt>
                <c:pt idx="300">
                  <c:v>11.99999999999992</c:v>
                </c:pt>
                <c:pt idx="301">
                  <c:v>12.039999999999919</c:v>
                </c:pt>
                <c:pt idx="302">
                  <c:v>12.079999999999918</c:v>
                </c:pt>
                <c:pt idx="303">
                  <c:v>12.119999999999918</c:v>
                </c:pt>
                <c:pt idx="304">
                  <c:v>12.159999999999917</c:v>
                </c:pt>
                <c:pt idx="305">
                  <c:v>12.199999999999916</c:v>
                </c:pt>
                <c:pt idx="306">
                  <c:v>12.239999999999915</c:v>
                </c:pt>
                <c:pt idx="307">
                  <c:v>12.279999999999914</c:v>
                </c:pt>
                <c:pt idx="308">
                  <c:v>12.319999999999913</c:v>
                </c:pt>
                <c:pt idx="309">
                  <c:v>12.359999999999912</c:v>
                </c:pt>
                <c:pt idx="310">
                  <c:v>12.399999999999912</c:v>
                </c:pt>
                <c:pt idx="311">
                  <c:v>12.439999999999911</c:v>
                </c:pt>
                <c:pt idx="312">
                  <c:v>12.47999999999991</c:v>
                </c:pt>
                <c:pt idx="313">
                  <c:v>12.519999999999909</c:v>
                </c:pt>
                <c:pt idx="314">
                  <c:v>12.559999999999908</c:v>
                </c:pt>
                <c:pt idx="315">
                  <c:v>12.599999999999907</c:v>
                </c:pt>
                <c:pt idx="316">
                  <c:v>12.639999999999906</c:v>
                </c:pt>
                <c:pt idx="317">
                  <c:v>12.679999999999906</c:v>
                </c:pt>
                <c:pt idx="318">
                  <c:v>12.719999999999905</c:v>
                </c:pt>
                <c:pt idx="319">
                  <c:v>12.759999999999904</c:v>
                </c:pt>
                <c:pt idx="320">
                  <c:v>12.799999999999903</c:v>
                </c:pt>
                <c:pt idx="321">
                  <c:v>12.839999999999902</c:v>
                </c:pt>
                <c:pt idx="322">
                  <c:v>12.879999999999901</c:v>
                </c:pt>
                <c:pt idx="323">
                  <c:v>12.9199999999999</c:v>
                </c:pt>
                <c:pt idx="324">
                  <c:v>12.9599999999999</c:v>
                </c:pt>
                <c:pt idx="325">
                  <c:v>12.999999999999899</c:v>
                </c:pt>
                <c:pt idx="326">
                  <c:v>13.039999999999898</c:v>
                </c:pt>
                <c:pt idx="327">
                  <c:v>13.079999999999897</c:v>
                </c:pt>
                <c:pt idx="328">
                  <c:v>13.119999999999896</c:v>
                </c:pt>
                <c:pt idx="329">
                  <c:v>13.159999999999895</c:v>
                </c:pt>
                <c:pt idx="330">
                  <c:v>13.199999999999894</c:v>
                </c:pt>
                <c:pt idx="331">
                  <c:v>13.239999999999894</c:v>
                </c:pt>
                <c:pt idx="332">
                  <c:v>13.279999999999893</c:v>
                </c:pt>
                <c:pt idx="333">
                  <c:v>13.319999999999892</c:v>
                </c:pt>
                <c:pt idx="334">
                  <c:v>13.359999999999891</c:v>
                </c:pt>
                <c:pt idx="335">
                  <c:v>13.39999999999989</c:v>
                </c:pt>
                <c:pt idx="336">
                  <c:v>13.439999999999889</c:v>
                </c:pt>
                <c:pt idx="337">
                  <c:v>13.479999999999889</c:v>
                </c:pt>
                <c:pt idx="338">
                  <c:v>13.519999999999888</c:v>
                </c:pt>
                <c:pt idx="339">
                  <c:v>13.559999999999887</c:v>
                </c:pt>
                <c:pt idx="340">
                  <c:v>13.599999999999886</c:v>
                </c:pt>
                <c:pt idx="341">
                  <c:v>13.639999999999885</c:v>
                </c:pt>
                <c:pt idx="342">
                  <c:v>13.679999999999884</c:v>
                </c:pt>
                <c:pt idx="343">
                  <c:v>13.719999999999883</c:v>
                </c:pt>
                <c:pt idx="344">
                  <c:v>13.759999999999883</c:v>
                </c:pt>
                <c:pt idx="345">
                  <c:v>13.799999999999882</c:v>
                </c:pt>
                <c:pt idx="346">
                  <c:v>13.839999999999881</c:v>
                </c:pt>
                <c:pt idx="347">
                  <c:v>13.87999999999988</c:v>
                </c:pt>
                <c:pt idx="348">
                  <c:v>13.919999999999879</c:v>
                </c:pt>
                <c:pt idx="349">
                  <c:v>13.959999999999878</c:v>
                </c:pt>
                <c:pt idx="350">
                  <c:v>13.999999999999877</c:v>
                </c:pt>
                <c:pt idx="351">
                  <c:v>14.039999999999877</c:v>
                </c:pt>
                <c:pt idx="352">
                  <c:v>14.079999999999876</c:v>
                </c:pt>
                <c:pt idx="353">
                  <c:v>14.119999999999875</c:v>
                </c:pt>
                <c:pt idx="354">
                  <c:v>14.159999999999874</c:v>
                </c:pt>
                <c:pt idx="355">
                  <c:v>14.199999999999873</c:v>
                </c:pt>
                <c:pt idx="356">
                  <c:v>14.239999999999872</c:v>
                </c:pt>
                <c:pt idx="357">
                  <c:v>14.279999999999871</c:v>
                </c:pt>
                <c:pt idx="358">
                  <c:v>14.319999999999871</c:v>
                </c:pt>
                <c:pt idx="359">
                  <c:v>14.35999999999987</c:v>
                </c:pt>
                <c:pt idx="360">
                  <c:v>14.399999999999869</c:v>
                </c:pt>
                <c:pt idx="361">
                  <c:v>14.439999999999868</c:v>
                </c:pt>
                <c:pt idx="362">
                  <c:v>14.479999999999867</c:v>
                </c:pt>
                <c:pt idx="363">
                  <c:v>14.519999999999866</c:v>
                </c:pt>
                <c:pt idx="364">
                  <c:v>14.559999999999865</c:v>
                </c:pt>
                <c:pt idx="365">
                  <c:v>14.599999999999865</c:v>
                </c:pt>
                <c:pt idx="366">
                  <c:v>14.639999999999864</c:v>
                </c:pt>
                <c:pt idx="367">
                  <c:v>14.679999999999863</c:v>
                </c:pt>
                <c:pt idx="368">
                  <c:v>14.719999999999862</c:v>
                </c:pt>
                <c:pt idx="369">
                  <c:v>14.759999999999861</c:v>
                </c:pt>
                <c:pt idx="370">
                  <c:v>14.79999999999986</c:v>
                </c:pt>
                <c:pt idx="371">
                  <c:v>14.83999999999986</c:v>
                </c:pt>
                <c:pt idx="372">
                  <c:v>14.879999999999859</c:v>
                </c:pt>
                <c:pt idx="373">
                  <c:v>14.919999999999858</c:v>
                </c:pt>
                <c:pt idx="374">
                  <c:v>14.959999999999857</c:v>
                </c:pt>
                <c:pt idx="375">
                  <c:v>14.999999999999856</c:v>
                </c:pt>
                <c:pt idx="376">
                  <c:v>15.039999999999855</c:v>
                </c:pt>
                <c:pt idx="377">
                  <c:v>15.079999999999854</c:v>
                </c:pt>
                <c:pt idx="378">
                  <c:v>15.119999999999854</c:v>
                </c:pt>
                <c:pt idx="379">
                  <c:v>15.159999999999853</c:v>
                </c:pt>
                <c:pt idx="380">
                  <c:v>15.199999999999852</c:v>
                </c:pt>
                <c:pt idx="381">
                  <c:v>15.239999999999851</c:v>
                </c:pt>
                <c:pt idx="382">
                  <c:v>15.27999999999985</c:v>
                </c:pt>
                <c:pt idx="383">
                  <c:v>15.319999999999849</c:v>
                </c:pt>
                <c:pt idx="384">
                  <c:v>15.359999999999848</c:v>
                </c:pt>
                <c:pt idx="385">
                  <c:v>15.399999999999848</c:v>
                </c:pt>
                <c:pt idx="386">
                  <c:v>15.439999999999847</c:v>
                </c:pt>
                <c:pt idx="387">
                  <c:v>15.479999999999846</c:v>
                </c:pt>
                <c:pt idx="388">
                  <c:v>15.519999999999845</c:v>
                </c:pt>
                <c:pt idx="389">
                  <c:v>15.559999999999844</c:v>
                </c:pt>
                <c:pt idx="390">
                  <c:v>15.599999999999843</c:v>
                </c:pt>
                <c:pt idx="391">
                  <c:v>15.639999999999842</c:v>
                </c:pt>
                <c:pt idx="392">
                  <c:v>15.679999999999842</c:v>
                </c:pt>
                <c:pt idx="393">
                  <c:v>15.719999999999841</c:v>
                </c:pt>
                <c:pt idx="394">
                  <c:v>15.75999999999984</c:v>
                </c:pt>
                <c:pt idx="395">
                  <c:v>15.799999999999839</c:v>
                </c:pt>
                <c:pt idx="396">
                  <c:v>15.839999999999838</c:v>
                </c:pt>
                <c:pt idx="397">
                  <c:v>15.879999999999837</c:v>
                </c:pt>
                <c:pt idx="398">
                  <c:v>15.919999999999837</c:v>
                </c:pt>
                <c:pt idx="399">
                  <c:v>15.959999999999836</c:v>
                </c:pt>
                <c:pt idx="400">
                  <c:v>15.999999999999835</c:v>
                </c:pt>
                <c:pt idx="401">
                  <c:v>16.039999999999836</c:v>
                </c:pt>
                <c:pt idx="402">
                  <c:v>16.079999999999835</c:v>
                </c:pt>
                <c:pt idx="403">
                  <c:v>16.119999999999834</c:v>
                </c:pt>
                <c:pt idx="404">
                  <c:v>16.159999999999833</c:v>
                </c:pt>
                <c:pt idx="405">
                  <c:v>16.199999999999832</c:v>
                </c:pt>
                <c:pt idx="406">
                  <c:v>16.239999999999831</c:v>
                </c:pt>
                <c:pt idx="407">
                  <c:v>16.279999999999831</c:v>
                </c:pt>
                <c:pt idx="408">
                  <c:v>16.31999999999983</c:v>
                </c:pt>
                <c:pt idx="409">
                  <c:v>16.359999999999829</c:v>
                </c:pt>
                <c:pt idx="410">
                  <c:v>16.399999999999828</c:v>
                </c:pt>
                <c:pt idx="411">
                  <c:v>16.439999999999827</c:v>
                </c:pt>
                <c:pt idx="412">
                  <c:v>16.479999999999826</c:v>
                </c:pt>
                <c:pt idx="413">
                  <c:v>16.519999999999825</c:v>
                </c:pt>
                <c:pt idx="414">
                  <c:v>16.559999999999825</c:v>
                </c:pt>
                <c:pt idx="415">
                  <c:v>16.599999999999824</c:v>
                </c:pt>
                <c:pt idx="416">
                  <c:v>16.639999999999823</c:v>
                </c:pt>
                <c:pt idx="417">
                  <c:v>16.679999999999822</c:v>
                </c:pt>
                <c:pt idx="418">
                  <c:v>16.719999999999821</c:v>
                </c:pt>
                <c:pt idx="419">
                  <c:v>16.75999999999982</c:v>
                </c:pt>
                <c:pt idx="420">
                  <c:v>16.79999999999982</c:v>
                </c:pt>
                <c:pt idx="421">
                  <c:v>16.839999999999819</c:v>
                </c:pt>
                <c:pt idx="422">
                  <c:v>16.879999999999818</c:v>
                </c:pt>
                <c:pt idx="423">
                  <c:v>16.919999999999817</c:v>
                </c:pt>
                <c:pt idx="424">
                  <c:v>16.959999999999816</c:v>
                </c:pt>
                <c:pt idx="425">
                  <c:v>16.999999999999815</c:v>
                </c:pt>
                <c:pt idx="426">
                  <c:v>17.039999999999814</c:v>
                </c:pt>
                <c:pt idx="427">
                  <c:v>17.079999999999814</c:v>
                </c:pt>
                <c:pt idx="428">
                  <c:v>17.119999999999813</c:v>
                </c:pt>
                <c:pt idx="429">
                  <c:v>17.159999999999812</c:v>
                </c:pt>
                <c:pt idx="430">
                  <c:v>17.199999999999811</c:v>
                </c:pt>
                <c:pt idx="431">
                  <c:v>17.23999999999981</c:v>
                </c:pt>
                <c:pt idx="432">
                  <c:v>17.279999999999809</c:v>
                </c:pt>
                <c:pt idx="433">
                  <c:v>17.319999999999808</c:v>
                </c:pt>
                <c:pt idx="434">
                  <c:v>17.359999999999808</c:v>
                </c:pt>
                <c:pt idx="435">
                  <c:v>17.399999999999807</c:v>
                </c:pt>
                <c:pt idx="436">
                  <c:v>17.439999999999806</c:v>
                </c:pt>
                <c:pt idx="437">
                  <c:v>17.479999999999805</c:v>
                </c:pt>
                <c:pt idx="438">
                  <c:v>17.519999999999804</c:v>
                </c:pt>
                <c:pt idx="439">
                  <c:v>17.559999999999803</c:v>
                </c:pt>
                <c:pt idx="440">
                  <c:v>17.599999999999802</c:v>
                </c:pt>
                <c:pt idx="441">
                  <c:v>17.639999999999802</c:v>
                </c:pt>
                <c:pt idx="442">
                  <c:v>17.679999999999801</c:v>
                </c:pt>
                <c:pt idx="443">
                  <c:v>17.7199999999998</c:v>
                </c:pt>
                <c:pt idx="444">
                  <c:v>17.759999999999799</c:v>
                </c:pt>
                <c:pt idx="445">
                  <c:v>17.799999999999798</c:v>
                </c:pt>
                <c:pt idx="446">
                  <c:v>17.839999999999797</c:v>
                </c:pt>
                <c:pt idx="447">
                  <c:v>17.879999999999797</c:v>
                </c:pt>
                <c:pt idx="448">
                  <c:v>17.919999999999796</c:v>
                </c:pt>
                <c:pt idx="449">
                  <c:v>17.959999999999795</c:v>
                </c:pt>
                <c:pt idx="450">
                  <c:v>17.999999999999794</c:v>
                </c:pt>
                <c:pt idx="451">
                  <c:v>18.039999999999793</c:v>
                </c:pt>
                <c:pt idx="452">
                  <c:v>18.079999999999792</c:v>
                </c:pt>
                <c:pt idx="453">
                  <c:v>18.119999999999791</c:v>
                </c:pt>
                <c:pt idx="454">
                  <c:v>18.159999999999791</c:v>
                </c:pt>
                <c:pt idx="455">
                  <c:v>18.19999999999979</c:v>
                </c:pt>
                <c:pt idx="456">
                  <c:v>18.239999999999789</c:v>
                </c:pt>
                <c:pt idx="457">
                  <c:v>18.279999999999788</c:v>
                </c:pt>
                <c:pt idx="458">
                  <c:v>18.319999999999787</c:v>
                </c:pt>
                <c:pt idx="459">
                  <c:v>18.359999999999786</c:v>
                </c:pt>
                <c:pt idx="460">
                  <c:v>18.399999999999785</c:v>
                </c:pt>
                <c:pt idx="461">
                  <c:v>18.439999999999785</c:v>
                </c:pt>
                <c:pt idx="462">
                  <c:v>18.479999999999784</c:v>
                </c:pt>
                <c:pt idx="463">
                  <c:v>18.519999999999783</c:v>
                </c:pt>
                <c:pt idx="464">
                  <c:v>18.559999999999782</c:v>
                </c:pt>
                <c:pt idx="465">
                  <c:v>18.599999999999781</c:v>
                </c:pt>
                <c:pt idx="466">
                  <c:v>18.63999999999978</c:v>
                </c:pt>
                <c:pt idx="467">
                  <c:v>18.679999999999779</c:v>
                </c:pt>
                <c:pt idx="468">
                  <c:v>18.719999999999779</c:v>
                </c:pt>
                <c:pt idx="469">
                  <c:v>18.759999999999778</c:v>
                </c:pt>
                <c:pt idx="470">
                  <c:v>18.799999999999777</c:v>
                </c:pt>
                <c:pt idx="471">
                  <c:v>18.839999999999776</c:v>
                </c:pt>
                <c:pt idx="472">
                  <c:v>18.879999999999775</c:v>
                </c:pt>
                <c:pt idx="473">
                  <c:v>18.919999999999774</c:v>
                </c:pt>
                <c:pt idx="474">
                  <c:v>18.959999999999773</c:v>
                </c:pt>
                <c:pt idx="475">
                  <c:v>18.999999999999773</c:v>
                </c:pt>
                <c:pt idx="476">
                  <c:v>19.039999999999772</c:v>
                </c:pt>
                <c:pt idx="477">
                  <c:v>19.079999999999771</c:v>
                </c:pt>
                <c:pt idx="478">
                  <c:v>19.11999999999977</c:v>
                </c:pt>
                <c:pt idx="479">
                  <c:v>19.159999999999769</c:v>
                </c:pt>
                <c:pt idx="480">
                  <c:v>19.199999999999768</c:v>
                </c:pt>
                <c:pt idx="481">
                  <c:v>19.239999999999768</c:v>
                </c:pt>
                <c:pt idx="482">
                  <c:v>19.279999999999767</c:v>
                </c:pt>
                <c:pt idx="483">
                  <c:v>19.319999999999766</c:v>
                </c:pt>
                <c:pt idx="484">
                  <c:v>19.359999999999765</c:v>
                </c:pt>
                <c:pt idx="485">
                  <c:v>19.399999999999764</c:v>
                </c:pt>
                <c:pt idx="486">
                  <c:v>19.439999999999763</c:v>
                </c:pt>
                <c:pt idx="487">
                  <c:v>19.479999999999762</c:v>
                </c:pt>
                <c:pt idx="488">
                  <c:v>19.519999999999762</c:v>
                </c:pt>
                <c:pt idx="489">
                  <c:v>19.559999999999761</c:v>
                </c:pt>
                <c:pt idx="490">
                  <c:v>19.59999999999976</c:v>
                </c:pt>
                <c:pt idx="491">
                  <c:v>19.639999999999759</c:v>
                </c:pt>
                <c:pt idx="492">
                  <c:v>19.679999999999758</c:v>
                </c:pt>
                <c:pt idx="493">
                  <c:v>19.719999999999757</c:v>
                </c:pt>
                <c:pt idx="494">
                  <c:v>19.759999999999756</c:v>
                </c:pt>
                <c:pt idx="495">
                  <c:v>19.799999999999756</c:v>
                </c:pt>
                <c:pt idx="496">
                  <c:v>19.839999999999755</c:v>
                </c:pt>
                <c:pt idx="497">
                  <c:v>19.879999999999754</c:v>
                </c:pt>
                <c:pt idx="498">
                  <c:v>19.919999999999753</c:v>
                </c:pt>
                <c:pt idx="499">
                  <c:v>19.959999999999752</c:v>
                </c:pt>
                <c:pt idx="500">
                  <c:v>19.999999999999751</c:v>
                </c:pt>
                <c:pt idx="501">
                  <c:v>20.03999999999975</c:v>
                </c:pt>
                <c:pt idx="502">
                  <c:v>20.07999999999975</c:v>
                </c:pt>
                <c:pt idx="503">
                  <c:v>20.119999999999749</c:v>
                </c:pt>
                <c:pt idx="504">
                  <c:v>20.159999999999748</c:v>
                </c:pt>
                <c:pt idx="505">
                  <c:v>20.199999999999747</c:v>
                </c:pt>
                <c:pt idx="506">
                  <c:v>20.239999999999746</c:v>
                </c:pt>
                <c:pt idx="507">
                  <c:v>20.279999999999745</c:v>
                </c:pt>
                <c:pt idx="508">
                  <c:v>20.319999999999744</c:v>
                </c:pt>
                <c:pt idx="509">
                  <c:v>20.359999999999744</c:v>
                </c:pt>
                <c:pt idx="510">
                  <c:v>20.399999999999743</c:v>
                </c:pt>
                <c:pt idx="511">
                  <c:v>20.439999999999742</c:v>
                </c:pt>
                <c:pt idx="512">
                  <c:v>20.479999999999741</c:v>
                </c:pt>
                <c:pt idx="513">
                  <c:v>20.51999999999974</c:v>
                </c:pt>
                <c:pt idx="514">
                  <c:v>20.559999999999739</c:v>
                </c:pt>
                <c:pt idx="515">
                  <c:v>20.599999999999739</c:v>
                </c:pt>
                <c:pt idx="516">
                  <c:v>20.639999999999738</c:v>
                </c:pt>
                <c:pt idx="517">
                  <c:v>20.679999999999737</c:v>
                </c:pt>
                <c:pt idx="518">
                  <c:v>20.719999999999736</c:v>
                </c:pt>
                <c:pt idx="519">
                  <c:v>20.759999999999735</c:v>
                </c:pt>
                <c:pt idx="520">
                  <c:v>20.799999999999734</c:v>
                </c:pt>
                <c:pt idx="521">
                  <c:v>20.839999999999733</c:v>
                </c:pt>
                <c:pt idx="522">
                  <c:v>20.879999999999733</c:v>
                </c:pt>
                <c:pt idx="523">
                  <c:v>20.919999999999732</c:v>
                </c:pt>
                <c:pt idx="524">
                  <c:v>20.959999999999731</c:v>
                </c:pt>
                <c:pt idx="525">
                  <c:v>20.99999999999973</c:v>
                </c:pt>
                <c:pt idx="526">
                  <c:v>21.039999999999729</c:v>
                </c:pt>
                <c:pt idx="527">
                  <c:v>21.079999999999728</c:v>
                </c:pt>
                <c:pt idx="528">
                  <c:v>21.119999999999727</c:v>
                </c:pt>
                <c:pt idx="529">
                  <c:v>21.159999999999727</c:v>
                </c:pt>
                <c:pt idx="530">
                  <c:v>21.199999999999726</c:v>
                </c:pt>
                <c:pt idx="531">
                  <c:v>21.239999999999725</c:v>
                </c:pt>
                <c:pt idx="532">
                  <c:v>21.279999999999724</c:v>
                </c:pt>
                <c:pt idx="533">
                  <c:v>21.319999999999723</c:v>
                </c:pt>
                <c:pt idx="534">
                  <c:v>21.359999999999722</c:v>
                </c:pt>
                <c:pt idx="535">
                  <c:v>21.399999999999721</c:v>
                </c:pt>
                <c:pt idx="536">
                  <c:v>21.439999999999721</c:v>
                </c:pt>
                <c:pt idx="537">
                  <c:v>21.47999999999972</c:v>
                </c:pt>
                <c:pt idx="538">
                  <c:v>21.519999999999719</c:v>
                </c:pt>
                <c:pt idx="539">
                  <c:v>21.559999999999718</c:v>
                </c:pt>
                <c:pt idx="540">
                  <c:v>21.599999999999717</c:v>
                </c:pt>
                <c:pt idx="541">
                  <c:v>21.639999999999716</c:v>
                </c:pt>
                <c:pt idx="542">
                  <c:v>21.679999999999715</c:v>
                </c:pt>
                <c:pt idx="543">
                  <c:v>21.719999999999715</c:v>
                </c:pt>
                <c:pt idx="544">
                  <c:v>21.759999999999714</c:v>
                </c:pt>
                <c:pt idx="545">
                  <c:v>21.799999999999713</c:v>
                </c:pt>
                <c:pt idx="546">
                  <c:v>21.839999999999712</c:v>
                </c:pt>
                <c:pt idx="547">
                  <c:v>21.879999999999711</c:v>
                </c:pt>
                <c:pt idx="548">
                  <c:v>21.91999999999971</c:v>
                </c:pt>
                <c:pt idx="549">
                  <c:v>21.95999999999971</c:v>
                </c:pt>
                <c:pt idx="550">
                  <c:v>21.999999999999709</c:v>
                </c:pt>
                <c:pt idx="551">
                  <c:v>22.039999999999708</c:v>
                </c:pt>
                <c:pt idx="552">
                  <c:v>22.079999999999707</c:v>
                </c:pt>
                <c:pt idx="553">
                  <c:v>22.119999999999706</c:v>
                </c:pt>
                <c:pt idx="554">
                  <c:v>22.159999999999705</c:v>
                </c:pt>
                <c:pt idx="555">
                  <c:v>22.199999999999704</c:v>
                </c:pt>
                <c:pt idx="556">
                  <c:v>22.239999999999704</c:v>
                </c:pt>
                <c:pt idx="557">
                  <c:v>22.279999999999703</c:v>
                </c:pt>
                <c:pt idx="558">
                  <c:v>22.319999999999702</c:v>
                </c:pt>
                <c:pt idx="559">
                  <c:v>22.359999999999701</c:v>
                </c:pt>
                <c:pt idx="560">
                  <c:v>22.3999999999997</c:v>
                </c:pt>
                <c:pt idx="561">
                  <c:v>22.439999999999699</c:v>
                </c:pt>
                <c:pt idx="562">
                  <c:v>22.479999999999698</c:v>
                </c:pt>
                <c:pt idx="563">
                  <c:v>22.519999999999698</c:v>
                </c:pt>
                <c:pt idx="564">
                  <c:v>22.559999999999697</c:v>
                </c:pt>
                <c:pt idx="565">
                  <c:v>22.599999999999696</c:v>
                </c:pt>
                <c:pt idx="566">
                  <c:v>22.639999999999695</c:v>
                </c:pt>
                <c:pt idx="567">
                  <c:v>22.679999999999694</c:v>
                </c:pt>
                <c:pt idx="568">
                  <c:v>22.719999999999693</c:v>
                </c:pt>
                <c:pt idx="569">
                  <c:v>22.759999999999692</c:v>
                </c:pt>
                <c:pt idx="570">
                  <c:v>22.799999999999692</c:v>
                </c:pt>
                <c:pt idx="571">
                  <c:v>22.839999999999691</c:v>
                </c:pt>
                <c:pt idx="572">
                  <c:v>22.87999999999969</c:v>
                </c:pt>
                <c:pt idx="573">
                  <c:v>22.919999999999689</c:v>
                </c:pt>
                <c:pt idx="574">
                  <c:v>22.959999999999688</c:v>
                </c:pt>
                <c:pt idx="575">
                  <c:v>22.999999999999687</c:v>
                </c:pt>
                <c:pt idx="576">
                  <c:v>23.039999999999687</c:v>
                </c:pt>
                <c:pt idx="577">
                  <c:v>23.079999999999686</c:v>
                </c:pt>
                <c:pt idx="578">
                  <c:v>23.119999999999685</c:v>
                </c:pt>
                <c:pt idx="579">
                  <c:v>23.159999999999684</c:v>
                </c:pt>
                <c:pt idx="580">
                  <c:v>23.199999999999683</c:v>
                </c:pt>
                <c:pt idx="581">
                  <c:v>23.239999999999682</c:v>
                </c:pt>
                <c:pt idx="582">
                  <c:v>23.279999999999681</c:v>
                </c:pt>
                <c:pt idx="583">
                  <c:v>23.319999999999681</c:v>
                </c:pt>
                <c:pt idx="584">
                  <c:v>23.35999999999968</c:v>
                </c:pt>
                <c:pt idx="585">
                  <c:v>23.399999999999679</c:v>
                </c:pt>
                <c:pt idx="586">
                  <c:v>23.439999999999678</c:v>
                </c:pt>
                <c:pt idx="587">
                  <c:v>23.479999999999677</c:v>
                </c:pt>
                <c:pt idx="588">
                  <c:v>23.519999999999676</c:v>
                </c:pt>
                <c:pt idx="589">
                  <c:v>23.559999999999675</c:v>
                </c:pt>
                <c:pt idx="590">
                  <c:v>23.599999999999675</c:v>
                </c:pt>
                <c:pt idx="591">
                  <c:v>23.639999999999674</c:v>
                </c:pt>
                <c:pt idx="592">
                  <c:v>23.679999999999673</c:v>
                </c:pt>
                <c:pt idx="593">
                  <c:v>23.719999999999672</c:v>
                </c:pt>
                <c:pt idx="594">
                  <c:v>23.759999999999671</c:v>
                </c:pt>
                <c:pt idx="595">
                  <c:v>23.79999999999967</c:v>
                </c:pt>
                <c:pt idx="596">
                  <c:v>23.839999999999669</c:v>
                </c:pt>
                <c:pt idx="597">
                  <c:v>23.879999999999669</c:v>
                </c:pt>
                <c:pt idx="598">
                  <c:v>23.919999999999668</c:v>
                </c:pt>
                <c:pt idx="599">
                  <c:v>23.959999999999667</c:v>
                </c:pt>
                <c:pt idx="600">
                  <c:v>23.999999999999666</c:v>
                </c:pt>
                <c:pt idx="601">
                  <c:v>24.039999999999665</c:v>
                </c:pt>
                <c:pt idx="602">
                  <c:v>24.079999999999664</c:v>
                </c:pt>
                <c:pt idx="603">
                  <c:v>24.119999999999663</c:v>
                </c:pt>
                <c:pt idx="604">
                  <c:v>24.159999999999663</c:v>
                </c:pt>
                <c:pt idx="605">
                  <c:v>24.199999999999662</c:v>
                </c:pt>
                <c:pt idx="606">
                  <c:v>24.239999999999661</c:v>
                </c:pt>
                <c:pt idx="607">
                  <c:v>24.27999999999966</c:v>
                </c:pt>
                <c:pt idx="608">
                  <c:v>24.319999999999659</c:v>
                </c:pt>
                <c:pt idx="609">
                  <c:v>24.359999999999658</c:v>
                </c:pt>
                <c:pt idx="610">
                  <c:v>24.399999999999658</c:v>
                </c:pt>
                <c:pt idx="611">
                  <c:v>24.439999999999657</c:v>
                </c:pt>
                <c:pt idx="612">
                  <c:v>24.479999999999656</c:v>
                </c:pt>
                <c:pt idx="613">
                  <c:v>24.519999999999655</c:v>
                </c:pt>
                <c:pt idx="614">
                  <c:v>24.559999999999654</c:v>
                </c:pt>
                <c:pt idx="615">
                  <c:v>24.599999999999653</c:v>
                </c:pt>
                <c:pt idx="616">
                  <c:v>24.639999999999652</c:v>
                </c:pt>
                <c:pt idx="617">
                  <c:v>24.679999999999652</c:v>
                </c:pt>
                <c:pt idx="618">
                  <c:v>24.719999999999651</c:v>
                </c:pt>
                <c:pt idx="619">
                  <c:v>24.75999999999965</c:v>
                </c:pt>
                <c:pt idx="620">
                  <c:v>24.799999999999649</c:v>
                </c:pt>
                <c:pt idx="621">
                  <c:v>24.839999999999648</c:v>
                </c:pt>
                <c:pt idx="622">
                  <c:v>24.879999999999647</c:v>
                </c:pt>
                <c:pt idx="623">
                  <c:v>24.919999999999646</c:v>
                </c:pt>
                <c:pt idx="624">
                  <c:v>24.959999999999646</c:v>
                </c:pt>
                <c:pt idx="625">
                  <c:v>24.999999999999645</c:v>
                </c:pt>
                <c:pt idx="626">
                  <c:v>25.039999999999644</c:v>
                </c:pt>
                <c:pt idx="627">
                  <c:v>25.079999999999643</c:v>
                </c:pt>
                <c:pt idx="628">
                  <c:v>25.119999999999642</c:v>
                </c:pt>
                <c:pt idx="629">
                  <c:v>25.159999999999641</c:v>
                </c:pt>
                <c:pt idx="630">
                  <c:v>25.19999999999964</c:v>
                </c:pt>
                <c:pt idx="631">
                  <c:v>25.23999999999964</c:v>
                </c:pt>
                <c:pt idx="632">
                  <c:v>25.279999999999639</c:v>
                </c:pt>
                <c:pt idx="633">
                  <c:v>25.319999999999638</c:v>
                </c:pt>
                <c:pt idx="634">
                  <c:v>25.359999999999637</c:v>
                </c:pt>
                <c:pt idx="635">
                  <c:v>25.399999999999636</c:v>
                </c:pt>
                <c:pt idx="636">
                  <c:v>25.439999999999635</c:v>
                </c:pt>
                <c:pt idx="637">
                  <c:v>25.479999999999634</c:v>
                </c:pt>
                <c:pt idx="638">
                  <c:v>25.519999999999634</c:v>
                </c:pt>
                <c:pt idx="639">
                  <c:v>25.559999999999633</c:v>
                </c:pt>
                <c:pt idx="640">
                  <c:v>25.599999999999632</c:v>
                </c:pt>
                <c:pt idx="641">
                  <c:v>25.639999999999631</c:v>
                </c:pt>
                <c:pt idx="642">
                  <c:v>25.67999999999963</c:v>
                </c:pt>
                <c:pt idx="643">
                  <c:v>25.719999999999629</c:v>
                </c:pt>
                <c:pt idx="644">
                  <c:v>25.759999999999629</c:v>
                </c:pt>
                <c:pt idx="645">
                  <c:v>25.799999999999628</c:v>
                </c:pt>
                <c:pt idx="646">
                  <c:v>25.839999999999627</c:v>
                </c:pt>
                <c:pt idx="647">
                  <c:v>25.879999999999626</c:v>
                </c:pt>
                <c:pt idx="648">
                  <c:v>25.919999999999625</c:v>
                </c:pt>
                <c:pt idx="649">
                  <c:v>25.959999999999624</c:v>
                </c:pt>
                <c:pt idx="650">
                  <c:v>25.999999999999623</c:v>
                </c:pt>
                <c:pt idx="651">
                  <c:v>26.039999999999623</c:v>
                </c:pt>
                <c:pt idx="652">
                  <c:v>26.079999999999622</c:v>
                </c:pt>
                <c:pt idx="653">
                  <c:v>26.119999999999621</c:v>
                </c:pt>
                <c:pt idx="654">
                  <c:v>26.15999999999962</c:v>
                </c:pt>
                <c:pt idx="655">
                  <c:v>26.199999999999619</c:v>
                </c:pt>
                <c:pt idx="656">
                  <c:v>26.239999999999618</c:v>
                </c:pt>
                <c:pt idx="657">
                  <c:v>26.279999999999617</c:v>
                </c:pt>
                <c:pt idx="658">
                  <c:v>26.319999999999617</c:v>
                </c:pt>
                <c:pt idx="659">
                  <c:v>26.359999999999616</c:v>
                </c:pt>
                <c:pt idx="660">
                  <c:v>26.399999999999615</c:v>
                </c:pt>
                <c:pt idx="661">
                  <c:v>26.439999999999614</c:v>
                </c:pt>
                <c:pt idx="662">
                  <c:v>26.479999999999613</c:v>
                </c:pt>
                <c:pt idx="663">
                  <c:v>26.519999999999612</c:v>
                </c:pt>
                <c:pt idx="664">
                  <c:v>26.559999999999611</c:v>
                </c:pt>
                <c:pt idx="665">
                  <c:v>26.599999999999611</c:v>
                </c:pt>
                <c:pt idx="666">
                  <c:v>26.63999999999961</c:v>
                </c:pt>
                <c:pt idx="667">
                  <c:v>26.679999999999609</c:v>
                </c:pt>
                <c:pt idx="668">
                  <c:v>26.719999999999608</c:v>
                </c:pt>
                <c:pt idx="669">
                  <c:v>26.759999999999607</c:v>
                </c:pt>
                <c:pt idx="670">
                  <c:v>26.799999999999606</c:v>
                </c:pt>
                <c:pt idx="671">
                  <c:v>26.839999999999606</c:v>
                </c:pt>
                <c:pt idx="672">
                  <c:v>26.879999999999605</c:v>
                </c:pt>
                <c:pt idx="673">
                  <c:v>26.919999999999604</c:v>
                </c:pt>
                <c:pt idx="674">
                  <c:v>26.959999999999603</c:v>
                </c:pt>
                <c:pt idx="675">
                  <c:v>26.999999999999602</c:v>
                </c:pt>
                <c:pt idx="676">
                  <c:v>27.039999999999601</c:v>
                </c:pt>
                <c:pt idx="677">
                  <c:v>27.0799999999996</c:v>
                </c:pt>
                <c:pt idx="678">
                  <c:v>27.1199999999996</c:v>
                </c:pt>
                <c:pt idx="679">
                  <c:v>27.159999999999599</c:v>
                </c:pt>
                <c:pt idx="680">
                  <c:v>27.199999999999598</c:v>
                </c:pt>
                <c:pt idx="681">
                  <c:v>27.239999999999597</c:v>
                </c:pt>
                <c:pt idx="682">
                  <c:v>27.279999999999596</c:v>
                </c:pt>
                <c:pt idx="683">
                  <c:v>27.319999999999595</c:v>
                </c:pt>
                <c:pt idx="684">
                  <c:v>27.359999999999594</c:v>
                </c:pt>
                <c:pt idx="685">
                  <c:v>27.399999999999594</c:v>
                </c:pt>
                <c:pt idx="686">
                  <c:v>27.439999999999593</c:v>
                </c:pt>
                <c:pt idx="687">
                  <c:v>27.479999999999592</c:v>
                </c:pt>
                <c:pt idx="688">
                  <c:v>27.519999999999591</c:v>
                </c:pt>
                <c:pt idx="689">
                  <c:v>27.55999999999959</c:v>
                </c:pt>
                <c:pt idx="690">
                  <c:v>27.599999999999589</c:v>
                </c:pt>
                <c:pt idx="691">
                  <c:v>27.639999999999588</c:v>
                </c:pt>
                <c:pt idx="692">
                  <c:v>27.679999999999588</c:v>
                </c:pt>
                <c:pt idx="693">
                  <c:v>27.719999999999587</c:v>
                </c:pt>
                <c:pt idx="694">
                  <c:v>27.759999999999586</c:v>
                </c:pt>
                <c:pt idx="695">
                  <c:v>27.799999999999585</c:v>
                </c:pt>
                <c:pt idx="696">
                  <c:v>27.839999999999584</c:v>
                </c:pt>
                <c:pt idx="697">
                  <c:v>27.879999999999583</c:v>
                </c:pt>
                <c:pt idx="698">
                  <c:v>27.919999999999582</c:v>
                </c:pt>
                <c:pt idx="699">
                  <c:v>27.959999999999582</c:v>
                </c:pt>
                <c:pt idx="700">
                  <c:v>27.999999999999581</c:v>
                </c:pt>
                <c:pt idx="701">
                  <c:v>28.03999999999958</c:v>
                </c:pt>
                <c:pt idx="702">
                  <c:v>28.079999999999579</c:v>
                </c:pt>
                <c:pt idx="703">
                  <c:v>28.119999999999578</c:v>
                </c:pt>
                <c:pt idx="704">
                  <c:v>28.159999999999577</c:v>
                </c:pt>
                <c:pt idx="705">
                  <c:v>28.199999999999577</c:v>
                </c:pt>
                <c:pt idx="706">
                  <c:v>28.239999999999576</c:v>
                </c:pt>
                <c:pt idx="707">
                  <c:v>28.279999999999575</c:v>
                </c:pt>
                <c:pt idx="708">
                  <c:v>28.319999999999574</c:v>
                </c:pt>
                <c:pt idx="709">
                  <c:v>28.359999999999573</c:v>
                </c:pt>
                <c:pt idx="710">
                  <c:v>28.399999999999572</c:v>
                </c:pt>
                <c:pt idx="711">
                  <c:v>28.439999999999571</c:v>
                </c:pt>
                <c:pt idx="712">
                  <c:v>28.479999999999571</c:v>
                </c:pt>
                <c:pt idx="713">
                  <c:v>28.51999999999957</c:v>
                </c:pt>
                <c:pt idx="714">
                  <c:v>28.559999999999569</c:v>
                </c:pt>
                <c:pt idx="715">
                  <c:v>28.599999999999568</c:v>
                </c:pt>
              </c:numCache>
            </c:numRef>
          </c:cat>
          <c:val>
            <c:numRef>
              <c:f>Calculations!$B$26:$AAO$26</c:f>
              <c:numCache>
                <c:formatCode>General</c:formatCode>
                <c:ptCount val="716"/>
                <c:pt idx="0">
                  <c:v>31.198109316886899</c:v>
                </c:pt>
                <c:pt idx="1">
                  <c:v>31.198109316886899</c:v>
                </c:pt>
                <c:pt idx="2">
                  <c:v>31.206563893650454</c:v>
                </c:pt>
                <c:pt idx="3">
                  <c:v>31.225735597128192</c:v>
                </c:pt>
                <c:pt idx="4">
                  <c:v>31.255682010355908</c:v>
                </c:pt>
                <c:pt idx="5">
                  <c:v>31.295749998965448</c:v>
                </c:pt>
                <c:pt idx="6">
                  <c:v>31.345121419916833</c:v>
                </c:pt>
                <c:pt idx="7">
                  <c:v>31.403000908222012</c:v>
                </c:pt>
                <c:pt idx="8">
                  <c:v>31.468671127712387</c:v>
                </c:pt>
                <c:pt idx="9">
                  <c:v>31.541500947896587</c:v>
                </c:pt>
                <c:pt idx="10">
                  <c:v>31.620938478178239</c:v>
                </c:pt>
                <c:pt idx="11">
                  <c:v>31.706500512287008</c:v>
                </c:pt>
                <c:pt idx="12">
                  <c:v>31.797762270140122</c:v>
                </c:pt>
                <c:pt idx="13">
                  <c:v>31.894348515338152</c:v>
                </c:pt>
                <c:pt idx="14">
                  <c:v>31.99592615475682</c:v>
                </c:pt>
                <c:pt idx="15">
                  <c:v>32.102198134966038</c:v>
                </c:pt>
                <c:pt idx="16">
                  <c:v>32.212898398465406</c:v>
                </c:pt>
                <c:pt idx="17">
                  <c:v>32.327787686718075</c:v>
                </c:pt>
                <c:pt idx="18">
                  <c:v>32.446650017788116</c:v>
                </c:pt>
                <c:pt idx="19">
                  <c:v>32.56928970476438</c:v>
                </c:pt>
                <c:pt idx="20">
                  <c:v>32.695528812215784</c:v>
                </c:pt>
                <c:pt idx="21">
                  <c:v>32.825204971652504</c:v>
                </c:pt>
                <c:pt idx="22">
                  <c:v>32.95816949468464</c:v>
                </c:pt>
                <c:pt idx="23">
                  <c:v>33.094285735719168</c:v>
                </c:pt>
                <c:pt idx="24">
                  <c:v>33.233427665828593</c:v>
                </c:pt>
                <c:pt idx="25">
                  <c:v>33.375478626785167</c:v>
                </c:pt>
                <c:pt idx="26">
                  <c:v>33.520330239857266</c:v>
                </c:pt>
                <c:pt idx="27">
                  <c:v>33.667881448293002</c:v>
                </c:pt>
                <c:pt idx="28">
                  <c:v>33.81803767581286</c:v>
                </c:pt>
                <c:pt idx="29">
                  <c:v>33.970710086140819</c:v>
                </c:pt>
                <c:pt idx="30">
                  <c:v>34.125814930794839</c:v>
                </c:pt>
                <c:pt idx="31">
                  <c:v>34.283272974155423</c:v>
                </c:pt>
                <c:pt idx="32">
                  <c:v>34.443008986325097</c:v>
                </c:pt>
                <c:pt idx="33">
                  <c:v>34.604951295546002</c:v>
                </c:pt>
                <c:pt idx="34">
                  <c:v>34.76903139300655</c:v>
                </c:pt>
                <c:pt idx="35">
                  <c:v>34.935183583776286</c:v>
                </c:pt>
                <c:pt idx="36">
                  <c:v>35.103344678389284</c:v>
                </c:pt>
                <c:pt idx="37">
                  <c:v>35.273453720271156</c:v>
                </c:pt>
                <c:pt idx="38">
                  <c:v>35.445451744790454</c:v>
                </c:pt>
                <c:pt idx="39">
                  <c:v>35.619281566225318</c:v>
                </c:pt>
                <c:pt idx="40">
                  <c:v>35.794887589381304</c:v>
                </c:pt>
                <c:pt idx="41">
                  <c:v>35.9722156429862</c:v>
                </c:pt>
                <c:pt idx="42">
                  <c:v>36.151212832328874</c:v>
                </c:pt>
                <c:pt idx="43">
                  <c:v>36.331827408909227</c:v>
                </c:pt>
                <c:pt idx="44">
                  <c:v>36.514008655129544</c:v>
                </c:pt>
                <c:pt idx="45">
                  <c:v>36.697706782289281</c:v>
                </c:pt>
                <c:pt idx="46">
                  <c:v>36.882872840349314</c:v>
                </c:pt>
                <c:pt idx="47">
                  <c:v>37.069458638111115</c:v>
                </c:pt>
                <c:pt idx="48">
                  <c:v>37.257416672614667</c:v>
                </c:pt>
                <c:pt idx="49">
                  <c:v>37.446700066698433</c:v>
                </c:pt>
                <c:pt idx="50">
                  <c:v>37.63726251378764</c:v>
                </c:pt>
                <c:pt idx="51">
                  <c:v>37.829058229085575</c:v>
                </c:pt>
                <c:pt idx="52">
                  <c:v>38.022041906438581</c:v>
                </c:pt>
                <c:pt idx="53">
                  <c:v>38.2161686802296</c:v>
                </c:pt>
                <c:pt idx="54">
                  <c:v>38.41139409172991</c:v>
                </c:pt>
                <c:pt idx="55">
                  <c:v>38.60767405940453</c:v>
                </c:pt>
                <c:pt idx="56">
                  <c:v>38.804964852724787</c:v>
                </c:pt>
                <c:pt idx="57">
                  <c:v>39.003223069093103</c:v>
                </c:pt>
                <c:pt idx="58">
                  <c:v>39.202405613530203</c:v>
                </c:pt>
                <c:pt idx="59">
                  <c:v>39.402469680815294</c:v>
                </c:pt>
                <c:pt idx="60">
                  <c:v>39.603372739804904</c:v>
                </c:pt>
                <c:pt idx="61">
                  <c:v>39.805072519687691</c:v>
                </c:pt>
                <c:pt idx="62">
                  <c:v>40.007526997959943</c:v>
                </c:pt>
                <c:pt idx="63">
                  <c:v>40.210694389931135</c:v>
                </c:pt>
                <c:pt idx="64">
                  <c:v>40.414533139590525</c:v>
                </c:pt>
                <c:pt idx="65">
                  <c:v>40.619001911684855</c:v>
                </c:pt>
                <c:pt idx="66">
                  <c:v>40.824059584874242</c:v>
                </c:pt>
                <c:pt idx="67">
                  <c:v>41.029665245848257</c:v>
                </c:pt>
                <c:pt idx="68">
                  <c:v>41.235778184297523</c:v>
                </c:pt>
                <c:pt idx="69">
                  <c:v>41.442357888647855</c:v>
                </c:pt>
                <c:pt idx="70">
                  <c:v>41.64936404247441</c:v>
                </c:pt>
                <c:pt idx="71">
                  <c:v>41.856756521522385</c:v>
                </c:pt>
                <c:pt idx="72">
                  <c:v>42.064495391269212</c:v>
                </c:pt>
                <c:pt idx="73">
                  <c:v>42.272540904970136</c:v>
                </c:pt>
                <c:pt idx="74">
                  <c:v>42.480853502135638</c:v>
                </c:pt>
                <c:pt idx="75">
                  <c:v>42.689393807394843</c:v>
                </c:pt>
                <c:pt idx="76">
                  <c:v>42.898122629703948</c:v>
                </c:pt>
                <c:pt idx="77">
                  <c:v>43.107000961863335</c:v>
                </c:pt>
                <c:pt idx="78">
                  <c:v>43.315989980310825</c:v>
                </c:pt>
                <c:pt idx="79">
                  <c:v>43.525051045162222</c:v>
                </c:pt>
                <c:pt idx="80">
                  <c:v>43.734145700473242</c:v>
                </c:pt>
                <c:pt idx="81">
                  <c:v>43.943235674699757</c:v>
                </c:pt>
                <c:pt idx="82">
                  <c:v>44.1522828813358</c:v>
                </c:pt>
                <c:pt idx="83">
                  <c:v>44.361249419710866</c:v>
                </c:pt>
                <c:pt idx="84">
                  <c:v>44.570097575929999</c:v>
                </c:pt>
                <c:pt idx="85">
                  <c:v>44.778789823941935</c:v>
                </c:pt>
                <c:pt idx="86">
                  <c:v>44.98728882672205</c:v>
                </c:pt>
                <c:pt idx="87">
                  <c:v>45.195557437558271</c:v>
                </c:pt>
                <c:pt idx="88">
                  <c:v>45.403558701429226</c:v>
                </c:pt>
                <c:pt idx="89">
                  <c:v>45.6112558564651</c:v>
                </c:pt>
                <c:pt idx="90">
                  <c:v>45.818612335482612</c:v>
                </c:pt>
                <c:pt idx="91">
                  <c:v>46.025591767586285</c:v>
                </c:pt>
                <c:pt idx="92">
                  <c:v>46.232157979829047</c:v>
                </c:pt>
                <c:pt idx="93">
                  <c:v>46.438274998925849</c:v>
                </c:pt>
                <c:pt idx="94">
                  <c:v>46.643907053014573</c:v>
                </c:pt>
                <c:pt idx="95">
                  <c:v>46.849018573459077</c:v>
                </c:pt>
                <c:pt idx="96">
                  <c:v>47.053574196689688</c:v>
                </c:pt>
                <c:pt idx="97">
                  <c:v>47.257538766076884</c:v>
                </c:pt>
                <c:pt idx="98">
                  <c:v>47.460877333834347</c:v>
                </c:pt>
                <c:pt idx="99">
                  <c:v>47.663555162947752</c:v>
                </c:pt>
                <c:pt idx="100">
                  <c:v>47.86553772912621</c:v>
                </c:pt>
                <c:pt idx="101">
                  <c:v>48.066790722773383</c:v>
                </c:pt>
                <c:pt idx="102">
                  <c:v>48.267280050975522</c:v>
                </c:pt>
                <c:pt idx="103">
                  <c:v>48.466971839504076</c:v>
                </c:pt>
                <c:pt idx="104">
                  <c:v>48.66583243483052</c:v>
                </c:pt>
                <c:pt idx="105">
                  <c:v>48.863828406151349</c:v>
                </c:pt>
                <c:pt idx="106">
                  <c:v>49.060926547421332</c:v>
                </c:pt>
                <c:pt idx="107">
                  <c:v>49.257093879393189</c:v>
                </c:pt>
                <c:pt idx="108">
                  <c:v>49.4522976516621</c:v>
                </c:pt>
                <c:pt idx="109">
                  <c:v>49.646505344713489</c:v>
                </c:pt>
                <c:pt idx="110">
                  <c:v>49.83968467197267</c:v>
                </c:pt>
                <c:pt idx="111">
                  <c:v>50.031803581854952</c:v>
                </c:pt>
                <c:pt idx="112">
                  <c:v>50.222830259815105</c:v>
                </c:pt>
                <c:pt idx="113">
                  <c:v>50.412733130394862</c:v>
                </c:pt>
                <c:pt idx="114">
                  <c:v>50.601480859267447</c:v>
                </c:pt>
                <c:pt idx="115">
                  <c:v>50.789042355278106</c:v>
                </c:pt>
                <c:pt idx="116">
                  <c:v>50.975386772479581</c:v>
                </c:pt>
                <c:pt idx="117">
                  <c:v>51.160483512161747</c:v>
                </c:pt>
                <c:pt idx="118">
                  <c:v>51.344302224874362</c:v>
                </c:pt>
                <c:pt idx="119">
                  <c:v>51.526812812442259</c:v>
                </c:pt>
                <c:pt idx="120">
                  <c:v>51.707985429972091</c:v>
                </c:pt>
                <c:pt idx="121">
                  <c:v>51.887790487849927</c:v>
                </c:pt>
                <c:pt idx="122">
                  <c:v>52.066198653728932</c:v>
                </c:pt>
                <c:pt idx="123">
                  <c:v>52.243180854506498</c:v>
                </c:pt>
                <c:pt idx="124">
                  <c:v>52.418708278290126</c:v>
                </c:pt>
                <c:pt idx="125">
                  <c:v>52.59275237635142</c:v>
                </c:pt>
                <c:pt idx="126">
                  <c:v>52.765284865067613</c:v>
                </c:pt>
                <c:pt idx="127">
                  <c:v>52.936277727850005</c:v>
                </c:pt>
                <c:pt idx="128">
                  <c:v>53.105703217058768</c:v>
                </c:pt>
                <c:pt idx="129">
                  <c:v>53.273533855903537</c:v>
                </c:pt>
                <c:pt idx="130">
                  <c:v>53.439742440329312</c:v>
                </c:pt>
                <c:pt idx="131">
                  <c:v>53.604302040887077</c:v>
                </c:pt>
                <c:pt idx="132">
                  <c:v>53.767186004588723</c:v>
                </c:pt>
                <c:pt idx="133">
                  <c:v>53.928367956745674</c:v>
                </c:pt>
                <c:pt idx="134">
                  <c:v>54.087821802790906</c:v>
                </c:pt>
                <c:pt idx="135">
                  <c:v>54.24552173008373</c:v>
                </c:pt>
                <c:pt idx="136">
                  <c:v>54.401442209697002</c:v>
                </c:pt>
                <c:pt idx="137">
                  <c:v>54.555557998186309</c:v>
                </c:pt>
                <c:pt idx="138">
                  <c:v>54.707844139340637</c:v>
                </c:pt>
                <c:pt idx="139">
                  <c:v>54.85827596591421</c:v>
                </c:pt>
                <c:pt idx="140">
                  <c:v>55.006829101339008</c:v>
                </c:pt>
                <c:pt idx="141">
                  <c:v>55.153479461417618</c:v>
                </c:pt>
                <c:pt idx="142">
                  <c:v>55.298203255996</c:v>
                </c:pt>
                <c:pt idx="143">
                  <c:v>55.44097699061583</c:v>
                </c:pt>
                <c:pt idx="144">
                  <c:v>55.581777468145987</c:v>
                </c:pt>
                <c:pt idx="145">
                  <c:v>55.720581790392899</c:v>
                </c:pt>
                <c:pt idx="146">
                  <c:v>55.85736735968932</c:v>
                </c:pt>
                <c:pt idx="147">
                  <c:v>55.992111880461245</c:v>
                </c:pt>
                <c:pt idx="148">
                  <c:v>56.124793360772578</c:v>
                </c:pt>
                <c:pt idx="149">
                  <c:v>56.255390113847284</c:v>
                </c:pt>
                <c:pt idx="150">
                  <c:v>56.383880759568584</c:v>
                </c:pt>
                <c:pt idx="151">
                  <c:v>56.510244225955041</c:v>
                </c:pt>
                <c:pt idx="152">
                  <c:v>56.634459750613047</c:v>
                </c:pt>
                <c:pt idx="153">
                  <c:v>56.756506882165503</c:v>
                </c:pt>
                <c:pt idx="154">
                  <c:v>56.876365481656428</c:v>
                </c:pt>
                <c:pt idx="155">
                  <c:v>56.994015723931049</c:v>
                </c:pt>
                <c:pt idx="156">
                  <c:v>57.109438098991269</c:v>
                </c:pt>
                <c:pt idx="157">
                  <c:v>57.22261341332608</c:v>
                </c:pt>
                <c:pt idx="158">
                  <c:v>57.333522791216723</c:v>
                </c:pt>
                <c:pt idx="159">
                  <c:v>57.442147676016297</c:v>
                </c:pt>
                <c:pt idx="160">
                  <c:v>57.54846983140358</c:v>
                </c:pt>
                <c:pt idx="161">
                  <c:v>57.65247134261071</c:v>
                </c:pt>
                <c:pt idx="162">
                  <c:v>57.754134617624608</c:v>
                </c:pt>
                <c:pt idx="163">
                  <c:v>57.853442388361763</c:v>
                </c:pt>
                <c:pt idx="164">
                  <c:v>57.950377711816238</c:v>
                </c:pt>
                <c:pt idx="165">
                  <c:v>58.044923971180538</c:v>
                </c:pt>
                <c:pt idx="166">
                  <c:v>58.137064876939235</c:v>
                </c:pt>
                <c:pt idx="167">
                  <c:v>58.22678446793504</c:v>
                </c:pt>
                <c:pt idx="168">
                  <c:v>58.314067112407102</c:v>
                </c:pt>
                <c:pt idx="169">
                  <c:v>58.398897509001337</c:v>
                </c:pt>
                <c:pt idx="170">
                  <c:v>58.481260687752538</c:v>
                </c:pt>
                <c:pt idx="171">
                  <c:v>58.561142011038115</c:v>
                </c:pt>
                <c:pt idx="172">
                  <c:v>58.638527174503203</c:v>
                </c:pt>
                <c:pt idx="173">
                  <c:v>58.713402207956953</c:v>
                </c:pt>
                <c:pt idx="174">
                  <c:v>58.785753476239812</c:v>
                </c:pt>
                <c:pt idx="175">
                  <c:v>58.855567680061604</c:v>
                </c:pt>
                <c:pt idx="176">
                  <c:v>58.922831856810255</c:v>
                </c:pt>
                <c:pt idx="177">
                  <c:v>58.987533381330891</c:v>
                </c:pt>
                <c:pt idx="178">
                  <c:v>59.049659966675222</c:v>
                </c:pt>
                <c:pt idx="179">
                  <c:v>59.109199664821041</c:v>
                </c:pt>
                <c:pt idx="180">
                  <c:v>59.166140867361577</c:v>
                </c:pt>
                <c:pt idx="181">
                  <c:v>59.220472306164638</c:v>
                </c:pt>
                <c:pt idx="182">
                  <c:v>59.272183054001353</c:v>
                </c:pt>
                <c:pt idx="183">
                  <c:v>59.32126252514432</c:v>
                </c:pt>
                <c:pt idx="184">
                  <c:v>59.367700475935088</c:v>
                </c:pt>
                <c:pt idx="185">
                  <c:v>59.411487005320772</c:v>
                </c:pt>
                <c:pt idx="186">
                  <c:v>59.452612555359664</c:v>
                </c:pt>
                <c:pt idx="187">
                  <c:v>59.49106791169573</c:v>
                </c:pt>
                <c:pt idx="188">
                  <c:v>59.526844204001861</c:v>
                </c:pt>
                <c:pt idx="189">
                  <c:v>59.55993290639173</c:v>
                </c:pt>
                <c:pt idx="190">
                  <c:v>59.59032583780013</c:v>
                </c:pt>
                <c:pt idx="191">
                  <c:v>59.618015162331751</c:v>
                </c:pt>
                <c:pt idx="192">
                  <c:v>59.642993389578137</c:v>
                </c:pt>
                <c:pt idx="193">
                  <c:v>59.665253374902896</c:v>
                </c:pt>
                <c:pt idx="194">
                  <c:v>59.684788319694896</c:v>
                </c:pt>
                <c:pt idx="195">
                  <c:v>59.70159177158947</c:v>
                </c:pt>
                <c:pt idx="196">
                  <c:v>59.71565762465746</c:v>
                </c:pt>
                <c:pt idx="197">
                  <c:v>59.726980119562043</c:v>
                </c:pt>
                <c:pt idx="198">
                  <c:v>59.735553843683256</c:v>
                </c:pt>
                <c:pt idx="199">
                  <c:v>59.741373731210118</c:v>
                </c:pt>
                <c:pt idx="200">
                  <c:v>59.744435063200314</c:v>
                </c:pt>
                <c:pt idx="201">
                  <c:v>59.744733467607304</c:v>
                </c:pt>
                <c:pt idx="202">
                  <c:v>59.742264919274866</c:v>
                </c:pt>
                <c:pt idx="203">
                  <c:v>59.737025739898932</c:v>
                </c:pt>
                <c:pt idx="204">
                  <c:v>59.729012597956761</c:v>
                </c:pt>
                <c:pt idx="205">
                  <c:v>59.718222508603247</c:v>
                </c:pt>
                <c:pt idx="206">
                  <c:v>59.704652833534489</c:v>
                </c:pt>
                <c:pt idx="207">
                  <c:v>59.688301280818429</c:v>
                </c:pt>
                <c:pt idx="208">
                  <c:v>59.669165904692598</c:v>
                </c:pt>
                <c:pt idx="209">
                  <c:v>59.647245105328906</c:v>
                </c:pt>
                <c:pt idx="210">
                  <c:v>59.622537628565468</c:v>
                </c:pt>
                <c:pt idx="211">
                  <c:v>59.595042565605375</c:v>
                </c:pt>
                <c:pt idx="212">
                  <c:v>59.564759352682508</c:v>
                </c:pt>
                <c:pt idx="213">
                  <c:v>59.531687770694212</c:v>
                </c:pt>
                <c:pt idx="214">
                  <c:v>59.495827944800993</c:v>
                </c:pt>
                <c:pt idx="215">
                  <c:v>59.457180343993066</c:v>
                </c:pt>
                <c:pt idx="216">
                  <c:v>59.415745780623872</c:v>
                </c:pt>
                <c:pt idx="217">
                  <c:v>59.371525409910483</c:v>
                </c:pt>
                <c:pt idx="218">
                  <c:v>59.32452072940093</c:v>
                </c:pt>
                <c:pt idx="219">
                  <c:v>59.274733578408487</c:v>
                </c:pt>
                <c:pt idx="220">
                  <c:v>59.222166137412849</c:v>
                </c:pt>
                <c:pt idx="221">
                  <c:v>59.166820927428311</c:v>
                </c:pt>
                <c:pt idx="222">
                  <c:v>59.108700809338863</c:v>
                </c:pt>
                <c:pt idx="223">
                  <c:v>59.047808983200348</c:v>
                </c:pt>
                <c:pt idx="224">
                  <c:v>58.984148987509592</c:v>
                </c:pt>
                <c:pt idx="225">
                  <c:v>58.917724698440637</c:v>
                </c:pt>
                <c:pt idx="226">
                  <c:v>58.848540329048014</c:v>
                </c:pt>
                <c:pt idx="227">
                  <c:v>58.776600428437213</c:v>
                </c:pt>
                <c:pt idx="228">
                  <c:v>58.701909880902313</c:v>
                </c:pt>
                <c:pt idx="229">
                  <c:v>58.624473905030804</c:v>
                </c:pt>
                <c:pt idx="230">
                  <c:v>58.544298052775751</c:v>
                </c:pt>
                <c:pt idx="231">
                  <c:v>58.461388208495272</c:v>
                </c:pt>
                <c:pt idx="232">
                  <c:v>58.375750587959402</c:v>
                </c:pt>
                <c:pt idx="233">
                  <c:v>58.287391737324469</c:v>
                </c:pt>
                <c:pt idx="234">
                  <c:v>58.196318532074962</c:v>
                </c:pt>
                <c:pt idx="235">
                  <c:v>58.102538175933049</c:v>
                </c:pt>
                <c:pt idx="236">
                  <c:v>58.006058199735762</c:v>
                </c:pt>
                <c:pt idx="237">
                  <c:v>57.906886460279956</c:v>
                </c:pt>
                <c:pt idx="238">
                  <c:v>57.805031139135153</c:v>
                </c:pt>
                <c:pt idx="239">
                  <c:v>57.700500741424278</c:v>
                </c:pt>
                <c:pt idx="240">
                  <c:v>57.593304094572503</c:v>
                </c:pt>
                <c:pt idx="241">
                  <c:v>57.483450347024196</c:v>
                </c:pt>
                <c:pt idx="242">
                  <c:v>57.370948966928097</c:v>
                </c:pt>
                <c:pt idx="243">
                  <c:v>57.255809740790873</c:v>
                </c:pt>
                <c:pt idx="244">
                  <c:v>57.138042772099126</c:v>
                </c:pt>
                <c:pt idx="245">
                  <c:v>57.017658479909961</c:v>
                </c:pt>
                <c:pt idx="246">
                  <c:v>56.894667597410233</c:v>
                </c:pt>
                <c:pt idx="247">
                  <c:v>56.769081170444636</c:v>
                </c:pt>
                <c:pt idx="248">
                  <c:v>56.640910556012706</c:v>
                </c:pt>
                <c:pt idx="249">
                  <c:v>56.510167420734881</c:v>
                </c:pt>
                <c:pt idx="250">
                  <c:v>56.376863739287792</c:v>
                </c:pt>
                <c:pt idx="251">
                  <c:v>56.241011792808848</c:v>
                </c:pt>
                <c:pt idx="252">
                  <c:v>56.102624167270321</c:v>
                </c:pt>
                <c:pt idx="253">
                  <c:v>55.961713751823034</c:v>
                </c:pt>
                <c:pt idx="254">
                  <c:v>55.81829373710984</c:v>
                </c:pt>
                <c:pt idx="255">
                  <c:v>55.672377613549003</c:v>
                </c:pt>
                <c:pt idx="256">
                  <c:v>55.523979169587655</c:v>
                </c:pt>
                <c:pt idx="257">
                  <c:v>55.373112489925461</c:v>
                </c:pt>
                <c:pt idx="258">
                  <c:v>55.219791953708743</c:v>
                </c:pt>
                <c:pt idx="259">
                  <c:v>55.064032232695098</c:v>
                </c:pt>
                <c:pt idx="260">
                  <c:v>54.905848289388786</c:v>
                </c:pt>
                <c:pt idx="261">
                  <c:v>54.745255375147018</c:v>
                </c:pt>
                <c:pt idx="262">
                  <c:v>54.582269028257315</c:v>
                </c:pt>
                <c:pt idx="263">
                  <c:v>54.416905071986136</c:v>
                </c:pt>
                <c:pt idx="264">
                  <c:v>54.249179612598951</c:v>
                </c:pt>
                <c:pt idx="265">
                  <c:v>54.079109037351948</c:v>
                </c:pt>
                <c:pt idx="266">
                  <c:v>53.906710012455576</c:v>
                </c:pt>
                <c:pt idx="267">
                  <c:v>53.731999481010071</c:v>
                </c:pt>
                <c:pt idx="268">
                  <c:v>53.554994660913259</c:v>
                </c:pt>
                <c:pt idx="269">
                  <c:v>53.375713042740699</c:v>
                </c:pt>
                <c:pt idx="270">
                  <c:v>53.194172387598528</c:v>
                </c:pt>
                <c:pt idx="271">
                  <c:v>53.010390724949083</c:v>
                </c:pt>
                <c:pt idx="272">
                  <c:v>52.824386350409569</c:v>
                </c:pt>
                <c:pt idx="273">
                  <c:v>52.636177823524008</c:v>
                </c:pt>
                <c:pt idx="274">
                  <c:v>52.445783965508639</c:v>
                </c:pt>
                <c:pt idx="275">
                  <c:v>52.253223856971019</c:v>
                </c:pt>
                <c:pt idx="276">
                  <c:v>52.058516835603022</c:v>
                </c:pt>
                <c:pt idx="277">
                  <c:v>51.861682493848036</c:v>
                </c:pt>
                <c:pt idx="278">
                  <c:v>51.662740676542462</c:v>
                </c:pt>
                <c:pt idx="279">
                  <c:v>51.461711478531889</c:v>
                </c:pt>
                <c:pt idx="280">
                  <c:v>51.258615242262046</c:v>
                </c:pt>
                <c:pt idx="281">
                  <c:v>51.053472555344911</c:v>
                </c:pt>
                <c:pt idx="282">
                  <c:v>50.846304248100076</c:v>
                </c:pt>
                <c:pt idx="283">
                  <c:v>50.637131391071748</c:v>
                </c:pt>
                <c:pt idx="284">
                  <c:v>50.425975292521507</c:v>
                </c:pt>
                <c:pt idx="285">
                  <c:v>50.21285749589719</c:v>
                </c:pt>
                <c:pt idx="286">
                  <c:v>49.997799777278054</c:v>
                </c:pt>
                <c:pt idx="287">
                  <c:v>49.780824142796575</c:v>
                </c:pt>
                <c:pt idx="288">
                  <c:v>49.561952826037022</c:v>
                </c:pt>
                <c:pt idx="289">
                  <c:v>49.341208285411206</c:v>
                </c:pt>
                <c:pt idx="290">
                  <c:v>49.118613201511536</c:v>
                </c:pt>
                <c:pt idx="291">
                  <c:v>48.894190474441757</c:v>
                </c:pt>
                <c:pt idx="292">
                  <c:v>48.667963221125582</c:v>
                </c:pt>
                <c:pt idx="293">
                  <c:v>48.439954772593509</c:v>
                </c:pt>
                <c:pt idx="294">
                  <c:v>48.210188671248076</c:v>
                </c:pt>
                <c:pt idx="295">
                  <c:v>47.978688668107893</c:v>
                </c:pt>
                <c:pt idx="296">
                  <c:v>47.745478720030668</c:v>
                </c:pt>
                <c:pt idx="297">
                  <c:v>47.510582986915544</c:v>
                </c:pt>
                <c:pt idx="298">
                  <c:v>47.274025828885001</c:v>
                </c:pt>
                <c:pt idx="299">
                  <c:v>47.035831803446669</c:v>
                </c:pt>
                <c:pt idx="300">
                  <c:v>46.796025662635294</c:v>
                </c:pt>
                <c:pt idx="301">
                  <c:v>46.554632350135172</c:v>
                </c:pt>
                <c:pt idx="302">
                  <c:v>46.320131575146874</c:v>
                </c:pt>
                <c:pt idx="303">
                  <c:v>46.094811205895041</c:v>
                </c:pt>
                <c:pt idx="304">
                  <c:v>45.878754326592059</c:v>
                </c:pt>
                <c:pt idx="305">
                  <c:v>45.671333483996229</c:v>
                </c:pt>
                <c:pt idx="306">
                  <c:v>45.471756393173074</c:v>
                </c:pt>
                <c:pt idx="307">
                  <c:v>45.279253721230624</c:v>
                </c:pt>
                <c:pt idx="308">
                  <c:v>45.093134335081047</c:v>
                </c:pt>
                <c:pt idx="309">
                  <c:v>44.912793475275343</c:v>
                </c:pt>
                <c:pt idx="310">
                  <c:v>44.737705787181334</c:v>
                </c:pt>
                <c:pt idx="311">
                  <c:v>44.567414762358418</c:v>
                </c:pt>
                <c:pt idx="312">
                  <c:v>44.401522477346617</c:v>
                </c:pt>
                <c:pt idx="313">
                  <c:v>44.239680708074069</c:v>
                </c:pt>
                <c:pt idx="314">
                  <c:v>44.081583526345028</c:v>
                </c:pt>
                <c:pt idx="315">
                  <c:v>43.926961193139896</c:v>
                </c:pt>
                <c:pt idx="316">
                  <c:v>43.775575111716847</c:v>
                </c:pt>
                <c:pt idx="317">
                  <c:v>43.627213627497248</c:v>
                </c:pt>
                <c:pt idx="318">
                  <c:v>43.481688502540422</c:v>
                </c:pt>
                <c:pt idx="319">
                  <c:v>43.338831930790967</c:v>
                </c:pt>
                <c:pt idx="320">
                  <c:v>43.198493991343994</c:v>
                </c:pt>
                <c:pt idx="321">
                  <c:v>43.06054046070301</c:v>
                </c:pt>
                <c:pt idx="322">
                  <c:v>42.924850922722435</c:v>
                </c:pt>
                <c:pt idx="323">
                  <c:v>42.791317128075832</c:v>
                </c:pt>
                <c:pt idx="324">
                  <c:v>42.659841564883642</c:v>
                </c:pt>
                <c:pt idx="325">
                  <c:v>42.530336209494614</c:v>
                </c:pt>
                <c:pt idx="326">
                  <c:v>42.402721432017891</c:v>
                </c:pt>
                <c:pt idx="327">
                  <c:v>42.276925035531114</c:v>
                </c:pt>
                <c:pt idx="328">
                  <c:v>42.152881411286749</c:v>
                </c:pt>
                <c:pt idx="329">
                  <c:v>42.030530794946401</c:v>
                </c:pt>
                <c:pt idx="330">
                  <c:v>41.909818611064296</c:v>
                </c:pt>
                <c:pt idx="331">
                  <c:v>41.790694894839156</c:v>
                </c:pt>
                <c:pt idx="332">
                  <c:v>41.673113781647437</c:v>
                </c:pt>
                <c:pt idx="333">
                  <c:v>41.557033056125647</c:v>
                </c:pt>
                <c:pt idx="334">
                  <c:v>41.442413753632955</c:v>
                </c:pt>
                <c:pt idx="335">
                  <c:v>41.329219807833638</c:v>
                </c:pt>
                <c:pt idx="336">
                  <c:v>41.217417738920027</c:v>
                </c:pt>
                <c:pt idx="337">
                  <c:v>41.106976377671351</c:v>
                </c:pt>
                <c:pt idx="338">
                  <c:v>40.997866621129724</c:v>
                </c:pt>
                <c:pt idx="339">
                  <c:v>40.8900612161843</c:v>
                </c:pt>
                <c:pt idx="340">
                  <c:v>40.783534567800125</c:v>
                </c:pt>
                <c:pt idx="341">
                  <c:v>40.678262569017626</c:v>
                </c:pt>
                <c:pt idx="342">
                  <c:v>40.574222450190312</c:v>
                </c:pt>
                <c:pt idx="343">
                  <c:v>40.471392645228008</c:v>
                </c:pt>
                <c:pt idx="344">
                  <c:v>40.369752672876324</c:v>
                </c:pt>
                <c:pt idx="345">
                  <c:v>40.269283031294783</c:v>
                </c:pt>
                <c:pt idx="346">
                  <c:v>40.169965104399935</c:v>
                </c:pt>
                <c:pt idx="347">
                  <c:v>40.071781078619331</c:v>
                </c:pt>
                <c:pt idx="348">
                  <c:v>39.974713868860519</c:v>
                </c:pt>
                <c:pt idx="349">
                  <c:v>39.878747052638765</c:v>
                </c:pt>
                <c:pt idx="350">
                  <c:v>39.783864811430028</c:v>
                </c:pt>
                <c:pt idx="351">
                  <c:v>39.690051878424441</c:v>
                </c:pt>
                <c:pt idx="352">
                  <c:v>39.597293491951113</c:v>
                </c:pt>
                <c:pt idx="353">
                  <c:v>39.505575353929679</c:v>
                </c:pt>
                <c:pt idx="354">
                  <c:v>39.414883592778487</c:v>
                </c:pt>
                <c:pt idx="355">
                  <c:v>39.325204730275281</c:v>
                </c:pt>
                <c:pt idx="356">
                  <c:v>39.236525651924289</c:v>
                </c:pt>
                <c:pt idx="357">
                  <c:v>39.148833580435067</c:v>
                </c:pt>
                <c:pt idx="358">
                  <c:v>39.06211605196377</c:v>
                </c:pt>
                <c:pt idx="359">
                  <c:v>38.976360894807627</c:v>
                </c:pt>
                <c:pt idx="360">
                  <c:v>38.891556210278836</c:v>
                </c:pt>
                <c:pt idx="361">
                  <c:v>38.807690355515405</c:v>
                </c:pt>
                <c:pt idx="362">
                  <c:v>38.72475192801415</c:v>
                </c:pt>
                <c:pt idx="363">
                  <c:v>38.642729751695512</c:v>
                </c:pt>
                <c:pt idx="364">
                  <c:v>38.561612864331551</c:v>
                </c:pt>
                <c:pt idx="365">
                  <c:v>38.481390506187587</c:v>
                </c:pt>
                <c:pt idx="366">
                  <c:v>38.402052109744886</c:v>
                </c:pt>
                <c:pt idx="367">
                  <c:v>38.323587290386833</c:v>
                </c:pt>
                <c:pt idx="368">
                  <c:v>38.245985837944168</c:v>
                </c:pt>
                <c:pt idx="369">
                  <c:v>38.169237709006829</c:v>
                </c:pt>
                <c:pt idx="370">
                  <c:v>38.093333019920081</c:v>
                </c:pt>
                <c:pt idx="371">
                  <c:v>38.018262040391967</c:v>
                </c:pt>
                <c:pt idx="372">
                  <c:v>37.944015187647302</c:v>
                </c:pt>
                <c:pt idx="373">
                  <c:v>37.870583021070502</c:v>
                </c:pt>
                <c:pt idx="374">
                  <c:v>37.797956237286094</c:v>
                </c:pt>
                <c:pt idx="375">
                  <c:v>37.726125665631329</c:v>
                </c:pt>
                <c:pt idx="376">
                  <c:v>37.655082263980425</c:v>
                </c:pt>
                <c:pt idx="377">
                  <c:v>37.584817114884309</c:v>
                </c:pt>
                <c:pt idx="378">
                  <c:v>37.515321421993853</c:v>
                </c:pt>
                <c:pt idx="379">
                  <c:v>37.446586506737951</c:v>
                </c:pt>
                <c:pt idx="380">
                  <c:v>37.378603805230981</c:v>
                </c:pt>
                <c:pt idx="381">
                  <c:v>37.311364865386956</c:v>
                </c:pt>
                <c:pt idx="382">
                  <c:v>37.244861344220112</c:v>
                </c:pt>
                <c:pt idx="383">
                  <c:v>37.179085005313816</c:v>
                </c:pt>
                <c:pt idx="384">
                  <c:v>37.114027716441761</c:v>
                </c:pt>
                <c:pt idx="385">
                  <c:v>37.049681447326918</c:v>
                </c:pt>
                <c:pt idx="386">
                  <c:v>36.986038267525451</c:v>
                </c:pt>
                <c:pt idx="387">
                  <c:v>36.923090344424054</c:v>
                </c:pt>
                <c:pt idx="388">
                  <c:v>36.860829941340391</c:v>
                </c:pt>
                <c:pt idx="389">
                  <c:v>36.799249415717419</c:v>
                </c:pt>
                <c:pt idx="390">
                  <c:v>36.738341217403352</c:v>
                </c:pt>
                <c:pt idx="391">
                  <c:v>36.678097887009827</c:v>
                </c:pt>
                <c:pt idx="392">
                  <c:v>36.618512054341615</c:v>
                </c:pt>
                <c:pt idx="393">
                  <c:v>36.559576436891952</c:v>
                </c:pt>
                <c:pt idx="394">
                  <c:v>36.501283838398074</c:v>
                </c:pt>
                <c:pt idx="395">
                  <c:v>36.443627147452169</c:v>
                </c:pt>
                <c:pt idx="396">
                  <c:v>36.386599336163385</c:v>
                </c:pt>
                <c:pt idx="397">
                  <c:v>36.330193458867008</c:v>
                </c:pt>
                <c:pt idx="398">
                  <c:v>36.274402650877256</c:v>
                </c:pt>
                <c:pt idx="399">
                  <c:v>36.219220127280508</c:v>
                </c:pt>
                <c:pt idx="400">
                  <c:v>36.16463918176612</c:v>
                </c:pt>
                <c:pt idx="401">
                  <c:v>36.110653185492218</c:v>
                </c:pt>
                <c:pt idx="402">
                  <c:v>36.057255585984102</c:v>
                </c:pt>
                <c:pt idx="403">
                  <c:v>36.004439906063148</c:v>
                </c:pt>
                <c:pt idx="404">
                  <c:v>35.952199742804247</c:v>
                </c:pt>
                <c:pt idx="405">
                  <c:v>35.900528766520068</c:v>
                </c:pt>
                <c:pt idx="406">
                  <c:v>35.849420719770507</c:v>
                </c:pt>
                <c:pt idx="407">
                  <c:v>35.798869416395881</c:v>
                </c:pt>
                <c:pt idx="408">
                  <c:v>35.748868740572554</c:v>
                </c:pt>
                <c:pt idx="409">
                  <c:v>35.699412645889751</c:v>
                </c:pt>
                <c:pt idx="410">
                  <c:v>35.650495154446489</c:v>
                </c:pt>
                <c:pt idx="411">
                  <c:v>35.602110355967596</c:v>
                </c:pt>
                <c:pt idx="412">
                  <c:v>35.554252406937898</c:v>
                </c:pt>
                <c:pt idx="413">
                  <c:v>35.506915529753677</c:v>
                </c:pt>
                <c:pt idx="414">
                  <c:v>35.460094011890689</c:v>
                </c:pt>
                <c:pt idx="415">
                  <c:v>35.413782205087948</c:v>
                </c:pt>
                <c:pt idx="416">
                  <c:v>35.367974524546668</c:v>
                </c:pt>
                <c:pt idx="417">
                  <c:v>35.322665448143702</c:v>
                </c:pt>
                <c:pt idx="418">
                  <c:v>35.277849515658929</c:v>
                </c:pt>
                <c:pt idx="419">
                  <c:v>35.233521328016046</c:v>
                </c:pt>
                <c:pt idx="420">
                  <c:v>35.189675546536321</c:v>
                </c:pt>
                <c:pt idx="421">
                  <c:v>35.146306892204741</c:v>
                </c:pt>
                <c:pt idx="422">
                  <c:v>35.103410144948292</c:v>
                </c:pt>
                <c:pt idx="423">
                  <c:v>35.060980142925793</c:v>
                </c:pt>
                <c:pt idx="424">
                  <c:v>35.019011781829064</c:v>
                </c:pt>
                <c:pt idx="425">
                  <c:v>34.977500014195009</c:v>
                </c:pt>
                <c:pt idx="426">
                  <c:v>34.936439848728249</c:v>
                </c:pt>
                <c:pt idx="427">
                  <c:v>34.895826349634106</c:v>
                </c:pt>
                <c:pt idx="428">
                  <c:v>34.855654635961557</c:v>
                </c:pt>
                <c:pt idx="429">
                  <c:v>34.815919880955896</c:v>
                </c:pt>
                <c:pt idx="430">
                  <c:v>34.776617311420921</c:v>
                </c:pt>
                <c:pt idx="431">
                  <c:v>34.737742207090292</c:v>
                </c:pt>
                <c:pt idx="432">
                  <c:v>34.69928990000794</c:v>
                </c:pt>
                <c:pt idx="433">
                  <c:v>34.661255773917198</c:v>
                </c:pt>
                <c:pt idx="434">
                  <c:v>34.623635263658528</c:v>
                </c:pt>
                <c:pt idx="435">
                  <c:v>34.586423854575642</c:v>
                </c:pt>
                <c:pt idx="436">
                  <c:v>34.549617081929753</c:v>
                </c:pt>
                <c:pt idx="437">
                  <c:v>34.513210530321878</c:v>
                </c:pt>
                <c:pt idx="438">
                  <c:v>34.477199833122945</c:v>
                </c:pt>
                <c:pt idx="439">
                  <c:v>34.441580671911566</c:v>
                </c:pt>
                <c:pt idx="440">
                  <c:v>34.406348775919334</c:v>
                </c:pt>
                <c:pt idx="441">
                  <c:v>34.371499921483455</c:v>
                </c:pt>
                <c:pt idx="442">
                  <c:v>34.337029931506592</c:v>
                </c:pt>
                <c:pt idx="443">
                  <c:v>34.302934674923797</c:v>
                </c:pt>
                <c:pt idx="444">
                  <c:v>34.269210066176363</c:v>
                </c:pt>
                <c:pt idx="445">
                  <c:v>34.235852064692494</c:v>
                </c:pt>
                <c:pt idx="446">
                  <c:v>34.202856674374623</c:v>
                </c:pt>
                <c:pt idx="447">
                  <c:v>34.170219943093336</c:v>
                </c:pt>
                <c:pt idx="448">
                  <c:v>34.137937962187706</c:v>
                </c:pt>
                <c:pt idx="449">
                  <c:v>34.106006865971956</c:v>
                </c:pt>
                <c:pt idx="450">
                  <c:v>34.074422831248356</c:v>
                </c:pt>
                <c:pt idx="451">
                  <c:v>34.04318207682622</c:v>
                </c:pt>
                <c:pt idx="452">
                  <c:v>34.012280863046946</c:v>
                </c:pt>
                <c:pt idx="453">
                  <c:v>33.981715491314894</c:v>
                </c:pt>
                <c:pt idx="454">
                  <c:v>33.951482303634165</c:v>
                </c:pt>
                <c:pt idx="455">
                  <c:v>33.921577682151018</c:v>
                </c:pt>
                <c:pt idx="456">
                  <c:v>33.891998048701993</c:v>
                </c:pt>
                <c:pt idx="457">
                  <c:v>33.862739864367491</c:v>
                </c:pt>
                <c:pt idx="458">
                  <c:v>33.833799629030878</c:v>
                </c:pt>
                <c:pt idx="459">
                  <c:v>33.80517388094291</c:v>
                </c:pt>
                <c:pt idx="460">
                  <c:v>33.776859196291447</c:v>
                </c:pt>
                <c:pt idx="461">
                  <c:v>33.748852188776382</c:v>
                </c:pt>
                <c:pt idx="462">
                  <c:v>33.721149509189708</c:v>
                </c:pt>
                <c:pt idx="463">
                  <c:v>33.693747845000594</c:v>
                </c:pt>
                <c:pt idx="464">
                  <c:v>33.666643919945471</c:v>
                </c:pt>
                <c:pt idx="465">
                  <c:v>33.639834493622999</c:v>
                </c:pt>
                <c:pt idx="466">
                  <c:v>33.613316361093872</c:v>
                </c:pt>
                <c:pt idx="467">
                  <c:v>33.587086352485379</c:v>
                </c:pt>
                <c:pt idx="468">
                  <c:v>33.561141332600648</c:v>
                </c:pt>
                <c:pt idx="469">
                  <c:v>33.535478200532538</c:v>
                </c:pt>
                <c:pt idx="470">
                  <c:v>33.510093889282068</c:v>
                </c:pt>
                <c:pt idx="471">
                  <c:v>33.484985365381341</c:v>
                </c:pt>
                <c:pt idx="472">
                  <c:v>33.460149628520917</c:v>
                </c:pt>
                <c:pt idx="473">
                  <c:v>33.435583711181529</c:v>
                </c:pt>
                <c:pt idx="474">
                  <c:v>33.41128467827015</c:v>
                </c:pt>
                <c:pt idx="475">
                  <c:v>33.387249626760266</c:v>
                </c:pt>
                <c:pt idx="476">
                  <c:v>33.363475685336383</c:v>
                </c:pt>
                <c:pt idx="477">
                  <c:v>33.339960014042639</c:v>
                </c:pt>
                <c:pt idx="478">
                  <c:v>33.316699803935506</c:v>
                </c:pt>
                <c:pt idx="479">
                  <c:v>33.293692276740551</c:v>
                </c:pt>
                <c:pt idx="480">
                  <c:v>33.270934684513101</c:v>
                </c:pt>
                <c:pt idx="481">
                  <c:v>33.248424309302912</c:v>
                </c:pt>
                <c:pt idx="482">
                  <c:v>33.226158462822632</c:v>
                </c:pt>
                <c:pt idx="483">
                  <c:v>33.204134486120132</c:v>
                </c:pt>
                <c:pt idx="484">
                  <c:v>33.182349749254584</c:v>
                </c:pt>
                <c:pt idx="485">
                  <c:v>33.160801650976239</c:v>
                </c:pt>
                <c:pt idx="486">
                  <c:v>33.139487618409945</c:v>
                </c:pt>
                <c:pt idx="487">
                  <c:v>33.118405106742202</c:v>
                </c:pt>
                <c:pt idx="488">
                  <c:v>33.097551598911856</c:v>
                </c:pt>
                <c:pt idx="489">
                  <c:v>33.076924605304292</c:v>
                </c:pt>
                <c:pt idx="490">
                  <c:v>33.056521663449132</c:v>
                </c:pt>
                <c:pt idx="491">
                  <c:v>33.03634033772137</c:v>
                </c:pt>
                <c:pt idx="492">
                  <c:v>33.016378219045912</c:v>
                </c:pt>
                <c:pt idx="493">
                  <c:v>32.996632924605429</c:v>
                </c:pt>
                <c:pt idx="494">
                  <c:v>32.977102097551622</c:v>
                </c:pt>
                <c:pt idx="495">
                  <c:v>32.957783406719649</c:v>
                </c:pt>
                <c:pt idx="496">
                  <c:v>32.938674546345851</c:v>
                </c:pt>
                <c:pt idx="497">
                  <c:v>32.919773235788661</c:v>
                </c:pt>
                <c:pt idx="498">
                  <c:v>32.901077219252656</c:v>
                </c:pt>
                <c:pt idx="499">
                  <c:v>32.882584265515717</c:v>
                </c:pt>
                <c:pt idx="500">
                  <c:v>32.864292167659279</c:v>
                </c:pt>
                <c:pt idx="501">
                  <c:v>32.846198742801619</c:v>
                </c:pt>
                <c:pt idx="502">
                  <c:v>32.828301831834125</c:v>
                </c:pt>
                <c:pt idx="503">
                  <c:v>32.810599299160558</c:v>
                </c:pt>
                <c:pt idx="504">
                  <c:v>32.793089032439234</c:v>
                </c:pt>
                <c:pt idx="505">
                  <c:v>32.775768942328064</c:v>
                </c:pt>
                <c:pt idx="506">
                  <c:v>32.758636962232515</c:v>
                </c:pt>
                <c:pt idx="507">
                  <c:v>32.741691048056353</c:v>
                </c:pt>
                <c:pt idx="508">
                  <c:v>32.724929177955168</c:v>
                </c:pt>
                <c:pt idx="509">
                  <c:v>32.708349352092696</c:v>
                </c:pt>
                <c:pt idx="510">
                  <c:v>32.691949592399823</c:v>
                </c:pt>
                <c:pt idx="511">
                  <c:v>32.675727942336302</c:v>
                </c:pt>
                <c:pt idx="512">
                  <c:v>32.659682466655134</c:v>
                </c:pt>
                <c:pt idx="513">
                  <c:v>32.643811251169552</c:v>
                </c:pt>
                <c:pt idx="514">
                  <c:v>32.628112402522639</c:v>
                </c:pt>
                <c:pt idx="515">
                  <c:v>32.612584047959459</c:v>
                </c:pt>
                <c:pt idx="516">
                  <c:v>32.597224335101778</c:v>
                </c:pt>
                <c:pt idx="517">
                  <c:v>32.582031431725269</c:v>
                </c:pt>
                <c:pt idx="518">
                  <c:v>32.567003525539178</c:v>
                </c:pt>
                <c:pt idx="519">
                  <c:v>32.552138823968441</c:v>
                </c:pt>
                <c:pt idx="520">
                  <c:v>32.537435553938266</c:v>
                </c:pt>
                <c:pt idx="521">
                  <c:v>32.522891961661024</c:v>
                </c:pt>
                <c:pt idx="522">
                  <c:v>32.508506312425581</c:v>
                </c:pt>
                <c:pt idx="523">
                  <c:v>32.494276890388917</c:v>
                </c:pt>
                <c:pt idx="524">
                  <c:v>32.48020199837007</c:v>
                </c:pt>
                <c:pt idx="525">
                  <c:v>32.466279957646357</c:v>
                </c:pt>
                <c:pt idx="526">
                  <c:v>32.452509107751858</c:v>
                </c:pt>
                <c:pt idx="527">
                  <c:v>32.438887806278103</c:v>
                </c:pt>
                <c:pt idx="528">
                  <c:v>32.425414428676994</c:v>
                </c:pt>
                <c:pt idx="529">
                  <c:v>32.412087368065912</c:v>
                </c:pt>
                <c:pt idx="530">
                  <c:v>32.398905035034922</c:v>
                </c:pt>
                <c:pt idx="531">
                  <c:v>32.38586585745616</c:v>
                </c:pt>
                <c:pt idx="532">
                  <c:v>32.372968280295304</c:v>
                </c:pt>
                <c:pt idx="533">
                  <c:v>32.360210765425109</c:v>
                </c:pt>
                <c:pt idx="534">
                  <c:v>32.347591791441033</c:v>
                </c:pt>
                <c:pt idx="535">
                  <c:v>32.335109853478862</c:v>
                </c:pt>
                <c:pt idx="536">
                  <c:v>32.322763463034377</c:v>
                </c:pt>
                <c:pt idx="537">
                  <c:v>32.310551147784956</c:v>
                </c:pt>
                <c:pt idx="538">
                  <c:v>32.298471451413199</c:v>
                </c:pt>
                <c:pt idx="539">
                  <c:v>32.286522933432458</c:v>
                </c:pt>
                <c:pt idx="540">
                  <c:v>32.274704169014278</c:v>
                </c:pt>
                <c:pt idx="541">
                  <c:v>32.263013748817784</c:v>
                </c:pt>
                <c:pt idx="542">
                  <c:v>32.251450278820897</c:v>
                </c:pt>
                <c:pt idx="543">
                  <c:v>32.240012380153402</c:v>
                </c:pt>
                <c:pt idx="544">
                  <c:v>32.228698688931892</c:v>
                </c:pt>
                <c:pt idx="545">
                  <c:v>32.217507856096489</c:v>
                </c:pt>
                <c:pt idx="546">
                  <c:v>32.206438547249377</c:v>
                </c:pt>
                <c:pt idx="547">
                  <c:v>32.195489442495095</c:v>
                </c:pt>
                <c:pt idx="548">
                  <c:v>32.184659236282592</c:v>
                </c:pt>
                <c:pt idx="549">
                  <c:v>32.173946637248982</c:v>
                </c:pt>
                <c:pt idx="550">
                  <c:v>32.163350368065096</c:v>
                </c:pt>
                <c:pt idx="551">
                  <c:v>32.15286916528261</c:v>
                </c:pt>
                <c:pt idx="552">
                  <c:v>32.142501779182957</c:v>
                </c:pt>
                <c:pt idx="553">
                  <c:v>32.132246973627829</c:v>
                </c:pt>
                <c:pt idx="554">
                  <c:v>32.122103525911335</c:v>
                </c:pt>
                <c:pt idx="555">
                  <c:v>32.112070226613781</c:v>
                </c:pt>
                <c:pt idx="556">
                  <c:v>32.102145879457055</c:v>
                </c:pt>
                <c:pt idx="557">
                  <c:v>32.092329301161591</c:v>
                </c:pt>
                <c:pt idx="558">
                  <c:v>32.08261932130489</c:v>
                </c:pt>
                <c:pt idx="559">
                  <c:v>32.073014782181595</c:v>
                </c:pt>
                <c:pt idx="560">
                  <c:v>32.063514538665125</c:v>
                </c:pt>
                <c:pt idx="561">
                  <c:v>32.054117458070756</c:v>
                </c:pt>
                <c:pt idx="562">
                  <c:v>32.044822420020282</c:v>
                </c:pt>
                <c:pt idx="563">
                  <c:v>32.035628316308085</c:v>
                </c:pt>
                <c:pt idx="564">
                  <c:v>32.02653405076871</c:v>
                </c:pt>
                <c:pt idx="565">
                  <c:v>32.017538539145889</c:v>
                </c:pt>
                <c:pt idx="566">
                  <c:v>32.00864070896295</c:v>
                </c:pt>
                <c:pt idx="567">
                  <c:v>31.999839499394707</c:v>
                </c:pt>
                <c:pt idx="568">
                  <c:v>31.991133861140714</c:v>
                </c:pt>
                <c:pt idx="569">
                  <c:v>31.982522756299904</c:v>
                </c:pt>
                <c:pt idx="570">
                  <c:v>31.974005158246591</c:v>
                </c:pt>
                <c:pt idx="571">
                  <c:v>31.965580051507853</c:v>
                </c:pt>
                <c:pt idx="572">
                  <c:v>31.957246431642233</c:v>
                </c:pt>
                <c:pt idx="573">
                  <c:v>31.949003305119767</c:v>
                </c:pt>
                <c:pt idx="574">
                  <c:v>31.940849689203318</c:v>
                </c:pt>
                <c:pt idx="575">
                  <c:v>31.932784611831224</c:v>
                </c:pt>
                <c:pt idx="576">
                  <c:v>31.924807111501199</c:v>
                </c:pt>
                <c:pt idx="577">
                  <c:v>31.916916237155526</c:v>
                </c:pt>
                <c:pt idx="578">
                  <c:v>31.909111048067484</c:v>
                </c:pt>
                <c:pt idx="579">
                  <c:v>31.901390613729021</c:v>
                </c:pt>
                <c:pt idx="580">
                  <c:v>31.893754013739667</c:v>
                </c:pt>
                <c:pt idx="581">
                  <c:v>31.886200337696625</c:v>
                </c:pt>
                <c:pt idx="582">
                  <c:v>31.878728685086092</c:v>
                </c:pt>
                <c:pt idx="583">
                  <c:v>31.871338165175743</c:v>
                </c:pt>
                <c:pt idx="584">
                  <c:v>31.864027896908407</c:v>
                </c:pt>
                <c:pt idx="585">
                  <c:v>31.856797008796885</c:v>
                </c:pt>
                <c:pt idx="586">
                  <c:v>31.849644638819928</c:v>
                </c:pt>
                <c:pt idx="587">
                  <c:v>31.842569934319332</c:v>
                </c:pt>
                <c:pt idx="588">
                  <c:v>31.835572051898168</c:v>
                </c:pt>
                <c:pt idx="589">
                  <c:v>31.82865015732013</c:v>
                </c:pt>
                <c:pt idx="590">
                  <c:v>31.82180342540995</c:v>
                </c:pt>
                <c:pt idx="591">
                  <c:v>31.815031039954921</c:v>
                </c:pt>
                <c:pt idx="592">
                  <c:v>31.808332193607487</c:v>
                </c:pt>
                <c:pt idx="593">
                  <c:v>31.801706087788904</c:v>
                </c:pt>
                <c:pt idx="594">
                  <c:v>31.795151932593921</c:v>
                </c:pt>
                <c:pt idx="595">
                  <c:v>31.788668946696532</c:v>
                </c:pt>
                <c:pt idx="596">
                  <c:v>31.782256357256742</c:v>
                </c:pt>
                <c:pt idx="597">
                  <c:v>31.775913399828337</c:v>
                </c:pt>
                <c:pt idx="598">
                  <c:v>31.769639318267672</c:v>
                </c:pt>
                <c:pt idx="599">
                  <c:v>31.763433364643461</c:v>
                </c:pt>
                <c:pt idx="600">
                  <c:v>31.757294799147516</c:v>
                </c:pt>
                <c:pt idx="601">
                  <c:v>31.751222890006488</c:v>
                </c:pt>
                <c:pt idx="602">
                  <c:v>31.753671490158052</c:v>
                </c:pt>
                <c:pt idx="603">
                  <c:v>31.766902433588246</c:v>
                </c:pt>
                <c:pt idx="604">
                  <c:v>31.790972595143995</c:v>
                </c:pt>
                <c:pt idx="605">
                  <c:v>31.825228139959538</c:v>
                </c:pt>
                <c:pt idx="606">
                  <c:v>31.868850232104982</c:v>
                </c:pt>
                <c:pt idx="607">
                  <c:v>31.921042821227395</c:v>
                </c:pt>
                <c:pt idx="608">
                  <c:v>31.981087893236584</c:v>
                </c:pt>
                <c:pt idx="609">
                  <c:v>32.048353647081981</c:v>
                </c:pt>
                <c:pt idx="610">
                  <c:v>32.122287528890453</c:v>
                </c:pt>
                <c:pt idx="611">
                  <c:v>32.2024056763182</c:v>
                </c:pt>
                <c:pt idx="612">
                  <c:v>32.288282660334019</c:v>
                </c:pt>
                <c:pt idx="613">
                  <c:v>32.379542602637684</c:v>
                </c:pt>
                <c:pt idx="614">
                  <c:v>32.475851775175194</c:v>
                </c:pt>
                <c:pt idx="615">
                  <c:v>32.576912496482073</c:v>
                </c:pt>
                <c:pt idx="616">
                  <c:v>32.682458087843948</c:v>
                </c:pt>
                <c:pt idx="617">
                  <c:v>32.792248676256328</c:v>
                </c:pt>
                <c:pt idx="618">
                  <c:v>32.906067671988694</c:v>
                </c:pt>
                <c:pt idx="619">
                  <c:v>33.023718786935852</c:v>
                </c:pt>
                <c:pt idx="620">
                  <c:v>33.145023491001524</c:v>
                </c:pt>
                <c:pt idx="621">
                  <c:v>33.269818827488606</c:v>
                </c:pt>
                <c:pt idx="622">
                  <c:v>33.397955526187694</c:v>
                </c:pt>
                <c:pt idx="623">
                  <c:v>33.529296366004651</c:v>
                </c:pt>
                <c:pt idx="624">
                  <c:v>33.663714748760604</c:v>
                </c:pt>
                <c:pt idx="625">
                  <c:v>33.801093453158288</c:v>
                </c:pt>
                <c:pt idx="626">
                  <c:v>33.941323543511274</c:v>
                </c:pt>
                <c:pt idx="627">
                  <c:v>34.084303412161155</c:v>
                </c:pt>
                <c:pt idx="628">
                  <c:v>34.229937937904481</c:v>
                </c:pt>
                <c:pt idx="629">
                  <c:v>34.378137745458922</c:v>
                </c:pt>
                <c:pt idx="630">
                  <c:v>34.528818553189424</c:v>
                </c:pt>
                <c:pt idx="631">
                  <c:v>34.681900598113259</c:v>
                </c:pt>
                <c:pt idx="632">
                  <c:v>34.837308128696556</c:v>
                </c:pt>
                <c:pt idx="633">
                  <c:v>34.994968957209736</c:v>
                </c:pt>
                <c:pt idx="634">
                  <c:v>35.15481406447261</c:v>
                </c:pt>
                <c:pt idx="635">
                  <c:v>35.316777250728393</c:v>
                </c:pt>
                <c:pt idx="636">
                  <c:v>35.48079482716691</c:v>
                </c:pt>
                <c:pt idx="637">
                  <c:v>35.646805343292044</c:v>
                </c:pt>
                <c:pt idx="638">
                  <c:v>35.814749345914258</c:v>
                </c:pt>
                <c:pt idx="639">
                  <c:v>35.984569166058961</c:v>
                </c:pt>
                <c:pt idx="640">
                  <c:v>36.156208730526771</c:v>
                </c:pt>
                <c:pt idx="641">
                  <c:v>36.329613395231256</c:v>
                </c:pt>
                <c:pt idx="642">
                  <c:v>36.504729797781465</c:v>
                </c:pt>
                <c:pt idx="643">
                  <c:v>36.681505727076093</c:v>
                </c:pt>
                <c:pt idx="644">
                  <c:v>36.859890007939676</c:v>
                </c:pt>
                <c:pt idx="645">
                  <c:v>37.039832399062817</c:v>
                </c:pt>
                <c:pt idx="646">
                  <c:v>37.221283502712474</c:v>
                </c:pt>
                <c:pt idx="647">
                  <c:v>37.404194684857735</c:v>
                </c:pt>
                <c:pt idx="648">
                  <c:v>37.588518004514981</c:v>
                </c:pt>
                <c:pt idx="649">
                  <c:v>37.774206151255584</c:v>
                </c:pt>
                <c:pt idx="650">
                  <c:v>37.961212389942538</c:v>
                </c:pt>
                <c:pt idx="651">
                  <c:v>38.149490511870688</c:v>
                </c:pt>
                <c:pt idx="652">
                  <c:v>38.338994791581143</c:v>
                </c:pt>
                <c:pt idx="653">
                  <c:v>38.52967994870486</c:v>
                </c:pt>
                <c:pt idx="654">
                  <c:v>38.72150111426491</c:v>
                </c:pt>
                <c:pt idx="655">
                  <c:v>38.914413800932977</c:v>
                </c:pt>
                <c:pt idx="656">
                  <c:v>39.10837387679355</c:v>
                </c:pt>
                <c:pt idx="657">
                  <c:v>39.303337542220838</c:v>
                </c:pt>
                <c:pt idx="658">
                  <c:v>39.49926130951868</c:v>
                </c:pt>
                <c:pt idx="659">
                  <c:v>39.69610198501384</c:v>
                </c:pt>
                <c:pt idx="660">
                  <c:v>39.893816653328599</c:v>
                </c:pt>
                <c:pt idx="661">
                  <c:v>40.092362663589718</c:v>
                </c:pt>
                <c:pt idx="662">
                  <c:v>40.291697617358622</c:v>
                </c:pt>
                <c:pt idx="663">
                  <c:v>40.491779358092167</c:v>
                </c:pt>
                <c:pt idx="664">
                  <c:v>40.692565961964867</c:v>
                </c:pt>
                <c:pt idx="665">
                  <c:v>40.894015729902783</c:v>
                </c:pt>
                <c:pt idx="666">
                  <c:v>41.09608718069601</c:v>
                </c:pt>
                <c:pt idx="667">
                  <c:v>41.298739045071855</c:v>
                </c:pt>
                <c:pt idx="668">
                  <c:v>41.501930260624015</c:v>
                </c:pt>
                <c:pt idx="669">
                  <c:v>41.705619967504738</c:v>
                </c:pt>
                <c:pt idx="670">
                  <c:v>41.909767504797408</c:v>
                </c:pt>
                <c:pt idx="671">
                  <c:v>42.114332407496256</c:v>
                </c:pt>
                <c:pt idx="672">
                  <c:v>42.319274404027851</c:v>
                </c:pt>
                <c:pt idx="673">
                  <c:v>42.524553414256545</c:v>
                </c:pt>
                <c:pt idx="674">
                  <c:v>42.730129547922147</c:v>
                </c:pt>
                <c:pt idx="675">
                  <c:v>42.93596310346399</c:v>
                </c:pt>
                <c:pt idx="676">
                  <c:v>43.1420145671905</c:v>
                </c:pt>
                <c:pt idx="677">
                  <c:v>43.348244612757817</c:v>
                </c:pt>
                <c:pt idx="678">
                  <c:v>43.554614100925036</c:v>
                </c:pt>
                <c:pt idx="679">
                  <c:v>43.761084079557101</c:v>
                </c:pt>
                <c:pt idx="680">
                  <c:v>43.967615783849503</c:v>
                </c:pt>
                <c:pt idx="681">
                  <c:v>44.174170636751704</c:v>
                </c:pt>
                <c:pt idx="682">
                  <c:v>44.380710249568743</c:v>
                </c:pt>
                <c:pt idx="683">
                  <c:v>44.587196422722485</c:v>
                </c:pt>
                <c:pt idx="684">
                  <c:v>44.793591146656077</c:v>
                </c:pt>
                <c:pt idx="685">
                  <c:v>44.999856602866885</c:v>
                </c:pt>
                <c:pt idx="686">
                  <c:v>45.205955165054533</c:v>
                </c:pt>
                <c:pt idx="687">
                  <c:v>45.411849400372326</c:v>
                </c:pt>
                <c:pt idx="688">
                  <c:v>45.617502070771323</c:v>
                </c:pt>
                <c:pt idx="689">
                  <c:v>45.822876134427446</c:v>
                </c:pt>
                <c:pt idx="690">
                  <c:v>46.027934747243059</c:v>
                </c:pt>
                <c:pt idx="691">
                  <c:v>46.23264126441525</c:v>
                </c:pt>
                <c:pt idx="692">
                  <c:v>46.436959242063779</c:v>
                </c:pt>
                <c:pt idx="693">
                  <c:v>46.640852438912368</c:v>
                </c:pt>
                <c:pt idx="694">
                  <c:v>46.844284818017712</c:v>
                </c:pt>
                <c:pt idx="695">
                  <c:v>47.047220548540885</c:v>
                </c:pt>
                <c:pt idx="696">
                  <c:v>47.249624007556591</c:v>
                </c:pt>
                <c:pt idx="697">
                  <c:v>47.451459781895942</c:v>
                </c:pt>
                <c:pt idx="698">
                  <c:v>47.65269267001888</c:v>
                </c:pt>
                <c:pt idx="699">
                  <c:v>47.853287683912768</c:v>
                </c:pt>
                <c:pt idx="700">
                  <c:v>48.053210051013906</c:v>
                </c:pt>
                <c:pt idx="701">
                  <c:v>48.252425216149014</c:v>
                </c:pt>
                <c:pt idx="702">
                  <c:v>48.450898843494038</c:v>
                </c:pt>
                <c:pt idx="703">
                  <c:v>48.648596818547773</c:v>
                </c:pt>
                <c:pt idx="704">
                  <c:v>48.845485250118074</c:v>
                </c:pt>
                <c:pt idx="705">
                  <c:v>49.041530472318492</c:v>
                </c:pt>
                <c:pt idx="706">
                  <c:v>49.236699046573513</c:v>
                </c:pt>
                <c:pt idx="707">
                  <c:v>49.430957763630531</c:v>
                </c:pt>
                <c:pt idx="708">
                  <c:v>49.624273645576928</c:v>
                </c:pt>
                <c:pt idx="709">
                  <c:v>49.816613947860731</c:v>
                </c:pt>
                <c:pt idx="710">
                  <c:v>50.007946161313427</c:v>
                </c:pt>
                <c:pt idx="711">
                  <c:v>50.198238014173576</c:v>
                </c:pt>
                <c:pt idx="712">
                  <c:v>50.387457474109979</c:v>
                </c:pt>
                <c:pt idx="713">
                  <c:v>50.575572750243232</c:v>
                </c:pt>
                <c:pt idx="714">
                  <c:v>50.762552295164603</c:v>
                </c:pt>
                <c:pt idx="715">
                  <c:v>50.948364806951119</c:v>
                </c:pt>
              </c:numCache>
            </c:numRef>
          </c:val>
        </c:ser>
        <c:ser>
          <c:idx val="3"/>
          <c:order val="3"/>
          <c:tx>
            <c:strRef>
              <c:f>Calculations!$A$27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Calculations!$B$21:$AAO$21</c:f>
              <c:numCache>
                <c:formatCode>0.00</c:formatCode>
                <c:ptCount val="716"/>
                <c:pt idx="0" formatCode="General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5.0000000000000036</c:v>
                </c:pt>
                <c:pt idx="126">
                  <c:v>5.0400000000000036</c:v>
                </c:pt>
                <c:pt idx="127">
                  <c:v>5.0800000000000036</c:v>
                </c:pt>
                <c:pt idx="128">
                  <c:v>5.1200000000000037</c:v>
                </c:pt>
                <c:pt idx="129">
                  <c:v>5.1600000000000037</c:v>
                </c:pt>
                <c:pt idx="130">
                  <c:v>5.2000000000000037</c:v>
                </c:pt>
                <c:pt idx="131">
                  <c:v>5.2400000000000038</c:v>
                </c:pt>
                <c:pt idx="132">
                  <c:v>5.2800000000000038</c:v>
                </c:pt>
                <c:pt idx="133">
                  <c:v>5.3200000000000038</c:v>
                </c:pt>
                <c:pt idx="134">
                  <c:v>5.3600000000000039</c:v>
                </c:pt>
                <c:pt idx="135">
                  <c:v>5.4000000000000039</c:v>
                </c:pt>
                <c:pt idx="136">
                  <c:v>5.4400000000000039</c:v>
                </c:pt>
                <c:pt idx="137">
                  <c:v>5.480000000000004</c:v>
                </c:pt>
                <c:pt idx="138">
                  <c:v>5.520000000000004</c:v>
                </c:pt>
                <c:pt idx="139">
                  <c:v>5.5600000000000041</c:v>
                </c:pt>
                <c:pt idx="140">
                  <c:v>5.6000000000000041</c:v>
                </c:pt>
                <c:pt idx="141">
                  <c:v>5.6400000000000041</c:v>
                </c:pt>
                <c:pt idx="142">
                  <c:v>5.6800000000000042</c:v>
                </c:pt>
                <c:pt idx="143">
                  <c:v>5.7200000000000042</c:v>
                </c:pt>
                <c:pt idx="144">
                  <c:v>5.7600000000000042</c:v>
                </c:pt>
                <c:pt idx="145">
                  <c:v>5.8000000000000043</c:v>
                </c:pt>
                <c:pt idx="146">
                  <c:v>5.8400000000000043</c:v>
                </c:pt>
                <c:pt idx="147">
                  <c:v>5.8800000000000043</c:v>
                </c:pt>
                <c:pt idx="148">
                  <c:v>5.9200000000000044</c:v>
                </c:pt>
                <c:pt idx="149">
                  <c:v>5.9600000000000044</c:v>
                </c:pt>
                <c:pt idx="150">
                  <c:v>6.0000000000000044</c:v>
                </c:pt>
                <c:pt idx="151">
                  <c:v>6.0400000000000045</c:v>
                </c:pt>
                <c:pt idx="152">
                  <c:v>6.0800000000000045</c:v>
                </c:pt>
                <c:pt idx="153">
                  <c:v>6.1200000000000045</c:v>
                </c:pt>
                <c:pt idx="154">
                  <c:v>6.1600000000000046</c:v>
                </c:pt>
                <c:pt idx="155">
                  <c:v>6.2000000000000046</c:v>
                </c:pt>
                <c:pt idx="156">
                  <c:v>6.2400000000000047</c:v>
                </c:pt>
                <c:pt idx="157">
                  <c:v>6.2800000000000047</c:v>
                </c:pt>
                <c:pt idx="158">
                  <c:v>6.3200000000000047</c:v>
                </c:pt>
                <c:pt idx="159">
                  <c:v>6.3600000000000048</c:v>
                </c:pt>
                <c:pt idx="160">
                  <c:v>6.4000000000000048</c:v>
                </c:pt>
                <c:pt idx="161">
                  <c:v>6.4400000000000048</c:v>
                </c:pt>
                <c:pt idx="162">
                  <c:v>6.4800000000000049</c:v>
                </c:pt>
                <c:pt idx="163">
                  <c:v>6.5200000000000049</c:v>
                </c:pt>
                <c:pt idx="164">
                  <c:v>6.5600000000000049</c:v>
                </c:pt>
                <c:pt idx="165">
                  <c:v>6.600000000000005</c:v>
                </c:pt>
                <c:pt idx="166">
                  <c:v>6.640000000000005</c:v>
                </c:pt>
                <c:pt idx="167">
                  <c:v>6.680000000000005</c:v>
                </c:pt>
                <c:pt idx="168">
                  <c:v>6.7200000000000051</c:v>
                </c:pt>
                <c:pt idx="169">
                  <c:v>6.7600000000000051</c:v>
                </c:pt>
                <c:pt idx="170">
                  <c:v>6.8000000000000052</c:v>
                </c:pt>
                <c:pt idx="171">
                  <c:v>6.8400000000000052</c:v>
                </c:pt>
                <c:pt idx="172">
                  <c:v>6.8800000000000052</c:v>
                </c:pt>
                <c:pt idx="173">
                  <c:v>6.9200000000000053</c:v>
                </c:pt>
                <c:pt idx="174">
                  <c:v>6.9600000000000053</c:v>
                </c:pt>
                <c:pt idx="175">
                  <c:v>7.0000000000000053</c:v>
                </c:pt>
                <c:pt idx="176">
                  <c:v>7.0400000000000054</c:v>
                </c:pt>
                <c:pt idx="177">
                  <c:v>7.0800000000000054</c:v>
                </c:pt>
                <c:pt idx="178">
                  <c:v>7.1200000000000054</c:v>
                </c:pt>
                <c:pt idx="179">
                  <c:v>7.1600000000000055</c:v>
                </c:pt>
                <c:pt idx="180">
                  <c:v>7.2000000000000055</c:v>
                </c:pt>
                <c:pt idx="181">
                  <c:v>7.2400000000000055</c:v>
                </c:pt>
                <c:pt idx="182">
                  <c:v>7.2800000000000056</c:v>
                </c:pt>
                <c:pt idx="183">
                  <c:v>7.3200000000000056</c:v>
                </c:pt>
                <c:pt idx="184">
                  <c:v>7.3600000000000056</c:v>
                </c:pt>
                <c:pt idx="185">
                  <c:v>7.4000000000000057</c:v>
                </c:pt>
                <c:pt idx="186">
                  <c:v>7.4400000000000057</c:v>
                </c:pt>
                <c:pt idx="187">
                  <c:v>7.4800000000000058</c:v>
                </c:pt>
                <c:pt idx="188">
                  <c:v>7.5200000000000058</c:v>
                </c:pt>
                <c:pt idx="189">
                  <c:v>7.5600000000000058</c:v>
                </c:pt>
                <c:pt idx="190">
                  <c:v>7.6000000000000059</c:v>
                </c:pt>
                <c:pt idx="191">
                  <c:v>7.6400000000000059</c:v>
                </c:pt>
                <c:pt idx="192">
                  <c:v>7.6800000000000059</c:v>
                </c:pt>
                <c:pt idx="193">
                  <c:v>7.720000000000006</c:v>
                </c:pt>
                <c:pt idx="194">
                  <c:v>7.760000000000006</c:v>
                </c:pt>
                <c:pt idx="195">
                  <c:v>7.800000000000006</c:v>
                </c:pt>
                <c:pt idx="196">
                  <c:v>7.8400000000000061</c:v>
                </c:pt>
                <c:pt idx="197">
                  <c:v>7.8800000000000061</c:v>
                </c:pt>
                <c:pt idx="198">
                  <c:v>7.9200000000000061</c:v>
                </c:pt>
                <c:pt idx="199">
                  <c:v>7.9600000000000062</c:v>
                </c:pt>
                <c:pt idx="200">
                  <c:v>8.0000000000000053</c:v>
                </c:pt>
                <c:pt idx="201">
                  <c:v>8.0400000000000045</c:v>
                </c:pt>
                <c:pt idx="202">
                  <c:v>8.0800000000000036</c:v>
                </c:pt>
                <c:pt idx="203">
                  <c:v>8.1200000000000028</c:v>
                </c:pt>
                <c:pt idx="204">
                  <c:v>8.1600000000000019</c:v>
                </c:pt>
                <c:pt idx="205">
                  <c:v>8.2000000000000011</c:v>
                </c:pt>
                <c:pt idx="206">
                  <c:v>8.24</c:v>
                </c:pt>
                <c:pt idx="207">
                  <c:v>8.2799999999999994</c:v>
                </c:pt>
                <c:pt idx="208">
                  <c:v>8.3199999999999985</c:v>
                </c:pt>
                <c:pt idx="209">
                  <c:v>8.3599999999999977</c:v>
                </c:pt>
                <c:pt idx="210">
                  <c:v>8.3999999999999968</c:v>
                </c:pt>
                <c:pt idx="211">
                  <c:v>8.4399999999999959</c:v>
                </c:pt>
                <c:pt idx="212">
                  <c:v>8.4799999999999951</c:v>
                </c:pt>
                <c:pt idx="213">
                  <c:v>8.5199999999999942</c:v>
                </c:pt>
                <c:pt idx="214">
                  <c:v>8.5599999999999934</c:v>
                </c:pt>
                <c:pt idx="215">
                  <c:v>8.5999999999999925</c:v>
                </c:pt>
                <c:pt idx="216">
                  <c:v>8.6399999999999917</c:v>
                </c:pt>
                <c:pt idx="217">
                  <c:v>8.6799999999999908</c:v>
                </c:pt>
                <c:pt idx="218">
                  <c:v>8.71999999999999</c:v>
                </c:pt>
                <c:pt idx="219">
                  <c:v>8.7599999999999891</c:v>
                </c:pt>
                <c:pt idx="220">
                  <c:v>8.7999999999999883</c:v>
                </c:pt>
                <c:pt idx="221">
                  <c:v>8.8399999999999874</c:v>
                </c:pt>
                <c:pt idx="222">
                  <c:v>8.8799999999999866</c:v>
                </c:pt>
                <c:pt idx="223">
                  <c:v>8.9199999999999857</c:v>
                </c:pt>
                <c:pt idx="224">
                  <c:v>8.9599999999999849</c:v>
                </c:pt>
                <c:pt idx="225">
                  <c:v>8.999999999999984</c:v>
                </c:pt>
                <c:pt idx="226">
                  <c:v>9.0399999999999832</c:v>
                </c:pt>
                <c:pt idx="227">
                  <c:v>9.0799999999999823</c:v>
                </c:pt>
                <c:pt idx="228">
                  <c:v>9.1199999999999815</c:v>
                </c:pt>
                <c:pt idx="229">
                  <c:v>9.1599999999999806</c:v>
                </c:pt>
                <c:pt idx="230">
                  <c:v>9.1999999999999797</c:v>
                </c:pt>
                <c:pt idx="231">
                  <c:v>9.2399999999999789</c:v>
                </c:pt>
                <c:pt idx="232">
                  <c:v>9.279999999999978</c:v>
                </c:pt>
                <c:pt idx="233">
                  <c:v>9.3199999999999772</c:v>
                </c:pt>
                <c:pt idx="234">
                  <c:v>9.3599999999999763</c:v>
                </c:pt>
                <c:pt idx="235">
                  <c:v>9.3999999999999755</c:v>
                </c:pt>
                <c:pt idx="236">
                  <c:v>9.4399999999999746</c:v>
                </c:pt>
                <c:pt idx="237">
                  <c:v>9.4799999999999738</c:v>
                </c:pt>
                <c:pt idx="238">
                  <c:v>9.5199999999999729</c:v>
                </c:pt>
                <c:pt idx="239">
                  <c:v>9.5599999999999721</c:v>
                </c:pt>
                <c:pt idx="240">
                  <c:v>9.5999999999999712</c:v>
                </c:pt>
                <c:pt idx="241">
                  <c:v>9.6399999999999704</c:v>
                </c:pt>
                <c:pt idx="242">
                  <c:v>9.6799999999999695</c:v>
                </c:pt>
                <c:pt idx="243">
                  <c:v>9.7199999999999687</c:v>
                </c:pt>
                <c:pt idx="244">
                  <c:v>9.7599999999999678</c:v>
                </c:pt>
                <c:pt idx="245">
                  <c:v>9.799999999999967</c:v>
                </c:pt>
                <c:pt idx="246">
                  <c:v>9.8399999999999661</c:v>
                </c:pt>
                <c:pt idx="247">
                  <c:v>9.8799999999999653</c:v>
                </c:pt>
                <c:pt idx="248">
                  <c:v>9.9199999999999644</c:v>
                </c:pt>
                <c:pt idx="249">
                  <c:v>9.9599999999999635</c:v>
                </c:pt>
                <c:pt idx="250">
                  <c:v>9.9999999999999627</c:v>
                </c:pt>
                <c:pt idx="251">
                  <c:v>10.039999999999962</c:v>
                </c:pt>
                <c:pt idx="252">
                  <c:v>10.079999999999961</c:v>
                </c:pt>
                <c:pt idx="253">
                  <c:v>10.11999999999996</c:v>
                </c:pt>
                <c:pt idx="254">
                  <c:v>10.159999999999959</c:v>
                </c:pt>
                <c:pt idx="255">
                  <c:v>10.199999999999958</c:v>
                </c:pt>
                <c:pt idx="256">
                  <c:v>10.239999999999958</c:v>
                </c:pt>
                <c:pt idx="257">
                  <c:v>10.279999999999957</c:v>
                </c:pt>
                <c:pt idx="258">
                  <c:v>10.319999999999956</c:v>
                </c:pt>
                <c:pt idx="259">
                  <c:v>10.359999999999955</c:v>
                </c:pt>
                <c:pt idx="260">
                  <c:v>10.399999999999954</c:v>
                </c:pt>
                <c:pt idx="261">
                  <c:v>10.439999999999953</c:v>
                </c:pt>
                <c:pt idx="262">
                  <c:v>10.479999999999952</c:v>
                </c:pt>
                <c:pt idx="263">
                  <c:v>10.519999999999952</c:v>
                </c:pt>
                <c:pt idx="264">
                  <c:v>10.559999999999951</c:v>
                </c:pt>
                <c:pt idx="265">
                  <c:v>10.59999999999995</c:v>
                </c:pt>
                <c:pt idx="266">
                  <c:v>10.639999999999949</c:v>
                </c:pt>
                <c:pt idx="267">
                  <c:v>10.679999999999948</c:v>
                </c:pt>
                <c:pt idx="268">
                  <c:v>10.719999999999947</c:v>
                </c:pt>
                <c:pt idx="269">
                  <c:v>10.759999999999946</c:v>
                </c:pt>
                <c:pt idx="270">
                  <c:v>10.799999999999946</c:v>
                </c:pt>
                <c:pt idx="271">
                  <c:v>10.839999999999945</c:v>
                </c:pt>
                <c:pt idx="272">
                  <c:v>10.879999999999944</c:v>
                </c:pt>
                <c:pt idx="273">
                  <c:v>10.919999999999943</c:v>
                </c:pt>
                <c:pt idx="274">
                  <c:v>10.959999999999942</c:v>
                </c:pt>
                <c:pt idx="275">
                  <c:v>10.999999999999941</c:v>
                </c:pt>
                <c:pt idx="276">
                  <c:v>11.039999999999941</c:v>
                </c:pt>
                <c:pt idx="277">
                  <c:v>11.07999999999994</c:v>
                </c:pt>
                <c:pt idx="278">
                  <c:v>11.119999999999939</c:v>
                </c:pt>
                <c:pt idx="279">
                  <c:v>11.159999999999938</c:v>
                </c:pt>
                <c:pt idx="280">
                  <c:v>11.199999999999937</c:v>
                </c:pt>
                <c:pt idx="281">
                  <c:v>11.239999999999936</c:v>
                </c:pt>
                <c:pt idx="282">
                  <c:v>11.279999999999935</c:v>
                </c:pt>
                <c:pt idx="283">
                  <c:v>11.319999999999935</c:v>
                </c:pt>
                <c:pt idx="284">
                  <c:v>11.359999999999934</c:v>
                </c:pt>
                <c:pt idx="285">
                  <c:v>11.399999999999933</c:v>
                </c:pt>
                <c:pt idx="286">
                  <c:v>11.439999999999932</c:v>
                </c:pt>
                <c:pt idx="287">
                  <c:v>11.479999999999931</c:v>
                </c:pt>
                <c:pt idx="288">
                  <c:v>11.51999999999993</c:v>
                </c:pt>
                <c:pt idx="289">
                  <c:v>11.559999999999929</c:v>
                </c:pt>
                <c:pt idx="290">
                  <c:v>11.599999999999929</c:v>
                </c:pt>
                <c:pt idx="291">
                  <c:v>11.639999999999928</c:v>
                </c:pt>
                <c:pt idx="292">
                  <c:v>11.679999999999927</c:v>
                </c:pt>
                <c:pt idx="293">
                  <c:v>11.719999999999926</c:v>
                </c:pt>
                <c:pt idx="294">
                  <c:v>11.759999999999925</c:v>
                </c:pt>
                <c:pt idx="295">
                  <c:v>11.799999999999924</c:v>
                </c:pt>
                <c:pt idx="296">
                  <c:v>11.839999999999923</c:v>
                </c:pt>
                <c:pt idx="297">
                  <c:v>11.879999999999923</c:v>
                </c:pt>
                <c:pt idx="298">
                  <c:v>11.919999999999922</c:v>
                </c:pt>
                <c:pt idx="299">
                  <c:v>11.959999999999921</c:v>
                </c:pt>
                <c:pt idx="300">
                  <c:v>11.99999999999992</c:v>
                </c:pt>
                <c:pt idx="301">
                  <c:v>12.039999999999919</c:v>
                </c:pt>
                <c:pt idx="302">
                  <c:v>12.079999999999918</c:v>
                </c:pt>
                <c:pt idx="303">
                  <c:v>12.119999999999918</c:v>
                </c:pt>
                <c:pt idx="304">
                  <c:v>12.159999999999917</c:v>
                </c:pt>
                <c:pt idx="305">
                  <c:v>12.199999999999916</c:v>
                </c:pt>
                <c:pt idx="306">
                  <c:v>12.239999999999915</c:v>
                </c:pt>
                <c:pt idx="307">
                  <c:v>12.279999999999914</c:v>
                </c:pt>
                <c:pt idx="308">
                  <c:v>12.319999999999913</c:v>
                </c:pt>
                <c:pt idx="309">
                  <c:v>12.359999999999912</c:v>
                </c:pt>
                <c:pt idx="310">
                  <c:v>12.399999999999912</c:v>
                </c:pt>
                <c:pt idx="311">
                  <c:v>12.439999999999911</c:v>
                </c:pt>
                <c:pt idx="312">
                  <c:v>12.47999999999991</c:v>
                </c:pt>
                <c:pt idx="313">
                  <c:v>12.519999999999909</c:v>
                </c:pt>
                <c:pt idx="314">
                  <c:v>12.559999999999908</c:v>
                </c:pt>
                <c:pt idx="315">
                  <c:v>12.599999999999907</c:v>
                </c:pt>
                <c:pt idx="316">
                  <c:v>12.639999999999906</c:v>
                </c:pt>
                <c:pt idx="317">
                  <c:v>12.679999999999906</c:v>
                </c:pt>
                <c:pt idx="318">
                  <c:v>12.719999999999905</c:v>
                </c:pt>
                <c:pt idx="319">
                  <c:v>12.759999999999904</c:v>
                </c:pt>
                <c:pt idx="320">
                  <c:v>12.799999999999903</c:v>
                </c:pt>
                <c:pt idx="321">
                  <c:v>12.839999999999902</c:v>
                </c:pt>
                <c:pt idx="322">
                  <c:v>12.879999999999901</c:v>
                </c:pt>
                <c:pt idx="323">
                  <c:v>12.9199999999999</c:v>
                </c:pt>
                <c:pt idx="324">
                  <c:v>12.9599999999999</c:v>
                </c:pt>
                <c:pt idx="325">
                  <c:v>12.999999999999899</c:v>
                </c:pt>
                <c:pt idx="326">
                  <c:v>13.039999999999898</c:v>
                </c:pt>
                <c:pt idx="327">
                  <c:v>13.079999999999897</c:v>
                </c:pt>
                <c:pt idx="328">
                  <c:v>13.119999999999896</c:v>
                </c:pt>
                <c:pt idx="329">
                  <c:v>13.159999999999895</c:v>
                </c:pt>
                <c:pt idx="330">
                  <c:v>13.199999999999894</c:v>
                </c:pt>
                <c:pt idx="331">
                  <c:v>13.239999999999894</c:v>
                </c:pt>
                <c:pt idx="332">
                  <c:v>13.279999999999893</c:v>
                </c:pt>
                <c:pt idx="333">
                  <c:v>13.319999999999892</c:v>
                </c:pt>
                <c:pt idx="334">
                  <c:v>13.359999999999891</c:v>
                </c:pt>
                <c:pt idx="335">
                  <c:v>13.39999999999989</c:v>
                </c:pt>
                <c:pt idx="336">
                  <c:v>13.439999999999889</c:v>
                </c:pt>
                <c:pt idx="337">
                  <c:v>13.479999999999889</c:v>
                </c:pt>
                <c:pt idx="338">
                  <c:v>13.519999999999888</c:v>
                </c:pt>
                <c:pt idx="339">
                  <c:v>13.559999999999887</c:v>
                </c:pt>
                <c:pt idx="340">
                  <c:v>13.599999999999886</c:v>
                </c:pt>
                <c:pt idx="341">
                  <c:v>13.639999999999885</c:v>
                </c:pt>
                <c:pt idx="342">
                  <c:v>13.679999999999884</c:v>
                </c:pt>
                <c:pt idx="343">
                  <c:v>13.719999999999883</c:v>
                </c:pt>
                <c:pt idx="344">
                  <c:v>13.759999999999883</c:v>
                </c:pt>
                <c:pt idx="345">
                  <c:v>13.799999999999882</c:v>
                </c:pt>
                <c:pt idx="346">
                  <c:v>13.839999999999881</c:v>
                </c:pt>
                <c:pt idx="347">
                  <c:v>13.87999999999988</c:v>
                </c:pt>
                <c:pt idx="348">
                  <c:v>13.919999999999879</c:v>
                </c:pt>
                <c:pt idx="349">
                  <c:v>13.959999999999878</c:v>
                </c:pt>
                <c:pt idx="350">
                  <c:v>13.999999999999877</c:v>
                </c:pt>
                <c:pt idx="351">
                  <c:v>14.039999999999877</c:v>
                </c:pt>
                <c:pt idx="352">
                  <c:v>14.079999999999876</c:v>
                </c:pt>
                <c:pt idx="353">
                  <c:v>14.119999999999875</c:v>
                </c:pt>
                <c:pt idx="354">
                  <c:v>14.159999999999874</c:v>
                </c:pt>
                <c:pt idx="355">
                  <c:v>14.199999999999873</c:v>
                </c:pt>
                <c:pt idx="356">
                  <c:v>14.239999999999872</c:v>
                </c:pt>
                <c:pt idx="357">
                  <c:v>14.279999999999871</c:v>
                </c:pt>
                <c:pt idx="358">
                  <c:v>14.319999999999871</c:v>
                </c:pt>
                <c:pt idx="359">
                  <c:v>14.35999999999987</c:v>
                </c:pt>
                <c:pt idx="360">
                  <c:v>14.399999999999869</c:v>
                </c:pt>
                <c:pt idx="361">
                  <c:v>14.439999999999868</c:v>
                </c:pt>
                <c:pt idx="362">
                  <c:v>14.479999999999867</c:v>
                </c:pt>
                <c:pt idx="363">
                  <c:v>14.519999999999866</c:v>
                </c:pt>
                <c:pt idx="364">
                  <c:v>14.559999999999865</c:v>
                </c:pt>
                <c:pt idx="365">
                  <c:v>14.599999999999865</c:v>
                </c:pt>
                <c:pt idx="366">
                  <c:v>14.639999999999864</c:v>
                </c:pt>
                <c:pt idx="367">
                  <c:v>14.679999999999863</c:v>
                </c:pt>
                <c:pt idx="368">
                  <c:v>14.719999999999862</c:v>
                </c:pt>
                <c:pt idx="369">
                  <c:v>14.759999999999861</c:v>
                </c:pt>
                <c:pt idx="370">
                  <c:v>14.79999999999986</c:v>
                </c:pt>
                <c:pt idx="371">
                  <c:v>14.83999999999986</c:v>
                </c:pt>
                <c:pt idx="372">
                  <c:v>14.879999999999859</c:v>
                </c:pt>
                <c:pt idx="373">
                  <c:v>14.919999999999858</c:v>
                </c:pt>
                <c:pt idx="374">
                  <c:v>14.959999999999857</c:v>
                </c:pt>
                <c:pt idx="375">
                  <c:v>14.999999999999856</c:v>
                </c:pt>
                <c:pt idx="376">
                  <c:v>15.039999999999855</c:v>
                </c:pt>
                <c:pt idx="377">
                  <c:v>15.079999999999854</c:v>
                </c:pt>
                <c:pt idx="378">
                  <c:v>15.119999999999854</c:v>
                </c:pt>
                <c:pt idx="379">
                  <c:v>15.159999999999853</c:v>
                </c:pt>
                <c:pt idx="380">
                  <c:v>15.199999999999852</c:v>
                </c:pt>
                <c:pt idx="381">
                  <c:v>15.239999999999851</c:v>
                </c:pt>
                <c:pt idx="382">
                  <c:v>15.27999999999985</c:v>
                </c:pt>
                <c:pt idx="383">
                  <c:v>15.319999999999849</c:v>
                </c:pt>
                <c:pt idx="384">
                  <c:v>15.359999999999848</c:v>
                </c:pt>
                <c:pt idx="385">
                  <c:v>15.399999999999848</c:v>
                </c:pt>
                <c:pt idx="386">
                  <c:v>15.439999999999847</c:v>
                </c:pt>
                <c:pt idx="387">
                  <c:v>15.479999999999846</c:v>
                </c:pt>
                <c:pt idx="388">
                  <c:v>15.519999999999845</c:v>
                </c:pt>
                <c:pt idx="389">
                  <c:v>15.559999999999844</c:v>
                </c:pt>
                <c:pt idx="390">
                  <c:v>15.599999999999843</c:v>
                </c:pt>
                <c:pt idx="391">
                  <c:v>15.639999999999842</c:v>
                </c:pt>
                <c:pt idx="392">
                  <c:v>15.679999999999842</c:v>
                </c:pt>
                <c:pt idx="393">
                  <c:v>15.719999999999841</c:v>
                </c:pt>
                <c:pt idx="394">
                  <c:v>15.75999999999984</c:v>
                </c:pt>
                <c:pt idx="395">
                  <c:v>15.799999999999839</c:v>
                </c:pt>
                <c:pt idx="396">
                  <c:v>15.839999999999838</c:v>
                </c:pt>
                <c:pt idx="397">
                  <c:v>15.879999999999837</c:v>
                </c:pt>
                <c:pt idx="398">
                  <c:v>15.919999999999837</c:v>
                </c:pt>
                <c:pt idx="399">
                  <c:v>15.959999999999836</c:v>
                </c:pt>
                <c:pt idx="400">
                  <c:v>15.999999999999835</c:v>
                </c:pt>
                <c:pt idx="401">
                  <c:v>16.039999999999836</c:v>
                </c:pt>
                <c:pt idx="402">
                  <c:v>16.079999999999835</c:v>
                </c:pt>
                <c:pt idx="403">
                  <c:v>16.119999999999834</c:v>
                </c:pt>
                <c:pt idx="404">
                  <c:v>16.159999999999833</c:v>
                </c:pt>
                <c:pt idx="405">
                  <c:v>16.199999999999832</c:v>
                </c:pt>
                <c:pt idx="406">
                  <c:v>16.239999999999831</c:v>
                </c:pt>
                <c:pt idx="407">
                  <c:v>16.279999999999831</c:v>
                </c:pt>
                <c:pt idx="408">
                  <c:v>16.31999999999983</c:v>
                </c:pt>
                <c:pt idx="409">
                  <c:v>16.359999999999829</c:v>
                </c:pt>
                <c:pt idx="410">
                  <c:v>16.399999999999828</c:v>
                </c:pt>
                <c:pt idx="411">
                  <c:v>16.439999999999827</c:v>
                </c:pt>
                <c:pt idx="412">
                  <c:v>16.479999999999826</c:v>
                </c:pt>
                <c:pt idx="413">
                  <c:v>16.519999999999825</c:v>
                </c:pt>
                <c:pt idx="414">
                  <c:v>16.559999999999825</c:v>
                </c:pt>
                <c:pt idx="415">
                  <c:v>16.599999999999824</c:v>
                </c:pt>
                <c:pt idx="416">
                  <c:v>16.639999999999823</c:v>
                </c:pt>
                <c:pt idx="417">
                  <c:v>16.679999999999822</c:v>
                </c:pt>
                <c:pt idx="418">
                  <c:v>16.719999999999821</c:v>
                </c:pt>
                <c:pt idx="419">
                  <c:v>16.75999999999982</c:v>
                </c:pt>
                <c:pt idx="420">
                  <c:v>16.79999999999982</c:v>
                </c:pt>
                <c:pt idx="421">
                  <c:v>16.839999999999819</c:v>
                </c:pt>
                <c:pt idx="422">
                  <c:v>16.879999999999818</c:v>
                </c:pt>
                <c:pt idx="423">
                  <c:v>16.919999999999817</c:v>
                </c:pt>
                <c:pt idx="424">
                  <c:v>16.959999999999816</c:v>
                </c:pt>
                <c:pt idx="425">
                  <c:v>16.999999999999815</c:v>
                </c:pt>
                <c:pt idx="426">
                  <c:v>17.039999999999814</c:v>
                </c:pt>
                <c:pt idx="427">
                  <c:v>17.079999999999814</c:v>
                </c:pt>
                <c:pt idx="428">
                  <c:v>17.119999999999813</c:v>
                </c:pt>
                <c:pt idx="429">
                  <c:v>17.159999999999812</c:v>
                </c:pt>
                <c:pt idx="430">
                  <c:v>17.199999999999811</c:v>
                </c:pt>
                <c:pt idx="431">
                  <c:v>17.23999999999981</c:v>
                </c:pt>
                <c:pt idx="432">
                  <c:v>17.279999999999809</c:v>
                </c:pt>
                <c:pt idx="433">
                  <c:v>17.319999999999808</c:v>
                </c:pt>
                <c:pt idx="434">
                  <c:v>17.359999999999808</c:v>
                </c:pt>
                <c:pt idx="435">
                  <c:v>17.399999999999807</c:v>
                </c:pt>
                <c:pt idx="436">
                  <c:v>17.439999999999806</c:v>
                </c:pt>
                <c:pt idx="437">
                  <c:v>17.479999999999805</c:v>
                </c:pt>
                <c:pt idx="438">
                  <c:v>17.519999999999804</c:v>
                </c:pt>
                <c:pt idx="439">
                  <c:v>17.559999999999803</c:v>
                </c:pt>
                <c:pt idx="440">
                  <c:v>17.599999999999802</c:v>
                </c:pt>
                <c:pt idx="441">
                  <c:v>17.639999999999802</c:v>
                </c:pt>
                <c:pt idx="442">
                  <c:v>17.679999999999801</c:v>
                </c:pt>
                <c:pt idx="443">
                  <c:v>17.7199999999998</c:v>
                </c:pt>
                <c:pt idx="444">
                  <c:v>17.759999999999799</c:v>
                </c:pt>
                <c:pt idx="445">
                  <c:v>17.799999999999798</c:v>
                </c:pt>
                <c:pt idx="446">
                  <c:v>17.839999999999797</c:v>
                </c:pt>
                <c:pt idx="447">
                  <c:v>17.879999999999797</c:v>
                </c:pt>
                <c:pt idx="448">
                  <c:v>17.919999999999796</c:v>
                </c:pt>
                <c:pt idx="449">
                  <c:v>17.959999999999795</c:v>
                </c:pt>
                <c:pt idx="450">
                  <c:v>17.999999999999794</c:v>
                </c:pt>
                <c:pt idx="451">
                  <c:v>18.039999999999793</c:v>
                </c:pt>
                <c:pt idx="452">
                  <c:v>18.079999999999792</c:v>
                </c:pt>
                <c:pt idx="453">
                  <c:v>18.119999999999791</c:v>
                </c:pt>
                <c:pt idx="454">
                  <c:v>18.159999999999791</c:v>
                </c:pt>
                <c:pt idx="455">
                  <c:v>18.19999999999979</c:v>
                </c:pt>
                <c:pt idx="456">
                  <c:v>18.239999999999789</c:v>
                </c:pt>
                <c:pt idx="457">
                  <c:v>18.279999999999788</c:v>
                </c:pt>
                <c:pt idx="458">
                  <c:v>18.319999999999787</c:v>
                </c:pt>
                <c:pt idx="459">
                  <c:v>18.359999999999786</c:v>
                </c:pt>
                <c:pt idx="460">
                  <c:v>18.399999999999785</c:v>
                </c:pt>
                <c:pt idx="461">
                  <c:v>18.439999999999785</c:v>
                </c:pt>
                <c:pt idx="462">
                  <c:v>18.479999999999784</c:v>
                </c:pt>
                <c:pt idx="463">
                  <c:v>18.519999999999783</c:v>
                </c:pt>
                <c:pt idx="464">
                  <c:v>18.559999999999782</c:v>
                </c:pt>
                <c:pt idx="465">
                  <c:v>18.599999999999781</c:v>
                </c:pt>
                <c:pt idx="466">
                  <c:v>18.63999999999978</c:v>
                </c:pt>
                <c:pt idx="467">
                  <c:v>18.679999999999779</c:v>
                </c:pt>
                <c:pt idx="468">
                  <c:v>18.719999999999779</c:v>
                </c:pt>
                <c:pt idx="469">
                  <c:v>18.759999999999778</c:v>
                </c:pt>
                <c:pt idx="470">
                  <c:v>18.799999999999777</c:v>
                </c:pt>
                <c:pt idx="471">
                  <c:v>18.839999999999776</c:v>
                </c:pt>
                <c:pt idx="472">
                  <c:v>18.879999999999775</c:v>
                </c:pt>
                <c:pt idx="473">
                  <c:v>18.919999999999774</c:v>
                </c:pt>
                <c:pt idx="474">
                  <c:v>18.959999999999773</c:v>
                </c:pt>
                <c:pt idx="475">
                  <c:v>18.999999999999773</c:v>
                </c:pt>
                <c:pt idx="476">
                  <c:v>19.039999999999772</c:v>
                </c:pt>
                <c:pt idx="477">
                  <c:v>19.079999999999771</c:v>
                </c:pt>
                <c:pt idx="478">
                  <c:v>19.11999999999977</c:v>
                </c:pt>
                <c:pt idx="479">
                  <c:v>19.159999999999769</c:v>
                </c:pt>
                <c:pt idx="480">
                  <c:v>19.199999999999768</c:v>
                </c:pt>
                <c:pt idx="481">
                  <c:v>19.239999999999768</c:v>
                </c:pt>
                <c:pt idx="482">
                  <c:v>19.279999999999767</c:v>
                </c:pt>
                <c:pt idx="483">
                  <c:v>19.319999999999766</c:v>
                </c:pt>
                <c:pt idx="484">
                  <c:v>19.359999999999765</c:v>
                </c:pt>
                <c:pt idx="485">
                  <c:v>19.399999999999764</c:v>
                </c:pt>
                <c:pt idx="486">
                  <c:v>19.439999999999763</c:v>
                </c:pt>
                <c:pt idx="487">
                  <c:v>19.479999999999762</c:v>
                </c:pt>
                <c:pt idx="488">
                  <c:v>19.519999999999762</c:v>
                </c:pt>
                <c:pt idx="489">
                  <c:v>19.559999999999761</c:v>
                </c:pt>
                <c:pt idx="490">
                  <c:v>19.59999999999976</c:v>
                </c:pt>
                <c:pt idx="491">
                  <c:v>19.639999999999759</c:v>
                </c:pt>
                <c:pt idx="492">
                  <c:v>19.679999999999758</c:v>
                </c:pt>
                <c:pt idx="493">
                  <c:v>19.719999999999757</c:v>
                </c:pt>
                <c:pt idx="494">
                  <c:v>19.759999999999756</c:v>
                </c:pt>
                <c:pt idx="495">
                  <c:v>19.799999999999756</c:v>
                </c:pt>
                <c:pt idx="496">
                  <c:v>19.839999999999755</c:v>
                </c:pt>
                <c:pt idx="497">
                  <c:v>19.879999999999754</c:v>
                </c:pt>
                <c:pt idx="498">
                  <c:v>19.919999999999753</c:v>
                </c:pt>
                <c:pt idx="499">
                  <c:v>19.959999999999752</c:v>
                </c:pt>
                <c:pt idx="500">
                  <c:v>19.999999999999751</c:v>
                </c:pt>
                <c:pt idx="501">
                  <c:v>20.03999999999975</c:v>
                </c:pt>
                <c:pt idx="502">
                  <c:v>20.07999999999975</c:v>
                </c:pt>
                <c:pt idx="503">
                  <c:v>20.119999999999749</c:v>
                </c:pt>
                <c:pt idx="504">
                  <c:v>20.159999999999748</c:v>
                </c:pt>
                <c:pt idx="505">
                  <c:v>20.199999999999747</c:v>
                </c:pt>
                <c:pt idx="506">
                  <c:v>20.239999999999746</c:v>
                </c:pt>
                <c:pt idx="507">
                  <c:v>20.279999999999745</c:v>
                </c:pt>
                <c:pt idx="508">
                  <c:v>20.319999999999744</c:v>
                </c:pt>
                <c:pt idx="509">
                  <c:v>20.359999999999744</c:v>
                </c:pt>
                <c:pt idx="510">
                  <c:v>20.399999999999743</c:v>
                </c:pt>
                <c:pt idx="511">
                  <c:v>20.439999999999742</c:v>
                </c:pt>
                <c:pt idx="512">
                  <c:v>20.479999999999741</c:v>
                </c:pt>
                <c:pt idx="513">
                  <c:v>20.51999999999974</c:v>
                </c:pt>
                <c:pt idx="514">
                  <c:v>20.559999999999739</c:v>
                </c:pt>
                <c:pt idx="515">
                  <c:v>20.599999999999739</c:v>
                </c:pt>
                <c:pt idx="516">
                  <c:v>20.639999999999738</c:v>
                </c:pt>
                <c:pt idx="517">
                  <c:v>20.679999999999737</c:v>
                </c:pt>
                <c:pt idx="518">
                  <c:v>20.719999999999736</c:v>
                </c:pt>
                <c:pt idx="519">
                  <c:v>20.759999999999735</c:v>
                </c:pt>
                <c:pt idx="520">
                  <c:v>20.799999999999734</c:v>
                </c:pt>
                <c:pt idx="521">
                  <c:v>20.839999999999733</c:v>
                </c:pt>
                <c:pt idx="522">
                  <c:v>20.879999999999733</c:v>
                </c:pt>
                <c:pt idx="523">
                  <c:v>20.919999999999732</c:v>
                </c:pt>
                <c:pt idx="524">
                  <c:v>20.959999999999731</c:v>
                </c:pt>
                <c:pt idx="525">
                  <c:v>20.99999999999973</c:v>
                </c:pt>
                <c:pt idx="526">
                  <c:v>21.039999999999729</c:v>
                </c:pt>
                <c:pt idx="527">
                  <c:v>21.079999999999728</c:v>
                </c:pt>
                <c:pt idx="528">
                  <c:v>21.119999999999727</c:v>
                </c:pt>
                <c:pt idx="529">
                  <c:v>21.159999999999727</c:v>
                </c:pt>
                <c:pt idx="530">
                  <c:v>21.199999999999726</c:v>
                </c:pt>
                <c:pt idx="531">
                  <c:v>21.239999999999725</c:v>
                </c:pt>
                <c:pt idx="532">
                  <c:v>21.279999999999724</c:v>
                </c:pt>
                <c:pt idx="533">
                  <c:v>21.319999999999723</c:v>
                </c:pt>
                <c:pt idx="534">
                  <c:v>21.359999999999722</c:v>
                </c:pt>
                <c:pt idx="535">
                  <c:v>21.399999999999721</c:v>
                </c:pt>
                <c:pt idx="536">
                  <c:v>21.439999999999721</c:v>
                </c:pt>
                <c:pt idx="537">
                  <c:v>21.47999999999972</c:v>
                </c:pt>
                <c:pt idx="538">
                  <c:v>21.519999999999719</c:v>
                </c:pt>
                <c:pt idx="539">
                  <c:v>21.559999999999718</c:v>
                </c:pt>
                <c:pt idx="540">
                  <c:v>21.599999999999717</c:v>
                </c:pt>
                <c:pt idx="541">
                  <c:v>21.639999999999716</c:v>
                </c:pt>
                <c:pt idx="542">
                  <c:v>21.679999999999715</c:v>
                </c:pt>
                <c:pt idx="543">
                  <c:v>21.719999999999715</c:v>
                </c:pt>
                <c:pt idx="544">
                  <c:v>21.759999999999714</c:v>
                </c:pt>
                <c:pt idx="545">
                  <c:v>21.799999999999713</c:v>
                </c:pt>
                <c:pt idx="546">
                  <c:v>21.839999999999712</c:v>
                </c:pt>
                <c:pt idx="547">
                  <c:v>21.879999999999711</c:v>
                </c:pt>
                <c:pt idx="548">
                  <c:v>21.91999999999971</c:v>
                </c:pt>
                <c:pt idx="549">
                  <c:v>21.95999999999971</c:v>
                </c:pt>
                <c:pt idx="550">
                  <c:v>21.999999999999709</c:v>
                </c:pt>
                <c:pt idx="551">
                  <c:v>22.039999999999708</c:v>
                </c:pt>
                <c:pt idx="552">
                  <c:v>22.079999999999707</c:v>
                </c:pt>
                <c:pt idx="553">
                  <c:v>22.119999999999706</c:v>
                </c:pt>
                <c:pt idx="554">
                  <c:v>22.159999999999705</c:v>
                </c:pt>
                <c:pt idx="555">
                  <c:v>22.199999999999704</c:v>
                </c:pt>
                <c:pt idx="556">
                  <c:v>22.239999999999704</c:v>
                </c:pt>
                <c:pt idx="557">
                  <c:v>22.279999999999703</c:v>
                </c:pt>
                <c:pt idx="558">
                  <c:v>22.319999999999702</c:v>
                </c:pt>
                <c:pt idx="559">
                  <c:v>22.359999999999701</c:v>
                </c:pt>
                <c:pt idx="560">
                  <c:v>22.3999999999997</c:v>
                </c:pt>
                <c:pt idx="561">
                  <c:v>22.439999999999699</c:v>
                </c:pt>
                <c:pt idx="562">
                  <c:v>22.479999999999698</c:v>
                </c:pt>
                <c:pt idx="563">
                  <c:v>22.519999999999698</c:v>
                </c:pt>
                <c:pt idx="564">
                  <c:v>22.559999999999697</c:v>
                </c:pt>
                <c:pt idx="565">
                  <c:v>22.599999999999696</c:v>
                </c:pt>
                <c:pt idx="566">
                  <c:v>22.639999999999695</c:v>
                </c:pt>
                <c:pt idx="567">
                  <c:v>22.679999999999694</c:v>
                </c:pt>
                <c:pt idx="568">
                  <c:v>22.719999999999693</c:v>
                </c:pt>
                <c:pt idx="569">
                  <c:v>22.759999999999692</c:v>
                </c:pt>
                <c:pt idx="570">
                  <c:v>22.799999999999692</c:v>
                </c:pt>
                <c:pt idx="571">
                  <c:v>22.839999999999691</c:v>
                </c:pt>
                <c:pt idx="572">
                  <c:v>22.87999999999969</c:v>
                </c:pt>
                <c:pt idx="573">
                  <c:v>22.919999999999689</c:v>
                </c:pt>
                <c:pt idx="574">
                  <c:v>22.959999999999688</c:v>
                </c:pt>
                <c:pt idx="575">
                  <c:v>22.999999999999687</c:v>
                </c:pt>
                <c:pt idx="576">
                  <c:v>23.039999999999687</c:v>
                </c:pt>
                <c:pt idx="577">
                  <c:v>23.079999999999686</c:v>
                </c:pt>
                <c:pt idx="578">
                  <c:v>23.119999999999685</c:v>
                </c:pt>
                <c:pt idx="579">
                  <c:v>23.159999999999684</c:v>
                </c:pt>
                <c:pt idx="580">
                  <c:v>23.199999999999683</c:v>
                </c:pt>
                <c:pt idx="581">
                  <c:v>23.239999999999682</c:v>
                </c:pt>
                <c:pt idx="582">
                  <c:v>23.279999999999681</c:v>
                </c:pt>
                <c:pt idx="583">
                  <c:v>23.319999999999681</c:v>
                </c:pt>
                <c:pt idx="584">
                  <c:v>23.35999999999968</c:v>
                </c:pt>
                <c:pt idx="585">
                  <c:v>23.399999999999679</c:v>
                </c:pt>
                <c:pt idx="586">
                  <c:v>23.439999999999678</c:v>
                </c:pt>
                <c:pt idx="587">
                  <c:v>23.479999999999677</c:v>
                </c:pt>
                <c:pt idx="588">
                  <c:v>23.519999999999676</c:v>
                </c:pt>
                <c:pt idx="589">
                  <c:v>23.559999999999675</c:v>
                </c:pt>
                <c:pt idx="590">
                  <c:v>23.599999999999675</c:v>
                </c:pt>
                <c:pt idx="591">
                  <c:v>23.639999999999674</c:v>
                </c:pt>
                <c:pt idx="592">
                  <c:v>23.679999999999673</c:v>
                </c:pt>
                <c:pt idx="593">
                  <c:v>23.719999999999672</c:v>
                </c:pt>
                <c:pt idx="594">
                  <c:v>23.759999999999671</c:v>
                </c:pt>
                <c:pt idx="595">
                  <c:v>23.79999999999967</c:v>
                </c:pt>
                <c:pt idx="596">
                  <c:v>23.839999999999669</c:v>
                </c:pt>
                <c:pt idx="597">
                  <c:v>23.879999999999669</c:v>
                </c:pt>
                <c:pt idx="598">
                  <c:v>23.919999999999668</c:v>
                </c:pt>
                <c:pt idx="599">
                  <c:v>23.959999999999667</c:v>
                </c:pt>
                <c:pt idx="600">
                  <c:v>23.999999999999666</c:v>
                </c:pt>
                <c:pt idx="601">
                  <c:v>24.039999999999665</c:v>
                </c:pt>
                <c:pt idx="602">
                  <c:v>24.079999999999664</c:v>
                </c:pt>
                <c:pt idx="603">
                  <c:v>24.119999999999663</c:v>
                </c:pt>
                <c:pt idx="604">
                  <c:v>24.159999999999663</c:v>
                </c:pt>
                <c:pt idx="605">
                  <c:v>24.199999999999662</c:v>
                </c:pt>
                <c:pt idx="606">
                  <c:v>24.239999999999661</c:v>
                </c:pt>
                <c:pt idx="607">
                  <c:v>24.27999999999966</c:v>
                </c:pt>
                <c:pt idx="608">
                  <c:v>24.319999999999659</c:v>
                </c:pt>
                <c:pt idx="609">
                  <c:v>24.359999999999658</c:v>
                </c:pt>
                <c:pt idx="610">
                  <c:v>24.399999999999658</c:v>
                </c:pt>
                <c:pt idx="611">
                  <c:v>24.439999999999657</c:v>
                </c:pt>
                <c:pt idx="612">
                  <c:v>24.479999999999656</c:v>
                </c:pt>
                <c:pt idx="613">
                  <c:v>24.519999999999655</c:v>
                </c:pt>
                <c:pt idx="614">
                  <c:v>24.559999999999654</c:v>
                </c:pt>
                <c:pt idx="615">
                  <c:v>24.599999999999653</c:v>
                </c:pt>
                <c:pt idx="616">
                  <c:v>24.639999999999652</c:v>
                </c:pt>
                <c:pt idx="617">
                  <c:v>24.679999999999652</c:v>
                </c:pt>
                <c:pt idx="618">
                  <c:v>24.719999999999651</c:v>
                </c:pt>
                <c:pt idx="619">
                  <c:v>24.75999999999965</c:v>
                </c:pt>
                <c:pt idx="620">
                  <c:v>24.799999999999649</c:v>
                </c:pt>
                <c:pt idx="621">
                  <c:v>24.839999999999648</c:v>
                </c:pt>
                <c:pt idx="622">
                  <c:v>24.879999999999647</c:v>
                </c:pt>
                <c:pt idx="623">
                  <c:v>24.919999999999646</c:v>
                </c:pt>
                <c:pt idx="624">
                  <c:v>24.959999999999646</c:v>
                </c:pt>
                <c:pt idx="625">
                  <c:v>24.999999999999645</c:v>
                </c:pt>
                <c:pt idx="626">
                  <c:v>25.039999999999644</c:v>
                </c:pt>
                <c:pt idx="627">
                  <c:v>25.079999999999643</c:v>
                </c:pt>
                <c:pt idx="628">
                  <c:v>25.119999999999642</c:v>
                </c:pt>
                <c:pt idx="629">
                  <c:v>25.159999999999641</c:v>
                </c:pt>
                <c:pt idx="630">
                  <c:v>25.19999999999964</c:v>
                </c:pt>
                <c:pt idx="631">
                  <c:v>25.23999999999964</c:v>
                </c:pt>
                <c:pt idx="632">
                  <c:v>25.279999999999639</c:v>
                </c:pt>
                <c:pt idx="633">
                  <c:v>25.319999999999638</c:v>
                </c:pt>
                <c:pt idx="634">
                  <c:v>25.359999999999637</c:v>
                </c:pt>
                <c:pt idx="635">
                  <c:v>25.399999999999636</c:v>
                </c:pt>
                <c:pt idx="636">
                  <c:v>25.439999999999635</c:v>
                </c:pt>
                <c:pt idx="637">
                  <c:v>25.479999999999634</c:v>
                </c:pt>
                <c:pt idx="638">
                  <c:v>25.519999999999634</c:v>
                </c:pt>
                <c:pt idx="639">
                  <c:v>25.559999999999633</c:v>
                </c:pt>
                <c:pt idx="640">
                  <c:v>25.599999999999632</c:v>
                </c:pt>
                <c:pt idx="641">
                  <c:v>25.639999999999631</c:v>
                </c:pt>
                <c:pt idx="642">
                  <c:v>25.67999999999963</c:v>
                </c:pt>
                <c:pt idx="643">
                  <c:v>25.719999999999629</c:v>
                </c:pt>
                <c:pt idx="644">
                  <c:v>25.759999999999629</c:v>
                </c:pt>
                <c:pt idx="645">
                  <c:v>25.799999999999628</c:v>
                </c:pt>
                <c:pt idx="646">
                  <c:v>25.839999999999627</c:v>
                </c:pt>
                <c:pt idx="647">
                  <c:v>25.879999999999626</c:v>
                </c:pt>
                <c:pt idx="648">
                  <c:v>25.919999999999625</c:v>
                </c:pt>
                <c:pt idx="649">
                  <c:v>25.959999999999624</c:v>
                </c:pt>
                <c:pt idx="650">
                  <c:v>25.999999999999623</c:v>
                </c:pt>
                <c:pt idx="651">
                  <c:v>26.039999999999623</c:v>
                </c:pt>
                <c:pt idx="652">
                  <c:v>26.079999999999622</c:v>
                </c:pt>
                <c:pt idx="653">
                  <c:v>26.119999999999621</c:v>
                </c:pt>
                <c:pt idx="654">
                  <c:v>26.15999999999962</c:v>
                </c:pt>
                <c:pt idx="655">
                  <c:v>26.199999999999619</c:v>
                </c:pt>
                <c:pt idx="656">
                  <c:v>26.239999999999618</c:v>
                </c:pt>
                <c:pt idx="657">
                  <c:v>26.279999999999617</c:v>
                </c:pt>
                <c:pt idx="658">
                  <c:v>26.319999999999617</c:v>
                </c:pt>
                <c:pt idx="659">
                  <c:v>26.359999999999616</c:v>
                </c:pt>
                <c:pt idx="660">
                  <c:v>26.399999999999615</c:v>
                </c:pt>
                <c:pt idx="661">
                  <c:v>26.439999999999614</c:v>
                </c:pt>
                <c:pt idx="662">
                  <c:v>26.479999999999613</c:v>
                </c:pt>
                <c:pt idx="663">
                  <c:v>26.519999999999612</c:v>
                </c:pt>
                <c:pt idx="664">
                  <c:v>26.559999999999611</c:v>
                </c:pt>
                <c:pt idx="665">
                  <c:v>26.599999999999611</c:v>
                </c:pt>
                <c:pt idx="666">
                  <c:v>26.63999999999961</c:v>
                </c:pt>
                <c:pt idx="667">
                  <c:v>26.679999999999609</c:v>
                </c:pt>
                <c:pt idx="668">
                  <c:v>26.719999999999608</c:v>
                </c:pt>
                <c:pt idx="669">
                  <c:v>26.759999999999607</c:v>
                </c:pt>
                <c:pt idx="670">
                  <c:v>26.799999999999606</c:v>
                </c:pt>
                <c:pt idx="671">
                  <c:v>26.839999999999606</c:v>
                </c:pt>
                <c:pt idx="672">
                  <c:v>26.879999999999605</c:v>
                </c:pt>
                <c:pt idx="673">
                  <c:v>26.919999999999604</c:v>
                </c:pt>
                <c:pt idx="674">
                  <c:v>26.959999999999603</c:v>
                </c:pt>
                <c:pt idx="675">
                  <c:v>26.999999999999602</c:v>
                </c:pt>
                <c:pt idx="676">
                  <c:v>27.039999999999601</c:v>
                </c:pt>
                <c:pt idx="677">
                  <c:v>27.0799999999996</c:v>
                </c:pt>
                <c:pt idx="678">
                  <c:v>27.1199999999996</c:v>
                </c:pt>
                <c:pt idx="679">
                  <c:v>27.159999999999599</c:v>
                </c:pt>
                <c:pt idx="680">
                  <c:v>27.199999999999598</c:v>
                </c:pt>
                <c:pt idx="681">
                  <c:v>27.239999999999597</c:v>
                </c:pt>
                <c:pt idx="682">
                  <c:v>27.279999999999596</c:v>
                </c:pt>
                <c:pt idx="683">
                  <c:v>27.319999999999595</c:v>
                </c:pt>
                <c:pt idx="684">
                  <c:v>27.359999999999594</c:v>
                </c:pt>
                <c:pt idx="685">
                  <c:v>27.399999999999594</c:v>
                </c:pt>
                <c:pt idx="686">
                  <c:v>27.439999999999593</c:v>
                </c:pt>
                <c:pt idx="687">
                  <c:v>27.479999999999592</c:v>
                </c:pt>
                <c:pt idx="688">
                  <c:v>27.519999999999591</c:v>
                </c:pt>
                <c:pt idx="689">
                  <c:v>27.55999999999959</c:v>
                </c:pt>
                <c:pt idx="690">
                  <c:v>27.599999999999589</c:v>
                </c:pt>
                <c:pt idx="691">
                  <c:v>27.639999999999588</c:v>
                </c:pt>
                <c:pt idx="692">
                  <c:v>27.679999999999588</c:v>
                </c:pt>
                <c:pt idx="693">
                  <c:v>27.719999999999587</c:v>
                </c:pt>
                <c:pt idx="694">
                  <c:v>27.759999999999586</c:v>
                </c:pt>
                <c:pt idx="695">
                  <c:v>27.799999999999585</c:v>
                </c:pt>
                <c:pt idx="696">
                  <c:v>27.839999999999584</c:v>
                </c:pt>
                <c:pt idx="697">
                  <c:v>27.879999999999583</c:v>
                </c:pt>
                <c:pt idx="698">
                  <c:v>27.919999999999582</c:v>
                </c:pt>
                <c:pt idx="699">
                  <c:v>27.959999999999582</c:v>
                </c:pt>
                <c:pt idx="700">
                  <c:v>27.999999999999581</c:v>
                </c:pt>
                <c:pt idx="701">
                  <c:v>28.03999999999958</c:v>
                </c:pt>
                <c:pt idx="702">
                  <c:v>28.079999999999579</c:v>
                </c:pt>
                <c:pt idx="703">
                  <c:v>28.119999999999578</c:v>
                </c:pt>
                <c:pt idx="704">
                  <c:v>28.159999999999577</c:v>
                </c:pt>
                <c:pt idx="705">
                  <c:v>28.199999999999577</c:v>
                </c:pt>
                <c:pt idx="706">
                  <c:v>28.239999999999576</c:v>
                </c:pt>
                <c:pt idx="707">
                  <c:v>28.279999999999575</c:v>
                </c:pt>
                <c:pt idx="708">
                  <c:v>28.319999999999574</c:v>
                </c:pt>
                <c:pt idx="709">
                  <c:v>28.359999999999573</c:v>
                </c:pt>
                <c:pt idx="710">
                  <c:v>28.399999999999572</c:v>
                </c:pt>
                <c:pt idx="711">
                  <c:v>28.439999999999571</c:v>
                </c:pt>
                <c:pt idx="712">
                  <c:v>28.479999999999571</c:v>
                </c:pt>
                <c:pt idx="713">
                  <c:v>28.51999999999957</c:v>
                </c:pt>
                <c:pt idx="714">
                  <c:v>28.559999999999569</c:v>
                </c:pt>
                <c:pt idx="715">
                  <c:v>28.599999999999568</c:v>
                </c:pt>
              </c:numCache>
            </c:numRef>
          </c:cat>
          <c:val>
            <c:numRef>
              <c:f>Calculations!$B$27:$AAO$27</c:f>
              <c:numCache>
                <c:formatCode>General</c:formatCode>
                <c:ptCount val="716"/>
                <c:pt idx="0">
                  <c:v>31.601649693873707</c:v>
                </c:pt>
                <c:pt idx="1">
                  <c:v>31.601649693873707</c:v>
                </c:pt>
                <c:pt idx="2">
                  <c:v>31.601649693873707</c:v>
                </c:pt>
                <c:pt idx="3">
                  <c:v>31.602884026482968</c:v>
                </c:pt>
                <c:pt idx="4">
                  <c:v>31.606556932349491</c:v>
                </c:pt>
                <c:pt idx="5">
                  <c:v>31.613555740390151</c:v>
                </c:pt>
                <c:pt idx="6">
                  <c:v>31.62445762755484</c:v>
                </c:pt>
                <c:pt idx="7">
                  <c:v>31.639603133966734</c:v>
                </c:pt>
                <c:pt idx="8">
                  <c:v>31.659168443947941</c:v>
                </c:pt>
                <c:pt idx="9">
                  <c:v>31.683220964387502</c:v>
                </c:pt>
                <c:pt idx="10">
                  <c:v>31.711758424531567</c:v>
                </c:pt>
                <c:pt idx="11">
                  <c:v>31.744735280132506</c:v>
                </c:pt>
                <c:pt idx="12">
                  <c:v>31.782080155717775</c:v>
                </c:pt>
                <c:pt idx="13">
                  <c:v>31.823707197872743</c:v>
                </c:pt>
                <c:pt idx="14">
                  <c:v>31.869523365880418</c:v>
                </c:pt>
                <c:pt idx="15">
                  <c:v>31.919433037110572</c:v>
                </c:pt>
                <c:pt idx="16">
                  <c:v>31.973340848277996</c:v>
                </c:pt>
                <c:pt idx="17">
                  <c:v>32.031153384256605</c:v>
                </c:pt>
                <c:pt idx="18">
                  <c:v>32.092780119448392</c:v>
                </c:pt>
                <c:pt idx="19">
                  <c:v>32.158133879424689</c:v>
                </c:pt>
                <c:pt idx="20">
                  <c:v>32.227130999497383</c:v>
                </c:pt>
                <c:pt idx="21">
                  <c:v>32.299691296457823</c:v>
                </c:pt>
                <c:pt idx="22">
                  <c:v>32.375737929606409</c:v>
                </c:pt>
                <c:pt idx="23">
                  <c:v>32.455197200558239</c:v>
                </c:pt>
                <c:pt idx="24">
                  <c:v>32.537998323633758</c:v>
                </c:pt>
                <c:pt idx="25">
                  <c:v>32.624073186936272</c:v>
                </c:pt>
                <c:pt idx="26">
                  <c:v>32.713356116491276</c:v>
                </c:pt>
                <c:pt idx="27">
                  <c:v>32.805783650750641</c:v>
                </c:pt>
                <c:pt idx="28">
                  <c:v>32.901294329463127</c:v>
                </c:pt>
                <c:pt idx="29">
                  <c:v>32.999828498789469</c:v>
                </c:pt>
                <c:pt idx="30">
                  <c:v>33.101328133199644</c:v>
                </c:pt>
                <c:pt idx="31">
                  <c:v>33.205736673866788</c:v>
                </c:pt>
                <c:pt idx="32">
                  <c:v>33.31299888278884</c:v>
                </c:pt>
                <c:pt idx="33">
                  <c:v>33.42306071160727</c:v>
                </c:pt>
                <c:pt idx="34">
                  <c:v>33.535869183972743</c:v>
                </c:pt>
                <c:pt idx="35">
                  <c:v>33.651372290277671</c:v>
                </c:pt>
                <c:pt idx="36">
                  <c:v>33.769518893601031</c:v>
                </c:pt>
                <c:pt idx="37">
                  <c:v>33.890258645767766</c:v>
                </c:pt>
                <c:pt idx="38">
                  <c:v>34.013541912499669</c:v>
                </c:pt>
                <c:pt idx="39">
                  <c:v>34.139319706716464</c:v>
                </c:pt>
                <c:pt idx="40">
                  <c:v>34.267543629129349</c:v>
                </c:pt>
                <c:pt idx="41">
                  <c:v>34.398165815350609</c:v>
                </c:pt>
                <c:pt idx="42">
                  <c:v>34.531138888820024</c:v>
                </c:pt>
                <c:pt idx="43">
                  <c:v>34.666415918920563</c:v>
                </c:pt>
                <c:pt idx="44">
                  <c:v>34.803950383721663</c:v>
                </c:pt>
                <c:pt idx="45">
                  <c:v>34.943696136848402</c:v>
                </c:pt>
                <c:pt idx="46">
                  <c:v>35.085607378029096</c:v>
                </c:pt>
                <c:pt idx="47">
                  <c:v>35.229638626922444</c:v>
                </c:pt>
                <c:pt idx="48">
                  <c:v>35.375744699869273</c:v>
                </c:pt>
                <c:pt idx="49">
                  <c:v>35.523880689252742</c:v>
                </c:pt>
                <c:pt idx="50">
                  <c:v>35.674001945185985</c:v>
                </c:pt>
                <c:pt idx="51">
                  <c:v>35.826064059276938</c:v>
                </c:pt>
                <c:pt idx="52">
                  <c:v>35.980022850248027</c:v>
                </c:pt>
                <c:pt idx="53">
                  <c:v>36.135834351212679</c:v>
                </c:pt>
                <c:pt idx="54">
                  <c:v>36.293454798432698</c:v>
                </c:pt>
                <c:pt idx="55">
                  <c:v>36.452840621399766</c:v>
                </c:pt>
                <c:pt idx="56">
                  <c:v>36.613948434101673</c:v>
                </c:pt>
                <c:pt idx="57">
                  <c:v>36.776735027349197</c:v>
                </c:pt>
                <c:pt idx="58">
                  <c:v>36.941157362052998</c:v>
                </c:pt>
                <c:pt idx="59">
                  <c:v>37.107172563352151</c:v>
                </c:pt>
                <c:pt idx="60">
                  <c:v>37.274737915506577</c:v>
                </c:pt>
                <c:pt idx="61">
                  <c:v>37.443810857475064</c:v>
                </c:pt>
                <c:pt idx="62">
                  <c:v>37.614348979109231</c:v>
                </c:pt>
                <c:pt idx="63">
                  <c:v>37.786310017901151</c:v>
                </c:pt>
                <c:pt idx="64">
                  <c:v>37.959651856229009</c:v>
                </c:pt>
                <c:pt idx="65">
                  <c:v>38.134332519051291</c:v>
                </c:pt>
                <c:pt idx="66">
                  <c:v>38.31031017200506</c:v>
                </c:pt>
                <c:pt idx="67">
                  <c:v>38.487543119868739</c:v>
                </c:pt>
                <c:pt idx="68">
                  <c:v>38.66598980535391</c:v>
                </c:pt>
                <c:pt idx="69">
                  <c:v>38.845608808194392</c:v>
                </c:pt>
                <c:pt idx="70">
                  <c:v>39.026358844504152</c:v>
                </c:pt>
                <c:pt idx="71">
                  <c:v>39.208198766378565</c:v>
                </c:pt>
                <c:pt idx="72">
                  <c:v>39.391087561716219</c:v>
                </c:pt>
                <c:pt idx="73">
                  <c:v>39.574984354240641</c:v>
                </c:pt>
                <c:pt idx="74">
                  <c:v>39.7598484037036</c:v>
                </c:pt>
                <c:pt idx="75">
                  <c:v>39.945639106253402</c:v>
                </c:pt>
                <c:pt idx="76">
                  <c:v>40.132315994953224</c:v>
                </c:pt>
                <c:pt idx="77">
                  <c:v>40.319838740436111</c:v>
                </c:pt>
                <c:pt idx="78">
                  <c:v>40.508167151684532</c:v>
                </c:pt>
                <c:pt idx="79">
                  <c:v>40.69726117692349</c:v>
                </c:pt>
                <c:pt idx="80">
                  <c:v>40.887080904617434</c:v>
                </c:pt>
                <c:pt idx="81">
                  <c:v>41.077586564561976</c:v>
                </c:pt>
                <c:pt idx="82">
                  <c:v>41.268738529062375</c:v>
                </c:pt>
                <c:pt idx="83">
                  <c:v>41.460497314191414</c:v>
                </c:pt>
                <c:pt idx="84">
                  <c:v>41.65282358112011</c:v>
                </c:pt>
                <c:pt idx="85">
                  <c:v>41.845678137515122</c:v>
                </c:pt>
                <c:pt idx="86">
                  <c:v>42.039021938997436</c:v>
                </c:pt>
                <c:pt idx="87">
                  <c:v>42.23281609065728</c:v>
                </c:pt>
                <c:pt idx="88">
                  <c:v>42.427021848620711</c:v>
                </c:pt>
                <c:pt idx="89">
                  <c:v>42.621600621663703</c:v>
                </c:pt>
                <c:pt idx="90">
                  <c:v>42.816513972869892</c:v>
                </c:pt>
                <c:pt idx="91">
                  <c:v>43.011723621328493</c:v>
                </c:pt>
                <c:pt idx="92">
                  <c:v>43.207191443869114</c:v>
                </c:pt>
                <c:pt idx="93">
                  <c:v>43.402879476830591</c:v>
                </c:pt>
                <c:pt idx="94">
                  <c:v>43.598749917860999</c:v>
                </c:pt>
                <c:pt idx="95">
                  <c:v>43.794765127746388</c:v>
                </c:pt>
                <c:pt idx="96">
                  <c:v>43.990887632265881</c:v>
                </c:pt>
                <c:pt idx="97">
                  <c:v>44.187080124070981</c:v>
                </c:pt>
                <c:pt idx="98">
                  <c:v>44.383305464586975</c:v>
                </c:pt>
                <c:pt idx="99">
                  <c:v>44.579526685934709</c:v>
                </c:pt>
                <c:pt idx="100">
                  <c:v>44.775706992870866</c:v>
                </c:pt>
                <c:pt idx="101">
                  <c:v>44.971809764745117</c:v>
                </c:pt>
                <c:pt idx="102">
                  <c:v>45.167798557472672</c:v>
                </c:pt>
                <c:pt idx="103">
                  <c:v>45.363637105520688</c:v>
                </c:pt>
                <c:pt idx="104">
                  <c:v>45.559289323907286</c:v>
                </c:pt>
                <c:pt idx="105">
                  <c:v>45.754719310211776</c:v>
                </c:pt>
                <c:pt idx="106">
                  <c:v>45.94989134659496</c:v>
                </c:pt>
                <c:pt idx="107">
                  <c:v>46.144769901828347</c:v>
                </c:pt>
                <c:pt idx="108">
                  <c:v>46.339319633331151</c:v>
                </c:pt>
                <c:pt idx="109">
                  <c:v>46.533505389214064</c:v>
                </c:pt>
                <c:pt idx="110">
                  <c:v>46.727292210328827</c:v>
                </c:pt>
                <c:pt idx="111">
                  <c:v>46.920645332322628</c:v>
                </c:pt>
                <c:pt idx="112">
                  <c:v>47.113530187696419</c:v>
                </c:pt>
                <c:pt idx="113">
                  <c:v>47.305912407866288</c:v>
                </c:pt>
                <c:pt idx="114">
                  <c:v>47.49775782522709</c:v>
                </c:pt>
                <c:pt idx="115">
                  <c:v>47.689032475217481</c:v>
                </c:pt>
                <c:pt idx="116">
                  <c:v>47.879702598385613</c:v>
                </c:pt>
                <c:pt idx="117">
                  <c:v>48.06973464245474</c:v>
                </c:pt>
                <c:pt idx="118">
                  <c:v>48.259095264388023</c:v>
                </c:pt>
                <c:pt idx="119">
                  <c:v>48.447751332451794</c:v>
                </c:pt>
                <c:pt idx="120">
                  <c:v>48.635669928276698</c:v>
                </c:pt>
                <c:pt idx="121">
                  <c:v>48.822818348915924</c:v>
                </c:pt>
                <c:pt idx="122">
                  <c:v>49.00916410890003</c:v>
                </c:pt>
                <c:pt idx="123">
                  <c:v>49.194674942287627</c:v>
                </c:pt>
                <c:pt idx="124">
                  <c:v>49.379318804711367</c:v>
                </c:pt>
                <c:pt idx="125">
                  <c:v>49.563063875418685</c:v>
                </c:pt>
                <c:pt idx="126">
                  <c:v>49.745878559306639</c:v>
                </c:pt>
                <c:pt idx="127">
                  <c:v>49.927731488950343</c:v>
                </c:pt>
                <c:pt idx="128">
                  <c:v>50.108591526624458</c:v>
                </c:pt>
                <c:pt idx="129">
                  <c:v>50.288427766317128</c:v>
                </c:pt>
                <c:pt idx="130">
                  <c:v>50.467209535735954</c:v>
                </c:pt>
                <c:pt idx="131">
                  <c:v>50.644906398305366</c:v>
                </c:pt>
                <c:pt idx="132">
                  <c:v>50.821488155154988</c:v>
                </c:pt>
                <c:pt idx="133">
                  <c:v>50.996924847098484</c:v>
                </c:pt>
                <c:pt idx="134">
                  <c:v>51.171186756602324</c:v>
                </c:pt>
                <c:pt idx="135">
                  <c:v>51.344244409744107</c:v>
                </c:pt>
                <c:pt idx="136">
                  <c:v>51.51606857815991</c:v>
                </c:pt>
                <c:pt idx="137">
                  <c:v>51.686630280980197</c:v>
                </c:pt>
                <c:pt idx="138">
                  <c:v>51.855900786753878</c:v>
                </c:pt>
                <c:pt idx="139">
                  <c:v>52.023851615360051</c:v>
                </c:pt>
                <c:pt idx="140">
                  <c:v>52.19045453990698</c:v>
                </c:pt>
                <c:pt idx="141">
                  <c:v>52.355681588617927</c:v>
                </c:pt>
                <c:pt idx="142">
                  <c:v>52.51950504670333</c:v>
                </c:pt>
                <c:pt idx="143">
                  <c:v>52.681897458219034</c:v>
                </c:pt>
                <c:pt idx="144">
                  <c:v>52.842831627910051</c:v>
                </c:pt>
                <c:pt idx="145">
                  <c:v>53.002280623039503</c:v>
                </c:pt>
                <c:pt idx="146">
                  <c:v>53.160217775202355</c:v>
                </c:pt>
                <c:pt idx="147">
                  <c:v>53.316616682123531</c:v>
                </c:pt>
                <c:pt idx="148">
                  <c:v>53.471451209440048</c:v>
                </c:pt>
                <c:pt idx="149">
                  <c:v>53.624695492466742</c:v>
                </c:pt>
                <c:pt idx="150">
                  <c:v>53.776323937945286</c:v>
                </c:pt>
                <c:pt idx="151">
                  <c:v>53.926311225776082</c:v>
                </c:pt>
                <c:pt idx="152">
                  <c:v>54.074632310732653</c:v>
                </c:pt>
                <c:pt idx="153">
                  <c:v>54.221262424158255</c:v>
                </c:pt>
                <c:pt idx="154">
                  <c:v>54.366177075644238</c:v>
                </c:pt>
                <c:pt idx="155">
                  <c:v>54.50935205468997</c:v>
                </c:pt>
                <c:pt idx="156">
                  <c:v>54.650763432343794</c:v>
                </c:pt>
                <c:pt idx="157">
                  <c:v>54.790387562824819</c:v>
                </c:pt>
                <c:pt idx="158">
                  <c:v>54.928201085125231</c:v>
                </c:pt>
                <c:pt idx="159">
                  <c:v>55.064180924592634</c:v>
                </c:pt>
                <c:pt idx="160">
                  <c:v>55.198304294492296</c:v>
                </c:pt>
                <c:pt idx="161">
                  <c:v>55.330548697548863</c:v>
                </c:pt>
                <c:pt idx="162">
                  <c:v>55.460891927467252</c:v>
                </c:pt>
                <c:pt idx="163">
                  <c:v>55.589312070432456</c:v>
                </c:pt>
                <c:pt idx="164">
                  <c:v>55.715787506587894</c:v>
                </c:pt>
                <c:pt idx="165">
                  <c:v>55.840296911492089</c:v>
                </c:pt>
                <c:pt idx="166">
                  <c:v>55.962819257553285</c:v>
                </c:pt>
                <c:pt idx="167">
                  <c:v>56.083333815441826</c:v>
                </c:pt>
                <c:pt idx="168">
                  <c:v>56.201820155479894</c:v>
                </c:pt>
                <c:pt idx="169">
                  <c:v>56.31825814900845</c:v>
                </c:pt>
                <c:pt idx="170">
                  <c:v>56.43262796973098</c:v>
                </c:pt>
                <c:pt idx="171">
                  <c:v>56.544910095033899</c:v>
                </c:pt>
                <c:pt idx="172">
                  <c:v>56.65508530728323</c:v>
                </c:pt>
                <c:pt idx="173">
                  <c:v>56.76313469509742</c:v>
                </c:pt>
                <c:pt idx="174">
                  <c:v>56.869039654595888</c:v>
                </c:pt>
                <c:pt idx="175">
                  <c:v>56.972781890623232</c:v>
                </c:pt>
                <c:pt idx="176">
                  <c:v>57.074343417948647</c:v>
                </c:pt>
                <c:pt idx="177">
                  <c:v>57.173706562440522</c:v>
                </c:pt>
                <c:pt idx="178">
                  <c:v>57.270853962215796</c:v>
                </c:pt>
                <c:pt idx="179">
                  <c:v>57.365768568763954</c:v>
                </c:pt>
                <c:pt idx="180">
                  <c:v>57.45843364804535</c:v>
                </c:pt>
                <c:pt idx="181">
                  <c:v>57.548832781563746</c:v>
                </c:pt>
                <c:pt idx="182">
                  <c:v>57.636949867412717</c:v>
                </c:pt>
                <c:pt idx="183">
                  <c:v>57.722769121295762</c:v>
                </c:pt>
                <c:pt idx="184">
                  <c:v>57.806275077519956</c:v>
                </c:pt>
                <c:pt idx="185">
                  <c:v>57.887452589962855</c:v>
                </c:pt>
                <c:pt idx="186">
                  <c:v>57.966286833012497</c:v>
                </c:pt>
                <c:pt idx="187">
                  <c:v>58.042763302480267</c:v>
                </c:pt>
                <c:pt idx="188">
                  <c:v>58.11686781648649</c:v>
                </c:pt>
                <c:pt idx="189">
                  <c:v>58.188586516318473</c:v>
                </c:pt>
                <c:pt idx="190">
                  <c:v>58.257905867260924</c:v>
                </c:pt>
                <c:pt idx="191">
                  <c:v>58.32481265939844</c:v>
                </c:pt>
                <c:pt idx="192">
                  <c:v>58.38929400838996</c:v>
                </c:pt>
                <c:pt idx="193">
                  <c:v>58.451337356215056</c:v>
                </c:pt>
                <c:pt idx="194">
                  <c:v>58.510930471891733</c:v>
                </c:pt>
                <c:pt idx="195">
                  <c:v>58.568061452165772</c:v>
                </c:pt>
                <c:pt idx="196">
                  <c:v>58.622718722171292</c:v>
                </c:pt>
                <c:pt idx="197">
                  <c:v>58.674891036062469</c:v>
                </c:pt>
                <c:pt idx="198">
                  <c:v>58.724567477616233</c:v>
                </c:pt>
                <c:pt idx="199">
                  <c:v>58.771737460805774</c:v>
                </c:pt>
                <c:pt idx="200">
                  <c:v>58.81639073034475</c:v>
                </c:pt>
                <c:pt idx="201">
                  <c:v>58.858517362202051</c:v>
                </c:pt>
                <c:pt idx="202">
                  <c:v>58.898107764086937</c:v>
                </c:pt>
                <c:pt idx="203">
                  <c:v>58.935152675904511</c:v>
                </c:pt>
                <c:pt idx="204">
                  <c:v>58.969643170181278</c:v>
                </c:pt>
                <c:pt idx="205">
                  <c:v>59.001570652460806</c:v>
                </c:pt>
                <c:pt idx="206">
                  <c:v>59.030926861669251</c:v>
                </c:pt>
                <c:pt idx="207">
                  <c:v>59.057703870450695</c:v>
                </c:pt>
                <c:pt idx="208">
                  <c:v>59.081894085472207</c:v>
                </c:pt>
                <c:pt idx="209">
                  <c:v>59.103490247698439</c:v>
                </c:pt>
                <c:pt idx="210">
                  <c:v>59.122485432635727</c:v>
                </c:pt>
                <c:pt idx="211">
                  <c:v>59.138873050545619</c:v>
                </c:pt>
                <c:pt idx="212">
                  <c:v>59.152646846627633</c:v>
                </c:pt>
                <c:pt idx="213">
                  <c:v>59.163800901171271</c:v>
                </c:pt>
                <c:pt idx="214">
                  <c:v>59.17232962967713</c:v>
                </c:pt>
                <c:pt idx="215">
                  <c:v>59.17822778294709</c:v>
                </c:pt>
                <c:pt idx="216">
                  <c:v>59.181490447143418</c:v>
                </c:pt>
                <c:pt idx="217">
                  <c:v>59.182113043816834</c:v>
                </c:pt>
                <c:pt idx="218">
                  <c:v>59.180091329903355</c:v>
                </c:pt>
                <c:pt idx="219">
                  <c:v>59.175421397689924</c:v>
                </c:pt>
                <c:pt idx="220">
                  <c:v>59.16809967474876</c:v>
                </c:pt>
                <c:pt idx="221">
                  <c:v>59.158122923840352</c:v>
                </c:pt>
                <c:pt idx="222">
                  <c:v>59.145488242785042</c:v>
                </c:pt>
                <c:pt idx="223">
                  <c:v>59.130193064303207</c:v>
                </c:pt>
                <c:pt idx="224">
                  <c:v>59.112235155823903</c:v>
                </c:pt>
                <c:pt idx="225">
                  <c:v>59.09161261926203</c:v>
                </c:pt>
                <c:pt idx="226">
                  <c:v>59.068323890763921</c:v>
                </c:pt>
                <c:pt idx="227">
                  <c:v>59.042367740421362</c:v>
                </c:pt>
                <c:pt idx="228">
                  <c:v>59.013743271953956</c:v>
                </c:pt>
                <c:pt idx="229">
                  <c:v>58.982449922359947</c:v>
                </c:pt>
                <c:pt idx="230">
                  <c:v>58.948487461535279</c:v>
                </c:pt>
                <c:pt idx="231">
                  <c:v>58.911855991861103</c:v>
                </c:pt>
                <c:pt idx="232">
                  <c:v>58.87255594775953</c:v>
                </c:pt>
                <c:pt idx="233">
                  <c:v>58.830588095217756</c:v>
                </c:pt>
                <c:pt idx="234">
                  <c:v>58.785953531280505</c:v>
                </c:pt>
                <c:pt idx="235">
                  <c:v>58.738653683510776</c:v>
                </c:pt>
                <c:pt idx="236">
                  <c:v>58.688690309418959</c:v>
                </c:pt>
                <c:pt idx="237">
                  <c:v>58.636065495860286</c:v>
                </c:pt>
                <c:pt idx="238">
                  <c:v>58.580781658400618</c:v>
                </c:pt>
                <c:pt idx="239">
                  <c:v>58.52284154065066</c:v>
                </c:pt>
                <c:pt idx="240">
                  <c:v>58.462248213568557</c:v>
                </c:pt>
                <c:pt idx="241">
                  <c:v>58.39900507473093</c:v>
                </c:pt>
                <c:pt idx="242">
                  <c:v>58.333115847572365</c:v>
                </c:pt>
                <c:pt idx="243">
                  <c:v>58.264584580593443</c:v>
                </c:pt>
                <c:pt idx="244">
                  <c:v>58.193415646537254</c:v>
                </c:pt>
                <c:pt idx="245">
                  <c:v>58.119613741534558</c:v>
                </c:pt>
                <c:pt idx="246">
                  <c:v>58.043183884217541</c:v>
                </c:pt>
                <c:pt idx="247">
                  <c:v>57.964131414802267</c:v>
                </c:pt>
                <c:pt idx="248">
                  <c:v>57.882461994139881</c:v>
                </c:pt>
                <c:pt idx="249">
                  <c:v>57.798181602736591</c:v>
                </c:pt>
                <c:pt idx="250">
                  <c:v>57.711296539742563</c:v>
                </c:pt>
                <c:pt idx="251">
                  <c:v>57.621813421909671</c:v>
                </c:pt>
                <c:pt idx="252">
                  <c:v>57.529739182518348</c:v>
                </c:pt>
                <c:pt idx="253">
                  <c:v>57.435081070273434</c:v>
                </c:pt>
                <c:pt idx="254">
                  <c:v>57.337846648169226</c:v>
                </c:pt>
                <c:pt idx="255">
                  <c:v>57.238043792323772</c:v>
                </c:pt>
                <c:pt idx="256">
                  <c:v>57.135680690782451</c:v>
                </c:pt>
                <c:pt idx="257">
                  <c:v>57.030765842291061</c:v>
                </c:pt>
                <c:pt idx="258">
                  <c:v>56.923308055038312</c:v>
                </c:pt>
                <c:pt idx="259">
                  <c:v>56.813316445368024</c:v>
                </c:pt>
                <c:pt idx="260">
                  <c:v>56.700800436460995</c:v>
                </c:pt>
                <c:pt idx="261">
                  <c:v>56.585769756986686</c:v>
                </c:pt>
                <c:pt idx="262">
                  <c:v>56.468234439724881</c:v>
                </c:pt>
                <c:pt idx="263">
                  <c:v>56.348204820157349</c:v>
                </c:pt>
                <c:pt idx="264">
                  <c:v>56.225691535029661</c:v>
                </c:pt>
                <c:pt idx="265">
                  <c:v>56.100705520883338</c:v>
                </c:pt>
                <c:pt idx="266">
                  <c:v>55.973258012558375</c:v>
                </c:pt>
                <c:pt idx="267">
                  <c:v>55.8433605416663</c:v>
                </c:pt>
                <c:pt idx="268">
                  <c:v>55.711024935033898</c:v>
                </c:pt>
                <c:pt idx="269">
                  <c:v>55.576263313117757</c:v>
                </c:pt>
                <c:pt idx="270">
                  <c:v>55.439088088389745</c:v>
                </c:pt>
                <c:pt idx="271">
                  <c:v>55.299511963693554</c:v>
                </c:pt>
                <c:pt idx="272">
                  <c:v>55.157547930572505</c:v>
                </c:pt>
                <c:pt idx="273">
                  <c:v>55.013209267568719</c:v>
                </c:pt>
                <c:pt idx="274">
                  <c:v>54.866509538493816</c:v>
                </c:pt>
                <c:pt idx="275">
                  <c:v>54.717462590671303</c:v>
                </c:pt>
                <c:pt idx="276">
                  <c:v>54.566082553150849</c:v>
                </c:pt>
                <c:pt idx="277">
                  <c:v>54.412383834894513</c:v>
                </c:pt>
                <c:pt idx="278">
                  <c:v>54.256381122935203</c:v>
                </c:pt>
                <c:pt idx="279">
                  <c:v>54.098089380507453</c:v>
                </c:pt>
                <c:pt idx="280">
                  <c:v>53.937523845150757</c:v>
                </c:pt>
                <c:pt idx="281">
                  <c:v>53.774700026785588</c:v>
                </c:pt>
                <c:pt idx="282">
                  <c:v>53.609633705762292</c:v>
                </c:pt>
                <c:pt idx="283">
                  <c:v>53.44234093088307</c:v>
                </c:pt>
                <c:pt idx="284">
                  <c:v>53.272838017397191</c:v>
                </c:pt>
                <c:pt idx="285">
                  <c:v>53.101141544969678</c:v>
                </c:pt>
                <c:pt idx="286">
                  <c:v>52.927268355623596</c:v>
                </c:pt>
                <c:pt idx="287">
                  <c:v>52.751235551656222</c:v>
                </c:pt>
                <c:pt idx="288">
                  <c:v>52.573060493529205</c:v>
                </c:pt>
                <c:pt idx="289">
                  <c:v>52.39276079773299</c:v>
                </c:pt>
                <c:pt idx="290">
                  <c:v>52.21035433462567</c:v>
                </c:pt>
                <c:pt idx="291">
                  <c:v>52.025859226246517</c:v>
                </c:pt>
                <c:pt idx="292">
                  <c:v>51.839293844104354</c:v>
                </c:pt>
                <c:pt idx="293">
                  <c:v>51.650676806941043</c:v>
                </c:pt>
                <c:pt idx="294">
                  <c:v>51.460026978470218</c:v>
                </c:pt>
                <c:pt idx="295">
                  <c:v>51.267363465091591</c:v>
                </c:pt>
                <c:pt idx="296">
                  <c:v>51.072705613581</c:v>
                </c:pt>
                <c:pt idx="297">
                  <c:v>50.876073008756407</c:v>
                </c:pt>
                <c:pt idx="298">
                  <c:v>50.677485471120107</c:v>
                </c:pt>
                <c:pt idx="299">
                  <c:v>50.476963054477409</c:v>
                </c:pt>
                <c:pt idx="300">
                  <c:v>50.274526043531949</c:v>
                </c:pt>
                <c:pt idx="301">
                  <c:v>50.070194951457935</c:v>
                </c:pt>
                <c:pt idx="302">
                  <c:v>49.863990517449551</c:v>
                </c:pt>
                <c:pt idx="303">
                  <c:v>49.657168036857016</c:v>
                </c:pt>
                <c:pt idx="304">
                  <c:v>49.450952934120515</c:v>
                </c:pt>
                <c:pt idx="305">
                  <c:v>49.246253940482688</c:v>
                </c:pt>
                <c:pt idx="306">
                  <c:v>49.043669851213266</c:v>
                </c:pt>
                <c:pt idx="307">
                  <c:v>48.843563038188229</c:v>
                </c:pt>
                <c:pt idx="308">
                  <c:v>48.646131728333032</c:v>
                </c:pt>
                <c:pt idx="309">
                  <c:v>48.451465579387104</c:v>
                </c:pt>
                <c:pt idx="310">
                  <c:v>48.259584777069698</c:v>
                </c:pt>
                <c:pt idx="311">
                  <c:v>48.070466436584141</c:v>
                </c:pt>
                <c:pt idx="312">
                  <c:v>47.884062042221558</c:v>
                </c:pt>
                <c:pt idx="313">
                  <c:v>47.700308797958542</c:v>
                </c:pt>
                <c:pt idx="314">
                  <c:v>47.519136915392004</c:v>
                </c:pt>
                <c:pt idx="315">
                  <c:v>47.34047421640394</c:v>
                </c:pt>
                <c:pt idx="316">
                  <c:v>47.164248971676194</c:v>
                </c:pt>
                <c:pt idx="317">
                  <c:v>46.990391586742099</c:v>
                </c:pt>
                <c:pt idx="318">
                  <c:v>46.818835540574419</c:v>
                </c:pt>
                <c:pt idx="319">
                  <c:v>46.649517844427223</c:v>
                </c:pt>
                <c:pt idx="320">
                  <c:v>46.482379197589687</c:v>
                </c:pt>
                <c:pt idx="321">
                  <c:v>46.317363956289796</c:v>
                </c:pt>
                <c:pt idx="322">
                  <c:v>46.154419991871322</c:v>
                </c:pt>
                <c:pt idx="323">
                  <c:v>45.993498487729632</c:v>
                </c:pt>
                <c:pt idx="324">
                  <c:v>45.834553706815662</c:v>
                </c:pt>
                <c:pt idx="325">
                  <c:v>45.677542749810144</c:v>
                </c:pt>
                <c:pt idx="326">
                  <c:v>45.522425316343387</c:v>
                </c:pt>
                <c:pt idx="327">
                  <c:v>45.369163476563948</c:v>
                </c:pt>
                <c:pt idx="328">
                  <c:v>45.21772145705792</c:v>
                </c:pt>
                <c:pt idx="329">
                  <c:v>45.068065442997444</c:v>
                </c:pt>
                <c:pt idx="330">
                  <c:v>44.920163397056392</c:v>
                </c:pt>
                <c:pt idx="331">
                  <c:v>44.773984894807832</c:v>
                </c:pt>
                <c:pt idx="332">
                  <c:v>44.629500975834894</c:v>
                </c:pt>
                <c:pt idx="333">
                  <c:v>44.486684009524552</c:v>
                </c:pt>
                <c:pt idx="334">
                  <c:v>44.345507574394475</c:v>
                </c:pt>
                <c:pt idx="335">
                  <c:v>44.205946349773356</c:v>
                </c:pt>
                <c:pt idx="336">
                  <c:v>44.067976018680284</c:v>
                </c:pt>
                <c:pt idx="337">
                  <c:v>43.931573180805835</c:v>
                </c:pt>
                <c:pt idx="338">
                  <c:v>43.796715274572129</c:v>
                </c:pt>
                <c:pt idx="339">
                  <c:v>43.663380507330835</c:v>
                </c:pt>
                <c:pt idx="340">
                  <c:v>43.531547792841806</c:v>
                </c:pt>
                <c:pt idx="341">
                  <c:v>43.401196695256139</c:v>
                </c:pt>
                <c:pt idx="342">
                  <c:v>43.27230737890487</c:v>
                </c:pt>
                <c:pt idx="343">
                  <c:v>43.144860563265993</c:v>
                </c:pt>
                <c:pt idx="344">
                  <c:v>43.018837482548491</c:v>
                </c:pt>
                <c:pt idx="345">
                  <c:v>42.894219849392059</c:v>
                </c:pt>
                <c:pt idx="346">
                  <c:v>42.770989822235258</c:v>
                </c:pt>
                <c:pt idx="347">
                  <c:v>42.649129975953699</c:v>
                </c:pt>
                <c:pt idx="348">
                  <c:v>42.528623275413544</c:v>
                </c:pt>
                <c:pt idx="349">
                  <c:v>42.409453051624595</c:v>
                </c:pt>
                <c:pt idx="350">
                  <c:v>42.291602980212168</c:v>
                </c:pt>
                <c:pt idx="351">
                  <c:v>42.175057061958029</c:v>
                </c:pt>
                <c:pt idx="352">
                  <c:v>42.059799605188203</c:v>
                </c:pt>
                <c:pt idx="353">
                  <c:v>41.9458152098101</c:v>
                </c:pt>
                <c:pt idx="354">
                  <c:v>41.833088752823244</c:v>
                </c:pt>
                <c:pt idx="355">
                  <c:v>41.72160537514732</c:v>
                </c:pt>
                <c:pt idx="356">
                  <c:v>41.611350469628398</c:v>
                </c:pt>
                <c:pt idx="357">
                  <c:v>41.502309670099578</c:v>
                </c:pt>
                <c:pt idx="358">
                  <c:v>41.394468841385866</c:v>
                </c:pt>
                <c:pt idx="359">
                  <c:v>41.287814070155193</c:v>
                </c:pt>
                <c:pt idx="360">
                  <c:v>41.182331656528149</c:v>
                </c:pt>
                <c:pt idx="361">
                  <c:v>41.07800810636855</c:v>
                </c:pt>
                <c:pt idx="362">
                  <c:v>40.974830124185459</c:v>
                </c:pt>
                <c:pt idx="363">
                  <c:v>40.872784606584787</c:v>
                </c:pt>
                <c:pt idx="364">
                  <c:v>40.771858636215171</c:v>
                </c:pt>
                <c:pt idx="365">
                  <c:v>40.672039476158972</c:v>
                </c:pt>
                <c:pt idx="366">
                  <c:v>40.573314564724321</c:v>
                </c:pt>
                <c:pt idx="367">
                  <c:v>40.475671510598964</c:v>
                </c:pt>
                <c:pt idx="368">
                  <c:v>40.379098088330757</c:v>
                </c:pt>
                <c:pt idx="369">
                  <c:v>40.283582234103442</c:v>
                </c:pt>
                <c:pt idx="370">
                  <c:v>40.18911204177963</c:v>
                </c:pt>
                <c:pt idx="371">
                  <c:v>40.095675759185831</c:v>
                </c:pt>
                <c:pt idx="372">
                  <c:v>40.003261784617052</c:v>
                </c:pt>
                <c:pt idx="373">
                  <c:v>39.911858663540755</c:v>
                </c:pt>
                <c:pt idx="374">
                  <c:v>39.821455085482157</c:v>
                </c:pt>
                <c:pt idx="375">
                  <c:v>39.732039881074613</c:v>
                </c:pt>
                <c:pt idx="376">
                  <c:v>39.64360201926052</c:v>
                </c:pt>
                <c:pt idx="377">
                  <c:v>39.556130604629722</c:v>
                </c:pt>
                <c:pt idx="378">
                  <c:v>39.469614874883582</c:v>
                </c:pt>
                <c:pt idx="379">
                  <c:v>39.38404419841423</c:v>
                </c:pt>
                <c:pt idx="380">
                  <c:v>39.299408071989404</c:v>
                </c:pt>
                <c:pt idx="381">
                  <c:v>39.215696118534396</c:v>
                </c:pt>
                <c:pt idx="382">
                  <c:v>39.132898085003291</c:v>
                </c:pt>
                <c:pt idx="383">
                  <c:v>39.051003840332605</c:v>
                </c:pt>
                <c:pt idx="384">
                  <c:v>38.970003373470973</c:v>
                </c:pt>
                <c:pt idx="385">
                  <c:v>38.889886791479228</c:v>
                </c:pt>
                <c:pt idx="386">
                  <c:v>38.81064431769574</c:v>
                </c:pt>
                <c:pt idx="387">
                  <c:v>38.732266289962332</c:v>
                </c:pt>
                <c:pt idx="388">
                  <c:v>38.654743158906548</c:v>
                </c:pt>
                <c:pt idx="389">
                  <c:v>38.578065486276508</c:v>
                </c:pt>
                <c:pt idx="390">
                  <c:v>38.502223943324765</c:v>
                </c:pt>
                <c:pt idx="391">
                  <c:v>38.427209309238116</c:v>
                </c:pt>
                <c:pt idx="392">
                  <c:v>38.353012469610441</c:v>
                </c:pt>
                <c:pt idx="393">
                  <c:v>38.279624414955919</c:v>
                </c:pt>
                <c:pt idx="394">
                  <c:v>38.207036239260297</c:v>
                </c:pt>
                <c:pt idx="395">
                  <c:v>38.135239138568011</c:v>
                </c:pt>
                <c:pt idx="396">
                  <c:v>38.064224409603113</c:v>
                </c:pt>
                <c:pt idx="397">
                  <c:v>37.993983448422263</c:v>
                </c:pt>
                <c:pt idx="398">
                  <c:v>37.924507749098055</c:v>
                </c:pt>
                <c:pt idx="399">
                  <c:v>37.855788902431151</c:v>
                </c:pt>
                <c:pt idx="400">
                  <c:v>37.787818594689845</c:v>
                </c:pt>
                <c:pt idx="401">
                  <c:v>37.720588606375692</c:v>
                </c:pt>
                <c:pt idx="402">
                  <c:v>37.654090811014079</c:v>
                </c:pt>
                <c:pt idx="403">
                  <c:v>37.588317173968569</c:v>
                </c:pt>
                <c:pt idx="404">
                  <c:v>37.523259751278061</c:v>
                </c:pt>
                <c:pt idx="405">
                  <c:v>37.458910688515779</c:v>
                </c:pt>
                <c:pt idx="406">
                  <c:v>37.395262219669192</c:v>
                </c:pt>
                <c:pt idx="407">
                  <c:v>37.332306666040111</c:v>
                </c:pt>
                <c:pt idx="408">
                  <c:v>37.270036435164187</c:v>
                </c:pt>
                <c:pt idx="409">
                  <c:v>37.208444019749052</c:v>
                </c:pt>
                <c:pt idx="410">
                  <c:v>37.147521996630552</c:v>
                </c:pt>
                <c:pt idx="411">
                  <c:v>37.087263025746324</c:v>
                </c:pt>
                <c:pt idx="412">
                  <c:v>37.02765984912628</c:v>
                </c:pt>
                <c:pt idx="413">
                  <c:v>36.968705289899361</c:v>
                </c:pt>
                <c:pt idx="414">
                  <c:v>36.910392251316075</c:v>
                </c:pt>
                <c:pt idx="415">
                  <c:v>36.852713715786422</c:v>
                </c:pt>
                <c:pt idx="416">
                  <c:v>36.795662743932596</c:v>
                </c:pt>
                <c:pt idx="417">
                  <c:v>36.739232473656244</c:v>
                </c:pt>
                <c:pt idx="418">
                  <c:v>36.683416119219707</c:v>
                </c:pt>
                <c:pt idx="419">
                  <c:v>36.628206970340983</c:v>
                </c:pt>
                <c:pt idx="420">
                  <c:v>36.573598391301985</c:v>
                </c:pt>
                <c:pt idx="421">
                  <c:v>36.519583820069812</c:v>
                </c:pt>
                <c:pt idx="422">
                  <c:v>36.466156767430654</c:v>
                </c:pt>
                <c:pt idx="423">
                  <c:v>36.413310816136082</c:v>
                </c:pt>
                <c:pt idx="424">
                  <c:v>36.361039620061383</c:v>
                </c:pt>
                <c:pt idx="425">
                  <c:v>36.309336903375694</c:v>
                </c:pt>
                <c:pt idx="426">
                  <c:v>36.258196459723656</c:v>
                </c:pt>
                <c:pt idx="427">
                  <c:v>36.207612151418367</c:v>
                </c:pt>
                <c:pt idx="428">
                  <c:v>36.157577908645294</c:v>
                </c:pt>
                <c:pt idx="429">
                  <c:v>36.108087728677056</c:v>
                </c:pt>
                <c:pt idx="430">
                  <c:v>36.059135675098737</c:v>
                </c:pt>
                <c:pt idx="431">
                  <c:v>36.010715877043573</c:v>
                </c:pt>
                <c:pt idx="432">
                  <c:v>35.962822528438764</c:v>
                </c:pt>
                <c:pt idx="433">
                  <c:v>35.915449887261275</c:v>
                </c:pt>
                <c:pt idx="434">
                  <c:v>35.868592274803397</c:v>
                </c:pt>
                <c:pt idx="435">
                  <c:v>35.822244074947839</c:v>
                </c:pt>
                <c:pt idx="436">
                  <c:v>35.776399733452287</c:v>
                </c:pt>
                <c:pt idx="437">
                  <c:v>35.731053757243124</c:v>
                </c:pt>
                <c:pt idx="438">
                  <c:v>35.686200713718272</c:v>
                </c:pt>
                <c:pt idx="439">
                  <c:v>35.641835230058888</c:v>
                </c:pt>
                <c:pt idx="440">
                  <c:v>35.597951992549852</c:v>
                </c:pt>
                <c:pt idx="441">
                  <c:v>35.554545745908783</c:v>
                </c:pt>
                <c:pt idx="442">
                  <c:v>35.51161129262357</c:v>
                </c:pt>
                <c:pt idx="443">
                  <c:v>35.469143492298166</c:v>
                </c:pt>
                <c:pt idx="444">
                  <c:v>35.427137261006571</c:v>
                </c:pt>
                <c:pt idx="445">
                  <c:v>35.385587570654828</c:v>
                </c:pt>
                <c:pt idx="446">
                  <c:v>35.344489448350934</c:v>
                </c:pt>
                <c:pt idx="447">
                  <c:v>35.303837975782542</c:v>
                </c:pt>
                <c:pt idx="448">
                  <c:v>35.263628288602284</c:v>
                </c:pt>
                <c:pt idx="449">
                  <c:v>35.223855575820629</c:v>
                </c:pt>
                <c:pt idx="450">
                  <c:v>35.184515079206193</c:v>
                </c:pt>
                <c:pt idx="451">
                  <c:v>35.145602092693295</c:v>
                </c:pt>
                <c:pt idx="452">
                  <c:v>35.107111961796747</c:v>
                </c:pt>
                <c:pt idx="453">
                  <c:v>35.069040083033691</c:v>
                </c:pt>
                <c:pt idx="454">
                  <c:v>35.031381903352447</c:v>
                </c:pt>
                <c:pt idx="455">
                  <c:v>34.994132919568159</c:v>
                </c:pt>
                <c:pt idx="456">
                  <c:v>34.957288677805309</c:v>
                </c:pt>
                <c:pt idx="457">
                  <c:v>34.920844772946808</c:v>
                </c:pt>
                <c:pt idx="458">
                  <c:v>34.884796848089707</c:v>
                </c:pt>
                <c:pt idx="459">
                  <c:v>34.849140594007388</c:v>
                </c:pt>
                <c:pt idx="460">
                  <c:v>34.813871748618105</c:v>
                </c:pt>
                <c:pt idx="461">
                  <c:v>34.77898609645986</c:v>
                </c:pt>
                <c:pt idx="462">
                  <c:v>34.744479468171441</c:v>
                </c:pt>
                <c:pt idx="463">
                  <c:v>34.710347739979618</c:v>
                </c:pt>
                <c:pt idx="464">
                  <c:v>34.676586833192331</c:v>
                </c:pt>
                <c:pt idx="465">
                  <c:v>34.643192713697879</c:v>
                </c:pt>
                <c:pt idx="466">
                  <c:v>34.610161391469909</c:v>
                </c:pt>
                <c:pt idx="467">
                  <c:v>34.577488920078238</c:v>
                </c:pt>
                <c:pt idx="468">
                  <c:v>34.54517139620539</c:v>
                </c:pt>
                <c:pt idx="469">
                  <c:v>34.513204959168711</c:v>
                </c:pt>
                <c:pt idx="470">
                  <c:v>34.481585790448086</c:v>
                </c:pt>
                <c:pt idx="471">
                  <c:v>34.450310113219132</c:v>
                </c:pt>
                <c:pt idx="472">
                  <c:v>34.419374191891769</c:v>
                </c:pt>
                <c:pt idx="473">
                  <c:v>34.388774331654162</c:v>
                </c:pt>
                <c:pt idx="474">
                  <c:v>34.358506878021878</c:v>
                </c:pt>
                <c:pt idx="475">
                  <c:v>34.328568216392306</c:v>
                </c:pt>
                <c:pt idx="476">
                  <c:v>34.298954771604151</c:v>
                </c:pt>
                <c:pt idx="477">
                  <c:v>34.269663007502025</c:v>
                </c:pt>
                <c:pt idx="478">
                  <c:v>34.240689426505995</c:v>
                </c:pt>
                <c:pt idx="479">
                  <c:v>34.212030569186098</c:v>
                </c:pt>
                <c:pt idx="480">
                  <c:v>34.183683013841701</c:v>
                </c:pt>
                <c:pt idx="481">
                  <c:v>34.155643376085692</c:v>
                </c:pt>
                <c:pt idx="482">
                  <c:v>34.127908308433383</c:v>
                </c:pt>
                <c:pt idx="483">
                  <c:v>34.100474499896123</c:v>
                </c:pt>
                <c:pt idx="484">
                  <c:v>34.073338675579521</c:v>
                </c:pt>
                <c:pt idx="485">
                  <c:v>34.046497596286258</c:v>
                </c:pt>
                <c:pt idx="486">
                  <c:v>34.019948058123376</c:v>
                </c:pt>
                <c:pt idx="487">
                  <c:v>33.993686892114042</c:v>
                </c:pt>
                <c:pt idx="488">
                  <c:v>33.967710963813708</c:v>
                </c:pt>
                <c:pt idx="489">
                  <c:v>33.942017172930605</c:v>
                </c:pt>
                <c:pt idx="490">
                  <c:v>33.916602452950549</c:v>
                </c:pt>
                <c:pt idx="491">
                  <c:v>33.891463770765952</c:v>
                </c:pt>
                <c:pt idx="492">
                  <c:v>33.866598126309029</c:v>
                </c:pt>
                <c:pt idx="493">
                  <c:v>33.842002552189172</c:v>
                </c:pt>
                <c:pt idx="494">
                  <c:v>33.817674113334334</c:v>
                </c:pt>
                <c:pt idx="495">
                  <c:v>33.793609906636519</c:v>
                </c:pt>
                <c:pt idx="496">
                  <c:v>33.769807060601231</c:v>
                </c:pt>
                <c:pt idx="497">
                  <c:v>33.746262735000819</c:v>
                </c:pt>
                <c:pt idx="498">
                  <c:v>33.722974120531788</c:v>
                </c:pt>
                <c:pt idx="499">
                  <c:v>33.699938438475883</c:v>
                </c:pt>
                <c:pt idx="500">
                  <c:v>33.677152940364984</c:v>
                </c:pt>
                <c:pt idx="501">
                  <c:v>33.654614907649787</c:v>
                </c:pt>
                <c:pt idx="502">
                  <c:v>33.632321651372138</c:v>
                </c:pt>
                <c:pt idx="503">
                  <c:v>33.610270511841073</c:v>
                </c:pt>
                <c:pt idx="504">
                  <c:v>33.588458858312443</c:v>
                </c:pt>
                <c:pt idx="505">
                  <c:v>33.566884088672118</c:v>
                </c:pt>
                <c:pt idx="506">
                  <c:v>33.54554362912274</c:v>
                </c:pt>
                <c:pt idx="507">
                  <c:v>33.524434933873941</c:v>
                </c:pt>
                <c:pt idx="508">
                  <c:v>33.503555484836042</c:v>
                </c:pt>
                <c:pt idx="509">
                  <c:v>33.482902791317123</c:v>
                </c:pt>
                <c:pt idx="510">
                  <c:v>33.462474389723496</c:v>
                </c:pt>
                <c:pt idx="511">
                  <c:v>33.442267843263465</c:v>
                </c:pt>
                <c:pt idx="512">
                  <c:v>33.422280741654426</c:v>
                </c:pt>
                <c:pt idx="513">
                  <c:v>33.402510700833183</c:v>
                </c:pt>
                <c:pt idx="514">
                  <c:v>33.382955362669477</c:v>
                </c:pt>
                <c:pt idx="515">
                  <c:v>33.363612394682711</c:v>
                </c:pt>
                <c:pt idx="516">
                  <c:v>33.344479489761802</c:v>
                </c:pt>
                <c:pt idx="517">
                  <c:v>33.325554365888131</c:v>
                </c:pt>
                <c:pt idx="518">
                  <c:v>33.306834765861566</c:v>
                </c:pt>
                <c:pt idx="519">
                  <c:v>33.288318457029533</c:v>
                </c:pt>
                <c:pt idx="520">
                  <c:v>33.270003231019025</c:v>
                </c:pt>
                <c:pt idx="521">
                  <c:v>33.251886903471657</c:v>
                </c:pt>
                <c:pt idx="522">
                  <c:v>33.233967313781577</c:v>
                </c:pt>
                <c:pt idx="523">
                  <c:v>33.216242324836301</c:v>
                </c:pt>
                <c:pt idx="524">
                  <c:v>33.198709822760421</c:v>
                </c:pt>
                <c:pt idx="525">
                  <c:v>33.181367716662102</c:v>
                </c:pt>
                <c:pt idx="526">
                  <c:v>33.16421393838241</c:v>
                </c:pt>
                <c:pt idx="527">
                  <c:v>33.147246442247393</c:v>
                </c:pt>
                <c:pt idx="528">
                  <c:v>33.130463204822895</c:v>
                </c:pt>
                <c:pt idx="529">
                  <c:v>33.113862224672062</c:v>
                </c:pt>
                <c:pt idx="530">
                  <c:v>33.09744152211551</c:v>
                </c:pt>
                <c:pt idx="531">
                  <c:v>33.081199138994172</c:v>
                </c:pt>
                <c:pt idx="532">
                  <c:v>33.065133138434724</c:v>
                </c:pt>
                <c:pt idx="533">
                  <c:v>33.049241604617578</c:v>
                </c:pt>
                <c:pt idx="534">
                  <c:v>33.03352264254746</c:v>
                </c:pt>
                <c:pt idx="535">
                  <c:v>33.017974377826498</c:v>
                </c:pt>
                <c:pt idx="536">
                  <c:v>33.002594956429782</c:v>
                </c:pt>
                <c:pt idx="537">
                  <c:v>32.987382544483431</c:v>
                </c:pt>
                <c:pt idx="538">
                  <c:v>32.972335328045048</c:v>
                </c:pt>
                <c:pt idx="539">
                  <c:v>32.957451512886621</c:v>
                </c:pt>
                <c:pt idx="540">
                  <c:v>32.942729324279803</c:v>
                </c:pt>
                <c:pt idx="541">
                  <c:v>32.928167006783539</c:v>
                </c:pt>
                <c:pt idx="542">
                  <c:v>32.913762824034016</c:v>
                </c:pt>
                <c:pt idx="543">
                  <c:v>32.899515058536927</c:v>
                </c:pt>
                <c:pt idx="544">
                  <c:v>32.885422011462019</c:v>
                </c:pt>
                <c:pt idx="545">
                  <c:v>32.871482002439883</c:v>
                </c:pt>
                <c:pt idx="546">
                  <c:v>32.857693369360966</c:v>
                </c:pt>
                <c:pt idx="547">
                  <c:v>32.844054468176786</c:v>
                </c:pt>
                <c:pt idx="548">
                  <c:v>32.830563672703342</c:v>
                </c:pt>
                <c:pt idx="549">
                  <c:v>32.817219374426664</c:v>
                </c:pt>
                <c:pt idx="550">
                  <c:v>32.804019982310486</c:v>
                </c:pt>
                <c:pt idx="551">
                  <c:v>32.790963922606032</c:v>
                </c:pt>
                <c:pt idx="552">
                  <c:v>32.77804963866388</c:v>
                </c:pt>
                <c:pt idx="553">
                  <c:v>32.765275590747883</c:v>
                </c:pt>
                <c:pt idx="554">
                  <c:v>32.752640255851141</c:v>
                </c:pt>
                <c:pt idx="555">
                  <c:v>32.740142127513955</c:v>
                </c:pt>
                <c:pt idx="556">
                  <c:v>32.727779715643806</c:v>
                </c:pt>
                <c:pt idx="557">
                  <c:v>32.715551546337274</c:v>
                </c:pt>
                <c:pt idx="558">
                  <c:v>32.703456161703933</c:v>
                </c:pt>
                <c:pt idx="559">
                  <c:v>32.691492119692128</c:v>
                </c:pt>
                <c:pt idx="560">
                  <c:v>32.679657993916699</c:v>
                </c:pt>
                <c:pt idx="561">
                  <c:v>32.667952373488561</c:v>
                </c:pt>
                <c:pt idx="562">
                  <c:v>32.656373862846152</c:v>
                </c:pt>
                <c:pt idx="563">
                  <c:v>32.644921081588741</c:v>
                </c:pt>
                <c:pt idx="564">
                  <c:v>32.633592664311507</c:v>
                </c:pt>
                <c:pt idx="565">
                  <c:v>32.622387260442473</c:v>
                </c:pt>
                <c:pt idx="566">
                  <c:v>32.611303534081195</c:v>
                </c:pt>
                <c:pt idx="567">
                  <c:v>32.600340163839213</c:v>
                </c:pt>
                <c:pt idx="568">
                  <c:v>32.589495842682233</c:v>
                </c:pt>
                <c:pt idx="569">
                  <c:v>32.578769277774057</c:v>
                </c:pt>
                <c:pt idx="570">
                  <c:v>32.568159190322199</c:v>
                </c:pt>
                <c:pt idx="571">
                  <c:v>32.557664315425171</c:v>
                </c:pt>
                <c:pt idx="572">
                  <c:v>32.547283401921483</c:v>
                </c:pt>
                <c:pt idx="573">
                  <c:v>32.537015212240227</c:v>
                </c:pt>
                <c:pt idx="574">
                  <c:v>32.526858522253335</c:v>
                </c:pt>
                <c:pt idx="575">
                  <c:v>32.516812121129441</c:v>
                </c:pt>
                <c:pt idx="576">
                  <c:v>32.506874811189313</c:v>
                </c:pt>
                <c:pt idx="577">
                  <c:v>32.497045407762897</c:v>
                </c:pt>
                <c:pt idx="578">
                  <c:v>32.48732273904789</c:v>
                </c:pt>
                <c:pt idx="579">
                  <c:v>32.47770564596987</c:v>
                </c:pt>
                <c:pt idx="580">
                  <c:v>32.468192982043931</c:v>
                </c:pt>
                <c:pt idx="581">
                  <c:v>32.458783613237863</c:v>
                </c:pt>
                <c:pt idx="582">
                  <c:v>32.449476417836784</c:v>
                </c:pt>
                <c:pt idx="583">
                  <c:v>32.440270286309264</c:v>
                </c:pt>
                <c:pt idx="584">
                  <c:v>32.431164121174916</c:v>
                </c:pt>
                <c:pt idx="585">
                  <c:v>32.422156836873413</c:v>
                </c:pt>
                <c:pt idx="586">
                  <c:v>32.41324735963493</c:v>
                </c:pt>
                <c:pt idx="587">
                  <c:v>32.404434627352025</c:v>
                </c:pt>
                <c:pt idx="588">
                  <c:v>32.395717589452886</c:v>
                </c:pt>
                <c:pt idx="589">
                  <c:v>32.387095206775953</c:v>
                </c:pt>
                <c:pt idx="590">
                  <c:v>32.378566451445948</c:v>
                </c:pt>
                <c:pt idx="591">
                  <c:v>32.370130306751214</c:v>
                </c:pt>
                <c:pt idx="592">
                  <c:v>32.361785767022404</c:v>
                </c:pt>
                <c:pt idx="593">
                  <c:v>32.353531837512492</c:v>
                </c:pt>
                <c:pt idx="594">
                  <c:v>32.345367534278068</c:v>
                </c:pt>
                <c:pt idx="595">
                  <c:v>32.337291884061976</c:v>
                </c:pt>
                <c:pt idx="596">
                  <c:v>32.329303924177189</c:v>
                </c:pt>
                <c:pt idx="597">
                  <c:v>32.321402702391936</c:v>
                </c:pt>
                <c:pt idx="598">
                  <c:v>32.313587276816129</c:v>
                </c:pt>
                <c:pt idx="599">
                  <c:v>32.305856715788977</c:v>
                </c:pt>
                <c:pt idx="600">
                  <c:v>32.298210097767857</c:v>
                </c:pt>
                <c:pt idx="601">
                  <c:v>32.290646511218377</c:v>
                </c:pt>
                <c:pt idx="602">
                  <c:v>32.283165054505623</c:v>
                </c:pt>
                <c:pt idx="603">
                  <c:v>32.276999168395882</c:v>
                </c:pt>
                <c:pt idx="604">
                  <c:v>32.273352211379738</c:v>
                </c:pt>
                <c:pt idx="605">
                  <c:v>32.273110639796975</c:v>
                </c:pt>
                <c:pt idx="606">
                  <c:v>32.276850767496647</c:v>
                </c:pt>
                <c:pt idx="607">
                  <c:v>32.28491228087438</c:v>
                </c:pt>
                <c:pt idx="608">
                  <c:v>32.2974705197962</c:v>
                </c:pt>
                <c:pt idx="609">
                  <c:v>32.314592055865795</c:v>
                </c:pt>
                <c:pt idx="610">
                  <c:v>32.336273792115101</c:v>
                </c:pt>
                <c:pt idx="611">
                  <c:v>32.362469367054814</c:v>
                </c:pt>
                <c:pt idx="612">
                  <c:v>32.39310659684584</c:v>
                </c:pt>
                <c:pt idx="613">
                  <c:v>32.42809882848568</c:v>
                </c:pt>
                <c:pt idx="614">
                  <c:v>32.467352230352802</c:v>
                </c:pt>
                <c:pt idx="615">
                  <c:v>32.510770397501418</c:v>
                </c:pt>
                <c:pt idx="616">
                  <c:v>32.558257192826481</c:v>
                </c:pt>
                <c:pt idx="617">
                  <c:v>32.609718435785467</c:v>
                </c:pt>
                <c:pt idx="618">
                  <c:v>32.665062843676068</c:v>
                </c:pt>
                <c:pt idx="619">
                  <c:v>32.724202493187143</c:v>
                </c:pt>
                <c:pt idx="620">
                  <c:v>32.787052978880645</c:v>
                </c:pt>
                <c:pt idx="621">
                  <c:v>32.85353338484218</c:v>
                </c:pt>
                <c:pt idx="622">
                  <c:v>32.923566145623219</c:v>
                </c:pt>
                <c:pt idx="623">
                  <c:v>32.997076845960322</c:v>
                </c:pt>
                <c:pt idx="624">
                  <c:v>33.073993991080293</c:v>
                </c:pt>
                <c:pt idx="625">
                  <c:v>33.154248767693147</c:v>
                </c:pt>
                <c:pt idx="626">
                  <c:v>33.237774808047774</c:v>
                </c:pt>
                <c:pt idx="627">
                  <c:v>33.324507964353437</c:v>
                </c:pt>
                <c:pt idx="628">
                  <c:v>33.414386097568411</c:v>
                </c:pt>
                <c:pt idx="629">
                  <c:v>33.507348882434151</c:v>
                </c:pt>
                <c:pt idx="630">
                  <c:v>33.60333762929249</c:v>
                </c:pt>
                <c:pt idx="631">
                  <c:v>33.702295122400372</c:v>
                </c:pt>
                <c:pt idx="632">
                  <c:v>33.80416547397315</c:v>
                </c:pt>
                <c:pt idx="633">
                  <c:v>33.908893992925861</c:v>
                </c:pt>
                <c:pt idx="634">
                  <c:v>34.016427067162205</c:v>
                </c:pt>
                <c:pt idx="635">
                  <c:v>34.126712058231362</c:v>
                </c:pt>
                <c:pt idx="636">
                  <c:v>34.239697207197757</c:v>
                </c:pt>
                <c:pt idx="637">
                  <c:v>34.355331550626346</c:v>
                </c:pt>
                <c:pt idx="638">
                  <c:v>34.473564845660114</c:v>
                </c:pt>
                <c:pt idx="639">
                  <c:v>34.594347503248599</c:v>
                </c:pt>
                <c:pt idx="640">
                  <c:v>34.717630528669666</c:v>
                </c:pt>
                <c:pt idx="641">
                  <c:v>34.843365468568116</c:v>
                </c:pt>
                <c:pt idx="642">
                  <c:v>34.971504363811889</c:v>
                </c:pt>
                <c:pt idx="643">
                  <c:v>35.101999707538269</c:v>
                </c:pt>
                <c:pt idx="644">
                  <c:v>35.234804407828477</c:v>
                </c:pt>
                <c:pt idx="645">
                  <c:v>35.369871754508893</c:v>
                </c:pt>
                <c:pt idx="646">
                  <c:v>35.507155389631407</c:v>
                </c:pt>
                <c:pt idx="647">
                  <c:v>35.646609281234106</c:v>
                </c:pt>
                <c:pt idx="648">
                  <c:v>35.788187700027208</c:v>
                </c:pt>
                <c:pt idx="649">
                  <c:v>35.931845198688265</c:v>
                </c:pt>
                <c:pt idx="650">
                  <c:v>36.077536593485412</c:v>
                </c:pt>
                <c:pt idx="651">
                  <c:v>36.225216947978581</c:v>
                </c:pt>
                <c:pt idx="652">
                  <c:v>36.374841558576222</c:v>
                </c:pt>
                <c:pt idx="653">
                  <c:v>36.526365941749532</c:v>
                </c:pt>
                <c:pt idx="654">
                  <c:v>36.679745822728243</c:v>
                </c:pt>
                <c:pt idx="655">
                  <c:v>36.834937125521201</c:v>
                </c:pt>
                <c:pt idx="656">
                  <c:v>36.991895964122335</c:v>
                </c:pt>
                <c:pt idx="657">
                  <c:v>37.150578634777908</c:v>
                </c:pt>
                <c:pt idx="658">
                  <c:v>37.31094160920447</c:v>
                </c:pt>
                <c:pt idx="659">
                  <c:v>37.472941528659064</c:v>
                </c:pt>
                <c:pt idx="660">
                  <c:v>37.636535198773949</c:v>
                </c:pt>
                <c:pt idx="661">
                  <c:v>37.801679585077608</c:v>
                </c:pt>
                <c:pt idx="662">
                  <c:v>37.968331809132216</c:v>
                </c:pt>
                <c:pt idx="663">
                  <c:v>38.136449145225463</c:v>
                </c:pt>
                <c:pt idx="664">
                  <c:v>38.305989017560989</c:v>
                </c:pt>
                <c:pt idx="665">
                  <c:v>38.476908997897937</c:v>
                </c:pt>
                <c:pt idx="666">
                  <c:v>38.649166803595229</c:v>
                </c:pt>
                <c:pt idx="667">
                  <c:v>38.822720296020876</c:v>
                </c:pt>
                <c:pt idx="668">
                  <c:v>38.997527479290937</c:v>
                </c:pt>
                <c:pt idx="669">
                  <c:v>39.173546499306283</c:v>
                </c:pt>
                <c:pt idx="670">
                  <c:v>39.350735643058826</c:v>
                </c:pt>
                <c:pt idx="671">
                  <c:v>39.529053338181598</c:v>
                </c:pt>
                <c:pt idx="672">
                  <c:v>39.708458152719956</c:v>
                </c:pt>
                <c:pt idx="673">
                  <c:v>39.888908795103255</c:v>
                </c:pt>
                <c:pt idx="674">
                  <c:v>40.070364114298663</c:v>
                </c:pt>
                <c:pt idx="675">
                  <c:v>40.252783100130451</c:v>
                </c:pt>
                <c:pt idx="676">
                  <c:v>40.436124883749912</c:v>
                </c:pt>
                <c:pt idx="677">
                  <c:v>40.620348738242448</c:v>
                </c:pt>
                <c:pt idx="678">
                  <c:v>40.805414079359707</c:v>
                </c:pt>
                <c:pt idx="679">
                  <c:v>40.991280466365843</c:v>
                </c:pt>
                <c:pt idx="680">
                  <c:v>41.177907602988043</c:v>
                </c:pt>
                <c:pt idx="681">
                  <c:v>41.365255338462397</c:v>
                </c:pt>
                <c:pt idx="682">
                  <c:v>41.553283668667</c:v>
                </c:pt>
                <c:pt idx="683">
                  <c:v>41.741952737334955</c:v>
                </c:pt>
                <c:pt idx="684">
                  <c:v>41.931222837340705</c:v>
                </c:pt>
                <c:pt idx="685">
                  <c:v>42.121054412053525</c:v>
                </c:pt>
                <c:pt idx="686">
                  <c:v>42.311408056752789</c:v>
                </c:pt>
                <c:pt idx="687">
                  <c:v>42.502244520099929</c:v>
                </c:pt>
                <c:pt idx="688">
                  <c:v>42.693524705662533</c:v>
                </c:pt>
                <c:pt idx="689">
                  <c:v>42.885209673486393</c:v>
                </c:pt>
                <c:pt idx="690">
                  <c:v>43.077260641711696</c:v>
                </c:pt>
                <c:pt idx="691">
                  <c:v>43.269638988229801</c:v>
                </c:pt>
                <c:pt idx="692">
                  <c:v>43.462306252377402</c:v>
                </c:pt>
                <c:pt idx="693">
                  <c:v>43.655224136665105</c:v>
                </c:pt>
                <c:pt idx="694">
                  <c:v>43.848354508537668</c:v>
                </c:pt>
                <c:pt idx="695">
                  <c:v>44.041659402163376</c:v>
                </c:pt>
                <c:pt idx="696">
                  <c:v>44.235101020250177</c:v>
                </c:pt>
                <c:pt idx="697">
                  <c:v>44.428641735886487</c:v>
                </c:pt>
                <c:pt idx="698">
                  <c:v>44.622244094404529</c:v>
                </c:pt>
                <c:pt idx="699">
                  <c:v>44.815870815264383</c:v>
                </c:pt>
                <c:pt idx="700">
                  <c:v>45.009484793957022</c:v>
                </c:pt>
                <c:pt idx="701">
                  <c:v>45.203049103924585</c:v>
                </c:pt>
                <c:pt idx="702">
                  <c:v>45.396526998496469</c:v>
                </c:pt>
                <c:pt idx="703">
                  <c:v>45.589881912839665</c:v>
                </c:pt>
                <c:pt idx="704">
                  <c:v>45.783077465922084</c:v>
                </c:pt>
                <c:pt idx="705">
                  <c:v>45.97607746248751</c:v>
                </c:pt>
                <c:pt idx="706">
                  <c:v>46.168845895040995</c:v>
                </c:pt>
                <c:pt idx="707">
                  <c:v>46.361346945843522</c:v>
                </c:pt>
                <c:pt idx="708">
                  <c:v>46.553544988914872</c:v>
                </c:pt>
                <c:pt idx="709">
                  <c:v>46.745404592043613</c:v>
                </c:pt>
                <c:pt idx="710">
                  <c:v>46.936890518803253</c:v>
                </c:pt>
                <c:pt idx="711">
                  <c:v>47.127967730573566</c:v>
                </c:pt>
                <c:pt idx="712">
                  <c:v>47.318601388566236</c:v>
                </c:pt>
                <c:pt idx="713">
                  <c:v>47.508756855853896</c:v>
                </c:pt>
                <c:pt idx="714">
                  <c:v>47.698399699401755</c:v>
                </c:pt>
                <c:pt idx="715">
                  <c:v>47.887495692100991</c:v>
                </c:pt>
              </c:numCache>
            </c:numRef>
          </c:val>
        </c:ser>
        <c:ser>
          <c:idx val="4"/>
          <c:order val="4"/>
          <c:tx>
            <c:strRef>
              <c:f>Calculations!$A$28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Calculations!$B$21:$AAO$21</c:f>
              <c:numCache>
                <c:formatCode>0.00</c:formatCode>
                <c:ptCount val="716"/>
                <c:pt idx="0" formatCode="General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5.0000000000000036</c:v>
                </c:pt>
                <c:pt idx="126">
                  <c:v>5.0400000000000036</c:v>
                </c:pt>
                <c:pt idx="127">
                  <c:v>5.0800000000000036</c:v>
                </c:pt>
                <c:pt idx="128">
                  <c:v>5.1200000000000037</c:v>
                </c:pt>
                <c:pt idx="129">
                  <c:v>5.1600000000000037</c:v>
                </c:pt>
                <c:pt idx="130">
                  <c:v>5.2000000000000037</c:v>
                </c:pt>
                <c:pt idx="131">
                  <c:v>5.2400000000000038</c:v>
                </c:pt>
                <c:pt idx="132">
                  <c:v>5.2800000000000038</c:v>
                </c:pt>
                <c:pt idx="133">
                  <c:v>5.3200000000000038</c:v>
                </c:pt>
                <c:pt idx="134">
                  <c:v>5.3600000000000039</c:v>
                </c:pt>
                <c:pt idx="135">
                  <c:v>5.4000000000000039</c:v>
                </c:pt>
                <c:pt idx="136">
                  <c:v>5.4400000000000039</c:v>
                </c:pt>
                <c:pt idx="137">
                  <c:v>5.480000000000004</c:v>
                </c:pt>
                <c:pt idx="138">
                  <c:v>5.520000000000004</c:v>
                </c:pt>
                <c:pt idx="139">
                  <c:v>5.5600000000000041</c:v>
                </c:pt>
                <c:pt idx="140">
                  <c:v>5.6000000000000041</c:v>
                </c:pt>
                <c:pt idx="141">
                  <c:v>5.6400000000000041</c:v>
                </c:pt>
                <c:pt idx="142">
                  <c:v>5.6800000000000042</c:v>
                </c:pt>
                <c:pt idx="143">
                  <c:v>5.7200000000000042</c:v>
                </c:pt>
                <c:pt idx="144">
                  <c:v>5.7600000000000042</c:v>
                </c:pt>
                <c:pt idx="145">
                  <c:v>5.8000000000000043</c:v>
                </c:pt>
                <c:pt idx="146">
                  <c:v>5.8400000000000043</c:v>
                </c:pt>
                <c:pt idx="147">
                  <c:v>5.8800000000000043</c:v>
                </c:pt>
                <c:pt idx="148">
                  <c:v>5.9200000000000044</c:v>
                </c:pt>
                <c:pt idx="149">
                  <c:v>5.9600000000000044</c:v>
                </c:pt>
                <c:pt idx="150">
                  <c:v>6.0000000000000044</c:v>
                </c:pt>
                <c:pt idx="151">
                  <c:v>6.0400000000000045</c:v>
                </c:pt>
                <c:pt idx="152">
                  <c:v>6.0800000000000045</c:v>
                </c:pt>
                <c:pt idx="153">
                  <c:v>6.1200000000000045</c:v>
                </c:pt>
                <c:pt idx="154">
                  <c:v>6.1600000000000046</c:v>
                </c:pt>
                <c:pt idx="155">
                  <c:v>6.2000000000000046</c:v>
                </c:pt>
                <c:pt idx="156">
                  <c:v>6.2400000000000047</c:v>
                </c:pt>
                <c:pt idx="157">
                  <c:v>6.2800000000000047</c:v>
                </c:pt>
                <c:pt idx="158">
                  <c:v>6.3200000000000047</c:v>
                </c:pt>
                <c:pt idx="159">
                  <c:v>6.3600000000000048</c:v>
                </c:pt>
                <c:pt idx="160">
                  <c:v>6.4000000000000048</c:v>
                </c:pt>
                <c:pt idx="161">
                  <c:v>6.4400000000000048</c:v>
                </c:pt>
                <c:pt idx="162">
                  <c:v>6.4800000000000049</c:v>
                </c:pt>
                <c:pt idx="163">
                  <c:v>6.5200000000000049</c:v>
                </c:pt>
                <c:pt idx="164">
                  <c:v>6.5600000000000049</c:v>
                </c:pt>
                <c:pt idx="165">
                  <c:v>6.600000000000005</c:v>
                </c:pt>
                <c:pt idx="166">
                  <c:v>6.640000000000005</c:v>
                </c:pt>
                <c:pt idx="167">
                  <c:v>6.680000000000005</c:v>
                </c:pt>
                <c:pt idx="168">
                  <c:v>6.7200000000000051</c:v>
                </c:pt>
                <c:pt idx="169">
                  <c:v>6.7600000000000051</c:v>
                </c:pt>
                <c:pt idx="170">
                  <c:v>6.8000000000000052</c:v>
                </c:pt>
                <c:pt idx="171">
                  <c:v>6.8400000000000052</c:v>
                </c:pt>
                <c:pt idx="172">
                  <c:v>6.8800000000000052</c:v>
                </c:pt>
                <c:pt idx="173">
                  <c:v>6.9200000000000053</c:v>
                </c:pt>
                <c:pt idx="174">
                  <c:v>6.9600000000000053</c:v>
                </c:pt>
                <c:pt idx="175">
                  <c:v>7.0000000000000053</c:v>
                </c:pt>
                <c:pt idx="176">
                  <c:v>7.0400000000000054</c:v>
                </c:pt>
                <c:pt idx="177">
                  <c:v>7.0800000000000054</c:v>
                </c:pt>
                <c:pt idx="178">
                  <c:v>7.1200000000000054</c:v>
                </c:pt>
                <c:pt idx="179">
                  <c:v>7.1600000000000055</c:v>
                </c:pt>
                <c:pt idx="180">
                  <c:v>7.2000000000000055</c:v>
                </c:pt>
                <c:pt idx="181">
                  <c:v>7.2400000000000055</c:v>
                </c:pt>
                <c:pt idx="182">
                  <c:v>7.2800000000000056</c:v>
                </c:pt>
                <c:pt idx="183">
                  <c:v>7.3200000000000056</c:v>
                </c:pt>
                <c:pt idx="184">
                  <c:v>7.3600000000000056</c:v>
                </c:pt>
                <c:pt idx="185">
                  <c:v>7.4000000000000057</c:v>
                </c:pt>
                <c:pt idx="186">
                  <c:v>7.4400000000000057</c:v>
                </c:pt>
                <c:pt idx="187">
                  <c:v>7.4800000000000058</c:v>
                </c:pt>
                <c:pt idx="188">
                  <c:v>7.5200000000000058</c:v>
                </c:pt>
                <c:pt idx="189">
                  <c:v>7.5600000000000058</c:v>
                </c:pt>
                <c:pt idx="190">
                  <c:v>7.6000000000000059</c:v>
                </c:pt>
                <c:pt idx="191">
                  <c:v>7.6400000000000059</c:v>
                </c:pt>
                <c:pt idx="192">
                  <c:v>7.6800000000000059</c:v>
                </c:pt>
                <c:pt idx="193">
                  <c:v>7.720000000000006</c:v>
                </c:pt>
                <c:pt idx="194">
                  <c:v>7.760000000000006</c:v>
                </c:pt>
                <c:pt idx="195">
                  <c:v>7.800000000000006</c:v>
                </c:pt>
                <c:pt idx="196">
                  <c:v>7.8400000000000061</c:v>
                </c:pt>
                <c:pt idx="197">
                  <c:v>7.8800000000000061</c:v>
                </c:pt>
                <c:pt idx="198">
                  <c:v>7.9200000000000061</c:v>
                </c:pt>
                <c:pt idx="199">
                  <c:v>7.9600000000000062</c:v>
                </c:pt>
                <c:pt idx="200">
                  <c:v>8.0000000000000053</c:v>
                </c:pt>
                <c:pt idx="201">
                  <c:v>8.0400000000000045</c:v>
                </c:pt>
                <c:pt idx="202">
                  <c:v>8.0800000000000036</c:v>
                </c:pt>
                <c:pt idx="203">
                  <c:v>8.1200000000000028</c:v>
                </c:pt>
                <c:pt idx="204">
                  <c:v>8.1600000000000019</c:v>
                </c:pt>
                <c:pt idx="205">
                  <c:v>8.2000000000000011</c:v>
                </c:pt>
                <c:pt idx="206">
                  <c:v>8.24</c:v>
                </c:pt>
                <c:pt idx="207">
                  <c:v>8.2799999999999994</c:v>
                </c:pt>
                <c:pt idx="208">
                  <c:v>8.3199999999999985</c:v>
                </c:pt>
                <c:pt idx="209">
                  <c:v>8.3599999999999977</c:v>
                </c:pt>
                <c:pt idx="210">
                  <c:v>8.3999999999999968</c:v>
                </c:pt>
                <c:pt idx="211">
                  <c:v>8.4399999999999959</c:v>
                </c:pt>
                <c:pt idx="212">
                  <c:v>8.4799999999999951</c:v>
                </c:pt>
                <c:pt idx="213">
                  <c:v>8.5199999999999942</c:v>
                </c:pt>
                <c:pt idx="214">
                  <c:v>8.5599999999999934</c:v>
                </c:pt>
                <c:pt idx="215">
                  <c:v>8.5999999999999925</c:v>
                </c:pt>
                <c:pt idx="216">
                  <c:v>8.6399999999999917</c:v>
                </c:pt>
                <c:pt idx="217">
                  <c:v>8.6799999999999908</c:v>
                </c:pt>
                <c:pt idx="218">
                  <c:v>8.71999999999999</c:v>
                </c:pt>
                <c:pt idx="219">
                  <c:v>8.7599999999999891</c:v>
                </c:pt>
                <c:pt idx="220">
                  <c:v>8.7999999999999883</c:v>
                </c:pt>
                <c:pt idx="221">
                  <c:v>8.8399999999999874</c:v>
                </c:pt>
                <c:pt idx="222">
                  <c:v>8.8799999999999866</c:v>
                </c:pt>
                <c:pt idx="223">
                  <c:v>8.9199999999999857</c:v>
                </c:pt>
                <c:pt idx="224">
                  <c:v>8.9599999999999849</c:v>
                </c:pt>
                <c:pt idx="225">
                  <c:v>8.999999999999984</c:v>
                </c:pt>
                <c:pt idx="226">
                  <c:v>9.0399999999999832</c:v>
                </c:pt>
                <c:pt idx="227">
                  <c:v>9.0799999999999823</c:v>
                </c:pt>
                <c:pt idx="228">
                  <c:v>9.1199999999999815</c:v>
                </c:pt>
                <c:pt idx="229">
                  <c:v>9.1599999999999806</c:v>
                </c:pt>
                <c:pt idx="230">
                  <c:v>9.1999999999999797</c:v>
                </c:pt>
                <c:pt idx="231">
                  <c:v>9.2399999999999789</c:v>
                </c:pt>
                <c:pt idx="232">
                  <c:v>9.279999999999978</c:v>
                </c:pt>
                <c:pt idx="233">
                  <c:v>9.3199999999999772</c:v>
                </c:pt>
                <c:pt idx="234">
                  <c:v>9.3599999999999763</c:v>
                </c:pt>
                <c:pt idx="235">
                  <c:v>9.3999999999999755</c:v>
                </c:pt>
                <c:pt idx="236">
                  <c:v>9.4399999999999746</c:v>
                </c:pt>
                <c:pt idx="237">
                  <c:v>9.4799999999999738</c:v>
                </c:pt>
                <c:pt idx="238">
                  <c:v>9.5199999999999729</c:v>
                </c:pt>
                <c:pt idx="239">
                  <c:v>9.5599999999999721</c:v>
                </c:pt>
                <c:pt idx="240">
                  <c:v>9.5999999999999712</c:v>
                </c:pt>
                <c:pt idx="241">
                  <c:v>9.6399999999999704</c:v>
                </c:pt>
                <c:pt idx="242">
                  <c:v>9.6799999999999695</c:v>
                </c:pt>
                <c:pt idx="243">
                  <c:v>9.7199999999999687</c:v>
                </c:pt>
                <c:pt idx="244">
                  <c:v>9.7599999999999678</c:v>
                </c:pt>
                <c:pt idx="245">
                  <c:v>9.799999999999967</c:v>
                </c:pt>
                <c:pt idx="246">
                  <c:v>9.8399999999999661</c:v>
                </c:pt>
                <c:pt idx="247">
                  <c:v>9.8799999999999653</c:v>
                </c:pt>
                <c:pt idx="248">
                  <c:v>9.9199999999999644</c:v>
                </c:pt>
                <c:pt idx="249">
                  <c:v>9.9599999999999635</c:v>
                </c:pt>
                <c:pt idx="250">
                  <c:v>9.9999999999999627</c:v>
                </c:pt>
                <c:pt idx="251">
                  <c:v>10.039999999999962</c:v>
                </c:pt>
                <c:pt idx="252">
                  <c:v>10.079999999999961</c:v>
                </c:pt>
                <c:pt idx="253">
                  <c:v>10.11999999999996</c:v>
                </c:pt>
                <c:pt idx="254">
                  <c:v>10.159999999999959</c:v>
                </c:pt>
                <c:pt idx="255">
                  <c:v>10.199999999999958</c:v>
                </c:pt>
                <c:pt idx="256">
                  <c:v>10.239999999999958</c:v>
                </c:pt>
                <c:pt idx="257">
                  <c:v>10.279999999999957</c:v>
                </c:pt>
                <c:pt idx="258">
                  <c:v>10.319999999999956</c:v>
                </c:pt>
                <c:pt idx="259">
                  <c:v>10.359999999999955</c:v>
                </c:pt>
                <c:pt idx="260">
                  <c:v>10.399999999999954</c:v>
                </c:pt>
                <c:pt idx="261">
                  <c:v>10.439999999999953</c:v>
                </c:pt>
                <c:pt idx="262">
                  <c:v>10.479999999999952</c:v>
                </c:pt>
                <c:pt idx="263">
                  <c:v>10.519999999999952</c:v>
                </c:pt>
                <c:pt idx="264">
                  <c:v>10.559999999999951</c:v>
                </c:pt>
                <c:pt idx="265">
                  <c:v>10.59999999999995</c:v>
                </c:pt>
                <c:pt idx="266">
                  <c:v>10.639999999999949</c:v>
                </c:pt>
                <c:pt idx="267">
                  <c:v>10.679999999999948</c:v>
                </c:pt>
                <c:pt idx="268">
                  <c:v>10.719999999999947</c:v>
                </c:pt>
                <c:pt idx="269">
                  <c:v>10.759999999999946</c:v>
                </c:pt>
                <c:pt idx="270">
                  <c:v>10.799999999999946</c:v>
                </c:pt>
                <c:pt idx="271">
                  <c:v>10.839999999999945</c:v>
                </c:pt>
                <c:pt idx="272">
                  <c:v>10.879999999999944</c:v>
                </c:pt>
                <c:pt idx="273">
                  <c:v>10.919999999999943</c:v>
                </c:pt>
                <c:pt idx="274">
                  <c:v>10.959999999999942</c:v>
                </c:pt>
                <c:pt idx="275">
                  <c:v>10.999999999999941</c:v>
                </c:pt>
                <c:pt idx="276">
                  <c:v>11.039999999999941</c:v>
                </c:pt>
                <c:pt idx="277">
                  <c:v>11.07999999999994</c:v>
                </c:pt>
                <c:pt idx="278">
                  <c:v>11.119999999999939</c:v>
                </c:pt>
                <c:pt idx="279">
                  <c:v>11.159999999999938</c:v>
                </c:pt>
                <c:pt idx="280">
                  <c:v>11.199999999999937</c:v>
                </c:pt>
                <c:pt idx="281">
                  <c:v>11.239999999999936</c:v>
                </c:pt>
                <c:pt idx="282">
                  <c:v>11.279999999999935</c:v>
                </c:pt>
                <c:pt idx="283">
                  <c:v>11.319999999999935</c:v>
                </c:pt>
                <c:pt idx="284">
                  <c:v>11.359999999999934</c:v>
                </c:pt>
                <c:pt idx="285">
                  <c:v>11.399999999999933</c:v>
                </c:pt>
                <c:pt idx="286">
                  <c:v>11.439999999999932</c:v>
                </c:pt>
                <c:pt idx="287">
                  <c:v>11.479999999999931</c:v>
                </c:pt>
                <c:pt idx="288">
                  <c:v>11.51999999999993</c:v>
                </c:pt>
                <c:pt idx="289">
                  <c:v>11.559999999999929</c:v>
                </c:pt>
                <c:pt idx="290">
                  <c:v>11.599999999999929</c:v>
                </c:pt>
                <c:pt idx="291">
                  <c:v>11.639999999999928</c:v>
                </c:pt>
                <c:pt idx="292">
                  <c:v>11.679999999999927</c:v>
                </c:pt>
                <c:pt idx="293">
                  <c:v>11.719999999999926</c:v>
                </c:pt>
                <c:pt idx="294">
                  <c:v>11.759999999999925</c:v>
                </c:pt>
                <c:pt idx="295">
                  <c:v>11.799999999999924</c:v>
                </c:pt>
                <c:pt idx="296">
                  <c:v>11.839999999999923</c:v>
                </c:pt>
                <c:pt idx="297">
                  <c:v>11.879999999999923</c:v>
                </c:pt>
                <c:pt idx="298">
                  <c:v>11.919999999999922</c:v>
                </c:pt>
                <c:pt idx="299">
                  <c:v>11.959999999999921</c:v>
                </c:pt>
                <c:pt idx="300">
                  <c:v>11.99999999999992</c:v>
                </c:pt>
                <c:pt idx="301">
                  <c:v>12.039999999999919</c:v>
                </c:pt>
                <c:pt idx="302">
                  <c:v>12.079999999999918</c:v>
                </c:pt>
                <c:pt idx="303">
                  <c:v>12.119999999999918</c:v>
                </c:pt>
                <c:pt idx="304">
                  <c:v>12.159999999999917</c:v>
                </c:pt>
                <c:pt idx="305">
                  <c:v>12.199999999999916</c:v>
                </c:pt>
                <c:pt idx="306">
                  <c:v>12.239999999999915</c:v>
                </c:pt>
                <c:pt idx="307">
                  <c:v>12.279999999999914</c:v>
                </c:pt>
                <c:pt idx="308">
                  <c:v>12.319999999999913</c:v>
                </c:pt>
                <c:pt idx="309">
                  <c:v>12.359999999999912</c:v>
                </c:pt>
                <c:pt idx="310">
                  <c:v>12.399999999999912</c:v>
                </c:pt>
                <c:pt idx="311">
                  <c:v>12.439999999999911</c:v>
                </c:pt>
                <c:pt idx="312">
                  <c:v>12.47999999999991</c:v>
                </c:pt>
                <c:pt idx="313">
                  <c:v>12.519999999999909</c:v>
                </c:pt>
                <c:pt idx="314">
                  <c:v>12.559999999999908</c:v>
                </c:pt>
                <c:pt idx="315">
                  <c:v>12.599999999999907</c:v>
                </c:pt>
                <c:pt idx="316">
                  <c:v>12.639999999999906</c:v>
                </c:pt>
                <c:pt idx="317">
                  <c:v>12.679999999999906</c:v>
                </c:pt>
                <c:pt idx="318">
                  <c:v>12.719999999999905</c:v>
                </c:pt>
                <c:pt idx="319">
                  <c:v>12.759999999999904</c:v>
                </c:pt>
                <c:pt idx="320">
                  <c:v>12.799999999999903</c:v>
                </c:pt>
                <c:pt idx="321">
                  <c:v>12.839999999999902</c:v>
                </c:pt>
                <c:pt idx="322">
                  <c:v>12.879999999999901</c:v>
                </c:pt>
                <c:pt idx="323">
                  <c:v>12.9199999999999</c:v>
                </c:pt>
                <c:pt idx="324">
                  <c:v>12.9599999999999</c:v>
                </c:pt>
                <c:pt idx="325">
                  <c:v>12.999999999999899</c:v>
                </c:pt>
                <c:pt idx="326">
                  <c:v>13.039999999999898</c:v>
                </c:pt>
                <c:pt idx="327">
                  <c:v>13.079999999999897</c:v>
                </c:pt>
                <c:pt idx="328">
                  <c:v>13.119999999999896</c:v>
                </c:pt>
                <c:pt idx="329">
                  <c:v>13.159999999999895</c:v>
                </c:pt>
                <c:pt idx="330">
                  <c:v>13.199999999999894</c:v>
                </c:pt>
                <c:pt idx="331">
                  <c:v>13.239999999999894</c:v>
                </c:pt>
                <c:pt idx="332">
                  <c:v>13.279999999999893</c:v>
                </c:pt>
                <c:pt idx="333">
                  <c:v>13.319999999999892</c:v>
                </c:pt>
                <c:pt idx="334">
                  <c:v>13.359999999999891</c:v>
                </c:pt>
                <c:pt idx="335">
                  <c:v>13.39999999999989</c:v>
                </c:pt>
                <c:pt idx="336">
                  <c:v>13.439999999999889</c:v>
                </c:pt>
                <c:pt idx="337">
                  <c:v>13.479999999999889</c:v>
                </c:pt>
                <c:pt idx="338">
                  <c:v>13.519999999999888</c:v>
                </c:pt>
                <c:pt idx="339">
                  <c:v>13.559999999999887</c:v>
                </c:pt>
                <c:pt idx="340">
                  <c:v>13.599999999999886</c:v>
                </c:pt>
                <c:pt idx="341">
                  <c:v>13.639999999999885</c:v>
                </c:pt>
                <c:pt idx="342">
                  <c:v>13.679999999999884</c:v>
                </c:pt>
                <c:pt idx="343">
                  <c:v>13.719999999999883</c:v>
                </c:pt>
                <c:pt idx="344">
                  <c:v>13.759999999999883</c:v>
                </c:pt>
                <c:pt idx="345">
                  <c:v>13.799999999999882</c:v>
                </c:pt>
                <c:pt idx="346">
                  <c:v>13.839999999999881</c:v>
                </c:pt>
                <c:pt idx="347">
                  <c:v>13.87999999999988</c:v>
                </c:pt>
                <c:pt idx="348">
                  <c:v>13.919999999999879</c:v>
                </c:pt>
                <c:pt idx="349">
                  <c:v>13.959999999999878</c:v>
                </c:pt>
                <c:pt idx="350">
                  <c:v>13.999999999999877</c:v>
                </c:pt>
                <c:pt idx="351">
                  <c:v>14.039999999999877</c:v>
                </c:pt>
                <c:pt idx="352">
                  <c:v>14.079999999999876</c:v>
                </c:pt>
                <c:pt idx="353">
                  <c:v>14.119999999999875</c:v>
                </c:pt>
                <c:pt idx="354">
                  <c:v>14.159999999999874</c:v>
                </c:pt>
                <c:pt idx="355">
                  <c:v>14.199999999999873</c:v>
                </c:pt>
                <c:pt idx="356">
                  <c:v>14.239999999999872</c:v>
                </c:pt>
                <c:pt idx="357">
                  <c:v>14.279999999999871</c:v>
                </c:pt>
                <c:pt idx="358">
                  <c:v>14.319999999999871</c:v>
                </c:pt>
                <c:pt idx="359">
                  <c:v>14.35999999999987</c:v>
                </c:pt>
                <c:pt idx="360">
                  <c:v>14.399999999999869</c:v>
                </c:pt>
                <c:pt idx="361">
                  <c:v>14.439999999999868</c:v>
                </c:pt>
                <c:pt idx="362">
                  <c:v>14.479999999999867</c:v>
                </c:pt>
                <c:pt idx="363">
                  <c:v>14.519999999999866</c:v>
                </c:pt>
                <c:pt idx="364">
                  <c:v>14.559999999999865</c:v>
                </c:pt>
                <c:pt idx="365">
                  <c:v>14.599999999999865</c:v>
                </c:pt>
                <c:pt idx="366">
                  <c:v>14.639999999999864</c:v>
                </c:pt>
                <c:pt idx="367">
                  <c:v>14.679999999999863</c:v>
                </c:pt>
                <c:pt idx="368">
                  <c:v>14.719999999999862</c:v>
                </c:pt>
                <c:pt idx="369">
                  <c:v>14.759999999999861</c:v>
                </c:pt>
                <c:pt idx="370">
                  <c:v>14.79999999999986</c:v>
                </c:pt>
                <c:pt idx="371">
                  <c:v>14.83999999999986</c:v>
                </c:pt>
                <c:pt idx="372">
                  <c:v>14.879999999999859</c:v>
                </c:pt>
                <c:pt idx="373">
                  <c:v>14.919999999999858</c:v>
                </c:pt>
                <c:pt idx="374">
                  <c:v>14.959999999999857</c:v>
                </c:pt>
                <c:pt idx="375">
                  <c:v>14.999999999999856</c:v>
                </c:pt>
                <c:pt idx="376">
                  <c:v>15.039999999999855</c:v>
                </c:pt>
                <c:pt idx="377">
                  <c:v>15.079999999999854</c:v>
                </c:pt>
                <c:pt idx="378">
                  <c:v>15.119999999999854</c:v>
                </c:pt>
                <c:pt idx="379">
                  <c:v>15.159999999999853</c:v>
                </c:pt>
                <c:pt idx="380">
                  <c:v>15.199999999999852</c:v>
                </c:pt>
                <c:pt idx="381">
                  <c:v>15.239999999999851</c:v>
                </c:pt>
                <c:pt idx="382">
                  <c:v>15.27999999999985</c:v>
                </c:pt>
                <c:pt idx="383">
                  <c:v>15.319999999999849</c:v>
                </c:pt>
                <c:pt idx="384">
                  <c:v>15.359999999999848</c:v>
                </c:pt>
                <c:pt idx="385">
                  <c:v>15.399999999999848</c:v>
                </c:pt>
                <c:pt idx="386">
                  <c:v>15.439999999999847</c:v>
                </c:pt>
                <c:pt idx="387">
                  <c:v>15.479999999999846</c:v>
                </c:pt>
                <c:pt idx="388">
                  <c:v>15.519999999999845</c:v>
                </c:pt>
                <c:pt idx="389">
                  <c:v>15.559999999999844</c:v>
                </c:pt>
                <c:pt idx="390">
                  <c:v>15.599999999999843</c:v>
                </c:pt>
                <c:pt idx="391">
                  <c:v>15.639999999999842</c:v>
                </c:pt>
                <c:pt idx="392">
                  <c:v>15.679999999999842</c:v>
                </c:pt>
                <c:pt idx="393">
                  <c:v>15.719999999999841</c:v>
                </c:pt>
                <c:pt idx="394">
                  <c:v>15.75999999999984</c:v>
                </c:pt>
                <c:pt idx="395">
                  <c:v>15.799999999999839</c:v>
                </c:pt>
                <c:pt idx="396">
                  <c:v>15.839999999999838</c:v>
                </c:pt>
                <c:pt idx="397">
                  <c:v>15.879999999999837</c:v>
                </c:pt>
                <c:pt idx="398">
                  <c:v>15.919999999999837</c:v>
                </c:pt>
                <c:pt idx="399">
                  <c:v>15.959999999999836</c:v>
                </c:pt>
                <c:pt idx="400">
                  <c:v>15.999999999999835</c:v>
                </c:pt>
                <c:pt idx="401">
                  <c:v>16.039999999999836</c:v>
                </c:pt>
                <c:pt idx="402">
                  <c:v>16.079999999999835</c:v>
                </c:pt>
                <c:pt idx="403">
                  <c:v>16.119999999999834</c:v>
                </c:pt>
                <c:pt idx="404">
                  <c:v>16.159999999999833</c:v>
                </c:pt>
                <c:pt idx="405">
                  <c:v>16.199999999999832</c:v>
                </c:pt>
                <c:pt idx="406">
                  <c:v>16.239999999999831</c:v>
                </c:pt>
                <c:pt idx="407">
                  <c:v>16.279999999999831</c:v>
                </c:pt>
                <c:pt idx="408">
                  <c:v>16.31999999999983</c:v>
                </c:pt>
                <c:pt idx="409">
                  <c:v>16.359999999999829</c:v>
                </c:pt>
                <c:pt idx="410">
                  <c:v>16.399999999999828</c:v>
                </c:pt>
                <c:pt idx="411">
                  <c:v>16.439999999999827</c:v>
                </c:pt>
                <c:pt idx="412">
                  <c:v>16.479999999999826</c:v>
                </c:pt>
                <c:pt idx="413">
                  <c:v>16.519999999999825</c:v>
                </c:pt>
                <c:pt idx="414">
                  <c:v>16.559999999999825</c:v>
                </c:pt>
                <c:pt idx="415">
                  <c:v>16.599999999999824</c:v>
                </c:pt>
                <c:pt idx="416">
                  <c:v>16.639999999999823</c:v>
                </c:pt>
                <c:pt idx="417">
                  <c:v>16.679999999999822</c:v>
                </c:pt>
                <c:pt idx="418">
                  <c:v>16.719999999999821</c:v>
                </c:pt>
                <c:pt idx="419">
                  <c:v>16.75999999999982</c:v>
                </c:pt>
                <c:pt idx="420">
                  <c:v>16.79999999999982</c:v>
                </c:pt>
                <c:pt idx="421">
                  <c:v>16.839999999999819</c:v>
                </c:pt>
                <c:pt idx="422">
                  <c:v>16.879999999999818</c:v>
                </c:pt>
                <c:pt idx="423">
                  <c:v>16.919999999999817</c:v>
                </c:pt>
                <c:pt idx="424">
                  <c:v>16.959999999999816</c:v>
                </c:pt>
                <c:pt idx="425">
                  <c:v>16.999999999999815</c:v>
                </c:pt>
                <c:pt idx="426">
                  <c:v>17.039999999999814</c:v>
                </c:pt>
                <c:pt idx="427">
                  <c:v>17.079999999999814</c:v>
                </c:pt>
                <c:pt idx="428">
                  <c:v>17.119999999999813</c:v>
                </c:pt>
                <c:pt idx="429">
                  <c:v>17.159999999999812</c:v>
                </c:pt>
                <c:pt idx="430">
                  <c:v>17.199999999999811</c:v>
                </c:pt>
                <c:pt idx="431">
                  <c:v>17.23999999999981</c:v>
                </c:pt>
                <c:pt idx="432">
                  <c:v>17.279999999999809</c:v>
                </c:pt>
                <c:pt idx="433">
                  <c:v>17.319999999999808</c:v>
                </c:pt>
                <c:pt idx="434">
                  <c:v>17.359999999999808</c:v>
                </c:pt>
                <c:pt idx="435">
                  <c:v>17.399999999999807</c:v>
                </c:pt>
                <c:pt idx="436">
                  <c:v>17.439999999999806</c:v>
                </c:pt>
                <c:pt idx="437">
                  <c:v>17.479999999999805</c:v>
                </c:pt>
                <c:pt idx="438">
                  <c:v>17.519999999999804</c:v>
                </c:pt>
                <c:pt idx="439">
                  <c:v>17.559999999999803</c:v>
                </c:pt>
                <c:pt idx="440">
                  <c:v>17.599999999999802</c:v>
                </c:pt>
                <c:pt idx="441">
                  <c:v>17.639999999999802</c:v>
                </c:pt>
                <c:pt idx="442">
                  <c:v>17.679999999999801</c:v>
                </c:pt>
                <c:pt idx="443">
                  <c:v>17.7199999999998</c:v>
                </c:pt>
                <c:pt idx="444">
                  <c:v>17.759999999999799</c:v>
                </c:pt>
                <c:pt idx="445">
                  <c:v>17.799999999999798</c:v>
                </c:pt>
                <c:pt idx="446">
                  <c:v>17.839999999999797</c:v>
                </c:pt>
                <c:pt idx="447">
                  <c:v>17.879999999999797</c:v>
                </c:pt>
                <c:pt idx="448">
                  <c:v>17.919999999999796</c:v>
                </c:pt>
                <c:pt idx="449">
                  <c:v>17.959999999999795</c:v>
                </c:pt>
                <c:pt idx="450">
                  <c:v>17.999999999999794</c:v>
                </c:pt>
                <c:pt idx="451">
                  <c:v>18.039999999999793</c:v>
                </c:pt>
                <c:pt idx="452">
                  <c:v>18.079999999999792</c:v>
                </c:pt>
                <c:pt idx="453">
                  <c:v>18.119999999999791</c:v>
                </c:pt>
                <c:pt idx="454">
                  <c:v>18.159999999999791</c:v>
                </c:pt>
                <c:pt idx="455">
                  <c:v>18.19999999999979</c:v>
                </c:pt>
                <c:pt idx="456">
                  <c:v>18.239999999999789</c:v>
                </c:pt>
                <c:pt idx="457">
                  <c:v>18.279999999999788</c:v>
                </c:pt>
                <c:pt idx="458">
                  <c:v>18.319999999999787</c:v>
                </c:pt>
                <c:pt idx="459">
                  <c:v>18.359999999999786</c:v>
                </c:pt>
                <c:pt idx="460">
                  <c:v>18.399999999999785</c:v>
                </c:pt>
                <c:pt idx="461">
                  <c:v>18.439999999999785</c:v>
                </c:pt>
                <c:pt idx="462">
                  <c:v>18.479999999999784</c:v>
                </c:pt>
                <c:pt idx="463">
                  <c:v>18.519999999999783</c:v>
                </c:pt>
                <c:pt idx="464">
                  <c:v>18.559999999999782</c:v>
                </c:pt>
                <c:pt idx="465">
                  <c:v>18.599999999999781</c:v>
                </c:pt>
                <c:pt idx="466">
                  <c:v>18.63999999999978</c:v>
                </c:pt>
                <c:pt idx="467">
                  <c:v>18.679999999999779</c:v>
                </c:pt>
                <c:pt idx="468">
                  <c:v>18.719999999999779</c:v>
                </c:pt>
                <c:pt idx="469">
                  <c:v>18.759999999999778</c:v>
                </c:pt>
                <c:pt idx="470">
                  <c:v>18.799999999999777</c:v>
                </c:pt>
                <c:pt idx="471">
                  <c:v>18.839999999999776</c:v>
                </c:pt>
                <c:pt idx="472">
                  <c:v>18.879999999999775</c:v>
                </c:pt>
                <c:pt idx="473">
                  <c:v>18.919999999999774</c:v>
                </c:pt>
                <c:pt idx="474">
                  <c:v>18.959999999999773</c:v>
                </c:pt>
                <c:pt idx="475">
                  <c:v>18.999999999999773</c:v>
                </c:pt>
                <c:pt idx="476">
                  <c:v>19.039999999999772</c:v>
                </c:pt>
                <c:pt idx="477">
                  <c:v>19.079999999999771</c:v>
                </c:pt>
                <c:pt idx="478">
                  <c:v>19.11999999999977</c:v>
                </c:pt>
                <c:pt idx="479">
                  <c:v>19.159999999999769</c:v>
                </c:pt>
                <c:pt idx="480">
                  <c:v>19.199999999999768</c:v>
                </c:pt>
                <c:pt idx="481">
                  <c:v>19.239999999999768</c:v>
                </c:pt>
                <c:pt idx="482">
                  <c:v>19.279999999999767</c:v>
                </c:pt>
                <c:pt idx="483">
                  <c:v>19.319999999999766</c:v>
                </c:pt>
                <c:pt idx="484">
                  <c:v>19.359999999999765</c:v>
                </c:pt>
                <c:pt idx="485">
                  <c:v>19.399999999999764</c:v>
                </c:pt>
                <c:pt idx="486">
                  <c:v>19.439999999999763</c:v>
                </c:pt>
                <c:pt idx="487">
                  <c:v>19.479999999999762</c:v>
                </c:pt>
                <c:pt idx="488">
                  <c:v>19.519999999999762</c:v>
                </c:pt>
                <c:pt idx="489">
                  <c:v>19.559999999999761</c:v>
                </c:pt>
                <c:pt idx="490">
                  <c:v>19.59999999999976</c:v>
                </c:pt>
                <c:pt idx="491">
                  <c:v>19.639999999999759</c:v>
                </c:pt>
                <c:pt idx="492">
                  <c:v>19.679999999999758</c:v>
                </c:pt>
                <c:pt idx="493">
                  <c:v>19.719999999999757</c:v>
                </c:pt>
                <c:pt idx="494">
                  <c:v>19.759999999999756</c:v>
                </c:pt>
                <c:pt idx="495">
                  <c:v>19.799999999999756</c:v>
                </c:pt>
                <c:pt idx="496">
                  <c:v>19.839999999999755</c:v>
                </c:pt>
                <c:pt idx="497">
                  <c:v>19.879999999999754</c:v>
                </c:pt>
                <c:pt idx="498">
                  <c:v>19.919999999999753</c:v>
                </c:pt>
                <c:pt idx="499">
                  <c:v>19.959999999999752</c:v>
                </c:pt>
                <c:pt idx="500">
                  <c:v>19.999999999999751</c:v>
                </c:pt>
                <c:pt idx="501">
                  <c:v>20.03999999999975</c:v>
                </c:pt>
                <c:pt idx="502">
                  <c:v>20.07999999999975</c:v>
                </c:pt>
                <c:pt idx="503">
                  <c:v>20.119999999999749</c:v>
                </c:pt>
                <c:pt idx="504">
                  <c:v>20.159999999999748</c:v>
                </c:pt>
                <c:pt idx="505">
                  <c:v>20.199999999999747</c:v>
                </c:pt>
                <c:pt idx="506">
                  <c:v>20.239999999999746</c:v>
                </c:pt>
                <c:pt idx="507">
                  <c:v>20.279999999999745</c:v>
                </c:pt>
                <c:pt idx="508">
                  <c:v>20.319999999999744</c:v>
                </c:pt>
                <c:pt idx="509">
                  <c:v>20.359999999999744</c:v>
                </c:pt>
                <c:pt idx="510">
                  <c:v>20.399999999999743</c:v>
                </c:pt>
                <c:pt idx="511">
                  <c:v>20.439999999999742</c:v>
                </c:pt>
                <c:pt idx="512">
                  <c:v>20.479999999999741</c:v>
                </c:pt>
                <c:pt idx="513">
                  <c:v>20.51999999999974</c:v>
                </c:pt>
                <c:pt idx="514">
                  <c:v>20.559999999999739</c:v>
                </c:pt>
                <c:pt idx="515">
                  <c:v>20.599999999999739</c:v>
                </c:pt>
                <c:pt idx="516">
                  <c:v>20.639999999999738</c:v>
                </c:pt>
                <c:pt idx="517">
                  <c:v>20.679999999999737</c:v>
                </c:pt>
                <c:pt idx="518">
                  <c:v>20.719999999999736</c:v>
                </c:pt>
                <c:pt idx="519">
                  <c:v>20.759999999999735</c:v>
                </c:pt>
                <c:pt idx="520">
                  <c:v>20.799999999999734</c:v>
                </c:pt>
                <c:pt idx="521">
                  <c:v>20.839999999999733</c:v>
                </c:pt>
                <c:pt idx="522">
                  <c:v>20.879999999999733</c:v>
                </c:pt>
                <c:pt idx="523">
                  <c:v>20.919999999999732</c:v>
                </c:pt>
                <c:pt idx="524">
                  <c:v>20.959999999999731</c:v>
                </c:pt>
                <c:pt idx="525">
                  <c:v>20.99999999999973</c:v>
                </c:pt>
                <c:pt idx="526">
                  <c:v>21.039999999999729</c:v>
                </c:pt>
                <c:pt idx="527">
                  <c:v>21.079999999999728</c:v>
                </c:pt>
                <c:pt idx="528">
                  <c:v>21.119999999999727</c:v>
                </c:pt>
                <c:pt idx="529">
                  <c:v>21.159999999999727</c:v>
                </c:pt>
                <c:pt idx="530">
                  <c:v>21.199999999999726</c:v>
                </c:pt>
                <c:pt idx="531">
                  <c:v>21.239999999999725</c:v>
                </c:pt>
                <c:pt idx="532">
                  <c:v>21.279999999999724</c:v>
                </c:pt>
                <c:pt idx="533">
                  <c:v>21.319999999999723</c:v>
                </c:pt>
                <c:pt idx="534">
                  <c:v>21.359999999999722</c:v>
                </c:pt>
                <c:pt idx="535">
                  <c:v>21.399999999999721</c:v>
                </c:pt>
                <c:pt idx="536">
                  <c:v>21.439999999999721</c:v>
                </c:pt>
                <c:pt idx="537">
                  <c:v>21.47999999999972</c:v>
                </c:pt>
                <c:pt idx="538">
                  <c:v>21.519999999999719</c:v>
                </c:pt>
                <c:pt idx="539">
                  <c:v>21.559999999999718</c:v>
                </c:pt>
                <c:pt idx="540">
                  <c:v>21.599999999999717</c:v>
                </c:pt>
                <c:pt idx="541">
                  <c:v>21.639999999999716</c:v>
                </c:pt>
                <c:pt idx="542">
                  <c:v>21.679999999999715</c:v>
                </c:pt>
                <c:pt idx="543">
                  <c:v>21.719999999999715</c:v>
                </c:pt>
                <c:pt idx="544">
                  <c:v>21.759999999999714</c:v>
                </c:pt>
                <c:pt idx="545">
                  <c:v>21.799999999999713</c:v>
                </c:pt>
                <c:pt idx="546">
                  <c:v>21.839999999999712</c:v>
                </c:pt>
                <c:pt idx="547">
                  <c:v>21.879999999999711</c:v>
                </c:pt>
                <c:pt idx="548">
                  <c:v>21.91999999999971</c:v>
                </c:pt>
                <c:pt idx="549">
                  <c:v>21.95999999999971</c:v>
                </c:pt>
                <c:pt idx="550">
                  <c:v>21.999999999999709</c:v>
                </c:pt>
                <c:pt idx="551">
                  <c:v>22.039999999999708</c:v>
                </c:pt>
                <c:pt idx="552">
                  <c:v>22.079999999999707</c:v>
                </c:pt>
                <c:pt idx="553">
                  <c:v>22.119999999999706</c:v>
                </c:pt>
                <c:pt idx="554">
                  <c:v>22.159999999999705</c:v>
                </c:pt>
                <c:pt idx="555">
                  <c:v>22.199999999999704</c:v>
                </c:pt>
                <c:pt idx="556">
                  <c:v>22.239999999999704</c:v>
                </c:pt>
                <c:pt idx="557">
                  <c:v>22.279999999999703</c:v>
                </c:pt>
                <c:pt idx="558">
                  <c:v>22.319999999999702</c:v>
                </c:pt>
                <c:pt idx="559">
                  <c:v>22.359999999999701</c:v>
                </c:pt>
                <c:pt idx="560">
                  <c:v>22.3999999999997</c:v>
                </c:pt>
                <c:pt idx="561">
                  <c:v>22.439999999999699</c:v>
                </c:pt>
                <c:pt idx="562">
                  <c:v>22.479999999999698</c:v>
                </c:pt>
                <c:pt idx="563">
                  <c:v>22.519999999999698</c:v>
                </c:pt>
                <c:pt idx="564">
                  <c:v>22.559999999999697</c:v>
                </c:pt>
                <c:pt idx="565">
                  <c:v>22.599999999999696</c:v>
                </c:pt>
                <c:pt idx="566">
                  <c:v>22.639999999999695</c:v>
                </c:pt>
                <c:pt idx="567">
                  <c:v>22.679999999999694</c:v>
                </c:pt>
                <c:pt idx="568">
                  <c:v>22.719999999999693</c:v>
                </c:pt>
                <c:pt idx="569">
                  <c:v>22.759999999999692</c:v>
                </c:pt>
                <c:pt idx="570">
                  <c:v>22.799999999999692</c:v>
                </c:pt>
                <c:pt idx="571">
                  <c:v>22.839999999999691</c:v>
                </c:pt>
                <c:pt idx="572">
                  <c:v>22.87999999999969</c:v>
                </c:pt>
                <c:pt idx="573">
                  <c:v>22.919999999999689</c:v>
                </c:pt>
                <c:pt idx="574">
                  <c:v>22.959999999999688</c:v>
                </c:pt>
                <c:pt idx="575">
                  <c:v>22.999999999999687</c:v>
                </c:pt>
                <c:pt idx="576">
                  <c:v>23.039999999999687</c:v>
                </c:pt>
                <c:pt idx="577">
                  <c:v>23.079999999999686</c:v>
                </c:pt>
                <c:pt idx="578">
                  <c:v>23.119999999999685</c:v>
                </c:pt>
                <c:pt idx="579">
                  <c:v>23.159999999999684</c:v>
                </c:pt>
                <c:pt idx="580">
                  <c:v>23.199999999999683</c:v>
                </c:pt>
                <c:pt idx="581">
                  <c:v>23.239999999999682</c:v>
                </c:pt>
                <c:pt idx="582">
                  <c:v>23.279999999999681</c:v>
                </c:pt>
                <c:pt idx="583">
                  <c:v>23.319999999999681</c:v>
                </c:pt>
                <c:pt idx="584">
                  <c:v>23.35999999999968</c:v>
                </c:pt>
                <c:pt idx="585">
                  <c:v>23.399999999999679</c:v>
                </c:pt>
                <c:pt idx="586">
                  <c:v>23.439999999999678</c:v>
                </c:pt>
                <c:pt idx="587">
                  <c:v>23.479999999999677</c:v>
                </c:pt>
                <c:pt idx="588">
                  <c:v>23.519999999999676</c:v>
                </c:pt>
                <c:pt idx="589">
                  <c:v>23.559999999999675</c:v>
                </c:pt>
                <c:pt idx="590">
                  <c:v>23.599999999999675</c:v>
                </c:pt>
                <c:pt idx="591">
                  <c:v>23.639999999999674</c:v>
                </c:pt>
                <c:pt idx="592">
                  <c:v>23.679999999999673</c:v>
                </c:pt>
                <c:pt idx="593">
                  <c:v>23.719999999999672</c:v>
                </c:pt>
                <c:pt idx="594">
                  <c:v>23.759999999999671</c:v>
                </c:pt>
                <c:pt idx="595">
                  <c:v>23.79999999999967</c:v>
                </c:pt>
                <c:pt idx="596">
                  <c:v>23.839999999999669</c:v>
                </c:pt>
                <c:pt idx="597">
                  <c:v>23.879999999999669</c:v>
                </c:pt>
                <c:pt idx="598">
                  <c:v>23.919999999999668</c:v>
                </c:pt>
                <c:pt idx="599">
                  <c:v>23.959999999999667</c:v>
                </c:pt>
                <c:pt idx="600">
                  <c:v>23.999999999999666</c:v>
                </c:pt>
                <c:pt idx="601">
                  <c:v>24.039999999999665</c:v>
                </c:pt>
                <c:pt idx="602">
                  <c:v>24.079999999999664</c:v>
                </c:pt>
                <c:pt idx="603">
                  <c:v>24.119999999999663</c:v>
                </c:pt>
                <c:pt idx="604">
                  <c:v>24.159999999999663</c:v>
                </c:pt>
                <c:pt idx="605">
                  <c:v>24.199999999999662</c:v>
                </c:pt>
                <c:pt idx="606">
                  <c:v>24.239999999999661</c:v>
                </c:pt>
                <c:pt idx="607">
                  <c:v>24.27999999999966</c:v>
                </c:pt>
                <c:pt idx="608">
                  <c:v>24.319999999999659</c:v>
                </c:pt>
                <c:pt idx="609">
                  <c:v>24.359999999999658</c:v>
                </c:pt>
                <c:pt idx="610">
                  <c:v>24.399999999999658</c:v>
                </c:pt>
                <c:pt idx="611">
                  <c:v>24.439999999999657</c:v>
                </c:pt>
                <c:pt idx="612">
                  <c:v>24.479999999999656</c:v>
                </c:pt>
                <c:pt idx="613">
                  <c:v>24.519999999999655</c:v>
                </c:pt>
                <c:pt idx="614">
                  <c:v>24.559999999999654</c:v>
                </c:pt>
                <c:pt idx="615">
                  <c:v>24.599999999999653</c:v>
                </c:pt>
                <c:pt idx="616">
                  <c:v>24.639999999999652</c:v>
                </c:pt>
                <c:pt idx="617">
                  <c:v>24.679999999999652</c:v>
                </c:pt>
                <c:pt idx="618">
                  <c:v>24.719999999999651</c:v>
                </c:pt>
                <c:pt idx="619">
                  <c:v>24.75999999999965</c:v>
                </c:pt>
                <c:pt idx="620">
                  <c:v>24.799999999999649</c:v>
                </c:pt>
                <c:pt idx="621">
                  <c:v>24.839999999999648</c:v>
                </c:pt>
                <c:pt idx="622">
                  <c:v>24.879999999999647</c:v>
                </c:pt>
                <c:pt idx="623">
                  <c:v>24.919999999999646</c:v>
                </c:pt>
                <c:pt idx="624">
                  <c:v>24.959999999999646</c:v>
                </c:pt>
                <c:pt idx="625">
                  <c:v>24.999999999999645</c:v>
                </c:pt>
                <c:pt idx="626">
                  <c:v>25.039999999999644</c:v>
                </c:pt>
                <c:pt idx="627">
                  <c:v>25.079999999999643</c:v>
                </c:pt>
                <c:pt idx="628">
                  <c:v>25.119999999999642</c:v>
                </c:pt>
                <c:pt idx="629">
                  <c:v>25.159999999999641</c:v>
                </c:pt>
                <c:pt idx="630">
                  <c:v>25.19999999999964</c:v>
                </c:pt>
                <c:pt idx="631">
                  <c:v>25.23999999999964</c:v>
                </c:pt>
                <c:pt idx="632">
                  <c:v>25.279999999999639</c:v>
                </c:pt>
                <c:pt idx="633">
                  <c:v>25.319999999999638</c:v>
                </c:pt>
                <c:pt idx="634">
                  <c:v>25.359999999999637</c:v>
                </c:pt>
                <c:pt idx="635">
                  <c:v>25.399999999999636</c:v>
                </c:pt>
                <c:pt idx="636">
                  <c:v>25.439999999999635</c:v>
                </c:pt>
                <c:pt idx="637">
                  <c:v>25.479999999999634</c:v>
                </c:pt>
                <c:pt idx="638">
                  <c:v>25.519999999999634</c:v>
                </c:pt>
                <c:pt idx="639">
                  <c:v>25.559999999999633</c:v>
                </c:pt>
                <c:pt idx="640">
                  <c:v>25.599999999999632</c:v>
                </c:pt>
                <c:pt idx="641">
                  <c:v>25.639999999999631</c:v>
                </c:pt>
                <c:pt idx="642">
                  <c:v>25.67999999999963</c:v>
                </c:pt>
                <c:pt idx="643">
                  <c:v>25.719999999999629</c:v>
                </c:pt>
                <c:pt idx="644">
                  <c:v>25.759999999999629</c:v>
                </c:pt>
                <c:pt idx="645">
                  <c:v>25.799999999999628</c:v>
                </c:pt>
                <c:pt idx="646">
                  <c:v>25.839999999999627</c:v>
                </c:pt>
                <c:pt idx="647">
                  <c:v>25.879999999999626</c:v>
                </c:pt>
                <c:pt idx="648">
                  <c:v>25.919999999999625</c:v>
                </c:pt>
                <c:pt idx="649">
                  <c:v>25.959999999999624</c:v>
                </c:pt>
                <c:pt idx="650">
                  <c:v>25.999999999999623</c:v>
                </c:pt>
                <c:pt idx="651">
                  <c:v>26.039999999999623</c:v>
                </c:pt>
                <c:pt idx="652">
                  <c:v>26.079999999999622</c:v>
                </c:pt>
                <c:pt idx="653">
                  <c:v>26.119999999999621</c:v>
                </c:pt>
                <c:pt idx="654">
                  <c:v>26.15999999999962</c:v>
                </c:pt>
                <c:pt idx="655">
                  <c:v>26.199999999999619</c:v>
                </c:pt>
                <c:pt idx="656">
                  <c:v>26.239999999999618</c:v>
                </c:pt>
                <c:pt idx="657">
                  <c:v>26.279999999999617</c:v>
                </c:pt>
                <c:pt idx="658">
                  <c:v>26.319999999999617</c:v>
                </c:pt>
                <c:pt idx="659">
                  <c:v>26.359999999999616</c:v>
                </c:pt>
                <c:pt idx="660">
                  <c:v>26.399999999999615</c:v>
                </c:pt>
                <c:pt idx="661">
                  <c:v>26.439999999999614</c:v>
                </c:pt>
                <c:pt idx="662">
                  <c:v>26.479999999999613</c:v>
                </c:pt>
                <c:pt idx="663">
                  <c:v>26.519999999999612</c:v>
                </c:pt>
                <c:pt idx="664">
                  <c:v>26.559999999999611</c:v>
                </c:pt>
                <c:pt idx="665">
                  <c:v>26.599999999999611</c:v>
                </c:pt>
                <c:pt idx="666">
                  <c:v>26.63999999999961</c:v>
                </c:pt>
                <c:pt idx="667">
                  <c:v>26.679999999999609</c:v>
                </c:pt>
                <c:pt idx="668">
                  <c:v>26.719999999999608</c:v>
                </c:pt>
                <c:pt idx="669">
                  <c:v>26.759999999999607</c:v>
                </c:pt>
                <c:pt idx="670">
                  <c:v>26.799999999999606</c:v>
                </c:pt>
                <c:pt idx="671">
                  <c:v>26.839999999999606</c:v>
                </c:pt>
                <c:pt idx="672">
                  <c:v>26.879999999999605</c:v>
                </c:pt>
                <c:pt idx="673">
                  <c:v>26.919999999999604</c:v>
                </c:pt>
                <c:pt idx="674">
                  <c:v>26.959999999999603</c:v>
                </c:pt>
                <c:pt idx="675">
                  <c:v>26.999999999999602</c:v>
                </c:pt>
                <c:pt idx="676">
                  <c:v>27.039999999999601</c:v>
                </c:pt>
                <c:pt idx="677">
                  <c:v>27.0799999999996</c:v>
                </c:pt>
                <c:pt idx="678">
                  <c:v>27.1199999999996</c:v>
                </c:pt>
                <c:pt idx="679">
                  <c:v>27.159999999999599</c:v>
                </c:pt>
                <c:pt idx="680">
                  <c:v>27.199999999999598</c:v>
                </c:pt>
                <c:pt idx="681">
                  <c:v>27.239999999999597</c:v>
                </c:pt>
                <c:pt idx="682">
                  <c:v>27.279999999999596</c:v>
                </c:pt>
                <c:pt idx="683">
                  <c:v>27.319999999999595</c:v>
                </c:pt>
                <c:pt idx="684">
                  <c:v>27.359999999999594</c:v>
                </c:pt>
                <c:pt idx="685">
                  <c:v>27.399999999999594</c:v>
                </c:pt>
                <c:pt idx="686">
                  <c:v>27.439999999999593</c:v>
                </c:pt>
                <c:pt idx="687">
                  <c:v>27.479999999999592</c:v>
                </c:pt>
                <c:pt idx="688">
                  <c:v>27.519999999999591</c:v>
                </c:pt>
                <c:pt idx="689">
                  <c:v>27.55999999999959</c:v>
                </c:pt>
                <c:pt idx="690">
                  <c:v>27.599999999999589</c:v>
                </c:pt>
                <c:pt idx="691">
                  <c:v>27.639999999999588</c:v>
                </c:pt>
                <c:pt idx="692">
                  <c:v>27.679999999999588</c:v>
                </c:pt>
                <c:pt idx="693">
                  <c:v>27.719999999999587</c:v>
                </c:pt>
                <c:pt idx="694">
                  <c:v>27.759999999999586</c:v>
                </c:pt>
                <c:pt idx="695">
                  <c:v>27.799999999999585</c:v>
                </c:pt>
                <c:pt idx="696">
                  <c:v>27.839999999999584</c:v>
                </c:pt>
                <c:pt idx="697">
                  <c:v>27.879999999999583</c:v>
                </c:pt>
                <c:pt idx="698">
                  <c:v>27.919999999999582</c:v>
                </c:pt>
                <c:pt idx="699">
                  <c:v>27.959999999999582</c:v>
                </c:pt>
                <c:pt idx="700">
                  <c:v>27.999999999999581</c:v>
                </c:pt>
                <c:pt idx="701">
                  <c:v>28.03999999999958</c:v>
                </c:pt>
                <c:pt idx="702">
                  <c:v>28.079999999999579</c:v>
                </c:pt>
                <c:pt idx="703">
                  <c:v>28.119999999999578</c:v>
                </c:pt>
                <c:pt idx="704">
                  <c:v>28.159999999999577</c:v>
                </c:pt>
                <c:pt idx="705">
                  <c:v>28.199999999999577</c:v>
                </c:pt>
                <c:pt idx="706">
                  <c:v>28.239999999999576</c:v>
                </c:pt>
                <c:pt idx="707">
                  <c:v>28.279999999999575</c:v>
                </c:pt>
                <c:pt idx="708">
                  <c:v>28.319999999999574</c:v>
                </c:pt>
                <c:pt idx="709">
                  <c:v>28.359999999999573</c:v>
                </c:pt>
                <c:pt idx="710">
                  <c:v>28.399999999999572</c:v>
                </c:pt>
                <c:pt idx="711">
                  <c:v>28.439999999999571</c:v>
                </c:pt>
                <c:pt idx="712">
                  <c:v>28.479999999999571</c:v>
                </c:pt>
                <c:pt idx="713">
                  <c:v>28.51999999999957</c:v>
                </c:pt>
                <c:pt idx="714">
                  <c:v>28.559999999999569</c:v>
                </c:pt>
                <c:pt idx="715">
                  <c:v>28.599999999999568</c:v>
                </c:pt>
              </c:numCache>
            </c:numRef>
          </c:cat>
          <c:val>
            <c:numRef>
              <c:f>Calculations!$B$28:$AAO$28</c:f>
              <c:numCache>
                <c:formatCode>General</c:formatCode>
                <c:ptCount val="716"/>
                <c:pt idx="0">
                  <c:v>32.005190070860515</c:v>
                </c:pt>
                <c:pt idx="1">
                  <c:v>32.005190070860515</c:v>
                </c:pt>
                <c:pt idx="2">
                  <c:v>32.005190070860515</c:v>
                </c:pt>
                <c:pt idx="3">
                  <c:v>32.005190070860515</c:v>
                </c:pt>
                <c:pt idx="4">
                  <c:v>32.005370278224277</c:v>
                </c:pt>
                <c:pt idx="5">
                  <c:v>32.006034095347005</c:v>
                </c:pt>
                <c:pt idx="6">
                  <c:v>32.007533172241509</c:v>
                </c:pt>
                <c:pt idx="7">
                  <c:v>32.010218197011362</c:v>
                </c:pt>
                <c:pt idx="8">
                  <c:v>32.014413802070663</c:v>
                </c:pt>
                <c:pt idx="9">
                  <c:v>32.020408673795757</c:v>
                </c:pt>
                <c:pt idx="10">
                  <c:v>32.028453758934241</c:v>
                </c:pt>
                <c:pt idx="11">
                  <c:v>32.038764243960614</c:v>
                </c:pt>
                <c:pt idx="12">
                  <c:v>32.051522991165783</c:v>
                </c:pt>
                <c:pt idx="13">
                  <c:v>32.066884300601799</c:v>
                </c:pt>
                <c:pt idx="14">
                  <c:v>32.08497749911168</c:v>
                </c:pt>
                <c:pt idx="15">
                  <c:v>32.105910171252077</c:v>
                </c:pt>
                <c:pt idx="16">
                  <c:v>32.12977099189343</c:v>
                </c:pt>
                <c:pt idx="17">
                  <c:v>32.15663218117939</c:v>
                </c:pt>
                <c:pt idx="18">
                  <c:v>32.186551623726473</c:v>
                </c:pt>
                <c:pt idx="19">
                  <c:v>32.219574697600748</c:v>
                </c:pt>
                <c:pt idx="20">
                  <c:v>32.255735855294425</c:v>
                </c:pt>
                <c:pt idx="21">
                  <c:v>32.295059993437953</c:v>
                </c:pt>
                <c:pt idx="22">
                  <c:v>32.33756364234614</c:v>
                </c:pt>
                <c:pt idx="23">
                  <c:v>32.383256001454185</c:v>
                </c:pt>
                <c:pt idx="24">
                  <c:v>32.432139842439888</c:v>
                </c:pt>
                <c:pt idx="25">
                  <c:v>32.484212298316329</c:v>
                </c:pt>
                <c:pt idx="26">
                  <c:v>32.539465553908542</c:v>
                </c:pt>
                <c:pt idx="27">
                  <c:v>32.597887450780405</c:v>
                </c:pt>
                <c:pt idx="28">
                  <c:v>32.659462017750485</c:v>
                </c:pt>
                <c:pt idx="29">
                  <c:v>32.724169936540996</c:v>
                </c:pt>
                <c:pt idx="30">
                  <c:v>32.791988950775668</c:v>
                </c:pt>
                <c:pt idx="31">
                  <c:v>32.862894225426416</c:v>
                </c:pt>
                <c:pt idx="32">
                  <c:v>32.936858662865028</c:v>
                </c:pt>
                <c:pt idx="33">
                  <c:v>33.013853180872658</c:v>
                </c:pt>
                <c:pt idx="34">
                  <c:v>33.09384695727212</c:v>
                </c:pt>
                <c:pt idx="35">
                  <c:v>33.176807645256247</c:v>
                </c:pt>
                <c:pt idx="36">
                  <c:v>33.262701562974378</c:v>
                </c:pt>
                <c:pt idx="37">
                  <c:v>33.351493860496262</c:v>
                </c:pt>
                <c:pt idx="38">
                  <c:v>33.443148666887318</c:v>
                </c:pt>
                <c:pt idx="39">
                  <c:v>33.53762921979397</c:v>
                </c:pt>
                <c:pt idx="40">
                  <c:v>33.634897979644784</c:v>
                </c:pt>
                <c:pt idx="41">
                  <c:v>33.734916730317153</c:v>
                </c:pt>
                <c:pt idx="42">
                  <c:v>33.8376466678952</c:v>
                </c:pt>
                <c:pt idx="43">
                  <c:v>33.943048478948064</c:v>
                </c:pt>
                <c:pt idx="44">
                  <c:v>34.051082409585526</c:v>
                </c:pt>
                <c:pt idx="45">
                  <c:v>34.161708326396678</c:v>
                </c:pt>
                <c:pt idx="46">
                  <c:v>34.274885770244559</c:v>
                </c:pt>
                <c:pt idx="47">
                  <c:v>34.390574003772983</c:v>
                </c:pt>
                <c:pt idx="48">
                  <c:v>34.508732053379134</c:v>
                </c:pt>
                <c:pt idx="49">
                  <c:v>34.629318746315462</c:v>
                </c:pt>
                <c:pt idx="50">
                  <c:v>34.752292743504825</c:v>
                </c:pt>
                <c:pt idx="51">
                  <c:v>34.877612568583288</c:v>
                </c:pt>
                <c:pt idx="52">
                  <c:v>35.005236633623284</c:v>
                </c:pt>
                <c:pt idx="53">
                  <c:v>35.135123261936045</c:v>
                </c:pt>
                <c:pt idx="54">
                  <c:v>35.267230708304375</c:v>
                </c:pt>
                <c:pt idx="55">
                  <c:v>35.401517176955124</c:v>
                </c:pt>
                <c:pt idx="56">
                  <c:v>35.537940837543722</c:v>
                </c:pt>
                <c:pt idx="57">
                  <c:v>35.676459839390631</c:v>
                </c:pt>
                <c:pt idx="58">
                  <c:v>35.817032324181085</c:v>
                </c:pt>
                <c:pt idx="59">
                  <c:v>35.959616437314168</c:v>
                </c:pt>
                <c:pt idx="60">
                  <c:v>36.10417033806511</c:v>
                </c:pt>
                <c:pt idx="61">
                  <c:v>36.250652208705219</c:v>
                </c:pt>
                <c:pt idx="62">
                  <c:v>36.399020262706479</c:v>
                </c:pt>
                <c:pt idx="63">
                  <c:v>36.549232752142906</c:v>
                </c:pt>
                <c:pt idx="64">
                  <c:v>36.701247974387122</c:v>
                </c:pt>
                <c:pt idx="65">
                  <c:v>36.855024278189077</c:v>
                </c:pt>
                <c:pt idx="66">
                  <c:v>37.010520069213278</c:v>
                </c:pt>
                <c:pt idx="67">
                  <c:v>37.167693815101913</c:v>
                </c:pt>
                <c:pt idx="68">
                  <c:v>37.326504050123027</c:v>
                </c:pt>
                <c:pt idx="69">
                  <c:v>37.486909379455973</c:v>
                </c:pt>
                <c:pt idx="70">
                  <c:v>37.648868483160008</c:v>
                </c:pt>
                <c:pt idx="71">
                  <c:v>37.812340119866377</c:v>
                </c:pt>
                <c:pt idx="72">
                  <c:v>37.977283130229502</c:v>
                </c:pt>
                <c:pt idx="73">
                  <c:v>38.143656440168378</c:v>
                </c:pt>
                <c:pt idx="74">
                  <c:v>38.311419063925811</c:v>
                </c:pt>
                <c:pt idx="75">
                  <c:v>38.480530106969468</c:v>
                </c:pt>
                <c:pt idx="76">
                  <c:v>38.650948768756081</c:v>
                </c:pt>
                <c:pt idx="77">
                  <c:v>38.822634345377367</c:v>
                </c:pt>
                <c:pt idx="78">
                  <c:v>38.995546232103997</c:v>
                </c:pt>
                <c:pt idx="79">
                  <c:v>39.169643925842031</c:v>
                </c:pt>
                <c:pt idx="80">
                  <c:v>39.344887027514261</c:v>
                </c:pt>
                <c:pt idx="81">
                  <c:v>39.5212352443776</c:v>
                </c:pt>
                <c:pt idx="82">
                  <c:v>39.698648392286081</c:v>
                </c:pt>
                <c:pt idx="83">
                  <c:v>39.877086397907881</c:v>
                </c:pt>
                <c:pt idx="84">
                  <c:v>40.056509300903762</c:v>
                </c:pt>
                <c:pt idx="85">
                  <c:v>40.236877256073321</c:v>
                </c:pt>
                <c:pt idx="86">
                  <c:v>40.418150535474609</c:v>
                </c:pt>
                <c:pt idx="87">
                  <c:v>40.600289530522005</c:v>
                </c:pt>
                <c:pt idx="88">
                  <c:v>40.783254754066519</c:v>
                </c:pt>
                <c:pt idx="89">
                  <c:v>40.967006842462197</c:v>
                </c:pt>
                <c:pt idx="90">
                  <c:v>41.151506557621708</c:v>
                </c:pt>
                <c:pt idx="91">
                  <c:v>41.336714789063855</c:v>
                </c:pt>
                <c:pt idx="92">
                  <c:v>41.522592555955306</c:v>
                </c:pt>
                <c:pt idx="93">
                  <c:v>41.709101009148476</c:v>
                </c:pt>
                <c:pt idx="94">
                  <c:v>41.8962014332173</c:v>
                </c:pt>
                <c:pt idx="95">
                  <c:v>42.083855248492164</c:v>
                </c:pt>
                <c:pt idx="96">
                  <c:v>42.272024013095326</c:v>
                </c:pt>
                <c:pt idx="97">
                  <c:v>42.460669424977596</c:v>
                </c:pt>
                <c:pt idx="98">
                  <c:v>42.649753323957221</c:v>
                </c:pt>
                <c:pt idx="99">
                  <c:v>42.839237693761518</c:v>
                </c:pt>
                <c:pt idx="100">
                  <c:v>43.029084664071675</c:v>
                </c:pt>
                <c:pt idx="101">
                  <c:v>43.219256512571192</c:v>
                </c:pt>
                <c:pt idx="102">
                  <c:v>43.409715666998146</c:v>
                </c:pt>
                <c:pt idx="103">
                  <c:v>43.600424707201398</c:v>
                </c:pt>
                <c:pt idx="104">
                  <c:v>43.79134636720093</c:v>
                </c:pt>
                <c:pt idx="105">
                  <c:v>43.982443537252145</c:v>
                </c:pt>
                <c:pt idx="106">
                  <c:v>44.173679265914217</c:v>
                </c:pt>
                <c:pt idx="107">
                  <c:v>44.365016762122281</c:v>
                </c:pt>
                <c:pt idx="108">
                  <c:v>44.556419397263312</c:v>
                </c:pt>
                <c:pt idx="109">
                  <c:v>44.747850707255516</c:v>
                </c:pt>
                <c:pt idx="110">
                  <c:v>44.939274394630885</c:v>
                </c:pt>
                <c:pt idx="111">
                  <c:v>45.130654330620807</c:v>
                </c:pt>
                <c:pt idx="112">
                  <c:v>45.321954557244212</c:v>
                </c:pt>
                <c:pt idx="113">
                  <c:v>45.513139289398111</c:v>
                </c:pt>
                <c:pt idx="114">
                  <c:v>45.704172916950057</c:v>
                </c:pt>
                <c:pt idx="115">
                  <c:v>45.895020006832212</c:v>
                </c:pt>
                <c:pt idx="116">
                  <c:v>46.085645305136602</c:v>
                </c:pt>
                <c:pt idx="117">
                  <c:v>46.276013739211194</c:v>
                </c:pt>
                <c:pt idx="118">
                  <c:v>46.466090419756391</c:v>
                </c:pt>
                <c:pt idx="119">
                  <c:v>46.655840642921454</c:v>
                </c:pt>
                <c:pt idx="120">
                  <c:v>46.84522989240056</c:v>
                </c:pt>
                <c:pt idx="121">
                  <c:v>47.034223841527925</c:v>
                </c:pt>
                <c:pt idx="122">
                  <c:v>47.222788355371648</c:v>
                </c:pt>
                <c:pt idx="123">
                  <c:v>47.410889492825831</c:v>
                </c:pt>
                <c:pt idx="124">
                  <c:v>47.598493508700479</c:v>
                </c:pt>
                <c:pt idx="125">
                  <c:v>47.78556685580881</c:v>
                </c:pt>
                <c:pt idx="126">
                  <c:v>47.972076187051471</c:v>
                </c:pt>
                <c:pt idx="127">
                  <c:v>48.157988357497238</c:v>
                </c:pt>
                <c:pt idx="128">
                  <c:v>48.343270426459789</c:v>
                </c:pt>
                <c:pt idx="129">
                  <c:v>48.527889659570043</c:v>
                </c:pt>
                <c:pt idx="130">
                  <c:v>48.711813530843649</c:v>
                </c:pt>
                <c:pt idx="131">
                  <c:v>48.895009724743254</c:v>
                </c:pt>
                <c:pt idx="132">
                  <c:v>49.077446138234954</c:v>
                </c:pt>
                <c:pt idx="133">
                  <c:v>49.25909088283867</c:v>
                </c:pt>
                <c:pt idx="134">
                  <c:v>49.439912286671856</c:v>
                </c:pt>
                <c:pt idx="135">
                  <c:v>49.619878896486256</c:v>
                </c:pt>
                <c:pt idx="136">
                  <c:v>49.79895947969711</c:v>
                </c:pt>
                <c:pt idx="137">
                  <c:v>49.977123026404563</c:v>
                </c:pt>
                <c:pt idx="138">
                  <c:v>50.154338751406712</c:v>
                </c:pt>
                <c:pt idx="139">
                  <c:v>50.330576096203941</c:v>
                </c:pt>
                <c:pt idx="140">
                  <c:v>50.505804730994107</c:v>
                </c:pt>
                <c:pt idx="141">
                  <c:v>50.679994556658158</c:v>
                </c:pt>
                <c:pt idx="142">
                  <c:v>50.853115706735807</c:v>
                </c:pt>
                <c:pt idx="143">
                  <c:v>51.025138549390803</c:v>
                </c:pt>
                <c:pt idx="144">
                  <c:v>51.196033689365422</c:v>
                </c:pt>
                <c:pt idx="145">
                  <c:v>51.36577196992377</c:v>
                </c:pt>
                <c:pt idx="146">
                  <c:v>51.534324474783553</c:v>
                </c:pt>
                <c:pt idx="147">
                  <c:v>51.701662530035811</c:v>
                </c:pt>
                <c:pt idx="148">
                  <c:v>51.867757706052359</c:v>
                </c:pt>
                <c:pt idx="149">
                  <c:v>52.032581819380439</c:v>
                </c:pt>
                <c:pt idx="150">
                  <c:v>52.196106934624268</c:v>
                </c:pt>
                <c:pt idx="151">
                  <c:v>52.35830536631309</c:v>
                </c:pt>
                <c:pt idx="152">
                  <c:v>52.519149680755341</c:v>
                </c:pt>
                <c:pt idx="153">
                  <c:v>52.678612697878584</c:v>
                </c:pt>
                <c:pt idx="154">
                  <c:v>52.83666749305484</c:v>
                </c:pt>
                <c:pt idx="155">
                  <c:v>52.993287398910915</c:v>
                </c:pt>
                <c:pt idx="156">
                  <c:v>53.148446007123447</c:v>
                </c:pt>
                <c:pt idx="157">
                  <c:v>53.302117170198258</c:v>
                </c:pt>
                <c:pt idx="158">
                  <c:v>53.454275003233654</c:v>
                </c:pt>
                <c:pt idx="159">
                  <c:v>53.604893885667373</c:v>
                </c:pt>
                <c:pt idx="160">
                  <c:v>53.753948463006815</c:v>
                </c:pt>
                <c:pt idx="161">
                  <c:v>53.901413648542203</c:v>
                </c:pt>
                <c:pt idx="162">
                  <c:v>54.047264625042367</c:v>
                </c:pt>
                <c:pt idx="163">
                  <c:v>54.191476846432799</c:v>
                </c:pt>
                <c:pt idx="164">
                  <c:v>54.334026039455701</c:v>
                </c:pt>
                <c:pt idx="165">
                  <c:v>54.474888205311586</c:v>
                </c:pt>
                <c:pt idx="166">
                  <c:v>54.614039621282295</c:v>
                </c:pt>
                <c:pt idx="167">
                  <c:v>54.751456842334939</c:v>
                </c:pt>
                <c:pt idx="168">
                  <c:v>54.887116702706557</c:v>
                </c:pt>
                <c:pt idx="169">
                  <c:v>55.020996317469184</c:v>
                </c:pt>
                <c:pt idx="170">
                  <c:v>55.153073084074961</c:v>
                </c:pt>
                <c:pt idx="171">
                  <c:v>55.283324683881069</c:v>
                </c:pt>
                <c:pt idx="172">
                  <c:v>55.41172908365413</c:v>
                </c:pt>
                <c:pt idx="173">
                  <c:v>55.538264537053806</c:v>
                </c:pt>
                <c:pt idx="174">
                  <c:v>55.662909586095338</c:v>
                </c:pt>
                <c:pt idx="175">
                  <c:v>55.785643062590701</c:v>
                </c:pt>
                <c:pt idx="176">
                  <c:v>55.906444089568105</c:v>
                </c:pt>
                <c:pt idx="177">
                  <c:v>56.025292082669615</c:v>
                </c:pt>
                <c:pt idx="178">
                  <c:v>56.142166751526538</c:v>
                </c:pt>
                <c:pt idx="179">
                  <c:v>56.25704810111236</c:v>
                </c:pt>
                <c:pt idx="180">
                  <c:v>56.369916433073008</c:v>
                </c:pt>
                <c:pt idx="181">
                  <c:v>56.480752347034084</c:v>
                </c:pt>
                <c:pt idx="182">
                  <c:v>56.589536741884892</c:v>
                </c:pt>
                <c:pt idx="183">
                  <c:v>56.696250817039001</c:v>
                </c:pt>
                <c:pt idx="184">
                  <c:v>56.800876073671034</c:v>
                </c:pt>
                <c:pt idx="185">
                  <c:v>56.903394315929546</c:v>
                </c:pt>
                <c:pt idx="186">
                  <c:v>57.003787652125652</c:v>
                </c:pt>
                <c:pt idx="187">
                  <c:v>57.102038495897233</c:v>
                </c:pt>
                <c:pt idx="188">
                  <c:v>57.198129567348467</c:v>
                </c:pt>
                <c:pt idx="189">
                  <c:v>57.292043894164472</c:v>
                </c:pt>
                <c:pt idx="190">
                  <c:v>57.383764812700811</c:v>
                </c:pt>
                <c:pt idx="191">
                  <c:v>57.473275969047663</c:v>
                </c:pt>
                <c:pt idx="192">
                  <c:v>57.56056132006848</c:v>
                </c:pt>
                <c:pt idx="193">
                  <c:v>57.645605134412818</c:v>
                </c:pt>
                <c:pt idx="194">
                  <c:v>57.728391993503251</c:v>
                </c:pt>
                <c:pt idx="195">
                  <c:v>57.80890679249611</c:v>
                </c:pt>
                <c:pt idx="196">
                  <c:v>57.887134741215817</c:v>
                </c:pt>
                <c:pt idx="197">
                  <c:v>57.963061365062721</c:v>
                </c:pt>
                <c:pt idx="198">
                  <c:v>58.036672505894124</c:v>
                </c:pt>
                <c:pt idx="199">
                  <c:v>58.107954322878413</c:v>
                </c:pt>
                <c:pt idx="200">
                  <c:v>58.176893293322046</c:v>
                </c:pt>
                <c:pt idx="201">
                  <c:v>58.243476213469272</c:v>
                </c:pt>
                <c:pt idx="202">
                  <c:v>58.307690199274333</c:v>
                </c:pt>
                <c:pt idx="203">
                  <c:v>58.36952268714608</c:v>
                </c:pt>
                <c:pt idx="204">
                  <c:v>58.428961434664785</c:v>
                </c:pt>
                <c:pt idx="205">
                  <c:v>58.485994521270932</c:v>
                </c:pt>
                <c:pt idx="206">
                  <c:v>58.540610348925938</c:v>
                </c:pt>
                <c:pt idx="207">
                  <c:v>58.592797642744586</c:v>
                </c:pt>
                <c:pt idx="208">
                  <c:v>58.642545451599027</c:v>
                </c:pt>
                <c:pt idx="209">
                  <c:v>58.689843148694216</c:v>
                </c:pt>
                <c:pt idx="210">
                  <c:v>58.734680432114644</c:v>
                </c:pt>
                <c:pt idx="211">
                  <c:v>58.777047325342203</c:v>
                </c:pt>
                <c:pt idx="212">
                  <c:v>58.816934177745111</c:v>
                </c:pt>
                <c:pt idx="213">
                  <c:v>58.854331665037677</c:v>
                </c:pt>
                <c:pt idx="214">
                  <c:v>58.889230789710879</c:v>
                </c:pt>
                <c:pt idx="215">
                  <c:v>58.921622881433564</c:v>
                </c:pt>
                <c:pt idx="216">
                  <c:v>58.951499597424174</c:v>
                </c:pt>
                <c:pt idx="217">
                  <c:v>58.978852922792917</c:v>
                </c:pt>
                <c:pt idx="218">
                  <c:v>59.003675170854223</c:v>
                </c:pt>
                <c:pt idx="219">
                  <c:v>59.025958983409417</c:v>
                </c:pt>
                <c:pt idx="220">
                  <c:v>59.045697330999488</c:v>
                </c:pt>
                <c:pt idx="221">
                  <c:v>59.062883513127879</c:v>
                </c:pt>
                <c:pt idx="222">
                  <c:v>59.077511158453191</c:v>
                </c:pt>
                <c:pt idx="223">
                  <c:v>59.089574224951718</c:v>
                </c:pt>
                <c:pt idx="224">
                  <c:v>59.099067000049729</c:v>
                </c:pt>
                <c:pt idx="225">
                  <c:v>59.105984100725408</c:v>
                </c:pt>
                <c:pt idx="226">
                  <c:v>59.110320473580416</c:v>
                </c:pt>
                <c:pt idx="227">
                  <c:v>59.112071394880914</c:v>
                </c:pt>
                <c:pt idx="228">
                  <c:v>59.111232470568112</c:v>
                </c:pt>
                <c:pt idx="229">
                  <c:v>59.107799636238148</c:v>
                </c:pt>
                <c:pt idx="230">
                  <c:v>59.101769157091347</c:v>
                </c:pt>
                <c:pt idx="231">
                  <c:v>59.093137627850695</c:v>
                </c:pt>
                <c:pt idx="232">
                  <c:v>59.081901972649604</c:v>
                </c:pt>
                <c:pt idx="233">
                  <c:v>59.06805944488881</c:v>
                </c:pt>
                <c:pt idx="234">
                  <c:v>59.051607627062424</c:v>
                </c:pt>
                <c:pt idx="235">
                  <c:v>59.03254443055306</c:v>
                </c:pt>
                <c:pt idx="236">
                  <c:v>59.010868095396056</c:v>
                </c:pt>
                <c:pt idx="237">
                  <c:v>58.986577190012703</c:v>
                </c:pt>
                <c:pt idx="238">
                  <c:v>58.959670610912468</c:v>
                </c:pt>
                <c:pt idx="239">
                  <c:v>58.930147582364235</c:v>
                </c:pt>
                <c:pt idx="240">
                  <c:v>58.898007656036476</c:v>
                </c:pt>
                <c:pt idx="241">
                  <c:v>58.863250710606366</c:v>
                </c:pt>
                <c:pt idx="242">
                  <c:v>58.825876951337868</c:v>
                </c:pt>
                <c:pt idx="243">
                  <c:v>58.785886909628729</c:v>
                </c:pt>
                <c:pt idx="244">
                  <c:v>58.743281442526396</c:v>
                </c:pt>
                <c:pt idx="245">
                  <c:v>58.698061732212871</c:v>
                </c:pt>
                <c:pt idx="246">
                  <c:v>58.650229285458501</c:v>
                </c:pt>
                <c:pt idx="247">
                  <c:v>58.599785933044728</c:v>
                </c:pt>
                <c:pt idx="248">
                  <c:v>58.546733829155762</c:v>
                </c:pt>
                <c:pt idx="249">
                  <c:v>58.49107545073926</c:v>
                </c:pt>
                <c:pt idx="250">
                  <c:v>58.432813596835985</c:v>
                </c:pt>
                <c:pt idx="251">
                  <c:v>58.371951387878497</c:v>
                </c:pt>
                <c:pt idx="252">
                  <c:v>58.308492264958893</c:v>
                </c:pt>
                <c:pt idx="253">
                  <c:v>58.24243998906563</c:v>
                </c:pt>
                <c:pt idx="254">
                  <c:v>58.173798640289462</c:v>
                </c:pt>
                <c:pt idx="255">
                  <c:v>58.102572616998557</c:v>
                </c:pt>
                <c:pt idx="256">
                  <c:v>58.028766634982802</c:v>
                </c:pt>
                <c:pt idx="257">
                  <c:v>57.952385726567378</c:v>
                </c:pt>
                <c:pt idx="258">
                  <c:v>57.873435239695645</c:v>
                </c:pt>
                <c:pt idx="259">
                  <c:v>57.791920836981369</c:v>
                </c:pt>
                <c:pt idx="260">
                  <c:v>57.70784849473042</c:v>
                </c:pt>
                <c:pt idx="261">
                  <c:v>57.621224501931913</c:v>
                </c:pt>
                <c:pt idx="262">
                  <c:v>57.532055459218931</c:v>
                </c:pt>
                <c:pt idx="263">
                  <c:v>57.440348277798861</c:v>
                </c:pt>
                <c:pt idx="264">
                  <c:v>57.346110178353491</c:v>
                </c:pt>
                <c:pt idx="265">
                  <c:v>57.249348689908793</c:v>
                </c:pt>
                <c:pt idx="266">
                  <c:v>57.150071648674661</c:v>
                </c:pt>
                <c:pt idx="267">
                  <c:v>57.048287196854581</c:v>
                </c:pt>
                <c:pt idx="268">
                  <c:v>56.944003781425323</c:v>
                </c:pt>
                <c:pt idx="269">
                  <c:v>56.837230152886782</c:v>
                </c:pt>
                <c:pt idx="270">
                  <c:v>56.727975363982097</c:v>
                </c:pt>
                <c:pt idx="271">
                  <c:v>56.616248768388047</c:v>
                </c:pt>
                <c:pt idx="272">
                  <c:v>56.502060019375939</c:v>
                </c:pt>
                <c:pt idx="273">
                  <c:v>56.385419068443035</c:v>
                </c:pt>
                <c:pt idx="274">
                  <c:v>56.266336163914652</c:v>
                </c:pt>
                <c:pt idx="275">
                  <c:v>56.144821849517022</c:v>
                </c:pt>
                <c:pt idx="276">
                  <c:v>56.020886962921111</c:v>
                </c:pt>
                <c:pt idx="277">
                  <c:v>55.894542634257412</c:v>
                </c:pt>
                <c:pt idx="278">
                  <c:v>55.765800284601909</c:v>
                </c:pt>
                <c:pt idx="279">
                  <c:v>55.634671624433338</c:v>
                </c:pt>
                <c:pt idx="280">
                  <c:v>55.501168652061871</c:v>
                </c:pt>
                <c:pt idx="281">
                  <c:v>55.36530365202934</c:v>
                </c:pt>
                <c:pt idx="282">
                  <c:v>55.22708919348117</c:v>
                </c:pt>
                <c:pt idx="283">
                  <c:v>55.086538128510156</c:v>
                </c:pt>
                <c:pt idx="284">
                  <c:v>54.943663590472248</c:v>
                </c:pt>
                <c:pt idx="285">
                  <c:v>54.798478992274447</c:v>
                </c:pt>
                <c:pt idx="286">
                  <c:v>54.65099802463503</c:v>
                </c:pt>
                <c:pt idx="287">
                  <c:v>54.501234654316228</c:v>
                </c:pt>
                <c:pt idx="288">
                  <c:v>54.349203122329513</c:v>
                </c:pt>
                <c:pt idx="289">
                  <c:v>54.194917942113683</c:v>
                </c:pt>
                <c:pt idx="290">
                  <c:v>54.038393897685886</c:v>
                </c:pt>
                <c:pt idx="291">
                  <c:v>53.879646041765788</c:v>
                </c:pt>
                <c:pt idx="292">
                  <c:v>53.718689693873031</c:v>
                </c:pt>
                <c:pt idx="293">
                  <c:v>53.555540438398182</c:v>
                </c:pt>
                <c:pt idx="294">
                  <c:v>53.390214122647329</c:v>
                </c:pt>
                <c:pt idx="295">
                  <c:v>53.222726854860518</c:v>
                </c:pt>
                <c:pt idx="296">
                  <c:v>53.053095002204259</c:v>
                </c:pt>
                <c:pt idx="297">
                  <c:v>52.88133518873822</c:v>
                </c:pt>
                <c:pt idx="298">
                  <c:v>52.70746429335636</c:v>
                </c:pt>
                <c:pt idx="299">
                  <c:v>52.531499447702679</c:v>
                </c:pt>
                <c:pt idx="300">
                  <c:v>52.353458034061788</c:v>
                </c:pt>
                <c:pt idx="301">
                  <c:v>52.173357683224481</c:v>
                </c:pt>
                <c:pt idx="302">
                  <c:v>51.991216272328565</c:v>
                </c:pt>
                <c:pt idx="303">
                  <c:v>51.807051922675122</c:v>
                </c:pt>
                <c:pt idx="304">
                  <c:v>51.621063204884152</c:v>
                </c:pt>
                <c:pt idx="305">
                  <c:v>51.433572124330055</c:v>
                </c:pt>
                <c:pt idx="306">
                  <c:v>51.244949171471653</c:v>
                </c:pt>
                <c:pt idx="307">
                  <c:v>51.055564110045488</c:v>
                </c:pt>
                <c:pt idx="308">
                  <c:v>50.865760880982307</c:v>
                </c:pt>
                <c:pt idx="309">
                  <c:v>50.675847709732253</c:v>
                </c:pt>
                <c:pt idx="310">
                  <c:v>50.486095310324281</c:v>
                </c:pt>
                <c:pt idx="311">
                  <c:v>50.296738862349514</c:v>
                </c:pt>
                <c:pt idx="312">
                  <c:v>50.107981444655856</c:v>
                </c:pt>
                <c:pt idx="313">
                  <c:v>49.919997794875556</c:v>
                </c:pt>
                <c:pt idx="314">
                  <c:v>49.732937896015798</c:v>
                </c:pt>
                <c:pt idx="315">
                  <c:v>49.546930204920322</c:v>
                </c:pt>
                <c:pt idx="316">
                  <c:v>49.362084482386912</c:v>
                </c:pt>
                <c:pt idx="317">
                  <c:v>49.1784942456229</c:v>
                </c:pt>
                <c:pt idx="318">
                  <c:v>48.996238884919805</c:v>
                </c:pt>
                <c:pt idx="319">
                  <c:v>48.815385490084147</c:v>
                </c:pt>
                <c:pt idx="320">
                  <c:v>48.635990428847641</c:v>
                </c:pt>
                <c:pt idx="321">
                  <c:v>48.458100713992621</c:v>
                </c:pt>
                <c:pt idx="322">
                  <c:v>48.281755190291385</c:v>
                </c:pt>
                <c:pt idx="323">
                  <c:v>48.106985567315725</c:v>
                </c:pt>
                <c:pt idx="324">
                  <c:v>47.933817319913111</c:v>
                </c:pt>
                <c:pt idx="325">
                  <c:v>47.762270474634114</c:v>
                </c:pt>
                <c:pt idx="326">
                  <c:v>47.59236029752482</c:v>
                </c:pt>
                <c:pt idx="327">
                  <c:v>47.424097896350823</c:v>
                </c:pt>
                <c:pt idx="328">
                  <c:v>47.257490748391696</c:v>
                </c:pt>
                <c:pt idx="329">
                  <c:v>47.092543163350499</c:v>
                </c:pt>
                <c:pt idx="330">
                  <c:v>46.929256689594233</c:v>
                </c:pt>
                <c:pt idx="331">
                  <c:v>46.767630470825658</c:v>
                </c:pt>
                <c:pt idx="332">
                  <c:v>46.607661559342709</c:v>
                </c:pt>
                <c:pt idx="333">
                  <c:v>46.449345191238798</c:v>
                </c:pt>
                <c:pt idx="334">
                  <c:v>46.292675028209146</c:v>
                </c:pt>
                <c:pt idx="335">
                  <c:v>46.137643370036763</c:v>
                </c:pt>
                <c:pt idx="336">
                  <c:v>45.98424134132047</c:v>
                </c:pt>
                <c:pt idx="337">
                  <c:v>45.832459055564414</c:v>
                </c:pt>
                <c:pt idx="338">
                  <c:v>45.682285759363467</c:v>
                </c:pt>
                <c:pt idx="339">
                  <c:v>45.533709959083438</c:v>
                </c:pt>
                <c:pt idx="340">
                  <c:v>45.386719532142124</c:v>
                </c:pt>
                <c:pt idx="341">
                  <c:v>45.241301824741299</c:v>
                </c:pt>
                <c:pt idx="342">
                  <c:v>45.097443737675569</c:v>
                </c:pt>
                <c:pt idx="343">
                  <c:v>44.955131801647575</c:v>
                </c:pt>
                <c:pt idx="344">
                  <c:v>44.814352243346804</c:v>
                </c:pt>
                <c:pt idx="345">
                  <c:v>44.675091043398069</c:v>
                </c:pt>
                <c:pt idx="346">
                  <c:v>44.537333987152834</c:v>
                </c:pt>
                <c:pt idx="347">
                  <c:v>44.401066709179915</c:v>
                </c:pt>
                <c:pt idx="348">
                  <c:v>44.266274732209524</c:v>
                </c:pt>
                <c:pt idx="349">
                  <c:v>44.13294350119439</c:v>
                </c:pt>
                <c:pt idx="350">
                  <c:v>44.001058413072371</c:v>
                </c:pt>
                <c:pt idx="351">
                  <c:v>43.870604842745095</c:v>
                </c:pt>
                <c:pt idx="352">
                  <c:v>43.741568165725866</c:v>
                </c:pt>
                <c:pt idx="353">
                  <c:v>43.613933777855877</c:v>
                </c:pt>
                <c:pt idx="354">
                  <c:v>43.487687112440256</c:v>
                </c:pt>
                <c:pt idx="355">
                  <c:v>43.362813655113555</c:v>
                </c:pt>
                <c:pt idx="356">
                  <c:v>43.23929895670738</c:v>
                </c:pt>
                <c:pt idx="357">
                  <c:v>43.117128644360413</c:v>
                </c:pt>
                <c:pt idx="358">
                  <c:v>42.996288431082405</c:v>
                </c:pt>
                <c:pt idx="359">
                  <c:v>42.876764123958601</c:v>
                </c:pt>
                <c:pt idx="360">
                  <c:v>42.75854163115882</c:v>
                </c:pt>
                <c:pt idx="361">
                  <c:v>42.641606967895882</c:v>
                </c:pt>
                <c:pt idx="362">
                  <c:v>42.525946261460767</c:v>
                </c:pt>
                <c:pt idx="363">
                  <c:v>42.411545755446944</c:v>
                </c:pt>
                <c:pt idx="364">
                  <c:v>42.298391813262668</c:v>
                </c:pt>
                <c:pt idx="365">
                  <c:v>42.186470921018476</c:v>
                </c:pt>
                <c:pt idx="366">
                  <c:v>42.07576968986664</c:v>
                </c:pt>
                <c:pt idx="367">
                  <c:v>41.966274857860192</c:v>
                </c:pt>
                <c:pt idx="368">
                  <c:v>41.857973291391176</c:v>
                </c:pt>
                <c:pt idx="369">
                  <c:v>41.750851986260514</c:v>
                </c:pt>
                <c:pt idx="370">
                  <c:v>41.644898068425853</c:v>
                </c:pt>
                <c:pt idx="371">
                  <c:v>41.540098794467973</c:v>
                </c:pt>
                <c:pt idx="372">
                  <c:v>41.436441551811718</c:v>
                </c:pt>
                <c:pt idx="373">
                  <c:v>41.333913858733005</c:v>
                </c:pt>
                <c:pt idx="374">
                  <c:v>41.232503364179671</c:v>
                </c:pt>
                <c:pt idx="375">
                  <c:v>41.132197847430774</c:v>
                </c:pt>
                <c:pt idx="376">
                  <c:v>41.032985217615717</c:v>
                </c:pt>
                <c:pt idx="377">
                  <c:v>40.934853513112316</c:v>
                </c:pt>
                <c:pt idx="378">
                  <c:v>40.837790900840425</c:v>
                </c:pt>
                <c:pt idx="379">
                  <c:v>40.741785675465842</c:v>
                </c:pt>
                <c:pt idx="380">
                  <c:v>40.646826258527362</c:v>
                </c:pt>
                <c:pt idx="381">
                  <c:v>40.552901197498386</c:v>
                </c:pt>
                <c:pt idx="382">
                  <c:v>40.459999164793004</c:v>
                </c:pt>
                <c:pt idx="383">
                  <c:v>40.368108956725393</c:v>
                </c:pt>
                <c:pt idx="384">
                  <c:v>40.27721949243017</c:v>
                </c:pt>
                <c:pt idx="385">
                  <c:v>40.187319812750459</c:v>
                </c:pt>
                <c:pt idx="386">
                  <c:v>40.098399079099657</c:v>
                </c:pt>
                <c:pt idx="387">
                  <c:v>40.010446572302001</c:v>
                </c:pt>
                <c:pt idx="388">
                  <c:v>39.923451691416609</c:v>
                </c:pt>
                <c:pt idx="389">
                  <c:v>39.837403952548826</c:v>
                </c:pt>
                <c:pt idx="390">
                  <c:v>39.752292987652524</c:v>
                </c:pt>
                <c:pt idx="391">
                  <c:v>39.668108543326227</c:v>
                </c:pt>
                <c:pt idx="392">
                  <c:v>39.584840479605894</c:v>
                </c:pt>
                <c:pt idx="393">
                  <c:v>39.502478768756475</c:v>
                </c:pt>
                <c:pt idx="394">
                  <c:v>39.421013494064432</c:v>
                </c:pt>
                <c:pt idx="395">
                  <c:v>39.34043484863281</c:v>
                </c:pt>
                <c:pt idx="396">
                  <c:v>39.260733134180505</c:v>
                </c:pt>
                <c:pt idx="397">
                  <c:v>39.181898759846923</c:v>
                </c:pt>
                <c:pt idx="398">
                  <c:v>39.10392224100319</c:v>
                </c:pt>
                <c:pt idx="399">
                  <c:v>39.026794198070931</c:v>
                </c:pt>
                <c:pt idx="400">
                  <c:v>38.950505355349321</c:v>
                </c:pt>
                <c:pt idx="401">
                  <c:v>38.875046539851205</c:v>
                </c:pt>
                <c:pt idx="402">
                  <c:v>38.800408680148884</c:v>
                </c:pt>
                <c:pt idx="403">
                  <c:v>38.72658280522996</c:v>
                </c:pt>
                <c:pt idx="404">
                  <c:v>38.653560043363747</c:v>
                </c:pt>
                <c:pt idx="405">
                  <c:v>38.58133162097856</c:v>
                </c:pt>
                <c:pt idx="406">
                  <c:v>38.509888861550152</c:v>
                </c:pt>
                <c:pt idx="407">
                  <c:v>38.439223184501536</c:v>
                </c:pt>
                <c:pt idx="408">
                  <c:v>38.369326104114307</c:v>
                </c:pt>
                <c:pt idx="409">
                  <c:v>38.300189228451643</c:v>
                </c:pt>
                <c:pt idx="410">
                  <c:v>38.231804258293081</c:v>
                </c:pt>
                <c:pt idx="411">
                  <c:v>38.164162986081088</c:v>
                </c:pt>
                <c:pt idx="412">
                  <c:v>38.097257294879469</c:v>
                </c:pt>
                <c:pt idx="413">
                  <c:v>38.031079157343612</c:v>
                </c:pt>
                <c:pt idx="414">
                  <c:v>37.965620634702546</c:v>
                </c:pt>
                <c:pt idx="415">
                  <c:v>37.900873875752829</c:v>
                </c:pt>
                <c:pt idx="416">
                  <c:v>37.836831115864122</c:v>
                </c:pt>
                <c:pt idx="417">
                  <c:v>37.77348467599645</c:v>
                </c:pt>
                <c:pt idx="418">
                  <c:v>37.710826961729055</c:v>
                </c:pt>
                <c:pt idx="419">
                  <c:v>37.64885046230075</c:v>
                </c:pt>
                <c:pt idx="420">
                  <c:v>37.587547749661667</c:v>
                </c:pt>
                <c:pt idx="421">
                  <c:v>37.526911477536324</c:v>
                </c:pt>
                <c:pt idx="422">
                  <c:v>37.466934380497875</c:v>
                </c:pt>
                <c:pt idx="423">
                  <c:v>37.407609273053438</c:v>
                </c:pt>
                <c:pt idx="424">
                  <c:v>37.348929048740388</c:v>
                </c:pt>
                <c:pt idx="425">
                  <c:v>37.290886679233481</c:v>
                </c:pt>
                <c:pt idx="426">
                  <c:v>37.233475213462711</c:v>
                </c:pt>
                <c:pt idx="427">
                  <c:v>37.17668777674173</c:v>
                </c:pt>
                <c:pt idx="428">
                  <c:v>37.120517569906745</c:v>
                </c:pt>
                <c:pt idx="429">
                  <c:v>37.064957868465754</c:v>
                </c:pt>
                <c:pt idx="430">
                  <c:v>37.010002021757977</c:v>
                </c:pt>
                <c:pt idx="431">
                  <c:v>36.955643452123375</c:v>
                </c:pt>
                <c:pt idx="432">
                  <c:v>36.901875654082104</c:v>
                </c:pt>
                <c:pt idx="433">
                  <c:v>36.848692193523789</c:v>
                </c:pt>
                <c:pt idx="434">
                  <c:v>36.796086706906486</c:v>
                </c:pt>
                <c:pt idx="435">
                  <c:v>36.744052900465263</c:v>
                </c:pt>
                <c:pt idx="436">
                  <c:v>36.69258454943013</c:v>
                </c:pt>
                <c:pt idx="437">
                  <c:v>36.641675497253338</c:v>
                </c:pt>
                <c:pt idx="438">
                  <c:v>36.591319654845897</c:v>
                </c:pt>
                <c:pt idx="439">
                  <c:v>36.541510999823082</c:v>
                </c:pt>
                <c:pt idx="440">
                  <c:v>36.492243575758955</c:v>
                </c:pt>
                <c:pt idx="441">
                  <c:v>36.443511491449691</c:v>
                </c:pt>
                <c:pt idx="442">
                  <c:v>36.39530892018562</c:v>
                </c:pt>
                <c:pt idx="443">
                  <c:v>36.347630099031868</c:v>
                </c:pt>
                <c:pt idx="444">
                  <c:v>36.300469328117451</c:v>
                </c:pt>
                <c:pt idx="445">
                  <c:v>36.253820969932768</c:v>
                </c:pt>
                <c:pt idx="446">
                  <c:v>36.207679448635346</c:v>
                </c:pt>
                <c:pt idx="447">
                  <c:v>36.162039249363708</c:v>
                </c:pt>
                <c:pt idx="448">
                  <c:v>36.116894917559307</c:v>
                </c:pt>
                <c:pt idx="449">
                  <c:v>36.072241058296363</c:v>
                </c:pt>
                <c:pt idx="450">
                  <c:v>36.028072335619548</c:v>
                </c:pt>
                <c:pt idx="451">
                  <c:v>35.984383471889366</c:v>
                </c:pt>
                <c:pt idx="452">
                  <c:v>35.941169247135207</c:v>
                </c:pt>
                <c:pt idx="453">
                  <c:v>35.898424498415864</c:v>
                </c:pt>
                <c:pt idx="454">
                  <c:v>35.856144119187483</c:v>
                </c:pt>
                <c:pt idx="455">
                  <c:v>35.814323058678873</c:v>
                </c:pt>
                <c:pt idx="456">
                  <c:v>35.772956321274016</c:v>
                </c:pt>
                <c:pt idx="457">
                  <c:v>35.732038965901701</c:v>
                </c:pt>
                <c:pt idx="458">
                  <c:v>35.691566105432237</c:v>
                </c:pt>
                <c:pt idx="459">
                  <c:v>35.651532906081087</c:v>
                </c:pt>
                <c:pt idx="460">
                  <c:v>35.611934586819388</c:v>
                </c:pt>
                <c:pt idx="461">
                  <c:v>35.572766418791218</c:v>
                </c:pt>
                <c:pt idx="462">
                  <c:v>35.53402372473758</c:v>
                </c:pt>
                <c:pt idx="463">
                  <c:v>35.495701878426956</c:v>
                </c:pt>
                <c:pt idx="464">
                  <c:v>35.457796304092412</c:v>
                </c:pt>
                <c:pt idx="465">
                  <c:v>35.420302475875111</c:v>
                </c:pt>
                <c:pt idx="466">
                  <c:v>35.383215917274192</c:v>
                </c:pt>
                <c:pt idx="467">
                  <c:v>35.34653220060293</c:v>
                </c:pt>
                <c:pt idx="468">
                  <c:v>35.31024694645108</c:v>
                </c:pt>
                <c:pt idx="469">
                  <c:v>35.274355823153329</c:v>
                </c:pt>
                <c:pt idx="470">
                  <c:v>35.238854546263809</c:v>
                </c:pt>
                <c:pt idx="471">
                  <c:v>35.20373887803656</c:v>
                </c:pt>
                <c:pt idx="472">
                  <c:v>35.169004626911907</c:v>
                </c:pt>
                <c:pt idx="473">
                  <c:v>35.134647647008606</c:v>
                </c:pt>
                <c:pt idx="474">
                  <c:v>35.100663837621802</c:v>
                </c:pt>
                <c:pt idx="475">
                  <c:v>35.067049142726603</c:v>
                </c:pt>
                <c:pt idx="476">
                  <c:v>35.033799550487295</c:v>
                </c:pt>
                <c:pt idx="477">
                  <c:v>35.000911092772078</c:v>
                </c:pt>
                <c:pt idx="478">
                  <c:v>34.968379844673301</c:v>
                </c:pt>
                <c:pt idx="479">
                  <c:v>34.936201924033035</c:v>
                </c:pt>
                <c:pt idx="480">
                  <c:v>34.904373490974052</c:v>
                </c:pt>
                <c:pt idx="481">
                  <c:v>34.872890747436038</c:v>
                </c:pt>
                <c:pt idx="482">
                  <c:v>34.841749936717022</c:v>
                </c:pt>
                <c:pt idx="483">
                  <c:v>34.810947343019954</c:v>
                </c:pt>
                <c:pt idx="484">
                  <c:v>34.780479291004362</c:v>
                </c:pt>
                <c:pt idx="485">
                  <c:v>34.750342145343041</c:v>
                </c:pt>
                <c:pt idx="486">
                  <c:v>34.72053231028368</c:v>
                </c:pt>
                <c:pt idx="487">
                  <c:v>34.691046229215424</c:v>
                </c:pt>
                <c:pt idx="488">
                  <c:v>34.661880384240263</c:v>
                </c:pt>
                <c:pt idx="489">
                  <c:v>34.633031295749191</c:v>
                </c:pt>
                <c:pt idx="490">
                  <c:v>34.604495522003148</c:v>
                </c:pt>
                <c:pt idx="491">
                  <c:v>34.576269658718573</c:v>
                </c:pt>
                <c:pt idx="492">
                  <c:v>34.548350338657606</c:v>
                </c:pt>
                <c:pt idx="493">
                  <c:v>34.52073423122286</c:v>
                </c:pt>
                <c:pt idx="494">
                  <c:v>34.493418042056696</c:v>
                </c:pt>
                <c:pt idx="495">
                  <c:v>34.466398512644943</c:v>
                </c:pt>
                <c:pt idx="496">
                  <c:v>34.439672419925046</c:v>
                </c:pt>
                <c:pt idx="497">
                  <c:v>34.413236575898551</c:v>
                </c:pt>
                <c:pt idx="498">
                  <c:v>34.387087827247896</c:v>
                </c:pt>
                <c:pt idx="499">
                  <c:v>34.361223054957449</c:v>
                </c:pt>
                <c:pt idx="500">
                  <c:v>34.335639173938773</c:v>
                </c:pt>
                <c:pt idx="501">
                  <c:v>34.310333132659999</c:v>
                </c:pt>
                <c:pt idx="502">
                  <c:v>34.285301912779353</c:v>
                </c:pt>
                <c:pt idx="503">
                  <c:v>34.260542528782722</c:v>
                </c:pt>
                <c:pt idx="504">
                  <c:v>34.236052027625206</c:v>
                </c:pt>
                <c:pt idx="505">
                  <c:v>34.211827488376684</c:v>
                </c:pt>
                <c:pt idx="506">
                  <c:v>34.187866021871258</c:v>
                </c:pt>
                <c:pt idx="507">
                  <c:v>34.164164770360593</c:v>
                </c:pt>
                <c:pt idx="508">
                  <c:v>34.140720907171065</c:v>
                </c:pt>
                <c:pt idx="509">
                  <c:v>34.117531636364731</c:v>
                </c:pt>
                <c:pt idx="510">
                  <c:v>34.094594192403996</c:v>
                </c:pt>
                <c:pt idx="511">
                  <c:v>34.071905839820019</c:v>
                </c:pt>
                <c:pt idx="512">
                  <c:v>34.049463872884736</c:v>
                </c:pt>
                <c:pt idx="513">
                  <c:v>34.027265615286552</c:v>
                </c:pt>
                <c:pt idx="514">
                  <c:v>34.005308419809531</c:v>
                </c:pt>
                <c:pt idx="515">
                  <c:v>33.983589668016208</c:v>
                </c:pt>
                <c:pt idx="516">
                  <c:v>33.962106769933811</c:v>
                </c:pt>
                <c:pt idx="517">
                  <c:v>33.940857163743999</c:v>
                </c:pt>
                <c:pt idx="518">
                  <c:v>33.919838315475971</c:v>
                </c:pt>
                <c:pt idx="519">
                  <c:v>33.899047718702974</c:v>
                </c:pt>
                <c:pt idx="520">
                  <c:v>33.878482894242147</c:v>
                </c:pt>
                <c:pt idx="521">
                  <c:v>33.85814138985765</c:v>
                </c:pt>
                <c:pt idx="522">
                  <c:v>33.83802077996706</c:v>
                </c:pt>
                <c:pt idx="523">
                  <c:v>33.818118665351001</c:v>
                </c:pt>
                <c:pt idx="524">
                  <c:v>33.798432672865957</c:v>
                </c:pt>
                <c:pt idx="525">
                  <c:v>33.778960455160245</c:v>
                </c:pt>
                <c:pt idx="526">
                  <c:v>33.75969969039307</c:v>
                </c:pt>
                <c:pt idx="527">
                  <c:v>33.740648081956728</c:v>
                </c:pt>
                <c:pt idx="528">
                  <c:v>33.721803358201775</c:v>
                </c:pt>
                <c:pt idx="529">
                  <c:v>33.703163272165291</c:v>
                </c:pt>
                <c:pt idx="530">
                  <c:v>33.68472560130207</c:v>
                </c:pt>
                <c:pt idx="531">
                  <c:v>33.666488147218764</c:v>
                </c:pt>
                <c:pt idx="532">
                  <c:v>33.648448735410952</c:v>
                </c:pt>
                <c:pt idx="533">
                  <c:v>33.630605215003087</c:v>
                </c:pt>
                <c:pt idx="534">
                  <c:v>33.612955458491278</c:v>
                </c:pt>
                <c:pt idx="535">
                  <c:v>33.595497361488917</c:v>
                </c:pt>
                <c:pt idx="536">
                  <c:v>33.578228842475056</c:v>
                </c:pt>
                <c:pt idx="537">
                  <c:v>33.561147842545559</c:v>
                </c:pt>
                <c:pt idx="538">
                  <c:v>33.544252325166987</c:v>
                </c:pt>
                <c:pt idx="539">
                  <c:v>33.527540275933134</c:v>
                </c:pt>
                <c:pt idx="540">
                  <c:v>33.511009702324273</c:v>
                </c:pt>
                <c:pt idx="541">
                  <c:v>33.494658633469015</c:v>
                </c:pt>
                <c:pt idx="542">
                  <c:v>33.478485119908768</c:v>
                </c:pt>
                <c:pt idx="543">
                  <c:v>33.462487233364762</c:v>
                </c:pt>
                <c:pt idx="544">
                  <c:v>33.446663066507661</c:v>
                </c:pt>
                <c:pt idx="545">
                  <c:v>33.431010732729646</c:v>
                </c:pt>
                <c:pt idx="546">
                  <c:v>33.415528365919016</c:v>
                </c:pt>
                <c:pt idx="547">
                  <c:v>33.400214120237237</c:v>
                </c:pt>
                <c:pt idx="548">
                  <c:v>33.385066169898437</c:v>
                </c:pt>
                <c:pt idx="549">
                  <c:v>33.370082708951301</c:v>
                </c:pt>
                <c:pt idx="550">
                  <c:v>33.355261951063362</c:v>
                </c:pt>
                <c:pt idx="551">
                  <c:v>33.340602129307626</c:v>
                </c:pt>
                <c:pt idx="552">
                  <c:v>33.326101495951541</c:v>
                </c:pt>
                <c:pt idx="553">
                  <c:v>33.311758322248252</c:v>
                </c:pt>
                <c:pt idx="554">
                  <c:v>33.297570898230177</c:v>
                </c:pt>
                <c:pt idx="555">
                  <c:v>33.283537532504774</c:v>
                </c:pt>
                <c:pt idx="556">
                  <c:v>33.269656552052595</c:v>
                </c:pt>
                <c:pt idx="557">
                  <c:v>33.255926302027497</c:v>
                </c:pt>
                <c:pt idx="558">
                  <c:v>33.242345145559057</c:v>
                </c:pt>
                <c:pt idx="559">
                  <c:v>33.228911463557139</c:v>
                </c:pt>
                <c:pt idx="560">
                  <c:v>33.215623654518588</c:v>
                </c:pt>
                <c:pt idx="561">
                  <c:v>33.202480134336035</c:v>
                </c:pt>
                <c:pt idx="562">
                  <c:v>33.189479336108782</c:v>
                </c:pt>
                <c:pt idx="563">
                  <c:v>33.176619709955752</c:v>
                </c:pt>
                <c:pt idx="564">
                  <c:v>33.163899722830486</c:v>
                </c:pt>
                <c:pt idx="565">
                  <c:v>33.151317858338146</c:v>
                </c:pt>
                <c:pt idx="566">
                  <c:v>33.138872616554494</c:v>
                </c:pt>
                <c:pt idx="567">
                  <c:v>33.126562513846892</c:v>
                </c:pt>
                <c:pt idx="568">
                  <c:v>33.114386082697209</c:v>
                </c:pt>
                <c:pt idx="569">
                  <c:v>33.102341871526676</c:v>
                </c:pt>
                <c:pt idx="570">
                  <c:v>33.090428444522651</c:v>
                </c:pt>
                <c:pt idx="571">
                  <c:v>33.078644381467257</c:v>
                </c:pt>
                <c:pt idx="572">
                  <c:v>33.066988277567908</c:v>
                </c:pt>
                <c:pt idx="573">
                  <c:v>33.055458743289655</c:v>
                </c:pt>
                <c:pt idx="574">
                  <c:v>33.044054404189389</c:v>
                </c:pt>
                <c:pt idx="575">
                  <c:v>33.032773900751806</c:v>
                </c:pt>
                <c:pt idx="576">
                  <c:v>33.02161588822721</c:v>
                </c:pt>
                <c:pt idx="577">
                  <c:v>33.010579036471043</c:v>
                </c:pt>
                <c:pt idx="578">
                  <c:v>32.999662029785171</c:v>
                </c:pt>
                <c:pt idx="579">
                  <c:v>32.988863566760919</c:v>
                </c:pt>
                <c:pt idx="580">
                  <c:v>32.978182360123789</c:v>
                </c:pt>
                <c:pt idx="581">
                  <c:v>32.967617136579868</c:v>
                </c:pt>
                <c:pt idx="582">
                  <c:v>32.957166636663921</c:v>
                </c:pt>
                <c:pt idx="583">
                  <c:v>32.946829614589149</c:v>
                </c:pt>
                <c:pt idx="584">
                  <c:v>32.936604838098546</c:v>
                </c:pt>
                <c:pt idx="585">
                  <c:v>32.92649108831791</c:v>
                </c:pt>
                <c:pt idx="586">
                  <c:v>32.916487159610412</c:v>
                </c:pt>
                <c:pt idx="587">
                  <c:v>32.906591859432815</c:v>
                </c:pt>
                <c:pt idx="588">
                  <c:v>32.896804008193172</c:v>
                </c:pt>
                <c:pt idx="589">
                  <c:v>32.887122439110136</c:v>
                </c:pt>
                <c:pt idx="590">
                  <c:v>32.877545998073785</c:v>
                </c:pt>
                <c:pt idx="591">
                  <c:v>32.86807354350794</c:v>
                </c:pt>
                <c:pt idx="592">
                  <c:v>32.858703946234023</c:v>
                </c:pt>
                <c:pt idx="593">
                  <c:v>32.849436089336329</c:v>
                </c:pt>
                <c:pt idx="594">
                  <c:v>32.840268868028851</c:v>
                </c:pt>
                <c:pt idx="595">
                  <c:v>32.831201189523469</c:v>
                </c:pt>
                <c:pt idx="596">
                  <c:v>32.82223197289963</c:v>
                </c:pt>
                <c:pt idx="597">
                  <c:v>32.81336014897542</c:v>
                </c:pt>
                <c:pt idx="598">
                  <c:v>32.804584660180055</c:v>
                </c:pt>
                <c:pt idx="599">
                  <c:v>32.795904460427728</c:v>
                </c:pt>
                <c:pt idx="600">
                  <c:v>32.787318514992855</c:v>
                </c:pt>
                <c:pt idx="601">
                  <c:v>32.778825800386684</c:v>
                </c:pt>
                <c:pt idx="602">
                  <c:v>32.770425304235211</c:v>
                </c:pt>
                <c:pt idx="603">
                  <c:v>32.762116025158456</c:v>
                </c:pt>
                <c:pt idx="604">
                  <c:v>32.754077180014797</c:v>
                </c:pt>
                <c:pt idx="605">
                  <c:v>32.746611191450533</c:v>
                </c:pt>
                <c:pt idx="606">
                  <c:v>32.740068740369196</c:v>
                </c:pt>
                <c:pt idx="607">
                  <c:v>32.734799556289147</c:v>
                </c:pt>
                <c:pt idx="608">
                  <c:v>32.731127323449016</c:v>
                </c:pt>
                <c:pt idx="609">
                  <c:v>32.729339790346373</c:v>
                </c:pt>
                <c:pt idx="610">
                  <c:v>32.729686976034856</c:v>
                </c:pt>
                <c:pt idx="611">
                  <c:v>32.732383149369234</c:v>
                </c:pt>
                <c:pt idx="612">
                  <c:v>32.737610264985456</c:v>
                </c:pt>
                <c:pt idx="613">
                  <c:v>32.745521725137174</c:v>
                </c:pt>
                <c:pt idx="614">
                  <c:v>32.756245968618494</c:v>
                </c:pt>
                <c:pt idx="615">
                  <c:v>32.769889701580766</c:v>
                </c:pt>
                <c:pt idx="616">
                  <c:v>32.786540730027973</c:v>
                </c:pt>
                <c:pt idx="617">
                  <c:v>32.806270414672568</c:v>
                </c:pt>
                <c:pt idx="618">
                  <c:v>32.829135790032637</c:v>
                </c:pt>
                <c:pt idx="619">
                  <c:v>32.855181393307248</c:v>
                </c:pt>
                <c:pt idx="620">
                  <c:v>32.884440845252712</c:v>
                </c:pt>
                <c:pt idx="621">
                  <c:v>32.916938219795597</c:v>
                </c:pt>
                <c:pt idx="622">
                  <c:v>32.952689233480676</c:v>
                </c:pt>
                <c:pt idx="623">
                  <c:v>32.991702280809967</c:v>
                </c:pt>
                <c:pt idx="624">
                  <c:v>33.033979337268953</c:v>
                </c:pt>
                <c:pt idx="625">
                  <c:v>33.079516748324345</c:v>
                </c:pt>
                <c:pt idx="626">
                  <c:v>33.12830591980682</c:v>
                </c:pt>
                <c:pt idx="627">
                  <c:v>33.180333922745085</c:v>
                </c:pt>
                <c:pt idx="628">
                  <c:v>33.235584023789791</c:v>
                </c:pt>
                <c:pt idx="629">
                  <c:v>33.294036150771667</c:v>
                </c:pt>
                <c:pt idx="630">
                  <c:v>33.355667301609472</c:v>
                </c:pt>
                <c:pt idx="631">
                  <c:v>33.420451903667768</c:v>
                </c:pt>
                <c:pt idx="632">
                  <c:v>33.488362129720649</c:v>
                </c:pt>
                <c:pt idx="633">
                  <c:v>33.559368175874276</c:v>
                </c:pt>
                <c:pt idx="634">
                  <c:v>33.633438506113116</c:v>
                </c:pt>
                <c:pt idx="635">
                  <c:v>33.710540067543164</c:v>
                </c:pt>
                <c:pt idx="636">
                  <c:v>33.790638479894291</c:v>
                </c:pt>
                <c:pt idx="637">
                  <c:v>33.873698202400853</c:v>
                </c:pt>
                <c:pt idx="638">
                  <c:v>33.9596826807946</c:v>
                </c:pt>
                <c:pt idx="639">
                  <c:v>34.048554476808526</c:v>
                </c:pt>
                <c:pt idx="640">
                  <c:v>34.140275382297439</c:v>
                </c:pt>
                <c:pt idx="641">
                  <c:v>34.234806519824936</c:v>
                </c:pt>
                <c:pt idx="642">
                  <c:v>34.332108431342455</c:v>
                </c:pt>
                <c:pt idx="643">
                  <c:v>34.432141156389577</c:v>
                </c:pt>
                <c:pt idx="644">
                  <c:v>34.534864301072503</c:v>
                </c:pt>
                <c:pt idx="645">
                  <c:v>34.640237098926455</c:v>
                </c:pt>
                <c:pt idx="646">
                  <c:v>34.748218464634803</c:v>
                </c:pt>
                <c:pt idx="647">
                  <c:v>34.858767041461256</c:v>
                </c:pt>
                <c:pt idx="648">
                  <c:v>34.971841243148631</c:v>
                </c:pt>
                <c:pt idx="649">
                  <c:v>35.08739929094768</c:v>
                </c:pt>
                <c:pt idx="650">
                  <c:v>35.20539924636001</c:v>
                </c:pt>
                <c:pt idx="651">
                  <c:v>35.325799040109402</c:v>
                </c:pt>
                <c:pt idx="652">
                  <c:v>35.448556497794307</c:v>
                </c:pt>
                <c:pt idx="653">
                  <c:v>35.573629362620338</c:v>
                </c:pt>
                <c:pt idx="654">
                  <c:v>35.700975315563923</c:v>
                </c:pt>
                <c:pt idx="655">
                  <c:v>35.830551993276323</c:v>
                </c:pt>
                <c:pt idx="656">
                  <c:v>35.962317004000539</c:v>
                </c:pt>
                <c:pt idx="657">
                  <c:v>36.096227941740814</c:v>
                </c:pt>
                <c:pt idx="658">
                  <c:v>36.232242398896204</c:v>
                </c:pt>
                <c:pt idx="659">
                  <c:v>36.370317977544126</c:v>
                </c:pt>
                <c:pt idx="660">
                  <c:v>36.510412299537933</c:v>
                </c:pt>
                <c:pt idx="661">
                  <c:v>36.652483015562723</c:v>
                </c:pt>
                <c:pt idx="662">
                  <c:v>36.796487813276627</c:v>
                </c:pt>
                <c:pt idx="663">
                  <c:v>36.94238442464944</c:v>
                </c:pt>
                <c:pt idx="664">
                  <c:v>37.090130632597202</c:v>
                </c:pt>
                <c:pt idx="665">
                  <c:v>37.23968427699959</c:v>
                </c:pt>
                <c:pt idx="666">
                  <c:v>37.391003260176497</c:v>
                </c:pt>
                <c:pt idx="667">
                  <c:v>37.544045551891131</c:v>
                </c:pt>
                <c:pt idx="668">
                  <c:v>37.698769193938851</c:v>
                </c:pt>
                <c:pt idx="669">
                  <c:v>37.85513230437391</c:v>
                </c:pt>
                <c:pt idx="670">
                  <c:v>38.013093081419981</c:v>
                </c:pt>
                <c:pt idx="671">
                  <c:v>38.172609807104813</c:v>
                </c:pt>
                <c:pt idx="672">
                  <c:v>38.333640850654554</c:v>
                </c:pt>
                <c:pt idx="673">
                  <c:v>38.496144671679026</c:v>
                </c:pt>
                <c:pt idx="674">
                  <c:v>38.660079823175309</c:v>
                </c:pt>
                <c:pt idx="675">
                  <c:v>38.825404954373838</c:v>
                </c:pt>
                <c:pt idx="676">
                  <c:v>38.992078813448217</c:v>
                </c:pt>
                <c:pt idx="677">
                  <c:v>39.160060250107335</c:v>
                </c:pt>
                <c:pt idx="678">
                  <c:v>39.32930821808614</c:v>
                </c:pt>
                <c:pt idx="679">
                  <c:v>39.499781777549401</c:v>
                </c:pt>
                <c:pt idx="680">
                  <c:v>39.671440097421026</c:v>
                </c:pt>
                <c:pt idx="681">
                  <c:v>39.844242457649948</c:v>
                </c:pt>
                <c:pt idx="682">
                  <c:v>40.018148251422168</c:v>
                </c:pt>
                <c:pt idx="683">
                  <c:v>40.193116987327407</c:v>
                </c:pt>
                <c:pt idx="684">
                  <c:v>40.369108291487713</c:v>
                </c:pt>
                <c:pt idx="685">
                  <c:v>40.546081909654397</c:v>
                </c:pt>
                <c:pt idx="686">
                  <c:v>40.723997709278912</c:v>
                </c:pt>
                <c:pt idx="687">
                  <c:v>40.90281568156248</c:v>
                </c:pt>
                <c:pt idx="688">
                  <c:v>41.082495943488688</c:v>
                </c:pt>
                <c:pt idx="689">
                  <c:v>41.262998739842715</c:v>
                </c:pt>
                <c:pt idx="690">
                  <c:v>41.444284445220234</c:v>
                </c:pt>
                <c:pt idx="691">
                  <c:v>41.626313566028749</c:v>
                </c:pt>
                <c:pt idx="692">
                  <c:v>41.809046742483659</c:v>
                </c:pt>
                <c:pt idx="693">
                  <c:v>41.992444750600981</c:v>
                </c:pt>
                <c:pt idx="694">
                  <c:v>42.176468504188414</c:v>
                </c:pt>
                <c:pt idx="695">
                  <c:v>42.361079056836097</c:v>
                </c:pt>
                <c:pt idx="696">
                  <c:v>42.546237603908295</c:v>
                </c:pt>
                <c:pt idx="697">
                  <c:v>42.731905484536853</c:v>
                </c:pt>
                <c:pt idx="698">
                  <c:v>42.918044183617305</c:v>
                </c:pt>
                <c:pt idx="699">
                  <c:v>43.104615333808169</c:v>
                </c:pt>
                <c:pt idx="700">
                  <c:v>43.29158071753394</c:v>
                </c:pt>
                <c:pt idx="701">
                  <c:v>43.478902268992123</c:v>
                </c:pt>
                <c:pt idx="702">
                  <c:v>43.666542076164539</c:v>
                </c:pt>
                <c:pt idx="703">
                  <c:v>43.854462382833063</c:v>
                </c:pt>
                <c:pt idx="704">
                  <c:v>44.042625590599847</c:v>
                </c:pt>
                <c:pt idx="705">
                  <c:v>44.230994260912055</c:v>
                </c:pt>
                <c:pt idx="706">
                  <c:v>44.419531117090983</c:v>
                </c:pt>
                <c:pt idx="707">
                  <c:v>44.608199046365485</c:v>
                </c:pt>
                <c:pt idx="708">
                  <c:v>44.796961101909503</c:v>
                </c:pt>
                <c:pt idx="709">
                  <c:v>44.985780504883529</c:v>
                </c:pt>
                <c:pt idx="710">
                  <c:v>45.174620646479653</c:v>
                </c:pt>
                <c:pt idx="711">
                  <c:v>45.363445089970014</c:v>
                </c:pt>
                <c:pt idx="712">
                  <c:v>45.552217572758302</c:v>
                </c:pt>
                <c:pt idx="713">
                  <c:v>45.740902008433935</c:v>
                </c:pt>
                <c:pt idx="714">
                  <c:v>45.929462488828619</c:v>
                </c:pt>
                <c:pt idx="715">
                  <c:v>46.1178632860749</c:v>
                </c:pt>
              </c:numCache>
            </c:numRef>
          </c:val>
        </c:ser>
        <c:ser>
          <c:idx val="5"/>
          <c:order val="5"/>
          <c:tx>
            <c:strRef>
              <c:f>Calculations!$A$29</c:f>
              <c:strCache>
                <c:ptCount val="1"/>
                <c:pt idx="0">
                  <c:v>5</c:v>
                </c:pt>
              </c:strCache>
            </c:strRef>
          </c:tx>
          <c:marker>
            <c:symbol val="none"/>
          </c:marker>
          <c:cat>
            <c:numRef>
              <c:f>Calculations!$B$21:$AAO$21</c:f>
              <c:numCache>
                <c:formatCode>0.00</c:formatCode>
                <c:ptCount val="716"/>
                <c:pt idx="0" formatCode="General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5.0000000000000036</c:v>
                </c:pt>
                <c:pt idx="126">
                  <c:v>5.0400000000000036</c:v>
                </c:pt>
                <c:pt idx="127">
                  <c:v>5.0800000000000036</c:v>
                </c:pt>
                <c:pt idx="128">
                  <c:v>5.1200000000000037</c:v>
                </c:pt>
                <c:pt idx="129">
                  <c:v>5.1600000000000037</c:v>
                </c:pt>
                <c:pt idx="130">
                  <c:v>5.2000000000000037</c:v>
                </c:pt>
                <c:pt idx="131">
                  <c:v>5.2400000000000038</c:v>
                </c:pt>
                <c:pt idx="132">
                  <c:v>5.2800000000000038</c:v>
                </c:pt>
                <c:pt idx="133">
                  <c:v>5.3200000000000038</c:v>
                </c:pt>
                <c:pt idx="134">
                  <c:v>5.3600000000000039</c:v>
                </c:pt>
                <c:pt idx="135">
                  <c:v>5.4000000000000039</c:v>
                </c:pt>
                <c:pt idx="136">
                  <c:v>5.4400000000000039</c:v>
                </c:pt>
                <c:pt idx="137">
                  <c:v>5.480000000000004</c:v>
                </c:pt>
                <c:pt idx="138">
                  <c:v>5.520000000000004</c:v>
                </c:pt>
                <c:pt idx="139">
                  <c:v>5.5600000000000041</c:v>
                </c:pt>
                <c:pt idx="140">
                  <c:v>5.6000000000000041</c:v>
                </c:pt>
                <c:pt idx="141">
                  <c:v>5.6400000000000041</c:v>
                </c:pt>
                <c:pt idx="142">
                  <c:v>5.6800000000000042</c:v>
                </c:pt>
                <c:pt idx="143">
                  <c:v>5.7200000000000042</c:v>
                </c:pt>
                <c:pt idx="144">
                  <c:v>5.7600000000000042</c:v>
                </c:pt>
                <c:pt idx="145">
                  <c:v>5.8000000000000043</c:v>
                </c:pt>
                <c:pt idx="146">
                  <c:v>5.8400000000000043</c:v>
                </c:pt>
                <c:pt idx="147">
                  <c:v>5.8800000000000043</c:v>
                </c:pt>
                <c:pt idx="148">
                  <c:v>5.9200000000000044</c:v>
                </c:pt>
                <c:pt idx="149">
                  <c:v>5.9600000000000044</c:v>
                </c:pt>
                <c:pt idx="150">
                  <c:v>6.0000000000000044</c:v>
                </c:pt>
                <c:pt idx="151">
                  <c:v>6.0400000000000045</c:v>
                </c:pt>
                <c:pt idx="152">
                  <c:v>6.0800000000000045</c:v>
                </c:pt>
                <c:pt idx="153">
                  <c:v>6.1200000000000045</c:v>
                </c:pt>
                <c:pt idx="154">
                  <c:v>6.1600000000000046</c:v>
                </c:pt>
                <c:pt idx="155">
                  <c:v>6.2000000000000046</c:v>
                </c:pt>
                <c:pt idx="156">
                  <c:v>6.2400000000000047</c:v>
                </c:pt>
                <c:pt idx="157">
                  <c:v>6.2800000000000047</c:v>
                </c:pt>
                <c:pt idx="158">
                  <c:v>6.3200000000000047</c:v>
                </c:pt>
                <c:pt idx="159">
                  <c:v>6.3600000000000048</c:v>
                </c:pt>
                <c:pt idx="160">
                  <c:v>6.4000000000000048</c:v>
                </c:pt>
                <c:pt idx="161">
                  <c:v>6.4400000000000048</c:v>
                </c:pt>
                <c:pt idx="162">
                  <c:v>6.4800000000000049</c:v>
                </c:pt>
                <c:pt idx="163">
                  <c:v>6.5200000000000049</c:v>
                </c:pt>
                <c:pt idx="164">
                  <c:v>6.5600000000000049</c:v>
                </c:pt>
                <c:pt idx="165">
                  <c:v>6.600000000000005</c:v>
                </c:pt>
                <c:pt idx="166">
                  <c:v>6.640000000000005</c:v>
                </c:pt>
                <c:pt idx="167">
                  <c:v>6.680000000000005</c:v>
                </c:pt>
                <c:pt idx="168">
                  <c:v>6.7200000000000051</c:v>
                </c:pt>
                <c:pt idx="169">
                  <c:v>6.7600000000000051</c:v>
                </c:pt>
                <c:pt idx="170">
                  <c:v>6.8000000000000052</c:v>
                </c:pt>
                <c:pt idx="171">
                  <c:v>6.8400000000000052</c:v>
                </c:pt>
                <c:pt idx="172">
                  <c:v>6.8800000000000052</c:v>
                </c:pt>
                <c:pt idx="173">
                  <c:v>6.9200000000000053</c:v>
                </c:pt>
                <c:pt idx="174">
                  <c:v>6.9600000000000053</c:v>
                </c:pt>
                <c:pt idx="175">
                  <c:v>7.0000000000000053</c:v>
                </c:pt>
                <c:pt idx="176">
                  <c:v>7.0400000000000054</c:v>
                </c:pt>
                <c:pt idx="177">
                  <c:v>7.0800000000000054</c:v>
                </c:pt>
                <c:pt idx="178">
                  <c:v>7.1200000000000054</c:v>
                </c:pt>
                <c:pt idx="179">
                  <c:v>7.1600000000000055</c:v>
                </c:pt>
                <c:pt idx="180">
                  <c:v>7.2000000000000055</c:v>
                </c:pt>
                <c:pt idx="181">
                  <c:v>7.2400000000000055</c:v>
                </c:pt>
                <c:pt idx="182">
                  <c:v>7.2800000000000056</c:v>
                </c:pt>
                <c:pt idx="183">
                  <c:v>7.3200000000000056</c:v>
                </c:pt>
                <c:pt idx="184">
                  <c:v>7.3600000000000056</c:v>
                </c:pt>
                <c:pt idx="185">
                  <c:v>7.4000000000000057</c:v>
                </c:pt>
                <c:pt idx="186">
                  <c:v>7.4400000000000057</c:v>
                </c:pt>
                <c:pt idx="187">
                  <c:v>7.4800000000000058</c:v>
                </c:pt>
                <c:pt idx="188">
                  <c:v>7.5200000000000058</c:v>
                </c:pt>
                <c:pt idx="189">
                  <c:v>7.5600000000000058</c:v>
                </c:pt>
                <c:pt idx="190">
                  <c:v>7.6000000000000059</c:v>
                </c:pt>
                <c:pt idx="191">
                  <c:v>7.6400000000000059</c:v>
                </c:pt>
                <c:pt idx="192">
                  <c:v>7.6800000000000059</c:v>
                </c:pt>
                <c:pt idx="193">
                  <c:v>7.720000000000006</c:v>
                </c:pt>
                <c:pt idx="194">
                  <c:v>7.760000000000006</c:v>
                </c:pt>
                <c:pt idx="195">
                  <c:v>7.800000000000006</c:v>
                </c:pt>
                <c:pt idx="196">
                  <c:v>7.8400000000000061</c:v>
                </c:pt>
                <c:pt idx="197">
                  <c:v>7.8800000000000061</c:v>
                </c:pt>
                <c:pt idx="198">
                  <c:v>7.9200000000000061</c:v>
                </c:pt>
                <c:pt idx="199">
                  <c:v>7.9600000000000062</c:v>
                </c:pt>
                <c:pt idx="200">
                  <c:v>8.0000000000000053</c:v>
                </c:pt>
                <c:pt idx="201">
                  <c:v>8.0400000000000045</c:v>
                </c:pt>
                <c:pt idx="202">
                  <c:v>8.0800000000000036</c:v>
                </c:pt>
                <c:pt idx="203">
                  <c:v>8.1200000000000028</c:v>
                </c:pt>
                <c:pt idx="204">
                  <c:v>8.1600000000000019</c:v>
                </c:pt>
                <c:pt idx="205">
                  <c:v>8.2000000000000011</c:v>
                </c:pt>
                <c:pt idx="206">
                  <c:v>8.24</c:v>
                </c:pt>
                <c:pt idx="207">
                  <c:v>8.2799999999999994</c:v>
                </c:pt>
                <c:pt idx="208">
                  <c:v>8.3199999999999985</c:v>
                </c:pt>
                <c:pt idx="209">
                  <c:v>8.3599999999999977</c:v>
                </c:pt>
                <c:pt idx="210">
                  <c:v>8.3999999999999968</c:v>
                </c:pt>
                <c:pt idx="211">
                  <c:v>8.4399999999999959</c:v>
                </c:pt>
                <c:pt idx="212">
                  <c:v>8.4799999999999951</c:v>
                </c:pt>
                <c:pt idx="213">
                  <c:v>8.5199999999999942</c:v>
                </c:pt>
                <c:pt idx="214">
                  <c:v>8.5599999999999934</c:v>
                </c:pt>
                <c:pt idx="215">
                  <c:v>8.5999999999999925</c:v>
                </c:pt>
                <c:pt idx="216">
                  <c:v>8.6399999999999917</c:v>
                </c:pt>
                <c:pt idx="217">
                  <c:v>8.6799999999999908</c:v>
                </c:pt>
                <c:pt idx="218">
                  <c:v>8.71999999999999</c:v>
                </c:pt>
                <c:pt idx="219">
                  <c:v>8.7599999999999891</c:v>
                </c:pt>
                <c:pt idx="220">
                  <c:v>8.7999999999999883</c:v>
                </c:pt>
                <c:pt idx="221">
                  <c:v>8.8399999999999874</c:v>
                </c:pt>
                <c:pt idx="222">
                  <c:v>8.8799999999999866</c:v>
                </c:pt>
                <c:pt idx="223">
                  <c:v>8.9199999999999857</c:v>
                </c:pt>
                <c:pt idx="224">
                  <c:v>8.9599999999999849</c:v>
                </c:pt>
                <c:pt idx="225">
                  <c:v>8.999999999999984</c:v>
                </c:pt>
                <c:pt idx="226">
                  <c:v>9.0399999999999832</c:v>
                </c:pt>
                <c:pt idx="227">
                  <c:v>9.0799999999999823</c:v>
                </c:pt>
                <c:pt idx="228">
                  <c:v>9.1199999999999815</c:v>
                </c:pt>
                <c:pt idx="229">
                  <c:v>9.1599999999999806</c:v>
                </c:pt>
                <c:pt idx="230">
                  <c:v>9.1999999999999797</c:v>
                </c:pt>
                <c:pt idx="231">
                  <c:v>9.2399999999999789</c:v>
                </c:pt>
                <c:pt idx="232">
                  <c:v>9.279999999999978</c:v>
                </c:pt>
                <c:pt idx="233">
                  <c:v>9.3199999999999772</c:v>
                </c:pt>
                <c:pt idx="234">
                  <c:v>9.3599999999999763</c:v>
                </c:pt>
                <c:pt idx="235">
                  <c:v>9.3999999999999755</c:v>
                </c:pt>
                <c:pt idx="236">
                  <c:v>9.4399999999999746</c:v>
                </c:pt>
                <c:pt idx="237">
                  <c:v>9.4799999999999738</c:v>
                </c:pt>
                <c:pt idx="238">
                  <c:v>9.5199999999999729</c:v>
                </c:pt>
                <c:pt idx="239">
                  <c:v>9.5599999999999721</c:v>
                </c:pt>
                <c:pt idx="240">
                  <c:v>9.5999999999999712</c:v>
                </c:pt>
                <c:pt idx="241">
                  <c:v>9.6399999999999704</c:v>
                </c:pt>
                <c:pt idx="242">
                  <c:v>9.6799999999999695</c:v>
                </c:pt>
                <c:pt idx="243">
                  <c:v>9.7199999999999687</c:v>
                </c:pt>
                <c:pt idx="244">
                  <c:v>9.7599999999999678</c:v>
                </c:pt>
                <c:pt idx="245">
                  <c:v>9.799999999999967</c:v>
                </c:pt>
                <c:pt idx="246">
                  <c:v>9.8399999999999661</c:v>
                </c:pt>
                <c:pt idx="247">
                  <c:v>9.8799999999999653</c:v>
                </c:pt>
                <c:pt idx="248">
                  <c:v>9.9199999999999644</c:v>
                </c:pt>
                <c:pt idx="249">
                  <c:v>9.9599999999999635</c:v>
                </c:pt>
                <c:pt idx="250">
                  <c:v>9.9999999999999627</c:v>
                </c:pt>
                <c:pt idx="251">
                  <c:v>10.039999999999962</c:v>
                </c:pt>
                <c:pt idx="252">
                  <c:v>10.079999999999961</c:v>
                </c:pt>
                <c:pt idx="253">
                  <c:v>10.11999999999996</c:v>
                </c:pt>
                <c:pt idx="254">
                  <c:v>10.159999999999959</c:v>
                </c:pt>
                <c:pt idx="255">
                  <c:v>10.199999999999958</c:v>
                </c:pt>
                <c:pt idx="256">
                  <c:v>10.239999999999958</c:v>
                </c:pt>
                <c:pt idx="257">
                  <c:v>10.279999999999957</c:v>
                </c:pt>
                <c:pt idx="258">
                  <c:v>10.319999999999956</c:v>
                </c:pt>
                <c:pt idx="259">
                  <c:v>10.359999999999955</c:v>
                </c:pt>
                <c:pt idx="260">
                  <c:v>10.399999999999954</c:v>
                </c:pt>
                <c:pt idx="261">
                  <c:v>10.439999999999953</c:v>
                </c:pt>
                <c:pt idx="262">
                  <c:v>10.479999999999952</c:v>
                </c:pt>
                <c:pt idx="263">
                  <c:v>10.519999999999952</c:v>
                </c:pt>
                <c:pt idx="264">
                  <c:v>10.559999999999951</c:v>
                </c:pt>
                <c:pt idx="265">
                  <c:v>10.59999999999995</c:v>
                </c:pt>
                <c:pt idx="266">
                  <c:v>10.639999999999949</c:v>
                </c:pt>
                <c:pt idx="267">
                  <c:v>10.679999999999948</c:v>
                </c:pt>
                <c:pt idx="268">
                  <c:v>10.719999999999947</c:v>
                </c:pt>
                <c:pt idx="269">
                  <c:v>10.759999999999946</c:v>
                </c:pt>
                <c:pt idx="270">
                  <c:v>10.799999999999946</c:v>
                </c:pt>
                <c:pt idx="271">
                  <c:v>10.839999999999945</c:v>
                </c:pt>
                <c:pt idx="272">
                  <c:v>10.879999999999944</c:v>
                </c:pt>
                <c:pt idx="273">
                  <c:v>10.919999999999943</c:v>
                </c:pt>
                <c:pt idx="274">
                  <c:v>10.959999999999942</c:v>
                </c:pt>
                <c:pt idx="275">
                  <c:v>10.999999999999941</c:v>
                </c:pt>
                <c:pt idx="276">
                  <c:v>11.039999999999941</c:v>
                </c:pt>
                <c:pt idx="277">
                  <c:v>11.07999999999994</c:v>
                </c:pt>
                <c:pt idx="278">
                  <c:v>11.119999999999939</c:v>
                </c:pt>
                <c:pt idx="279">
                  <c:v>11.159999999999938</c:v>
                </c:pt>
                <c:pt idx="280">
                  <c:v>11.199999999999937</c:v>
                </c:pt>
                <c:pt idx="281">
                  <c:v>11.239999999999936</c:v>
                </c:pt>
                <c:pt idx="282">
                  <c:v>11.279999999999935</c:v>
                </c:pt>
                <c:pt idx="283">
                  <c:v>11.319999999999935</c:v>
                </c:pt>
                <c:pt idx="284">
                  <c:v>11.359999999999934</c:v>
                </c:pt>
                <c:pt idx="285">
                  <c:v>11.399999999999933</c:v>
                </c:pt>
                <c:pt idx="286">
                  <c:v>11.439999999999932</c:v>
                </c:pt>
                <c:pt idx="287">
                  <c:v>11.479999999999931</c:v>
                </c:pt>
                <c:pt idx="288">
                  <c:v>11.51999999999993</c:v>
                </c:pt>
                <c:pt idx="289">
                  <c:v>11.559999999999929</c:v>
                </c:pt>
                <c:pt idx="290">
                  <c:v>11.599999999999929</c:v>
                </c:pt>
                <c:pt idx="291">
                  <c:v>11.639999999999928</c:v>
                </c:pt>
                <c:pt idx="292">
                  <c:v>11.679999999999927</c:v>
                </c:pt>
                <c:pt idx="293">
                  <c:v>11.719999999999926</c:v>
                </c:pt>
                <c:pt idx="294">
                  <c:v>11.759999999999925</c:v>
                </c:pt>
                <c:pt idx="295">
                  <c:v>11.799999999999924</c:v>
                </c:pt>
                <c:pt idx="296">
                  <c:v>11.839999999999923</c:v>
                </c:pt>
                <c:pt idx="297">
                  <c:v>11.879999999999923</c:v>
                </c:pt>
                <c:pt idx="298">
                  <c:v>11.919999999999922</c:v>
                </c:pt>
                <c:pt idx="299">
                  <c:v>11.959999999999921</c:v>
                </c:pt>
                <c:pt idx="300">
                  <c:v>11.99999999999992</c:v>
                </c:pt>
                <c:pt idx="301">
                  <c:v>12.039999999999919</c:v>
                </c:pt>
                <c:pt idx="302">
                  <c:v>12.079999999999918</c:v>
                </c:pt>
                <c:pt idx="303">
                  <c:v>12.119999999999918</c:v>
                </c:pt>
                <c:pt idx="304">
                  <c:v>12.159999999999917</c:v>
                </c:pt>
                <c:pt idx="305">
                  <c:v>12.199999999999916</c:v>
                </c:pt>
                <c:pt idx="306">
                  <c:v>12.239999999999915</c:v>
                </c:pt>
                <c:pt idx="307">
                  <c:v>12.279999999999914</c:v>
                </c:pt>
                <c:pt idx="308">
                  <c:v>12.319999999999913</c:v>
                </c:pt>
                <c:pt idx="309">
                  <c:v>12.359999999999912</c:v>
                </c:pt>
                <c:pt idx="310">
                  <c:v>12.399999999999912</c:v>
                </c:pt>
                <c:pt idx="311">
                  <c:v>12.439999999999911</c:v>
                </c:pt>
                <c:pt idx="312">
                  <c:v>12.47999999999991</c:v>
                </c:pt>
                <c:pt idx="313">
                  <c:v>12.519999999999909</c:v>
                </c:pt>
                <c:pt idx="314">
                  <c:v>12.559999999999908</c:v>
                </c:pt>
                <c:pt idx="315">
                  <c:v>12.599999999999907</c:v>
                </c:pt>
                <c:pt idx="316">
                  <c:v>12.639999999999906</c:v>
                </c:pt>
                <c:pt idx="317">
                  <c:v>12.679999999999906</c:v>
                </c:pt>
                <c:pt idx="318">
                  <c:v>12.719999999999905</c:v>
                </c:pt>
                <c:pt idx="319">
                  <c:v>12.759999999999904</c:v>
                </c:pt>
                <c:pt idx="320">
                  <c:v>12.799999999999903</c:v>
                </c:pt>
                <c:pt idx="321">
                  <c:v>12.839999999999902</c:v>
                </c:pt>
                <c:pt idx="322">
                  <c:v>12.879999999999901</c:v>
                </c:pt>
                <c:pt idx="323">
                  <c:v>12.9199999999999</c:v>
                </c:pt>
                <c:pt idx="324">
                  <c:v>12.9599999999999</c:v>
                </c:pt>
                <c:pt idx="325">
                  <c:v>12.999999999999899</c:v>
                </c:pt>
                <c:pt idx="326">
                  <c:v>13.039999999999898</c:v>
                </c:pt>
                <c:pt idx="327">
                  <c:v>13.079999999999897</c:v>
                </c:pt>
                <c:pt idx="328">
                  <c:v>13.119999999999896</c:v>
                </c:pt>
                <c:pt idx="329">
                  <c:v>13.159999999999895</c:v>
                </c:pt>
                <c:pt idx="330">
                  <c:v>13.199999999999894</c:v>
                </c:pt>
                <c:pt idx="331">
                  <c:v>13.239999999999894</c:v>
                </c:pt>
                <c:pt idx="332">
                  <c:v>13.279999999999893</c:v>
                </c:pt>
                <c:pt idx="333">
                  <c:v>13.319999999999892</c:v>
                </c:pt>
                <c:pt idx="334">
                  <c:v>13.359999999999891</c:v>
                </c:pt>
                <c:pt idx="335">
                  <c:v>13.39999999999989</c:v>
                </c:pt>
                <c:pt idx="336">
                  <c:v>13.439999999999889</c:v>
                </c:pt>
                <c:pt idx="337">
                  <c:v>13.479999999999889</c:v>
                </c:pt>
                <c:pt idx="338">
                  <c:v>13.519999999999888</c:v>
                </c:pt>
                <c:pt idx="339">
                  <c:v>13.559999999999887</c:v>
                </c:pt>
                <c:pt idx="340">
                  <c:v>13.599999999999886</c:v>
                </c:pt>
                <c:pt idx="341">
                  <c:v>13.639999999999885</c:v>
                </c:pt>
                <c:pt idx="342">
                  <c:v>13.679999999999884</c:v>
                </c:pt>
                <c:pt idx="343">
                  <c:v>13.719999999999883</c:v>
                </c:pt>
                <c:pt idx="344">
                  <c:v>13.759999999999883</c:v>
                </c:pt>
                <c:pt idx="345">
                  <c:v>13.799999999999882</c:v>
                </c:pt>
                <c:pt idx="346">
                  <c:v>13.839999999999881</c:v>
                </c:pt>
                <c:pt idx="347">
                  <c:v>13.87999999999988</c:v>
                </c:pt>
                <c:pt idx="348">
                  <c:v>13.919999999999879</c:v>
                </c:pt>
                <c:pt idx="349">
                  <c:v>13.959999999999878</c:v>
                </c:pt>
                <c:pt idx="350">
                  <c:v>13.999999999999877</c:v>
                </c:pt>
                <c:pt idx="351">
                  <c:v>14.039999999999877</c:v>
                </c:pt>
                <c:pt idx="352">
                  <c:v>14.079999999999876</c:v>
                </c:pt>
                <c:pt idx="353">
                  <c:v>14.119999999999875</c:v>
                </c:pt>
                <c:pt idx="354">
                  <c:v>14.159999999999874</c:v>
                </c:pt>
                <c:pt idx="355">
                  <c:v>14.199999999999873</c:v>
                </c:pt>
                <c:pt idx="356">
                  <c:v>14.239999999999872</c:v>
                </c:pt>
                <c:pt idx="357">
                  <c:v>14.279999999999871</c:v>
                </c:pt>
                <c:pt idx="358">
                  <c:v>14.319999999999871</c:v>
                </c:pt>
                <c:pt idx="359">
                  <c:v>14.35999999999987</c:v>
                </c:pt>
                <c:pt idx="360">
                  <c:v>14.399999999999869</c:v>
                </c:pt>
                <c:pt idx="361">
                  <c:v>14.439999999999868</c:v>
                </c:pt>
                <c:pt idx="362">
                  <c:v>14.479999999999867</c:v>
                </c:pt>
                <c:pt idx="363">
                  <c:v>14.519999999999866</c:v>
                </c:pt>
                <c:pt idx="364">
                  <c:v>14.559999999999865</c:v>
                </c:pt>
                <c:pt idx="365">
                  <c:v>14.599999999999865</c:v>
                </c:pt>
                <c:pt idx="366">
                  <c:v>14.639999999999864</c:v>
                </c:pt>
                <c:pt idx="367">
                  <c:v>14.679999999999863</c:v>
                </c:pt>
                <c:pt idx="368">
                  <c:v>14.719999999999862</c:v>
                </c:pt>
                <c:pt idx="369">
                  <c:v>14.759999999999861</c:v>
                </c:pt>
                <c:pt idx="370">
                  <c:v>14.79999999999986</c:v>
                </c:pt>
                <c:pt idx="371">
                  <c:v>14.83999999999986</c:v>
                </c:pt>
                <c:pt idx="372">
                  <c:v>14.879999999999859</c:v>
                </c:pt>
                <c:pt idx="373">
                  <c:v>14.919999999999858</c:v>
                </c:pt>
                <c:pt idx="374">
                  <c:v>14.959999999999857</c:v>
                </c:pt>
                <c:pt idx="375">
                  <c:v>14.999999999999856</c:v>
                </c:pt>
                <c:pt idx="376">
                  <c:v>15.039999999999855</c:v>
                </c:pt>
                <c:pt idx="377">
                  <c:v>15.079999999999854</c:v>
                </c:pt>
                <c:pt idx="378">
                  <c:v>15.119999999999854</c:v>
                </c:pt>
                <c:pt idx="379">
                  <c:v>15.159999999999853</c:v>
                </c:pt>
                <c:pt idx="380">
                  <c:v>15.199999999999852</c:v>
                </c:pt>
                <c:pt idx="381">
                  <c:v>15.239999999999851</c:v>
                </c:pt>
                <c:pt idx="382">
                  <c:v>15.27999999999985</c:v>
                </c:pt>
                <c:pt idx="383">
                  <c:v>15.319999999999849</c:v>
                </c:pt>
                <c:pt idx="384">
                  <c:v>15.359999999999848</c:v>
                </c:pt>
                <c:pt idx="385">
                  <c:v>15.399999999999848</c:v>
                </c:pt>
                <c:pt idx="386">
                  <c:v>15.439999999999847</c:v>
                </c:pt>
                <c:pt idx="387">
                  <c:v>15.479999999999846</c:v>
                </c:pt>
                <c:pt idx="388">
                  <c:v>15.519999999999845</c:v>
                </c:pt>
                <c:pt idx="389">
                  <c:v>15.559999999999844</c:v>
                </c:pt>
                <c:pt idx="390">
                  <c:v>15.599999999999843</c:v>
                </c:pt>
                <c:pt idx="391">
                  <c:v>15.639999999999842</c:v>
                </c:pt>
                <c:pt idx="392">
                  <c:v>15.679999999999842</c:v>
                </c:pt>
                <c:pt idx="393">
                  <c:v>15.719999999999841</c:v>
                </c:pt>
                <c:pt idx="394">
                  <c:v>15.75999999999984</c:v>
                </c:pt>
                <c:pt idx="395">
                  <c:v>15.799999999999839</c:v>
                </c:pt>
                <c:pt idx="396">
                  <c:v>15.839999999999838</c:v>
                </c:pt>
                <c:pt idx="397">
                  <c:v>15.879999999999837</c:v>
                </c:pt>
                <c:pt idx="398">
                  <c:v>15.919999999999837</c:v>
                </c:pt>
                <c:pt idx="399">
                  <c:v>15.959999999999836</c:v>
                </c:pt>
                <c:pt idx="400">
                  <c:v>15.999999999999835</c:v>
                </c:pt>
                <c:pt idx="401">
                  <c:v>16.039999999999836</c:v>
                </c:pt>
                <c:pt idx="402">
                  <c:v>16.079999999999835</c:v>
                </c:pt>
                <c:pt idx="403">
                  <c:v>16.119999999999834</c:v>
                </c:pt>
                <c:pt idx="404">
                  <c:v>16.159999999999833</c:v>
                </c:pt>
                <c:pt idx="405">
                  <c:v>16.199999999999832</c:v>
                </c:pt>
                <c:pt idx="406">
                  <c:v>16.239999999999831</c:v>
                </c:pt>
                <c:pt idx="407">
                  <c:v>16.279999999999831</c:v>
                </c:pt>
                <c:pt idx="408">
                  <c:v>16.31999999999983</c:v>
                </c:pt>
                <c:pt idx="409">
                  <c:v>16.359999999999829</c:v>
                </c:pt>
                <c:pt idx="410">
                  <c:v>16.399999999999828</c:v>
                </c:pt>
                <c:pt idx="411">
                  <c:v>16.439999999999827</c:v>
                </c:pt>
                <c:pt idx="412">
                  <c:v>16.479999999999826</c:v>
                </c:pt>
                <c:pt idx="413">
                  <c:v>16.519999999999825</c:v>
                </c:pt>
                <c:pt idx="414">
                  <c:v>16.559999999999825</c:v>
                </c:pt>
                <c:pt idx="415">
                  <c:v>16.599999999999824</c:v>
                </c:pt>
                <c:pt idx="416">
                  <c:v>16.639999999999823</c:v>
                </c:pt>
                <c:pt idx="417">
                  <c:v>16.679999999999822</c:v>
                </c:pt>
                <c:pt idx="418">
                  <c:v>16.719999999999821</c:v>
                </c:pt>
                <c:pt idx="419">
                  <c:v>16.75999999999982</c:v>
                </c:pt>
                <c:pt idx="420">
                  <c:v>16.79999999999982</c:v>
                </c:pt>
                <c:pt idx="421">
                  <c:v>16.839999999999819</c:v>
                </c:pt>
                <c:pt idx="422">
                  <c:v>16.879999999999818</c:v>
                </c:pt>
                <c:pt idx="423">
                  <c:v>16.919999999999817</c:v>
                </c:pt>
                <c:pt idx="424">
                  <c:v>16.959999999999816</c:v>
                </c:pt>
                <c:pt idx="425">
                  <c:v>16.999999999999815</c:v>
                </c:pt>
                <c:pt idx="426">
                  <c:v>17.039999999999814</c:v>
                </c:pt>
                <c:pt idx="427">
                  <c:v>17.079999999999814</c:v>
                </c:pt>
                <c:pt idx="428">
                  <c:v>17.119999999999813</c:v>
                </c:pt>
                <c:pt idx="429">
                  <c:v>17.159999999999812</c:v>
                </c:pt>
                <c:pt idx="430">
                  <c:v>17.199999999999811</c:v>
                </c:pt>
                <c:pt idx="431">
                  <c:v>17.23999999999981</c:v>
                </c:pt>
                <c:pt idx="432">
                  <c:v>17.279999999999809</c:v>
                </c:pt>
                <c:pt idx="433">
                  <c:v>17.319999999999808</c:v>
                </c:pt>
                <c:pt idx="434">
                  <c:v>17.359999999999808</c:v>
                </c:pt>
                <c:pt idx="435">
                  <c:v>17.399999999999807</c:v>
                </c:pt>
                <c:pt idx="436">
                  <c:v>17.439999999999806</c:v>
                </c:pt>
                <c:pt idx="437">
                  <c:v>17.479999999999805</c:v>
                </c:pt>
                <c:pt idx="438">
                  <c:v>17.519999999999804</c:v>
                </c:pt>
                <c:pt idx="439">
                  <c:v>17.559999999999803</c:v>
                </c:pt>
                <c:pt idx="440">
                  <c:v>17.599999999999802</c:v>
                </c:pt>
                <c:pt idx="441">
                  <c:v>17.639999999999802</c:v>
                </c:pt>
                <c:pt idx="442">
                  <c:v>17.679999999999801</c:v>
                </c:pt>
                <c:pt idx="443">
                  <c:v>17.7199999999998</c:v>
                </c:pt>
                <c:pt idx="444">
                  <c:v>17.759999999999799</c:v>
                </c:pt>
                <c:pt idx="445">
                  <c:v>17.799999999999798</c:v>
                </c:pt>
                <c:pt idx="446">
                  <c:v>17.839999999999797</c:v>
                </c:pt>
                <c:pt idx="447">
                  <c:v>17.879999999999797</c:v>
                </c:pt>
                <c:pt idx="448">
                  <c:v>17.919999999999796</c:v>
                </c:pt>
                <c:pt idx="449">
                  <c:v>17.959999999999795</c:v>
                </c:pt>
                <c:pt idx="450">
                  <c:v>17.999999999999794</c:v>
                </c:pt>
                <c:pt idx="451">
                  <c:v>18.039999999999793</c:v>
                </c:pt>
                <c:pt idx="452">
                  <c:v>18.079999999999792</c:v>
                </c:pt>
                <c:pt idx="453">
                  <c:v>18.119999999999791</c:v>
                </c:pt>
                <c:pt idx="454">
                  <c:v>18.159999999999791</c:v>
                </c:pt>
                <c:pt idx="455">
                  <c:v>18.19999999999979</c:v>
                </c:pt>
                <c:pt idx="456">
                  <c:v>18.239999999999789</c:v>
                </c:pt>
                <c:pt idx="457">
                  <c:v>18.279999999999788</c:v>
                </c:pt>
                <c:pt idx="458">
                  <c:v>18.319999999999787</c:v>
                </c:pt>
                <c:pt idx="459">
                  <c:v>18.359999999999786</c:v>
                </c:pt>
                <c:pt idx="460">
                  <c:v>18.399999999999785</c:v>
                </c:pt>
                <c:pt idx="461">
                  <c:v>18.439999999999785</c:v>
                </c:pt>
                <c:pt idx="462">
                  <c:v>18.479999999999784</c:v>
                </c:pt>
                <c:pt idx="463">
                  <c:v>18.519999999999783</c:v>
                </c:pt>
                <c:pt idx="464">
                  <c:v>18.559999999999782</c:v>
                </c:pt>
                <c:pt idx="465">
                  <c:v>18.599999999999781</c:v>
                </c:pt>
                <c:pt idx="466">
                  <c:v>18.63999999999978</c:v>
                </c:pt>
                <c:pt idx="467">
                  <c:v>18.679999999999779</c:v>
                </c:pt>
                <c:pt idx="468">
                  <c:v>18.719999999999779</c:v>
                </c:pt>
                <c:pt idx="469">
                  <c:v>18.759999999999778</c:v>
                </c:pt>
                <c:pt idx="470">
                  <c:v>18.799999999999777</c:v>
                </c:pt>
                <c:pt idx="471">
                  <c:v>18.839999999999776</c:v>
                </c:pt>
                <c:pt idx="472">
                  <c:v>18.879999999999775</c:v>
                </c:pt>
                <c:pt idx="473">
                  <c:v>18.919999999999774</c:v>
                </c:pt>
                <c:pt idx="474">
                  <c:v>18.959999999999773</c:v>
                </c:pt>
                <c:pt idx="475">
                  <c:v>18.999999999999773</c:v>
                </c:pt>
                <c:pt idx="476">
                  <c:v>19.039999999999772</c:v>
                </c:pt>
                <c:pt idx="477">
                  <c:v>19.079999999999771</c:v>
                </c:pt>
                <c:pt idx="478">
                  <c:v>19.11999999999977</c:v>
                </c:pt>
                <c:pt idx="479">
                  <c:v>19.159999999999769</c:v>
                </c:pt>
                <c:pt idx="480">
                  <c:v>19.199999999999768</c:v>
                </c:pt>
                <c:pt idx="481">
                  <c:v>19.239999999999768</c:v>
                </c:pt>
                <c:pt idx="482">
                  <c:v>19.279999999999767</c:v>
                </c:pt>
                <c:pt idx="483">
                  <c:v>19.319999999999766</c:v>
                </c:pt>
                <c:pt idx="484">
                  <c:v>19.359999999999765</c:v>
                </c:pt>
                <c:pt idx="485">
                  <c:v>19.399999999999764</c:v>
                </c:pt>
                <c:pt idx="486">
                  <c:v>19.439999999999763</c:v>
                </c:pt>
                <c:pt idx="487">
                  <c:v>19.479999999999762</c:v>
                </c:pt>
                <c:pt idx="488">
                  <c:v>19.519999999999762</c:v>
                </c:pt>
                <c:pt idx="489">
                  <c:v>19.559999999999761</c:v>
                </c:pt>
                <c:pt idx="490">
                  <c:v>19.59999999999976</c:v>
                </c:pt>
                <c:pt idx="491">
                  <c:v>19.639999999999759</c:v>
                </c:pt>
                <c:pt idx="492">
                  <c:v>19.679999999999758</c:v>
                </c:pt>
                <c:pt idx="493">
                  <c:v>19.719999999999757</c:v>
                </c:pt>
                <c:pt idx="494">
                  <c:v>19.759999999999756</c:v>
                </c:pt>
                <c:pt idx="495">
                  <c:v>19.799999999999756</c:v>
                </c:pt>
                <c:pt idx="496">
                  <c:v>19.839999999999755</c:v>
                </c:pt>
                <c:pt idx="497">
                  <c:v>19.879999999999754</c:v>
                </c:pt>
                <c:pt idx="498">
                  <c:v>19.919999999999753</c:v>
                </c:pt>
                <c:pt idx="499">
                  <c:v>19.959999999999752</c:v>
                </c:pt>
                <c:pt idx="500">
                  <c:v>19.999999999999751</c:v>
                </c:pt>
                <c:pt idx="501">
                  <c:v>20.03999999999975</c:v>
                </c:pt>
                <c:pt idx="502">
                  <c:v>20.07999999999975</c:v>
                </c:pt>
                <c:pt idx="503">
                  <c:v>20.119999999999749</c:v>
                </c:pt>
                <c:pt idx="504">
                  <c:v>20.159999999999748</c:v>
                </c:pt>
                <c:pt idx="505">
                  <c:v>20.199999999999747</c:v>
                </c:pt>
                <c:pt idx="506">
                  <c:v>20.239999999999746</c:v>
                </c:pt>
                <c:pt idx="507">
                  <c:v>20.279999999999745</c:v>
                </c:pt>
                <c:pt idx="508">
                  <c:v>20.319999999999744</c:v>
                </c:pt>
                <c:pt idx="509">
                  <c:v>20.359999999999744</c:v>
                </c:pt>
                <c:pt idx="510">
                  <c:v>20.399999999999743</c:v>
                </c:pt>
                <c:pt idx="511">
                  <c:v>20.439999999999742</c:v>
                </c:pt>
                <c:pt idx="512">
                  <c:v>20.479999999999741</c:v>
                </c:pt>
                <c:pt idx="513">
                  <c:v>20.51999999999974</c:v>
                </c:pt>
                <c:pt idx="514">
                  <c:v>20.559999999999739</c:v>
                </c:pt>
                <c:pt idx="515">
                  <c:v>20.599999999999739</c:v>
                </c:pt>
                <c:pt idx="516">
                  <c:v>20.639999999999738</c:v>
                </c:pt>
                <c:pt idx="517">
                  <c:v>20.679999999999737</c:v>
                </c:pt>
                <c:pt idx="518">
                  <c:v>20.719999999999736</c:v>
                </c:pt>
                <c:pt idx="519">
                  <c:v>20.759999999999735</c:v>
                </c:pt>
                <c:pt idx="520">
                  <c:v>20.799999999999734</c:v>
                </c:pt>
                <c:pt idx="521">
                  <c:v>20.839999999999733</c:v>
                </c:pt>
                <c:pt idx="522">
                  <c:v>20.879999999999733</c:v>
                </c:pt>
                <c:pt idx="523">
                  <c:v>20.919999999999732</c:v>
                </c:pt>
                <c:pt idx="524">
                  <c:v>20.959999999999731</c:v>
                </c:pt>
                <c:pt idx="525">
                  <c:v>20.99999999999973</c:v>
                </c:pt>
                <c:pt idx="526">
                  <c:v>21.039999999999729</c:v>
                </c:pt>
                <c:pt idx="527">
                  <c:v>21.079999999999728</c:v>
                </c:pt>
                <c:pt idx="528">
                  <c:v>21.119999999999727</c:v>
                </c:pt>
                <c:pt idx="529">
                  <c:v>21.159999999999727</c:v>
                </c:pt>
                <c:pt idx="530">
                  <c:v>21.199999999999726</c:v>
                </c:pt>
                <c:pt idx="531">
                  <c:v>21.239999999999725</c:v>
                </c:pt>
                <c:pt idx="532">
                  <c:v>21.279999999999724</c:v>
                </c:pt>
                <c:pt idx="533">
                  <c:v>21.319999999999723</c:v>
                </c:pt>
                <c:pt idx="534">
                  <c:v>21.359999999999722</c:v>
                </c:pt>
                <c:pt idx="535">
                  <c:v>21.399999999999721</c:v>
                </c:pt>
                <c:pt idx="536">
                  <c:v>21.439999999999721</c:v>
                </c:pt>
                <c:pt idx="537">
                  <c:v>21.47999999999972</c:v>
                </c:pt>
                <c:pt idx="538">
                  <c:v>21.519999999999719</c:v>
                </c:pt>
                <c:pt idx="539">
                  <c:v>21.559999999999718</c:v>
                </c:pt>
                <c:pt idx="540">
                  <c:v>21.599999999999717</c:v>
                </c:pt>
                <c:pt idx="541">
                  <c:v>21.639999999999716</c:v>
                </c:pt>
                <c:pt idx="542">
                  <c:v>21.679999999999715</c:v>
                </c:pt>
                <c:pt idx="543">
                  <c:v>21.719999999999715</c:v>
                </c:pt>
                <c:pt idx="544">
                  <c:v>21.759999999999714</c:v>
                </c:pt>
                <c:pt idx="545">
                  <c:v>21.799999999999713</c:v>
                </c:pt>
                <c:pt idx="546">
                  <c:v>21.839999999999712</c:v>
                </c:pt>
                <c:pt idx="547">
                  <c:v>21.879999999999711</c:v>
                </c:pt>
                <c:pt idx="548">
                  <c:v>21.91999999999971</c:v>
                </c:pt>
                <c:pt idx="549">
                  <c:v>21.95999999999971</c:v>
                </c:pt>
                <c:pt idx="550">
                  <c:v>21.999999999999709</c:v>
                </c:pt>
                <c:pt idx="551">
                  <c:v>22.039999999999708</c:v>
                </c:pt>
                <c:pt idx="552">
                  <c:v>22.079999999999707</c:v>
                </c:pt>
                <c:pt idx="553">
                  <c:v>22.119999999999706</c:v>
                </c:pt>
                <c:pt idx="554">
                  <c:v>22.159999999999705</c:v>
                </c:pt>
                <c:pt idx="555">
                  <c:v>22.199999999999704</c:v>
                </c:pt>
                <c:pt idx="556">
                  <c:v>22.239999999999704</c:v>
                </c:pt>
                <c:pt idx="557">
                  <c:v>22.279999999999703</c:v>
                </c:pt>
                <c:pt idx="558">
                  <c:v>22.319999999999702</c:v>
                </c:pt>
                <c:pt idx="559">
                  <c:v>22.359999999999701</c:v>
                </c:pt>
                <c:pt idx="560">
                  <c:v>22.3999999999997</c:v>
                </c:pt>
                <c:pt idx="561">
                  <c:v>22.439999999999699</c:v>
                </c:pt>
                <c:pt idx="562">
                  <c:v>22.479999999999698</c:v>
                </c:pt>
                <c:pt idx="563">
                  <c:v>22.519999999999698</c:v>
                </c:pt>
                <c:pt idx="564">
                  <c:v>22.559999999999697</c:v>
                </c:pt>
                <c:pt idx="565">
                  <c:v>22.599999999999696</c:v>
                </c:pt>
                <c:pt idx="566">
                  <c:v>22.639999999999695</c:v>
                </c:pt>
                <c:pt idx="567">
                  <c:v>22.679999999999694</c:v>
                </c:pt>
                <c:pt idx="568">
                  <c:v>22.719999999999693</c:v>
                </c:pt>
                <c:pt idx="569">
                  <c:v>22.759999999999692</c:v>
                </c:pt>
                <c:pt idx="570">
                  <c:v>22.799999999999692</c:v>
                </c:pt>
                <c:pt idx="571">
                  <c:v>22.839999999999691</c:v>
                </c:pt>
                <c:pt idx="572">
                  <c:v>22.87999999999969</c:v>
                </c:pt>
                <c:pt idx="573">
                  <c:v>22.919999999999689</c:v>
                </c:pt>
                <c:pt idx="574">
                  <c:v>22.959999999999688</c:v>
                </c:pt>
                <c:pt idx="575">
                  <c:v>22.999999999999687</c:v>
                </c:pt>
                <c:pt idx="576">
                  <c:v>23.039999999999687</c:v>
                </c:pt>
                <c:pt idx="577">
                  <c:v>23.079999999999686</c:v>
                </c:pt>
                <c:pt idx="578">
                  <c:v>23.119999999999685</c:v>
                </c:pt>
                <c:pt idx="579">
                  <c:v>23.159999999999684</c:v>
                </c:pt>
                <c:pt idx="580">
                  <c:v>23.199999999999683</c:v>
                </c:pt>
                <c:pt idx="581">
                  <c:v>23.239999999999682</c:v>
                </c:pt>
                <c:pt idx="582">
                  <c:v>23.279999999999681</c:v>
                </c:pt>
                <c:pt idx="583">
                  <c:v>23.319999999999681</c:v>
                </c:pt>
                <c:pt idx="584">
                  <c:v>23.35999999999968</c:v>
                </c:pt>
                <c:pt idx="585">
                  <c:v>23.399999999999679</c:v>
                </c:pt>
                <c:pt idx="586">
                  <c:v>23.439999999999678</c:v>
                </c:pt>
                <c:pt idx="587">
                  <c:v>23.479999999999677</c:v>
                </c:pt>
                <c:pt idx="588">
                  <c:v>23.519999999999676</c:v>
                </c:pt>
                <c:pt idx="589">
                  <c:v>23.559999999999675</c:v>
                </c:pt>
                <c:pt idx="590">
                  <c:v>23.599999999999675</c:v>
                </c:pt>
                <c:pt idx="591">
                  <c:v>23.639999999999674</c:v>
                </c:pt>
                <c:pt idx="592">
                  <c:v>23.679999999999673</c:v>
                </c:pt>
                <c:pt idx="593">
                  <c:v>23.719999999999672</c:v>
                </c:pt>
                <c:pt idx="594">
                  <c:v>23.759999999999671</c:v>
                </c:pt>
                <c:pt idx="595">
                  <c:v>23.79999999999967</c:v>
                </c:pt>
                <c:pt idx="596">
                  <c:v>23.839999999999669</c:v>
                </c:pt>
                <c:pt idx="597">
                  <c:v>23.879999999999669</c:v>
                </c:pt>
                <c:pt idx="598">
                  <c:v>23.919999999999668</c:v>
                </c:pt>
                <c:pt idx="599">
                  <c:v>23.959999999999667</c:v>
                </c:pt>
                <c:pt idx="600">
                  <c:v>23.999999999999666</c:v>
                </c:pt>
                <c:pt idx="601">
                  <c:v>24.039999999999665</c:v>
                </c:pt>
                <c:pt idx="602">
                  <c:v>24.079999999999664</c:v>
                </c:pt>
                <c:pt idx="603">
                  <c:v>24.119999999999663</c:v>
                </c:pt>
                <c:pt idx="604">
                  <c:v>24.159999999999663</c:v>
                </c:pt>
                <c:pt idx="605">
                  <c:v>24.199999999999662</c:v>
                </c:pt>
                <c:pt idx="606">
                  <c:v>24.239999999999661</c:v>
                </c:pt>
                <c:pt idx="607">
                  <c:v>24.27999999999966</c:v>
                </c:pt>
                <c:pt idx="608">
                  <c:v>24.319999999999659</c:v>
                </c:pt>
                <c:pt idx="609">
                  <c:v>24.359999999999658</c:v>
                </c:pt>
                <c:pt idx="610">
                  <c:v>24.399999999999658</c:v>
                </c:pt>
                <c:pt idx="611">
                  <c:v>24.439999999999657</c:v>
                </c:pt>
                <c:pt idx="612">
                  <c:v>24.479999999999656</c:v>
                </c:pt>
                <c:pt idx="613">
                  <c:v>24.519999999999655</c:v>
                </c:pt>
                <c:pt idx="614">
                  <c:v>24.559999999999654</c:v>
                </c:pt>
                <c:pt idx="615">
                  <c:v>24.599999999999653</c:v>
                </c:pt>
                <c:pt idx="616">
                  <c:v>24.639999999999652</c:v>
                </c:pt>
                <c:pt idx="617">
                  <c:v>24.679999999999652</c:v>
                </c:pt>
                <c:pt idx="618">
                  <c:v>24.719999999999651</c:v>
                </c:pt>
                <c:pt idx="619">
                  <c:v>24.75999999999965</c:v>
                </c:pt>
                <c:pt idx="620">
                  <c:v>24.799999999999649</c:v>
                </c:pt>
                <c:pt idx="621">
                  <c:v>24.839999999999648</c:v>
                </c:pt>
                <c:pt idx="622">
                  <c:v>24.879999999999647</c:v>
                </c:pt>
                <c:pt idx="623">
                  <c:v>24.919999999999646</c:v>
                </c:pt>
                <c:pt idx="624">
                  <c:v>24.959999999999646</c:v>
                </c:pt>
                <c:pt idx="625">
                  <c:v>24.999999999999645</c:v>
                </c:pt>
                <c:pt idx="626">
                  <c:v>25.039999999999644</c:v>
                </c:pt>
                <c:pt idx="627">
                  <c:v>25.079999999999643</c:v>
                </c:pt>
                <c:pt idx="628">
                  <c:v>25.119999999999642</c:v>
                </c:pt>
                <c:pt idx="629">
                  <c:v>25.159999999999641</c:v>
                </c:pt>
                <c:pt idx="630">
                  <c:v>25.19999999999964</c:v>
                </c:pt>
                <c:pt idx="631">
                  <c:v>25.23999999999964</c:v>
                </c:pt>
                <c:pt idx="632">
                  <c:v>25.279999999999639</c:v>
                </c:pt>
                <c:pt idx="633">
                  <c:v>25.319999999999638</c:v>
                </c:pt>
                <c:pt idx="634">
                  <c:v>25.359999999999637</c:v>
                </c:pt>
                <c:pt idx="635">
                  <c:v>25.399999999999636</c:v>
                </c:pt>
                <c:pt idx="636">
                  <c:v>25.439999999999635</c:v>
                </c:pt>
                <c:pt idx="637">
                  <c:v>25.479999999999634</c:v>
                </c:pt>
                <c:pt idx="638">
                  <c:v>25.519999999999634</c:v>
                </c:pt>
                <c:pt idx="639">
                  <c:v>25.559999999999633</c:v>
                </c:pt>
                <c:pt idx="640">
                  <c:v>25.599999999999632</c:v>
                </c:pt>
                <c:pt idx="641">
                  <c:v>25.639999999999631</c:v>
                </c:pt>
                <c:pt idx="642">
                  <c:v>25.67999999999963</c:v>
                </c:pt>
                <c:pt idx="643">
                  <c:v>25.719999999999629</c:v>
                </c:pt>
                <c:pt idx="644">
                  <c:v>25.759999999999629</c:v>
                </c:pt>
                <c:pt idx="645">
                  <c:v>25.799999999999628</c:v>
                </c:pt>
                <c:pt idx="646">
                  <c:v>25.839999999999627</c:v>
                </c:pt>
                <c:pt idx="647">
                  <c:v>25.879999999999626</c:v>
                </c:pt>
                <c:pt idx="648">
                  <c:v>25.919999999999625</c:v>
                </c:pt>
                <c:pt idx="649">
                  <c:v>25.959999999999624</c:v>
                </c:pt>
                <c:pt idx="650">
                  <c:v>25.999999999999623</c:v>
                </c:pt>
                <c:pt idx="651">
                  <c:v>26.039999999999623</c:v>
                </c:pt>
                <c:pt idx="652">
                  <c:v>26.079999999999622</c:v>
                </c:pt>
                <c:pt idx="653">
                  <c:v>26.119999999999621</c:v>
                </c:pt>
                <c:pt idx="654">
                  <c:v>26.15999999999962</c:v>
                </c:pt>
                <c:pt idx="655">
                  <c:v>26.199999999999619</c:v>
                </c:pt>
                <c:pt idx="656">
                  <c:v>26.239999999999618</c:v>
                </c:pt>
                <c:pt idx="657">
                  <c:v>26.279999999999617</c:v>
                </c:pt>
                <c:pt idx="658">
                  <c:v>26.319999999999617</c:v>
                </c:pt>
                <c:pt idx="659">
                  <c:v>26.359999999999616</c:v>
                </c:pt>
                <c:pt idx="660">
                  <c:v>26.399999999999615</c:v>
                </c:pt>
                <c:pt idx="661">
                  <c:v>26.439999999999614</c:v>
                </c:pt>
                <c:pt idx="662">
                  <c:v>26.479999999999613</c:v>
                </c:pt>
                <c:pt idx="663">
                  <c:v>26.519999999999612</c:v>
                </c:pt>
                <c:pt idx="664">
                  <c:v>26.559999999999611</c:v>
                </c:pt>
                <c:pt idx="665">
                  <c:v>26.599999999999611</c:v>
                </c:pt>
                <c:pt idx="666">
                  <c:v>26.63999999999961</c:v>
                </c:pt>
                <c:pt idx="667">
                  <c:v>26.679999999999609</c:v>
                </c:pt>
                <c:pt idx="668">
                  <c:v>26.719999999999608</c:v>
                </c:pt>
                <c:pt idx="669">
                  <c:v>26.759999999999607</c:v>
                </c:pt>
                <c:pt idx="670">
                  <c:v>26.799999999999606</c:v>
                </c:pt>
                <c:pt idx="671">
                  <c:v>26.839999999999606</c:v>
                </c:pt>
                <c:pt idx="672">
                  <c:v>26.879999999999605</c:v>
                </c:pt>
                <c:pt idx="673">
                  <c:v>26.919999999999604</c:v>
                </c:pt>
                <c:pt idx="674">
                  <c:v>26.959999999999603</c:v>
                </c:pt>
                <c:pt idx="675">
                  <c:v>26.999999999999602</c:v>
                </c:pt>
                <c:pt idx="676">
                  <c:v>27.039999999999601</c:v>
                </c:pt>
                <c:pt idx="677">
                  <c:v>27.0799999999996</c:v>
                </c:pt>
                <c:pt idx="678">
                  <c:v>27.1199999999996</c:v>
                </c:pt>
                <c:pt idx="679">
                  <c:v>27.159999999999599</c:v>
                </c:pt>
                <c:pt idx="680">
                  <c:v>27.199999999999598</c:v>
                </c:pt>
                <c:pt idx="681">
                  <c:v>27.239999999999597</c:v>
                </c:pt>
                <c:pt idx="682">
                  <c:v>27.279999999999596</c:v>
                </c:pt>
                <c:pt idx="683">
                  <c:v>27.319999999999595</c:v>
                </c:pt>
                <c:pt idx="684">
                  <c:v>27.359999999999594</c:v>
                </c:pt>
                <c:pt idx="685">
                  <c:v>27.399999999999594</c:v>
                </c:pt>
                <c:pt idx="686">
                  <c:v>27.439999999999593</c:v>
                </c:pt>
                <c:pt idx="687">
                  <c:v>27.479999999999592</c:v>
                </c:pt>
                <c:pt idx="688">
                  <c:v>27.519999999999591</c:v>
                </c:pt>
                <c:pt idx="689">
                  <c:v>27.55999999999959</c:v>
                </c:pt>
                <c:pt idx="690">
                  <c:v>27.599999999999589</c:v>
                </c:pt>
                <c:pt idx="691">
                  <c:v>27.639999999999588</c:v>
                </c:pt>
                <c:pt idx="692">
                  <c:v>27.679999999999588</c:v>
                </c:pt>
                <c:pt idx="693">
                  <c:v>27.719999999999587</c:v>
                </c:pt>
                <c:pt idx="694">
                  <c:v>27.759999999999586</c:v>
                </c:pt>
                <c:pt idx="695">
                  <c:v>27.799999999999585</c:v>
                </c:pt>
                <c:pt idx="696">
                  <c:v>27.839999999999584</c:v>
                </c:pt>
                <c:pt idx="697">
                  <c:v>27.879999999999583</c:v>
                </c:pt>
                <c:pt idx="698">
                  <c:v>27.919999999999582</c:v>
                </c:pt>
                <c:pt idx="699">
                  <c:v>27.959999999999582</c:v>
                </c:pt>
                <c:pt idx="700">
                  <c:v>27.999999999999581</c:v>
                </c:pt>
                <c:pt idx="701">
                  <c:v>28.03999999999958</c:v>
                </c:pt>
                <c:pt idx="702">
                  <c:v>28.079999999999579</c:v>
                </c:pt>
                <c:pt idx="703">
                  <c:v>28.119999999999578</c:v>
                </c:pt>
                <c:pt idx="704">
                  <c:v>28.159999999999577</c:v>
                </c:pt>
                <c:pt idx="705">
                  <c:v>28.199999999999577</c:v>
                </c:pt>
                <c:pt idx="706">
                  <c:v>28.239999999999576</c:v>
                </c:pt>
                <c:pt idx="707">
                  <c:v>28.279999999999575</c:v>
                </c:pt>
                <c:pt idx="708">
                  <c:v>28.319999999999574</c:v>
                </c:pt>
                <c:pt idx="709">
                  <c:v>28.359999999999573</c:v>
                </c:pt>
                <c:pt idx="710">
                  <c:v>28.399999999999572</c:v>
                </c:pt>
                <c:pt idx="711">
                  <c:v>28.439999999999571</c:v>
                </c:pt>
                <c:pt idx="712">
                  <c:v>28.479999999999571</c:v>
                </c:pt>
                <c:pt idx="713">
                  <c:v>28.51999999999957</c:v>
                </c:pt>
                <c:pt idx="714">
                  <c:v>28.559999999999569</c:v>
                </c:pt>
                <c:pt idx="715">
                  <c:v>28.599999999999568</c:v>
                </c:pt>
              </c:numCache>
            </c:numRef>
          </c:cat>
          <c:val>
            <c:numRef>
              <c:f>Calculations!$B$29:$AAO$29</c:f>
              <c:numCache>
                <c:formatCode>General</c:formatCode>
                <c:ptCount val="716"/>
                <c:pt idx="0">
                  <c:v>32.408730447847326</c:v>
                </c:pt>
                <c:pt idx="1">
                  <c:v>32.408730447847326</c:v>
                </c:pt>
                <c:pt idx="2">
                  <c:v>32.408730447847326</c:v>
                </c:pt>
                <c:pt idx="3">
                  <c:v>32.408730447847326</c:v>
                </c:pt>
                <c:pt idx="4">
                  <c:v>32.408730447847326</c:v>
                </c:pt>
                <c:pt idx="5">
                  <c:v>32.408780396385779</c:v>
                </c:pt>
                <c:pt idx="6">
                  <c:v>32.408999827928916</c:v>
                </c:pt>
                <c:pt idx="7">
                  <c:v>32.409571109787301</c:v>
                </c:pt>
                <c:pt idx="8">
                  <c:v>32.410721109628405</c:v>
                </c:pt>
                <c:pt idx="9">
                  <c:v>32.412701295253086</c:v>
                </c:pt>
                <c:pt idx="10">
                  <c:v>32.41577089046914</c:v>
                </c:pt>
                <c:pt idx="11">
                  <c:v>32.420184407570325</c:v>
                </c:pt>
                <c:pt idx="12">
                  <c:v>32.426183309195935</c:v>
                </c:pt>
                <c:pt idx="13">
                  <c:v>32.433990994554719</c:v>
                </c:pt>
                <c:pt idx="14">
                  <c:v>32.443810233985239</c:v>
                </c:pt>
                <c:pt idx="15">
                  <c:v>32.455822297096923</c:v>
                </c:pt>
                <c:pt idx="16">
                  <c:v>32.470187190057366</c:v>
                </c:pt>
                <c:pt idx="17">
                  <c:v>32.487044576906221</c:v>
                </c:pt>
                <c:pt idx="18">
                  <c:v>32.506515088699622</c:v>
                </c:pt>
                <c:pt idx="19">
                  <c:v>32.528701821142427</c:v>
                </c:pt>
                <c:pt idx="20">
                  <c:v>32.553691890911736</c:v>
                </c:pt>
                <c:pt idx="21">
                  <c:v>32.581557969292597</c:v>
                </c:pt>
                <c:pt idx="22">
                  <c:v>32.612359744661958</c:v>
                </c:pt>
                <c:pt idx="23">
                  <c:v>32.646145287269789</c:v>
                </c:pt>
                <c:pt idx="24">
                  <c:v>32.68295230404626</c:v>
                </c:pt>
                <c:pt idx="25">
                  <c:v>32.722809280237712</c:v>
                </c:pt>
                <c:pt idx="26">
                  <c:v>32.765736510246825</c:v>
                </c:pt>
                <c:pt idx="27">
                  <c:v>32.811747023302338</c:v>
                </c:pt>
                <c:pt idx="28">
                  <c:v>32.860847411314019</c:v>
                </c:pt>
                <c:pt idx="29">
                  <c:v>32.913038567022959</c:v>
                </c:pt>
                <c:pt idx="30">
                  <c:v>32.968316340698507</c:v>
                </c:pt>
                <c:pt idx="31">
                  <c:v>33.026672123403252</c:v>
                </c:pt>
                <c:pt idx="32">
                  <c:v>33.088093364404315</c:v>
                </c:pt>
                <c:pt idx="33">
                  <c:v>33.152564029755993</c:v>
                </c:pt>
                <c:pt idx="34">
                  <c:v>33.220065008480873</c:v>
                </c:pt>
                <c:pt idx="35">
                  <c:v>33.290574472175088</c:v>
                </c:pt>
                <c:pt idx="36">
                  <c:v>33.364068193282371</c:v>
                </c:pt>
                <c:pt idx="37">
                  <c:v>33.44051982673529</c:v>
                </c:pt>
                <c:pt idx="38">
                  <c:v>33.51990115915725</c:v>
                </c:pt>
                <c:pt idx="39">
                  <c:v>33.602182329357824</c:v>
                </c:pt>
                <c:pt idx="40">
                  <c:v>33.687332023437222</c:v>
                </c:pt>
                <c:pt idx="41">
                  <c:v>33.775317647440524</c:v>
                </c:pt>
                <c:pt idx="42">
                  <c:v>33.86610548016688</c:v>
                </c:pt>
                <c:pt idx="43">
                  <c:v>33.959660808439651</c:v>
                </c:pt>
                <c:pt idx="44">
                  <c:v>34.055948046877234</c:v>
                </c:pt>
                <c:pt idx="45">
                  <c:v>34.154930843968039</c:v>
                </c:pt>
                <c:pt idx="46">
                  <c:v>34.256572176043683</c:v>
                </c:pt>
                <c:pt idx="47">
                  <c:v>34.360834430558938</c:v>
                </c:pt>
                <c:pt idx="48">
                  <c:v>34.467679479922893</c:v>
                </c:pt>
                <c:pt idx="49">
                  <c:v>34.577068746980721</c:v>
                </c:pt>
                <c:pt idx="50">
                  <c:v>34.688963263117287</c:v>
                </c:pt>
                <c:pt idx="51">
                  <c:v>34.803323719840364</c:v>
                </c:pt>
                <c:pt idx="52">
                  <c:v>34.920110514601362</c:v>
                </c:pt>
                <c:pt idx="53">
                  <c:v>35.039283791523047</c:v>
                </c:pt>
                <c:pt idx="54">
                  <c:v>35.160803477625592</c:v>
                </c:pt>
                <c:pt idx="55">
                  <c:v>35.284629315073552</c:v>
                </c:pt>
                <c:pt idx="56">
                  <c:v>35.410720889905434</c:v>
                </c:pt>
                <c:pt idx="57">
                  <c:v>35.539037657653815</c:v>
                </c:pt>
                <c:pt idx="58">
                  <c:v>35.669538966216514</c:v>
                </c:pt>
                <c:pt idx="59">
                  <c:v>35.802184076297507</c:v>
                </c:pt>
                <c:pt idx="60">
                  <c:v>35.936932179699184</c:v>
                </c:pt>
                <c:pt idx="61">
                  <c:v>36.073742415714904</c:v>
                </c:pt>
                <c:pt idx="62">
                  <c:v>36.212573885842026</c:v>
                </c:pt>
                <c:pt idx="63">
                  <c:v>36.353385667009945</c:v>
                </c:pt>
                <c:pt idx="64">
                  <c:v>36.496136823495327</c:v>
                </c:pt>
                <c:pt idx="65">
                  <c:v>36.64078641767663</c:v>
                </c:pt>
                <c:pt idx="66">
                  <c:v>36.787293519762635</c:v>
                </c:pt>
                <c:pt idx="67">
                  <c:v>36.935617216613977</c:v>
                </c:pt>
                <c:pt idx="68">
                  <c:v>37.085716619763076</c:v>
                </c:pt>
                <c:pt idx="69">
                  <c:v>37.237550872725613</c:v>
                </c:pt>
                <c:pt idx="70">
                  <c:v>37.391079157686057</c:v>
                </c:pt>
                <c:pt idx="71">
                  <c:v>37.546260701630167</c:v>
                </c:pt>
                <c:pt idx="72">
                  <c:v>37.703054781989117</c:v>
                </c:pt>
                <c:pt idx="73">
                  <c:v>37.861420731852299</c:v>
                </c:pt>
                <c:pt idx="74">
                  <c:v>38.021317944799463</c:v>
                </c:pt>
                <c:pt idx="75">
                  <c:v>38.18270587939692</c:v>
                </c:pt>
                <c:pt idx="76">
                  <c:v>38.345544063397469</c:v>
                </c:pt>
                <c:pt idx="77">
                  <c:v>38.50979209767906</c:v>
                </c:pt>
                <c:pt idx="78">
                  <c:v>38.675409659953331</c:v>
                </c:pt>
                <c:pt idx="79">
                  <c:v>38.842356508271401</c:v>
                </c:pt>
                <c:pt idx="80">
                  <c:v>39.010592484351307</c:v>
                </c:pt>
                <c:pt idx="81">
                  <c:v>39.180077516748561</c:v>
                </c:pt>
                <c:pt idx="82">
                  <c:v>39.350771623888889</c:v>
                </c:pt>
                <c:pt idx="83">
                  <c:v>39.522634916979996</c:v>
                </c:pt>
                <c:pt idx="84">
                  <c:v>39.695627602817254</c:v>
                </c:pt>
                <c:pt idx="85">
                  <c:v>39.869709986496474</c:v>
                </c:pt>
                <c:pt idx="86">
                  <c:v>40.044842474045446</c:v>
                </c:pt>
                <c:pt idx="87">
                  <c:v>40.220985574984475</c:v>
                </c:pt>
                <c:pt idx="88">
                  <c:v>40.39809990482506</c:v>
                </c:pt>
                <c:pt idx="89">
                  <c:v>40.576146187514709</c:v>
                </c:pt>
                <c:pt idx="90">
                  <c:v>40.755085257834956</c:v>
                </c:pt>
                <c:pt idx="91">
                  <c:v>40.934878063758859</c:v>
                </c:pt>
                <c:pt idx="92">
                  <c:v>41.115485668773402</c:v>
                </c:pt>
                <c:pt idx="93">
                  <c:v>41.296869254171703</c:v>
                </c:pt>
                <c:pt idx="94">
                  <c:v>41.478990121319207</c:v>
                </c:pt>
                <c:pt idx="95">
                  <c:v>41.661809693897638</c:v>
                </c:pt>
                <c:pt idx="96">
                  <c:v>41.845289520129946</c:v>
                </c:pt>
                <c:pt idx="97">
                  <c:v>42.029391274989074</c:v>
                </c:pt>
                <c:pt idx="98">
                  <c:v>42.214076762393077</c:v>
                </c:pt>
                <c:pt idx="99">
                  <c:v>42.399307917388704</c:v>
                </c:pt>
                <c:pt idx="100">
                  <c:v>42.585046808325373</c:v>
                </c:pt>
                <c:pt idx="101">
                  <c:v>42.771255639021049</c:v>
                </c:pt>
                <c:pt idx="102">
                  <c:v>42.957896750921535</c:v>
                </c:pt>
                <c:pt idx="103">
                  <c:v>43.144932625254278</c:v>
                </c:pt>
                <c:pt idx="104">
                  <c:v>43.332325885177703</c:v>
                </c:pt>
                <c:pt idx="105">
                  <c:v>43.520039297926978</c:v>
                </c:pt>
                <c:pt idx="106">
                  <c:v>43.708035776956798</c:v>
                </c:pt>
                <c:pt idx="107">
                  <c:v>43.896278384081882</c:v>
                </c:pt>
                <c:pt idx="108">
                  <c:v>44.08473033161561</c:v>
                </c:pt>
                <c:pt idx="109">
                  <c:v>44.273354984507073</c:v>
                </c:pt>
                <c:pt idx="110">
                  <c:v>44.462115862476985</c:v>
                </c:pt>
                <c:pt idx="111">
                  <c:v>44.650976642152479</c:v>
                </c:pt>
                <c:pt idx="112">
                  <c:v>44.839901159201027</c:v>
                </c:pt>
                <c:pt idx="113">
                  <c:v>45.028853410463498</c:v>
                </c:pt>
                <c:pt idx="114">
                  <c:v>45.217797556086389</c:v>
                </c:pt>
                <c:pt idx="115">
                  <c:v>45.406697921653148</c:v>
                </c:pt>
                <c:pt idx="116">
                  <c:v>45.595519000314546</c:v>
                </c:pt>
                <c:pt idx="117">
                  <c:v>45.784225454917987</c:v>
                </c:pt>
                <c:pt idx="118">
                  <c:v>45.972782120135534</c:v>
                </c:pt>
                <c:pt idx="119">
                  <c:v>46.161154004590522</c:v>
                </c:pt>
                <c:pt idx="120">
                  <c:v>46.34930629298254</c:v>
                </c:pt>
                <c:pt idx="121">
                  <c:v>46.537204348210523</c:v>
                </c:pt>
                <c:pt idx="122">
                  <c:v>46.72481371349371</c:v>
                </c:pt>
                <c:pt idx="123">
                  <c:v>46.912100114490201</c:v>
                </c:pt>
                <c:pt idx="124">
                  <c:v>47.099029461412805</c:v>
                </c:pt>
                <c:pt idx="125">
                  <c:v>47.285567851141884</c:v>
                </c:pt>
                <c:pt idx="126">
                  <c:v>47.471681569334876</c:v>
                </c:pt>
                <c:pt idx="127">
                  <c:v>47.657337092532181</c:v>
                </c:pt>
                <c:pt idx="128">
                  <c:v>47.842501090259027</c:v>
                </c:pt>
                <c:pt idx="129">
                  <c:v>48.027140427123065</c:v>
                </c:pt>
                <c:pt idx="130">
                  <c:v>48.211222164907205</c:v>
                </c:pt>
                <c:pt idx="131">
                  <c:v>48.394713564657486</c:v>
                </c:pt>
                <c:pt idx="132">
                  <c:v>48.57758208876551</c:v>
                </c:pt>
                <c:pt idx="133">
                  <c:v>48.759795403045096</c:v>
                </c:pt>
                <c:pt idx="134">
                  <c:v>48.941321378802861</c:v>
                </c:pt>
                <c:pt idx="135">
                  <c:v>49.122128094902223</c:v>
                </c:pt>
                <c:pt idx="136">
                  <c:v>49.302183839820579</c:v>
                </c:pt>
                <c:pt idx="137">
                  <c:v>49.481457113699221</c:v>
                </c:pt>
                <c:pt idx="138">
                  <c:v>49.659916630385602</c:v>
                </c:pt>
                <c:pt idx="139">
                  <c:v>49.837531319467615</c:v>
                </c:pt>
                <c:pt idx="140">
                  <c:v>50.014270328299496</c:v>
                </c:pt>
                <c:pt idx="141">
                  <c:v>50.190103024018988</c:v>
                </c:pt>
                <c:pt idx="142">
                  <c:v>50.364998995555339</c:v>
                </c:pt>
                <c:pt idx="143">
                  <c:v>50.538928055627792</c:v>
                </c:pt>
                <c:pt idx="144">
                  <c:v>50.711860242734268</c:v>
                </c:pt>
                <c:pt idx="145">
                  <c:v>50.883765823129707</c:v>
                </c:pt>
                <c:pt idx="146">
                  <c:v>51.054615292793862</c:v>
                </c:pt>
                <c:pt idx="147">
                  <c:v>51.224379379388061</c:v>
                </c:pt>
                <c:pt idx="148">
                  <c:v>51.393029044200638</c:v>
                </c:pt>
                <c:pt idx="149">
                  <c:v>51.560535484080631</c:v>
                </c:pt>
                <c:pt idx="150">
                  <c:v>51.726870133359398</c:v>
                </c:pt>
                <c:pt idx="151">
                  <c:v>51.892004665759792</c:v>
                </c:pt>
                <c:pt idx="152">
                  <c:v>52.055910996292567</c:v>
                </c:pt>
                <c:pt idx="153">
                  <c:v>52.218561283139564</c:v>
                </c:pt>
                <c:pt idx="154">
                  <c:v>52.379927929523447</c:v>
                </c:pt>
                <c:pt idx="155">
                  <c:v>52.539983585563554</c:v>
                </c:pt>
                <c:pt idx="156">
                  <c:v>52.69870115011755</c:v>
                </c:pt>
                <c:pt idx="157">
                  <c:v>52.856053772608512</c:v>
                </c:pt>
                <c:pt idx="158">
                  <c:v>53.012014854837162</c:v>
                </c:pt>
                <c:pt idx="159">
                  <c:v>53.166558052778839</c:v>
                </c:pt>
                <c:pt idx="160">
                  <c:v>53.319657278364915</c:v>
                </c:pt>
                <c:pt idx="161">
                  <c:v>53.471286701248303</c:v>
                </c:pt>
                <c:pt idx="162">
                  <c:v>53.621420750552772</c:v>
                </c:pt>
                <c:pt idx="163">
                  <c:v>53.770034116605679</c:v>
                </c:pt>
                <c:pt idx="164">
                  <c:v>53.917101752653814</c:v>
                </c:pt>
                <c:pt idx="165">
                  <c:v>54.062598876562106</c:v>
                </c:pt>
                <c:pt idx="166">
                  <c:v>54.206500972494773</c:v>
                </c:pt>
                <c:pt idx="167">
                  <c:v>54.348783792578651</c:v>
                </c:pt>
                <c:pt idx="168">
                  <c:v>54.489423358548407</c:v>
                </c:pt>
                <c:pt idx="169">
                  <c:v>54.628395963373308</c:v>
                </c:pt>
                <c:pt idx="170">
                  <c:v>54.765678172865243</c:v>
                </c:pt>
                <c:pt idx="171">
                  <c:v>54.901246827267713</c:v>
                </c:pt>
                <c:pt idx="172">
                  <c:v>55.035079042825473</c:v>
                </c:pt>
                <c:pt idx="173">
                  <c:v>55.167152213334568</c:v>
                </c:pt>
                <c:pt idx="174">
                  <c:v>55.297444011672411</c:v>
                </c:pt>
                <c:pt idx="175">
                  <c:v>55.425932391307711</c:v>
                </c:pt>
                <c:pt idx="176">
                  <c:v>55.552595587789888</c:v>
                </c:pt>
                <c:pt idx="177">
                  <c:v>55.677412120217696</c:v>
                </c:pt>
                <c:pt idx="178">
                  <c:v>55.800360792686881</c:v>
                </c:pt>
                <c:pt idx="179">
                  <c:v>55.921420695716471</c:v>
                </c:pt>
                <c:pt idx="180">
                  <c:v>56.040571207653521</c:v>
                </c:pt>
                <c:pt idx="181">
                  <c:v>56.157791996056012</c:v>
                </c:pt>
                <c:pt idx="182">
                  <c:v>56.273063019053637</c:v>
                </c:pt>
                <c:pt idx="183">
                  <c:v>56.386364526686265</c:v>
                </c:pt>
                <c:pt idx="184">
                  <c:v>56.497677062219772</c:v>
                </c:pt>
                <c:pt idx="185">
                  <c:v>56.606981463439027</c:v>
                </c:pt>
                <c:pt idx="186">
                  <c:v>56.714258863917756</c:v>
                </c:pt>
                <c:pt idx="187">
                  <c:v>56.819490694265113</c:v>
                </c:pt>
                <c:pt idx="188">
                  <c:v>56.922658683348622</c:v>
                </c:pt>
                <c:pt idx="189">
                  <c:v>57.023744859493306</c:v>
                </c:pt>
                <c:pt idx="190">
                  <c:v>57.12273155165682</c:v>
                </c:pt>
                <c:pt idx="191">
                  <c:v>57.219601390580259</c:v>
                </c:pt>
                <c:pt idx="192">
                  <c:v>57.314337309914507</c:v>
                </c:pt>
                <c:pt idx="193">
                  <c:v>57.406922547321841</c:v>
                </c:pt>
                <c:pt idx="194">
                  <c:v>57.497340645552647</c:v>
                </c:pt>
                <c:pt idx="195">
                  <c:v>57.585575453496979</c:v>
                </c:pt>
                <c:pt idx="196">
                  <c:v>57.671611127210767</c:v>
                </c:pt>
                <c:pt idx="197">
                  <c:v>57.755432130916468</c:v>
                </c:pt>
                <c:pt idx="198">
                  <c:v>57.837023237978002</c:v>
                </c:pt>
                <c:pt idx="199">
                  <c:v>57.916369531849703</c:v>
                </c:pt>
                <c:pt idx="200">
                  <c:v>57.993456406999165</c:v>
                </c:pt>
                <c:pt idx="201">
                  <c:v>58.068269569803725</c:v>
                </c:pt>
                <c:pt idx="202">
                  <c:v>58.14079503942051</c:v>
                </c:pt>
                <c:pt idx="203">
                  <c:v>58.211019148629696</c:v>
                </c:pt>
                <c:pt idx="204">
                  <c:v>58.278928544650974</c:v>
                </c:pt>
                <c:pt idx="205">
                  <c:v>58.34451018993294</c:v>
                </c:pt>
                <c:pt idx="206">
                  <c:v>58.407751362915313</c:v>
                </c:pt>
                <c:pt idx="207">
                  <c:v>58.468639658763742</c:v>
                </c:pt>
                <c:pt idx="208">
                  <c:v>58.527162990077109</c:v>
                </c:pt>
                <c:pt idx="209">
                  <c:v>58.583309587567115</c:v>
                </c:pt>
                <c:pt idx="210">
                  <c:v>58.637068000710066</c:v>
                </c:pt>
                <c:pt idx="211">
                  <c:v>58.688427098370617</c:v>
                </c:pt>
                <c:pt idx="212">
                  <c:v>58.737376069397413</c:v>
                </c:pt>
                <c:pt idx="213">
                  <c:v>58.783904423190457</c:v>
                </c:pt>
                <c:pt idx="214">
                  <c:v>58.828001990240018</c:v>
                </c:pt>
                <c:pt idx="215">
                  <c:v>58.869658922637058</c:v>
                </c:pt>
                <c:pt idx="216">
                  <c:v>58.908865694554933</c:v>
                </c:pt>
                <c:pt idx="217">
                  <c:v>58.945613102702296</c:v>
                </c:pt>
                <c:pt idx="218">
                  <c:v>58.979892266747107</c:v>
                </c:pt>
                <c:pt idx="219">
                  <c:v>59.011694629711549</c:v>
                </c:pt>
                <c:pt idx="220">
                  <c:v>59.041011958337869</c:v>
                </c:pt>
                <c:pt idx="221">
                  <c:v>59.067836343424865</c:v>
                </c:pt>
                <c:pt idx="222">
                  <c:v>59.092160200135083</c:v>
                </c:pt>
                <c:pt idx="223">
                  <c:v>59.113976268272481</c:v>
                </c:pt>
                <c:pt idx="224">
                  <c:v>59.133277612530577</c:v>
                </c:pt>
                <c:pt idx="225">
                  <c:v>59.150057622710897</c:v>
                </c:pt>
                <c:pt idx="226">
                  <c:v>59.164310013911702</c:v>
                </c:pt>
                <c:pt idx="227">
                  <c:v>59.17602882668686</c:v>
                </c:pt>
                <c:pt idx="228">
                  <c:v>59.185208427174821</c:v>
                </c:pt>
                <c:pt idx="229">
                  <c:v>59.191843507197561</c:v>
                </c:pt>
                <c:pt idx="230">
                  <c:v>59.195929084329507</c:v>
                </c:pt>
                <c:pt idx="231">
                  <c:v>59.197460501936291</c:v>
                </c:pt>
                <c:pt idx="232">
                  <c:v>59.196433429183323</c:v>
                </c:pt>
                <c:pt idx="233">
                  <c:v>59.192843861014055</c:v>
                </c:pt>
                <c:pt idx="234">
                  <c:v>59.186688118098012</c:v>
                </c:pt>
                <c:pt idx="235">
                  <c:v>59.177962846748351</c:v>
                </c:pt>
                <c:pt idx="236">
                  <c:v>59.166665018809063</c:v>
                </c:pt>
                <c:pt idx="237">
                  <c:v>59.152791931511665</c:v>
                </c:pt>
                <c:pt idx="238">
                  <c:v>59.136341207301427</c:v>
                </c:pt>
                <c:pt idx="239">
                  <c:v>59.117310793632996</c:v>
                </c:pt>
                <c:pt idx="240">
                  <c:v>59.095698962735476</c:v>
                </c:pt>
                <c:pt idx="241">
                  <c:v>59.071504311346892</c:v>
                </c:pt>
                <c:pt idx="242">
                  <c:v>59.044725760418011</c:v>
                </c:pt>
                <c:pt idx="243">
                  <c:v>59.015362554785483</c:v>
                </c:pt>
                <c:pt idx="244">
                  <c:v>58.983414262814357</c:v>
                </c:pt>
                <c:pt idx="245">
                  <c:v>58.948880776009872</c:v>
                </c:pt>
                <c:pt idx="246">
                  <c:v>58.91176230859854</c:v>
                </c:pt>
                <c:pt idx="247">
                  <c:v>58.872059397078566</c:v>
                </c:pt>
                <c:pt idx="248">
                  <c:v>58.829772899739503</c:v>
                </c:pt>
                <c:pt idx="249">
                  <c:v>58.784903996151264</c:v>
                </c:pt>
                <c:pt idx="250">
                  <c:v>58.737454186622379</c:v>
                </c:pt>
                <c:pt idx="251">
                  <c:v>58.687425291627619</c:v>
                </c:pt>
                <c:pt idx="252">
                  <c:v>58.634819451204883</c:v>
                </c:pt>
                <c:pt idx="253">
                  <c:v>58.579639124321467</c:v>
                </c:pt>
                <c:pt idx="254">
                  <c:v>58.521887088209716</c:v>
                </c:pt>
                <c:pt idx="255">
                  <c:v>58.461566437672019</c:v>
                </c:pt>
                <c:pt idx="256">
                  <c:v>58.398680584355233</c:v>
                </c:pt>
                <c:pt idx="257">
                  <c:v>58.333233255994614</c:v>
                </c:pt>
                <c:pt idx="258">
                  <c:v>58.265228495627134</c:v>
                </c:pt>
                <c:pt idx="259">
                  <c:v>58.194670660774456</c:v>
                </c:pt>
                <c:pt idx="260">
                  <c:v>58.121564422595362</c:v>
                </c:pt>
                <c:pt idx="261">
                  <c:v>58.045914765007907</c:v>
                </c:pt>
                <c:pt idx="262">
                  <c:v>57.967726983781176</c:v>
                </c:pt>
                <c:pt idx="263">
                  <c:v>57.887006685596816</c:v>
                </c:pt>
                <c:pt idx="264">
                  <c:v>57.803759787080331</c:v>
                </c:pt>
                <c:pt idx="265">
                  <c:v>57.717992513802287</c:v>
                </c:pt>
                <c:pt idx="266">
                  <c:v>57.629711399249373</c:v>
                </c:pt>
                <c:pt idx="267">
                  <c:v>57.538923283765499</c:v>
                </c:pt>
                <c:pt idx="268">
                  <c:v>57.445635313462972</c:v>
                </c:pt>
                <c:pt idx="269">
                  <c:v>57.349854939103793</c:v>
                </c:pt>
                <c:pt idx="270">
                  <c:v>57.25158991495119</c:v>
                </c:pt>
                <c:pt idx="271">
                  <c:v>57.150848297591523</c:v>
                </c:pt>
                <c:pt idx="272">
                  <c:v>57.047638444726516</c:v>
                </c:pt>
                <c:pt idx="273">
                  <c:v>56.941969013936038</c:v>
                </c:pt>
                <c:pt idx="274">
                  <c:v>56.833848961411498</c:v>
                </c:pt>
                <c:pt idx="275">
                  <c:v>56.723287540659904</c:v>
                </c:pt>
                <c:pt idx="276">
                  <c:v>56.610294301178747</c:v>
                </c:pt>
                <c:pt idx="277">
                  <c:v>56.494879087101808</c:v>
                </c:pt>
                <c:pt idx="278">
                  <c:v>56.37705203581595</c:v>
                </c:pt>
                <c:pt idx="279">
                  <c:v>56.256823576549124</c:v>
                </c:pt>
                <c:pt idx="280">
                  <c:v>56.134204428929536</c:v>
                </c:pt>
                <c:pt idx="281">
                  <c:v>56.009205601516292</c:v>
                </c:pt>
                <c:pt idx="282">
                  <c:v>55.881838390301503</c:v>
                </c:pt>
                <c:pt idx="283">
                  <c:v>55.752114377184022</c:v>
                </c:pt>
                <c:pt idx="284">
                  <c:v>55.620045428414976</c:v>
                </c:pt>
                <c:pt idx="285">
                  <c:v>55.485643693015177</c:v>
                </c:pt>
                <c:pt idx="286">
                  <c:v>55.348921601164626</c:v>
                </c:pt>
                <c:pt idx="287">
                  <c:v>55.209891862564156</c:v>
                </c:pt>
                <c:pt idx="288">
                  <c:v>55.068567464769437</c:v>
                </c:pt>
                <c:pt idx="289">
                  <c:v>54.924961671497485</c:v>
                </c:pt>
                <c:pt idx="290">
                  <c:v>54.779088020905775</c:v>
                </c:pt>
                <c:pt idx="291">
                  <c:v>54.630960323844178</c:v>
                </c:pt>
                <c:pt idx="292">
                  <c:v>54.480592662079843</c:v>
                </c:pt>
                <c:pt idx="293">
                  <c:v>54.327999386495222</c:v>
                </c:pt>
                <c:pt idx="294">
                  <c:v>54.173195115259361</c:v>
                </c:pt>
                <c:pt idx="295">
                  <c:v>54.016194731972647</c:v>
                </c:pt>
                <c:pt idx="296">
                  <c:v>53.857013383785223</c:v>
                </c:pt>
                <c:pt idx="297">
                  <c:v>53.695666479489148</c:v>
                </c:pt>
                <c:pt idx="298">
                  <c:v>53.532169687584634</c:v>
                </c:pt>
                <c:pt idx="299">
                  <c:v>53.366538934320353</c:v>
                </c:pt>
                <c:pt idx="300">
                  <c:v>53.198790401708187</c:v>
                </c:pt>
                <c:pt idx="301">
                  <c:v>53.028940525512475</c:v>
                </c:pt>
                <c:pt idx="302">
                  <c:v>52.85700599321401</c:v>
                </c:pt>
                <c:pt idx="303">
                  <c:v>52.683003741948994</c:v>
                </c:pt>
                <c:pt idx="304">
                  <c:v>52.506950956423083</c:v>
                </c:pt>
                <c:pt idx="305">
                  <c:v>52.328915015339248</c:v>
                </c:pt>
                <c:pt idx="306">
                  <c:v>52.149033126652043</c:v>
                </c:pt>
                <c:pt idx="307">
                  <c:v>51.967505572324839</c:v>
                </c:pt>
                <c:pt idx="308">
                  <c:v>51.784577373659054</c:v>
                </c:pt>
                <c:pt idx="309">
                  <c:v>51.600518388863442</c:v>
                </c:pt>
                <c:pt idx="310">
                  <c:v>51.415606466696836</c:v>
                </c:pt>
                <c:pt idx="311">
                  <c:v>51.230114976692953</c:v>
                </c:pt>
                <c:pt idx="312">
                  <c:v>51.044304468742645</c:v>
                </c:pt>
                <c:pt idx="313">
                  <c:v>50.858417657017469</c:v>
                </c:pt>
                <c:pt idx="314">
                  <c:v>50.672676852207005</c:v>
                </c:pt>
                <c:pt idx="315">
                  <c:v>50.487283087314395</c:v>
                </c:pt>
                <c:pt idx="316">
                  <c:v>50.302416352575854</c:v>
                </c:pt>
                <c:pt idx="317">
                  <c:v>50.118236514384726</c:v>
                </c:pt>
                <c:pt idx="318">
                  <c:v>49.934884622024349</c:v>
                </c:pt>
                <c:pt idx="319">
                  <c:v>49.75248440286714</c:v>
                </c:pt>
                <c:pt idx="320">
                  <c:v>49.571143816243691</c:v>
                </c:pt>
                <c:pt idx="321">
                  <c:v>49.390956584602996</c:v>
                </c:pt>
                <c:pt idx="322">
                  <c:v>49.212003653500091</c:v>
                </c:pt>
                <c:pt idx="323">
                  <c:v>49.034354553860339</c:v>
                </c:pt>
                <c:pt idx="324">
                  <c:v>48.858068654249507</c:v>
                </c:pt>
                <c:pt idx="325">
                  <c:v>48.683196299952492</c:v>
                </c:pt>
                <c:pt idx="326">
                  <c:v>48.509779841236572</c:v>
                </c:pt>
                <c:pt idx="327">
                  <c:v>48.337854556424617</c:v>
                </c:pt>
                <c:pt idx="328">
                  <c:v>48.167449477134326</c:v>
                </c:pt>
                <c:pt idx="329">
                  <c:v>47.998588123793752</c:v>
                </c:pt>
                <c:pt idx="330">
                  <c:v>47.831289159684815</c:v>
                </c:pt>
                <c:pt idx="331">
                  <c:v>47.665566971536336</c:v>
                </c:pt>
                <c:pt idx="332">
                  <c:v>47.501432184245253</c:v>
                </c:pt>
                <c:pt idx="333">
                  <c:v>47.338892116751218</c:v>
                </c:pt>
                <c:pt idx="334">
                  <c:v>47.17795118549212</c:v>
                </c:pt>
                <c:pt idx="335">
                  <c:v>47.018611261266336</c:v>
                </c:pt>
                <c:pt idx="336">
                  <c:v>46.86087198474673</c:v>
                </c:pt>
                <c:pt idx="337">
                  <c:v>46.704731045345056</c:v>
                </c:pt>
                <c:pt idx="338">
                  <c:v>46.5501844276206</c:v>
                </c:pt>
                <c:pt idx="339">
                  <c:v>46.397226628965981</c:v>
                </c:pt>
                <c:pt idx="340">
                  <c:v>46.245850851886139</c:v>
                </c:pt>
                <c:pt idx="341">
                  <c:v>46.096049173811451</c:v>
                </c:pt>
                <c:pt idx="342">
                  <c:v>45.947812697050502</c:v>
                </c:pt>
                <c:pt idx="343">
                  <c:v>45.801131681188728</c:v>
                </c:pt>
                <c:pt idx="344">
                  <c:v>45.655995659973009</c:v>
                </c:pt>
                <c:pt idx="345">
                  <c:v>45.512393544485967</c:v>
                </c:pt>
                <c:pt idx="346">
                  <c:v>45.370313714204336</c:v>
                </c:pt>
                <c:pt idx="347">
                  <c:v>45.22974409735022</c:v>
                </c:pt>
                <c:pt idx="348">
                  <c:v>45.090672241780076</c:v>
                </c:pt>
                <c:pt idx="349">
                  <c:v>44.95308537751103</c:v>
                </c:pt>
                <c:pt idx="350">
                  <c:v>44.816970471856088</c:v>
                </c:pt>
                <c:pt idx="351">
                  <c:v>44.682314278026396</c:v>
                </c:pt>
                <c:pt idx="352">
                  <c:v>44.549103377958673</c:v>
                </c:pt>
                <c:pt idx="353">
                  <c:v>44.417324220037607</c:v>
                </c:pt>
                <c:pt idx="354">
                  <c:v>44.286963152304963</c:v>
                </c:pt>
                <c:pt idx="355">
                  <c:v>44.158006451678219</c:v>
                </c:pt>
                <c:pt idx="356">
                  <c:v>44.030440349640756</c:v>
                </c:pt>
                <c:pt idx="357">
                  <c:v>43.90425105481183</c:v>
                </c:pt>
                <c:pt idx="358">
                  <c:v>43.779424772757253</c:v>
                </c:pt>
                <c:pt idx="359">
                  <c:v>43.655947723359652</c:v>
                </c:pt>
                <c:pt idx="360">
                  <c:v>43.533806156030344</c:v>
                </c:pt>
                <c:pt idx="361">
                  <c:v>43.41298636301206</c:v>
                </c:pt>
                <c:pt idx="362">
                  <c:v>43.293474690992987</c:v>
                </c:pt>
                <c:pt idx="363">
                  <c:v>43.175257551227084</c:v>
                </c:pt>
                <c:pt idx="364">
                  <c:v>43.058321428333038</c:v>
                </c:pt>
                <c:pt idx="365">
                  <c:v>42.942652887924453</c:v>
                </c:pt>
                <c:pt idx="366">
                  <c:v>42.828238583206144</c:v>
                </c:pt>
                <c:pt idx="367">
                  <c:v>42.715065260656047</c:v>
                </c:pt>
                <c:pt idx="368">
                  <c:v>42.60311976489826</c:v>
                </c:pt>
                <c:pt idx="369">
                  <c:v>42.492389042860914</c:v>
                </c:pt>
                <c:pt idx="370">
                  <c:v>42.382860147301521</c:v>
                </c:pt>
                <c:pt idx="371">
                  <c:v>42.274520239773189</c:v>
                </c:pt>
                <c:pt idx="372">
                  <c:v>42.167356593096621</c:v>
                </c:pt>
                <c:pt idx="373">
                  <c:v>42.061356593395296</c:v>
                </c:pt>
                <c:pt idx="374">
                  <c:v>41.956507741744851</c:v>
                </c:pt>
                <c:pt idx="375">
                  <c:v>41.852797655481687</c:v>
                </c:pt>
                <c:pt idx="376">
                  <c:v>41.750214069210848</c:v>
                </c:pt>
                <c:pt idx="377">
                  <c:v>41.648744835548463</c:v>
                </c:pt>
                <c:pt idx="378">
                  <c:v>41.548377925630284</c:v>
                </c:pt>
                <c:pt idx="379">
                  <c:v>41.449101429414007</c:v>
                </c:pt>
                <c:pt idx="380">
                  <c:v>41.350903555800095</c:v>
                </c:pt>
                <c:pt idx="381">
                  <c:v>41.253772632592955</c:v>
                </c:pt>
                <c:pt idx="382">
                  <c:v>41.157697106321862</c:v>
                </c:pt>
                <c:pt idx="383">
                  <c:v>41.062665541938763</c:v>
                </c:pt>
                <c:pt idx="384">
                  <c:v>40.968666622408271</c:v>
                </c:pt>
                <c:pt idx="385">
                  <c:v>40.875689148203335</c:v>
                </c:pt>
                <c:pt idx="386">
                  <c:v>40.783722036718537</c:v>
                </c:pt>
                <c:pt idx="387">
                  <c:v>40.692754321611709</c:v>
                </c:pt>
                <c:pt idx="388">
                  <c:v>40.602775152083261</c:v>
                </c:pt>
                <c:pt idx="389">
                  <c:v>40.513773792101617</c:v>
                </c:pt>
                <c:pt idx="390">
                  <c:v>40.425739619582082</c:v>
                </c:pt>
                <c:pt idx="391">
                  <c:v>40.338662125525907</c:v>
                </c:pt>
                <c:pt idx="392">
                  <c:v>40.252530913125121</c:v>
                </c:pt>
                <c:pt idx="393">
                  <c:v>40.167335696838599</c:v>
                </c:pt>
                <c:pt idx="394">
                  <c:v>40.083066301443687</c:v>
                </c:pt>
                <c:pt idx="395">
                  <c:v>39.999712661067619</c:v>
                </c:pt>
                <c:pt idx="396">
                  <c:v>39.917264818202256</c:v>
                </c:pt>
                <c:pt idx="397">
                  <c:v>39.835712922705341</c:v>
                </c:pt>
                <c:pt idx="398">
                  <c:v>39.755047230791135</c:v>
                </c:pt>
                <c:pt idx="399">
                  <c:v>39.675258104012855</c:v>
                </c:pt>
                <c:pt idx="400">
                  <c:v>39.596336008239234</c:v>
                </c:pt>
                <c:pt idx="401">
                  <c:v>39.518271512627052</c:v>
                </c:pt>
                <c:pt idx="402">
                  <c:v>39.441055288591407</c:v>
                </c:pt>
                <c:pt idx="403">
                  <c:v>39.364678108775308</c:v>
                </c:pt>
                <c:pt idx="404">
                  <c:v>39.289130846019816</c:v>
                </c:pt>
                <c:pt idx="405">
                  <c:v>39.214404472336014</c:v>
                </c:pt>
                <c:pt idx="406">
                  <c:v>39.140490057879816</c:v>
                </c:pt>
                <c:pt idx="407">
                  <c:v>39.0673787699305</c:v>
                </c:pt>
                <c:pt idx="408">
                  <c:v>38.995061871873808</c:v>
                </c:pt>
                <c:pt idx="409">
                  <c:v>38.923530722190321</c:v>
                </c:pt>
                <c:pt idx="410">
                  <c:v>38.852776773449655</c:v>
                </c:pt>
                <c:pt idx="411">
                  <c:v>38.782791571311058</c:v>
                </c:pt>
                <c:pt idx="412">
                  <c:v>38.713566753530898</c:v>
                </c:pt>
                <c:pt idx="413">
                  <c:v>38.645094048977377</c:v>
                </c:pt>
                <c:pt idx="414">
                  <c:v>38.577365276652856</c:v>
                </c:pt>
                <c:pt idx="415">
                  <c:v>38.510372344724033</c:v>
                </c:pt>
                <c:pt idx="416">
                  <c:v>38.444107249560318</c:v>
                </c:pt>
                <c:pt idx="417">
                  <c:v>38.378562074780511</c:v>
                </c:pt>
                <c:pt idx="418">
                  <c:v>38.313728990308014</c:v>
                </c:pt>
                <c:pt idx="419">
                  <c:v>38.249600251434707</c:v>
                </c:pt>
                <c:pt idx="420">
                  <c:v>38.186168197893615</c:v>
                </c:pt>
                <c:pt idx="421">
                  <c:v>38.123425252940436</c:v>
                </c:pt>
                <c:pt idx="422">
                  <c:v>38.061363922443967</c:v>
                </c:pt>
                <c:pt idx="423">
                  <c:v>37.999976793985624</c:v>
                </c:pt>
                <c:pt idx="424">
                  <c:v>37.939256535967871</c:v>
                </c:pt>
                <c:pt idx="425">
                  <c:v>37.879195896731751</c:v>
                </c:pt>
                <c:pt idx="426">
                  <c:v>37.81978770368346</c:v>
                </c:pt>
                <c:pt idx="427">
                  <c:v>37.761024862429927</c:v>
                </c:pt>
                <c:pt idx="428">
                  <c:v>37.702900355923461</c:v>
                </c:pt>
                <c:pt idx="429">
                  <c:v>37.645407243615338</c:v>
                </c:pt>
                <c:pt idx="430">
                  <c:v>37.588538660618369</c:v>
                </c:pt>
                <c:pt idx="431">
                  <c:v>37.532287816878387</c:v>
                </c:pt>
                <c:pt idx="432">
                  <c:v>37.476647996354593</c:v>
                </c:pt>
                <c:pt idx="433">
                  <c:v>37.421612556208729</c:v>
                </c:pt>
                <c:pt idx="434">
                  <c:v>37.367174926002981</c:v>
                </c:pt>
                <c:pt idx="435">
                  <c:v>37.313328606906573</c:v>
                </c:pt>
                <c:pt idx="436">
                  <c:v>37.260067170911022</c:v>
                </c:pt>
                <c:pt idx="437">
                  <c:v>37.2073842600539</c:v>
                </c:pt>
                <c:pt idx="438">
                  <c:v>37.155273585651116</c:v>
                </c:pt>
                <c:pt idx="439">
                  <c:v>37.103728927537588</c:v>
                </c:pt>
                <c:pt idx="440">
                  <c:v>37.052744133316267</c:v>
                </c:pt>
                <c:pt idx="441">
                  <c:v>37.002313117615387</c:v>
                </c:pt>
                <c:pt idx="442">
                  <c:v>36.952429861353941</c:v>
                </c:pt>
                <c:pt idx="443">
                  <c:v>36.903088411015197</c:v>
                </c:pt>
                <c:pt idx="444">
                  <c:v>36.854282877928277</c:v>
                </c:pt>
                <c:pt idx="445">
                  <c:v>36.806007437557668</c:v>
                </c:pt>
                <c:pt idx="446">
                  <c:v>36.758256328800556</c:v>
                </c:pt>
                <c:pt idx="447">
                  <c:v>36.711023853291969</c:v>
                </c:pt>
                <c:pt idx="448">
                  <c:v>36.664304374717602</c:v>
                </c:pt>
                <c:pt idx="449">
                  <c:v>36.618092318134252</c:v>
                </c:pt>
                <c:pt idx="450">
                  <c:v>36.572382169297775</c:v>
                </c:pt>
                <c:pt idx="451">
                  <c:v>36.527168473998508</c:v>
                </c:pt>
                <c:pt idx="452">
                  <c:v>36.482445837404036</c:v>
                </c:pt>
                <c:pt idx="453">
                  <c:v>36.438208923409256</c:v>
                </c:pt>
                <c:pt idx="454">
                  <c:v>36.394452453993665</c:v>
                </c:pt>
                <c:pt idx="455">
                  <c:v>36.35117120858574</c:v>
                </c:pt>
                <c:pt idx="456">
                  <c:v>36.308360023434382</c:v>
                </c:pt>
                <c:pt idx="457">
                  <c:v>36.266013790987351</c:v>
                </c:pt>
                <c:pt idx="458">
                  <c:v>36.224127459276531</c:v>
                </c:pt>
                <c:pt idx="459">
                  <c:v>36.182696031310087</c:v>
                </c:pt>
                <c:pt idx="460">
                  <c:v>36.141714564471286</c:v>
                </c:pt>
                <c:pt idx="461">
                  <c:v>36.101178169924026</c:v>
                </c:pt>
                <c:pt idx="462">
                  <c:v>36.061082012024933</c:v>
                </c:pt>
                <c:pt idx="463">
                  <c:v>36.021421307741974</c:v>
                </c:pt>
                <c:pt idx="464">
                  <c:v>35.982191326079487</c:v>
                </c:pt>
                <c:pt idx="465">
                  <c:v>35.943387387509624</c:v>
                </c:pt>
                <c:pt idx="466">
                  <c:v>35.905004863410014</c:v>
                </c:pt>
                <c:pt idx="467">
                  <c:v>35.86703917550772</c:v>
                </c:pt>
                <c:pt idx="468">
                  <c:v>35.829485795329283</c:v>
                </c:pt>
                <c:pt idx="469">
                  <c:v>35.792340243656916</c:v>
                </c:pt>
                <c:pt idx="470">
                  <c:v>35.755598089990613</c:v>
                </c:pt>
                <c:pt idx="471">
                  <c:v>35.719254952016307</c:v>
                </c:pt>
                <c:pt idx="472">
                  <c:v>35.683306495079819</c:v>
                </c:pt>
                <c:pt idx="473">
                  <c:v>35.647748431666663</c:v>
                </c:pt>
                <c:pt idx="474">
                  <c:v>35.612576520887572</c:v>
                </c:pt>
                <c:pt idx="475">
                  <c:v>35.577786567969696</c:v>
                </c:pt>
                <c:pt idx="476">
                  <c:v>35.543374423753455</c:v>
                </c:pt>
                <c:pt idx="477">
                  <c:v>35.50933598419487</c:v>
                </c:pt>
                <c:pt idx="478">
                  <c:v>35.475667189873441</c:v>
                </c:pt>
                <c:pt idx="479">
                  <c:v>35.442364025505434</c:v>
                </c:pt>
                <c:pt idx="480">
                  <c:v>35.409422519462495</c:v>
                </c:pt>
                <c:pt idx="481">
                  <c:v>35.376838743295622</c:v>
                </c:pt>
                <c:pt idx="482">
                  <c:v>35.344608811264315</c:v>
                </c:pt>
                <c:pt idx="483">
                  <c:v>35.312728879870988</c:v>
                </c:pt>
                <c:pt idx="484">
                  <c:v>35.28119514740041</c:v>
                </c:pt>
                <c:pt idx="485">
                  <c:v>35.250003853464293</c:v>
                </c:pt>
                <c:pt idx="486">
                  <c:v>35.219151278550839</c:v>
                </c:pt>
                <c:pt idx="487">
                  <c:v>35.188633743579267</c:v>
                </c:pt>
                <c:pt idx="488">
                  <c:v>35.158447609459202</c:v>
                </c:pt>
                <c:pt idx="489">
                  <c:v>35.128589276654964</c:v>
                </c:pt>
                <c:pt idx="490">
                  <c:v>35.099055184754569</c:v>
                </c:pt>
                <c:pt idx="491">
                  <c:v>35.069841812043514</c:v>
                </c:pt>
                <c:pt idx="492">
                  <c:v>35.040945675083222</c:v>
                </c:pt>
                <c:pt idx="493">
                  <c:v>35.012363328294128</c:v>
                </c:pt>
                <c:pt idx="494">
                  <c:v>34.984091363543328</c:v>
                </c:pt>
                <c:pt idx="495">
                  <c:v>34.956126409736726</c:v>
                </c:pt>
                <c:pt idx="496">
                  <c:v>34.928465132415717</c:v>
                </c:pt>
                <c:pt idx="497">
                  <c:v>34.90110423335824</c:v>
                </c:pt>
                <c:pt idx="498">
                  <c:v>34.874040450184204</c:v>
                </c:pt>
                <c:pt idx="499">
                  <c:v>34.847270555965281</c:v>
                </c:pt>
                <c:pt idx="500">
                  <c:v>34.820791358838939</c:v>
                </c:pt>
                <c:pt idx="501">
                  <c:v>34.79459970162668</c:v>
                </c:pt>
                <c:pt idx="502">
                  <c:v>34.768692461456546</c:v>
                </c:pt>
                <c:pt idx="503">
                  <c:v>34.743066549389638</c:v>
                </c:pt>
                <c:pt idx="504">
                  <c:v>34.717718910050834</c:v>
                </c:pt>
                <c:pt idx="505">
                  <c:v>34.692646521263491</c:v>
                </c:pt>
                <c:pt idx="506">
                  <c:v>34.667846393688137</c:v>
                </c:pt>
                <c:pt idx="507">
                  <c:v>34.643315570465148</c:v>
                </c:pt>
                <c:pt idx="508">
                  <c:v>34.619051126861329</c:v>
                </c:pt>
                <c:pt idx="509">
                  <c:v>34.595050169920327</c:v>
                </c:pt>
                <c:pt idx="510">
                  <c:v>34.571309838116896</c:v>
                </c:pt>
                <c:pt idx="511">
                  <c:v>34.547827301014955</c:v>
                </c:pt>
                <c:pt idx="512">
                  <c:v>34.524599758929334</c:v>
                </c:pt>
                <c:pt idx="513">
                  <c:v>34.501624442591272</c:v>
                </c:pt>
                <c:pt idx="514">
                  <c:v>34.478898612817531</c:v>
                </c:pt>
                <c:pt idx="515">
                  <c:v>34.456419560183143</c:v>
                </c:pt>
                <c:pt idx="516">
                  <c:v>34.434184604697712</c:v>
                </c:pt>
                <c:pt idx="517">
                  <c:v>34.412191095485284</c:v>
                </c:pt>
                <c:pt idx="518">
                  <c:v>34.3904364104677</c:v>
                </c:pt>
                <c:pt idx="519">
                  <c:v>34.368917956051384</c:v>
                </c:pt>
                <c:pt idx="520">
                  <c:v>34.347633166817566</c:v>
                </c:pt>
                <c:pt idx="521">
                  <c:v>34.326579505215911</c:v>
                </c:pt>
                <c:pt idx="522">
                  <c:v>34.305754461261444</c:v>
                </c:pt>
                <c:pt idx="523">
                  <c:v>34.285155552234819</c:v>
                </c:pt>
                <c:pt idx="524">
                  <c:v>34.264780322385846</c:v>
                </c:pt>
                <c:pt idx="525">
                  <c:v>34.244626342640238</c:v>
                </c:pt>
                <c:pt idx="526">
                  <c:v>34.224691210309601</c:v>
                </c:pt>
                <c:pt idx="527">
                  <c:v>34.20497254880452</c:v>
                </c:pt>
                <c:pt idx="528">
                  <c:v>34.185468007350849</c:v>
                </c:pt>
                <c:pt idx="529">
                  <c:v>34.166175260709032</c:v>
                </c:pt>
                <c:pt idx="530">
                  <c:v>34.147092008896514</c:v>
                </c:pt>
                <c:pt idx="531">
                  <c:v>34.128215976913168</c:v>
                </c:pt>
                <c:pt idx="532">
                  <c:v>34.109544914469751</c:v>
                </c:pt>
                <c:pt idx="533">
                  <c:v>34.091076595719244</c:v>
                </c:pt>
                <c:pt idx="534">
                  <c:v>34.072808818991206</c:v>
                </c:pt>
                <c:pt idx="535">
                  <c:v>34.054739406528952</c:v>
                </c:pt>
                <c:pt idx="536">
                  <c:v>34.036866204229646</c:v>
                </c:pt>
                <c:pt idx="537">
                  <c:v>34.019187081387201</c:v>
                </c:pt>
                <c:pt idx="538">
                  <c:v>34.001699930437972</c:v>
                </c:pt>
                <c:pt idx="539">
                  <c:v>33.984402666709251</c:v>
                </c:pt>
                <c:pt idx="540">
                  <c:v>33.967293228170462</c:v>
                </c:pt>
                <c:pt idx="541">
                  <c:v>33.950369575187104</c:v>
                </c:pt>
                <c:pt idx="542">
                  <c:v>33.933629690277343</c:v>
                </c:pt>
                <c:pt idx="543">
                  <c:v>33.917071577871283</c:v>
                </c:pt>
                <c:pt idx="544">
                  <c:v>33.900693264072821</c:v>
                </c:pt>
                <c:pt idx="545">
                  <c:v>33.884492796424126</c:v>
                </c:pt>
                <c:pt idx="546">
                  <c:v>33.868468243672694</c:v>
                </c:pt>
                <c:pt idx="547">
                  <c:v>33.852617695540886</c:v>
                </c:pt>
                <c:pt idx="548">
                  <c:v>33.836939262498028</c:v>
                </c:pt>
                <c:pt idx="549">
                  <c:v>33.821431075534967</c:v>
                </c:pt>
                <c:pt idx="550">
                  <c:v>33.806091285941079</c:v>
                </c:pt>
                <c:pt idx="551">
                  <c:v>33.790918065083709</c:v>
                </c:pt>
                <c:pt idx="552">
                  <c:v>33.775909604190026</c:v>
                </c:pt>
                <c:pt idx="553">
                  <c:v>33.761064114131237</c:v>
                </c:pt>
                <c:pt idx="554">
                  <c:v>33.746379825209125</c:v>
                </c:pt>
                <c:pt idx="555">
                  <c:v>33.731854986944974</c:v>
                </c:pt>
                <c:pt idx="556">
                  <c:v>33.717487867870716</c:v>
                </c:pt>
                <c:pt idx="557">
                  <c:v>33.703276755322413</c:v>
                </c:pt>
                <c:pt idx="558">
                  <c:v>33.689219955235949</c:v>
                </c:pt>
                <c:pt idx="559">
                  <c:v>33.675315791944946</c:v>
                </c:pt>
                <c:pt idx="560">
                  <c:v>33.661562607980919</c:v>
                </c:pt>
                <c:pt idx="561">
                  <c:v>33.647958763875522</c:v>
                </c:pt>
                <c:pt idx="562">
                  <c:v>33.634502637965049</c:v>
                </c:pt>
                <c:pt idx="563">
                  <c:v>33.621192626196972</c:v>
                </c:pt>
                <c:pt idx="564">
                  <c:v>33.608027141938642</c:v>
                </c:pt>
                <c:pt idx="565">
                  <c:v>33.595004615788028</c:v>
                </c:pt>
                <c:pt idx="566">
                  <c:v>33.582123495386568</c:v>
                </c:pt>
                <c:pt idx="567">
                  <c:v>33.569382245233982</c:v>
                </c:pt>
                <c:pt idx="568">
                  <c:v>33.556779346505174</c:v>
                </c:pt>
                <c:pt idx="569">
                  <c:v>33.544313296869063</c:v>
                </c:pt>
                <c:pt idx="570">
                  <c:v>33.531982610309427</c:v>
                </c:pt>
                <c:pt idx="571">
                  <c:v>33.519785816947675</c:v>
                </c:pt>
                <c:pt idx="572">
                  <c:v>33.507721462867551</c:v>
                </c:pt>
                <c:pt idx="573">
                  <c:v>33.495788109941735</c:v>
                </c:pt>
                <c:pt idx="574">
                  <c:v>33.483984335660367</c:v>
                </c:pt>
                <c:pt idx="575">
                  <c:v>33.472308732961359</c:v>
                </c:pt>
                <c:pt idx="576">
                  <c:v>33.460759910062642</c:v>
                </c:pt>
                <c:pt idx="577">
                  <c:v>33.449336490296155</c:v>
                </c:pt>
                <c:pt idx="578">
                  <c:v>33.438037111943707</c:v>
                </c:pt>
                <c:pt idx="579">
                  <c:v>33.42686042807459</c:v>
                </c:pt>
                <c:pt idx="580">
                  <c:v>33.415805106384937</c:v>
                </c:pt>
                <c:pt idx="581">
                  <c:v>33.404869829038866</c:v>
                </c:pt>
                <c:pt idx="582">
                  <c:v>33.394053292511352</c:v>
                </c:pt>
                <c:pt idx="583">
                  <c:v>33.383354207432745</c:v>
                </c:pt>
                <c:pt idx="584">
                  <c:v>33.372771298435055</c:v>
                </c:pt>
                <c:pt idx="585">
                  <c:v>33.362303303999873</c:v>
                </c:pt>
                <c:pt idx="586">
                  <c:v>33.351948976307938</c:v>
                </c:pt>
                <c:pt idx="587">
                  <c:v>33.341707081090348</c:v>
                </c:pt>
                <c:pt idx="588">
                  <c:v>33.331576397481385</c:v>
                </c:pt>
                <c:pt idx="589">
                  <c:v>33.321555717872947</c:v>
                </c:pt>
                <c:pt idx="590">
                  <c:v>33.311643847770561</c:v>
                </c:pt>
                <c:pt idx="591">
                  <c:v>33.301839605650947</c:v>
                </c:pt>
                <c:pt idx="592">
                  <c:v>33.292141822821137</c:v>
                </c:pt>
                <c:pt idx="593">
                  <c:v>33.282549343279143</c:v>
                </c:pt>
                <c:pt idx="594">
                  <c:v>33.273061023576112</c:v>
                </c:pt>
                <c:pt idx="595">
                  <c:v>33.263675732679999</c:v>
                </c:pt>
                <c:pt idx="596">
                  <c:v>33.254392351840693</c:v>
                </c:pt>
                <c:pt idx="597">
                  <c:v>33.245209774456654</c:v>
                </c:pt>
                <c:pt idx="598">
                  <c:v>33.236126905942946</c:v>
                </c:pt>
                <c:pt idx="599">
                  <c:v>33.227142663600766</c:v>
                </c:pt>
                <c:pt idx="600">
                  <c:v>33.218255976488322</c:v>
                </c:pt>
                <c:pt idx="601">
                  <c:v>33.209465785293155</c:v>
                </c:pt>
                <c:pt idx="602">
                  <c:v>33.200771042205865</c:v>
                </c:pt>
                <c:pt idx="603">
                  <c:v>33.19217071079516</c:v>
                </c:pt>
                <c:pt idx="604">
                  <c:v>33.18366376588429</c:v>
                </c:pt>
                <c:pt idx="605">
                  <c:v>33.17529914196728</c:v>
                </c:pt>
                <c:pt idx="606">
                  <c:v>33.167195370477366</c:v>
                </c:pt>
                <c:pt idx="607">
                  <c:v>33.159533826583925</c:v>
                </c:pt>
                <c:pt idx="608">
                  <c:v>33.152540396586822</c:v>
                </c:pt>
                <c:pt idx="609">
                  <c:v>33.146465577575853</c:v>
                </c:pt>
                <c:pt idx="610">
                  <c:v>33.141567633188579</c:v>
                </c:pt>
                <c:pt idx="611">
                  <c:v>33.138100125974859</c:v>
                </c:pt>
                <c:pt idx="612">
                  <c:v>33.136303579143203</c:v>
                </c:pt>
                <c:pt idx="613">
                  <c:v>33.136400462672725</c:v>
                </c:pt>
                <c:pt idx="614">
                  <c:v>33.138592627762662</c:v>
                </c:pt>
                <c:pt idx="615">
                  <c:v>33.143060434863898</c:v>
                </c:pt>
                <c:pt idx="616">
                  <c:v>33.149962990857851</c:v>
                </c:pt>
                <c:pt idx="617">
                  <c:v>33.159439070263154</c:v>
                </c:pt>
                <c:pt idx="618">
                  <c:v>33.171608424274055</c:v>
                </c:pt>
                <c:pt idx="619">
                  <c:v>33.186573278287717</c:v>
                </c:pt>
                <c:pt idx="620">
                  <c:v>33.204419888124043</c:v>
                </c:pt>
                <c:pt idx="621">
                  <c:v>33.225220073558695</c:v>
                </c:pt>
                <c:pt idx="622">
                  <c:v>33.249032680705582</c:v>
                </c:pt>
                <c:pt idx="623">
                  <c:v>33.275904946697537</c:v>
                </c:pt>
                <c:pt idx="624">
                  <c:v>33.305873754394199</c:v>
                </c:pt>
                <c:pt idx="625">
                  <c:v>33.338966773919722</c:v>
                </c:pt>
                <c:pt idx="626">
                  <c:v>33.375203493405785</c:v>
                </c:pt>
                <c:pt idx="627">
                  <c:v>33.414596144565174</c:v>
                </c:pt>
                <c:pt idx="628">
                  <c:v>33.45715053045172</c:v>
                </c:pt>
                <c:pt idx="629">
                  <c:v>33.502866763516501</c:v>
                </c:pt>
                <c:pt idx="630">
                  <c:v>33.551739922211773</c:v>
                </c:pt>
                <c:pt idx="631">
                  <c:v>33.603760634163976</c:v>
                </c:pt>
                <c:pt idx="632">
                  <c:v>33.658915593493965</c:v>
                </c:pt>
                <c:pt idx="633">
                  <c:v>33.717188019309646</c:v>
                </c:pt>
                <c:pt idx="634">
                  <c:v>33.778558061798066</c:v>
                </c:pt>
                <c:pt idx="635">
                  <c:v>33.84300316174258</c:v>
                </c:pt>
                <c:pt idx="636">
                  <c:v>33.910498368709781</c:v>
                </c:pt>
                <c:pt idx="637">
                  <c:v>33.981016622604571</c:v>
                </c:pt>
                <c:pt idx="638">
                  <c:v>34.0545290027869</c:v>
                </c:pt>
                <c:pt idx="639">
                  <c:v>34.131004948482804</c:v>
                </c:pt>
                <c:pt idx="640">
                  <c:v>34.210412453805489</c:v>
                </c:pt>
                <c:pt idx="641">
                  <c:v>34.292718240327027</c:v>
                </c:pt>
                <c:pt idx="642">
                  <c:v>34.37788790980602</c:v>
                </c:pt>
                <c:pt idx="643">
                  <c:v>34.465886079377</c:v>
                </c:pt>
                <c:pt idx="644">
                  <c:v>34.556676501241412</c:v>
                </c:pt>
                <c:pt idx="645">
                  <c:v>34.650222168663646</c:v>
                </c:pt>
                <c:pt idx="646">
                  <c:v>34.746485409866111</c:v>
                </c:pt>
                <c:pt idx="647">
                  <c:v>34.845427971231921</c:v>
                </c:pt>
                <c:pt idx="648">
                  <c:v>34.947011091059636</c:v>
                </c:pt>
                <c:pt idx="649">
                  <c:v>35.051195564969476</c:v>
                </c:pt>
                <c:pt idx="650">
                  <c:v>35.157941803932097</c:v>
                </c:pt>
                <c:pt idx="651">
                  <c:v>35.267209885777881</c:v>
                </c:pt>
                <c:pt idx="652">
                  <c:v>35.378959600944533</c:v>
                </c:pt>
                <c:pt idx="653">
                  <c:v>35.493150493132397</c:v>
                </c:pt>
                <c:pt idx="654">
                  <c:v>35.609741895458946</c:v>
                </c:pt>
                <c:pt idx="655">
                  <c:v>35.72869296263498</c:v>
                </c:pt>
                <c:pt idx="656">
                  <c:v>35.84996269962415</c:v>
                </c:pt>
                <c:pt idx="657">
                  <c:v>35.973509987193808</c:v>
                </c:pt>
                <c:pt idx="658">
                  <c:v>36.099293604717666</c:v>
                </c:pt>
                <c:pt idx="659">
                  <c:v>36.227272250548957</c:v>
                </c:pt>
                <c:pt idx="660">
                  <c:v>36.357404560245612</c:v>
                </c:pt>
                <c:pt idx="661">
                  <c:v>36.489649122896573</c:v>
                </c:pt>
                <c:pt idx="662">
                  <c:v>36.623964495769165</c:v>
                </c:pt>
                <c:pt idx="663">
                  <c:v>36.760309217472319</c:v>
                </c:pt>
                <c:pt idx="664">
                  <c:v>36.898641819807587</c:v>
                </c:pt>
                <c:pt idx="665">
                  <c:v>37.038920838460228</c:v>
                </c:pt>
                <c:pt idx="666">
                  <c:v>37.181104822664935</c:v>
                </c:pt>
                <c:pt idx="667">
                  <c:v>37.325152343965264</c:v>
                </c:pt>
                <c:pt idx="668">
                  <c:v>37.471022004172148</c:v>
                </c:pt>
                <c:pt idx="669">
                  <c:v>37.618672442614603</c:v>
                </c:pt>
                <c:pt idx="670">
                  <c:v>37.768062342765141</c:v>
                </c:pt>
                <c:pt idx="671">
                  <c:v>37.919150438312855</c:v>
                </c:pt>
                <c:pt idx="672">
                  <c:v>38.071895518748711</c:v>
                </c:pt>
                <c:pt idx="673">
                  <c:v>38.226256434520202</c:v>
                </c:pt>
                <c:pt idx="674">
                  <c:v>38.382192101805963</c:v>
                </c:pt>
                <c:pt idx="675">
                  <c:v>38.539661506955042</c:v>
                </c:pt>
                <c:pt idx="676">
                  <c:v>38.69862371063055</c:v>
                </c:pt>
                <c:pt idx="677">
                  <c:v>38.859037851692655</c:v>
                </c:pt>
                <c:pt idx="678">
                  <c:v>39.02086315085203</c:v>
                </c:pt>
                <c:pt idx="679">
                  <c:v>39.184058914121188</c:v>
                </c:pt>
                <c:pt idx="680">
                  <c:v>39.348584536087998</c:v>
                </c:pt>
                <c:pt idx="681">
                  <c:v>39.514399503032983</c:v>
                </c:pt>
                <c:pt idx="682">
                  <c:v>39.681463395909319</c:v>
                </c:pt>
                <c:pt idx="683">
                  <c:v>39.84973589320245</c:v>
                </c:pt>
                <c:pt idx="684">
                  <c:v>40.019176773684215</c:v>
                </c:pt>
                <c:pt idx="685">
                  <c:v>40.189745919074568</c:v>
                </c:pt>
                <c:pt idx="686">
                  <c:v>40.36140331662267</c:v>
                </c:pt>
                <c:pt idx="687">
                  <c:v>40.534109061617492</c:v>
                </c:pt>
                <c:pt idx="688">
                  <c:v>40.707823359837143</c:v>
                </c:pt>
                <c:pt idx="689">
                  <c:v>40.882506529944806</c:v>
                </c:pt>
                <c:pt idx="690">
                  <c:v>41.058119005838485</c:v>
                </c:pt>
                <c:pt idx="691">
                  <c:v>41.234621338960679</c:v>
                </c:pt>
                <c:pt idx="692">
                  <c:v>41.411974200573546</c:v>
                </c:pt>
                <c:pt idx="693">
                  <c:v>41.590138384004327</c:v>
                </c:pt>
                <c:pt idx="694">
                  <c:v>41.769074806865333</c:v>
                </c:pt>
                <c:pt idx="695">
                  <c:v>41.948744513252116</c:v>
                </c:pt>
                <c:pt idx="696">
                  <c:v>42.129108675923177</c:v>
                </c:pt>
                <c:pt idx="697">
                  <c:v>42.31012859846399</c:v>
                </c:pt>
                <c:pt idx="698">
                  <c:v>42.491765717437843</c:v>
                </c:pt>
                <c:pt idx="699">
                  <c:v>42.673981604525636</c:v>
                </c:pt>
                <c:pt idx="700">
                  <c:v>42.856737968656525</c:v>
                </c:pt>
                <c:pt idx="701">
                  <c:v>43.039996658130974</c:v>
                </c:pt>
                <c:pt idx="702">
                  <c:v>43.223719662737665</c:v>
                </c:pt>
                <c:pt idx="703">
                  <c:v>43.407869115865374</c:v>
                </c:pt>
                <c:pt idx="704">
                  <c:v>43.592407296610865</c:v>
                </c:pt>
                <c:pt idx="705">
                  <c:v>43.777296631883608</c:v>
                </c:pt>
                <c:pt idx="706">
                  <c:v>43.962499698508033</c:v>
                </c:pt>
                <c:pt idx="707">
                  <c:v>44.147979225323887</c:v>
                </c:pt>
                <c:pt idx="708">
                  <c:v>44.33369809528515</c:v>
                </c:pt>
                <c:pt idx="709">
                  <c:v>44.519619347557878</c:v>
                </c:pt>
                <c:pt idx="710">
                  <c:v>44.705706179617231</c:v>
                </c:pt>
                <c:pt idx="711">
                  <c:v>44.891921949343903</c:v>
                </c:pt>
                <c:pt idx="712">
                  <c:v>45.078230177120005</c:v>
                </c:pt>
                <c:pt idx="713">
                  <c:v>45.264594547924574</c:v>
                </c:pt>
                <c:pt idx="714">
                  <c:v>45.450978913428592</c:v>
                </c:pt>
                <c:pt idx="715">
                  <c:v>45.637347294089587</c:v>
                </c:pt>
              </c:numCache>
            </c:numRef>
          </c:val>
        </c:ser>
        <c:ser>
          <c:idx val="6"/>
          <c:order val="6"/>
          <c:tx>
            <c:strRef>
              <c:f>Calculations!$A$30</c:f>
              <c:strCache>
                <c:ptCount val="1"/>
                <c:pt idx="0">
                  <c:v>6</c:v>
                </c:pt>
              </c:strCache>
            </c:strRef>
          </c:tx>
          <c:marker>
            <c:symbol val="none"/>
          </c:marker>
          <c:cat>
            <c:numRef>
              <c:f>Calculations!$B$21:$AAO$21</c:f>
              <c:numCache>
                <c:formatCode>0.00</c:formatCode>
                <c:ptCount val="716"/>
                <c:pt idx="0" formatCode="General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5.0000000000000036</c:v>
                </c:pt>
                <c:pt idx="126">
                  <c:v>5.0400000000000036</c:v>
                </c:pt>
                <c:pt idx="127">
                  <c:v>5.0800000000000036</c:v>
                </c:pt>
                <c:pt idx="128">
                  <c:v>5.1200000000000037</c:v>
                </c:pt>
                <c:pt idx="129">
                  <c:v>5.1600000000000037</c:v>
                </c:pt>
                <c:pt idx="130">
                  <c:v>5.2000000000000037</c:v>
                </c:pt>
                <c:pt idx="131">
                  <c:v>5.2400000000000038</c:v>
                </c:pt>
                <c:pt idx="132">
                  <c:v>5.2800000000000038</c:v>
                </c:pt>
                <c:pt idx="133">
                  <c:v>5.3200000000000038</c:v>
                </c:pt>
                <c:pt idx="134">
                  <c:v>5.3600000000000039</c:v>
                </c:pt>
                <c:pt idx="135">
                  <c:v>5.4000000000000039</c:v>
                </c:pt>
                <c:pt idx="136">
                  <c:v>5.4400000000000039</c:v>
                </c:pt>
                <c:pt idx="137">
                  <c:v>5.480000000000004</c:v>
                </c:pt>
                <c:pt idx="138">
                  <c:v>5.520000000000004</c:v>
                </c:pt>
                <c:pt idx="139">
                  <c:v>5.5600000000000041</c:v>
                </c:pt>
                <c:pt idx="140">
                  <c:v>5.6000000000000041</c:v>
                </c:pt>
                <c:pt idx="141">
                  <c:v>5.6400000000000041</c:v>
                </c:pt>
                <c:pt idx="142">
                  <c:v>5.6800000000000042</c:v>
                </c:pt>
                <c:pt idx="143">
                  <c:v>5.7200000000000042</c:v>
                </c:pt>
                <c:pt idx="144">
                  <c:v>5.7600000000000042</c:v>
                </c:pt>
                <c:pt idx="145">
                  <c:v>5.8000000000000043</c:v>
                </c:pt>
                <c:pt idx="146">
                  <c:v>5.8400000000000043</c:v>
                </c:pt>
                <c:pt idx="147">
                  <c:v>5.8800000000000043</c:v>
                </c:pt>
                <c:pt idx="148">
                  <c:v>5.9200000000000044</c:v>
                </c:pt>
                <c:pt idx="149">
                  <c:v>5.9600000000000044</c:v>
                </c:pt>
                <c:pt idx="150">
                  <c:v>6.0000000000000044</c:v>
                </c:pt>
                <c:pt idx="151">
                  <c:v>6.0400000000000045</c:v>
                </c:pt>
                <c:pt idx="152">
                  <c:v>6.0800000000000045</c:v>
                </c:pt>
                <c:pt idx="153">
                  <c:v>6.1200000000000045</c:v>
                </c:pt>
                <c:pt idx="154">
                  <c:v>6.1600000000000046</c:v>
                </c:pt>
                <c:pt idx="155">
                  <c:v>6.2000000000000046</c:v>
                </c:pt>
                <c:pt idx="156">
                  <c:v>6.2400000000000047</c:v>
                </c:pt>
                <c:pt idx="157">
                  <c:v>6.2800000000000047</c:v>
                </c:pt>
                <c:pt idx="158">
                  <c:v>6.3200000000000047</c:v>
                </c:pt>
                <c:pt idx="159">
                  <c:v>6.3600000000000048</c:v>
                </c:pt>
                <c:pt idx="160">
                  <c:v>6.4000000000000048</c:v>
                </c:pt>
                <c:pt idx="161">
                  <c:v>6.4400000000000048</c:v>
                </c:pt>
                <c:pt idx="162">
                  <c:v>6.4800000000000049</c:v>
                </c:pt>
                <c:pt idx="163">
                  <c:v>6.5200000000000049</c:v>
                </c:pt>
                <c:pt idx="164">
                  <c:v>6.5600000000000049</c:v>
                </c:pt>
                <c:pt idx="165">
                  <c:v>6.600000000000005</c:v>
                </c:pt>
                <c:pt idx="166">
                  <c:v>6.640000000000005</c:v>
                </c:pt>
                <c:pt idx="167">
                  <c:v>6.680000000000005</c:v>
                </c:pt>
                <c:pt idx="168">
                  <c:v>6.7200000000000051</c:v>
                </c:pt>
                <c:pt idx="169">
                  <c:v>6.7600000000000051</c:v>
                </c:pt>
                <c:pt idx="170">
                  <c:v>6.8000000000000052</c:v>
                </c:pt>
                <c:pt idx="171">
                  <c:v>6.8400000000000052</c:v>
                </c:pt>
                <c:pt idx="172">
                  <c:v>6.8800000000000052</c:v>
                </c:pt>
                <c:pt idx="173">
                  <c:v>6.9200000000000053</c:v>
                </c:pt>
                <c:pt idx="174">
                  <c:v>6.9600000000000053</c:v>
                </c:pt>
                <c:pt idx="175">
                  <c:v>7.0000000000000053</c:v>
                </c:pt>
                <c:pt idx="176">
                  <c:v>7.0400000000000054</c:v>
                </c:pt>
                <c:pt idx="177">
                  <c:v>7.0800000000000054</c:v>
                </c:pt>
                <c:pt idx="178">
                  <c:v>7.1200000000000054</c:v>
                </c:pt>
                <c:pt idx="179">
                  <c:v>7.1600000000000055</c:v>
                </c:pt>
                <c:pt idx="180">
                  <c:v>7.2000000000000055</c:v>
                </c:pt>
                <c:pt idx="181">
                  <c:v>7.2400000000000055</c:v>
                </c:pt>
                <c:pt idx="182">
                  <c:v>7.2800000000000056</c:v>
                </c:pt>
                <c:pt idx="183">
                  <c:v>7.3200000000000056</c:v>
                </c:pt>
                <c:pt idx="184">
                  <c:v>7.3600000000000056</c:v>
                </c:pt>
                <c:pt idx="185">
                  <c:v>7.4000000000000057</c:v>
                </c:pt>
                <c:pt idx="186">
                  <c:v>7.4400000000000057</c:v>
                </c:pt>
                <c:pt idx="187">
                  <c:v>7.4800000000000058</c:v>
                </c:pt>
                <c:pt idx="188">
                  <c:v>7.5200000000000058</c:v>
                </c:pt>
                <c:pt idx="189">
                  <c:v>7.5600000000000058</c:v>
                </c:pt>
                <c:pt idx="190">
                  <c:v>7.6000000000000059</c:v>
                </c:pt>
                <c:pt idx="191">
                  <c:v>7.6400000000000059</c:v>
                </c:pt>
                <c:pt idx="192">
                  <c:v>7.6800000000000059</c:v>
                </c:pt>
                <c:pt idx="193">
                  <c:v>7.720000000000006</c:v>
                </c:pt>
                <c:pt idx="194">
                  <c:v>7.760000000000006</c:v>
                </c:pt>
                <c:pt idx="195">
                  <c:v>7.800000000000006</c:v>
                </c:pt>
                <c:pt idx="196">
                  <c:v>7.8400000000000061</c:v>
                </c:pt>
                <c:pt idx="197">
                  <c:v>7.8800000000000061</c:v>
                </c:pt>
                <c:pt idx="198">
                  <c:v>7.9200000000000061</c:v>
                </c:pt>
                <c:pt idx="199">
                  <c:v>7.9600000000000062</c:v>
                </c:pt>
                <c:pt idx="200">
                  <c:v>8.0000000000000053</c:v>
                </c:pt>
                <c:pt idx="201">
                  <c:v>8.0400000000000045</c:v>
                </c:pt>
                <c:pt idx="202">
                  <c:v>8.0800000000000036</c:v>
                </c:pt>
                <c:pt idx="203">
                  <c:v>8.1200000000000028</c:v>
                </c:pt>
                <c:pt idx="204">
                  <c:v>8.1600000000000019</c:v>
                </c:pt>
                <c:pt idx="205">
                  <c:v>8.2000000000000011</c:v>
                </c:pt>
                <c:pt idx="206">
                  <c:v>8.24</c:v>
                </c:pt>
                <c:pt idx="207">
                  <c:v>8.2799999999999994</c:v>
                </c:pt>
                <c:pt idx="208">
                  <c:v>8.3199999999999985</c:v>
                </c:pt>
                <c:pt idx="209">
                  <c:v>8.3599999999999977</c:v>
                </c:pt>
                <c:pt idx="210">
                  <c:v>8.3999999999999968</c:v>
                </c:pt>
                <c:pt idx="211">
                  <c:v>8.4399999999999959</c:v>
                </c:pt>
                <c:pt idx="212">
                  <c:v>8.4799999999999951</c:v>
                </c:pt>
                <c:pt idx="213">
                  <c:v>8.5199999999999942</c:v>
                </c:pt>
                <c:pt idx="214">
                  <c:v>8.5599999999999934</c:v>
                </c:pt>
                <c:pt idx="215">
                  <c:v>8.5999999999999925</c:v>
                </c:pt>
                <c:pt idx="216">
                  <c:v>8.6399999999999917</c:v>
                </c:pt>
                <c:pt idx="217">
                  <c:v>8.6799999999999908</c:v>
                </c:pt>
                <c:pt idx="218">
                  <c:v>8.71999999999999</c:v>
                </c:pt>
                <c:pt idx="219">
                  <c:v>8.7599999999999891</c:v>
                </c:pt>
                <c:pt idx="220">
                  <c:v>8.7999999999999883</c:v>
                </c:pt>
                <c:pt idx="221">
                  <c:v>8.8399999999999874</c:v>
                </c:pt>
                <c:pt idx="222">
                  <c:v>8.8799999999999866</c:v>
                </c:pt>
                <c:pt idx="223">
                  <c:v>8.9199999999999857</c:v>
                </c:pt>
                <c:pt idx="224">
                  <c:v>8.9599999999999849</c:v>
                </c:pt>
                <c:pt idx="225">
                  <c:v>8.999999999999984</c:v>
                </c:pt>
                <c:pt idx="226">
                  <c:v>9.0399999999999832</c:v>
                </c:pt>
                <c:pt idx="227">
                  <c:v>9.0799999999999823</c:v>
                </c:pt>
                <c:pt idx="228">
                  <c:v>9.1199999999999815</c:v>
                </c:pt>
                <c:pt idx="229">
                  <c:v>9.1599999999999806</c:v>
                </c:pt>
                <c:pt idx="230">
                  <c:v>9.1999999999999797</c:v>
                </c:pt>
                <c:pt idx="231">
                  <c:v>9.2399999999999789</c:v>
                </c:pt>
                <c:pt idx="232">
                  <c:v>9.279999999999978</c:v>
                </c:pt>
                <c:pt idx="233">
                  <c:v>9.3199999999999772</c:v>
                </c:pt>
                <c:pt idx="234">
                  <c:v>9.3599999999999763</c:v>
                </c:pt>
                <c:pt idx="235">
                  <c:v>9.3999999999999755</c:v>
                </c:pt>
                <c:pt idx="236">
                  <c:v>9.4399999999999746</c:v>
                </c:pt>
                <c:pt idx="237">
                  <c:v>9.4799999999999738</c:v>
                </c:pt>
                <c:pt idx="238">
                  <c:v>9.5199999999999729</c:v>
                </c:pt>
                <c:pt idx="239">
                  <c:v>9.5599999999999721</c:v>
                </c:pt>
                <c:pt idx="240">
                  <c:v>9.5999999999999712</c:v>
                </c:pt>
                <c:pt idx="241">
                  <c:v>9.6399999999999704</c:v>
                </c:pt>
                <c:pt idx="242">
                  <c:v>9.6799999999999695</c:v>
                </c:pt>
                <c:pt idx="243">
                  <c:v>9.7199999999999687</c:v>
                </c:pt>
                <c:pt idx="244">
                  <c:v>9.7599999999999678</c:v>
                </c:pt>
                <c:pt idx="245">
                  <c:v>9.799999999999967</c:v>
                </c:pt>
                <c:pt idx="246">
                  <c:v>9.8399999999999661</c:v>
                </c:pt>
                <c:pt idx="247">
                  <c:v>9.8799999999999653</c:v>
                </c:pt>
                <c:pt idx="248">
                  <c:v>9.9199999999999644</c:v>
                </c:pt>
                <c:pt idx="249">
                  <c:v>9.9599999999999635</c:v>
                </c:pt>
                <c:pt idx="250">
                  <c:v>9.9999999999999627</c:v>
                </c:pt>
                <c:pt idx="251">
                  <c:v>10.039999999999962</c:v>
                </c:pt>
                <c:pt idx="252">
                  <c:v>10.079999999999961</c:v>
                </c:pt>
                <c:pt idx="253">
                  <c:v>10.11999999999996</c:v>
                </c:pt>
                <c:pt idx="254">
                  <c:v>10.159999999999959</c:v>
                </c:pt>
                <c:pt idx="255">
                  <c:v>10.199999999999958</c:v>
                </c:pt>
                <c:pt idx="256">
                  <c:v>10.239999999999958</c:v>
                </c:pt>
                <c:pt idx="257">
                  <c:v>10.279999999999957</c:v>
                </c:pt>
                <c:pt idx="258">
                  <c:v>10.319999999999956</c:v>
                </c:pt>
                <c:pt idx="259">
                  <c:v>10.359999999999955</c:v>
                </c:pt>
                <c:pt idx="260">
                  <c:v>10.399999999999954</c:v>
                </c:pt>
                <c:pt idx="261">
                  <c:v>10.439999999999953</c:v>
                </c:pt>
                <c:pt idx="262">
                  <c:v>10.479999999999952</c:v>
                </c:pt>
                <c:pt idx="263">
                  <c:v>10.519999999999952</c:v>
                </c:pt>
                <c:pt idx="264">
                  <c:v>10.559999999999951</c:v>
                </c:pt>
                <c:pt idx="265">
                  <c:v>10.59999999999995</c:v>
                </c:pt>
                <c:pt idx="266">
                  <c:v>10.639999999999949</c:v>
                </c:pt>
                <c:pt idx="267">
                  <c:v>10.679999999999948</c:v>
                </c:pt>
                <c:pt idx="268">
                  <c:v>10.719999999999947</c:v>
                </c:pt>
                <c:pt idx="269">
                  <c:v>10.759999999999946</c:v>
                </c:pt>
                <c:pt idx="270">
                  <c:v>10.799999999999946</c:v>
                </c:pt>
                <c:pt idx="271">
                  <c:v>10.839999999999945</c:v>
                </c:pt>
                <c:pt idx="272">
                  <c:v>10.879999999999944</c:v>
                </c:pt>
                <c:pt idx="273">
                  <c:v>10.919999999999943</c:v>
                </c:pt>
                <c:pt idx="274">
                  <c:v>10.959999999999942</c:v>
                </c:pt>
                <c:pt idx="275">
                  <c:v>10.999999999999941</c:v>
                </c:pt>
                <c:pt idx="276">
                  <c:v>11.039999999999941</c:v>
                </c:pt>
                <c:pt idx="277">
                  <c:v>11.07999999999994</c:v>
                </c:pt>
                <c:pt idx="278">
                  <c:v>11.119999999999939</c:v>
                </c:pt>
                <c:pt idx="279">
                  <c:v>11.159999999999938</c:v>
                </c:pt>
                <c:pt idx="280">
                  <c:v>11.199999999999937</c:v>
                </c:pt>
                <c:pt idx="281">
                  <c:v>11.239999999999936</c:v>
                </c:pt>
                <c:pt idx="282">
                  <c:v>11.279999999999935</c:v>
                </c:pt>
                <c:pt idx="283">
                  <c:v>11.319999999999935</c:v>
                </c:pt>
                <c:pt idx="284">
                  <c:v>11.359999999999934</c:v>
                </c:pt>
                <c:pt idx="285">
                  <c:v>11.399999999999933</c:v>
                </c:pt>
                <c:pt idx="286">
                  <c:v>11.439999999999932</c:v>
                </c:pt>
                <c:pt idx="287">
                  <c:v>11.479999999999931</c:v>
                </c:pt>
                <c:pt idx="288">
                  <c:v>11.51999999999993</c:v>
                </c:pt>
                <c:pt idx="289">
                  <c:v>11.559999999999929</c:v>
                </c:pt>
                <c:pt idx="290">
                  <c:v>11.599999999999929</c:v>
                </c:pt>
                <c:pt idx="291">
                  <c:v>11.639999999999928</c:v>
                </c:pt>
                <c:pt idx="292">
                  <c:v>11.679999999999927</c:v>
                </c:pt>
                <c:pt idx="293">
                  <c:v>11.719999999999926</c:v>
                </c:pt>
                <c:pt idx="294">
                  <c:v>11.759999999999925</c:v>
                </c:pt>
                <c:pt idx="295">
                  <c:v>11.799999999999924</c:v>
                </c:pt>
                <c:pt idx="296">
                  <c:v>11.839999999999923</c:v>
                </c:pt>
                <c:pt idx="297">
                  <c:v>11.879999999999923</c:v>
                </c:pt>
                <c:pt idx="298">
                  <c:v>11.919999999999922</c:v>
                </c:pt>
                <c:pt idx="299">
                  <c:v>11.959999999999921</c:v>
                </c:pt>
                <c:pt idx="300">
                  <c:v>11.99999999999992</c:v>
                </c:pt>
                <c:pt idx="301">
                  <c:v>12.039999999999919</c:v>
                </c:pt>
                <c:pt idx="302">
                  <c:v>12.079999999999918</c:v>
                </c:pt>
                <c:pt idx="303">
                  <c:v>12.119999999999918</c:v>
                </c:pt>
                <c:pt idx="304">
                  <c:v>12.159999999999917</c:v>
                </c:pt>
                <c:pt idx="305">
                  <c:v>12.199999999999916</c:v>
                </c:pt>
                <c:pt idx="306">
                  <c:v>12.239999999999915</c:v>
                </c:pt>
                <c:pt idx="307">
                  <c:v>12.279999999999914</c:v>
                </c:pt>
                <c:pt idx="308">
                  <c:v>12.319999999999913</c:v>
                </c:pt>
                <c:pt idx="309">
                  <c:v>12.359999999999912</c:v>
                </c:pt>
                <c:pt idx="310">
                  <c:v>12.399999999999912</c:v>
                </c:pt>
                <c:pt idx="311">
                  <c:v>12.439999999999911</c:v>
                </c:pt>
                <c:pt idx="312">
                  <c:v>12.47999999999991</c:v>
                </c:pt>
                <c:pt idx="313">
                  <c:v>12.519999999999909</c:v>
                </c:pt>
                <c:pt idx="314">
                  <c:v>12.559999999999908</c:v>
                </c:pt>
                <c:pt idx="315">
                  <c:v>12.599999999999907</c:v>
                </c:pt>
                <c:pt idx="316">
                  <c:v>12.639999999999906</c:v>
                </c:pt>
                <c:pt idx="317">
                  <c:v>12.679999999999906</c:v>
                </c:pt>
                <c:pt idx="318">
                  <c:v>12.719999999999905</c:v>
                </c:pt>
                <c:pt idx="319">
                  <c:v>12.759999999999904</c:v>
                </c:pt>
                <c:pt idx="320">
                  <c:v>12.799999999999903</c:v>
                </c:pt>
                <c:pt idx="321">
                  <c:v>12.839999999999902</c:v>
                </c:pt>
                <c:pt idx="322">
                  <c:v>12.879999999999901</c:v>
                </c:pt>
                <c:pt idx="323">
                  <c:v>12.9199999999999</c:v>
                </c:pt>
                <c:pt idx="324">
                  <c:v>12.9599999999999</c:v>
                </c:pt>
                <c:pt idx="325">
                  <c:v>12.999999999999899</c:v>
                </c:pt>
                <c:pt idx="326">
                  <c:v>13.039999999999898</c:v>
                </c:pt>
                <c:pt idx="327">
                  <c:v>13.079999999999897</c:v>
                </c:pt>
                <c:pt idx="328">
                  <c:v>13.119999999999896</c:v>
                </c:pt>
                <c:pt idx="329">
                  <c:v>13.159999999999895</c:v>
                </c:pt>
                <c:pt idx="330">
                  <c:v>13.199999999999894</c:v>
                </c:pt>
                <c:pt idx="331">
                  <c:v>13.239999999999894</c:v>
                </c:pt>
                <c:pt idx="332">
                  <c:v>13.279999999999893</c:v>
                </c:pt>
                <c:pt idx="333">
                  <c:v>13.319999999999892</c:v>
                </c:pt>
                <c:pt idx="334">
                  <c:v>13.359999999999891</c:v>
                </c:pt>
                <c:pt idx="335">
                  <c:v>13.39999999999989</c:v>
                </c:pt>
                <c:pt idx="336">
                  <c:v>13.439999999999889</c:v>
                </c:pt>
                <c:pt idx="337">
                  <c:v>13.479999999999889</c:v>
                </c:pt>
                <c:pt idx="338">
                  <c:v>13.519999999999888</c:v>
                </c:pt>
                <c:pt idx="339">
                  <c:v>13.559999999999887</c:v>
                </c:pt>
                <c:pt idx="340">
                  <c:v>13.599999999999886</c:v>
                </c:pt>
                <c:pt idx="341">
                  <c:v>13.639999999999885</c:v>
                </c:pt>
                <c:pt idx="342">
                  <c:v>13.679999999999884</c:v>
                </c:pt>
                <c:pt idx="343">
                  <c:v>13.719999999999883</c:v>
                </c:pt>
                <c:pt idx="344">
                  <c:v>13.759999999999883</c:v>
                </c:pt>
                <c:pt idx="345">
                  <c:v>13.799999999999882</c:v>
                </c:pt>
                <c:pt idx="346">
                  <c:v>13.839999999999881</c:v>
                </c:pt>
                <c:pt idx="347">
                  <c:v>13.87999999999988</c:v>
                </c:pt>
                <c:pt idx="348">
                  <c:v>13.919999999999879</c:v>
                </c:pt>
                <c:pt idx="349">
                  <c:v>13.959999999999878</c:v>
                </c:pt>
                <c:pt idx="350">
                  <c:v>13.999999999999877</c:v>
                </c:pt>
                <c:pt idx="351">
                  <c:v>14.039999999999877</c:v>
                </c:pt>
                <c:pt idx="352">
                  <c:v>14.079999999999876</c:v>
                </c:pt>
                <c:pt idx="353">
                  <c:v>14.119999999999875</c:v>
                </c:pt>
                <c:pt idx="354">
                  <c:v>14.159999999999874</c:v>
                </c:pt>
                <c:pt idx="355">
                  <c:v>14.199999999999873</c:v>
                </c:pt>
                <c:pt idx="356">
                  <c:v>14.239999999999872</c:v>
                </c:pt>
                <c:pt idx="357">
                  <c:v>14.279999999999871</c:v>
                </c:pt>
                <c:pt idx="358">
                  <c:v>14.319999999999871</c:v>
                </c:pt>
                <c:pt idx="359">
                  <c:v>14.35999999999987</c:v>
                </c:pt>
                <c:pt idx="360">
                  <c:v>14.399999999999869</c:v>
                </c:pt>
                <c:pt idx="361">
                  <c:v>14.439999999999868</c:v>
                </c:pt>
                <c:pt idx="362">
                  <c:v>14.479999999999867</c:v>
                </c:pt>
                <c:pt idx="363">
                  <c:v>14.519999999999866</c:v>
                </c:pt>
                <c:pt idx="364">
                  <c:v>14.559999999999865</c:v>
                </c:pt>
                <c:pt idx="365">
                  <c:v>14.599999999999865</c:v>
                </c:pt>
                <c:pt idx="366">
                  <c:v>14.639999999999864</c:v>
                </c:pt>
                <c:pt idx="367">
                  <c:v>14.679999999999863</c:v>
                </c:pt>
                <c:pt idx="368">
                  <c:v>14.719999999999862</c:v>
                </c:pt>
                <c:pt idx="369">
                  <c:v>14.759999999999861</c:v>
                </c:pt>
                <c:pt idx="370">
                  <c:v>14.79999999999986</c:v>
                </c:pt>
                <c:pt idx="371">
                  <c:v>14.83999999999986</c:v>
                </c:pt>
                <c:pt idx="372">
                  <c:v>14.879999999999859</c:v>
                </c:pt>
                <c:pt idx="373">
                  <c:v>14.919999999999858</c:v>
                </c:pt>
                <c:pt idx="374">
                  <c:v>14.959999999999857</c:v>
                </c:pt>
                <c:pt idx="375">
                  <c:v>14.999999999999856</c:v>
                </c:pt>
                <c:pt idx="376">
                  <c:v>15.039999999999855</c:v>
                </c:pt>
                <c:pt idx="377">
                  <c:v>15.079999999999854</c:v>
                </c:pt>
                <c:pt idx="378">
                  <c:v>15.119999999999854</c:v>
                </c:pt>
                <c:pt idx="379">
                  <c:v>15.159999999999853</c:v>
                </c:pt>
                <c:pt idx="380">
                  <c:v>15.199999999999852</c:v>
                </c:pt>
                <c:pt idx="381">
                  <c:v>15.239999999999851</c:v>
                </c:pt>
                <c:pt idx="382">
                  <c:v>15.27999999999985</c:v>
                </c:pt>
                <c:pt idx="383">
                  <c:v>15.319999999999849</c:v>
                </c:pt>
                <c:pt idx="384">
                  <c:v>15.359999999999848</c:v>
                </c:pt>
                <c:pt idx="385">
                  <c:v>15.399999999999848</c:v>
                </c:pt>
                <c:pt idx="386">
                  <c:v>15.439999999999847</c:v>
                </c:pt>
                <c:pt idx="387">
                  <c:v>15.479999999999846</c:v>
                </c:pt>
                <c:pt idx="388">
                  <c:v>15.519999999999845</c:v>
                </c:pt>
                <c:pt idx="389">
                  <c:v>15.559999999999844</c:v>
                </c:pt>
                <c:pt idx="390">
                  <c:v>15.599999999999843</c:v>
                </c:pt>
                <c:pt idx="391">
                  <c:v>15.639999999999842</c:v>
                </c:pt>
                <c:pt idx="392">
                  <c:v>15.679999999999842</c:v>
                </c:pt>
                <c:pt idx="393">
                  <c:v>15.719999999999841</c:v>
                </c:pt>
                <c:pt idx="394">
                  <c:v>15.75999999999984</c:v>
                </c:pt>
                <c:pt idx="395">
                  <c:v>15.799999999999839</c:v>
                </c:pt>
                <c:pt idx="396">
                  <c:v>15.839999999999838</c:v>
                </c:pt>
                <c:pt idx="397">
                  <c:v>15.879999999999837</c:v>
                </c:pt>
                <c:pt idx="398">
                  <c:v>15.919999999999837</c:v>
                </c:pt>
                <c:pt idx="399">
                  <c:v>15.959999999999836</c:v>
                </c:pt>
                <c:pt idx="400">
                  <c:v>15.999999999999835</c:v>
                </c:pt>
                <c:pt idx="401">
                  <c:v>16.039999999999836</c:v>
                </c:pt>
                <c:pt idx="402">
                  <c:v>16.079999999999835</c:v>
                </c:pt>
                <c:pt idx="403">
                  <c:v>16.119999999999834</c:v>
                </c:pt>
                <c:pt idx="404">
                  <c:v>16.159999999999833</c:v>
                </c:pt>
                <c:pt idx="405">
                  <c:v>16.199999999999832</c:v>
                </c:pt>
                <c:pt idx="406">
                  <c:v>16.239999999999831</c:v>
                </c:pt>
                <c:pt idx="407">
                  <c:v>16.279999999999831</c:v>
                </c:pt>
                <c:pt idx="408">
                  <c:v>16.31999999999983</c:v>
                </c:pt>
                <c:pt idx="409">
                  <c:v>16.359999999999829</c:v>
                </c:pt>
                <c:pt idx="410">
                  <c:v>16.399999999999828</c:v>
                </c:pt>
                <c:pt idx="411">
                  <c:v>16.439999999999827</c:v>
                </c:pt>
                <c:pt idx="412">
                  <c:v>16.479999999999826</c:v>
                </c:pt>
                <c:pt idx="413">
                  <c:v>16.519999999999825</c:v>
                </c:pt>
                <c:pt idx="414">
                  <c:v>16.559999999999825</c:v>
                </c:pt>
                <c:pt idx="415">
                  <c:v>16.599999999999824</c:v>
                </c:pt>
                <c:pt idx="416">
                  <c:v>16.639999999999823</c:v>
                </c:pt>
                <c:pt idx="417">
                  <c:v>16.679999999999822</c:v>
                </c:pt>
                <c:pt idx="418">
                  <c:v>16.719999999999821</c:v>
                </c:pt>
                <c:pt idx="419">
                  <c:v>16.75999999999982</c:v>
                </c:pt>
                <c:pt idx="420">
                  <c:v>16.79999999999982</c:v>
                </c:pt>
                <c:pt idx="421">
                  <c:v>16.839999999999819</c:v>
                </c:pt>
                <c:pt idx="422">
                  <c:v>16.879999999999818</c:v>
                </c:pt>
                <c:pt idx="423">
                  <c:v>16.919999999999817</c:v>
                </c:pt>
                <c:pt idx="424">
                  <c:v>16.959999999999816</c:v>
                </c:pt>
                <c:pt idx="425">
                  <c:v>16.999999999999815</c:v>
                </c:pt>
                <c:pt idx="426">
                  <c:v>17.039999999999814</c:v>
                </c:pt>
                <c:pt idx="427">
                  <c:v>17.079999999999814</c:v>
                </c:pt>
                <c:pt idx="428">
                  <c:v>17.119999999999813</c:v>
                </c:pt>
                <c:pt idx="429">
                  <c:v>17.159999999999812</c:v>
                </c:pt>
                <c:pt idx="430">
                  <c:v>17.199999999999811</c:v>
                </c:pt>
                <c:pt idx="431">
                  <c:v>17.23999999999981</c:v>
                </c:pt>
                <c:pt idx="432">
                  <c:v>17.279999999999809</c:v>
                </c:pt>
                <c:pt idx="433">
                  <c:v>17.319999999999808</c:v>
                </c:pt>
                <c:pt idx="434">
                  <c:v>17.359999999999808</c:v>
                </c:pt>
                <c:pt idx="435">
                  <c:v>17.399999999999807</c:v>
                </c:pt>
                <c:pt idx="436">
                  <c:v>17.439999999999806</c:v>
                </c:pt>
                <c:pt idx="437">
                  <c:v>17.479999999999805</c:v>
                </c:pt>
                <c:pt idx="438">
                  <c:v>17.519999999999804</c:v>
                </c:pt>
                <c:pt idx="439">
                  <c:v>17.559999999999803</c:v>
                </c:pt>
                <c:pt idx="440">
                  <c:v>17.599999999999802</c:v>
                </c:pt>
                <c:pt idx="441">
                  <c:v>17.639999999999802</c:v>
                </c:pt>
                <c:pt idx="442">
                  <c:v>17.679999999999801</c:v>
                </c:pt>
                <c:pt idx="443">
                  <c:v>17.7199999999998</c:v>
                </c:pt>
                <c:pt idx="444">
                  <c:v>17.759999999999799</c:v>
                </c:pt>
                <c:pt idx="445">
                  <c:v>17.799999999999798</c:v>
                </c:pt>
                <c:pt idx="446">
                  <c:v>17.839999999999797</c:v>
                </c:pt>
                <c:pt idx="447">
                  <c:v>17.879999999999797</c:v>
                </c:pt>
                <c:pt idx="448">
                  <c:v>17.919999999999796</c:v>
                </c:pt>
                <c:pt idx="449">
                  <c:v>17.959999999999795</c:v>
                </c:pt>
                <c:pt idx="450">
                  <c:v>17.999999999999794</c:v>
                </c:pt>
                <c:pt idx="451">
                  <c:v>18.039999999999793</c:v>
                </c:pt>
                <c:pt idx="452">
                  <c:v>18.079999999999792</c:v>
                </c:pt>
                <c:pt idx="453">
                  <c:v>18.119999999999791</c:v>
                </c:pt>
                <c:pt idx="454">
                  <c:v>18.159999999999791</c:v>
                </c:pt>
                <c:pt idx="455">
                  <c:v>18.19999999999979</c:v>
                </c:pt>
                <c:pt idx="456">
                  <c:v>18.239999999999789</c:v>
                </c:pt>
                <c:pt idx="457">
                  <c:v>18.279999999999788</c:v>
                </c:pt>
                <c:pt idx="458">
                  <c:v>18.319999999999787</c:v>
                </c:pt>
                <c:pt idx="459">
                  <c:v>18.359999999999786</c:v>
                </c:pt>
                <c:pt idx="460">
                  <c:v>18.399999999999785</c:v>
                </c:pt>
                <c:pt idx="461">
                  <c:v>18.439999999999785</c:v>
                </c:pt>
                <c:pt idx="462">
                  <c:v>18.479999999999784</c:v>
                </c:pt>
                <c:pt idx="463">
                  <c:v>18.519999999999783</c:v>
                </c:pt>
                <c:pt idx="464">
                  <c:v>18.559999999999782</c:v>
                </c:pt>
                <c:pt idx="465">
                  <c:v>18.599999999999781</c:v>
                </c:pt>
                <c:pt idx="466">
                  <c:v>18.63999999999978</c:v>
                </c:pt>
                <c:pt idx="467">
                  <c:v>18.679999999999779</c:v>
                </c:pt>
                <c:pt idx="468">
                  <c:v>18.719999999999779</c:v>
                </c:pt>
                <c:pt idx="469">
                  <c:v>18.759999999999778</c:v>
                </c:pt>
                <c:pt idx="470">
                  <c:v>18.799999999999777</c:v>
                </c:pt>
                <c:pt idx="471">
                  <c:v>18.839999999999776</c:v>
                </c:pt>
                <c:pt idx="472">
                  <c:v>18.879999999999775</c:v>
                </c:pt>
                <c:pt idx="473">
                  <c:v>18.919999999999774</c:v>
                </c:pt>
                <c:pt idx="474">
                  <c:v>18.959999999999773</c:v>
                </c:pt>
                <c:pt idx="475">
                  <c:v>18.999999999999773</c:v>
                </c:pt>
                <c:pt idx="476">
                  <c:v>19.039999999999772</c:v>
                </c:pt>
                <c:pt idx="477">
                  <c:v>19.079999999999771</c:v>
                </c:pt>
                <c:pt idx="478">
                  <c:v>19.11999999999977</c:v>
                </c:pt>
                <c:pt idx="479">
                  <c:v>19.159999999999769</c:v>
                </c:pt>
                <c:pt idx="480">
                  <c:v>19.199999999999768</c:v>
                </c:pt>
                <c:pt idx="481">
                  <c:v>19.239999999999768</c:v>
                </c:pt>
                <c:pt idx="482">
                  <c:v>19.279999999999767</c:v>
                </c:pt>
                <c:pt idx="483">
                  <c:v>19.319999999999766</c:v>
                </c:pt>
                <c:pt idx="484">
                  <c:v>19.359999999999765</c:v>
                </c:pt>
                <c:pt idx="485">
                  <c:v>19.399999999999764</c:v>
                </c:pt>
                <c:pt idx="486">
                  <c:v>19.439999999999763</c:v>
                </c:pt>
                <c:pt idx="487">
                  <c:v>19.479999999999762</c:v>
                </c:pt>
                <c:pt idx="488">
                  <c:v>19.519999999999762</c:v>
                </c:pt>
                <c:pt idx="489">
                  <c:v>19.559999999999761</c:v>
                </c:pt>
                <c:pt idx="490">
                  <c:v>19.59999999999976</c:v>
                </c:pt>
                <c:pt idx="491">
                  <c:v>19.639999999999759</c:v>
                </c:pt>
                <c:pt idx="492">
                  <c:v>19.679999999999758</c:v>
                </c:pt>
                <c:pt idx="493">
                  <c:v>19.719999999999757</c:v>
                </c:pt>
                <c:pt idx="494">
                  <c:v>19.759999999999756</c:v>
                </c:pt>
                <c:pt idx="495">
                  <c:v>19.799999999999756</c:v>
                </c:pt>
                <c:pt idx="496">
                  <c:v>19.839999999999755</c:v>
                </c:pt>
                <c:pt idx="497">
                  <c:v>19.879999999999754</c:v>
                </c:pt>
                <c:pt idx="498">
                  <c:v>19.919999999999753</c:v>
                </c:pt>
                <c:pt idx="499">
                  <c:v>19.959999999999752</c:v>
                </c:pt>
                <c:pt idx="500">
                  <c:v>19.999999999999751</c:v>
                </c:pt>
                <c:pt idx="501">
                  <c:v>20.03999999999975</c:v>
                </c:pt>
                <c:pt idx="502">
                  <c:v>20.07999999999975</c:v>
                </c:pt>
                <c:pt idx="503">
                  <c:v>20.119999999999749</c:v>
                </c:pt>
                <c:pt idx="504">
                  <c:v>20.159999999999748</c:v>
                </c:pt>
                <c:pt idx="505">
                  <c:v>20.199999999999747</c:v>
                </c:pt>
                <c:pt idx="506">
                  <c:v>20.239999999999746</c:v>
                </c:pt>
                <c:pt idx="507">
                  <c:v>20.279999999999745</c:v>
                </c:pt>
                <c:pt idx="508">
                  <c:v>20.319999999999744</c:v>
                </c:pt>
                <c:pt idx="509">
                  <c:v>20.359999999999744</c:v>
                </c:pt>
                <c:pt idx="510">
                  <c:v>20.399999999999743</c:v>
                </c:pt>
                <c:pt idx="511">
                  <c:v>20.439999999999742</c:v>
                </c:pt>
                <c:pt idx="512">
                  <c:v>20.479999999999741</c:v>
                </c:pt>
                <c:pt idx="513">
                  <c:v>20.51999999999974</c:v>
                </c:pt>
                <c:pt idx="514">
                  <c:v>20.559999999999739</c:v>
                </c:pt>
                <c:pt idx="515">
                  <c:v>20.599999999999739</c:v>
                </c:pt>
                <c:pt idx="516">
                  <c:v>20.639999999999738</c:v>
                </c:pt>
                <c:pt idx="517">
                  <c:v>20.679999999999737</c:v>
                </c:pt>
                <c:pt idx="518">
                  <c:v>20.719999999999736</c:v>
                </c:pt>
                <c:pt idx="519">
                  <c:v>20.759999999999735</c:v>
                </c:pt>
                <c:pt idx="520">
                  <c:v>20.799999999999734</c:v>
                </c:pt>
                <c:pt idx="521">
                  <c:v>20.839999999999733</c:v>
                </c:pt>
                <c:pt idx="522">
                  <c:v>20.879999999999733</c:v>
                </c:pt>
                <c:pt idx="523">
                  <c:v>20.919999999999732</c:v>
                </c:pt>
                <c:pt idx="524">
                  <c:v>20.959999999999731</c:v>
                </c:pt>
                <c:pt idx="525">
                  <c:v>20.99999999999973</c:v>
                </c:pt>
                <c:pt idx="526">
                  <c:v>21.039999999999729</c:v>
                </c:pt>
                <c:pt idx="527">
                  <c:v>21.079999999999728</c:v>
                </c:pt>
                <c:pt idx="528">
                  <c:v>21.119999999999727</c:v>
                </c:pt>
                <c:pt idx="529">
                  <c:v>21.159999999999727</c:v>
                </c:pt>
                <c:pt idx="530">
                  <c:v>21.199999999999726</c:v>
                </c:pt>
                <c:pt idx="531">
                  <c:v>21.239999999999725</c:v>
                </c:pt>
                <c:pt idx="532">
                  <c:v>21.279999999999724</c:v>
                </c:pt>
                <c:pt idx="533">
                  <c:v>21.319999999999723</c:v>
                </c:pt>
                <c:pt idx="534">
                  <c:v>21.359999999999722</c:v>
                </c:pt>
                <c:pt idx="535">
                  <c:v>21.399999999999721</c:v>
                </c:pt>
                <c:pt idx="536">
                  <c:v>21.439999999999721</c:v>
                </c:pt>
                <c:pt idx="537">
                  <c:v>21.47999999999972</c:v>
                </c:pt>
                <c:pt idx="538">
                  <c:v>21.519999999999719</c:v>
                </c:pt>
                <c:pt idx="539">
                  <c:v>21.559999999999718</c:v>
                </c:pt>
                <c:pt idx="540">
                  <c:v>21.599999999999717</c:v>
                </c:pt>
                <c:pt idx="541">
                  <c:v>21.639999999999716</c:v>
                </c:pt>
                <c:pt idx="542">
                  <c:v>21.679999999999715</c:v>
                </c:pt>
                <c:pt idx="543">
                  <c:v>21.719999999999715</c:v>
                </c:pt>
                <c:pt idx="544">
                  <c:v>21.759999999999714</c:v>
                </c:pt>
                <c:pt idx="545">
                  <c:v>21.799999999999713</c:v>
                </c:pt>
                <c:pt idx="546">
                  <c:v>21.839999999999712</c:v>
                </c:pt>
                <c:pt idx="547">
                  <c:v>21.879999999999711</c:v>
                </c:pt>
                <c:pt idx="548">
                  <c:v>21.91999999999971</c:v>
                </c:pt>
                <c:pt idx="549">
                  <c:v>21.95999999999971</c:v>
                </c:pt>
                <c:pt idx="550">
                  <c:v>21.999999999999709</c:v>
                </c:pt>
                <c:pt idx="551">
                  <c:v>22.039999999999708</c:v>
                </c:pt>
                <c:pt idx="552">
                  <c:v>22.079999999999707</c:v>
                </c:pt>
                <c:pt idx="553">
                  <c:v>22.119999999999706</c:v>
                </c:pt>
                <c:pt idx="554">
                  <c:v>22.159999999999705</c:v>
                </c:pt>
                <c:pt idx="555">
                  <c:v>22.199999999999704</c:v>
                </c:pt>
                <c:pt idx="556">
                  <c:v>22.239999999999704</c:v>
                </c:pt>
                <c:pt idx="557">
                  <c:v>22.279999999999703</c:v>
                </c:pt>
                <c:pt idx="558">
                  <c:v>22.319999999999702</c:v>
                </c:pt>
                <c:pt idx="559">
                  <c:v>22.359999999999701</c:v>
                </c:pt>
                <c:pt idx="560">
                  <c:v>22.3999999999997</c:v>
                </c:pt>
                <c:pt idx="561">
                  <c:v>22.439999999999699</c:v>
                </c:pt>
                <c:pt idx="562">
                  <c:v>22.479999999999698</c:v>
                </c:pt>
                <c:pt idx="563">
                  <c:v>22.519999999999698</c:v>
                </c:pt>
                <c:pt idx="564">
                  <c:v>22.559999999999697</c:v>
                </c:pt>
                <c:pt idx="565">
                  <c:v>22.599999999999696</c:v>
                </c:pt>
                <c:pt idx="566">
                  <c:v>22.639999999999695</c:v>
                </c:pt>
                <c:pt idx="567">
                  <c:v>22.679999999999694</c:v>
                </c:pt>
                <c:pt idx="568">
                  <c:v>22.719999999999693</c:v>
                </c:pt>
                <c:pt idx="569">
                  <c:v>22.759999999999692</c:v>
                </c:pt>
                <c:pt idx="570">
                  <c:v>22.799999999999692</c:v>
                </c:pt>
                <c:pt idx="571">
                  <c:v>22.839999999999691</c:v>
                </c:pt>
                <c:pt idx="572">
                  <c:v>22.87999999999969</c:v>
                </c:pt>
                <c:pt idx="573">
                  <c:v>22.919999999999689</c:v>
                </c:pt>
                <c:pt idx="574">
                  <c:v>22.959999999999688</c:v>
                </c:pt>
                <c:pt idx="575">
                  <c:v>22.999999999999687</c:v>
                </c:pt>
                <c:pt idx="576">
                  <c:v>23.039999999999687</c:v>
                </c:pt>
                <c:pt idx="577">
                  <c:v>23.079999999999686</c:v>
                </c:pt>
                <c:pt idx="578">
                  <c:v>23.119999999999685</c:v>
                </c:pt>
                <c:pt idx="579">
                  <c:v>23.159999999999684</c:v>
                </c:pt>
                <c:pt idx="580">
                  <c:v>23.199999999999683</c:v>
                </c:pt>
                <c:pt idx="581">
                  <c:v>23.239999999999682</c:v>
                </c:pt>
                <c:pt idx="582">
                  <c:v>23.279999999999681</c:v>
                </c:pt>
                <c:pt idx="583">
                  <c:v>23.319999999999681</c:v>
                </c:pt>
                <c:pt idx="584">
                  <c:v>23.35999999999968</c:v>
                </c:pt>
                <c:pt idx="585">
                  <c:v>23.399999999999679</c:v>
                </c:pt>
                <c:pt idx="586">
                  <c:v>23.439999999999678</c:v>
                </c:pt>
                <c:pt idx="587">
                  <c:v>23.479999999999677</c:v>
                </c:pt>
                <c:pt idx="588">
                  <c:v>23.519999999999676</c:v>
                </c:pt>
                <c:pt idx="589">
                  <c:v>23.559999999999675</c:v>
                </c:pt>
                <c:pt idx="590">
                  <c:v>23.599999999999675</c:v>
                </c:pt>
                <c:pt idx="591">
                  <c:v>23.639999999999674</c:v>
                </c:pt>
                <c:pt idx="592">
                  <c:v>23.679999999999673</c:v>
                </c:pt>
                <c:pt idx="593">
                  <c:v>23.719999999999672</c:v>
                </c:pt>
                <c:pt idx="594">
                  <c:v>23.759999999999671</c:v>
                </c:pt>
                <c:pt idx="595">
                  <c:v>23.79999999999967</c:v>
                </c:pt>
                <c:pt idx="596">
                  <c:v>23.839999999999669</c:v>
                </c:pt>
                <c:pt idx="597">
                  <c:v>23.879999999999669</c:v>
                </c:pt>
                <c:pt idx="598">
                  <c:v>23.919999999999668</c:v>
                </c:pt>
                <c:pt idx="599">
                  <c:v>23.959999999999667</c:v>
                </c:pt>
                <c:pt idx="600">
                  <c:v>23.999999999999666</c:v>
                </c:pt>
                <c:pt idx="601">
                  <c:v>24.039999999999665</c:v>
                </c:pt>
                <c:pt idx="602">
                  <c:v>24.079999999999664</c:v>
                </c:pt>
                <c:pt idx="603">
                  <c:v>24.119999999999663</c:v>
                </c:pt>
                <c:pt idx="604">
                  <c:v>24.159999999999663</c:v>
                </c:pt>
                <c:pt idx="605">
                  <c:v>24.199999999999662</c:v>
                </c:pt>
                <c:pt idx="606">
                  <c:v>24.239999999999661</c:v>
                </c:pt>
                <c:pt idx="607">
                  <c:v>24.27999999999966</c:v>
                </c:pt>
                <c:pt idx="608">
                  <c:v>24.319999999999659</c:v>
                </c:pt>
                <c:pt idx="609">
                  <c:v>24.359999999999658</c:v>
                </c:pt>
                <c:pt idx="610">
                  <c:v>24.399999999999658</c:v>
                </c:pt>
                <c:pt idx="611">
                  <c:v>24.439999999999657</c:v>
                </c:pt>
                <c:pt idx="612">
                  <c:v>24.479999999999656</c:v>
                </c:pt>
                <c:pt idx="613">
                  <c:v>24.519999999999655</c:v>
                </c:pt>
                <c:pt idx="614">
                  <c:v>24.559999999999654</c:v>
                </c:pt>
                <c:pt idx="615">
                  <c:v>24.599999999999653</c:v>
                </c:pt>
                <c:pt idx="616">
                  <c:v>24.639999999999652</c:v>
                </c:pt>
                <c:pt idx="617">
                  <c:v>24.679999999999652</c:v>
                </c:pt>
                <c:pt idx="618">
                  <c:v>24.719999999999651</c:v>
                </c:pt>
                <c:pt idx="619">
                  <c:v>24.75999999999965</c:v>
                </c:pt>
                <c:pt idx="620">
                  <c:v>24.799999999999649</c:v>
                </c:pt>
                <c:pt idx="621">
                  <c:v>24.839999999999648</c:v>
                </c:pt>
                <c:pt idx="622">
                  <c:v>24.879999999999647</c:v>
                </c:pt>
                <c:pt idx="623">
                  <c:v>24.919999999999646</c:v>
                </c:pt>
                <c:pt idx="624">
                  <c:v>24.959999999999646</c:v>
                </c:pt>
                <c:pt idx="625">
                  <c:v>24.999999999999645</c:v>
                </c:pt>
                <c:pt idx="626">
                  <c:v>25.039999999999644</c:v>
                </c:pt>
                <c:pt idx="627">
                  <c:v>25.079999999999643</c:v>
                </c:pt>
                <c:pt idx="628">
                  <c:v>25.119999999999642</c:v>
                </c:pt>
                <c:pt idx="629">
                  <c:v>25.159999999999641</c:v>
                </c:pt>
                <c:pt idx="630">
                  <c:v>25.19999999999964</c:v>
                </c:pt>
                <c:pt idx="631">
                  <c:v>25.23999999999964</c:v>
                </c:pt>
                <c:pt idx="632">
                  <c:v>25.279999999999639</c:v>
                </c:pt>
                <c:pt idx="633">
                  <c:v>25.319999999999638</c:v>
                </c:pt>
                <c:pt idx="634">
                  <c:v>25.359999999999637</c:v>
                </c:pt>
                <c:pt idx="635">
                  <c:v>25.399999999999636</c:v>
                </c:pt>
                <c:pt idx="636">
                  <c:v>25.439999999999635</c:v>
                </c:pt>
                <c:pt idx="637">
                  <c:v>25.479999999999634</c:v>
                </c:pt>
                <c:pt idx="638">
                  <c:v>25.519999999999634</c:v>
                </c:pt>
                <c:pt idx="639">
                  <c:v>25.559999999999633</c:v>
                </c:pt>
                <c:pt idx="640">
                  <c:v>25.599999999999632</c:v>
                </c:pt>
                <c:pt idx="641">
                  <c:v>25.639999999999631</c:v>
                </c:pt>
                <c:pt idx="642">
                  <c:v>25.67999999999963</c:v>
                </c:pt>
                <c:pt idx="643">
                  <c:v>25.719999999999629</c:v>
                </c:pt>
                <c:pt idx="644">
                  <c:v>25.759999999999629</c:v>
                </c:pt>
                <c:pt idx="645">
                  <c:v>25.799999999999628</c:v>
                </c:pt>
                <c:pt idx="646">
                  <c:v>25.839999999999627</c:v>
                </c:pt>
                <c:pt idx="647">
                  <c:v>25.879999999999626</c:v>
                </c:pt>
                <c:pt idx="648">
                  <c:v>25.919999999999625</c:v>
                </c:pt>
                <c:pt idx="649">
                  <c:v>25.959999999999624</c:v>
                </c:pt>
                <c:pt idx="650">
                  <c:v>25.999999999999623</c:v>
                </c:pt>
                <c:pt idx="651">
                  <c:v>26.039999999999623</c:v>
                </c:pt>
                <c:pt idx="652">
                  <c:v>26.079999999999622</c:v>
                </c:pt>
                <c:pt idx="653">
                  <c:v>26.119999999999621</c:v>
                </c:pt>
                <c:pt idx="654">
                  <c:v>26.15999999999962</c:v>
                </c:pt>
                <c:pt idx="655">
                  <c:v>26.199999999999619</c:v>
                </c:pt>
                <c:pt idx="656">
                  <c:v>26.239999999999618</c:v>
                </c:pt>
                <c:pt idx="657">
                  <c:v>26.279999999999617</c:v>
                </c:pt>
                <c:pt idx="658">
                  <c:v>26.319999999999617</c:v>
                </c:pt>
                <c:pt idx="659">
                  <c:v>26.359999999999616</c:v>
                </c:pt>
                <c:pt idx="660">
                  <c:v>26.399999999999615</c:v>
                </c:pt>
                <c:pt idx="661">
                  <c:v>26.439999999999614</c:v>
                </c:pt>
                <c:pt idx="662">
                  <c:v>26.479999999999613</c:v>
                </c:pt>
                <c:pt idx="663">
                  <c:v>26.519999999999612</c:v>
                </c:pt>
                <c:pt idx="664">
                  <c:v>26.559999999999611</c:v>
                </c:pt>
                <c:pt idx="665">
                  <c:v>26.599999999999611</c:v>
                </c:pt>
                <c:pt idx="666">
                  <c:v>26.63999999999961</c:v>
                </c:pt>
                <c:pt idx="667">
                  <c:v>26.679999999999609</c:v>
                </c:pt>
                <c:pt idx="668">
                  <c:v>26.719999999999608</c:v>
                </c:pt>
                <c:pt idx="669">
                  <c:v>26.759999999999607</c:v>
                </c:pt>
                <c:pt idx="670">
                  <c:v>26.799999999999606</c:v>
                </c:pt>
                <c:pt idx="671">
                  <c:v>26.839999999999606</c:v>
                </c:pt>
                <c:pt idx="672">
                  <c:v>26.879999999999605</c:v>
                </c:pt>
                <c:pt idx="673">
                  <c:v>26.919999999999604</c:v>
                </c:pt>
                <c:pt idx="674">
                  <c:v>26.959999999999603</c:v>
                </c:pt>
                <c:pt idx="675">
                  <c:v>26.999999999999602</c:v>
                </c:pt>
                <c:pt idx="676">
                  <c:v>27.039999999999601</c:v>
                </c:pt>
                <c:pt idx="677">
                  <c:v>27.0799999999996</c:v>
                </c:pt>
                <c:pt idx="678">
                  <c:v>27.1199999999996</c:v>
                </c:pt>
                <c:pt idx="679">
                  <c:v>27.159999999999599</c:v>
                </c:pt>
                <c:pt idx="680">
                  <c:v>27.199999999999598</c:v>
                </c:pt>
                <c:pt idx="681">
                  <c:v>27.239999999999597</c:v>
                </c:pt>
                <c:pt idx="682">
                  <c:v>27.279999999999596</c:v>
                </c:pt>
                <c:pt idx="683">
                  <c:v>27.319999999999595</c:v>
                </c:pt>
                <c:pt idx="684">
                  <c:v>27.359999999999594</c:v>
                </c:pt>
                <c:pt idx="685">
                  <c:v>27.399999999999594</c:v>
                </c:pt>
                <c:pt idx="686">
                  <c:v>27.439999999999593</c:v>
                </c:pt>
                <c:pt idx="687">
                  <c:v>27.479999999999592</c:v>
                </c:pt>
                <c:pt idx="688">
                  <c:v>27.519999999999591</c:v>
                </c:pt>
                <c:pt idx="689">
                  <c:v>27.55999999999959</c:v>
                </c:pt>
                <c:pt idx="690">
                  <c:v>27.599999999999589</c:v>
                </c:pt>
                <c:pt idx="691">
                  <c:v>27.639999999999588</c:v>
                </c:pt>
                <c:pt idx="692">
                  <c:v>27.679999999999588</c:v>
                </c:pt>
                <c:pt idx="693">
                  <c:v>27.719999999999587</c:v>
                </c:pt>
                <c:pt idx="694">
                  <c:v>27.759999999999586</c:v>
                </c:pt>
                <c:pt idx="695">
                  <c:v>27.799999999999585</c:v>
                </c:pt>
                <c:pt idx="696">
                  <c:v>27.839999999999584</c:v>
                </c:pt>
                <c:pt idx="697">
                  <c:v>27.879999999999583</c:v>
                </c:pt>
                <c:pt idx="698">
                  <c:v>27.919999999999582</c:v>
                </c:pt>
                <c:pt idx="699">
                  <c:v>27.959999999999582</c:v>
                </c:pt>
                <c:pt idx="700">
                  <c:v>27.999999999999581</c:v>
                </c:pt>
                <c:pt idx="701">
                  <c:v>28.03999999999958</c:v>
                </c:pt>
                <c:pt idx="702">
                  <c:v>28.079999999999579</c:v>
                </c:pt>
                <c:pt idx="703">
                  <c:v>28.119999999999578</c:v>
                </c:pt>
                <c:pt idx="704">
                  <c:v>28.159999999999577</c:v>
                </c:pt>
                <c:pt idx="705">
                  <c:v>28.199999999999577</c:v>
                </c:pt>
                <c:pt idx="706">
                  <c:v>28.239999999999576</c:v>
                </c:pt>
                <c:pt idx="707">
                  <c:v>28.279999999999575</c:v>
                </c:pt>
                <c:pt idx="708">
                  <c:v>28.319999999999574</c:v>
                </c:pt>
                <c:pt idx="709">
                  <c:v>28.359999999999573</c:v>
                </c:pt>
                <c:pt idx="710">
                  <c:v>28.399999999999572</c:v>
                </c:pt>
                <c:pt idx="711">
                  <c:v>28.439999999999571</c:v>
                </c:pt>
                <c:pt idx="712">
                  <c:v>28.479999999999571</c:v>
                </c:pt>
                <c:pt idx="713">
                  <c:v>28.51999999999957</c:v>
                </c:pt>
                <c:pt idx="714">
                  <c:v>28.559999999999569</c:v>
                </c:pt>
                <c:pt idx="715">
                  <c:v>28.599999999999568</c:v>
                </c:pt>
              </c:numCache>
            </c:numRef>
          </c:cat>
          <c:val>
            <c:numRef>
              <c:f>Calculations!$B$30:$AAO$30</c:f>
              <c:numCache>
                <c:formatCode>General</c:formatCode>
                <c:ptCount val="716"/>
                <c:pt idx="0">
                  <c:v>40.815821635072496</c:v>
                </c:pt>
                <c:pt idx="1">
                  <c:v>40.815821635072496</c:v>
                </c:pt>
                <c:pt idx="2">
                  <c:v>40.815821635072496</c:v>
                </c:pt>
                <c:pt idx="3">
                  <c:v>40.815821635072496</c:v>
                </c:pt>
                <c:pt idx="4">
                  <c:v>40.815821635072496</c:v>
                </c:pt>
                <c:pt idx="5">
                  <c:v>40.815821635072496</c:v>
                </c:pt>
                <c:pt idx="6">
                  <c:v>40.815828181969287</c:v>
                </c:pt>
                <c:pt idx="7">
                  <c:v>40.81586177414092</c:v>
                </c:pt>
                <c:pt idx="8">
                  <c:v>40.815961552281784</c:v>
                </c:pt>
                <c:pt idx="9">
                  <c:v>40.816186567866879</c:v>
                </c:pt>
                <c:pt idx="10">
                  <c:v>40.816614348335001</c:v>
                </c:pt>
                <c:pt idx="11">
                  <c:v>40.817337832753942</c:v>
                </c:pt>
                <c:pt idx="12">
                  <c:v>40.81846160895234</c:v>
                </c:pt>
                <c:pt idx="13">
                  <c:v>40.820098098404969</c:v>
                </c:pt>
                <c:pt idx="14">
                  <c:v>40.822364068577599</c:v>
                </c:pt>
                <c:pt idx="15">
                  <c:v>40.825377654055892</c:v>
                </c:pt>
                <c:pt idx="16">
                  <c:v>40.82925593882559</c:v>
                </c:pt>
                <c:pt idx="17">
                  <c:v>40.834113077441799</c:v>
                </c:pt>
                <c:pt idx="18">
                  <c:v>40.84005889547506</c:v>
                </c:pt>
                <c:pt idx="19">
                  <c:v>40.847197895591755</c:v>
                </c:pt>
                <c:pt idx="20">
                  <c:v>40.855628594971577</c:v>
                </c:pt>
                <c:pt idx="21">
                  <c:v>40.865443125983212</c:v>
                </c:pt>
                <c:pt idx="22">
                  <c:v>40.876727041161935</c:v>
                </c:pt>
                <c:pt idx="23">
                  <c:v>40.889559273292043</c:v>
                </c:pt>
                <c:pt idx="24">
                  <c:v>40.904012210608201</c:v>
                </c:pt>
                <c:pt idx="25">
                  <c:v>40.920151855256343</c:v>
                </c:pt>
                <c:pt idx="26">
                  <c:v>40.938038040031529</c:v>
                </c:pt>
                <c:pt idx="27">
                  <c:v>40.957724684067259</c:v>
                </c:pt>
                <c:pt idx="28">
                  <c:v>40.979260072712101</c:v>
                </c:pt>
                <c:pt idx="29">
                  <c:v>41.002687150452452</c:v>
                </c:pt>
                <c:pt idx="30">
                  <c:v>41.028043818584216</c:v>
                </c:pt>
                <c:pt idx="31">
                  <c:v>41.055363231547936</c:v>
                </c:pt>
                <c:pt idx="32">
                  <c:v>41.084674087547874</c:v>
                </c:pt>
                <c:pt idx="33">
                  <c:v>41.116000910382255</c:v>
                </c:pt>
                <c:pt idx="34">
                  <c:v>41.149364320405667</c:v>
                </c:pt>
                <c:pt idx="35">
                  <c:v>41.184781293295437</c:v>
                </c:pt>
                <c:pt idx="36">
                  <c:v>41.222265405856255</c:v>
                </c:pt>
                <c:pt idx="37">
                  <c:v>41.261827068515416</c:v>
                </c:pt>
                <c:pt idx="38">
                  <c:v>41.303473744468072</c:v>
                </c:pt>
                <c:pt idx="39">
                  <c:v>41.347210155654146</c:v>
                </c:pt>
                <c:pt idx="40">
                  <c:v>41.393038475906508</c:v>
                </c:pt>
                <c:pt idx="41">
                  <c:v>41.440958511718911</c:v>
                </c:pt>
                <c:pt idx="42">
                  <c:v>41.490967871154346</c:v>
                </c:pt>
                <c:pt idx="43">
                  <c:v>41.543062121458647</c:v>
                </c:pt>
                <c:pt idx="44">
                  <c:v>41.597234935967876</c:v>
                </c:pt>
                <c:pt idx="45">
                  <c:v>41.653478230906067</c:v>
                </c:pt>
                <c:pt idx="46">
                  <c:v>41.711782292667053</c:v>
                </c:pt>
                <c:pt idx="47">
                  <c:v>41.772135896162524</c:v>
                </c:pt>
                <c:pt idx="48">
                  <c:v>41.834526414801879</c:v>
                </c:pt>
                <c:pt idx="49">
                  <c:v>41.898939922648026</c:v>
                </c:pt>
                <c:pt idx="50">
                  <c:v>41.965361289270014</c:v>
                </c:pt>
                <c:pt idx="51">
                  <c:v>42.033774267788012</c:v>
                </c:pt>
                <c:pt idx="52">
                  <c:v>42.10416157658031</c:v>
                </c:pt>
                <c:pt idx="53">
                  <c:v>42.176504975095867</c:v>
                </c:pt>
                <c:pt idx="54">
                  <c:v>42.250785334189843</c:v>
                </c:pt>
                <c:pt idx="55">
                  <c:v>42.326982701374305</c:v>
                </c:pt>
                <c:pt idx="56">
                  <c:v>42.405076361351583</c:v>
                </c:pt>
                <c:pt idx="57">
                  <c:v>42.485044892173896</c:v>
                </c:pt>
                <c:pt idx="58">
                  <c:v>42.566866217350352</c:v>
                </c:pt>
                <c:pt idx="59">
                  <c:v>42.650517654200584</c:v>
                </c:pt>
                <c:pt idx="60">
                  <c:v>42.735975958733817</c:v>
                </c:pt>
                <c:pt idx="61">
                  <c:v>42.823217367312779</c:v>
                </c:pt>
                <c:pt idx="62">
                  <c:v>42.912217635343467</c:v>
                </c:pt>
                <c:pt idx="63">
                  <c:v>43.002952073214665</c:v>
                </c:pt>
                <c:pt idx="64">
                  <c:v>43.095395579694909</c:v>
                </c:pt>
                <c:pt idx="65">
                  <c:v>43.189522672979479</c:v>
                </c:pt>
                <c:pt idx="66">
                  <c:v>43.285307519565841</c:v>
                </c:pt>
                <c:pt idx="67">
                  <c:v>43.382723961122807</c:v>
                </c:pt>
                <c:pt idx="68">
                  <c:v>43.481745539506313</c:v>
                </c:pt>
                <c:pt idx="69">
                  <c:v>43.582345520063377</c:v>
                </c:pt>
                <c:pt idx="70">
                  <c:v>43.684496913354941</c:v>
                </c:pt>
                <c:pt idx="71">
                  <c:v>43.788172495418571</c:v>
                </c:pt>
                <c:pt idx="72">
                  <c:v>43.893344826682799</c:v>
                </c:pt>
                <c:pt idx="73">
                  <c:v>43.999986269636167</c:v>
                </c:pt>
                <c:pt idx="74">
                  <c:v>44.108069005346366</c:v>
                </c:pt>
                <c:pt idx="75">
                  <c:v>44.217565048917365</c:v>
                </c:pt>
                <c:pt idx="76">
                  <c:v>44.328446263965766</c:v>
                </c:pt>
                <c:pt idx="77">
                  <c:v>44.4406843761912</c:v>
                </c:pt>
                <c:pt idx="78">
                  <c:v>44.554250986109956</c:v>
                </c:pt>
                <c:pt idx="79">
                  <c:v>44.669117581015527</c:v>
                </c:pt>
                <c:pt idx="80">
                  <c:v>44.785255546224839</c:v>
                </c:pt>
                <c:pt idx="81">
                  <c:v>44.902636175664377</c:v>
                </c:pt>
                <c:pt idx="82">
                  <c:v>45.021230681846248</c:v>
                </c:pt>
                <c:pt idx="83">
                  <c:v>45.141010205280111</c:v>
                </c:pt>
                <c:pt idx="84">
                  <c:v>45.261945823363611</c:v>
                </c:pt>
                <c:pt idx="85">
                  <c:v>45.38400855879032</c:v>
                </c:pt>
                <c:pt idx="86">
                  <c:v>45.507169387511418</c:v>
                </c:pt>
                <c:pt idx="87">
                  <c:v>45.631399246284303</c:v>
                </c:pt>
                <c:pt idx="88">
                  <c:v>45.756669039838791</c:v>
                </c:pt>
                <c:pt idx="89">
                  <c:v>45.88294964768928</c:v>
                </c:pt>
                <c:pt idx="90">
                  <c:v>46.010211930618816</c:v>
                </c:pt>
                <c:pt idx="91">
                  <c:v>46.138426736859174</c:v>
                </c:pt>
                <c:pt idx="92">
                  <c:v>46.267564907989104</c:v>
                </c:pt>
                <c:pt idx="93">
                  <c:v>46.397597284571141</c:v>
                </c:pt>
                <c:pt idx="94">
                  <c:v>46.528494711545825</c:v>
                </c:pt>
                <c:pt idx="95">
                  <c:v>46.660228043400743</c:v>
                </c:pt>
                <c:pt idx="96">
                  <c:v>46.792768149130382</c:v>
                </c:pt>
                <c:pt idx="97">
                  <c:v>46.926085917001544</c:v>
                </c:pt>
                <c:pt idx="98">
                  <c:v>47.060152259138079</c:v>
                </c:pt>
                <c:pt idx="99">
                  <c:v>47.194938115937362</c:v>
                </c:pt>
                <c:pt idx="100">
                  <c:v>47.33041446033026</c:v>
                </c:pt>
                <c:pt idx="101">
                  <c:v>47.466552301895277</c:v>
                </c:pt>
                <c:pt idx="102">
                  <c:v>47.603322690836684</c:v>
                </c:pt>
                <c:pt idx="103">
                  <c:v>47.740696721835938</c:v>
                </c:pt>
                <c:pt idx="104">
                  <c:v>47.878645537784678</c:v>
                </c:pt>
                <c:pt idx="105">
                  <c:v>48.017140333407191</c:v>
                </c:pt>
                <c:pt idx="106">
                  <c:v>48.156152358779487</c:v>
                </c:pt>
                <c:pt idx="107">
                  <c:v>48.295652922751714</c:v>
                </c:pt>
                <c:pt idx="108">
                  <c:v>48.435613396279976</c:v>
                </c:pt>
                <c:pt idx="109">
                  <c:v>48.576005215673334</c:v>
                </c:pt>
                <c:pt idx="110">
                  <c:v>48.716799885761169</c:v>
                </c:pt>
                <c:pt idx="111">
                  <c:v>48.857968982985817</c:v>
                </c:pt>
                <c:pt idx="112">
                  <c:v>48.999484158424991</c:v>
                </c:pt>
                <c:pt idx="113">
                  <c:v>49.141317140748093</c:v>
                </c:pt>
                <c:pt idx="114">
                  <c:v>49.283439739110307</c:v>
                </c:pt>
                <c:pt idx="115">
                  <c:v>49.425823845988056</c:v>
                </c:pt>
                <c:pt idx="116">
                  <c:v>49.568441439959102</c:v>
                </c:pt>
                <c:pt idx="117">
                  <c:v>49.711264588430296</c:v>
                </c:pt>
                <c:pt idx="118">
                  <c:v>49.85426545031595</c:v>
                </c:pt>
                <c:pt idx="119">
                  <c:v>49.997416278669249</c:v>
                </c:pt>
                <c:pt idx="120">
                  <c:v>50.140689423269336</c:v>
                </c:pt>
                <c:pt idx="121">
                  <c:v>50.284057333166153</c:v>
                </c:pt>
                <c:pt idx="122">
                  <c:v>50.427492559185247</c:v>
                </c:pt>
                <c:pt idx="123">
                  <c:v>50.570967756394332</c:v>
                </c:pt>
                <c:pt idx="124">
                  <c:v>50.714455686533569</c:v>
                </c:pt>
                <c:pt idx="125">
                  <c:v>50.857929220411066</c:v>
                </c:pt>
                <c:pt idx="126">
                  <c:v>51.001361340265184</c:v>
                </c:pt>
                <c:pt idx="127">
                  <c:v>51.144725142095112</c:v>
                </c:pt>
                <c:pt idx="128">
                  <c:v>51.287993837960961</c:v>
                </c:pt>
                <c:pt idx="129">
                  <c:v>51.431140758254642</c:v>
                </c:pt>
                <c:pt idx="130">
                  <c:v>51.574139353942606</c:v>
                </c:pt>
                <c:pt idx="131">
                  <c:v>51.716963198781542</c:v>
                </c:pt>
                <c:pt idx="132">
                  <c:v>51.85958599150797</c:v>
                </c:pt>
                <c:pt idx="133">
                  <c:v>52.001981558002612</c:v>
                </c:pt>
                <c:pt idx="134">
                  <c:v>52.144123853430393</c:v>
                </c:pt>
                <c:pt idx="135">
                  <c:v>52.285986964356795</c:v>
                </c:pt>
                <c:pt idx="136">
                  <c:v>52.427545110841301</c:v>
                </c:pt>
                <c:pt idx="137">
                  <c:v>52.56877264850857</c:v>
                </c:pt>
                <c:pt idx="138">
                  <c:v>52.709644070597925</c:v>
                </c:pt>
                <c:pt idx="139">
                  <c:v>52.850134009991699</c:v>
                </c:pt>
                <c:pt idx="140">
                  <c:v>52.990217241222958</c:v>
                </c:pt>
                <c:pt idx="141">
                  <c:v>53.129868682463076</c:v>
                </c:pt>
                <c:pt idx="142">
                  <c:v>53.269063397489568</c:v>
                </c:pt>
                <c:pt idx="143">
                  <c:v>53.407776597634545</c:v>
                </c:pt>
                <c:pt idx="144">
                  <c:v>53.545983643714194</c:v>
                </c:pt>
                <c:pt idx="145">
                  <c:v>53.683660047939597</c:v>
                </c:pt>
                <c:pt idx="146">
                  <c:v>53.82078147580912</c:v>
                </c:pt>
                <c:pt idx="147">
                  <c:v>53.957323747982741</c:v>
                </c:pt>
                <c:pt idx="148">
                  <c:v>54.093262842138444</c:v>
                </c:pt>
                <c:pt idx="149">
                  <c:v>54.228574894810997</c:v>
                </c:pt>
                <c:pt idx="150">
                  <c:v>54.363236203213241</c:v>
                </c:pt>
                <c:pt idx="151">
                  <c:v>54.497223227040067</c:v>
                </c:pt>
                <c:pt idx="152">
                  <c:v>54.63051259025525</c:v>
                </c:pt>
                <c:pt idx="153">
                  <c:v>54.763081082861284</c:v>
                </c:pt>
                <c:pt idx="154">
                  <c:v>54.894905662652278</c:v>
                </c:pt>
                <c:pt idx="155">
                  <c:v>55.025963456950073</c:v>
                </c:pt>
                <c:pt idx="156">
                  <c:v>55.156231764323643</c:v>
                </c:pt>
                <c:pt idx="157">
                  <c:v>55.285688056291804</c:v>
                </c:pt>
                <c:pt idx="158">
                  <c:v>55.414309979009346</c:v>
                </c:pt>
                <c:pt idx="159">
                  <c:v>55.5420753549366</c:v>
                </c:pt>
                <c:pt idx="160">
                  <c:v>55.6689621844925</c:v>
                </c:pt>
                <c:pt idx="161">
                  <c:v>55.794948647691065</c:v>
                </c:pt>
                <c:pt idx="162">
                  <c:v>55.920013105761463</c:v>
                </c:pt>
                <c:pt idx="163">
                  <c:v>56.044134102751492</c:v>
                </c:pt>
                <c:pt idx="164">
                  <c:v>56.167290367114589</c:v>
                </c:pt>
                <c:pt idx="165">
                  <c:v>56.289460813280279</c:v>
                </c:pt>
                <c:pt idx="166">
                  <c:v>56.410624543208073</c:v>
                </c:pt>
                <c:pt idx="167">
                  <c:v>56.530760847924739</c:v>
                </c:pt>
                <c:pt idx="168">
                  <c:v>56.649849209044952</c:v>
                </c:pt>
                <c:pt idx="169">
                  <c:v>56.767869300275208</c:v>
                </c:pt>
                <c:pt idx="170">
                  <c:v>56.884800988901048</c:v>
                </c:pt>
                <c:pt idx="171">
                  <c:v>57.00062433725742</c:v>
                </c:pt>
                <c:pt idx="172">
                  <c:v>57.115319604182162</c:v>
                </c:pt>
                <c:pt idx="173">
                  <c:v>57.228867246452538</c:v>
                </c:pt>
                <c:pt idx="174">
                  <c:v>57.341247920204765</c:v>
                </c:pt>
                <c:pt idx="175">
                  <c:v>57.452442482336387</c:v>
                </c:pt>
                <c:pt idx="176">
                  <c:v>57.562431991891479</c:v>
                </c:pt>
                <c:pt idx="177">
                  <c:v>57.671197711428576</c:v>
                </c:pt>
                <c:pt idx="178">
                  <c:v>57.778721108371172</c:v>
                </c:pt>
                <c:pt idx="179">
                  <c:v>57.88498385634081</c:v>
                </c:pt>
                <c:pt idx="180">
                  <c:v>57.98996783647253</c:v>
                </c:pt>
                <c:pt idx="181">
                  <c:v>58.093655138712705</c:v>
                </c:pt>
                <c:pt idx="182">
                  <c:v>58.196028063099064</c:v>
                </c:pt>
                <c:pt idx="183">
                  <c:v>58.297069121022815</c:v>
                </c:pt>
                <c:pt idx="184">
                  <c:v>58.396761036472832</c:v>
                </c:pt>
                <c:pt idx="185">
                  <c:v>58.495086747261674</c:v>
                </c:pt>
                <c:pt idx="186">
                  <c:v>58.592029406233436</c:v>
                </c:pt>
                <c:pt idx="187">
                  <c:v>58.687572382453276</c:v>
                </c:pt>
                <c:pt idx="188">
                  <c:v>58.781699262378453</c:v>
                </c:pt>
                <c:pt idx="189">
                  <c:v>58.874393851010858</c:v>
                </c:pt>
                <c:pt idx="190">
                  <c:v>58.965640173030884</c:v>
                </c:pt>
                <c:pt idx="191">
                  <c:v>59.055422473912444</c:v>
                </c:pt>
                <c:pt idx="192">
                  <c:v>59.143725221019167</c:v>
                </c:pt>
                <c:pt idx="193">
                  <c:v>59.230533104681513</c:v>
                </c:pt>
                <c:pt idx="194">
                  <c:v>59.315831039254775</c:v>
                </c:pt>
                <c:pt idx="195">
                  <c:v>59.399604164157822</c:v>
                </c:pt>
                <c:pt idx="196">
                  <c:v>59.481837844892461</c:v>
                </c:pt>
                <c:pt idx="197">
                  <c:v>59.562517674043335</c:v>
                </c:pt>
                <c:pt idx="198">
                  <c:v>59.641629472258153</c:v>
                </c:pt>
                <c:pt idx="199">
                  <c:v>59.719159289208271</c:v>
                </c:pt>
                <c:pt idx="200">
                  <c:v>59.795093404529361</c:v>
                </c:pt>
                <c:pt idx="201">
                  <c:v>59.869418328742142</c:v>
                </c:pt>
                <c:pt idx="202">
                  <c:v>59.942120804153092</c:v>
                </c:pt>
                <c:pt idx="203">
                  <c:v>60.013187805734859</c:v>
                </c:pt>
                <c:pt idx="204">
                  <c:v>60.082606541986486</c:v>
                </c:pt>
                <c:pt idx="205">
                  <c:v>60.150364455773122</c:v>
                </c:pt>
                <c:pt idx="206">
                  <c:v>60.21644922514529</c:v>
                </c:pt>
                <c:pt idx="207">
                  <c:v>60.280848764137438</c:v>
                </c:pt>
                <c:pt idx="208">
                  <c:v>60.343551223545802</c:v>
                </c:pt>
                <c:pt idx="209">
                  <c:v>60.40454499168537</c:v>
                </c:pt>
                <c:pt idx="210">
                  <c:v>60.463818695125916</c:v>
                </c:pt>
                <c:pt idx="211">
                  <c:v>60.521361199406925</c:v>
                </c:pt>
                <c:pt idx="212">
                  <c:v>60.577161609731377</c:v>
                </c:pt>
                <c:pt idx="213">
                  <c:v>60.631209271638248</c:v>
                </c:pt>
                <c:pt idx="214">
                  <c:v>60.683493771653616</c:v>
                </c:pt>
                <c:pt idx="215">
                  <c:v>60.734004937920282</c:v>
                </c:pt>
                <c:pt idx="216">
                  <c:v>60.782732840805863</c:v>
                </c:pt>
                <c:pt idx="217">
                  <c:v>60.829667793489158</c:v>
                </c:pt>
                <c:pt idx="218">
                  <c:v>60.874800352524773</c:v>
                </c:pt>
                <c:pt idx="219">
                  <c:v>60.918121318385886</c:v>
                </c:pt>
                <c:pt idx="220">
                  <c:v>60.959621735985053</c:v>
                </c:pt>
                <c:pt idx="221">
                  <c:v>60.999292895172985</c:v>
                </c:pt>
                <c:pt idx="222">
                  <c:v>61.037126331215198</c:v>
                </c:pt>
                <c:pt idx="223">
                  <c:v>61.073113825246445</c:v>
                </c:pt>
                <c:pt idx="224">
                  <c:v>61.107247404702861</c:v>
                </c:pt>
                <c:pt idx="225">
                  <c:v>61.139519343731756</c:v>
                </c:pt>
                <c:pt idx="226">
                  <c:v>61.169922163578896</c:v>
                </c:pt>
                <c:pt idx="227">
                  <c:v>61.19844863295333</c:v>
                </c:pt>
                <c:pt idx="228">
                  <c:v>61.225091768369573</c:v>
                </c:pt>
                <c:pt idx="229">
                  <c:v>61.249844834467112</c:v>
                </c:pt>
                <c:pt idx="230">
                  <c:v>61.272701344307208</c:v>
                </c:pt>
                <c:pt idx="231">
                  <c:v>61.293655059646845</c:v>
                </c:pt>
                <c:pt idx="232">
                  <c:v>61.312699991189831</c:v>
                </c:pt>
                <c:pt idx="233">
                  <c:v>61.329830398814956</c:v>
                </c:pt>
                <c:pt idx="234">
                  <c:v>61.345040791781145</c:v>
                </c:pt>
                <c:pt idx="235">
                  <c:v>61.358325928909579</c:v>
                </c:pt>
                <c:pt idx="236">
                  <c:v>61.369680818742687</c:v>
                </c:pt>
                <c:pt idx="237">
                  <c:v>61.379100719679997</c:v>
                </c:pt>
                <c:pt idx="238">
                  <c:v>61.386581140090748</c:v>
                </c:pt>
                <c:pt idx="239">
                  <c:v>61.392117838403259</c:v>
                </c:pt>
                <c:pt idx="240">
                  <c:v>61.395706823171025</c:v>
                </c:pt>
                <c:pt idx="241">
                  <c:v>61.3973443531154</c:v>
                </c:pt>
                <c:pt idx="242">
                  <c:v>61.39702693714495</c:v>
                </c:pt>
                <c:pt idx="243">
                  <c:v>61.394751334351369</c:v>
                </c:pt>
                <c:pt idx="244">
                  <c:v>61.39051455398193</c:v>
                </c:pt>
                <c:pt idx="245">
                  <c:v>61.384313855388463</c:v>
                </c:pt>
                <c:pt idx="246">
                  <c:v>61.376146747952781</c:v>
                </c:pt>
                <c:pt idx="247">
                  <c:v>61.366010990988592</c:v>
                </c:pt>
                <c:pt idx="248">
                  <c:v>61.353904593619859</c:v>
                </c:pt>
                <c:pt idx="249">
                  <c:v>61.339825814635518</c:v>
                </c:pt>
                <c:pt idx="250">
                  <c:v>61.323773162320606</c:v>
                </c:pt>
                <c:pt idx="251">
                  <c:v>61.305745394263816</c:v>
                </c:pt>
                <c:pt idx="252">
                  <c:v>61.285741517141318</c:v>
                </c:pt>
                <c:pt idx="253">
                  <c:v>61.263760786477036</c:v>
                </c:pt>
                <c:pt idx="254">
                  <c:v>61.23980270637918</c:v>
                </c:pt>
                <c:pt idx="255">
                  <c:v>61.213867029253173</c:v>
                </c:pt>
                <c:pt idx="256">
                  <c:v>61.185953755490907</c:v>
                </c:pt>
                <c:pt idx="257">
                  <c:v>61.156063133136314</c:v>
                </c:pt>
                <c:pt idx="258">
                  <c:v>61.124195657527309</c:v>
                </c:pt>
                <c:pt idx="259">
                  <c:v>61.090352070914051</c:v>
                </c:pt>
                <c:pt idx="260">
                  <c:v>61.054533362053583</c:v>
                </c:pt>
                <c:pt idx="261">
                  <c:v>61.016740765780824</c:v>
                </c:pt>
                <c:pt idx="262">
                  <c:v>60.976975762555973</c:v>
                </c:pt>
                <c:pt idx="263">
                  <c:v>60.935240077988261</c:v>
                </c:pt>
                <c:pt idx="264">
                  <c:v>60.891535682336176</c:v>
                </c:pt>
                <c:pt idx="265">
                  <c:v>60.845864789984091</c:v>
                </c:pt>
                <c:pt idx="266">
                  <c:v>60.798229858895397</c:v>
                </c:pt>
                <c:pt idx="267">
                  <c:v>60.748633590042104</c:v>
                </c:pt>
                <c:pt idx="268">
                  <c:v>60.697078926810967</c:v>
                </c:pt>
                <c:pt idx="269">
                  <c:v>60.643569054386212</c:v>
                </c:pt>
                <c:pt idx="270">
                  <c:v>60.588107399108807</c:v>
                </c:pt>
                <c:pt idx="271">
                  <c:v>60.530697627812422</c:v>
                </c:pt>
                <c:pt idx="272">
                  <c:v>60.471343647136024</c:v>
                </c:pt>
                <c:pt idx="273">
                  <c:v>60.410049602813245</c:v>
                </c:pt>
                <c:pt idx="274">
                  <c:v>60.346819878938476</c:v>
                </c:pt>
                <c:pt idx="275">
                  <c:v>60.281659097209825</c:v>
                </c:pt>
                <c:pt idx="276">
                  <c:v>60.214572116148922</c:v>
                </c:pt>
                <c:pt idx="277">
                  <c:v>60.145564030297678</c:v>
                </c:pt>
                <c:pt idx="278">
                  <c:v>60.074640169392019</c:v>
                </c:pt>
                <c:pt idx="279">
                  <c:v>60.001806097512713</c:v>
                </c:pt>
                <c:pt idx="280">
                  <c:v>59.92706761221325</c:v>
                </c:pt>
                <c:pt idx="281">
                  <c:v>59.850430743624969</c:v>
                </c:pt>
                <c:pt idx="282">
                  <c:v>59.771901753539417</c:v>
                </c:pt>
                <c:pt idx="283">
                  <c:v>59.691487134468019</c:v>
                </c:pt>
                <c:pt idx="284">
                  <c:v>59.609193608679199</c:v>
                </c:pt>
                <c:pt idx="285">
                  <c:v>59.525028127212913</c:v>
                </c:pt>
                <c:pt idx="286">
                  <c:v>59.438997868872832</c:v>
                </c:pt>
                <c:pt idx="287">
                  <c:v>59.351110239196082</c:v>
                </c:pt>
                <c:pt idx="288">
                  <c:v>59.261372869400788</c:v>
                </c:pt>
                <c:pt idx="289">
                  <c:v>59.169793615311377</c:v>
                </c:pt>
                <c:pt idx="290">
                  <c:v>59.07638055626186</c:v>
                </c:pt>
                <c:pt idx="291">
                  <c:v>58.981141993977076</c:v>
                </c:pt>
                <c:pt idx="292">
                  <c:v>58.884086451432026</c:v>
                </c:pt>
                <c:pt idx="293">
                  <c:v>58.785222671689453</c:v>
                </c:pt>
                <c:pt idx="294">
                  <c:v>58.68455961671571</c:v>
                </c:pt>
                <c:pt idx="295">
                  <c:v>58.582106466175027</c:v>
                </c:pt>
                <c:pt idx="296">
                  <c:v>58.477872616202298</c:v>
                </c:pt>
                <c:pt idx="297">
                  <c:v>58.371867678154494</c:v>
                </c:pt>
                <c:pt idx="298">
                  <c:v>58.26410147734083</c:v>
                </c:pt>
                <c:pt idx="299">
                  <c:v>58.15458405173176</c:v>
                </c:pt>
                <c:pt idx="300">
                  <c:v>58.043325650646977</c:v>
                </c:pt>
                <c:pt idx="301">
                  <c:v>57.930336733422457</c:v>
                </c:pt>
                <c:pt idx="302">
                  <c:v>57.815627968056759</c:v>
                </c:pt>
                <c:pt idx="303">
                  <c:v>57.699210229836652</c:v>
                </c:pt>
                <c:pt idx="304">
                  <c:v>57.581094599942176</c:v>
                </c:pt>
                <c:pt idx="305">
                  <c:v>57.46129236403138</c:v>
                </c:pt>
                <c:pt idx="306">
                  <c:v>57.339821557701455</c:v>
                </c:pt>
                <c:pt idx="307">
                  <c:v>57.216714369617534</c:v>
                </c:pt>
                <c:pt idx="308">
                  <c:v>57.092021830872035</c:v>
                </c:pt>
                <c:pt idx="309">
                  <c:v>56.965815081953338</c:v>
                </c:pt>
                <c:pt idx="310">
                  <c:v>56.838183936413671</c:v>
                </c:pt>
                <c:pt idx="311">
                  <c:v>56.709233814999436</c:v>
                </c:pt>
                <c:pt idx="312">
                  <c:v>56.579081981228782</c:v>
                </c:pt>
                <c:pt idx="313">
                  <c:v>56.447853724703286</c:v>
                </c:pt>
                <c:pt idx="314">
                  <c:v>56.315678871860122</c:v>
                </c:pt>
                <c:pt idx="315">
                  <c:v>56.182688805489278</c:v>
                </c:pt>
                <c:pt idx="316">
                  <c:v>56.049014045383267</c:v>
                </c:pt>
                <c:pt idx="317">
                  <c:v>55.914782367857242</c:v>
                </c:pt>
                <c:pt idx="318">
                  <c:v>55.780117404527417</c:v>
                </c:pt>
                <c:pt idx="319">
                  <c:v>55.645137646705543</c:v>
                </c:pt>
                <c:pt idx="320">
                  <c:v>55.509955781112147</c:v>
                </c:pt>
                <c:pt idx="321">
                  <c:v>55.374678288830125</c:v>
                </c:pt>
                <c:pt idx="322">
                  <c:v>55.239405248542333</c:v>
                </c:pt>
                <c:pt idx="323">
                  <c:v>55.104230294856379</c:v>
                </c:pt>
                <c:pt idx="324">
                  <c:v>54.969240691730818</c:v>
                </c:pt>
                <c:pt idx="325">
                  <c:v>54.834517489143636</c:v>
                </c:pt>
                <c:pt idx="326">
                  <c:v>54.700135738020521</c:v>
                </c:pt>
                <c:pt idx="327">
                  <c:v>54.56616474409762</c:v>
                </c:pt>
                <c:pt idx="328">
                  <c:v>54.432668345954895</c:v>
                </c:pt>
                <c:pt idx="329">
                  <c:v>54.299705206078976</c:v>
                </c:pt>
                <c:pt idx="330">
                  <c:v>54.167329106658549</c:v>
                </c:pt>
                <c:pt idx="331">
                  <c:v>54.035589244026973</c:v>
                </c:pt>
                <c:pt idx="332">
                  <c:v>53.904530517372841</c:v>
                </c:pt>
                <c:pt idx="333">
                  <c:v>53.774193808645848</c:v>
                </c:pt>
                <c:pt idx="334">
                  <c:v>53.644616251579194</c:v>
                </c:pt>
                <c:pt idx="335">
                  <c:v>53.51583148850051</c:v>
                </c:pt>
                <c:pt idx="336">
                  <c:v>53.387869914165798</c:v>
                </c:pt>
                <c:pt idx="337">
                  <c:v>53.260758906268933</c:v>
                </c:pt>
                <c:pt idx="338">
                  <c:v>53.134523042586331</c:v>
                </c:pt>
                <c:pt idx="339">
                  <c:v>53.009184304938657</c:v>
                </c:pt>
                <c:pt idx="340">
                  <c:v>52.884762270309309</c:v>
                </c:pt>
                <c:pt idx="341">
                  <c:v>52.761274289568505</c:v>
                </c:pt>
                <c:pt idx="342">
                  <c:v>52.638735654323696</c:v>
                </c:pt>
                <c:pt idx="343">
                  <c:v>52.517159752461474</c:v>
                </c:pt>
                <c:pt idx="344">
                  <c:v>52.396558212969602</c:v>
                </c:pt>
                <c:pt idx="345">
                  <c:v>52.276941040636089</c:v>
                </c:pt>
                <c:pt idx="346">
                  <c:v>52.158316741219075</c:v>
                </c:pt>
                <c:pt idx="347">
                  <c:v>52.040692437670124</c:v>
                </c:pt>
                <c:pt idx="348">
                  <c:v>51.924073977976448</c:v>
                </c:pt>
                <c:pt idx="349">
                  <c:v>51.808466035166639</c:v>
                </c:pt>
                <c:pt idx="350">
                  <c:v>51.693872200000889</c:v>
                </c:pt>
                <c:pt idx="351">
                  <c:v>51.580295066841522</c:v>
                </c:pt>
                <c:pt idx="352">
                  <c:v>51.467736313173702</c:v>
                </c:pt>
                <c:pt idx="353">
                  <c:v>51.356196773219992</c:v>
                </c:pt>
                <c:pt idx="354">
                  <c:v>51.245676506066602</c:v>
                </c:pt>
                <c:pt idx="355">
                  <c:v>51.136174858693572</c:v>
                </c:pt>
                <c:pt idx="356">
                  <c:v>51.027690524276657</c:v>
                </c:pt>
                <c:pt idx="357">
                  <c:v>50.920221596104859</c:v>
                </c:pt>
                <c:pt idx="358">
                  <c:v>50.813765617434775</c:v>
                </c:pt>
                <c:pt idx="359">
                  <c:v>50.708319627581368</c:v>
                </c:pt>
                <c:pt idx="360">
                  <c:v>50.603880204524145</c:v>
                </c:pt>
                <c:pt idx="361">
                  <c:v>50.500443504288448</c:v>
                </c:pt>
                <c:pt idx="362">
                  <c:v>50.398005297343033</c:v>
                </c:pt>
                <c:pt idx="363">
                  <c:v>50.296561002238143</c:v>
                </c:pt>
                <c:pt idx="364">
                  <c:v>50.19610571669191</c:v>
                </c:pt>
                <c:pt idx="365">
                  <c:v>50.096634246318033</c:v>
                </c:pt>
                <c:pt idx="366">
                  <c:v>49.998141131173305</c:v>
                </c:pt>
                <c:pt idx="367">
                  <c:v>49.900620670290536</c:v>
                </c:pt>
                <c:pt idx="368">
                  <c:v>49.804066944350019</c:v>
                </c:pt>
                <c:pt idx="369">
                  <c:v>49.70847383663132</c:v>
                </c:pt>
                <c:pt idx="370">
                  <c:v>49.613835052376352</c:v>
                </c:pt>
                <c:pt idx="371">
                  <c:v>49.520144136685019</c:v>
                </c:pt>
                <c:pt idx="372">
                  <c:v>49.427394491055317</c:v>
                </c:pt>
                <c:pt idx="373">
                  <c:v>49.335579388671349</c:v>
                </c:pt>
                <c:pt idx="374">
                  <c:v>49.244691988534825</c:v>
                </c:pt>
                <c:pt idx="375">
                  <c:v>49.154725348528196</c:v>
                </c:pt>
                <c:pt idx="376">
                  <c:v>49.065672437490917</c:v>
                </c:pt>
                <c:pt idx="377">
                  <c:v>48.977526146383916</c:v>
                </c:pt>
                <c:pt idx="378">
                  <c:v>48.890279298611681</c:v>
                </c:pt>
                <c:pt idx="379">
                  <c:v>48.803924659565958</c:v>
                </c:pt>
                <c:pt idx="380">
                  <c:v>48.718454945450013</c:v>
                </c:pt>
                <c:pt idx="381">
                  <c:v>48.633862831438023</c:v>
                </c:pt>
                <c:pt idx="382">
                  <c:v>48.550140959219739</c:v>
                </c:pt>
                <c:pt idx="383">
                  <c:v>48.467281943976801</c:v>
                </c:pt>
                <c:pt idx="384">
                  <c:v>48.385278380833384</c:v>
                </c:pt>
                <c:pt idx="385">
                  <c:v>48.304122850820697</c:v>
                </c:pt>
                <c:pt idx="386">
                  <c:v>48.223807926391522</c:v>
                </c:pt>
                <c:pt idx="387">
                  <c:v>48.14432617651849</c:v>
                </c:pt>
                <c:pt idx="388">
                  <c:v>48.065670171406936</c:v>
                </c:pt>
                <c:pt idx="389">
                  <c:v>47.987832486850849</c:v>
                </c:pt>
                <c:pt idx="390">
                  <c:v>47.91080570825833</c:v>
                </c:pt>
                <c:pt idx="391">
                  <c:v>47.834582434370766</c:v>
                </c:pt>
                <c:pt idx="392">
                  <c:v>47.759155280698174</c:v>
                </c:pt>
                <c:pt idx="393">
                  <c:v>47.684516882691398</c:v>
                </c:pt>
                <c:pt idx="394">
                  <c:v>47.610659898670249</c:v>
                </c:pt>
                <c:pt idx="395">
                  <c:v>47.537577012525283</c:v>
                </c:pt>
                <c:pt idx="396">
                  <c:v>47.46526093620939</c:v>
                </c:pt>
                <c:pt idx="397">
                  <c:v>47.393704412034367</c:v>
                </c:pt>
                <c:pt idx="398">
                  <c:v>47.322900214786259</c:v>
                </c:pt>
                <c:pt idx="399">
                  <c:v>47.252841153672414</c:v>
                </c:pt>
                <c:pt idx="400">
                  <c:v>47.183520074112081</c:v>
                </c:pt>
                <c:pt idx="401">
                  <c:v>47.114929859381505</c:v>
                </c:pt>
                <c:pt idx="402">
                  <c:v>47.04706343212375</c:v>
                </c:pt>
                <c:pt idx="403">
                  <c:v>46.979913755732603</c:v>
                </c:pt>
                <c:pt idx="404">
                  <c:v>46.913473835619271</c:v>
                </c:pt>
                <c:pt idx="405">
                  <c:v>46.84773672036993</c:v>
                </c:pt>
                <c:pt idx="406">
                  <c:v>46.782695502801616</c:v>
                </c:pt>
                <c:pt idx="407">
                  <c:v>46.718343320923331</c:v>
                </c:pt>
                <c:pt idx="408">
                  <c:v>46.654673358808822</c:v>
                </c:pt>
                <c:pt idx="409">
                  <c:v>46.591678847386937</c:v>
                </c:pt>
                <c:pt idx="410">
                  <c:v>46.529353065155156</c:v>
                </c:pt>
                <c:pt idx="411">
                  <c:v>46.467689338821344</c:v>
                </c:pt>
                <c:pt idx="412">
                  <c:v>46.406681043878507</c:v>
                </c:pt>
                <c:pt idx="413">
                  <c:v>46.346321605116998</c:v>
                </c:pt>
                <c:pt idx="414">
                  <c:v>46.286604497078301</c:v>
                </c:pt>
                <c:pt idx="415">
                  <c:v>46.22752324445414</c:v>
                </c:pt>
                <c:pt idx="416">
                  <c:v>46.169071422434556</c:v>
                </c:pt>
                <c:pt idx="417">
                  <c:v>46.111242657008233</c:v>
                </c:pt>
                <c:pt idx="418">
                  <c:v>46.054030625218175</c:v>
                </c:pt>
                <c:pt idx="419">
                  <c:v>45.997429055375569</c:v>
                </c:pt>
                <c:pt idx="420">
                  <c:v>45.941431727234594</c:v>
                </c:pt>
                <c:pt idx="421">
                  <c:v>45.88603247213063</c:v>
                </c:pt>
                <c:pt idx="422">
                  <c:v>45.831225173084192</c:v>
                </c:pt>
                <c:pt idx="423">
                  <c:v>45.777003764872852</c:v>
                </c:pt>
                <c:pt idx="424">
                  <c:v>45.723362234073079</c:v>
                </c:pt>
                <c:pt idx="425">
                  <c:v>45.670294619074021</c:v>
                </c:pt>
                <c:pt idx="426">
                  <c:v>45.617795010064953</c:v>
                </c:pt>
                <c:pt idx="427">
                  <c:v>45.565857548998054</c:v>
                </c:pt>
                <c:pt idx="428">
                  <c:v>45.514476429528131</c:v>
                </c:pt>
                <c:pt idx="429">
                  <c:v>45.463645896930736</c:v>
                </c:pt>
                <c:pt idx="430">
                  <c:v>45.413360248000011</c:v>
                </c:pt>
                <c:pt idx="431">
                  <c:v>45.363613830927669</c:v>
                </c:pt>
                <c:pt idx="432">
                  <c:v>45.314401045164182</c:v>
                </c:pt>
                <c:pt idx="433">
                  <c:v>45.265716341263435</c:v>
                </c:pt>
                <c:pt idx="434">
                  <c:v>45.217554220711826</c:v>
                </c:pt>
                <c:pt idx="435">
                  <c:v>45.169909235742935</c:v>
                </c:pt>
                <c:pt idx="436">
                  <c:v>45.122775989138567</c:v>
                </c:pt>
                <c:pt idx="437">
                  <c:v>45.076149134017193</c:v>
                </c:pt>
                <c:pt idx="438">
                  <c:v>45.030023373610526</c:v>
                </c:pt>
                <c:pt idx="439">
                  <c:v>44.984393461029136</c:v>
                </c:pt>
                <c:pt idx="440">
                  <c:v>44.939254199017697</c:v>
                </c:pt>
                <c:pt idx="441">
                  <c:v>44.89460043970076</c:v>
                </c:pt>
                <c:pt idx="442">
                  <c:v>44.850427084319527</c:v>
                </c:pt>
                <c:pt idx="443">
                  <c:v>44.806729082960423</c:v>
                </c:pt>
                <c:pt idx="444">
                  <c:v>44.763501434275909</c:v>
                </c:pt>
                <c:pt idx="445">
                  <c:v>44.720739185198205</c:v>
                </c:pt>
                <c:pt idx="446">
                  <c:v>44.678437430646412</c:v>
                </c:pt>
                <c:pt idx="447">
                  <c:v>44.63659131322752</c:v>
                </c:pt>
                <c:pt idx="448">
                  <c:v>44.595196022931759</c:v>
                </c:pt>
                <c:pt idx="449">
                  <c:v>44.554246796822845</c:v>
                </c:pt>
                <c:pt idx="450">
                  <c:v>44.513738918723377</c:v>
                </c:pt>
                <c:pt idx="451">
                  <c:v>44.473667718895932</c:v>
                </c:pt>
                <c:pt idx="452">
                  <c:v>44.434028573720155</c:v>
                </c:pt>
                <c:pt idx="453">
                  <c:v>44.394816905366248</c:v>
                </c:pt>
                <c:pt idx="454">
                  <c:v>44.35602818146512</c:v>
                </c:pt>
                <c:pt idx="455">
                  <c:v>44.317657914775666</c:v>
                </c:pt>
                <c:pt idx="456">
                  <c:v>44.279701662849277</c:v>
                </c:pt>
                <c:pt idx="457">
                  <c:v>44.2421550276921</c:v>
                </c:pt>
                <c:pt idx="458">
                  <c:v>44.205013655425098</c:v>
                </c:pt>
                <c:pt idx="459">
                  <c:v>44.168273235942337</c:v>
                </c:pt>
                <c:pt idx="460">
                  <c:v>44.131929502567658</c:v>
                </c:pt>
                <c:pt idx="461">
                  <c:v>44.095978231710006</c:v>
                </c:pt>
                <c:pt idx="462">
                  <c:v>44.060415242517593</c:v>
                </c:pt>
                <c:pt idx="463">
                  <c:v>44.02523639653117</c:v>
                </c:pt>
                <c:pt idx="464">
                  <c:v>43.99043759733653</c:v>
                </c:pt>
                <c:pt idx="465">
                  <c:v>43.956014790216507</c:v>
                </c:pt>
                <c:pt idx="466">
                  <c:v>43.921963961802568</c:v>
                </c:pt>
                <c:pt idx="467">
                  <c:v>43.888281139726232</c:v>
                </c:pt>
                <c:pt idx="468">
                  <c:v>43.854962392270473</c:v>
                </c:pt>
                <c:pt idx="469">
                  <c:v>43.822003828021174</c:v>
                </c:pt>
                <c:pt idx="470">
                  <c:v>43.78940159551891</c:v>
                </c:pt>
                <c:pt idx="471">
                  <c:v>43.757151882911074</c:v>
                </c:pt>
                <c:pt idx="472">
                  <c:v>43.725250917604534</c:v>
                </c:pt>
                <c:pt idx="473">
                  <c:v>43.693694965918958</c:v>
                </c:pt>
                <c:pt idx="474">
                  <c:v>43.662480332740856</c:v>
                </c:pt>
                <c:pt idx="475">
                  <c:v>43.631603361178513</c:v>
                </c:pt>
                <c:pt idx="476">
                  <c:v>43.601060432217885</c:v>
                </c:pt>
                <c:pt idx="477">
                  <c:v>43.570847964379546</c:v>
                </c:pt>
                <c:pt idx="478">
                  <c:v>43.540962413376811</c:v>
                </c:pt>
                <c:pt idx="479">
                  <c:v>43.511400271775102</c:v>
                </c:pt>
                <c:pt idx="480">
                  <c:v>43.482158068652609</c:v>
                </c:pt>
                <c:pt idx="481">
                  <c:v>43.453232369262373</c:v>
                </c:pt>
                <c:pt idx="482">
                  <c:v>43.424619774695863</c:v>
                </c:pt>
                <c:pt idx="483">
                  <c:v>43.396316921548021</c:v>
                </c:pt>
                <c:pt idx="484">
                  <c:v>43.368320481584</c:v>
                </c:pt>
                <c:pt idx="485">
                  <c:v>43.340627161407511</c:v>
                </c:pt>
                <c:pt idx="486">
                  <c:v>43.313233702130887</c:v>
                </c:pt>
                <c:pt idx="487">
                  <c:v>43.286136879046971</c:v>
                </c:pt>
                <c:pt idx="488">
                  <c:v>43.259333501302763</c:v>
                </c:pt>
                <c:pt idx="489">
                  <c:v>43.23282041157497</c:v>
                </c:pt>
                <c:pt idx="490">
                  <c:v>43.206594485747466</c:v>
                </c:pt>
                <c:pt idx="491">
                  <c:v>43.1806526325907</c:v>
                </c:pt>
                <c:pt idx="492">
                  <c:v>43.154991793443095</c:v>
                </c:pt>
                <c:pt idx="493">
                  <c:v>43.12960894189446</c:v>
                </c:pt>
                <c:pt idx="494">
                  <c:v>43.104501083471469</c:v>
                </c:pt>
                <c:pt idx="495">
                  <c:v>43.079665255325239</c:v>
                </c:pt>
                <c:pt idx="496">
                  <c:v>43.055098525920968</c:v>
                </c:pt>
                <c:pt idx="497">
                  <c:v>43.030797994729788</c:v>
                </c:pt>
                <c:pt idx="498">
                  <c:v>43.006760791922709</c:v>
                </c:pt>
                <c:pt idx="499">
                  <c:v>42.982984078066799</c:v>
                </c:pt>
                <c:pt idx="500">
                  <c:v>42.959465043823521</c:v>
                </c:pt>
                <c:pt idx="501">
                  <c:v>42.936200909649308</c:v>
                </c:pt>
                <c:pt idx="502">
                  <c:v>42.913188925498396</c:v>
                </c:pt>
                <c:pt idx="503">
                  <c:v>42.890426370527855</c:v>
                </c:pt>
                <c:pt idx="504">
                  <c:v>42.867910552804922</c:v>
                </c:pt>
                <c:pt idx="505">
                  <c:v>42.845638809016577</c:v>
                </c:pt>
                <c:pt idx="506">
                  <c:v>42.823608504181422</c:v>
                </c:pt>
                <c:pt idx="507">
                  <c:v>42.801817031363825</c:v>
                </c:pt>
                <c:pt idx="508">
                  <c:v>42.780261811390368</c:v>
                </c:pt>
                <c:pt idx="509">
                  <c:v>42.758940292568624</c:v>
                </c:pt>
                <c:pt idx="510">
                  <c:v>42.737849950408169</c:v>
                </c:pt>
                <c:pt idx="511">
                  <c:v>42.716988287343973</c:v>
                </c:pt>
                <c:pt idx="512">
                  <c:v>42.696352832462054</c:v>
                </c:pt>
                <c:pt idx="513">
                  <c:v>42.675941141227462</c:v>
                </c:pt>
                <c:pt idx="514">
                  <c:v>42.655750795214551</c:v>
                </c:pt>
                <c:pt idx="515">
                  <c:v>42.635779401839599</c:v>
                </c:pt>
                <c:pt idx="516">
                  <c:v>42.616024594095684</c:v>
                </c:pt>
                <c:pt idx="517">
                  <c:v>42.596484030289908</c:v>
                </c:pt>
                <c:pt idx="518">
                  <c:v>42.577155393782881</c:v>
                </c:pt>
                <c:pt idx="519">
                  <c:v>42.55803639273055</c:v>
                </c:pt>
                <c:pt idx="520">
                  <c:v>42.539124759828255</c:v>
                </c:pt>
                <c:pt idx="521">
                  <c:v>42.520418252057134</c:v>
                </c:pt>
                <c:pt idx="522">
                  <c:v>42.501914650432745</c:v>
                </c:pt>
                <c:pt idx="523">
                  <c:v>42.48361175975603</c:v>
                </c:pt>
                <c:pt idx="524">
                  <c:v>42.465507408366456</c:v>
                </c:pt>
                <c:pt idx="525">
                  <c:v>42.447599447897488</c:v>
                </c:pt>
                <c:pt idx="526">
                  <c:v>42.429885753034277</c:v>
                </c:pt>
                <c:pt idx="527">
                  <c:v>42.412364221273563</c:v>
                </c:pt>
                <c:pt idx="528">
                  <c:v>42.395032772685852</c:v>
                </c:pt>
                <c:pt idx="529">
                  <c:v>42.377889349679783</c:v>
                </c:pt>
                <c:pt idx="530">
                  <c:v>42.360931916768699</c:v>
                </c:pt>
                <c:pt idx="531">
                  <c:v>42.344158460339415</c:v>
                </c:pt>
                <c:pt idx="532">
                  <c:v>42.3275669884232</c:v>
                </c:pt>
                <c:pt idx="533">
                  <c:v>42.311155530468888</c:v>
                </c:pt>
                <c:pt idx="534">
                  <c:v>42.294922137118185</c:v>
                </c:pt>
                <c:pt idx="535">
                  <c:v>42.278864879983097</c:v>
                </c:pt>
                <c:pt idx="536">
                  <c:v>42.262981851425515</c:v>
                </c:pt>
                <c:pt idx="537">
                  <c:v>42.247271164338926</c:v>
                </c:pt>
                <c:pt idx="538">
                  <c:v>42.231730951932214</c:v>
                </c:pt>
                <c:pt idx="539">
                  <c:v>42.216359367515572</c:v>
                </c:pt>
                <c:pt idx="540">
                  <c:v>42.201154584288517</c:v>
                </c:pt>
                <c:pt idx="541">
                  <c:v>42.18611479512991</c:v>
                </c:pt>
                <c:pt idx="542">
                  <c:v>42.171238212390115</c:v>
                </c:pt>
                <c:pt idx="543">
                  <c:v>42.156523067685143</c:v>
                </c:pt>
                <c:pt idx="544">
                  <c:v>42.141967611692841</c:v>
                </c:pt>
                <c:pt idx="545">
                  <c:v>42.127570113951116</c:v>
                </c:pt>
                <c:pt idx="546">
                  <c:v>42.113328862658122</c:v>
                </c:pt>
                <c:pt idx="547">
                  <c:v>42.099242164474433</c:v>
                </c:pt>
                <c:pt idx="548">
                  <c:v>42.085308344327231</c:v>
                </c:pt>
                <c:pt idx="549">
                  <c:v>42.071525745216391</c:v>
                </c:pt>
                <c:pt idx="550">
                  <c:v>42.057892728022559</c:v>
                </c:pt>
                <c:pt idx="551">
                  <c:v>42.04440767131711</c:v>
                </c:pt>
                <c:pt idx="552">
                  <c:v>42.031068971174044</c:v>
                </c:pt>
                <c:pt idx="553">
                  <c:v>42.017875040983768</c:v>
                </c:pt>
                <c:pt idx="554">
                  <c:v>42.004824311268756</c:v>
                </c:pt>
                <c:pt idx="555">
                  <c:v>41.991915229501075</c:v>
                </c:pt>
                <c:pt idx="556">
                  <c:v>41.979146259921784</c:v>
                </c:pt>
                <c:pt idx="557">
                  <c:v>41.966515883362121</c:v>
                </c:pt>
                <c:pt idx="558">
                  <c:v>41.954022597066533</c:v>
                </c:pt>
                <c:pt idx="559">
                  <c:v>41.941664914517546</c:v>
                </c:pt>
                <c:pt idx="560">
                  <c:v>41.929441365262335</c:v>
                </c:pt>
                <c:pt idx="561">
                  <c:v>41.917350494741179</c:v>
                </c:pt>
                <c:pt idx="562">
                  <c:v>41.905390864117578</c:v>
                </c:pt>
                <c:pt idx="563">
                  <c:v>41.893561050110165</c:v>
                </c:pt>
                <c:pt idx="564">
                  <c:v>41.881859644826328</c:v>
                </c:pt>
                <c:pt idx="565">
                  <c:v>41.870285255597572</c:v>
                </c:pt>
                <c:pt idx="566">
                  <c:v>41.858836504816516</c:v>
                </c:pt>
                <c:pt idx="567">
                  <c:v>41.847512029775658</c:v>
                </c:pt>
                <c:pt idx="568">
                  <c:v>41.836310482507734</c:v>
                </c:pt>
                <c:pt idx="569">
                  <c:v>41.825230529627767</c:v>
                </c:pt>
                <c:pt idx="570">
                  <c:v>41.814270852176747</c:v>
                </c:pt>
                <c:pt idx="571">
                  <c:v>41.803430145466926</c:v>
                </c:pt>
                <c:pt idx="572">
                  <c:v>41.792707118928732</c:v>
                </c:pt>
                <c:pt idx="573">
                  <c:v>41.78210049595927</c:v>
                </c:pt>
                <c:pt idx="574">
                  <c:v>41.771609013772391</c:v>
                </c:pt>
                <c:pt idx="575">
                  <c:v>41.761231423250358</c:v>
                </c:pt>
                <c:pt idx="576">
                  <c:v>41.750966488797019</c:v>
                </c:pt>
                <c:pt idx="577">
                  <c:v>41.740812988192545</c:v>
                </c:pt>
                <c:pt idx="578">
                  <c:v>41.730769712449657</c:v>
                </c:pt>
                <c:pt idx="579">
                  <c:v>41.720835465671414</c:v>
                </c:pt>
                <c:pt idx="580">
                  <c:v>41.711009064910421</c:v>
                </c:pt>
                <c:pt idx="581">
                  <c:v>41.701289340029575</c:v>
                </c:pt>
                <c:pt idx="582">
                  <c:v>41.691675133564239</c:v>
                </c:pt>
                <c:pt idx="583">
                  <c:v>41.682165300585872</c:v>
                </c:pt>
                <c:pt idx="584">
                  <c:v>41.672758708567102</c:v>
                </c:pt>
                <c:pt idx="585">
                  <c:v>41.663454237248217</c:v>
                </c:pt>
                <c:pt idx="586">
                  <c:v>41.654250778505059</c:v>
                </c:pt>
                <c:pt idx="587">
                  <c:v>41.645147236218307</c:v>
                </c:pt>
                <c:pt idx="588">
                  <c:v>41.636142526144162</c:v>
                </c:pt>
                <c:pt idx="589">
                  <c:v>41.627235575786372</c:v>
                </c:pt>
                <c:pt idx="590">
                  <c:v>41.618425324269623</c:v>
                </c:pt>
                <c:pt idx="591">
                  <c:v>41.609710722214274</c:v>
                </c:pt>
                <c:pt idx="592">
                  <c:v>41.601090731612395</c:v>
                </c:pt>
                <c:pt idx="593">
                  <c:v>41.592564325705155</c:v>
                </c:pt>
                <c:pt idx="594">
                  <c:v>41.58413048886149</c:v>
                </c:pt>
                <c:pt idx="595">
                  <c:v>41.575788216458044</c:v>
                </c:pt>
                <c:pt idx="596">
                  <c:v>41.567536514760413</c:v>
                </c:pt>
                <c:pt idx="597">
                  <c:v>41.559374400805631</c:v>
                </c:pt>
                <c:pt idx="598">
                  <c:v>41.551300902285917</c:v>
                </c:pt>
                <c:pt idx="599">
                  <c:v>41.543315057433631</c:v>
                </c:pt>
                <c:pt idx="600">
                  <c:v>41.535415914907517</c:v>
                </c:pt>
                <c:pt idx="601">
                  <c:v>41.527602533680074</c:v>
                </c:pt>
                <c:pt idx="602">
                  <c:v>41.519873982926185</c:v>
                </c:pt>
                <c:pt idx="603">
                  <c:v>41.512229341912928</c:v>
                </c:pt>
                <c:pt idx="604">
                  <c:v>41.504667699890533</c:v>
                </c:pt>
                <c:pt idx="605">
                  <c:v>41.497188155984524</c:v>
                </c:pt>
                <c:pt idx="606">
                  <c:v>41.489796365985804</c:v>
                </c:pt>
                <c:pt idx="607">
                  <c:v>41.48251194682954</c:v>
                </c:pt>
                <c:pt idx="608">
                  <c:v>41.475373167325813</c:v>
                </c:pt>
                <c:pt idx="609">
                  <c:v>41.468438216520568</c:v>
                </c:pt>
                <c:pt idx="610">
                  <c:v>41.461783768776549</c:v>
                </c:pt>
                <c:pt idx="611">
                  <c:v>41.455501919337387</c:v>
                </c:pt>
                <c:pt idx="612">
                  <c:v>41.449696421359405</c:v>
                </c:pt>
                <c:pt idx="613">
                  <c:v>41.444478870697935</c:v>
                </c:pt>
                <c:pt idx="614">
                  <c:v>41.439965218154249</c:v>
                </c:pt>
                <c:pt idx="615">
                  <c:v>41.43627279050758</c:v>
                </c:pt>
                <c:pt idx="616">
                  <c:v>41.433517872699525</c:v>
                </c:pt>
                <c:pt idx="617">
                  <c:v>41.431813828908481</c:v>
                </c:pt>
                <c:pt idx="618">
                  <c:v>41.431269702901943</c:v>
                </c:pt>
                <c:pt idx="619">
                  <c:v>41.431989224024157</c:v>
                </c:pt>
                <c:pt idx="620">
                  <c:v>41.434070144521755</c:v>
                </c:pt>
                <c:pt idx="621">
                  <c:v>41.437603840128695</c:v>
                </c:pt>
                <c:pt idx="622">
                  <c:v>41.442675114954007</c:v>
                </c:pt>
                <c:pt idx="623">
                  <c:v>41.449362161475371</c:v>
                </c:pt>
                <c:pt idx="624">
                  <c:v>41.457736635652537</c:v>
                </c:pt>
                <c:pt idx="625">
                  <c:v>41.467863815301321</c:v>
                </c:pt>
                <c:pt idx="626">
                  <c:v>41.479802816745391</c:v>
                </c:pt>
                <c:pt idx="627">
                  <c:v>41.493606850420498</c:v>
                </c:pt>
                <c:pt idx="628">
                  <c:v>41.50932350066693</c:v>
                </c:pt>
                <c:pt idx="629">
                  <c:v>41.526995018568975</c:v>
                </c:pt>
                <c:pt idx="630">
                  <c:v>41.546658619544246</c:v>
                </c:pt>
                <c:pt idx="631">
                  <c:v>41.568346779597292</c:v>
                </c:pt>
                <c:pt idx="632">
                  <c:v>41.592087525858069</c:v>
                </c:pt>
                <c:pt idx="633">
                  <c:v>41.61790471833244</c:v>
                </c:pt>
                <c:pt idx="634">
                  <c:v>41.645818320785686</c:v>
                </c:pt>
                <c:pt idx="635">
                  <c:v>41.675844659430837</c:v>
                </c:pt>
                <c:pt idx="636">
                  <c:v>41.707996668656094</c:v>
                </c:pt>
                <c:pt idx="637">
                  <c:v>41.74228412344371</c:v>
                </c:pt>
                <c:pt idx="638">
                  <c:v>41.778713858439694</c:v>
                </c:pt>
                <c:pt idx="639">
                  <c:v>41.817289973855999</c:v>
                </c:pt>
                <c:pt idx="640">
                  <c:v>41.858014028544773</c:v>
                </c:pt>
                <c:pt idx="641">
                  <c:v>41.900885220693176</c:v>
                </c:pt>
                <c:pt idx="642">
                  <c:v>41.945900556659389</c:v>
                </c:pt>
                <c:pt idx="643">
                  <c:v>41.993055008514659</c:v>
                </c:pt>
                <c:pt idx="644">
                  <c:v>42.042341660879906</c:v>
                </c:pt>
                <c:pt idx="645">
                  <c:v>42.093751847653465</c:v>
                </c:pt>
                <c:pt idx="646">
                  <c:v>42.147275279223599</c:v>
                </c:pt>
                <c:pt idx="647">
                  <c:v>42.202900160748101</c:v>
                </c:pt>
                <c:pt idx="648">
                  <c:v>42.260613302066325</c:v>
                </c:pt>
                <c:pt idx="649">
                  <c:v>42.32040021978797</c:v>
                </c:pt>
                <c:pt idx="650">
                  <c:v>42.382245232079356</c:v>
                </c:pt>
                <c:pt idx="651">
                  <c:v>42.446131546642825</c:v>
                </c:pt>
                <c:pt idx="652">
                  <c:v>42.51204134235887</c:v>
                </c:pt>
                <c:pt idx="653">
                  <c:v>42.579955845034434</c:v>
                </c:pt>
                <c:pt idx="654">
                  <c:v>42.649855397674983</c:v>
                </c:pt>
                <c:pt idx="655">
                  <c:v>42.721719525672391</c:v>
                </c:pt>
                <c:pt idx="656">
                  <c:v>42.795526997276127</c:v>
                </c:pt>
                <c:pt idx="657">
                  <c:v>42.871255879691482</c:v>
                </c:pt>
                <c:pt idx="658">
                  <c:v>42.948883591125728</c:v>
                </c:pt>
                <c:pt idx="659">
                  <c:v>43.0283869490816</c:v>
                </c:pt>
                <c:pt idx="660">
                  <c:v>43.109742215176922</c:v>
                </c:pt>
                <c:pt idx="661">
                  <c:v>43.192925136749615</c:v>
                </c:pt>
                <c:pt idx="662">
                  <c:v>43.277910985489299</c:v>
                </c:pt>
                <c:pt idx="663">
                  <c:v>43.364674593319215</c:v>
                </c:pt>
                <c:pt idx="664">
                  <c:v>43.453190385736214</c:v>
                </c:pt>
                <c:pt idx="665">
                  <c:v>43.543432412801437</c:v>
                </c:pt>
                <c:pt idx="666">
                  <c:v>43.635374377960005</c:v>
                </c:pt>
                <c:pt idx="667">
                  <c:v>43.728989664855042</c:v>
                </c:pt>
                <c:pt idx="668">
                  <c:v>43.824251362288969</c:v>
                </c:pt>
                <c:pt idx="669">
                  <c:v>43.921132287473462</c:v>
                </c:pt>
                <c:pt idx="670">
                  <c:v>44.019605007698964</c:v>
                </c:pt>
                <c:pt idx="671">
                  <c:v>44.119641860544618</c:v>
                </c:pt>
                <c:pt idx="672">
                  <c:v>44.221214972740377</c:v>
                </c:pt>
                <c:pt idx="673">
                  <c:v>44.324296277784413</c:v>
                </c:pt>
                <c:pt idx="674">
                  <c:v>44.428857532411165</c:v>
                </c:pt>
                <c:pt idx="675">
                  <c:v>44.534870331997972</c:v>
                </c:pt>
                <c:pt idx="676">
                  <c:v>44.642306124991386</c:v>
                </c:pt>
                <c:pt idx="677">
                  <c:v>44.751136226428173</c:v>
                </c:pt>
                <c:pt idx="678">
                  <c:v>44.861331830620024</c:v>
                </c:pt>
                <c:pt idx="679">
                  <c:v>44.972864023065718</c:v>
                </c:pt>
                <c:pt idx="680">
                  <c:v>45.085703791649486</c:v>
                </c:pt>
                <c:pt idx="681">
                  <c:v>45.199822037179842</c:v>
                </c:pt>
                <c:pt idx="682">
                  <c:v>45.315189583318791</c:v>
                </c:pt>
                <c:pt idx="683">
                  <c:v>45.431777185947453</c:v>
                </c:pt>
                <c:pt idx="684">
                  <c:v>45.54955554201068</c:v>
                </c:pt>
                <c:pt idx="685">
                  <c:v>45.668495297879694</c:v>
                </c:pt>
                <c:pt idx="686">
                  <c:v>45.788567057268942</c:v>
                </c:pt>
                <c:pt idx="687">
                  <c:v>45.90974138874035</c:v>
                </c:pt>
                <c:pt idx="688">
                  <c:v>46.031988832825689</c:v>
                </c:pt>
                <c:pt idx="689">
                  <c:v>46.155279908795336</c:v>
                </c:pt>
                <c:pt idx="690">
                  <c:v>46.27958512109943</c:v>
                </c:pt>
                <c:pt idx="691">
                  <c:v>46.404874965505513</c:v>
                </c:pt>
                <c:pt idx="692">
                  <c:v>46.531119934954795</c:v>
                </c:pt>
                <c:pt idx="693">
                  <c:v>46.658290525157412</c:v>
                </c:pt>
                <c:pt idx="694">
                  <c:v>46.78635723994558</c:v>
                </c:pt>
                <c:pt idx="695">
                  <c:v>46.915290596401995</c:v>
                </c:pt>
                <c:pt idx="696">
                  <c:v>47.045061129779484</c:v>
                </c:pt>
                <c:pt idx="697">
                  <c:v>47.175639398226679</c:v>
                </c:pt>
                <c:pt idx="698">
                  <c:v>47.30699598733338</c:v>
                </c:pt>
                <c:pt idx="699">
                  <c:v>47.439101514508174</c:v>
                </c:pt>
                <c:pt idx="700">
                  <c:v>47.571926633199915</c:v>
                </c:pt>
                <c:pt idx="701">
                  <c:v>47.705442036973764</c:v>
                </c:pt>
                <c:pt idx="702">
                  <c:v>47.839618463451735</c:v>
                </c:pt>
                <c:pt idx="703">
                  <c:v>47.974426698126805</c:v>
                </c:pt>
                <c:pt idx="704">
                  <c:v>48.109837578059114</c:v>
                </c:pt>
                <c:pt idx="705">
                  <c:v>48.245821995461974</c:v>
                </c:pt>
                <c:pt idx="706">
                  <c:v>48.382350901184907</c:v>
                </c:pt>
                <c:pt idx="707">
                  <c:v>48.519395308100407</c:v>
                </c:pt>
                <c:pt idx="708">
                  <c:v>48.656926294400499</c:v>
                </c:pt>
                <c:pt idx="709">
                  <c:v>48.794915006808836</c:v>
                </c:pt>
                <c:pt idx="710">
                  <c:v>48.933332663713564</c:v>
                </c:pt>
                <c:pt idx="711">
                  <c:v>49.07215055822585</c:v>
                </c:pt>
                <c:pt idx="712">
                  <c:v>49.211340061168507</c:v>
                </c:pt>
                <c:pt idx="713">
                  <c:v>49.350872623998931</c:v>
                </c:pt>
                <c:pt idx="714">
                  <c:v>49.490719781670158</c:v>
                </c:pt>
                <c:pt idx="715">
                  <c:v>49.630853155433662</c:v>
                </c:pt>
              </c:numCache>
            </c:numRef>
          </c:val>
        </c:ser>
        <c:ser>
          <c:idx val="7"/>
          <c:order val="7"/>
          <c:tx>
            <c:strRef>
              <c:f>Calculations!$A$31</c:f>
              <c:strCache>
                <c:ptCount val="1"/>
                <c:pt idx="0">
                  <c:v>7</c:v>
                </c:pt>
              </c:strCache>
            </c:strRef>
          </c:tx>
          <c:marker>
            <c:symbol val="none"/>
          </c:marker>
          <c:cat>
            <c:numRef>
              <c:f>Calculations!$B$21:$AAO$21</c:f>
              <c:numCache>
                <c:formatCode>0.00</c:formatCode>
                <c:ptCount val="716"/>
                <c:pt idx="0" formatCode="General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5.0000000000000036</c:v>
                </c:pt>
                <c:pt idx="126">
                  <c:v>5.0400000000000036</c:v>
                </c:pt>
                <c:pt idx="127">
                  <c:v>5.0800000000000036</c:v>
                </c:pt>
                <c:pt idx="128">
                  <c:v>5.1200000000000037</c:v>
                </c:pt>
                <c:pt idx="129">
                  <c:v>5.1600000000000037</c:v>
                </c:pt>
                <c:pt idx="130">
                  <c:v>5.2000000000000037</c:v>
                </c:pt>
                <c:pt idx="131">
                  <c:v>5.2400000000000038</c:v>
                </c:pt>
                <c:pt idx="132">
                  <c:v>5.2800000000000038</c:v>
                </c:pt>
                <c:pt idx="133">
                  <c:v>5.3200000000000038</c:v>
                </c:pt>
                <c:pt idx="134">
                  <c:v>5.3600000000000039</c:v>
                </c:pt>
                <c:pt idx="135">
                  <c:v>5.4000000000000039</c:v>
                </c:pt>
                <c:pt idx="136">
                  <c:v>5.4400000000000039</c:v>
                </c:pt>
                <c:pt idx="137">
                  <c:v>5.480000000000004</c:v>
                </c:pt>
                <c:pt idx="138">
                  <c:v>5.520000000000004</c:v>
                </c:pt>
                <c:pt idx="139">
                  <c:v>5.5600000000000041</c:v>
                </c:pt>
                <c:pt idx="140">
                  <c:v>5.6000000000000041</c:v>
                </c:pt>
                <c:pt idx="141">
                  <c:v>5.6400000000000041</c:v>
                </c:pt>
                <c:pt idx="142">
                  <c:v>5.6800000000000042</c:v>
                </c:pt>
                <c:pt idx="143">
                  <c:v>5.7200000000000042</c:v>
                </c:pt>
                <c:pt idx="144">
                  <c:v>5.7600000000000042</c:v>
                </c:pt>
                <c:pt idx="145">
                  <c:v>5.8000000000000043</c:v>
                </c:pt>
                <c:pt idx="146">
                  <c:v>5.8400000000000043</c:v>
                </c:pt>
                <c:pt idx="147">
                  <c:v>5.8800000000000043</c:v>
                </c:pt>
                <c:pt idx="148">
                  <c:v>5.9200000000000044</c:v>
                </c:pt>
                <c:pt idx="149">
                  <c:v>5.9600000000000044</c:v>
                </c:pt>
                <c:pt idx="150">
                  <c:v>6.0000000000000044</c:v>
                </c:pt>
                <c:pt idx="151">
                  <c:v>6.0400000000000045</c:v>
                </c:pt>
                <c:pt idx="152">
                  <c:v>6.0800000000000045</c:v>
                </c:pt>
                <c:pt idx="153">
                  <c:v>6.1200000000000045</c:v>
                </c:pt>
                <c:pt idx="154">
                  <c:v>6.1600000000000046</c:v>
                </c:pt>
                <c:pt idx="155">
                  <c:v>6.2000000000000046</c:v>
                </c:pt>
                <c:pt idx="156">
                  <c:v>6.2400000000000047</c:v>
                </c:pt>
                <c:pt idx="157">
                  <c:v>6.2800000000000047</c:v>
                </c:pt>
                <c:pt idx="158">
                  <c:v>6.3200000000000047</c:v>
                </c:pt>
                <c:pt idx="159">
                  <c:v>6.3600000000000048</c:v>
                </c:pt>
                <c:pt idx="160">
                  <c:v>6.4000000000000048</c:v>
                </c:pt>
                <c:pt idx="161">
                  <c:v>6.4400000000000048</c:v>
                </c:pt>
                <c:pt idx="162">
                  <c:v>6.4800000000000049</c:v>
                </c:pt>
                <c:pt idx="163">
                  <c:v>6.5200000000000049</c:v>
                </c:pt>
                <c:pt idx="164">
                  <c:v>6.5600000000000049</c:v>
                </c:pt>
                <c:pt idx="165">
                  <c:v>6.600000000000005</c:v>
                </c:pt>
                <c:pt idx="166">
                  <c:v>6.640000000000005</c:v>
                </c:pt>
                <c:pt idx="167">
                  <c:v>6.680000000000005</c:v>
                </c:pt>
                <c:pt idx="168">
                  <c:v>6.7200000000000051</c:v>
                </c:pt>
                <c:pt idx="169">
                  <c:v>6.7600000000000051</c:v>
                </c:pt>
                <c:pt idx="170">
                  <c:v>6.8000000000000052</c:v>
                </c:pt>
                <c:pt idx="171">
                  <c:v>6.8400000000000052</c:v>
                </c:pt>
                <c:pt idx="172">
                  <c:v>6.8800000000000052</c:v>
                </c:pt>
                <c:pt idx="173">
                  <c:v>6.9200000000000053</c:v>
                </c:pt>
                <c:pt idx="174">
                  <c:v>6.9600000000000053</c:v>
                </c:pt>
                <c:pt idx="175">
                  <c:v>7.0000000000000053</c:v>
                </c:pt>
                <c:pt idx="176">
                  <c:v>7.0400000000000054</c:v>
                </c:pt>
                <c:pt idx="177">
                  <c:v>7.0800000000000054</c:v>
                </c:pt>
                <c:pt idx="178">
                  <c:v>7.1200000000000054</c:v>
                </c:pt>
                <c:pt idx="179">
                  <c:v>7.1600000000000055</c:v>
                </c:pt>
                <c:pt idx="180">
                  <c:v>7.2000000000000055</c:v>
                </c:pt>
                <c:pt idx="181">
                  <c:v>7.2400000000000055</c:v>
                </c:pt>
                <c:pt idx="182">
                  <c:v>7.2800000000000056</c:v>
                </c:pt>
                <c:pt idx="183">
                  <c:v>7.3200000000000056</c:v>
                </c:pt>
                <c:pt idx="184">
                  <c:v>7.3600000000000056</c:v>
                </c:pt>
                <c:pt idx="185">
                  <c:v>7.4000000000000057</c:v>
                </c:pt>
                <c:pt idx="186">
                  <c:v>7.4400000000000057</c:v>
                </c:pt>
                <c:pt idx="187">
                  <c:v>7.4800000000000058</c:v>
                </c:pt>
                <c:pt idx="188">
                  <c:v>7.5200000000000058</c:v>
                </c:pt>
                <c:pt idx="189">
                  <c:v>7.5600000000000058</c:v>
                </c:pt>
                <c:pt idx="190">
                  <c:v>7.6000000000000059</c:v>
                </c:pt>
                <c:pt idx="191">
                  <c:v>7.6400000000000059</c:v>
                </c:pt>
                <c:pt idx="192">
                  <c:v>7.6800000000000059</c:v>
                </c:pt>
                <c:pt idx="193">
                  <c:v>7.720000000000006</c:v>
                </c:pt>
                <c:pt idx="194">
                  <c:v>7.760000000000006</c:v>
                </c:pt>
                <c:pt idx="195">
                  <c:v>7.800000000000006</c:v>
                </c:pt>
                <c:pt idx="196">
                  <c:v>7.8400000000000061</c:v>
                </c:pt>
                <c:pt idx="197">
                  <c:v>7.8800000000000061</c:v>
                </c:pt>
                <c:pt idx="198">
                  <c:v>7.9200000000000061</c:v>
                </c:pt>
                <c:pt idx="199">
                  <c:v>7.9600000000000062</c:v>
                </c:pt>
                <c:pt idx="200">
                  <c:v>8.0000000000000053</c:v>
                </c:pt>
                <c:pt idx="201">
                  <c:v>8.0400000000000045</c:v>
                </c:pt>
                <c:pt idx="202">
                  <c:v>8.0800000000000036</c:v>
                </c:pt>
                <c:pt idx="203">
                  <c:v>8.1200000000000028</c:v>
                </c:pt>
                <c:pt idx="204">
                  <c:v>8.1600000000000019</c:v>
                </c:pt>
                <c:pt idx="205">
                  <c:v>8.2000000000000011</c:v>
                </c:pt>
                <c:pt idx="206">
                  <c:v>8.24</c:v>
                </c:pt>
                <c:pt idx="207">
                  <c:v>8.2799999999999994</c:v>
                </c:pt>
                <c:pt idx="208">
                  <c:v>8.3199999999999985</c:v>
                </c:pt>
                <c:pt idx="209">
                  <c:v>8.3599999999999977</c:v>
                </c:pt>
                <c:pt idx="210">
                  <c:v>8.3999999999999968</c:v>
                </c:pt>
                <c:pt idx="211">
                  <c:v>8.4399999999999959</c:v>
                </c:pt>
                <c:pt idx="212">
                  <c:v>8.4799999999999951</c:v>
                </c:pt>
                <c:pt idx="213">
                  <c:v>8.5199999999999942</c:v>
                </c:pt>
                <c:pt idx="214">
                  <c:v>8.5599999999999934</c:v>
                </c:pt>
                <c:pt idx="215">
                  <c:v>8.5999999999999925</c:v>
                </c:pt>
                <c:pt idx="216">
                  <c:v>8.6399999999999917</c:v>
                </c:pt>
                <c:pt idx="217">
                  <c:v>8.6799999999999908</c:v>
                </c:pt>
                <c:pt idx="218">
                  <c:v>8.71999999999999</c:v>
                </c:pt>
                <c:pt idx="219">
                  <c:v>8.7599999999999891</c:v>
                </c:pt>
                <c:pt idx="220">
                  <c:v>8.7999999999999883</c:v>
                </c:pt>
                <c:pt idx="221">
                  <c:v>8.8399999999999874</c:v>
                </c:pt>
                <c:pt idx="222">
                  <c:v>8.8799999999999866</c:v>
                </c:pt>
                <c:pt idx="223">
                  <c:v>8.9199999999999857</c:v>
                </c:pt>
                <c:pt idx="224">
                  <c:v>8.9599999999999849</c:v>
                </c:pt>
                <c:pt idx="225">
                  <c:v>8.999999999999984</c:v>
                </c:pt>
                <c:pt idx="226">
                  <c:v>9.0399999999999832</c:v>
                </c:pt>
                <c:pt idx="227">
                  <c:v>9.0799999999999823</c:v>
                </c:pt>
                <c:pt idx="228">
                  <c:v>9.1199999999999815</c:v>
                </c:pt>
                <c:pt idx="229">
                  <c:v>9.1599999999999806</c:v>
                </c:pt>
                <c:pt idx="230">
                  <c:v>9.1999999999999797</c:v>
                </c:pt>
                <c:pt idx="231">
                  <c:v>9.2399999999999789</c:v>
                </c:pt>
                <c:pt idx="232">
                  <c:v>9.279999999999978</c:v>
                </c:pt>
                <c:pt idx="233">
                  <c:v>9.3199999999999772</c:v>
                </c:pt>
                <c:pt idx="234">
                  <c:v>9.3599999999999763</c:v>
                </c:pt>
                <c:pt idx="235">
                  <c:v>9.3999999999999755</c:v>
                </c:pt>
                <c:pt idx="236">
                  <c:v>9.4399999999999746</c:v>
                </c:pt>
                <c:pt idx="237">
                  <c:v>9.4799999999999738</c:v>
                </c:pt>
                <c:pt idx="238">
                  <c:v>9.5199999999999729</c:v>
                </c:pt>
                <c:pt idx="239">
                  <c:v>9.5599999999999721</c:v>
                </c:pt>
                <c:pt idx="240">
                  <c:v>9.5999999999999712</c:v>
                </c:pt>
                <c:pt idx="241">
                  <c:v>9.6399999999999704</c:v>
                </c:pt>
                <c:pt idx="242">
                  <c:v>9.6799999999999695</c:v>
                </c:pt>
                <c:pt idx="243">
                  <c:v>9.7199999999999687</c:v>
                </c:pt>
                <c:pt idx="244">
                  <c:v>9.7599999999999678</c:v>
                </c:pt>
                <c:pt idx="245">
                  <c:v>9.799999999999967</c:v>
                </c:pt>
                <c:pt idx="246">
                  <c:v>9.8399999999999661</c:v>
                </c:pt>
                <c:pt idx="247">
                  <c:v>9.8799999999999653</c:v>
                </c:pt>
                <c:pt idx="248">
                  <c:v>9.9199999999999644</c:v>
                </c:pt>
                <c:pt idx="249">
                  <c:v>9.9599999999999635</c:v>
                </c:pt>
                <c:pt idx="250">
                  <c:v>9.9999999999999627</c:v>
                </c:pt>
                <c:pt idx="251">
                  <c:v>10.039999999999962</c:v>
                </c:pt>
                <c:pt idx="252">
                  <c:v>10.079999999999961</c:v>
                </c:pt>
                <c:pt idx="253">
                  <c:v>10.11999999999996</c:v>
                </c:pt>
                <c:pt idx="254">
                  <c:v>10.159999999999959</c:v>
                </c:pt>
                <c:pt idx="255">
                  <c:v>10.199999999999958</c:v>
                </c:pt>
                <c:pt idx="256">
                  <c:v>10.239999999999958</c:v>
                </c:pt>
                <c:pt idx="257">
                  <c:v>10.279999999999957</c:v>
                </c:pt>
                <c:pt idx="258">
                  <c:v>10.319999999999956</c:v>
                </c:pt>
                <c:pt idx="259">
                  <c:v>10.359999999999955</c:v>
                </c:pt>
                <c:pt idx="260">
                  <c:v>10.399999999999954</c:v>
                </c:pt>
                <c:pt idx="261">
                  <c:v>10.439999999999953</c:v>
                </c:pt>
                <c:pt idx="262">
                  <c:v>10.479999999999952</c:v>
                </c:pt>
                <c:pt idx="263">
                  <c:v>10.519999999999952</c:v>
                </c:pt>
                <c:pt idx="264">
                  <c:v>10.559999999999951</c:v>
                </c:pt>
                <c:pt idx="265">
                  <c:v>10.59999999999995</c:v>
                </c:pt>
                <c:pt idx="266">
                  <c:v>10.639999999999949</c:v>
                </c:pt>
                <c:pt idx="267">
                  <c:v>10.679999999999948</c:v>
                </c:pt>
                <c:pt idx="268">
                  <c:v>10.719999999999947</c:v>
                </c:pt>
                <c:pt idx="269">
                  <c:v>10.759999999999946</c:v>
                </c:pt>
                <c:pt idx="270">
                  <c:v>10.799999999999946</c:v>
                </c:pt>
                <c:pt idx="271">
                  <c:v>10.839999999999945</c:v>
                </c:pt>
                <c:pt idx="272">
                  <c:v>10.879999999999944</c:v>
                </c:pt>
                <c:pt idx="273">
                  <c:v>10.919999999999943</c:v>
                </c:pt>
                <c:pt idx="274">
                  <c:v>10.959999999999942</c:v>
                </c:pt>
                <c:pt idx="275">
                  <c:v>10.999999999999941</c:v>
                </c:pt>
                <c:pt idx="276">
                  <c:v>11.039999999999941</c:v>
                </c:pt>
                <c:pt idx="277">
                  <c:v>11.07999999999994</c:v>
                </c:pt>
                <c:pt idx="278">
                  <c:v>11.119999999999939</c:v>
                </c:pt>
                <c:pt idx="279">
                  <c:v>11.159999999999938</c:v>
                </c:pt>
                <c:pt idx="280">
                  <c:v>11.199999999999937</c:v>
                </c:pt>
                <c:pt idx="281">
                  <c:v>11.239999999999936</c:v>
                </c:pt>
                <c:pt idx="282">
                  <c:v>11.279999999999935</c:v>
                </c:pt>
                <c:pt idx="283">
                  <c:v>11.319999999999935</c:v>
                </c:pt>
                <c:pt idx="284">
                  <c:v>11.359999999999934</c:v>
                </c:pt>
                <c:pt idx="285">
                  <c:v>11.399999999999933</c:v>
                </c:pt>
                <c:pt idx="286">
                  <c:v>11.439999999999932</c:v>
                </c:pt>
                <c:pt idx="287">
                  <c:v>11.479999999999931</c:v>
                </c:pt>
                <c:pt idx="288">
                  <c:v>11.51999999999993</c:v>
                </c:pt>
                <c:pt idx="289">
                  <c:v>11.559999999999929</c:v>
                </c:pt>
                <c:pt idx="290">
                  <c:v>11.599999999999929</c:v>
                </c:pt>
                <c:pt idx="291">
                  <c:v>11.639999999999928</c:v>
                </c:pt>
                <c:pt idx="292">
                  <c:v>11.679999999999927</c:v>
                </c:pt>
                <c:pt idx="293">
                  <c:v>11.719999999999926</c:v>
                </c:pt>
                <c:pt idx="294">
                  <c:v>11.759999999999925</c:v>
                </c:pt>
                <c:pt idx="295">
                  <c:v>11.799999999999924</c:v>
                </c:pt>
                <c:pt idx="296">
                  <c:v>11.839999999999923</c:v>
                </c:pt>
                <c:pt idx="297">
                  <c:v>11.879999999999923</c:v>
                </c:pt>
                <c:pt idx="298">
                  <c:v>11.919999999999922</c:v>
                </c:pt>
                <c:pt idx="299">
                  <c:v>11.959999999999921</c:v>
                </c:pt>
                <c:pt idx="300">
                  <c:v>11.99999999999992</c:v>
                </c:pt>
                <c:pt idx="301">
                  <c:v>12.039999999999919</c:v>
                </c:pt>
                <c:pt idx="302">
                  <c:v>12.079999999999918</c:v>
                </c:pt>
                <c:pt idx="303">
                  <c:v>12.119999999999918</c:v>
                </c:pt>
                <c:pt idx="304">
                  <c:v>12.159999999999917</c:v>
                </c:pt>
                <c:pt idx="305">
                  <c:v>12.199999999999916</c:v>
                </c:pt>
                <c:pt idx="306">
                  <c:v>12.239999999999915</c:v>
                </c:pt>
                <c:pt idx="307">
                  <c:v>12.279999999999914</c:v>
                </c:pt>
                <c:pt idx="308">
                  <c:v>12.319999999999913</c:v>
                </c:pt>
                <c:pt idx="309">
                  <c:v>12.359999999999912</c:v>
                </c:pt>
                <c:pt idx="310">
                  <c:v>12.399999999999912</c:v>
                </c:pt>
                <c:pt idx="311">
                  <c:v>12.439999999999911</c:v>
                </c:pt>
                <c:pt idx="312">
                  <c:v>12.47999999999991</c:v>
                </c:pt>
                <c:pt idx="313">
                  <c:v>12.519999999999909</c:v>
                </c:pt>
                <c:pt idx="314">
                  <c:v>12.559999999999908</c:v>
                </c:pt>
                <c:pt idx="315">
                  <c:v>12.599999999999907</c:v>
                </c:pt>
                <c:pt idx="316">
                  <c:v>12.639999999999906</c:v>
                </c:pt>
                <c:pt idx="317">
                  <c:v>12.679999999999906</c:v>
                </c:pt>
                <c:pt idx="318">
                  <c:v>12.719999999999905</c:v>
                </c:pt>
                <c:pt idx="319">
                  <c:v>12.759999999999904</c:v>
                </c:pt>
                <c:pt idx="320">
                  <c:v>12.799999999999903</c:v>
                </c:pt>
                <c:pt idx="321">
                  <c:v>12.839999999999902</c:v>
                </c:pt>
                <c:pt idx="322">
                  <c:v>12.879999999999901</c:v>
                </c:pt>
                <c:pt idx="323">
                  <c:v>12.9199999999999</c:v>
                </c:pt>
                <c:pt idx="324">
                  <c:v>12.9599999999999</c:v>
                </c:pt>
                <c:pt idx="325">
                  <c:v>12.999999999999899</c:v>
                </c:pt>
                <c:pt idx="326">
                  <c:v>13.039999999999898</c:v>
                </c:pt>
                <c:pt idx="327">
                  <c:v>13.079999999999897</c:v>
                </c:pt>
                <c:pt idx="328">
                  <c:v>13.119999999999896</c:v>
                </c:pt>
                <c:pt idx="329">
                  <c:v>13.159999999999895</c:v>
                </c:pt>
                <c:pt idx="330">
                  <c:v>13.199999999999894</c:v>
                </c:pt>
                <c:pt idx="331">
                  <c:v>13.239999999999894</c:v>
                </c:pt>
                <c:pt idx="332">
                  <c:v>13.279999999999893</c:v>
                </c:pt>
                <c:pt idx="333">
                  <c:v>13.319999999999892</c:v>
                </c:pt>
                <c:pt idx="334">
                  <c:v>13.359999999999891</c:v>
                </c:pt>
                <c:pt idx="335">
                  <c:v>13.39999999999989</c:v>
                </c:pt>
                <c:pt idx="336">
                  <c:v>13.439999999999889</c:v>
                </c:pt>
                <c:pt idx="337">
                  <c:v>13.479999999999889</c:v>
                </c:pt>
                <c:pt idx="338">
                  <c:v>13.519999999999888</c:v>
                </c:pt>
                <c:pt idx="339">
                  <c:v>13.559999999999887</c:v>
                </c:pt>
                <c:pt idx="340">
                  <c:v>13.599999999999886</c:v>
                </c:pt>
                <c:pt idx="341">
                  <c:v>13.639999999999885</c:v>
                </c:pt>
                <c:pt idx="342">
                  <c:v>13.679999999999884</c:v>
                </c:pt>
                <c:pt idx="343">
                  <c:v>13.719999999999883</c:v>
                </c:pt>
                <c:pt idx="344">
                  <c:v>13.759999999999883</c:v>
                </c:pt>
                <c:pt idx="345">
                  <c:v>13.799999999999882</c:v>
                </c:pt>
                <c:pt idx="346">
                  <c:v>13.839999999999881</c:v>
                </c:pt>
                <c:pt idx="347">
                  <c:v>13.87999999999988</c:v>
                </c:pt>
                <c:pt idx="348">
                  <c:v>13.919999999999879</c:v>
                </c:pt>
                <c:pt idx="349">
                  <c:v>13.959999999999878</c:v>
                </c:pt>
                <c:pt idx="350">
                  <c:v>13.999999999999877</c:v>
                </c:pt>
                <c:pt idx="351">
                  <c:v>14.039999999999877</c:v>
                </c:pt>
                <c:pt idx="352">
                  <c:v>14.079999999999876</c:v>
                </c:pt>
                <c:pt idx="353">
                  <c:v>14.119999999999875</c:v>
                </c:pt>
                <c:pt idx="354">
                  <c:v>14.159999999999874</c:v>
                </c:pt>
                <c:pt idx="355">
                  <c:v>14.199999999999873</c:v>
                </c:pt>
                <c:pt idx="356">
                  <c:v>14.239999999999872</c:v>
                </c:pt>
                <c:pt idx="357">
                  <c:v>14.279999999999871</c:v>
                </c:pt>
                <c:pt idx="358">
                  <c:v>14.319999999999871</c:v>
                </c:pt>
                <c:pt idx="359">
                  <c:v>14.35999999999987</c:v>
                </c:pt>
                <c:pt idx="360">
                  <c:v>14.399999999999869</c:v>
                </c:pt>
                <c:pt idx="361">
                  <c:v>14.439999999999868</c:v>
                </c:pt>
                <c:pt idx="362">
                  <c:v>14.479999999999867</c:v>
                </c:pt>
                <c:pt idx="363">
                  <c:v>14.519999999999866</c:v>
                </c:pt>
                <c:pt idx="364">
                  <c:v>14.559999999999865</c:v>
                </c:pt>
                <c:pt idx="365">
                  <c:v>14.599999999999865</c:v>
                </c:pt>
                <c:pt idx="366">
                  <c:v>14.639999999999864</c:v>
                </c:pt>
                <c:pt idx="367">
                  <c:v>14.679999999999863</c:v>
                </c:pt>
                <c:pt idx="368">
                  <c:v>14.719999999999862</c:v>
                </c:pt>
                <c:pt idx="369">
                  <c:v>14.759999999999861</c:v>
                </c:pt>
                <c:pt idx="370">
                  <c:v>14.79999999999986</c:v>
                </c:pt>
                <c:pt idx="371">
                  <c:v>14.83999999999986</c:v>
                </c:pt>
                <c:pt idx="372">
                  <c:v>14.879999999999859</c:v>
                </c:pt>
                <c:pt idx="373">
                  <c:v>14.919999999999858</c:v>
                </c:pt>
                <c:pt idx="374">
                  <c:v>14.959999999999857</c:v>
                </c:pt>
                <c:pt idx="375">
                  <c:v>14.999999999999856</c:v>
                </c:pt>
                <c:pt idx="376">
                  <c:v>15.039999999999855</c:v>
                </c:pt>
                <c:pt idx="377">
                  <c:v>15.079999999999854</c:v>
                </c:pt>
                <c:pt idx="378">
                  <c:v>15.119999999999854</c:v>
                </c:pt>
                <c:pt idx="379">
                  <c:v>15.159999999999853</c:v>
                </c:pt>
                <c:pt idx="380">
                  <c:v>15.199999999999852</c:v>
                </c:pt>
                <c:pt idx="381">
                  <c:v>15.239999999999851</c:v>
                </c:pt>
                <c:pt idx="382">
                  <c:v>15.27999999999985</c:v>
                </c:pt>
                <c:pt idx="383">
                  <c:v>15.319999999999849</c:v>
                </c:pt>
                <c:pt idx="384">
                  <c:v>15.359999999999848</c:v>
                </c:pt>
                <c:pt idx="385">
                  <c:v>15.399999999999848</c:v>
                </c:pt>
                <c:pt idx="386">
                  <c:v>15.439999999999847</c:v>
                </c:pt>
                <c:pt idx="387">
                  <c:v>15.479999999999846</c:v>
                </c:pt>
                <c:pt idx="388">
                  <c:v>15.519999999999845</c:v>
                </c:pt>
                <c:pt idx="389">
                  <c:v>15.559999999999844</c:v>
                </c:pt>
                <c:pt idx="390">
                  <c:v>15.599999999999843</c:v>
                </c:pt>
                <c:pt idx="391">
                  <c:v>15.639999999999842</c:v>
                </c:pt>
                <c:pt idx="392">
                  <c:v>15.679999999999842</c:v>
                </c:pt>
                <c:pt idx="393">
                  <c:v>15.719999999999841</c:v>
                </c:pt>
                <c:pt idx="394">
                  <c:v>15.75999999999984</c:v>
                </c:pt>
                <c:pt idx="395">
                  <c:v>15.799999999999839</c:v>
                </c:pt>
                <c:pt idx="396">
                  <c:v>15.839999999999838</c:v>
                </c:pt>
                <c:pt idx="397">
                  <c:v>15.879999999999837</c:v>
                </c:pt>
                <c:pt idx="398">
                  <c:v>15.919999999999837</c:v>
                </c:pt>
                <c:pt idx="399">
                  <c:v>15.959999999999836</c:v>
                </c:pt>
                <c:pt idx="400">
                  <c:v>15.999999999999835</c:v>
                </c:pt>
                <c:pt idx="401">
                  <c:v>16.039999999999836</c:v>
                </c:pt>
                <c:pt idx="402">
                  <c:v>16.079999999999835</c:v>
                </c:pt>
                <c:pt idx="403">
                  <c:v>16.119999999999834</c:v>
                </c:pt>
                <c:pt idx="404">
                  <c:v>16.159999999999833</c:v>
                </c:pt>
                <c:pt idx="405">
                  <c:v>16.199999999999832</c:v>
                </c:pt>
                <c:pt idx="406">
                  <c:v>16.239999999999831</c:v>
                </c:pt>
                <c:pt idx="407">
                  <c:v>16.279999999999831</c:v>
                </c:pt>
                <c:pt idx="408">
                  <c:v>16.31999999999983</c:v>
                </c:pt>
                <c:pt idx="409">
                  <c:v>16.359999999999829</c:v>
                </c:pt>
                <c:pt idx="410">
                  <c:v>16.399999999999828</c:v>
                </c:pt>
                <c:pt idx="411">
                  <c:v>16.439999999999827</c:v>
                </c:pt>
                <c:pt idx="412">
                  <c:v>16.479999999999826</c:v>
                </c:pt>
                <c:pt idx="413">
                  <c:v>16.519999999999825</c:v>
                </c:pt>
                <c:pt idx="414">
                  <c:v>16.559999999999825</c:v>
                </c:pt>
                <c:pt idx="415">
                  <c:v>16.599999999999824</c:v>
                </c:pt>
                <c:pt idx="416">
                  <c:v>16.639999999999823</c:v>
                </c:pt>
                <c:pt idx="417">
                  <c:v>16.679999999999822</c:v>
                </c:pt>
                <c:pt idx="418">
                  <c:v>16.719999999999821</c:v>
                </c:pt>
                <c:pt idx="419">
                  <c:v>16.75999999999982</c:v>
                </c:pt>
                <c:pt idx="420">
                  <c:v>16.79999999999982</c:v>
                </c:pt>
                <c:pt idx="421">
                  <c:v>16.839999999999819</c:v>
                </c:pt>
                <c:pt idx="422">
                  <c:v>16.879999999999818</c:v>
                </c:pt>
                <c:pt idx="423">
                  <c:v>16.919999999999817</c:v>
                </c:pt>
                <c:pt idx="424">
                  <c:v>16.959999999999816</c:v>
                </c:pt>
                <c:pt idx="425">
                  <c:v>16.999999999999815</c:v>
                </c:pt>
                <c:pt idx="426">
                  <c:v>17.039999999999814</c:v>
                </c:pt>
                <c:pt idx="427">
                  <c:v>17.079999999999814</c:v>
                </c:pt>
                <c:pt idx="428">
                  <c:v>17.119999999999813</c:v>
                </c:pt>
                <c:pt idx="429">
                  <c:v>17.159999999999812</c:v>
                </c:pt>
                <c:pt idx="430">
                  <c:v>17.199999999999811</c:v>
                </c:pt>
                <c:pt idx="431">
                  <c:v>17.23999999999981</c:v>
                </c:pt>
                <c:pt idx="432">
                  <c:v>17.279999999999809</c:v>
                </c:pt>
                <c:pt idx="433">
                  <c:v>17.319999999999808</c:v>
                </c:pt>
                <c:pt idx="434">
                  <c:v>17.359999999999808</c:v>
                </c:pt>
                <c:pt idx="435">
                  <c:v>17.399999999999807</c:v>
                </c:pt>
                <c:pt idx="436">
                  <c:v>17.439999999999806</c:v>
                </c:pt>
                <c:pt idx="437">
                  <c:v>17.479999999999805</c:v>
                </c:pt>
                <c:pt idx="438">
                  <c:v>17.519999999999804</c:v>
                </c:pt>
                <c:pt idx="439">
                  <c:v>17.559999999999803</c:v>
                </c:pt>
                <c:pt idx="440">
                  <c:v>17.599999999999802</c:v>
                </c:pt>
                <c:pt idx="441">
                  <c:v>17.639999999999802</c:v>
                </c:pt>
                <c:pt idx="442">
                  <c:v>17.679999999999801</c:v>
                </c:pt>
                <c:pt idx="443">
                  <c:v>17.7199999999998</c:v>
                </c:pt>
                <c:pt idx="444">
                  <c:v>17.759999999999799</c:v>
                </c:pt>
                <c:pt idx="445">
                  <c:v>17.799999999999798</c:v>
                </c:pt>
                <c:pt idx="446">
                  <c:v>17.839999999999797</c:v>
                </c:pt>
                <c:pt idx="447">
                  <c:v>17.879999999999797</c:v>
                </c:pt>
                <c:pt idx="448">
                  <c:v>17.919999999999796</c:v>
                </c:pt>
                <c:pt idx="449">
                  <c:v>17.959999999999795</c:v>
                </c:pt>
                <c:pt idx="450">
                  <c:v>17.999999999999794</c:v>
                </c:pt>
                <c:pt idx="451">
                  <c:v>18.039999999999793</c:v>
                </c:pt>
                <c:pt idx="452">
                  <c:v>18.079999999999792</c:v>
                </c:pt>
                <c:pt idx="453">
                  <c:v>18.119999999999791</c:v>
                </c:pt>
                <c:pt idx="454">
                  <c:v>18.159999999999791</c:v>
                </c:pt>
                <c:pt idx="455">
                  <c:v>18.19999999999979</c:v>
                </c:pt>
                <c:pt idx="456">
                  <c:v>18.239999999999789</c:v>
                </c:pt>
                <c:pt idx="457">
                  <c:v>18.279999999999788</c:v>
                </c:pt>
                <c:pt idx="458">
                  <c:v>18.319999999999787</c:v>
                </c:pt>
                <c:pt idx="459">
                  <c:v>18.359999999999786</c:v>
                </c:pt>
                <c:pt idx="460">
                  <c:v>18.399999999999785</c:v>
                </c:pt>
                <c:pt idx="461">
                  <c:v>18.439999999999785</c:v>
                </c:pt>
                <c:pt idx="462">
                  <c:v>18.479999999999784</c:v>
                </c:pt>
                <c:pt idx="463">
                  <c:v>18.519999999999783</c:v>
                </c:pt>
                <c:pt idx="464">
                  <c:v>18.559999999999782</c:v>
                </c:pt>
                <c:pt idx="465">
                  <c:v>18.599999999999781</c:v>
                </c:pt>
                <c:pt idx="466">
                  <c:v>18.63999999999978</c:v>
                </c:pt>
                <c:pt idx="467">
                  <c:v>18.679999999999779</c:v>
                </c:pt>
                <c:pt idx="468">
                  <c:v>18.719999999999779</c:v>
                </c:pt>
                <c:pt idx="469">
                  <c:v>18.759999999999778</c:v>
                </c:pt>
                <c:pt idx="470">
                  <c:v>18.799999999999777</c:v>
                </c:pt>
                <c:pt idx="471">
                  <c:v>18.839999999999776</c:v>
                </c:pt>
                <c:pt idx="472">
                  <c:v>18.879999999999775</c:v>
                </c:pt>
                <c:pt idx="473">
                  <c:v>18.919999999999774</c:v>
                </c:pt>
                <c:pt idx="474">
                  <c:v>18.959999999999773</c:v>
                </c:pt>
                <c:pt idx="475">
                  <c:v>18.999999999999773</c:v>
                </c:pt>
                <c:pt idx="476">
                  <c:v>19.039999999999772</c:v>
                </c:pt>
                <c:pt idx="477">
                  <c:v>19.079999999999771</c:v>
                </c:pt>
                <c:pt idx="478">
                  <c:v>19.11999999999977</c:v>
                </c:pt>
                <c:pt idx="479">
                  <c:v>19.159999999999769</c:v>
                </c:pt>
                <c:pt idx="480">
                  <c:v>19.199999999999768</c:v>
                </c:pt>
                <c:pt idx="481">
                  <c:v>19.239999999999768</c:v>
                </c:pt>
                <c:pt idx="482">
                  <c:v>19.279999999999767</c:v>
                </c:pt>
                <c:pt idx="483">
                  <c:v>19.319999999999766</c:v>
                </c:pt>
                <c:pt idx="484">
                  <c:v>19.359999999999765</c:v>
                </c:pt>
                <c:pt idx="485">
                  <c:v>19.399999999999764</c:v>
                </c:pt>
                <c:pt idx="486">
                  <c:v>19.439999999999763</c:v>
                </c:pt>
                <c:pt idx="487">
                  <c:v>19.479999999999762</c:v>
                </c:pt>
                <c:pt idx="488">
                  <c:v>19.519999999999762</c:v>
                </c:pt>
                <c:pt idx="489">
                  <c:v>19.559999999999761</c:v>
                </c:pt>
                <c:pt idx="490">
                  <c:v>19.59999999999976</c:v>
                </c:pt>
                <c:pt idx="491">
                  <c:v>19.639999999999759</c:v>
                </c:pt>
                <c:pt idx="492">
                  <c:v>19.679999999999758</c:v>
                </c:pt>
                <c:pt idx="493">
                  <c:v>19.719999999999757</c:v>
                </c:pt>
                <c:pt idx="494">
                  <c:v>19.759999999999756</c:v>
                </c:pt>
                <c:pt idx="495">
                  <c:v>19.799999999999756</c:v>
                </c:pt>
                <c:pt idx="496">
                  <c:v>19.839999999999755</c:v>
                </c:pt>
                <c:pt idx="497">
                  <c:v>19.879999999999754</c:v>
                </c:pt>
                <c:pt idx="498">
                  <c:v>19.919999999999753</c:v>
                </c:pt>
                <c:pt idx="499">
                  <c:v>19.959999999999752</c:v>
                </c:pt>
                <c:pt idx="500">
                  <c:v>19.999999999999751</c:v>
                </c:pt>
                <c:pt idx="501">
                  <c:v>20.03999999999975</c:v>
                </c:pt>
                <c:pt idx="502">
                  <c:v>20.07999999999975</c:v>
                </c:pt>
                <c:pt idx="503">
                  <c:v>20.119999999999749</c:v>
                </c:pt>
                <c:pt idx="504">
                  <c:v>20.159999999999748</c:v>
                </c:pt>
                <c:pt idx="505">
                  <c:v>20.199999999999747</c:v>
                </c:pt>
                <c:pt idx="506">
                  <c:v>20.239999999999746</c:v>
                </c:pt>
                <c:pt idx="507">
                  <c:v>20.279999999999745</c:v>
                </c:pt>
                <c:pt idx="508">
                  <c:v>20.319999999999744</c:v>
                </c:pt>
                <c:pt idx="509">
                  <c:v>20.359999999999744</c:v>
                </c:pt>
                <c:pt idx="510">
                  <c:v>20.399999999999743</c:v>
                </c:pt>
                <c:pt idx="511">
                  <c:v>20.439999999999742</c:v>
                </c:pt>
                <c:pt idx="512">
                  <c:v>20.479999999999741</c:v>
                </c:pt>
                <c:pt idx="513">
                  <c:v>20.51999999999974</c:v>
                </c:pt>
                <c:pt idx="514">
                  <c:v>20.559999999999739</c:v>
                </c:pt>
                <c:pt idx="515">
                  <c:v>20.599999999999739</c:v>
                </c:pt>
                <c:pt idx="516">
                  <c:v>20.639999999999738</c:v>
                </c:pt>
                <c:pt idx="517">
                  <c:v>20.679999999999737</c:v>
                </c:pt>
                <c:pt idx="518">
                  <c:v>20.719999999999736</c:v>
                </c:pt>
                <c:pt idx="519">
                  <c:v>20.759999999999735</c:v>
                </c:pt>
                <c:pt idx="520">
                  <c:v>20.799999999999734</c:v>
                </c:pt>
                <c:pt idx="521">
                  <c:v>20.839999999999733</c:v>
                </c:pt>
                <c:pt idx="522">
                  <c:v>20.879999999999733</c:v>
                </c:pt>
                <c:pt idx="523">
                  <c:v>20.919999999999732</c:v>
                </c:pt>
                <c:pt idx="524">
                  <c:v>20.959999999999731</c:v>
                </c:pt>
                <c:pt idx="525">
                  <c:v>20.99999999999973</c:v>
                </c:pt>
                <c:pt idx="526">
                  <c:v>21.039999999999729</c:v>
                </c:pt>
                <c:pt idx="527">
                  <c:v>21.079999999999728</c:v>
                </c:pt>
                <c:pt idx="528">
                  <c:v>21.119999999999727</c:v>
                </c:pt>
                <c:pt idx="529">
                  <c:v>21.159999999999727</c:v>
                </c:pt>
                <c:pt idx="530">
                  <c:v>21.199999999999726</c:v>
                </c:pt>
                <c:pt idx="531">
                  <c:v>21.239999999999725</c:v>
                </c:pt>
                <c:pt idx="532">
                  <c:v>21.279999999999724</c:v>
                </c:pt>
                <c:pt idx="533">
                  <c:v>21.319999999999723</c:v>
                </c:pt>
                <c:pt idx="534">
                  <c:v>21.359999999999722</c:v>
                </c:pt>
                <c:pt idx="535">
                  <c:v>21.399999999999721</c:v>
                </c:pt>
                <c:pt idx="536">
                  <c:v>21.439999999999721</c:v>
                </c:pt>
                <c:pt idx="537">
                  <c:v>21.47999999999972</c:v>
                </c:pt>
                <c:pt idx="538">
                  <c:v>21.519999999999719</c:v>
                </c:pt>
                <c:pt idx="539">
                  <c:v>21.559999999999718</c:v>
                </c:pt>
                <c:pt idx="540">
                  <c:v>21.599999999999717</c:v>
                </c:pt>
                <c:pt idx="541">
                  <c:v>21.639999999999716</c:v>
                </c:pt>
                <c:pt idx="542">
                  <c:v>21.679999999999715</c:v>
                </c:pt>
                <c:pt idx="543">
                  <c:v>21.719999999999715</c:v>
                </c:pt>
                <c:pt idx="544">
                  <c:v>21.759999999999714</c:v>
                </c:pt>
                <c:pt idx="545">
                  <c:v>21.799999999999713</c:v>
                </c:pt>
                <c:pt idx="546">
                  <c:v>21.839999999999712</c:v>
                </c:pt>
                <c:pt idx="547">
                  <c:v>21.879999999999711</c:v>
                </c:pt>
                <c:pt idx="548">
                  <c:v>21.91999999999971</c:v>
                </c:pt>
                <c:pt idx="549">
                  <c:v>21.95999999999971</c:v>
                </c:pt>
                <c:pt idx="550">
                  <c:v>21.999999999999709</c:v>
                </c:pt>
                <c:pt idx="551">
                  <c:v>22.039999999999708</c:v>
                </c:pt>
                <c:pt idx="552">
                  <c:v>22.079999999999707</c:v>
                </c:pt>
                <c:pt idx="553">
                  <c:v>22.119999999999706</c:v>
                </c:pt>
                <c:pt idx="554">
                  <c:v>22.159999999999705</c:v>
                </c:pt>
                <c:pt idx="555">
                  <c:v>22.199999999999704</c:v>
                </c:pt>
                <c:pt idx="556">
                  <c:v>22.239999999999704</c:v>
                </c:pt>
                <c:pt idx="557">
                  <c:v>22.279999999999703</c:v>
                </c:pt>
                <c:pt idx="558">
                  <c:v>22.319999999999702</c:v>
                </c:pt>
                <c:pt idx="559">
                  <c:v>22.359999999999701</c:v>
                </c:pt>
                <c:pt idx="560">
                  <c:v>22.3999999999997</c:v>
                </c:pt>
                <c:pt idx="561">
                  <c:v>22.439999999999699</c:v>
                </c:pt>
                <c:pt idx="562">
                  <c:v>22.479999999999698</c:v>
                </c:pt>
                <c:pt idx="563">
                  <c:v>22.519999999999698</c:v>
                </c:pt>
                <c:pt idx="564">
                  <c:v>22.559999999999697</c:v>
                </c:pt>
                <c:pt idx="565">
                  <c:v>22.599999999999696</c:v>
                </c:pt>
                <c:pt idx="566">
                  <c:v>22.639999999999695</c:v>
                </c:pt>
                <c:pt idx="567">
                  <c:v>22.679999999999694</c:v>
                </c:pt>
                <c:pt idx="568">
                  <c:v>22.719999999999693</c:v>
                </c:pt>
                <c:pt idx="569">
                  <c:v>22.759999999999692</c:v>
                </c:pt>
                <c:pt idx="570">
                  <c:v>22.799999999999692</c:v>
                </c:pt>
                <c:pt idx="571">
                  <c:v>22.839999999999691</c:v>
                </c:pt>
                <c:pt idx="572">
                  <c:v>22.87999999999969</c:v>
                </c:pt>
                <c:pt idx="573">
                  <c:v>22.919999999999689</c:v>
                </c:pt>
                <c:pt idx="574">
                  <c:v>22.959999999999688</c:v>
                </c:pt>
                <c:pt idx="575">
                  <c:v>22.999999999999687</c:v>
                </c:pt>
                <c:pt idx="576">
                  <c:v>23.039999999999687</c:v>
                </c:pt>
                <c:pt idx="577">
                  <c:v>23.079999999999686</c:v>
                </c:pt>
                <c:pt idx="578">
                  <c:v>23.119999999999685</c:v>
                </c:pt>
                <c:pt idx="579">
                  <c:v>23.159999999999684</c:v>
                </c:pt>
                <c:pt idx="580">
                  <c:v>23.199999999999683</c:v>
                </c:pt>
                <c:pt idx="581">
                  <c:v>23.239999999999682</c:v>
                </c:pt>
                <c:pt idx="582">
                  <c:v>23.279999999999681</c:v>
                </c:pt>
                <c:pt idx="583">
                  <c:v>23.319999999999681</c:v>
                </c:pt>
                <c:pt idx="584">
                  <c:v>23.35999999999968</c:v>
                </c:pt>
                <c:pt idx="585">
                  <c:v>23.399999999999679</c:v>
                </c:pt>
                <c:pt idx="586">
                  <c:v>23.439999999999678</c:v>
                </c:pt>
                <c:pt idx="587">
                  <c:v>23.479999999999677</c:v>
                </c:pt>
                <c:pt idx="588">
                  <c:v>23.519999999999676</c:v>
                </c:pt>
                <c:pt idx="589">
                  <c:v>23.559999999999675</c:v>
                </c:pt>
                <c:pt idx="590">
                  <c:v>23.599999999999675</c:v>
                </c:pt>
                <c:pt idx="591">
                  <c:v>23.639999999999674</c:v>
                </c:pt>
                <c:pt idx="592">
                  <c:v>23.679999999999673</c:v>
                </c:pt>
                <c:pt idx="593">
                  <c:v>23.719999999999672</c:v>
                </c:pt>
                <c:pt idx="594">
                  <c:v>23.759999999999671</c:v>
                </c:pt>
                <c:pt idx="595">
                  <c:v>23.79999999999967</c:v>
                </c:pt>
                <c:pt idx="596">
                  <c:v>23.839999999999669</c:v>
                </c:pt>
                <c:pt idx="597">
                  <c:v>23.879999999999669</c:v>
                </c:pt>
                <c:pt idx="598">
                  <c:v>23.919999999999668</c:v>
                </c:pt>
                <c:pt idx="599">
                  <c:v>23.959999999999667</c:v>
                </c:pt>
                <c:pt idx="600">
                  <c:v>23.999999999999666</c:v>
                </c:pt>
                <c:pt idx="601">
                  <c:v>24.039999999999665</c:v>
                </c:pt>
                <c:pt idx="602">
                  <c:v>24.079999999999664</c:v>
                </c:pt>
                <c:pt idx="603">
                  <c:v>24.119999999999663</c:v>
                </c:pt>
                <c:pt idx="604">
                  <c:v>24.159999999999663</c:v>
                </c:pt>
                <c:pt idx="605">
                  <c:v>24.199999999999662</c:v>
                </c:pt>
                <c:pt idx="606">
                  <c:v>24.239999999999661</c:v>
                </c:pt>
                <c:pt idx="607">
                  <c:v>24.27999999999966</c:v>
                </c:pt>
                <c:pt idx="608">
                  <c:v>24.319999999999659</c:v>
                </c:pt>
                <c:pt idx="609">
                  <c:v>24.359999999999658</c:v>
                </c:pt>
                <c:pt idx="610">
                  <c:v>24.399999999999658</c:v>
                </c:pt>
                <c:pt idx="611">
                  <c:v>24.439999999999657</c:v>
                </c:pt>
                <c:pt idx="612">
                  <c:v>24.479999999999656</c:v>
                </c:pt>
                <c:pt idx="613">
                  <c:v>24.519999999999655</c:v>
                </c:pt>
                <c:pt idx="614">
                  <c:v>24.559999999999654</c:v>
                </c:pt>
                <c:pt idx="615">
                  <c:v>24.599999999999653</c:v>
                </c:pt>
                <c:pt idx="616">
                  <c:v>24.639999999999652</c:v>
                </c:pt>
                <c:pt idx="617">
                  <c:v>24.679999999999652</c:v>
                </c:pt>
                <c:pt idx="618">
                  <c:v>24.719999999999651</c:v>
                </c:pt>
                <c:pt idx="619">
                  <c:v>24.75999999999965</c:v>
                </c:pt>
                <c:pt idx="620">
                  <c:v>24.799999999999649</c:v>
                </c:pt>
                <c:pt idx="621">
                  <c:v>24.839999999999648</c:v>
                </c:pt>
                <c:pt idx="622">
                  <c:v>24.879999999999647</c:v>
                </c:pt>
                <c:pt idx="623">
                  <c:v>24.919999999999646</c:v>
                </c:pt>
                <c:pt idx="624">
                  <c:v>24.959999999999646</c:v>
                </c:pt>
                <c:pt idx="625">
                  <c:v>24.999999999999645</c:v>
                </c:pt>
                <c:pt idx="626">
                  <c:v>25.039999999999644</c:v>
                </c:pt>
                <c:pt idx="627">
                  <c:v>25.079999999999643</c:v>
                </c:pt>
                <c:pt idx="628">
                  <c:v>25.119999999999642</c:v>
                </c:pt>
                <c:pt idx="629">
                  <c:v>25.159999999999641</c:v>
                </c:pt>
                <c:pt idx="630">
                  <c:v>25.19999999999964</c:v>
                </c:pt>
                <c:pt idx="631">
                  <c:v>25.23999999999964</c:v>
                </c:pt>
                <c:pt idx="632">
                  <c:v>25.279999999999639</c:v>
                </c:pt>
                <c:pt idx="633">
                  <c:v>25.319999999999638</c:v>
                </c:pt>
                <c:pt idx="634">
                  <c:v>25.359999999999637</c:v>
                </c:pt>
                <c:pt idx="635">
                  <c:v>25.399999999999636</c:v>
                </c:pt>
                <c:pt idx="636">
                  <c:v>25.439999999999635</c:v>
                </c:pt>
                <c:pt idx="637">
                  <c:v>25.479999999999634</c:v>
                </c:pt>
                <c:pt idx="638">
                  <c:v>25.519999999999634</c:v>
                </c:pt>
                <c:pt idx="639">
                  <c:v>25.559999999999633</c:v>
                </c:pt>
                <c:pt idx="640">
                  <c:v>25.599999999999632</c:v>
                </c:pt>
                <c:pt idx="641">
                  <c:v>25.639999999999631</c:v>
                </c:pt>
                <c:pt idx="642">
                  <c:v>25.67999999999963</c:v>
                </c:pt>
                <c:pt idx="643">
                  <c:v>25.719999999999629</c:v>
                </c:pt>
                <c:pt idx="644">
                  <c:v>25.759999999999629</c:v>
                </c:pt>
                <c:pt idx="645">
                  <c:v>25.799999999999628</c:v>
                </c:pt>
                <c:pt idx="646">
                  <c:v>25.839999999999627</c:v>
                </c:pt>
                <c:pt idx="647">
                  <c:v>25.879999999999626</c:v>
                </c:pt>
                <c:pt idx="648">
                  <c:v>25.919999999999625</c:v>
                </c:pt>
                <c:pt idx="649">
                  <c:v>25.959999999999624</c:v>
                </c:pt>
                <c:pt idx="650">
                  <c:v>25.999999999999623</c:v>
                </c:pt>
                <c:pt idx="651">
                  <c:v>26.039999999999623</c:v>
                </c:pt>
                <c:pt idx="652">
                  <c:v>26.079999999999622</c:v>
                </c:pt>
                <c:pt idx="653">
                  <c:v>26.119999999999621</c:v>
                </c:pt>
                <c:pt idx="654">
                  <c:v>26.15999999999962</c:v>
                </c:pt>
                <c:pt idx="655">
                  <c:v>26.199999999999619</c:v>
                </c:pt>
                <c:pt idx="656">
                  <c:v>26.239999999999618</c:v>
                </c:pt>
                <c:pt idx="657">
                  <c:v>26.279999999999617</c:v>
                </c:pt>
                <c:pt idx="658">
                  <c:v>26.319999999999617</c:v>
                </c:pt>
                <c:pt idx="659">
                  <c:v>26.359999999999616</c:v>
                </c:pt>
                <c:pt idx="660">
                  <c:v>26.399999999999615</c:v>
                </c:pt>
                <c:pt idx="661">
                  <c:v>26.439999999999614</c:v>
                </c:pt>
                <c:pt idx="662">
                  <c:v>26.479999999999613</c:v>
                </c:pt>
                <c:pt idx="663">
                  <c:v>26.519999999999612</c:v>
                </c:pt>
                <c:pt idx="664">
                  <c:v>26.559999999999611</c:v>
                </c:pt>
                <c:pt idx="665">
                  <c:v>26.599999999999611</c:v>
                </c:pt>
                <c:pt idx="666">
                  <c:v>26.63999999999961</c:v>
                </c:pt>
                <c:pt idx="667">
                  <c:v>26.679999999999609</c:v>
                </c:pt>
                <c:pt idx="668">
                  <c:v>26.719999999999608</c:v>
                </c:pt>
                <c:pt idx="669">
                  <c:v>26.759999999999607</c:v>
                </c:pt>
                <c:pt idx="670">
                  <c:v>26.799999999999606</c:v>
                </c:pt>
                <c:pt idx="671">
                  <c:v>26.839999999999606</c:v>
                </c:pt>
                <c:pt idx="672">
                  <c:v>26.879999999999605</c:v>
                </c:pt>
                <c:pt idx="673">
                  <c:v>26.919999999999604</c:v>
                </c:pt>
                <c:pt idx="674">
                  <c:v>26.959999999999603</c:v>
                </c:pt>
                <c:pt idx="675">
                  <c:v>26.999999999999602</c:v>
                </c:pt>
                <c:pt idx="676">
                  <c:v>27.039999999999601</c:v>
                </c:pt>
                <c:pt idx="677">
                  <c:v>27.0799999999996</c:v>
                </c:pt>
                <c:pt idx="678">
                  <c:v>27.1199999999996</c:v>
                </c:pt>
                <c:pt idx="679">
                  <c:v>27.159999999999599</c:v>
                </c:pt>
                <c:pt idx="680">
                  <c:v>27.199999999999598</c:v>
                </c:pt>
                <c:pt idx="681">
                  <c:v>27.239999999999597</c:v>
                </c:pt>
                <c:pt idx="682">
                  <c:v>27.279999999999596</c:v>
                </c:pt>
                <c:pt idx="683">
                  <c:v>27.319999999999595</c:v>
                </c:pt>
                <c:pt idx="684">
                  <c:v>27.359999999999594</c:v>
                </c:pt>
                <c:pt idx="685">
                  <c:v>27.399999999999594</c:v>
                </c:pt>
                <c:pt idx="686">
                  <c:v>27.439999999999593</c:v>
                </c:pt>
                <c:pt idx="687">
                  <c:v>27.479999999999592</c:v>
                </c:pt>
                <c:pt idx="688">
                  <c:v>27.519999999999591</c:v>
                </c:pt>
                <c:pt idx="689">
                  <c:v>27.55999999999959</c:v>
                </c:pt>
                <c:pt idx="690">
                  <c:v>27.599999999999589</c:v>
                </c:pt>
                <c:pt idx="691">
                  <c:v>27.639999999999588</c:v>
                </c:pt>
                <c:pt idx="692">
                  <c:v>27.679999999999588</c:v>
                </c:pt>
                <c:pt idx="693">
                  <c:v>27.719999999999587</c:v>
                </c:pt>
                <c:pt idx="694">
                  <c:v>27.759999999999586</c:v>
                </c:pt>
                <c:pt idx="695">
                  <c:v>27.799999999999585</c:v>
                </c:pt>
                <c:pt idx="696">
                  <c:v>27.839999999999584</c:v>
                </c:pt>
                <c:pt idx="697">
                  <c:v>27.879999999999583</c:v>
                </c:pt>
                <c:pt idx="698">
                  <c:v>27.919999999999582</c:v>
                </c:pt>
                <c:pt idx="699">
                  <c:v>27.959999999999582</c:v>
                </c:pt>
                <c:pt idx="700">
                  <c:v>27.999999999999581</c:v>
                </c:pt>
                <c:pt idx="701">
                  <c:v>28.03999999999958</c:v>
                </c:pt>
                <c:pt idx="702">
                  <c:v>28.079999999999579</c:v>
                </c:pt>
                <c:pt idx="703">
                  <c:v>28.119999999999578</c:v>
                </c:pt>
                <c:pt idx="704">
                  <c:v>28.159999999999577</c:v>
                </c:pt>
                <c:pt idx="705">
                  <c:v>28.199999999999577</c:v>
                </c:pt>
                <c:pt idx="706">
                  <c:v>28.239999999999576</c:v>
                </c:pt>
                <c:pt idx="707">
                  <c:v>28.279999999999575</c:v>
                </c:pt>
                <c:pt idx="708">
                  <c:v>28.319999999999574</c:v>
                </c:pt>
                <c:pt idx="709">
                  <c:v>28.359999999999573</c:v>
                </c:pt>
                <c:pt idx="710">
                  <c:v>28.399999999999572</c:v>
                </c:pt>
                <c:pt idx="711">
                  <c:v>28.439999999999571</c:v>
                </c:pt>
                <c:pt idx="712">
                  <c:v>28.479999999999571</c:v>
                </c:pt>
                <c:pt idx="713">
                  <c:v>28.51999999999957</c:v>
                </c:pt>
                <c:pt idx="714">
                  <c:v>28.559999999999569</c:v>
                </c:pt>
                <c:pt idx="715">
                  <c:v>28.599999999999568</c:v>
                </c:pt>
              </c:numCache>
            </c:numRef>
          </c:cat>
          <c:val>
            <c:numRef>
              <c:f>Calculations!$B$31:$AAO$31</c:f>
              <c:numCache>
                <c:formatCode>General</c:formatCode>
                <c:ptCount val="716"/>
                <c:pt idx="0">
                  <c:v>49.222912822297673</c:v>
                </c:pt>
                <c:pt idx="1">
                  <c:v>49.222912822297673</c:v>
                </c:pt>
                <c:pt idx="2">
                  <c:v>49.222912822297673</c:v>
                </c:pt>
                <c:pt idx="3">
                  <c:v>49.222912822297673</c:v>
                </c:pt>
                <c:pt idx="4">
                  <c:v>49.222912822297673</c:v>
                </c:pt>
                <c:pt idx="5">
                  <c:v>49.222912822297673</c:v>
                </c:pt>
                <c:pt idx="6">
                  <c:v>49.222912822297673</c:v>
                </c:pt>
                <c:pt idx="7">
                  <c:v>49.222913680418024</c:v>
                </c:pt>
                <c:pt idx="8">
                  <c:v>49.222918716607175</c:v>
                </c:pt>
                <c:pt idx="9">
                  <c:v>49.222935525527973</c:v>
                </c:pt>
                <c:pt idx="10">
                  <c:v>49.222977518894652</c:v>
                </c:pt>
                <c:pt idx="11">
                  <c:v>49.223064934971774</c:v>
                </c:pt>
                <c:pt idx="12">
                  <c:v>49.223225252371236</c:v>
                </c:pt>
                <c:pt idx="13">
                  <c:v>49.223493071901331</c:v>
                </c:pt>
                <c:pt idx="14">
                  <c:v>49.223909588385133</c:v>
                </c:pt>
                <c:pt idx="15">
                  <c:v>49.224521785994675</c:v>
                </c:pt>
                <c:pt idx="16">
                  <c:v>49.225381476895059</c:v>
                </c:pt>
                <c:pt idx="17">
                  <c:v>49.22654427883721</c:v>
                </c:pt>
                <c:pt idx="18">
                  <c:v>49.228068601630646</c:v>
                </c:pt>
                <c:pt idx="19">
                  <c:v>49.230014689556356</c:v>
                </c:pt>
                <c:pt idx="20">
                  <c:v>49.232443748366734</c:v>
                </c:pt>
                <c:pt idx="21">
                  <c:v>49.235417171690777</c:v>
                </c:pt>
                <c:pt idx="22">
                  <c:v>49.238995871853881</c:v>
                </c:pt>
                <c:pt idx="23">
                  <c:v>49.243239713543417</c:v>
                </c:pt>
                <c:pt idx="24">
                  <c:v>49.248207044620415</c:v>
                </c:pt>
                <c:pt idx="25">
                  <c:v>49.253954316020263</c:v>
                </c:pt>
                <c:pt idx="26">
                  <c:v>49.260535781562339</c:v>
                </c:pt>
                <c:pt idx="27">
                  <c:v>49.268003268192459</c:v>
                </c:pt>
                <c:pt idx="28">
                  <c:v>49.276406007414444</c:v>
                </c:pt>
                <c:pt idx="29">
                  <c:v>49.285790519216697</c:v>
                </c:pt>
                <c:pt idx="30">
                  <c:v>49.296200540521411</c:v>
                </c:pt>
                <c:pt idx="31">
                  <c:v>49.307676990980269</c:v>
                </c:pt>
                <c:pt idx="32">
                  <c:v>49.320257969748134</c:v>
                </c:pt>
                <c:pt idx="33">
                  <c:v>49.333978777646614</c:v>
                </c:pt>
                <c:pt idx="34">
                  <c:v>49.348871959859665</c:v>
                </c:pt>
                <c:pt idx="35">
                  <c:v>49.364967364971669</c:v>
                </c:pt>
                <c:pt idx="36">
                  <c:v>49.382292216760781</c:v>
                </c:pt>
                <c:pt idx="37">
                  <c:v>49.40087119569629</c:v>
                </c:pt>
                <c:pt idx="38">
                  <c:v>49.420726527561499</c:v>
                </c:pt>
                <c:pt idx="39">
                  <c:v>49.441878077037209</c:v>
                </c:pt>
                <c:pt idx="40">
                  <c:v>49.464343444440651</c:v>
                </c:pt>
                <c:pt idx="41">
                  <c:v>49.488138064126083</c:v>
                </c:pt>
                <c:pt idx="42">
                  <c:v>49.51327530332091</c:v>
                </c:pt>
                <c:pt idx="43">
                  <c:v>49.539766560401091</c:v>
                </c:pt>
                <c:pt idx="44">
                  <c:v>49.567621361805529</c:v>
                </c:pt>
                <c:pt idx="45">
                  <c:v>49.596847456955736</c:v>
                </c:pt>
                <c:pt idx="46">
                  <c:v>49.627450910688275</c:v>
                </c:pt>
                <c:pt idx="47">
                  <c:v>49.659436192826263</c:v>
                </c:pt>
                <c:pt idx="48">
                  <c:v>49.692806264615989</c:v>
                </c:pt>
                <c:pt idx="49">
                  <c:v>49.72756266183805</c:v>
                </c:pt>
                <c:pt idx="50">
                  <c:v>49.763705574471288</c:v>
                </c:pt>
                <c:pt idx="51">
                  <c:v>49.801233922844943</c:v>
                </c:pt>
                <c:pt idx="52">
                  <c:v>49.840145430260769</c:v>
                </c:pt>
                <c:pt idx="53">
                  <c:v>49.88043669210473</c:v>
                </c:pt>
                <c:pt idx="54">
                  <c:v>49.922103241498007</c:v>
                </c:pt>
                <c:pt idx="55">
                  <c:v>49.965139611560907</c:v>
                </c:pt>
                <c:pt idx="56">
                  <c:v>50.00953939438174</c:v>
                </c:pt>
                <c:pt idx="57">
                  <c:v>50.055295296796736</c:v>
                </c:pt>
                <c:pt idx="58">
                  <c:v>50.102399193097227</c:v>
                </c:pt>
                <c:pt idx="59">
                  <c:v>50.150842174787442</c:v>
                </c:pt>
                <c:pt idx="60">
                  <c:v>50.200614597520648</c:v>
                </c:pt>
                <c:pt idx="61">
                  <c:v>50.251706125343816</c:v>
                </c:pt>
                <c:pt idx="62">
                  <c:v>50.30410577238149</c:v>
                </c:pt>
                <c:pt idx="63">
                  <c:v>50.357801942088699</c:v>
                </c:pt>
                <c:pt idx="64">
                  <c:v>50.412782464200909</c:v>
                </c:pt>
                <c:pt idx="65">
                  <c:v>50.469034629506041</c:v>
                </c:pt>
                <c:pt idx="66">
                  <c:v>50.526545222560145</c:v>
                </c:pt>
                <c:pt idx="67">
                  <c:v>50.585300552464275</c:v>
                </c:pt>
                <c:pt idx="68">
                  <c:v>50.645286481815646</c:v>
                </c:pt>
                <c:pt idx="69">
                  <c:v>50.706488453941567</c:v>
                </c:pt>
                <c:pt idx="70">
                  <c:v>50.768891518519695</c:v>
                </c:pt>
                <c:pt idx="71">
                  <c:v>50.832480355683437</c:v>
                </c:pt>
                <c:pt idx="72">
                  <c:v>50.897239298706133</c:v>
                </c:pt>
                <c:pt idx="73">
                  <c:v>50.963152355353074</c:v>
                </c:pt>
                <c:pt idx="74">
                  <c:v>51.030203227985353</c:v>
                </c:pt>
                <c:pt idx="75">
                  <c:v>51.09837533249501</c:v>
                </c:pt>
                <c:pt idx="76">
                  <c:v>51.167651816146311</c:v>
                </c:pt>
                <c:pt idx="77">
                  <c:v>51.238015574393557</c:v>
                </c:pt>
                <c:pt idx="78">
                  <c:v>51.309449266741794</c:v>
                </c:pt>
                <c:pt idx="79">
                  <c:v>51.381935331712405</c:v>
                </c:pt>
                <c:pt idx="80">
                  <c:v>51.455456000972077</c:v>
                </c:pt>
                <c:pt idx="81">
                  <c:v>51.529993312679693</c:v>
                </c:pt>
                <c:pt idx="82">
                  <c:v>51.60552912410229</c:v>
                </c:pt>
                <c:pt idx="83">
                  <c:v>51.682045123547979</c:v>
                </c:pt>
                <c:pt idx="84">
                  <c:v>51.75952284166052</c:v>
                </c:pt>
                <c:pt idx="85">
                  <c:v>51.83794366211734</c:v>
                </c:pt>
                <c:pt idx="86">
                  <c:v>51.917288831770044</c:v>
                </c:pt>
                <c:pt idx="87">
                  <c:v>51.99753947026376</c:v>
                </c:pt>
                <c:pt idx="88">
                  <c:v>52.078676579169368</c:v>
                </c:pt>
                <c:pt idx="89">
                  <c:v>52.160681050660209</c:v>
                </c:pt>
                <c:pt idx="90">
                  <c:v>52.243533675762905</c:v>
                </c:pt>
                <c:pt idx="91">
                  <c:v>52.327215152209689</c:v>
                </c:pt>
                <c:pt idx="92">
                  <c:v>52.411706091917992</c:v>
                </c:pt>
                <c:pt idx="93">
                  <c:v>52.496987028121154</c:v>
                </c:pt>
                <c:pt idx="94">
                  <c:v>52.583038422172521</c:v>
                </c:pt>
                <c:pt idx="95">
                  <c:v>52.669840670043598</c:v>
                </c:pt>
                <c:pt idx="96">
                  <c:v>52.757374108535714</c:v>
                </c:pt>
                <c:pt idx="97">
                  <c:v>52.845619021223044</c:v>
                </c:pt>
                <c:pt idx="98">
                  <c:v>52.934555644143821</c:v>
                </c:pt>
                <c:pt idx="99">
                  <c:v>53.024164171255322</c:v>
                </c:pt>
                <c:pt idx="100">
                  <c:v>53.114424759667223</c:v>
                </c:pt>
                <c:pt idx="101">
                  <c:v>53.20531753466674</c:v>
                </c:pt>
                <c:pt idx="102">
                  <c:v>53.296822594548338</c:v>
                </c:pt>
                <c:pt idx="103">
                  <c:v>53.388920015259671</c:v>
                </c:pt>
                <c:pt idx="104">
                  <c:v>53.481589854874713</c:v>
                </c:pt>
                <c:pt idx="105">
                  <c:v>53.574812157904383</c:v>
                </c:pt>
                <c:pt idx="106">
                  <c:v>53.668566959454154</c:v>
                </c:pt>
                <c:pt idx="107">
                  <c:v>53.762834289237468</c:v>
                </c:pt>
                <c:pt idx="108">
                  <c:v>53.857594175453393</c:v>
                </c:pt>
                <c:pt idx="109">
                  <c:v>53.952826648536188</c:v>
                </c:pt>
                <c:pt idx="110">
                  <c:v>54.048511744783937</c:v>
                </c:pt>
                <c:pt idx="111">
                  <c:v>54.144629509873191</c:v>
                </c:pt>
                <c:pt idx="112">
                  <c:v>54.241160002265708</c:v>
                </c:pt>
                <c:pt idx="113">
                  <c:v>54.338083296513325</c:v>
                </c:pt>
                <c:pt idx="114">
                  <c:v>54.435379486466452</c:v>
                </c:pt>
                <c:pt idx="115">
                  <c:v>54.533028688391269</c:v>
                </c:pt>
                <c:pt idx="116">
                  <c:v>54.631011044000509</c:v>
                </c:pt>
                <c:pt idx="117">
                  <c:v>54.729306723402338</c:v>
                </c:pt>
                <c:pt idx="118">
                  <c:v>54.827895927971483</c:v>
                </c:pt>
                <c:pt idx="119">
                  <c:v>54.926758893146634</c:v>
                </c:pt>
                <c:pt idx="120">
                  <c:v>55.025875891157803</c:v>
                </c:pt>
                <c:pt idx="121">
                  <c:v>55.12522723368707</c:v>
                </c:pt>
                <c:pt idx="122">
                  <c:v>55.224793274465988</c:v>
                </c:pt>
                <c:pt idx="123">
                  <c:v>55.324554411812763</c:v>
                </c:pt>
                <c:pt idx="124">
                  <c:v>55.424491091111925</c:v>
                </c:pt>
                <c:pt idx="125">
                  <c:v>55.524583807239338</c:v>
                </c:pt>
                <c:pt idx="126">
                  <c:v>55.624813106934923</c:v>
                </c:pt>
                <c:pt idx="127">
                  <c:v>55.725159591125575</c:v>
                </c:pt>
                <c:pt idx="128">
                  <c:v>55.825603917200411</c:v>
                </c:pt>
                <c:pt idx="129">
                  <c:v>55.926126801240507</c:v>
                </c:pt>
                <c:pt idx="130">
                  <c:v>56.026709020205026</c:v>
                </c:pt>
                <c:pt idx="131">
                  <c:v>56.127331414075599</c:v>
                </c:pt>
                <c:pt idx="132">
                  <c:v>56.227974887960762</c:v>
                </c:pt>
                <c:pt idx="133">
                  <c:v>56.328620414161961</c:v>
                </c:pt>
                <c:pt idx="134">
                  <c:v>56.429249034202726</c:v>
                </c:pt>
                <c:pt idx="135">
                  <c:v>56.529841860822508</c:v>
                </c:pt>
                <c:pt idx="136">
                  <c:v>56.630380079936437</c:v>
                </c:pt>
                <c:pt idx="137">
                  <c:v>56.730844952562336</c:v>
                </c:pt>
                <c:pt idx="138">
                  <c:v>56.83121781671619</c:v>
                </c:pt>
                <c:pt idx="139">
                  <c:v>56.93148008927723</c:v>
                </c:pt>
                <c:pt idx="140">
                  <c:v>57.031613267823644</c:v>
                </c:pt>
                <c:pt idx="141">
                  <c:v>57.13159893243995</c:v>
                </c:pt>
                <c:pt idx="142">
                  <c:v>57.231418747497003</c:v>
                </c:pt>
                <c:pt idx="143">
                  <c:v>57.331054463405486</c:v>
                </c:pt>
                <c:pt idx="144">
                  <c:v>57.430487918343744</c:v>
                </c:pt>
                <c:pt idx="145">
                  <c:v>57.529701039960749</c:v>
                </c:pt>
                <c:pt idx="146">
                  <c:v>57.628675847054964</c:v>
                </c:pt>
                <c:pt idx="147">
                  <c:v>57.727394451229749</c:v>
                </c:pt>
                <c:pt idx="148">
                  <c:v>57.825839058526029</c:v>
                </c:pt>
                <c:pt idx="149">
                  <c:v>57.923991971032812</c:v>
                </c:pt>
                <c:pt idx="150">
                  <c:v>58.021835588476151</c:v>
                </c:pt>
                <c:pt idx="151">
                  <c:v>58.119352409787112</c:v>
                </c:pt>
                <c:pt idx="152">
                  <c:v>58.216525034649216</c:v>
                </c:pt>
                <c:pt idx="153">
                  <c:v>58.313336165025881</c:v>
                </c:pt>
                <c:pt idx="154">
                  <c:v>58.409768606668337</c:v>
                </c:pt>
                <c:pt idx="155">
                  <c:v>58.505805270604412</c:v>
                </c:pt>
                <c:pt idx="156">
                  <c:v>58.601429174608548</c:v>
                </c:pt>
                <c:pt idx="157">
                  <c:v>58.696623444653525</c:v>
                </c:pt>
                <c:pt idx="158">
                  <c:v>58.791371316344154</c:v>
                </c:pt>
                <c:pt idx="159">
                  <c:v>58.885656136333317</c:v>
                </c:pt>
                <c:pt idx="160">
                  <c:v>58.979461363720645</c:v>
                </c:pt>
                <c:pt idx="161">
                  <c:v>59.072770571434141</c:v>
                </c:pt>
                <c:pt idx="162">
                  <c:v>59.16556744759496</c:v>
                </c:pt>
                <c:pt idx="163">
                  <c:v>59.257835796865677</c:v>
                </c:pt>
                <c:pt idx="164">
                  <c:v>59.349559541782256</c:v>
                </c:pt>
                <c:pt idx="165">
                  <c:v>59.440722724069843</c:v>
                </c:pt>
                <c:pt idx="166">
                  <c:v>59.53130950594273</c:v>
                </c:pt>
                <c:pt idx="167">
                  <c:v>59.62130417138858</c:v>
                </c:pt>
                <c:pt idx="168">
                  <c:v>59.710691127437109</c:v>
                </c:pt>
                <c:pt idx="169">
                  <c:v>59.799454905413391</c:v>
                </c:pt>
                <c:pt idx="170">
                  <c:v>59.887580162175922</c:v>
                </c:pt>
                <c:pt idx="171">
                  <c:v>59.975051681339593</c:v>
                </c:pt>
                <c:pt idx="172">
                  <c:v>60.061854374483673</c:v>
                </c:pt>
                <c:pt idx="173">
                  <c:v>60.147973282344928</c:v>
                </c:pt>
                <c:pt idx="174">
                  <c:v>60.233393575995983</c:v>
                </c:pt>
                <c:pt idx="175">
                  <c:v>60.318100558009</c:v>
                </c:pt>
                <c:pt idx="176">
                  <c:v>60.402079663604781</c:v>
                </c:pt>
                <c:pt idx="177">
                  <c:v>60.485316461787313</c:v>
                </c:pt>
                <c:pt idx="178">
                  <c:v>60.567796656463912</c:v>
                </c:pt>
                <c:pt idx="179">
                  <c:v>60.64950608755094</c:v>
                </c:pt>
                <c:pt idx="180">
                  <c:v>60.730430732065194</c:v>
                </c:pt>
                <c:pt idx="181">
                  <c:v>60.81055670520098</c:v>
                </c:pt>
                <c:pt idx="182">
                  <c:v>60.8898702613929</c:v>
                </c:pt>
                <c:pt idx="183">
                  <c:v>60.968357795364476</c:v>
                </c:pt>
                <c:pt idx="184">
                  <c:v>61.046005843162462</c:v>
                </c:pt>
                <c:pt idx="185">
                  <c:v>61.122801083177016</c:v>
                </c:pt>
                <c:pt idx="186">
                  <c:v>61.198730337147708</c:v>
                </c:pt>
                <c:pt idx="187">
                  <c:v>61.273780571155278</c:v>
                </c:pt>
                <c:pt idx="188">
                  <c:v>61.347938896599302</c:v>
                </c:pt>
                <c:pt idx="189">
                  <c:v>61.421192571161605</c:v>
                </c:pt>
                <c:pt idx="190">
                  <c:v>61.493528999755547</c:v>
                </c:pt>
                <c:pt idx="191">
                  <c:v>61.564935735461098</c:v>
                </c:pt>
                <c:pt idx="192">
                  <c:v>61.635400480445682</c:v>
                </c:pt>
                <c:pt idx="193">
                  <c:v>61.704911086870823</c:v>
                </c:pt>
                <c:pt idx="194">
                  <c:v>61.77345555778453</c:v>
                </c:pt>
                <c:pt idx="195">
                  <c:v>61.841022047999417</c:v>
                </c:pt>
                <c:pt idx="196">
                  <c:v>61.907598864956505</c:v>
                </c:pt>
                <c:pt idx="197">
                  <c:v>61.973174469574701</c:v>
                </c:pt>
                <c:pt idx="198">
                  <c:v>62.037737477085948</c:v>
                </c:pt>
                <c:pt idx="199">
                  <c:v>62.101276657855912</c:v>
                </c:pt>
                <c:pt idx="200">
                  <c:v>62.163780938190293</c:v>
                </c:pt>
                <c:pt idx="201">
                  <c:v>62.225239401126629</c:v>
                </c:pt>
                <c:pt idx="202">
                  <c:v>62.285641287211583</c:v>
                </c:pt>
                <c:pt idx="203">
                  <c:v>62.344975995263717</c:v>
                </c:pt>
                <c:pt idx="204">
                  <c:v>62.403233083121584</c:v>
                </c:pt>
                <c:pt idx="205">
                  <c:v>62.460402268377258</c:v>
                </c:pt>
                <c:pt idx="206">
                  <c:v>62.516473429095086</c:v>
                </c:pt>
                <c:pt idx="207">
                  <c:v>62.571436604515782</c:v>
                </c:pt>
                <c:pt idx="208">
                  <c:v>62.625281995745631</c:v>
                </c:pt>
                <c:pt idx="209">
                  <c:v>62.677999966430953</c:v>
                </c:pt>
                <c:pt idx="210">
                  <c:v>62.729581043417589</c:v>
                </c:pt>
                <c:pt idx="211">
                  <c:v>62.780015917395488</c:v>
                </c:pt>
                <c:pt idx="212">
                  <c:v>62.829295443528288</c:v>
                </c:pt>
                <c:pt idx="213">
                  <c:v>62.877410642067829</c:v>
                </c:pt>
                <c:pt idx="214">
                  <c:v>62.924352698953598</c:v>
                </c:pt>
                <c:pt idx="215">
                  <c:v>62.970112966396961</c:v>
                </c:pt>
                <c:pt idx="216">
                  <c:v>63.014682963450269</c:v>
                </c:pt>
                <c:pt idx="217">
                  <c:v>63.058054376560619</c:v>
                </c:pt>
                <c:pt idx="218">
                  <c:v>63.100219060108351</c:v>
                </c:pt>
                <c:pt idx="219">
                  <c:v>63.141169036930144</c:v>
                </c:pt>
                <c:pt idx="220">
                  <c:v>63.180896498826719</c:v>
                </c:pt>
                <c:pt idx="221">
                  <c:v>63.219393807055042</c:v>
                </c:pt>
                <c:pt idx="222">
                  <c:v>63.256653492805022</c:v>
                </c:pt>
                <c:pt idx="223">
                  <c:v>63.292668257660608</c:v>
                </c:pt>
                <c:pt idx="224">
                  <c:v>63.327430974045249</c:v>
                </c:pt>
                <c:pt idx="225">
                  <c:v>63.360934685651706</c:v>
                </c:pt>
                <c:pt idx="226">
                  <c:v>63.393172607856108</c:v>
                </c:pt>
                <c:pt idx="227">
                  <c:v>63.424138128116212</c:v>
                </c:pt>
                <c:pt idx="228">
                  <c:v>63.453824806353857</c:v>
                </c:pt>
                <c:pt idx="229">
                  <c:v>63.482226375321531</c:v>
                </c:pt>
                <c:pt idx="230">
                  <c:v>63.509336740952989</c:v>
                </c:pt>
                <c:pt idx="231">
                  <c:v>63.535149982697916</c:v>
                </c:pt>
                <c:pt idx="232">
                  <c:v>63.559660353840584</c:v>
                </c:pt>
                <c:pt idx="233">
                  <c:v>63.582862281802392</c:v>
                </c:pt>
                <c:pt idx="234">
                  <c:v>63.604750368428363</c:v>
                </c:pt>
                <c:pt idx="235">
                  <c:v>63.625319390257431</c:v>
                </c:pt>
                <c:pt idx="236">
                  <c:v>63.644564298776572</c:v>
                </c:pt>
                <c:pt idx="237">
                  <c:v>63.662480220658679</c:v>
                </c:pt>
                <c:pt idx="238">
                  <c:v>63.67906245798418</c:v>
                </c:pt>
                <c:pt idx="239">
                  <c:v>63.694306488446344</c:v>
                </c:pt>
                <c:pt idx="240">
                  <c:v>63.708207965540211</c:v>
                </c:pt>
                <c:pt idx="241">
                  <c:v>63.720762718735195</c:v>
                </c:pt>
                <c:pt idx="242">
                  <c:v>63.731966753631191</c:v>
                </c:pt>
                <c:pt idx="243">
                  <c:v>63.741816252098324</c:v>
                </c:pt>
                <c:pt idx="244">
                  <c:v>63.750307572400118</c:v>
                </c:pt>
                <c:pt idx="245">
                  <c:v>63.757437249300246</c:v>
                </c:pt>
                <c:pt idx="246">
                  <c:v>63.763201994152681</c:v>
                </c:pt>
                <c:pt idx="247">
                  <c:v>63.767598694975277</c:v>
                </c:pt>
                <c:pt idx="248">
                  <c:v>63.770624416506813</c:v>
                </c:pt>
                <c:pt idx="249">
                  <c:v>63.772276400247357</c:v>
                </c:pt>
                <c:pt idx="250">
                  <c:v>63.772552064482028</c:v>
                </c:pt>
                <c:pt idx="251">
                  <c:v>63.771449004288073</c:v>
                </c:pt>
                <c:pt idx="252">
                  <c:v>63.768964991525309</c:v>
                </c:pt>
                <c:pt idx="253">
                  <c:v>63.765097974809805</c:v>
                </c:pt>
                <c:pt idx="254">
                  <c:v>63.759846079470918</c:v>
                </c:pt>
                <c:pt idx="255">
                  <c:v>63.753207607491532</c:v>
                </c:pt>
                <c:pt idx="256">
                  <c:v>63.745181037431628</c:v>
                </c:pt>
                <c:pt idx="257">
                  <c:v>63.735765024335038</c:v>
                </c:pt>
                <c:pt idx="258">
                  <c:v>63.724958399619496</c:v>
                </c:pt>
                <c:pt idx="259">
                  <c:v>63.712760170949878</c:v>
                </c:pt>
                <c:pt idx="260">
                  <c:v>63.699169522094685</c:v>
                </c:pt>
                <c:pt idx="261">
                  <c:v>63.684185812765769</c:v>
                </c:pt>
                <c:pt idx="262">
                  <c:v>63.667808578441232</c:v>
                </c:pt>
                <c:pt idx="263">
                  <c:v>63.650037530171581</c:v>
                </c:pt>
                <c:pt idx="264">
                  <c:v>63.630872554369105</c:v>
                </c:pt>
                <c:pt idx="265">
                  <c:v>63.610313712580449</c:v>
                </c:pt>
                <c:pt idx="266">
                  <c:v>63.588361241242431</c:v>
                </c:pt>
                <c:pt idx="267">
                  <c:v>63.565015551421112</c:v>
                </c:pt>
                <c:pt idx="268">
                  <c:v>63.54027722853408</c:v>
                </c:pt>
                <c:pt idx="269">
                  <c:v>63.514147032056009</c:v>
                </c:pt>
                <c:pt idx="270">
                  <c:v>63.486625895207474</c:v>
                </c:pt>
                <c:pt idx="271">
                  <c:v>63.457714924627048</c:v>
                </c:pt>
                <c:pt idx="272">
                  <c:v>63.427415400026689</c:v>
                </c:pt>
                <c:pt idx="273">
                  <c:v>63.395728773830463</c:v>
                </c:pt>
                <c:pt idx="274">
                  <c:v>63.362656670796582</c:v>
                </c:pt>
                <c:pt idx="275">
                  <c:v>63.328200887622785</c:v>
                </c:pt>
                <c:pt idx="276">
                  <c:v>63.29236339253513</c:v>
                </c:pt>
                <c:pt idx="277">
                  <c:v>63.255146324860164</c:v>
                </c:pt>
                <c:pt idx="278">
                  <c:v>63.216551994580527</c:v>
                </c:pt>
                <c:pt idx="279">
                  <c:v>63.176582881874026</c:v>
                </c:pt>
                <c:pt idx="280">
                  <c:v>63.135241636636188</c:v>
                </c:pt>
                <c:pt idx="281">
                  <c:v>63.092531077986337</c:v>
                </c:pt>
                <c:pt idx="282">
                  <c:v>63.048454193757244</c:v>
                </c:pt>
                <c:pt idx="283">
                  <c:v>63.003014139968343</c:v>
                </c:pt>
                <c:pt idx="284">
                  <c:v>62.956214240282605</c:v>
                </c:pt>
                <c:pt idx="285">
                  <c:v>62.908057985447066</c:v>
                </c:pt>
                <c:pt idx="286">
                  <c:v>62.858549032717072</c:v>
                </c:pt>
                <c:pt idx="287">
                  <c:v>62.807691205264298</c:v>
                </c:pt>
                <c:pt idx="288">
                  <c:v>62.755488491568563</c:v>
                </c:pt>
                <c:pt idx="289">
                  <c:v>62.701945044793483</c:v>
                </c:pt>
                <c:pt idx="290">
                  <c:v>62.647065182146051</c:v>
                </c:pt>
                <c:pt idx="291">
                  <c:v>62.590853384220139</c:v>
                </c:pt>
                <c:pt idx="292">
                  <c:v>62.533314294324043</c:v>
                </c:pt>
                <c:pt idx="293">
                  <c:v>62.474452717792047</c:v>
                </c:pt>
                <c:pt idx="294">
                  <c:v>62.414273621280159</c:v>
                </c:pt>
                <c:pt idx="295">
                  <c:v>62.352782132045967</c:v>
                </c:pt>
                <c:pt idx="296">
                  <c:v>62.289983537212784</c:v>
                </c:pt>
                <c:pt idx="297">
                  <c:v>62.225883283018049</c:v>
                </c:pt>
                <c:pt idx="298">
                  <c:v>62.160486974046151</c:v>
                </c:pt>
                <c:pt idx="299">
                  <c:v>62.093800372445614</c:v>
                </c:pt>
                <c:pt idx="300">
                  <c:v>62.025829397130842</c:v>
                </c:pt>
                <c:pt idx="301">
                  <c:v>61.956580122968397</c:v>
                </c:pt>
                <c:pt idx="302">
                  <c:v>61.886058779947938</c:v>
                </c:pt>
                <c:pt idx="303">
                  <c:v>61.814271752337881</c:v>
                </c:pt>
                <c:pt idx="304">
                  <c:v>61.741225577825823</c:v>
                </c:pt>
                <c:pt idx="305">
                  <c:v>61.666926946643862</c:v>
                </c:pt>
                <c:pt idx="306">
                  <c:v>61.591382700678842</c:v>
                </c:pt>
                <c:pt idx="307">
                  <c:v>61.514600690687992</c:v>
                </c:pt>
                <c:pt idx="308">
                  <c:v>61.436591379087069</c:v>
                </c:pt>
                <c:pt idx="309">
                  <c:v>61.357369651902253</c:v>
                </c:pt>
                <c:pt idx="310">
                  <c:v>61.276956360157975</c:v>
                </c:pt>
                <c:pt idx="311">
                  <c:v>61.195379328412152</c:v>
                </c:pt>
                <c:pt idx="312">
                  <c:v>61.112673767574826</c:v>
                </c:pt>
                <c:pt idx="313">
                  <c:v>61.028882155764521</c:v>
                </c:pt>
                <c:pt idx="314">
                  <c:v>60.94405370911948</c:v>
                </c:pt>
                <c:pt idx="315">
                  <c:v>60.858243576110503</c:v>
                </c:pt>
                <c:pt idx="316">
                  <c:v>60.771511875149486</c:v>
                </c:pt>
                <c:pt idx="317">
                  <c:v>60.683922671132571</c:v>
                </c:pt>
                <c:pt idx="318">
                  <c:v>60.595542960849357</c:v>
                </c:pt>
                <c:pt idx="319">
                  <c:v>60.506441714318299</c:v>
                </c:pt>
                <c:pt idx="320">
                  <c:v>60.416689000695477</c:v>
                </c:pt>
                <c:pt idx="321">
                  <c:v>60.326355213574885</c:v>
                </c:pt>
                <c:pt idx="322">
                  <c:v>60.235510400689819</c:v>
                </c:pt>
                <c:pt idx="323">
                  <c:v>60.144223696446595</c:v>
                </c:pt>
                <c:pt idx="324">
                  <c:v>60.05256285159102</c:v>
                </c:pt>
                <c:pt idx="325">
                  <c:v>59.960593851950662</c:v>
                </c:pt>
                <c:pt idx="326">
                  <c:v>59.868380617072951</c:v>
                </c:pt>
                <c:pt idx="327">
                  <c:v>59.775984769283092</c:v>
                </c:pt>
                <c:pt idx="328">
                  <c:v>59.683465463918211</c:v>
                </c:pt>
                <c:pt idx="329">
                  <c:v>59.590879272043743</c:v>
                </c:pt>
                <c:pt idx="330">
                  <c:v>59.49828010767984</c:v>
                </c:pt>
                <c:pt idx="331">
                  <c:v>59.405719192361673</c:v>
                </c:pt>
                <c:pt idx="332">
                  <c:v>59.313245050665415</c:v>
                </c:pt>
                <c:pt idx="333">
                  <c:v>59.220903531111752</c:v>
                </c:pt>
                <c:pt idx="334">
                  <c:v>59.128737847589306</c:v>
                </c:pt>
                <c:pt idx="335">
                  <c:v>59.036788637108486</c:v>
                </c:pt>
                <c:pt idx="336">
                  <c:v>58.945094030298726</c:v>
                </c:pt>
                <c:pt idx="337">
                  <c:v>58.853689731597974</c:v>
                </c:pt>
                <c:pt idx="338">
                  <c:v>58.76260910655602</c:v>
                </c:pt>
                <c:pt idx="339">
                  <c:v>58.671883274086959</c:v>
                </c:pt>
                <c:pt idx="340">
                  <c:v>58.581541201865726</c:v>
                </c:pt>
                <c:pt idx="341">
                  <c:v>58.491609803375006</c:v>
                </c:pt>
                <c:pt idx="342">
                  <c:v>58.402114035376641</c:v>
                </c:pt>
                <c:pt idx="343">
                  <c:v>58.313076994811311</c:v>
                </c:pt>
                <c:pt idx="344">
                  <c:v>58.224520014326345</c:v>
                </c:pt>
                <c:pt idx="345">
                  <c:v>58.136462755798185</c:v>
                </c:pt>
                <c:pt idx="346">
                  <c:v>58.04892330135705</c:v>
                </c:pt>
                <c:pt idx="347">
                  <c:v>57.961918241540218</c:v>
                </c:pt>
                <c:pt idx="348">
                  <c:v>57.875462760300245</c:v>
                </c:pt>
                <c:pt idx="349">
                  <c:v>57.789570716677517</c:v>
                </c:pt>
                <c:pt idx="350">
                  <c:v>57.704254723015687</c:v>
                </c:pt>
                <c:pt idx="351">
                  <c:v>57.619526219655448</c:v>
                </c:pt>
                <c:pt idx="352">
                  <c:v>57.535395546088665</c:v>
                </c:pt>
                <c:pt idx="353">
                  <c:v>57.45187200859251</c:v>
                </c:pt>
                <c:pt idx="354">
                  <c:v>57.368963944393585</c:v>
                </c:pt>
                <c:pt idx="355">
                  <c:v>57.286678782435679</c:v>
                </c:pt>
                <c:pt idx="356">
                  <c:v>57.205023100843498</c:v>
                </c:pt>
                <c:pt idx="357">
                  <c:v>57.124002681188429</c:v>
                </c:pt>
                <c:pt idx="358">
                  <c:v>57.043622559672912</c:v>
                </c:pt>
                <c:pt idx="359">
                  <c:v>56.963887075356737</c:v>
                </c:pt>
                <c:pt idx="360">
                  <c:v>56.884799915553344</c:v>
                </c:pt>
                <c:pt idx="361">
                  <c:v>56.806364158526286</c:v>
                </c:pt>
                <c:pt idx="362">
                  <c:v>56.728582313616791</c:v>
                </c:pt>
                <c:pt idx="363">
                  <c:v>56.65145635893245</c:v>
                </c:pt>
                <c:pt idx="364">
                  <c:v>56.574987776725102</c:v>
                </c:pt>
                <c:pt idx="365">
                  <c:v>56.49917758658313</c:v>
                </c:pt>
                <c:pt idx="366">
                  <c:v>56.424026376560015</c:v>
                </c:pt>
                <c:pt idx="367">
                  <c:v>56.349534332356704</c:v>
                </c:pt>
                <c:pt idx="368">
                  <c:v>56.27570126467117</c:v>
                </c:pt>
                <c:pt idx="369">
                  <c:v>56.202526634823727</c:v>
                </c:pt>
                <c:pt idx="370">
                  <c:v>56.130009578761921</c:v>
                </c:pt>
                <c:pt idx="371">
                  <c:v>56.058148929543826</c:v>
                </c:pt>
                <c:pt idx="372">
                  <c:v>55.986943238393764</c:v>
                </c:pt>
                <c:pt idx="373">
                  <c:v>55.916390794419463</c:v>
                </c:pt>
                <c:pt idx="374">
                  <c:v>55.846489643074996</c:v>
                </c:pt>
                <c:pt idx="375">
                  <c:v>55.777237603448974</c:v>
                </c:pt>
                <c:pt idx="376">
                  <c:v>55.70863228445311</c:v>
                </c:pt>
                <c:pt idx="377">
                  <c:v>55.640671099981738</c:v>
                </c:pt>
                <c:pt idx="378">
                  <c:v>55.573351283108728</c:v>
                </c:pt>
                <c:pt idx="379">
                  <c:v>55.506669899384065</c:v>
                </c:pt>
                <c:pt idx="380">
                  <c:v>55.440623859288671</c:v>
                </c:pt>
                <c:pt idx="381">
                  <c:v>55.37520992990224</c:v>
                </c:pt>
                <c:pt idx="382">
                  <c:v>55.310424745835405</c:v>
                </c:pt>
                <c:pt idx="383">
                  <c:v>55.246264819474298</c:v>
                </c:pt>
                <c:pt idx="384">
                  <c:v>55.182726550582366</c:v>
                </c:pt>
                <c:pt idx="385">
                  <c:v>55.119806235301432</c:v>
                </c:pt>
                <c:pt idx="386">
                  <c:v>55.057500074591182</c:v>
                </c:pt>
                <c:pt idx="387">
                  <c:v>54.995804182143701</c:v>
                </c:pt>
                <c:pt idx="388">
                  <c:v>54.934714591807115</c:v>
                </c:pt>
                <c:pt idx="389">
                  <c:v>54.874227264550342</c:v>
                </c:pt>
                <c:pt idx="390">
                  <c:v>54.814338094998483</c:v>
                </c:pt>
                <c:pt idx="391">
                  <c:v>54.755042917566733</c:v>
                </c:pt>
                <c:pt idx="392">
                  <c:v>54.696337512218541</c:v>
                </c:pt>
                <c:pt idx="393">
                  <c:v>54.638217609872086</c:v>
                </c:pt>
                <c:pt idx="394">
                  <c:v>54.580678897477569</c:v>
                </c:pt>
                <c:pt idx="395">
                  <c:v>54.523717022786201</c:v>
                </c:pt>
                <c:pt idx="396">
                  <c:v>54.467327598830408</c:v>
                </c:pt>
                <c:pt idx="397">
                  <c:v>54.411506208133396</c:v>
                </c:pt>
                <c:pt idx="398">
                  <c:v>54.35624840666501</c:v>
                </c:pt>
                <c:pt idx="399">
                  <c:v>54.301549727559738</c:v>
                </c:pt>
                <c:pt idx="400">
                  <c:v>54.247405684611529</c:v>
                </c:pt>
                <c:pt idx="401">
                  <c:v>54.193811775559162</c:v>
                </c:pt>
                <c:pt idx="402">
                  <c:v>54.140763485174986</c:v>
                </c:pt>
                <c:pt idx="403">
                  <c:v>54.088256288168992</c:v>
                </c:pt>
                <c:pt idx="404">
                  <c:v>54.036285651919343</c:v>
                </c:pt>
                <c:pt idx="405">
                  <c:v>53.984847039039771</c:v>
                </c:pt>
                <c:pt idx="406">
                  <c:v>53.933935909793576</c:v>
                </c:pt>
                <c:pt idx="407">
                  <c:v>53.883547724363304</c:v>
                </c:pt>
                <c:pt idx="408">
                  <c:v>53.833677944984565</c:v>
                </c:pt>
                <c:pt idx="409">
                  <c:v>53.784322037951966</c:v>
                </c:pt>
                <c:pt idx="410">
                  <c:v>53.735475475504501</c:v>
                </c:pt>
                <c:pt idx="411">
                  <c:v>53.687133737597378</c:v>
                </c:pt>
                <c:pt idx="412">
                  <c:v>53.639292313566806</c:v>
                </c:pt>
                <c:pt idx="413">
                  <c:v>53.59194670369375</c:v>
                </c:pt>
                <c:pt idx="414">
                  <c:v>53.545092420672383</c:v>
                </c:pt>
                <c:pt idx="415">
                  <c:v>53.498724990988578</c:v>
                </c:pt>
                <c:pt idx="416">
                  <c:v>53.452839956213431</c:v>
                </c:pt>
                <c:pt idx="417">
                  <c:v>53.407432874216489</c:v>
                </c:pt>
                <c:pt idx="418">
                  <c:v>53.362499320303137</c:v>
                </c:pt>
                <c:pt idx="419">
                  <c:v>53.318034888280209</c:v>
                </c:pt>
                <c:pt idx="420">
                  <c:v>53.274035191453791</c:v>
                </c:pt>
                <c:pt idx="421">
                  <c:v>53.230495863562801</c:v>
                </c:pt>
                <c:pt idx="422">
                  <c:v>53.187412559651825</c:v>
                </c:pt>
                <c:pt idx="423">
                  <c:v>53.144780956886386</c:v>
                </c:pt>
                <c:pt idx="424">
                  <c:v>53.10259675531379</c:v>
                </c:pt>
                <c:pt idx="425">
                  <c:v>53.060855678572288</c:v>
                </c:pt>
                <c:pt idx="426">
                  <c:v>53.019553474551387</c:v>
                </c:pt>
                <c:pt idx="427">
                  <c:v>52.978685916005716</c:v>
                </c:pt>
                <c:pt idx="428">
                  <c:v>52.938248801125027</c:v>
                </c:pt>
                <c:pt idx="429">
                  <c:v>52.898237954062417</c:v>
                </c:pt>
                <c:pt idx="430">
                  <c:v>52.858649225423065</c:v>
                </c:pt>
                <c:pt idx="431">
                  <c:v>52.819478492715398</c:v>
                </c:pt>
                <c:pt idx="432">
                  <c:v>52.780721660766694</c:v>
                </c:pt>
                <c:pt idx="433">
                  <c:v>52.742374662104872</c:v>
                </c:pt>
                <c:pt idx="434">
                  <c:v>52.704433457308212</c:v>
                </c:pt>
                <c:pt idx="435">
                  <c:v>52.666894035324596</c:v>
                </c:pt>
                <c:pt idx="436">
                  <c:v>52.629752413761885</c:v>
                </c:pt>
                <c:pt idx="437">
                  <c:v>52.593004639150784</c:v>
                </c:pt>
                <c:pt idx="438">
                  <c:v>52.556646787181698</c:v>
                </c:pt>
                <c:pt idx="439">
                  <c:v>52.52067496291675</c:v>
                </c:pt>
                <c:pt idx="440">
                  <c:v>52.485085300978355</c:v>
                </c:pt>
                <c:pt idx="441">
                  <c:v>52.449873965715398</c:v>
                </c:pt>
                <c:pt idx="442">
                  <c:v>52.415037151348272</c:v>
                </c:pt>
                <c:pt idx="443">
                  <c:v>52.380571082093695</c:v>
                </c:pt>
                <c:pt idx="444">
                  <c:v>52.346472012270453</c:v>
                </c:pt>
                <c:pt idx="445">
                  <c:v>52.312736226386967</c:v>
                </c:pt>
                <c:pt idx="446">
                  <c:v>52.279360039211582</c:v>
                </c:pt>
                <c:pt idx="447">
                  <c:v>52.246339795826522</c:v>
                </c:pt>
                <c:pt idx="448">
                  <c:v>52.213671871666293</c:v>
                </c:pt>
                <c:pt idx="449">
                  <c:v>52.181352672541294</c:v>
                </c:pt>
                <c:pt idx="450">
                  <c:v>52.149378634647498</c:v>
                </c:pt>
                <c:pt idx="451">
                  <c:v>52.117746224562786</c:v>
                </c:pt>
                <c:pt idx="452">
                  <c:v>52.086451939230756</c:v>
                </c:pt>
                <c:pt idx="453">
                  <c:v>52.055492305932511</c:v>
                </c:pt>
                <c:pt idx="454">
                  <c:v>52.024863882247203</c:v>
                </c:pt>
                <c:pt idx="455">
                  <c:v>51.994563256001776</c:v>
                </c:pt>
                <c:pt idx="456">
                  <c:v>51.964587045210628</c:v>
                </c:pt>
                <c:pt idx="457">
                  <c:v>51.934931898005573</c:v>
                </c:pt>
                <c:pt idx="458">
                  <c:v>51.905594492556759</c:v>
                </c:pt>
                <c:pt idx="459">
                  <c:v>51.876571536984947</c:v>
                </c:pt>
                <c:pt idx="460">
                  <c:v>51.847859769265639</c:v>
                </c:pt>
                <c:pt idx="461">
                  <c:v>51.819455957125541</c:v>
                </c:pt>
                <c:pt idx="462">
                  <c:v>51.79135689793172</c:v>
                </c:pt>
                <c:pt idx="463">
                  <c:v>51.763559418573927</c:v>
                </c:pt>
                <c:pt idx="464">
                  <c:v>51.736060375340465</c:v>
                </c:pt>
                <c:pt idx="465">
                  <c:v>51.708856653787919</c:v>
                </c:pt>
                <c:pt idx="466">
                  <c:v>51.681945168605203</c:v>
                </c:pt>
                <c:pt idx="467">
                  <c:v>51.655322863472179</c:v>
                </c:pt>
                <c:pt idx="468">
                  <c:v>51.628986710913203</c:v>
                </c:pt>
                <c:pt idx="469">
                  <c:v>51.602933712145912</c:v>
                </c:pt>
                <c:pt idx="470">
                  <c:v>51.577160896925555</c:v>
                </c:pt>
                <c:pt idx="471">
                  <c:v>51.551665323385166</c:v>
                </c:pt>
                <c:pt idx="472">
                  <c:v>51.526444077871766</c:v>
                </c:pt>
                <c:pt idx="473">
                  <c:v>51.501494274778985</c:v>
                </c:pt>
                <c:pt idx="474">
                  <c:v>51.476813056376244</c:v>
                </c:pt>
                <c:pt idx="475">
                  <c:v>51.452397592634767</c:v>
                </c:pt>
                <c:pt idx="476">
                  <c:v>51.428245081050697</c:v>
                </c:pt>
                <c:pt idx="477">
                  <c:v>51.404352746465428</c:v>
                </c:pt>
                <c:pt idx="478">
                  <c:v>51.380717840883477</c:v>
                </c:pt>
                <c:pt idx="479">
                  <c:v>51.357337643288005</c:v>
                </c:pt>
                <c:pt idx="480">
                  <c:v>51.334209459454222</c:v>
                </c:pt>
                <c:pt idx="481">
                  <c:v>51.311330621760824</c:v>
                </c:pt>
                <c:pt idx="482">
                  <c:v>51.288698488999685</c:v>
                </c:pt>
                <c:pt idx="483">
                  <c:v>51.266310446183901</c:v>
                </c:pt>
                <c:pt idx="484">
                  <c:v>51.244163904354373</c:v>
                </c:pt>
                <c:pt idx="485">
                  <c:v>51.222256300385119</c:v>
                </c:pt>
                <c:pt idx="486">
                  <c:v>51.2005850967874</c:v>
                </c:pt>
                <c:pt idx="487">
                  <c:v>51.179147781512796</c:v>
                </c:pt>
                <c:pt idx="488">
                  <c:v>51.157941867755426</c:v>
                </c:pt>
                <c:pt idx="489">
                  <c:v>51.136964893753344</c:v>
                </c:pt>
                <c:pt idx="490">
                  <c:v>51.116214422589323</c:v>
                </c:pt>
                <c:pt idx="491">
                  <c:v>51.09568804199106</c:v>
                </c:pt>
                <c:pt idx="492">
                  <c:v>51.075383364130985</c:v>
                </c:pt>
                <c:pt idx="493">
                  <c:v>51.055298025425678</c:v>
                </c:pt>
                <c:pt idx="494">
                  <c:v>51.035429686335107</c:v>
                </c:pt>
                <c:pt idx="495">
                  <c:v>51.015776031161685</c:v>
                </c:pt>
                <c:pt idx="496">
                  <c:v>50.996334767849291</c:v>
                </c:pt>
                <c:pt idx="497">
                  <c:v>50.977103627782313</c:v>
                </c:pt>
                <c:pt idx="498">
                  <c:v>50.958080365584799</c:v>
                </c:pt>
                <c:pt idx="499">
                  <c:v>50.939262758919796</c:v>
                </c:pt>
                <c:pt idx="500">
                  <c:v>50.920648608288964</c:v>
                </c:pt>
                <c:pt idx="501">
                  <c:v>50.90223573683248</c:v>
                </c:pt>
                <c:pt idx="502">
                  <c:v>50.884021990129369</c:v>
                </c:pt>
                <c:pt idx="503">
                  <c:v>50.866005235998266</c:v>
                </c:pt>
                <c:pt idx="504">
                  <c:v>50.84818336429872</c:v>
                </c:pt>
                <c:pt idx="505">
                  <c:v>50.83055428673304</c:v>
                </c:pt>
                <c:pt idx="506">
                  <c:v>50.813115936648771</c:v>
                </c:pt>
                <c:pt idx="507">
                  <c:v>50.795866268841856</c:v>
                </c:pt>
                <c:pt idx="508">
                  <c:v>50.778803259360501</c:v>
                </c:pt>
                <c:pt idx="509">
                  <c:v>50.761924905309812</c:v>
                </c:pt>
                <c:pt idx="510">
                  <c:v>50.745229224657244</c:v>
                </c:pt>
                <c:pt idx="511">
                  <c:v>50.728714256038906</c:v>
                </c:pt>
                <c:pt idx="512">
                  <c:v>50.712378058566713</c:v>
                </c:pt>
                <c:pt idx="513">
                  <c:v>50.696218711636519</c:v>
                </c:pt>
                <c:pt idx="514">
                  <c:v>50.680234314737149</c:v>
                </c:pt>
                <c:pt idx="515">
                  <c:v>50.664422987260444</c:v>
                </c:pt>
                <c:pt idx="516">
                  <c:v>50.648782868312338</c:v>
                </c:pt>
                <c:pt idx="517">
                  <c:v>50.633312116524934</c:v>
                </c:pt>
                <c:pt idx="518">
                  <c:v>50.618008909869708</c:v>
                </c:pt>
                <c:pt idx="519">
                  <c:v>50.602871445471742</c:v>
                </c:pt>
                <c:pt idx="520">
                  <c:v>50.58789793942514</c:v>
                </c:pt>
                <c:pt idx="521">
                  <c:v>50.57308662660953</c:v>
                </c:pt>
                <c:pt idx="522">
                  <c:v>50.558435760507756</c:v>
                </c:pt>
                <c:pt idx="523">
                  <c:v>50.54394361302473</c:v>
                </c:pt>
                <c:pt idx="524">
                  <c:v>50.529608474307501</c:v>
                </c:pt>
                <c:pt idx="525">
                  <c:v>50.515428652566492</c:v>
                </c:pt>
                <c:pt idx="526">
                  <c:v>50.501402473898011</c:v>
                </c:pt>
                <c:pt idx="527">
                  <c:v>50.487528282107959</c:v>
                </c:pt>
                <c:pt idx="528">
                  <c:v>50.47380443853681</c:v>
                </c:pt>
                <c:pt idx="529">
                  <c:v>50.460229321885834</c:v>
                </c:pt>
                <c:pt idx="530">
                  <c:v>50.446801328044621</c:v>
                </c:pt>
                <c:pt idx="531">
                  <c:v>50.433518869919851</c:v>
                </c:pt>
                <c:pt idx="532">
                  <c:v>50.420380377265367</c:v>
                </c:pt>
                <c:pt idx="533">
                  <c:v>50.407384296513555</c:v>
                </c:pt>
                <c:pt idx="534">
                  <c:v>50.394529090607982</c:v>
                </c:pt>
                <c:pt idx="535">
                  <c:v>50.381813238837402</c:v>
                </c:pt>
                <c:pt idx="536">
                  <c:v>50.369235236671024</c:v>
                </c:pt>
                <c:pt idx="537">
                  <c:v>50.356793595595136</c:v>
                </c:pt>
                <c:pt idx="538">
                  <c:v>50.344486842951</c:v>
                </c:pt>
                <c:pt idx="539">
                  <c:v>50.332313521774111</c:v>
                </c:pt>
                <c:pt idx="540">
                  <c:v>50.320272190634746</c:v>
                </c:pt>
                <c:pt idx="541">
                  <c:v>50.30836142347988</c:v>
                </c:pt>
                <c:pt idx="542">
                  <c:v>50.296579809476377</c:v>
                </c:pt>
                <c:pt idx="543">
                  <c:v>50.284925952855545</c:v>
                </c:pt>
                <c:pt idx="544">
                  <c:v>50.273398472758998</c:v>
                </c:pt>
                <c:pt idx="545">
                  <c:v>50.261996003085841</c:v>
                </c:pt>
                <c:pt idx="546">
                  <c:v>50.250717192341192</c:v>
                </c:pt>
                <c:pt idx="547">
                  <c:v>50.239560703485992</c:v>
                </c:pt>
                <c:pt idx="548">
                  <c:v>50.228525213788195</c:v>
                </c:pt>
                <c:pt idx="549">
                  <c:v>50.217609414675209</c:v>
                </c:pt>
                <c:pt idx="550">
                  <c:v>50.206812011587665</c:v>
                </c:pt>
                <c:pt idx="551">
                  <c:v>50.196131723834533</c:v>
                </c:pt>
                <c:pt idx="552">
                  <c:v>50.18556728444949</c:v>
                </c:pt>
                <c:pt idx="553">
                  <c:v>50.175117440048638</c:v>
                </c:pt>
                <c:pt idx="554">
                  <c:v>50.164780950689476</c:v>
                </c:pt>
                <c:pt idx="555">
                  <c:v>50.154556589731186</c:v>
                </c:pt>
                <c:pt idx="556">
                  <c:v>50.144443143696208</c:v>
                </c:pt>
                <c:pt idx="557">
                  <c:v>50.134439412133084</c:v>
                </c:pt>
                <c:pt idx="558">
                  <c:v>50.124544207480568</c:v>
                </c:pt>
                <c:pt idx="559">
                  <c:v>50.11475635493305</c:v>
                </c:pt>
                <c:pt idx="560">
                  <c:v>50.105074692307191</c:v>
                </c:pt>
                <c:pt idx="561">
                  <c:v>50.095498069909837</c:v>
                </c:pt>
                <c:pt idx="562">
                  <c:v>50.086025350407191</c:v>
                </c:pt>
                <c:pt idx="563">
                  <c:v>50.07665540869521</c:v>
                </c:pt>
                <c:pt idx="564">
                  <c:v>50.067387131771262</c:v>
                </c:pt>
                <c:pt idx="565">
                  <c:v>50.058219418606981</c:v>
                </c:pt>
                <c:pt idx="566">
                  <c:v>50.049151180022371</c:v>
                </c:pt>
                <c:pt idx="567">
                  <c:v>50.040181338561119</c:v>
                </c:pt>
                <c:pt idx="568">
                  <c:v>50.031308828367109</c:v>
                </c:pt>
                <c:pt idx="569">
                  <c:v>50.022532595062138</c:v>
                </c:pt>
                <c:pt idx="570">
                  <c:v>50.013851595624821</c:v>
                </c:pt>
                <c:pt idx="571">
                  <c:v>50.00526479827068</c:v>
                </c:pt>
                <c:pt idx="572">
                  <c:v>49.996771182333426</c:v>
                </c:pt>
                <c:pt idx="573">
                  <c:v>49.988369738147377</c:v>
                </c:pt>
                <c:pt idx="574">
                  <c:v>49.980059466931067</c:v>
                </c:pt>
                <c:pt idx="575">
                  <c:v>49.97183938067198</c:v>
                </c:pt>
                <c:pt idx="576">
                  <c:v>49.963708502012445</c:v>
                </c:pt>
                <c:pt idx="577">
                  <c:v>49.955665864136655</c:v>
                </c:pt>
                <c:pt idx="578">
                  <c:v>49.94771051065883</c:v>
                </c:pt>
                <c:pt idx="579">
                  <c:v>49.939841495512461</c:v>
                </c:pt>
                <c:pt idx="580">
                  <c:v>49.932057882840709</c:v>
                </c:pt>
                <c:pt idx="581">
                  <c:v>49.924358746887876</c:v>
                </c:pt>
                <c:pt idx="582">
                  <c:v>49.916743171891959</c:v>
                </c:pt>
                <c:pt idx="583">
                  <c:v>49.909210251978323</c:v>
                </c:pt>
                <c:pt idx="584">
                  <c:v>49.901759091054402</c:v>
                </c:pt>
                <c:pt idx="585">
                  <c:v>49.894388802705521</c:v>
                </c:pt>
                <c:pt idx="586">
                  <c:v>49.887098510091732</c:v>
                </c:pt>
                <c:pt idx="587">
                  <c:v>49.879887345845695</c:v>
                </c:pt>
                <c:pt idx="588">
                  <c:v>49.872754451971637</c:v>
                </c:pt>
                <c:pt idx="589">
                  <c:v>49.865698979745318</c:v>
                </c:pt>
                <c:pt idx="590">
                  <c:v>49.858720089615012</c:v>
                </c:pt>
                <c:pt idx="591">
                  <c:v>49.851816951103515</c:v>
                </c:pt>
                <c:pt idx="592">
                  <c:v>49.844988742711159</c:v>
                </c:pt>
                <c:pt idx="593">
                  <c:v>49.838234651819803</c:v>
                </c:pt>
                <c:pt idx="594">
                  <c:v>49.831553874597837</c:v>
                </c:pt>
                <c:pt idx="595">
                  <c:v>49.824945615906152</c:v>
                </c:pt>
                <c:pt idx="596">
                  <c:v>49.818409089205069</c:v>
                </c:pt>
                <c:pt idx="597">
                  <c:v>49.811943516462264</c:v>
                </c:pt>
                <c:pt idx="598">
                  <c:v>49.805548128061595</c:v>
                </c:pt>
                <c:pt idx="599">
                  <c:v>49.799222162712923</c:v>
                </c:pt>
                <c:pt idx="600">
                  <c:v>49.792964867362826</c:v>
                </c:pt>
                <c:pt idx="601">
                  <c:v>49.786775497106277</c:v>
                </c:pt>
                <c:pt idx="602">
                  <c:v>49.780653315099222</c:v>
                </c:pt>
                <c:pt idx="603">
                  <c:v>49.774597592472063</c:v>
                </c:pt>
                <c:pt idx="604">
                  <c:v>49.768607608244047</c:v>
                </c:pt>
                <c:pt idx="605">
                  <c:v>49.762682649238556</c:v>
                </c:pt>
                <c:pt idx="606">
                  <c:v>49.75682200999929</c:v>
                </c:pt>
                <c:pt idx="607">
                  <c:v>49.751025850827645</c:v>
                </c:pt>
                <c:pt idx="608">
                  <c:v>49.745296801408365</c:v>
                </c:pt>
                <c:pt idx="609">
                  <c:v>49.73964177361465</c:v>
                </c:pt>
                <c:pt idx="610">
                  <c:v>49.734073503764741</c:v>
                </c:pt>
                <c:pt idx="611">
                  <c:v>49.728611562041351</c:v>
                </c:pt>
                <c:pt idx="612">
                  <c:v>49.723282766209977</c:v>
                </c:pt>
                <c:pt idx="613">
                  <c:v>49.718121063390065</c:v>
                </c:pt>
                <c:pt idx="614">
                  <c:v>49.713167001796393</c:v>
                </c:pt>
                <c:pt idx="615">
                  <c:v>49.708466925996987</c:v>
                </c:pt>
                <c:pt idx="616">
                  <c:v>49.704072015481792</c:v>
                </c:pt>
                <c:pt idx="617">
                  <c:v>49.700037262180814</c:v>
                </c:pt>
                <c:pt idx="618">
                  <c:v>49.696420456863031</c:v>
                </c:pt>
                <c:pt idx="619">
                  <c:v>49.693281231476192</c:v>
                </c:pt>
                <c:pt idx="620">
                  <c:v>49.690680186074488</c:v>
                </c:pt>
                <c:pt idx="621">
                  <c:v>49.688678115152179</c:v>
                </c:pt>
                <c:pt idx="622">
                  <c:v>49.687335338392678</c:v>
                </c:pt>
                <c:pt idx="623">
                  <c:v>49.686711134264023</c:v>
                </c:pt>
                <c:pt idx="624">
                  <c:v>49.686863270761371</c:v>
                </c:pt>
                <c:pt idx="625">
                  <c:v>49.687847625239087</c:v>
                </c:pt>
                <c:pt idx="626">
                  <c:v>49.689717884152579</c:v>
                </c:pt>
                <c:pt idx="627">
                  <c:v>49.692525313233681</c:v>
                </c:pt>
                <c:pt idx="628">
                  <c:v>49.696318588855789</c:v>
                </c:pt>
                <c:pt idx="629">
                  <c:v>49.701143681894798</c:v>
                </c:pt>
                <c:pt idx="630">
                  <c:v>49.707043786113324</c:v>
                </c:pt>
                <c:pt idx="631">
                  <c:v>49.714059283892105</c:v>
                </c:pt>
                <c:pt idx="632">
                  <c:v>49.722227742940099</c:v>
                </c:pt>
                <c:pt idx="633">
                  <c:v>49.73158393839514</c:v>
                </c:pt>
                <c:pt idx="634">
                  <c:v>49.742159895457284</c:v>
                </c:pt>
                <c:pt idx="635">
                  <c:v>49.753984948365286</c:v>
                </c:pt>
                <c:pt idx="636">
                  <c:v>49.767085812129025</c:v>
                </c:pt>
                <c:pt idx="637">
                  <c:v>49.781486663966604</c:v>
                </c:pt>
                <c:pt idx="638">
                  <c:v>49.797209231867569</c:v>
                </c:pt>
                <c:pt idx="639">
                  <c:v>49.814272888117401</c:v>
                </c:pt>
                <c:pt idx="640">
                  <c:v>49.832694745978102</c:v>
                </c:pt>
                <c:pt idx="641">
                  <c:v>49.85248975803102</c:v>
                </c:pt>
                <c:pt idx="642">
                  <c:v>49.873670814955872</c:v>
                </c:pt>
                <c:pt idx="643">
                  <c:v>49.896248843749632</c:v>
                </c:pt>
                <c:pt idx="644">
                  <c:v>49.920232904585006</c:v>
                </c:pt>
                <c:pt idx="645">
                  <c:v>49.945630285674781</c:v>
                </c:pt>
                <c:pt idx="646">
                  <c:v>49.972446595649586</c:v>
                </c:pt>
                <c:pt idx="647">
                  <c:v>50.000685853075225</c:v>
                </c:pt>
                <c:pt idx="648">
                  <c:v>50.030350572835786</c:v>
                </c:pt>
                <c:pt idx="649">
                  <c:v>50.061441849191759</c:v>
                </c:pt>
                <c:pt idx="650">
                  <c:v>50.093959435391618</c:v>
                </c:pt>
                <c:pt idx="651">
                  <c:v>50.127901819772106</c:v>
                </c:pt>
                <c:pt idx="652">
                  <c:v>50.163266298329049</c:v>
                </c:pt>
                <c:pt idx="653">
                  <c:v>50.200049043778343</c:v>
                </c:pt>
                <c:pt idx="654">
                  <c:v>50.238245171156784</c:v>
                </c:pt>
                <c:pt idx="655">
                  <c:v>50.277848800036281</c:v>
                </c:pt>
                <c:pt idx="656">
                  <c:v>50.318853113443659</c:v>
                </c:pt>
                <c:pt idx="657">
                  <c:v>50.361250413591968</c:v>
                </c:pt>
                <c:pt idx="658">
                  <c:v>50.405032174539613</c:v>
                </c:pt>
                <c:pt idx="659">
                  <c:v>50.450189091900583</c:v>
                </c:pt>
                <c:pt idx="660">
                  <c:v>50.496711129733569</c:v>
                </c:pt>
                <c:pt idx="661">
                  <c:v>50.544587564740098</c:v>
                </c:pt>
                <c:pt idx="662">
                  <c:v>50.593807027902372</c:v>
                </c:pt>
                <c:pt idx="663">
                  <c:v>50.644357543690653</c:v>
                </c:pt>
                <c:pt idx="664">
                  <c:v>50.696226566968157</c:v>
                </c:pt>
                <c:pt idx="665">
                  <c:v>50.749401017718526</c:v>
                </c:pt>
                <c:pt idx="666">
                  <c:v>50.803867313717433</c:v>
                </c:pt>
                <c:pt idx="667">
                  <c:v>50.85961140126583</c:v>
                </c:pt>
                <c:pt idx="668">
                  <c:v>50.916618784098006</c:v>
                </c:pt>
                <c:pt idx="669">
                  <c:v>50.974874550572814</c:v>
                </c:pt>
                <c:pt idx="670">
                  <c:v>51.034363399251767</c:v>
                </c:pt>
                <c:pt idx="671">
                  <c:v>51.095069662962629</c:v>
                </c:pt>
                <c:pt idx="672">
                  <c:v>51.156977331442349</c:v>
                </c:pt>
                <c:pt idx="673">
                  <c:v>51.220070072648198</c:v>
                </c:pt>
                <c:pt idx="674">
                  <c:v>51.284331252821225</c:v>
                </c:pt>
                <c:pt idx="675">
                  <c:v>51.349743955381392</c:v>
                </c:pt>
                <c:pt idx="676">
                  <c:v>51.41629099872933</c:v>
                </c:pt>
                <c:pt idx="677">
                  <c:v>51.483954953025041</c:v>
                </c:pt>
                <c:pt idx="678">
                  <c:v>51.552718156009867</c:v>
                </c:pt>
                <c:pt idx="679">
                  <c:v>51.62256272793384</c:v>
                </c:pt>
                <c:pt idx="680">
                  <c:v>51.693470585646786</c:v>
                </c:pt>
                <c:pt idx="681">
                  <c:v>51.765423455907722</c:v>
                </c:pt>
                <c:pt idx="682">
                  <c:v>51.838402887963817</c:v>
                </c:pt>
                <c:pt idx="683">
                  <c:v>51.912390265446604</c:v>
                </c:pt>
                <c:pt idx="684">
                  <c:v>51.987366817630345</c:v>
                </c:pt>
                <c:pt idx="685">
                  <c:v>52.063313630094164</c:v>
                </c:pt>
                <c:pt idx="686">
                  <c:v>52.140211654827084</c:v>
                </c:pt>
                <c:pt idx="687">
                  <c:v>52.218041719812284</c:v>
                </c:pt>
                <c:pt idx="688">
                  <c:v>52.296784538124612</c:v>
                </c:pt>
                <c:pt idx="689">
                  <c:v>52.376420716572959</c:v>
                </c:pt>
                <c:pt idx="690">
                  <c:v>52.456930763917114</c:v>
                </c:pt>
                <c:pt idx="691">
                  <c:v>52.538295098686497</c:v>
                </c:pt>
                <c:pt idx="692">
                  <c:v>52.620494056626498</c:v>
                </c:pt>
                <c:pt idx="693">
                  <c:v>52.703507897796342</c:v>
                </c:pt>
                <c:pt idx="694">
                  <c:v>52.787316813340631</c:v>
                </c:pt>
                <c:pt idx="695">
                  <c:v>52.871900931955352</c:v>
                </c:pt>
                <c:pt idx="696">
                  <c:v>52.957240326067712</c:v>
                </c:pt>
                <c:pt idx="697">
                  <c:v>53.043315017747695</c:v>
                </c:pt>
                <c:pt idx="698">
                  <c:v>53.130104984368124</c:v>
                </c:pt>
                <c:pt idx="699">
                  <c:v>53.217590164028877</c:v>
                </c:pt>
                <c:pt idx="700">
                  <c:v>53.305750460759725</c:v>
                </c:pt>
                <c:pt idx="701">
                  <c:v>53.394565749515415</c:v>
                </c:pt>
                <c:pt idx="702">
                  <c:v>53.484015880975505</c:v>
                </c:pt>
                <c:pt idx="703">
                  <c:v>53.574080686160841</c:v>
                </c:pt>
                <c:pt idx="704">
                  <c:v>53.664739980877528</c:v>
                </c:pt>
                <c:pt idx="705">
                  <c:v>53.755973569998709</c:v>
                </c:pt>
                <c:pt idx="706">
                  <c:v>53.84776125159361</c:v>
                </c:pt>
                <c:pt idx="707">
                  <c:v>53.940082820912771</c:v>
                </c:pt>
                <c:pt idx="708">
                  <c:v>54.032918074237735</c:v>
                </c:pt>
                <c:pt idx="709">
                  <c:v>54.126246812603</c:v>
                </c:pt>
                <c:pt idx="710">
                  <c:v>54.220048845397379</c:v>
                </c:pt>
                <c:pt idx="711">
                  <c:v>54.314303993851546</c:v>
                </c:pt>
                <c:pt idx="712">
                  <c:v>54.408992094418089</c:v>
                </c:pt>
                <c:pt idx="713">
                  <c:v>54.504093002049942</c:v>
                </c:pt>
                <c:pt idx="714">
                  <c:v>54.599586593382696</c:v>
                </c:pt>
                <c:pt idx="715">
                  <c:v>54.695452769825934</c:v>
                </c:pt>
              </c:numCache>
            </c:numRef>
          </c:val>
        </c:ser>
        <c:ser>
          <c:idx val="8"/>
          <c:order val="8"/>
          <c:tx>
            <c:strRef>
              <c:f>Calculations!$A$32</c:f>
              <c:strCache>
                <c:ptCount val="1"/>
                <c:pt idx="0">
                  <c:v>8</c:v>
                </c:pt>
              </c:strCache>
            </c:strRef>
          </c:tx>
          <c:marker>
            <c:symbol val="none"/>
          </c:marker>
          <c:cat>
            <c:numRef>
              <c:f>Calculations!$B$21:$AAO$21</c:f>
              <c:numCache>
                <c:formatCode>0.00</c:formatCode>
                <c:ptCount val="716"/>
                <c:pt idx="0" formatCode="General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5.0000000000000036</c:v>
                </c:pt>
                <c:pt idx="126">
                  <c:v>5.0400000000000036</c:v>
                </c:pt>
                <c:pt idx="127">
                  <c:v>5.0800000000000036</c:v>
                </c:pt>
                <c:pt idx="128">
                  <c:v>5.1200000000000037</c:v>
                </c:pt>
                <c:pt idx="129">
                  <c:v>5.1600000000000037</c:v>
                </c:pt>
                <c:pt idx="130">
                  <c:v>5.2000000000000037</c:v>
                </c:pt>
                <c:pt idx="131">
                  <c:v>5.2400000000000038</c:v>
                </c:pt>
                <c:pt idx="132">
                  <c:v>5.2800000000000038</c:v>
                </c:pt>
                <c:pt idx="133">
                  <c:v>5.3200000000000038</c:v>
                </c:pt>
                <c:pt idx="134">
                  <c:v>5.3600000000000039</c:v>
                </c:pt>
                <c:pt idx="135">
                  <c:v>5.4000000000000039</c:v>
                </c:pt>
                <c:pt idx="136">
                  <c:v>5.4400000000000039</c:v>
                </c:pt>
                <c:pt idx="137">
                  <c:v>5.480000000000004</c:v>
                </c:pt>
                <c:pt idx="138">
                  <c:v>5.520000000000004</c:v>
                </c:pt>
                <c:pt idx="139">
                  <c:v>5.5600000000000041</c:v>
                </c:pt>
                <c:pt idx="140">
                  <c:v>5.6000000000000041</c:v>
                </c:pt>
                <c:pt idx="141">
                  <c:v>5.6400000000000041</c:v>
                </c:pt>
                <c:pt idx="142">
                  <c:v>5.6800000000000042</c:v>
                </c:pt>
                <c:pt idx="143">
                  <c:v>5.7200000000000042</c:v>
                </c:pt>
                <c:pt idx="144">
                  <c:v>5.7600000000000042</c:v>
                </c:pt>
                <c:pt idx="145">
                  <c:v>5.8000000000000043</c:v>
                </c:pt>
                <c:pt idx="146">
                  <c:v>5.8400000000000043</c:v>
                </c:pt>
                <c:pt idx="147">
                  <c:v>5.8800000000000043</c:v>
                </c:pt>
                <c:pt idx="148">
                  <c:v>5.9200000000000044</c:v>
                </c:pt>
                <c:pt idx="149">
                  <c:v>5.9600000000000044</c:v>
                </c:pt>
                <c:pt idx="150">
                  <c:v>6.0000000000000044</c:v>
                </c:pt>
                <c:pt idx="151">
                  <c:v>6.0400000000000045</c:v>
                </c:pt>
                <c:pt idx="152">
                  <c:v>6.0800000000000045</c:v>
                </c:pt>
                <c:pt idx="153">
                  <c:v>6.1200000000000045</c:v>
                </c:pt>
                <c:pt idx="154">
                  <c:v>6.1600000000000046</c:v>
                </c:pt>
                <c:pt idx="155">
                  <c:v>6.2000000000000046</c:v>
                </c:pt>
                <c:pt idx="156">
                  <c:v>6.2400000000000047</c:v>
                </c:pt>
                <c:pt idx="157">
                  <c:v>6.2800000000000047</c:v>
                </c:pt>
                <c:pt idx="158">
                  <c:v>6.3200000000000047</c:v>
                </c:pt>
                <c:pt idx="159">
                  <c:v>6.3600000000000048</c:v>
                </c:pt>
                <c:pt idx="160">
                  <c:v>6.4000000000000048</c:v>
                </c:pt>
                <c:pt idx="161">
                  <c:v>6.4400000000000048</c:v>
                </c:pt>
                <c:pt idx="162">
                  <c:v>6.4800000000000049</c:v>
                </c:pt>
                <c:pt idx="163">
                  <c:v>6.5200000000000049</c:v>
                </c:pt>
                <c:pt idx="164">
                  <c:v>6.5600000000000049</c:v>
                </c:pt>
                <c:pt idx="165">
                  <c:v>6.600000000000005</c:v>
                </c:pt>
                <c:pt idx="166">
                  <c:v>6.640000000000005</c:v>
                </c:pt>
                <c:pt idx="167">
                  <c:v>6.680000000000005</c:v>
                </c:pt>
                <c:pt idx="168">
                  <c:v>6.7200000000000051</c:v>
                </c:pt>
                <c:pt idx="169">
                  <c:v>6.7600000000000051</c:v>
                </c:pt>
                <c:pt idx="170">
                  <c:v>6.8000000000000052</c:v>
                </c:pt>
                <c:pt idx="171">
                  <c:v>6.8400000000000052</c:v>
                </c:pt>
                <c:pt idx="172">
                  <c:v>6.8800000000000052</c:v>
                </c:pt>
                <c:pt idx="173">
                  <c:v>6.9200000000000053</c:v>
                </c:pt>
                <c:pt idx="174">
                  <c:v>6.9600000000000053</c:v>
                </c:pt>
                <c:pt idx="175">
                  <c:v>7.0000000000000053</c:v>
                </c:pt>
                <c:pt idx="176">
                  <c:v>7.0400000000000054</c:v>
                </c:pt>
                <c:pt idx="177">
                  <c:v>7.0800000000000054</c:v>
                </c:pt>
                <c:pt idx="178">
                  <c:v>7.1200000000000054</c:v>
                </c:pt>
                <c:pt idx="179">
                  <c:v>7.1600000000000055</c:v>
                </c:pt>
                <c:pt idx="180">
                  <c:v>7.2000000000000055</c:v>
                </c:pt>
                <c:pt idx="181">
                  <c:v>7.2400000000000055</c:v>
                </c:pt>
                <c:pt idx="182">
                  <c:v>7.2800000000000056</c:v>
                </c:pt>
                <c:pt idx="183">
                  <c:v>7.3200000000000056</c:v>
                </c:pt>
                <c:pt idx="184">
                  <c:v>7.3600000000000056</c:v>
                </c:pt>
                <c:pt idx="185">
                  <c:v>7.4000000000000057</c:v>
                </c:pt>
                <c:pt idx="186">
                  <c:v>7.4400000000000057</c:v>
                </c:pt>
                <c:pt idx="187">
                  <c:v>7.4800000000000058</c:v>
                </c:pt>
                <c:pt idx="188">
                  <c:v>7.5200000000000058</c:v>
                </c:pt>
                <c:pt idx="189">
                  <c:v>7.5600000000000058</c:v>
                </c:pt>
                <c:pt idx="190">
                  <c:v>7.6000000000000059</c:v>
                </c:pt>
                <c:pt idx="191">
                  <c:v>7.6400000000000059</c:v>
                </c:pt>
                <c:pt idx="192">
                  <c:v>7.6800000000000059</c:v>
                </c:pt>
                <c:pt idx="193">
                  <c:v>7.720000000000006</c:v>
                </c:pt>
                <c:pt idx="194">
                  <c:v>7.760000000000006</c:v>
                </c:pt>
                <c:pt idx="195">
                  <c:v>7.800000000000006</c:v>
                </c:pt>
                <c:pt idx="196">
                  <c:v>7.8400000000000061</c:v>
                </c:pt>
                <c:pt idx="197">
                  <c:v>7.8800000000000061</c:v>
                </c:pt>
                <c:pt idx="198">
                  <c:v>7.9200000000000061</c:v>
                </c:pt>
                <c:pt idx="199">
                  <c:v>7.9600000000000062</c:v>
                </c:pt>
                <c:pt idx="200">
                  <c:v>8.0000000000000053</c:v>
                </c:pt>
                <c:pt idx="201">
                  <c:v>8.0400000000000045</c:v>
                </c:pt>
                <c:pt idx="202">
                  <c:v>8.0800000000000036</c:v>
                </c:pt>
                <c:pt idx="203">
                  <c:v>8.1200000000000028</c:v>
                </c:pt>
                <c:pt idx="204">
                  <c:v>8.1600000000000019</c:v>
                </c:pt>
                <c:pt idx="205">
                  <c:v>8.2000000000000011</c:v>
                </c:pt>
                <c:pt idx="206">
                  <c:v>8.24</c:v>
                </c:pt>
                <c:pt idx="207">
                  <c:v>8.2799999999999994</c:v>
                </c:pt>
                <c:pt idx="208">
                  <c:v>8.3199999999999985</c:v>
                </c:pt>
                <c:pt idx="209">
                  <c:v>8.3599999999999977</c:v>
                </c:pt>
                <c:pt idx="210">
                  <c:v>8.3999999999999968</c:v>
                </c:pt>
                <c:pt idx="211">
                  <c:v>8.4399999999999959</c:v>
                </c:pt>
                <c:pt idx="212">
                  <c:v>8.4799999999999951</c:v>
                </c:pt>
                <c:pt idx="213">
                  <c:v>8.5199999999999942</c:v>
                </c:pt>
                <c:pt idx="214">
                  <c:v>8.5599999999999934</c:v>
                </c:pt>
                <c:pt idx="215">
                  <c:v>8.5999999999999925</c:v>
                </c:pt>
                <c:pt idx="216">
                  <c:v>8.6399999999999917</c:v>
                </c:pt>
                <c:pt idx="217">
                  <c:v>8.6799999999999908</c:v>
                </c:pt>
                <c:pt idx="218">
                  <c:v>8.71999999999999</c:v>
                </c:pt>
                <c:pt idx="219">
                  <c:v>8.7599999999999891</c:v>
                </c:pt>
                <c:pt idx="220">
                  <c:v>8.7999999999999883</c:v>
                </c:pt>
                <c:pt idx="221">
                  <c:v>8.8399999999999874</c:v>
                </c:pt>
                <c:pt idx="222">
                  <c:v>8.8799999999999866</c:v>
                </c:pt>
                <c:pt idx="223">
                  <c:v>8.9199999999999857</c:v>
                </c:pt>
                <c:pt idx="224">
                  <c:v>8.9599999999999849</c:v>
                </c:pt>
                <c:pt idx="225">
                  <c:v>8.999999999999984</c:v>
                </c:pt>
                <c:pt idx="226">
                  <c:v>9.0399999999999832</c:v>
                </c:pt>
                <c:pt idx="227">
                  <c:v>9.0799999999999823</c:v>
                </c:pt>
                <c:pt idx="228">
                  <c:v>9.1199999999999815</c:v>
                </c:pt>
                <c:pt idx="229">
                  <c:v>9.1599999999999806</c:v>
                </c:pt>
                <c:pt idx="230">
                  <c:v>9.1999999999999797</c:v>
                </c:pt>
                <c:pt idx="231">
                  <c:v>9.2399999999999789</c:v>
                </c:pt>
                <c:pt idx="232">
                  <c:v>9.279999999999978</c:v>
                </c:pt>
                <c:pt idx="233">
                  <c:v>9.3199999999999772</c:v>
                </c:pt>
                <c:pt idx="234">
                  <c:v>9.3599999999999763</c:v>
                </c:pt>
                <c:pt idx="235">
                  <c:v>9.3999999999999755</c:v>
                </c:pt>
                <c:pt idx="236">
                  <c:v>9.4399999999999746</c:v>
                </c:pt>
                <c:pt idx="237">
                  <c:v>9.4799999999999738</c:v>
                </c:pt>
                <c:pt idx="238">
                  <c:v>9.5199999999999729</c:v>
                </c:pt>
                <c:pt idx="239">
                  <c:v>9.5599999999999721</c:v>
                </c:pt>
                <c:pt idx="240">
                  <c:v>9.5999999999999712</c:v>
                </c:pt>
                <c:pt idx="241">
                  <c:v>9.6399999999999704</c:v>
                </c:pt>
                <c:pt idx="242">
                  <c:v>9.6799999999999695</c:v>
                </c:pt>
                <c:pt idx="243">
                  <c:v>9.7199999999999687</c:v>
                </c:pt>
                <c:pt idx="244">
                  <c:v>9.7599999999999678</c:v>
                </c:pt>
                <c:pt idx="245">
                  <c:v>9.799999999999967</c:v>
                </c:pt>
                <c:pt idx="246">
                  <c:v>9.8399999999999661</c:v>
                </c:pt>
                <c:pt idx="247">
                  <c:v>9.8799999999999653</c:v>
                </c:pt>
                <c:pt idx="248">
                  <c:v>9.9199999999999644</c:v>
                </c:pt>
                <c:pt idx="249">
                  <c:v>9.9599999999999635</c:v>
                </c:pt>
                <c:pt idx="250">
                  <c:v>9.9999999999999627</c:v>
                </c:pt>
                <c:pt idx="251">
                  <c:v>10.039999999999962</c:v>
                </c:pt>
                <c:pt idx="252">
                  <c:v>10.079999999999961</c:v>
                </c:pt>
                <c:pt idx="253">
                  <c:v>10.11999999999996</c:v>
                </c:pt>
                <c:pt idx="254">
                  <c:v>10.159999999999959</c:v>
                </c:pt>
                <c:pt idx="255">
                  <c:v>10.199999999999958</c:v>
                </c:pt>
                <c:pt idx="256">
                  <c:v>10.239999999999958</c:v>
                </c:pt>
                <c:pt idx="257">
                  <c:v>10.279999999999957</c:v>
                </c:pt>
                <c:pt idx="258">
                  <c:v>10.319999999999956</c:v>
                </c:pt>
                <c:pt idx="259">
                  <c:v>10.359999999999955</c:v>
                </c:pt>
                <c:pt idx="260">
                  <c:v>10.399999999999954</c:v>
                </c:pt>
                <c:pt idx="261">
                  <c:v>10.439999999999953</c:v>
                </c:pt>
                <c:pt idx="262">
                  <c:v>10.479999999999952</c:v>
                </c:pt>
                <c:pt idx="263">
                  <c:v>10.519999999999952</c:v>
                </c:pt>
                <c:pt idx="264">
                  <c:v>10.559999999999951</c:v>
                </c:pt>
                <c:pt idx="265">
                  <c:v>10.59999999999995</c:v>
                </c:pt>
                <c:pt idx="266">
                  <c:v>10.639999999999949</c:v>
                </c:pt>
                <c:pt idx="267">
                  <c:v>10.679999999999948</c:v>
                </c:pt>
                <c:pt idx="268">
                  <c:v>10.719999999999947</c:v>
                </c:pt>
                <c:pt idx="269">
                  <c:v>10.759999999999946</c:v>
                </c:pt>
                <c:pt idx="270">
                  <c:v>10.799999999999946</c:v>
                </c:pt>
                <c:pt idx="271">
                  <c:v>10.839999999999945</c:v>
                </c:pt>
                <c:pt idx="272">
                  <c:v>10.879999999999944</c:v>
                </c:pt>
                <c:pt idx="273">
                  <c:v>10.919999999999943</c:v>
                </c:pt>
                <c:pt idx="274">
                  <c:v>10.959999999999942</c:v>
                </c:pt>
                <c:pt idx="275">
                  <c:v>10.999999999999941</c:v>
                </c:pt>
                <c:pt idx="276">
                  <c:v>11.039999999999941</c:v>
                </c:pt>
                <c:pt idx="277">
                  <c:v>11.07999999999994</c:v>
                </c:pt>
                <c:pt idx="278">
                  <c:v>11.119999999999939</c:v>
                </c:pt>
                <c:pt idx="279">
                  <c:v>11.159999999999938</c:v>
                </c:pt>
                <c:pt idx="280">
                  <c:v>11.199999999999937</c:v>
                </c:pt>
                <c:pt idx="281">
                  <c:v>11.239999999999936</c:v>
                </c:pt>
                <c:pt idx="282">
                  <c:v>11.279999999999935</c:v>
                </c:pt>
                <c:pt idx="283">
                  <c:v>11.319999999999935</c:v>
                </c:pt>
                <c:pt idx="284">
                  <c:v>11.359999999999934</c:v>
                </c:pt>
                <c:pt idx="285">
                  <c:v>11.399999999999933</c:v>
                </c:pt>
                <c:pt idx="286">
                  <c:v>11.439999999999932</c:v>
                </c:pt>
                <c:pt idx="287">
                  <c:v>11.479999999999931</c:v>
                </c:pt>
                <c:pt idx="288">
                  <c:v>11.51999999999993</c:v>
                </c:pt>
                <c:pt idx="289">
                  <c:v>11.559999999999929</c:v>
                </c:pt>
                <c:pt idx="290">
                  <c:v>11.599999999999929</c:v>
                </c:pt>
                <c:pt idx="291">
                  <c:v>11.639999999999928</c:v>
                </c:pt>
                <c:pt idx="292">
                  <c:v>11.679999999999927</c:v>
                </c:pt>
                <c:pt idx="293">
                  <c:v>11.719999999999926</c:v>
                </c:pt>
                <c:pt idx="294">
                  <c:v>11.759999999999925</c:v>
                </c:pt>
                <c:pt idx="295">
                  <c:v>11.799999999999924</c:v>
                </c:pt>
                <c:pt idx="296">
                  <c:v>11.839999999999923</c:v>
                </c:pt>
                <c:pt idx="297">
                  <c:v>11.879999999999923</c:v>
                </c:pt>
                <c:pt idx="298">
                  <c:v>11.919999999999922</c:v>
                </c:pt>
                <c:pt idx="299">
                  <c:v>11.959999999999921</c:v>
                </c:pt>
                <c:pt idx="300">
                  <c:v>11.99999999999992</c:v>
                </c:pt>
                <c:pt idx="301">
                  <c:v>12.039999999999919</c:v>
                </c:pt>
                <c:pt idx="302">
                  <c:v>12.079999999999918</c:v>
                </c:pt>
                <c:pt idx="303">
                  <c:v>12.119999999999918</c:v>
                </c:pt>
                <c:pt idx="304">
                  <c:v>12.159999999999917</c:v>
                </c:pt>
                <c:pt idx="305">
                  <c:v>12.199999999999916</c:v>
                </c:pt>
                <c:pt idx="306">
                  <c:v>12.239999999999915</c:v>
                </c:pt>
                <c:pt idx="307">
                  <c:v>12.279999999999914</c:v>
                </c:pt>
                <c:pt idx="308">
                  <c:v>12.319999999999913</c:v>
                </c:pt>
                <c:pt idx="309">
                  <c:v>12.359999999999912</c:v>
                </c:pt>
                <c:pt idx="310">
                  <c:v>12.399999999999912</c:v>
                </c:pt>
                <c:pt idx="311">
                  <c:v>12.439999999999911</c:v>
                </c:pt>
                <c:pt idx="312">
                  <c:v>12.47999999999991</c:v>
                </c:pt>
                <c:pt idx="313">
                  <c:v>12.519999999999909</c:v>
                </c:pt>
                <c:pt idx="314">
                  <c:v>12.559999999999908</c:v>
                </c:pt>
                <c:pt idx="315">
                  <c:v>12.599999999999907</c:v>
                </c:pt>
                <c:pt idx="316">
                  <c:v>12.639999999999906</c:v>
                </c:pt>
                <c:pt idx="317">
                  <c:v>12.679999999999906</c:v>
                </c:pt>
                <c:pt idx="318">
                  <c:v>12.719999999999905</c:v>
                </c:pt>
                <c:pt idx="319">
                  <c:v>12.759999999999904</c:v>
                </c:pt>
                <c:pt idx="320">
                  <c:v>12.799999999999903</c:v>
                </c:pt>
                <c:pt idx="321">
                  <c:v>12.839999999999902</c:v>
                </c:pt>
                <c:pt idx="322">
                  <c:v>12.879999999999901</c:v>
                </c:pt>
                <c:pt idx="323">
                  <c:v>12.9199999999999</c:v>
                </c:pt>
                <c:pt idx="324">
                  <c:v>12.9599999999999</c:v>
                </c:pt>
                <c:pt idx="325">
                  <c:v>12.999999999999899</c:v>
                </c:pt>
                <c:pt idx="326">
                  <c:v>13.039999999999898</c:v>
                </c:pt>
                <c:pt idx="327">
                  <c:v>13.079999999999897</c:v>
                </c:pt>
                <c:pt idx="328">
                  <c:v>13.119999999999896</c:v>
                </c:pt>
                <c:pt idx="329">
                  <c:v>13.159999999999895</c:v>
                </c:pt>
                <c:pt idx="330">
                  <c:v>13.199999999999894</c:v>
                </c:pt>
                <c:pt idx="331">
                  <c:v>13.239999999999894</c:v>
                </c:pt>
                <c:pt idx="332">
                  <c:v>13.279999999999893</c:v>
                </c:pt>
                <c:pt idx="333">
                  <c:v>13.319999999999892</c:v>
                </c:pt>
                <c:pt idx="334">
                  <c:v>13.359999999999891</c:v>
                </c:pt>
                <c:pt idx="335">
                  <c:v>13.39999999999989</c:v>
                </c:pt>
                <c:pt idx="336">
                  <c:v>13.439999999999889</c:v>
                </c:pt>
                <c:pt idx="337">
                  <c:v>13.479999999999889</c:v>
                </c:pt>
                <c:pt idx="338">
                  <c:v>13.519999999999888</c:v>
                </c:pt>
                <c:pt idx="339">
                  <c:v>13.559999999999887</c:v>
                </c:pt>
                <c:pt idx="340">
                  <c:v>13.599999999999886</c:v>
                </c:pt>
                <c:pt idx="341">
                  <c:v>13.639999999999885</c:v>
                </c:pt>
                <c:pt idx="342">
                  <c:v>13.679999999999884</c:v>
                </c:pt>
                <c:pt idx="343">
                  <c:v>13.719999999999883</c:v>
                </c:pt>
                <c:pt idx="344">
                  <c:v>13.759999999999883</c:v>
                </c:pt>
                <c:pt idx="345">
                  <c:v>13.799999999999882</c:v>
                </c:pt>
                <c:pt idx="346">
                  <c:v>13.839999999999881</c:v>
                </c:pt>
                <c:pt idx="347">
                  <c:v>13.87999999999988</c:v>
                </c:pt>
                <c:pt idx="348">
                  <c:v>13.919999999999879</c:v>
                </c:pt>
                <c:pt idx="349">
                  <c:v>13.959999999999878</c:v>
                </c:pt>
                <c:pt idx="350">
                  <c:v>13.999999999999877</c:v>
                </c:pt>
                <c:pt idx="351">
                  <c:v>14.039999999999877</c:v>
                </c:pt>
                <c:pt idx="352">
                  <c:v>14.079999999999876</c:v>
                </c:pt>
                <c:pt idx="353">
                  <c:v>14.119999999999875</c:v>
                </c:pt>
                <c:pt idx="354">
                  <c:v>14.159999999999874</c:v>
                </c:pt>
                <c:pt idx="355">
                  <c:v>14.199999999999873</c:v>
                </c:pt>
                <c:pt idx="356">
                  <c:v>14.239999999999872</c:v>
                </c:pt>
                <c:pt idx="357">
                  <c:v>14.279999999999871</c:v>
                </c:pt>
                <c:pt idx="358">
                  <c:v>14.319999999999871</c:v>
                </c:pt>
                <c:pt idx="359">
                  <c:v>14.35999999999987</c:v>
                </c:pt>
                <c:pt idx="360">
                  <c:v>14.399999999999869</c:v>
                </c:pt>
                <c:pt idx="361">
                  <c:v>14.439999999999868</c:v>
                </c:pt>
                <c:pt idx="362">
                  <c:v>14.479999999999867</c:v>
                </c:pt>
                <c:pt idx="363">
                  <c:v>14.519999999999866</c:v>
                </c:pt>
                <c:pt idx="364">
                  <c:v>14.559999999999865</c:v>
                </c:pt>
                <c:pt idx="365">
                  <c:v>14.599999999999865</c:v>
                </c:pt>
                <c:pt idx="366">
                  <c:v>14.639999999999864</c:v>
                </c:pt>
                <c:pt idx="367">
                  <c:v>14.679999999999863</c:v>
                </c:pt>
                <c:pt idx="368">
                  <c:v>14.719999999999862</c:v>
                </c:pt>
                <c:pt idx="369">
                  <c:v>14.759999999999861</c:v>
                </c:pt>
                <c:pt idx="370">
                  <c:v>14.79999999999986</c:v>
                </c:pt>
                <c:pt idx="371">
                  <c:v>14.83999999999986</c:v>
                </c:pt>
                <c:pt idx="372">
                  <c:v>14.879999999999859</c:v>
                </c:pt>
                <c:pt idx="373">
                  <c:v>14.919999999999858</c:v>
                </c:pt>
                <c:pt idx="374">
                  <c:v>14.959999999999857</c:v>
                </c:pt>
                <c:pt idx="375">
                  <c:v>14.999999999999856</c:v>
                </c:pt>
                <c:pt idx="376">
                  <c:v>15.039999999999855</c:v>
                </c:pt>
                <c:pt idx="377">
                  <c:v>15.079999999999854</c:v>
                </c:pt>
                <c:pt idx="378">
                  <c:v>15.119999999999854</c:v>
                </c:pt>
                <c:pt idx="379">
                  <c:v>15.159999999999853</c:v>
                </c:pt>
                <c:pt idx="380">
                  <c:v>15.199999999999852</c:v>
                </c:pt>
                <c:pt idx="381">
                  <c:v>15.239999999999851</c:v>
                </c:pt>
                <c:pt idx="382">
                  <c:v>15.27999999999985</c:v>
                </c:pt>
                <c:pt idx="383">
                  <c:v>15.319999999999849</c:v>
                </c:pt>
                <c:pt idx="384">
                  <c:v>15.359999999999848</c:v>
                </c:pt>
                <c:pt idx="385">
                  <c:v>15.399999999999848</c:v>
                </c:pt>
                <c:pt idx="386">
                  <c:v>15.439999999999847</c:v>
                </c:pt>
                <c:pt idx="387">
                  <c:v>15.479999999999846</c:v>
                </c:pt>
                <c:pt idx="388">
                  <c:v>15.519999999999845</c:v>
                </c:pt>
                <c:pt idx="389">
                  <c:v>15.559999999999844</c:v>
                </c:pt>
                <c:pt idx="390">
                  <c:v>15.599999999999843</c:v>
                </c:pt>
                <c:pt idx="391">
                  <c:v>15.639999999999842</c:v>
                </c:pt>
                <c:pt idx="392">
                  <c:v>15.679999999999842</c:v>
                </c:pt>
                <c:pt idx="393">
                  <c:v>15.719999999999841</c:v>
                </c:pt>
                <c:pt idx="394">
                  <c:v>15.75999999999984</c:v>
                </c:pt>
                <c:pt idx="395">
                  <c:v>15.799999999999839</c:v>
                </c:pt>
                <c:pt idx="396">
                  <c:v>15.839999999999838</c:v>
                </c:pt>
                <c:pt idx="397">
                  <c:v>15.879999999999837</c:v>
                </c:pt>
                <c:pt idx="398">
                  <c:v>15.919999999999837</c:v>
                </c:pt>
                <c:pt idx="399">
                  <c:v>15.959999999999836</c:v>
                </c:pt>
                <c:pt idx="400">
                  <c:v>15.999999999999835</c:v>
                </c:pt>
                <c:pt idx="401">
                  <c:v>16.039999999999836</c:v>
                </c:pt>
                <c:pt idx="402">
                  <c:v>16.079999999999835</c:v>
                </c:pt>
                <c:pt idx="403">
                  <c:v>16.119999999999834</c:v>
                </c:pt>
                <c:pt idx="404">
                  <c:v>16.159999999999833</c:v>
                </c:pt>
                <c:pt idx="405">
                  <c:v>16.199999999999832</c:v>
                </c:pt>
                <c:pt idx="406">
                  <c:v>16.239999999999831</c:v>
                </c:pt>
                <c:pt idx="407">
                  <c:v>16.279999999999831</c:v>
                </c:pt>
                <c:pt idx="408">
                  <c:v>16.31999999999983</c:v>
                </c:pt>
                <c:pt idx="409">
                  <c:v>16.359999999999829</c:v>
                </c:pt>
                <c:pt idx="410">
                  <c:v>16.399999999999828</c:v>
                </c:pt>
                <c:pt idx="411">
                  <c:v>16.439999999999827</c:v>
                </c:pt>
                <c:pt idx="412">
                  <c:v>16.479999999999826</c:v>
                </c:pt>
                <c:pt idx="413">
                  <c:v>16.519999999999825</c:v>
                </c:pt>
                <c:pt idx="414">
                  <c:v>16.559999999999825</c:v>
                </c:pt>
                <c:pt idx="415">
                  <c:v>16.599999999999824</c:v>
                </c:pt>
                <c:pt idx="416">
                  <c:v>16.639999999999823</c:v>
                </c:pt>
                <c:pt idx="417">
                  <c:v>16.679999999999822</c:v>
                </c:pt>
                <c:pt idx="418">
                  <c:v>16.719999999999821</c:v>
                </c:pt>
                <c:pt idx="419">
                  <c:v>16.75999999999982</c:v>
                </c:pt>
                <c:pt idx="420">
                  <c:v>16.79999999999982</c:v>
                </c:pt>
                <c:pt idx="421">
                  <c:v>16.839999999999819</c:v>
                </c:pt>
                <c:pt idx="422">
                  <c:v>16.879999999999818</c:v>
                </c:pt>
                <c:pt idx="423">
                  <c:v>16.919999999999817</c:v>
                </c:pt>
                <c:pt idx="424">
                  <c:v>16.959999999999816</c:v>
                </c:pt>
                <c:pt idx="425">
                  <c:v>16.999999999999815</c:v>
                </c:pt>
                <c:pt idx="426">
                  <c:v>17.039999999999814</c:v>
                </c:pt>
                <c:pt idx="427">
                  <c:v>17.079999999999814</c:v>
                </c:pt>
                <c:pt idx="428">
                  <c:v>17.119999999999813</c:v>
                </c:pt>
                <c:pt idx="429">
                  <c:v>17.159999999999812</c:v>
                </c:pt>
                <c:pt idx="430">
                  <c:v>17.199999999999811</c:v>
                </c:pt>
                <c:pt idx="431">
                  <c:v>17.23999999999981</c:v>
                </c:pt>
                <c:pt idx="432">
                  <c:v>17.279999999999809</c:v>
                </c:pt>
                <c:pt idx="433">
                  <c:v>17.319999999999808</c:v>
                </c:pt>
                <c:pt idx="434">
                  <c:v>17.359999999999808</c:v>
                </c:pt>
                <c:pt idx="435">
                  <c:v>17.399999999999807</c:v>
                </c:pt>
                <c:pt idx="436">
                  <c:v>17.439999999999806</c:v>
                </c:pt>
                <c:pt idx="437">
                  <c:v>17.479999999999805</c:v>
                </c:pt>
                <c:pt idx="438">
                  <c:v>17.519999999999804</c:v>
                </c:pt>
                <c:pt idx="439">
                  <c:v>17.559999999999803</c:v>
                </c:pt>
                <c:pt idx="440">
                  <c:v>17.599999999999802</c:v>
                </c:pt>
                <c:pt idx="441">
                  <c:v>17.639999999999802</c:v>
                </c:pt>
                <c:pt idx="442">
                  <c:v>17.679999999999801</c:v>
                </c:pt>
                <c:pt idx="443">
                  <c:v>17.7199999999998</c:v>
                </c:pt>
                <c:pt idx="444">
                  <c:v>17.759999999999799</c:v>
                </c:pt>
                <c:pt idx="445">
                  <c:v>17.799999999999798</c:v>
                </c:pt>
                <c:pt idx="446">
                  <c:v>17.839999999999797</c:v>
                </c:pt>
                <c:pt idx="447">
                  <c:v>17.879999999999797</c:v>
                </c:pt>
                <c:pt idx="448">
                  <c:v>17.919999999999796</c:v>
                </c:pt>
                <c:pt idx="449">
                  <c:v>17.959999999999795</c:v>
                </c:pt>
                <c:pt idx="450">
                  <c:v>17.999999999999794</c:v>
                </c:pt>
                <c:pt idx="451">
                  <c:v>18.039999999999793</c:v>
                </c:pt>
                <c:pt idx="452">
                  <c:v>18.079999999999792</c:v>
                </c:pt>
                <c:pt idx="453">
                  <c:v>18.119999999999791</c:v>
                </c:pt>
                <c:pt idx="454">
                  <c:v>18.159999999999791</c:v>
                </c:pt>
                <c:pt idx="455">
                  <c:v>18.19999999999979</c:v>
                </c:pt>
                <c:pt idx="456">
                  <c:v>18.239999999999789</c:v>
                </c:pt>
                <c:pt idx="457">
                  <c:v>18.279999999999788</c:v>
                </c:pt>
                <c:pt idx="458">
                  <c:v>18.319999999999787</c:v>
                </c:pt>
                <c:pt idx="459">
                  <c:v>18.359999999999786</c:v>
                </c:pt>
                <c:pt idx="460">
                  <c:v>18.399999999999785</c:v>
                </c:pt>
                <c:pt idx="461">
                  <c:v>18.439999999999785</c:v>
                </c:pt>
                <c:pt idx="462">
                  <c:v>18.479999999999784</c:v>
                </c:pt>
                <c:pt idx="463">
                  <c:v>18.519999999999783</c:v>
                </c:pt>
                <c:pt idx="464">
                  <c:v>18.559999999999782</c:v>
                </c:pt>
                <c:pt idx="465">
                  <c:v>18.599999999999781</c:v>
                </c:pt>
                <c:pt idx="466">
                  <c:v>18.63999999999978</c:v>
                </c:pt>
                <c:pt idx="467">
                  <c:v>18.679999999999779</c:v>
                </c:pt>
                <c:pt idx="468">
                  <c:v>18.719999999999779</c:v>
                </c:pt>
                <c:pt idx="469">
                  <c:v>18.759999999999778</c:v>
                </c:pt>
                <c:pt idx="470">
                  <c:v>18.799999999999777</c:v>
                </c:pt>
                <c:pt idx="471">
                  <c:v>18.839999999999776</c:v>
                </c:pt>
                <c:pt idx="472">
                  <c:v>18.879999999999775</c:v>
                </c:pt>
                <c:pt idx="473">
                  <c:v>18.919999999999774</c:v>
                </c:pt>
                <c:pt idx="474">
                  <c:v>18.959999999999773</c:v>
                </c:pt>
                <c:pt idx="475">
                  <c:v>18.999999999999773</c:v>
                </c:pt>
                <c:pt idx="476">
                  <c:v>19.039999999999772</c:v>
                </c:pt>
                <c:pt idx="477">
                  <c:v>19.079999999999771</c:v>
                </c:pt>
                <c:pt idx="478">
                  <c:v>19.11999999999977</c:v>
                </c:pt>
                <c:pt idx="479">
                  <c:v>19.159999999999769</c:v>
                </c:pt>
                <c:pt idx="480">
                  <c:v>19.199999999999768</c:v>
                </c:pt>
                <c:pt idx="481">
                  <c:v>19.239999999999768</c:v>
                </c:pt>
                <c:pt idx="482">
                  <c:v>19.279999999999767</c:v>
                </c:pt>
                <c:pt idx="483">
                  <c:v>19.319999999999766</c:v>
                </c:pt>
                <c:pt idx="484">
                  <c:v>19.359999999999765</c:v>
                </c:pt>
                <c:pt idx="485">
                  <c:v>19.399999999999764</c:v>
                </c:pt>
                <c:pt idx="486">
                  <c:v>19.439999999999763</c:v>
                </c:pt>
                <c:pt idx="487">
                  <c:v>19.479999999999762</c:v>
                </c:pt>
                <c:pt idx="488">
                  <c:v>19.519999999999762</c:v>
                </c:pt>
                <c:pt idx="489">
                  <c:v>19.559999999999761</c:v>
                </c:pt>
                <c:pt idx="490">
                  <c:v>19.59999999999976</c:v>
                </c:pt>
                <c:pt idx="491">
                  <c:v>19.639999999999759</c:v>
                </c:pt>
                <c:pt idx="492">
                  <c:v>19.679999999999758</c:v>
                </c:pt>
                <c:pt idx="493">
                  <c:v>19.719999999999757</c:v>
                </c:pt>
                <c:pt idx="494">
                  <c:v>19.759999999999756</c:v>
                </c:pt>
                <c:pt idx="495">
                  <c:v>19.799999999999756</c:v>
                </c:pt>
                <c:pt idx="496">
                  <c:v>19.839999999999755</c:v>
                </c:pt>
                <c:pt idx="497">
                  <c:v>19.879999999999754</c:v>
                </c:pt>
                <c:pt idx="498">
                  <c:v>19.919999999999753</c:v>
                </c:pt>
                <c:pt idx="499">
                  <c:v>19.959999999999752</c:v>
                </c:pt>
                <c:pt idx="500">
                  <c:v>19.999999999999751</c:v>
                </c:pt>
                <c:pt idx="501">
                  <c:v>20.03999999999975</c:v>
                </c:pt>
                <c:pt idx="502">
                  <c:v>20.07999999999975</c:v>
                </c:pt>
                <c:pt idx="503">
                  <c:v>20.119999999999749</c:v>
                </c:pt>
                <c:pt idx="504">
                  <c:v>20.159999999999748</c:v>
                </c:pt>
                <c:pt idx="505">
                  <c:v>20.199999999999747</c:v>
                </c:pt>
                <c:pt idx="506">
                  <c:v>20.239999999999746</c:v>
                </c:pt>
                <c:pt idx="507">
                  <c:v>20.279999999999745</c:v>
                </c:pt>
                <c:pt idx="508">
                  <c:v>20.319999999999744</c:v>
                </c:pt>
                <c:pt idx="509">
                  <c:v>20.359999999999744</c:v>
                </c:pt>
                <c:pt idx="510">
                  <c:v>20.399999999999743</c:v>
                </c:pt>
                <c:pt idx="511">
                  <c:v>20.439999999999742</c:v>
                </c:pt>
                <c:pt idx="512">
                  <c:v>20.479999999999741</c:v>
                </c:pt>
                <c:pt idx="513">
                  <c:v>20.51999999999974</c:v>
                </c:pt>
                <c:pt idx="514">
                  <c:v>20.559999999999739</c:v>
                </c:pt>
                <c:pt idx="515">
                  <c:v>20.599999999999739</c:v>
                </c:pt>
                <c:pt idx="516">
                  <c:v>20.639999999999738</c:v>
                </c:pt>
                <c:pt idx="517">
                  <c:v>20.679999999999737</c:v>
                </c:pt>
                <c:pt idx="518">
                  <c:v>20.719999999999736</c:v>
                </c:pt>
                <c:pt idx="519">
                  <c:v>20.759999999999735</c:v>
                </c:pt>
                <c:pt idx="520">
                  <c:v>20.799999999999734</c:v>
                </c:pt>
                <c:pt idx="521">
                  <c:v>20.839999999999733</c:v>
                </c:pt>
                <c:pt idx="522">
                  <c:v>20.879999999999733</c:v>
                </c:pt>
                <c:pt idx="523">
                  <c:v>20.919999999999732</c:v>
                </c:pt>
                <c:pt idx="524">
                  <c:v>20.959999999999731</c:v>
                </c:pt>
                <c:pt idx="525">
                  <c:v>20.99999999999973</c:v>
                </c:pt>
                <c:pt idx="526">
                  <c:v>21.039999999999729</c:v>
                </c:pt>
                <c:pt idx="527">
                  <c:v>21.079999999999728</c:v>
                </c:pt>
                <c:pt idx="528">
                  <c:v>21.119999999999727</c:v>
                </c:pt>
                <c:pt idx="529">
                  <c:v>21.159999999999727</c:v>
                </c:pt>
                <c:pt idx="530">
                  <c:v>21.199999999999726</c:v>
                </c:pt>
                <c:pt idx="531">
                  <c:v>21.239999999999725</c:v>
                </c:pt>
                <c:pt idx="532">
                  <c:v>21.279999999999724</c:v>
                </c:pt>
                <c:pt idx="533">
                  <c:v>21.319999999999723</c:v>
                </c:pt>
                <c:pt idx="534">
                  <c:v>21.359999999999722</c:v>
                </c:pt>
                <c:pt idx="535">
                  <c:v>21.399999999999721</c:v>
                </c:pt>
                <c:pt idx="536">
                  <c:v>21.439999999999721</c:v>
                </c:pt>
                <c:pt idx="537">
                  <c:v>21.47999999999972</c:v>
                </c:pt>
                <c:pt idx="538">
                  <c:v>21.519999999999719</c:v>
                </c:pt>
                <c:pt idx="539">
                  <c:v>21.559999999999718</c:v>
                </c:pt>
                <c:pt idx="540">
                  <c:v>21.599999999999717</c:v>
                </c:pt>
                <c:pt idx="541">
                  <c:v>21.639999999999716</c:v>
                </c:pt>
                <c:pt idx="542">
                  <c:v>21.679999999999715</c:v>
                </c:pt>
                <c:pt idx="543">
                  <c:v>21.719999999999715</c:v>
                </c:pt>
                <c:pt idx="544">
                  <c:v>21.759999999999714</c:v>
                </c:pt>
                <c:pt idx="545">
                  <c:v>21.799999999999713</c:v>
                </c:pt>
                <c:pt idx="546">
                  <c:v>21.839999999999712</c:v>
                </c:pt>
                <c:pt idx="547">
                  <c:v>21.879999999999711</c:v>
                </c:pt>
                <c:pt idx="548">
                  <c:v>21.91999999999971</c:v>
                </c:pt>
                <c:pt idx="549">
                  <c:v>21.95999999999971</c:v>
                </c:pt>
                <c:pt idx="550">
                  <c:v>21.999999999999709</c:v>
                </c:pt>
                <c:pt idx="551">
                  <c:v>22.039999999999708</c:v>
                </c:pt>
                <c:pt idx="552">
                  <c:v>22.079999999999707</c:v>
                </c:pt>
                <c:pt idx="553">
                  <c:v>22.119999999999706</c:v>
                </c:pt>
                <c:pt idx="554">
                  <c:v>22.159999999999705</c:v>
                </c:pt>
                <c:pt idx="555">
                  <c:v>22.199999999999704</c:v>
                </c:pt>
                <c:pt idx="556">
                  <c:v>22.239999999999704</c:v>
                </c:pt>
                <c:pt idx="557">
                  <c:v>22.279999999999703</c:v>
                </c:pt>
                <c:pt idx="558">
                  <c:v>22.319999999999702</c:v>
                </c:pt>
                <c:pt idx="559">
                  <c:v>22.359999999999701</c:v>
                </c:pt>
                <c:pt idx="560">
                  <c:v>22.3999999999997</c:v>
                </c:pt>
                <c:pt idx="561">
                  <c:v>22.439999999999699</c:v>
                </c:pt>
                <c:pt idx="562">
                  <c:v>22.479999999999698</c:v>
                </c:pt>
                <c:pt idx="563">
                  <c:v>22.519999999999698</c:v>
                </c:pt>
                <c:pt idx="564">
                  <c:v>22.559999999999697</c:v>
                </c:pt>
                <c:pt idx="565">
                  <c:v>22.599999999999696</c:v>
                </c:pt>
                <c:pt idx="566">
                  <c:v>22.639999999999695</c:v>
                </c:pt>
                <c:pt idx="567">
                  <c:v>22.679999999999694</c:v>
                </c:pt>
                <c:pt idx="568">
                  <c:v>22.719999999999693</c:v>
                </c:pt>
                <c:pt idx="569">
                  <c:v>22.759999999999692</c:v>
                </c:pt>
                <c:pt idx="570">
                  <c:v>22.799999999999692</c:v>
                </c:pt>
                <c:pt idx="571">
                  <c:v>22.839999999999691</c:v>
                </c:pt>
                <c:pt idx="572">
                  <c:v>22.87999999999969</c:v>
                </c:pt>
                <c:pt idx="573">
                  <c:v>22.919999999999689</c:v>
                </c:pt>
                <c:pt idx="574">
                  <c:v>22.959999999999688</c:v>
                </c:pt>
                <c:pt idx="575">
                  <c:v>22.999999999999687</c:v>
                </c:pt>
                <c:pt idx="576">
                  <c:v>23.039999999999687</c:v>
                </c:pt>
                <c:pt idx="577">
                  <c:v>23.079999999999686</c:v>
                </c:pt>
                <c:pt idx="578">
                  <c:v>23.119999999999685</c:v>
                </c:pt>
                <c:pt idx="579">
                  <c:v>23.159999999999684</c:v>
                </c:pt>
                <c:pt idx="580">
                  <c:v>23.199999999999683</c:v>
                </c:pt>
                <c:pt idx="581">
                  <c:v>23.239999999999682</c:v>
                </c:pt>
                <c:pt idx="582">
                  <c:v>23.279999999999681</c:v>
                </c:pt>
                <c:pt idx="583">
                  <c:v>23.319999999999681</c:v>
                </c:pt>
                <c:pt idx="584">
                  <c:v>23.35999999999968</c:v>
                </c:pt>
                <c:pt idx="585">
                  <c:v>23.399999999999679</c:v>
                </c:pt>
                <c:pt idx="586">
                  <c:v>23.439999999999678</c:v>
                </c:pt>
                <c:pt idx="587">
                  <c:v>23.479999999999677</c:v>
                </c:pt>
                <c:pt idx="588">
                  <c:v>23.519999999999676</c:v>
                </c:pt>
                <c:pt idx="589">
                  <c:v>23.559999999999675</c:v>
                </c:pt>
                <c:pt idx="590">
                  <c:v>23.599999999999675</c:v>
                </c:pt>
                <c:pt idx="591">
                  <c:v>23.639999999999674</c:v>
                </c:pt>
                <c:pt idx="592">
                  <c:v>23.679999999999673</c:v>
                </c:pt>
                <c:pt idx="593">
                  <c:v>23.719999999999672</c:v>
                </c:pt>
                <c:pt idx="594">
                  <c:v>23.759999999999671</c:v>
                </c:pt>
                <c:pt idx="595">
                  <c:v>23.79999999999967</c:v>
                </c:pt>
                <c:pt idx="596">
                  <c:v>23.839999999999669</c:v>
                </c:pt>
                <c:pt idx="597">
                  <c:v>23.879999999999669</c:v>
                </c:pt>
                <c:pt idx="598">
                  <c:v>23.919999999999668</c:v>
                </c:pt>
                <c:pt idx="599">
                  <c:v>23.959999999999667</c:v>
                </c:pt>
                <c:pt idx="600">
                  <c:v>23.999999999999666</c:v>
                </c:pt>
                <c:pt idx="601">
                  <c:v>24.039999999999665</c:v>
                </c:pt>
                <c:pt idx="602">
                  <c:v>24.079999999999664</c:v>
                </c:pt>
                <c:pt idx="603">
                  <c:v>24.119999999999663</c:v>
                </c:pt>
                <c:pt idx="604">
                  <c:v>24.159999999999663</c:v>
                </c:pt>
                <c:pt idx="605">
                  <c:v>24.199999999999662</c:v>
                </c:pt>
                <c:pt idx="606">
                  <c:v>24.239999999999661</c:v>
                </c:pt>
                <c:pt idx="607">
                  <c:v>24.27999999999966</c:v>
                </c:pt>
                <c:pt idx="608">
                  <c:v>24.319999999999659</c:v>
                </c:pt>
                <c:pt idx="609">
                  <c:v>24.359999999999658</c:v>
                </c:pt>
                <c:pt idx="610">
                  <c:v>24.399999999999658</c:v>
                </c:pt>
                <c:pt idx="611">
                  <c:v>24.439999999999657</c:v>
                </c:pt>
                <c:pt idx="612">
                  <c:v>24.479999999999656</c:v>
                </c:pt>
                <c:pt idx="613">
                  <c:v>24.519999999999655</c:v>
                </c:pt>
                <c:pt idx="614">
                  <c:v>24.559999999999654</c:v>
                </c:pt>
                <c:pt idx="615">
                  <c:v>24.599999999999653</c:v>
                </c:pt>
                <c:pt idx="616">
                  <c:v>24.639999999999652</c:v>
                </c:pt>
                <c:pt idx="617">
                  <c:v>24.679999999999652</c:v>
                </c:pt>
                <c:pt idx="618">
                  <c:v>24.719999999999651</c:v>
                </c:pt>
                <c:pt idx="619">
                  <c:v>24.75999999999965</c:v>
                </c:pt>
                <c:pt idx="620">
                  <c:v>24.799999999999649</c:v>
                </c:pt>
                <c:pt idx="621">
                  <c:v>24.839999999999648</c:v>
                </c:pt>
                <c:pt idx="622">
                  <c:v>24.879999999999647</c:v>
                </c:pt>
                <c:pt idx="623">
                  <c:v>24.919999999999646</c:v>
                </c:pt>
                <c:pt idx="624">
                  <c:v>24.959999999999646</c:v>
                </c:pt>
                <c:pt idx="625">
                  <c:v>24.999999999999645</c:v>
                </c:pt>
                <c:pt idx="626">
                  <c:v>25.039999999999644</c:v>
                </c:pt>
                <c:pt idx="627">
                  <c:v>25.079999999999643</c:v>
                </c:pt>
                <c:pt idx="628">
                  <c:v>25.119999999999642</c:v>
                </c:pt>
                <c:pt idx="629">
                  <c:v>25.159999999999641</c:v>
                </c:pt>
                <c:pt idx="630">
                  <c:v>25.19999999999964</c:v>
                </c:pt>
                <c:pt idx="631">
                  <c:v>25.23999999999964</c:v>
                </c:pt>
                <c:pt idx="632">
                  <c:v>25.279999999999639</c:v>
                </c:pt>
                <c:pt idx="633">
                  <c:v>25.319999999999638</c:v>
                </c:pt>
                <c:pt idx="634">
                  <c:v>25.359999999999637</c:v>
                </c:pt>
                <c:pt idx="635">
                  <c:v>25.399999999999636</c:v>
                </c:pt>
                <c:pt idx="636">
                  <c:v>25.439999999999635</c:v>
                </c:pt>
                <c:pt idx="637">
                  <c:v>25.479999999999634</c:v>
                </c:pt>
                <c:pt idx="638">
                  <c:v>25.519999999999634</c:v>
                </c:pt>
                <c:pt idx="639">
                  <c:v>25.559999999999633</c:v>
                </c:pt>
                <c:pt idx="640">
                  <c:v>25.599999999999632</c:v>
                </c:pt>
                <c:pt idx="641">
                  <c:v>25.639999999999631</c:v>
                </c:pt>
                <c:pt idx="642">
                  <c:v>25.67999999999963</c:v>
                </c:pt>
                <c:pt idx="643">
                  <c:v>25.719999999999629</c:v>
                </c:pt>
                <c:pt idx="644">
                  <c:v>25.759999999999629</c:v>
                </c:pt>
                <c:pt idx="645">
                  <c:v>25.799999999999628</c:v>
                </c:pt>
                <c:pt idx="646">
                  <c:v>25.839999999999627</c:v>
                </c:pt>
                <c:pt idx="647">
                  <c:v>25.879999999999626</c:v>
                </c:pt>
                <c:pt idx="648">
                  <c:v>25.919999999999625</c:v>
                </c:pt>
                <c:pt idx="649">
                  <c:v>25.959999999999624</c:v>
                </c:pt>
                <c:pt idx="650">
                  <c:v>25.999999999999623</c:v>
                </c:pt>
                <c:pt idx="651">
                  <c:v>26.039999999999623</c:v>
                </c:pt>
                <c:pt idx="652">
                  <c:v>26.079999999999622</c:v>
                </c:pt>
                <c:pt idx="653">
                  <c:v>26.119999999999621</c:v>
                </c:pt>
                <c:pt idx="654">
                  <c:v>26.15999999999962</c:v>
                </c:pt>
                <c:pt idx="655">
                  <c:v>26.199999999999619</c:v>
                </c:pt>
                <c:pt idx="656">
                  <c:v>26.239999999999618</c:v>
                </c:pt>
                <c:pt idx="657">
                  <c:v>26.279999999999617</c:v>
                </c:pt>
                <c:pt idx="658">
                  <c:v>26.319999999999617</c:v>
                </c:pt>
                <c:pt idx="659">
                  <c:v>26.359999999999616</c:v>
                </c:pt>
                <c:pt idx="660">
                  <c:v>26.399999999999615</c:v>
                </c:pt>
                <c:pt idx="661">
                  <c:v>26.439999999999614</c:v>
                </c:pt>
                <c:pt idx="662">
                  <c:v>26.479999999999613</c:v>
                </c:pt>
                <c:pt idx="663">
                  <c:v>26.519999999999612</c:v>
                </c:pt>
                <c:pt idx="664">
                  <c:v>26.559999999999611</c:v>
                </c:pt>
                <c:pt idx="665">
                  <c:v>26.599999999999611</c:v>
                </c:pt>
                <c:pt idx="666">
                  <c:v>26.63999999999961</c:v>
                </c:pt>
                <c:pt idx="667">
                  <c:v>26.679999999999609</c:v>
                </c:pt>
                <c:pt idx="668">
                  <c:v>26.719999999999608</c:v>
                </c:pt>
                <c:pt idx="669">
                  <c:v>26.759999999999607</c:v>
                </c:pt>
                <c:pt idx="670">
                  <c:v>26.799999999999606</c:v>
                </c:pt>
                <c:pt idx="671">
                  <c:v>26.839999999999606</c:v>
                </c:pt>
                <c:pt idx="672">
                  <c:v>26.879999999999605</c:v>
                </c:pt>
                <c:pt idx="673">
                  <c:v>26.919999999999604</c:v>
                </c:pt>
                <c:pt idx="674">
                  <c:v>26.959999999999603</c:v>
                </c:pt>
                <c:pt idx="675">
                  <c:v>26.999999999999602</c:v>
                </c:pt>
                <c:pt idx="676">
                  <c:v>27.039999999999601</c:v>
                </c:pt>
                <c:pt idx="677">
                  <c:v>27.0799999999996</c:v>
                </c:pt>
                <c:pt idx="678">
                  <c:v>27.1199999999996</c:v>
                </c:pt>
                <c:pt idx="679">
                  <c:v>27.159999999999599</c:v>
                </c:pt>
                <c:pt idx="680">
                  <c:v>27.199999999999598</c:v>
                </c:pt>
                <c:pt idx="681">
                  <c:v>27.239999999999597</c:v>
                </c:pt>
                <c:pt idx="682">
                  <c:v>27.279999999999596</c:v>
                </c:pt>
                <c:pt idx="683">
                  <c:v>27.319999999999595</c:v>
                </c:pt>
                <c:pt idx="684">
                  <c:v>27.359999999999594</c:v>
                </c:pt>
                <c:pt idx="685">
                  <c:v>27.399999999999594</c:v>
                </c:pt>
                <c:pt idx="686">
                  <c:v>27.439999999999593</c:v>
                </c:pt>
                <c:pt idx="687">
                  <c:v>27.479999999999592</c:v>
                </c:pt>
                <c:pt idx="688">
                  <c:v>27.519999999999591</c:v>
                </c:pt>
                <c:pt idx="689">
                  <c:v>27.55999999999959</c:v>
                </c:pt>
                <c:pt idx="690">
                  <c:v>27.599999999999589</c:v>
                </c:pt>
                <c:pt idx="691">
                  <c:v>27.639999999999588</c:v>
                </c:pt>
                <c:pt idx="692">
                  <c:v>27.679999999999588</c:v>
                </c:pt>
                <c:pt idx="693">
                  <c:v>27.719999999999587</c:v>
                </c:pt>
                <c:pt idx="694">
                  <c:v>27.759999999999586</c:v>
                </c:pt>
                <c:pt idx="695">
                  <c:v>27.799999999999585</c:v>
                </c:pt>
                <c:pt idx="696">
                  <c:v>27.839999999999584</c:v>
                </c:pt>
                <c:pt idx="697">
                  <c:v>27.879999999999583</c:v>
                </c:pt>
                <c:pt idx="698">
                  <c:v>27.919999999999582</c:v>
                </c:pt>
                <c:pt idx="699">
                  <c:v>27.959999999999582</c:v>
                </c:pt>
                <c:pt idx="700">
                  <c:v>27.999999999999581</c:v>
                </c:pt>
                <c:pt idx="701">
                  <c:v>28.03999999999958</c:v>
                </c:pt>
                <c:pt idx="702">
                  <c:v>28.079999999999579</c:v>
                </c:pt>
                <c:pt idx="703">
                  <c:v>28.119999999999578</c:v>
                </c:pt>
                <c:pt idx="704">
                  <c:v>28.159999999999577</c:v>
                </c:pt>
                <c:pt idx="705">
                  <c:v>28.199999999999577</c:v>
                </c:pt>
                <c:pt idx="706">
                  <c:v>28.239999999999576</c:v>
                </c:pt>
                <c:pt idx="707">
                  <c:v>28.279999999999575</c:v>
                </c:pt>
                <c:pt idx="708">
                  <c:v>28.319999999999574</c:v>
                </c:pt>
                <c:pt idx="709">
                  <c:v>28.359999999999573</c:v>
                </c:pt>
                <c:pt idx="710">
                  <c:v>28.399999999999572</c:v>
                </c:pt>
                <c:pt idx="711">
                  <c:v>28.439999999999571</c:v>
                </c:pt>
                <c:pt idx="712">
                  <c:v>28.479999999999571</c:v>
                </c:pt>
                <c:pt idx="713">
                  <c:v>28.51999999999957</c:v>
                </c:pt>
                <c:pt idx="714">
                  <c:v>28.559999999999569</c:v>
                </c:pt>
                <c:pt idx="715">
                  <c:v>28.599999999999568</c:v>
                </c:pt>
              </c:numCache>
            </c:numRef>
          </c:cat>
          <c:val>
            <c:numRef>
              <c:f>Calculations!$B$32:$AAO$32</c:f>
              <c:numCache>
                <c:formatCode>General</c:formatCode>
                <c:ptCount val="716"/>
                <c:pt idx="0">
                  <c:v>57.630004009522835</c:v>
                </c:pt>
                <c:pt idx="1">
                  <c:v>57.630004009522835</c:v>
                </c:pt>
                <c:pt idx="2">
                  <c:v>57.630004009522835</c:v>
                </c:pt>
                <c:pt idx="3">
                  <c:v>57.630004009522835</c:v>
                </c:pt>
                <c:pt idx="4">
                  <c:v>57.630004009522835</c:v>
                </c:pt>
                <c:pt idx="5">
                  <c:v>57.630004009522835</c:v>
                </c:pt>
                <c:pt idx="6">
                  <c:v>57.630004009522835</c:v>
                </c:pt>
                <c:pt idx="7">
                  <c:v>57.630004009522835</c:v>
                </c:pt>
                <c:pt idx="8">
                  <c:v>57.630004121999107</c:v>
                </c:pt>
                <c:pt idx="9">
                  <c:v>57.630004865097831</c:v>
                </c:pt>
                <c:pt idx="10">
                  <c:v>57.630007616920736</c:v>
                </c:pt>
                <c:pt idx="11">
                  <c:v>57.630015154041452</c:v>
                </c:pt>
                <c:pt idx="12">
                  <c:v>57.630032183553062</c:v>
                </c:pt>
                <c:pt idx="13">
                  <c:v>57.630065793615366</c:v>
                </c:pt>
                <c:pt idx="14">
                  <c:v>57.630125775352916</c:v>
                </c:pt>
                <c:pt idx="15">
                  <c:v>57.630224796951971</c:v>
                </c:pt>
                <c:pt idx="16">
                  <c:v>57.630378432886488</c:v>
                </c:pt>
                <c:pt idx="17">
                  <c:v>57.630605065683405</c:v>
                </c:pt>
                <c:pt idx="18">
                  <c:v>57.630925685207991</c:v>
                </c:pt>
                <c:pt idx="19">
                  <c:v>57.631363612753596</c:v>
                </c:pt>
                <c:pt idx="20">
                  <c:v>57.631944176020824</c:v>
                </c:pt>
                <c:pt idx="21">
                  <c:v>57.632694357867493</c:v>
                </c:pt>
                <c:pt idx="22">
                  <c:v>57.633642437616437</c:v>
                </c:pt>
                <c:pt idx="23">
                  <c:v>57.634817639465773</c:v>
                </c:pt>
                <c:pt idx="24">
                  <c:v>57.636249798601483</c:v>
                </c:pt>
                <c:pt idx="25">
                  <c:v>57.637969052190932</c:v>
                </c:pt>
                <c:pt idx="26">
                  <c:v>57.640005559620697</c:v>
                </c:pt>
                <c:pt idx="27">
                  <c:v>57.642389254124787</c:v>
                </c:pt>
                <c:pt idx="28">
                  <c:v>57.645149626273927</c:v>
                </c:pt>
                <c:pt idx="29">
                  <c:v>57.64831553858459</c:v>
                </c:pt>
                <c:pt idx="30">
                  <c:v>57.651915069674722</c:v>
                </c:pt>
                <c:pt idx="31">
                  <c:v>57.655975385861971</c:v>
                </c:pt>
                <c:pt idx="32">
                  <c:v>57.66052263780032</c:v>
                </c:pt>
                <c:pt idx="33">
                  <c:v>57.665581879622621</c:v>
                </c:pt>
                <c:pt idx="34">
                  <c:v>57.671177008052013</c:v>
                </c:pt>
                <c:pt idx="35">
                  <c:v>57.677330719025953</c:v>
                </c:pt>
                <c:pt idx="36">
                  <c:v>57.684064479513751</c:v>
                </c:pt>
                <c:pt idx="37">
                  <c:v>57.691398512378832</c:v>
                </c:pt>
                <c:pt idx="38">
                  <c:v>57.699351792325508</c:v>
                </c:pt>
                <c:pt idx="39">
                  <c:v>57.7079420511633</c:v>
                </c:pt>
                <c:pt idx="40">
                  <c:v>57.717185790813531</c:v>
                </c:pt>
                <c:pt idx="41">
                  <c:v>57.727098302665745</c:v>
                </c:pt>
                <c:pt idx="42">
                  <c:v>57.737693692063615</c:v>
                </c:pt>
                <c:pt idx="43">
                  <c:v>57.748984906858347</c:v>
                </c:pt>
                <c:pt idx="44">
                  <c:v>57.760983769111888</c:v>
                </c:pt>
                <c:pt idx="45">
                  <c:v>57.77370100916238</c:v>
                </c:pt>
                <c:pt idx="46">
                  <c:v>57.787146301380183</c:v>
                </c:pt>
                <c:pt idx="47">
                  <c:v>57.801328301045878</c:v>
                </c:pt>
                <c:pt idx="48">
                  <c:v>57.816254681872117</c:v>
                </c:pt>
                <c:pt idx="49">
                  <c:v>57.831932173770539</c:v>
                </c:pt>
                <c:pt idx="50">
                  <c:v>57.84836660053405</c:v>
                </c:pt>
                <c:pt idx="51">
                  <c:v>57.865562917164567</c:v>
                </c:pt>
                <c:pt idx="52">
                  <c:v>57.88352524662789</c:v>
                </c:pt>
                <c:pt idx="53">
                  <c:v>57.902256915861798</c:v>
                </c:pt>
                <c:pt idx="54">
                  <c:v>57.921760490901178</c:v>
                </c:pt>
                <c:pt idx="55">
                  <c:v>57.942037811016249</c:v>
                </c:pt>
                <c:pt idx="56">
                  <c:v>57.96309002178721</c:v>
                </c:pt>
                <c:pt idx="57">
                  <c:v>57.984917607061533</c:v>
                </c:pt>
                <c:pt idx="58">
                  <c:v>58.007520419759317</c:v>
                </c:pt>
                <c:pt idx="59">
                  <c:v>58.030897711508125</c:v>
                </c:pt>
                <c:pt idx="60">
                  <c:v>58.055048161101809</c:v>
                </c:pt>
                <c:pt idx="61">
                  <c:v>58.079969901788694</c:v>
                </c:pt>
                <c:pt idx="62">
                  <c:v>58.105660547403154</c:v>
                </c:pt>
                <c:pt idx="63">
                  <c:v>58.132117217361561</c:v>
                </c:pt>
                <c:pt idx="64">
                  <c:v>58.1593365605492</c:v>
                </c:pt>
                <c:pt idx="65">
                  <c:v>58.187314778128744</c:v>
                </c:pt>
                <c:pt idx="66">
                  <c:v>58.216047645304315</c:v>
                </c:pt>
                <c:pt idx="67">
                  <c:v>58.24553053207714</c:v>
                </c:pt>
                <c:pt idx="68">
                  <c:v>58.275758423030602</c:v>
                </c:pt>
                <c:pt idx="69">
                  <c:v>58.30672593618317</c:v>
                </c:pt>
                <c:pt idx="70">
                  <c:v>58.338427340948257</c:v>
                </c:pt>
                <c:pt idx="71">
                  <c:v>58.370856575239856</c:v>
                </c:pt>
                <c:pt idx="72">
                  <c:v>58.404007261762672</c:v>
                </c:pt>
                <c:pt idx="73">
                  <c:v>58.437872723524613</c:v>
                </c:pt>
                <c:pt idx="74">
                  <c:v>58.472445998608748</c:v>
                </c:pt>
                <c:pt idx="75">
                  <c:v>58.507719854240953</c:v>
                </c:pt>
                <c:pt idx="76">
                  <c:v>58.54368680018807</c:v>
                </c:pt>
                <c:pt idx="77">
                  <c:v>58.580339101520458</c:v>
                </c:pt>
                <c:pt idx="78">
                  <c:v>58.61766879077129</c:v>
                </c:pt>
                <c:pt idx="79">
                  <c:v>58.655667679523887</c:v>
                </c:pt>
                <c:pt idx="80">
                  <c:v>58.694327369456715</c:v>
                </c:pt>
                <c:pt idx="81">
                  <c:v>58.733639262874661</c:v>
                </c:pt>
                <c:pt idx="82">
                  <c:v>58.773594572753652</c:v>
                </c:pt>
                <c:pt idx="83">
                  <c:v>58.814184332324402</c:v>
                </c:pt>
                <c:pt idx="84">
                  <c:v>58.855399404219909</c:v>
                </c:pt>
                <c:pt idx="85">
                  <c:v>58.897230489209868</c:v>
                </c:pt>
                <c:pt idx="86">
                  <c:v>58.939668134544185</c:v>
                </c:pt>
                <c:pt idx="87">
                  <c:v>58.982702741926424</c:v>
                </c:pt>
                <c:pt idx="88">
                  <c:v>59.026324575136989</c:v>
                </c:pt>
                <c:pt idx="89">
                  <c:v>59.070523767324758</c:v>
                </c:pt>
                <c:pt idx="90">
                  <c:v>59.115290327984845</c:v>
                </c:pt>
                <c:pt idx="91">
                  <c:v>59.160614149639201</c:v>
                </c:pt>
                <c:pt idx="92">
                  <c:v>59.20648501423581</c:v>
                </c:pt>
                <c:pt idx="93">
                  <c:v>59.252892599281381</c:v>
                </c:pt>
                <c:pt idx="94">
                  <c:v>59.29982648372156</c:v>
                </c:pt>
                <c:pt idx="95">
                  <c:v>59.347276153581937</c:v>
                </c:pt>
                <c:pt idx="96">
                  <c:v>59.395231007382343</c:v>
                </c:pt>
                <c:pt idx="97">
                  <c:v>59.443680361336192</c:v>
                </c:pt>
                <c:pt idx="98">
                  <c:v>59.492613454346049</c:v>
                </c:pt>
                <c:pt idx="99">
                  <c:v>59.542019452805839</c:v>
                </c:pt>
                <c:pt idx="100">
                  <c:v>59.591887455219627</c:v>
                </c:pt>
                <c:pt idx="101">
                  <c:v>59.642206496646288</c:v>
                </c:pt>
                <c:pt idx="102">
                  <c:v>59.692965552978841</c:v>
                </c:pt>
                <c:pt idx="103">
                  <c:v>59.744153545066773</c:v>
                </c:pt>
                <c:pt idx="104">
                  <c:v>59.795759342689173</c:v>
                </c:pt>
                <c:pt idx="105">
                  <c:v>59.847771768386046</c:v>
                </c:pt>
                <c:pt idx="106">
                  <c:v>59.900179601154797</c:v>
                </c:pt>
                <c:pt idx="107">
                  <c:v>59.952971580018485</c:v>
                </c:pt>
                <c:pt idx="108">
                  <c:v>60.006136407472034</c:v>
                </c:pt>
                <c:pt idx="109">
                  <c:v>60.059662752812265</c:v>
                </c:pt>
                <c:pt idx="110">
                  <c:v>60.113539255357352</c:v>
                </c:pt>
                <c:pt idx="111">
                  <c:v>60.167754527560867</c:v>
                </c:pt>
                <c:pt idx="112">
                  <c:v>60.222297158025462</c:v>
                </c:pt>
                <c:pt idx="113">
                  <c:v>60.277155714420807</c:v>
                </c:pt>
                <c:pt idx="114">
                  <c:v>60.332318746310222</c:v>
                </c:pt>
                <c:pt idx="115">
                  <c:v>60.387774787890237</c:v>
                </c:pt>
                <c:pt idx="116">
                  <c:v>60.443512360647055</c:v>
                </c:pt>
                <c:pt idx="117">
                  <c:v>60.499519975933595</c:v>
                </c:pt>
                <c:pt idx="118">
                  <c:v>60.555786137470797</c:v>
                </c:pt>
                <c:pt idx="119">
                  <c:v>60.612299343776485</c:v>
                </c:pt>
                <c:pt idx="120">
                  <c:v>60.669048090524981</c:v>
                </c:pt>
                <c:pt idx="121">
                  <c:v>60.7260208728406</c:v>
                </c:pt>
                <c:pt idx="122">
                  <c:v>60.783206187527746</c:v>
                </c:pt>
                <c:pt idx="123">
                  <c:v>60.840592535240482</c:v>
                </c:pt>
                <c:pt idx="124">
                  <c:v>60.898168422594097</c:v>
                </c:pt>
                <c:pt idx="125">
                  <c:v>60.955922364221109</c:v>
                </c:pt>
                <c:pt idx="126">
                  <c:v>61.013842884774107</c:v>
                </c:pt>
                <c:pt idx="127">
                  <c:v>61.071918520877553</c:v>
                </c:pt>
                <c:pt idx="128">
                  <c:v>61.130137823030736</c:v>
                </c:pt>
                <c:pt idx="129">
                  <c:v>61.188489357463865</c:v>
                </c:pt>
                <c:pt idx="130">
                  <c:v>61.246961707949133</c:v>
                </c:pt>
                <c:pt idx="131">
                  <c:v>61.305543477568648</c:v>
                </c:pt>
                <c:pt idx="132">
                  <c:v>61.36422329044089</c:v>
                </c:pt>
                <c:pt idx="133">
                  <c:v>61.422989793407361</c:v>
                </c:pt>
                <c:pt idx="134">
                  <c:v>61.481831657680985</c:v>
                </c:pt>
                <c:pt idx="135">
                  <c:v>61.540737580457709</c:v>
                </c:pt>
                <c:pt idx="136">
                  <c:v>61.599696286492716</c:v>
                </c:pt>
                <c:pt idx="137">
                  <c:v>61.658696529642654</c:v>
                </c:pt>
                <c:pt idx="138">
                  <c:v>61.717727094375086</c:v>
                </c:pt>
                <c:pt idx="139">
                  <c:v>61.776776797246349</c:v>
                </c:pt>
                <c:pt idx="140">
                  <c:v>61.835834488349128</c:v>
                </c:pt>
                <c:pt idx="141">
                  <c:v>61.89488905273064</c:v>
                </c:pt>
                <c:pt idx="142">
                  <c:v>61.953929411782667</c:v>
                </c:pt>
                <c:pt idx="143">
                  <c:v>62.012944524604293</c:v>
                </c:pt>
                <c:pt idx="144">
                  <c:v>62.071923389338394</c:v>
                </c:pt>
                <c:pt idx="145">
                  <c:v>62.130855044482736</c:v>
                </c:pt>
                <c:pt idx="146">
                  <c:v>62.189728570176541</c:v>
                </c:pt>
                <c:pt idx="147">
                  <c:v>62.248533089463386</c:v>
                </c:pt>
                <c:pt idx="148">
                  <c:v>62.307257769531184</c:v>
                </c:pt>
                <c:pt idx="149">
                  <c:v>62.365891822929953</c:v>
                </c:pt>
                <c:pt idx="150">
                  <c:v>62.424424508768212</c:v>
                </c:pt>
                <c:pt idx="151">
                  <c:v>62.482845133888517</c:v>
                </c:pt>
                <c:pt idx="152">
                  <c:v>62.541143054022903</c:v>
                </c:pt>
                <c:pt idx="153">
                  <c:v>62.599307674928809</c:v>
                </c:pt>
                <c:pt idx="154">
                  <c:v>62.657328453506018</c:v>
                </c:pt>
                <c:pt idx="155">
                  <c:v>62.715194898895248</c:v>
                </c:pt>
                <c:pt idx="156">
                  <c:v>62.772896573558889</c:v>
                </c:pt>
                <c:pt idx="157">
                  <c:v>62.830423094344361</c:v>
                </c:pt>
                <c:pt idx="158">
                  <c:v>62.887764133530624</c:v>
                </c:pt>
                <c:pt idx="159">
                  <c:v>62.94490941985822</c:v>
                </c:pt>
                <c:pt idx="160">
                  <c:v>63.001848739543398</c:v>
                </c:pt>
                <c:pt idx="161">
                  <c:v>63.058571937276611</c:v>
                </c:pt>
                <c:pt idx="162">
                  <c:v>63.115068917205818</c:v>
                </c:pt>
                <c:pt idx="163">
                  <c:v>63.171329643905032</c:v>
                </c:pt>
                <c:pt idx="164">
                  <c:v>63.227344143328331</c:v>
                </c:pt>
                <c:pt idx="165">
                  <c:v>63.283102503749795</c:v>
                </c:pt>
                <c:pt idx="166">
                  <c:v>63.338594876689626</c:v>
                </c:pt>
                <c:pt idx="167">
                  <c:v>63.393811477826731</c:v>
                </c:pt>
                <c:pt idx="168">
                  <c:v>63.44874258789811</c:v>
                </c:pt>
                <c:pt idx="169">
                  <c:v>63.503378553585293</c:v>
                </c:pt>
                <c:pt idx="170">
                  <c:v>63.55770978838806</c:v>
                </c:pt>
                <c:pt idx="171">
                  <c:v>63.611726773485728</c:v>
                </c:pt>
                <c:pt idx="172">
                  <c:v>63.665420058586207</c:v>
                </c:pt>
                <c:pt idx="173">
                  <c:v>63.718780262763062</c:v>
                </c:pt>
                <c:pt idx="174">
                  <c:v>63.771798075280756</c:v>
                </c:pt>
                <c:pt idx="175">
                  <c:v>63.824464256408312</c:v>
                </c:pt>
                <c:pt idx="176">
                  <c:v>63.876769638221511</c:v>
                </c:pt>
                <c:pt idx="177">
                  <c:v>63.928705125393897</c:v>
                </c:pt>
                <c:pt idx="178">
                  <c:v>63.980261695976637</c:v>
                </c:pt>
                <c:pt idx="179">
                  <c:v>64.031430402167487</c:v>
                </c:pt>
                <c:pt idx="180">
                  <c:v>64.082202371068945</c:v>
                </c:pt>
                <c:pt idx="181">
                  <c:v>64.132568805435739</c:v>
                </c:pt>
                <c:pt idx="182">
                  <c:v>64.182520984411823</c:v>
                </c:pt>
                <c:pt idx="183">
                  <c:v>64.232050264256898</c:v>
                </c:pt>
                <c:pt idx="184">
                  <c:v>64.281148079062689</c:v>
                </c:pt>
                <c:pt idx="185">
                  <c:v>64.329805941459028</c:v>
                </c:pt>
                <c:pt idx="186">
                  <c:v>64.378015443309764</c:v>
                </c:pt>
                <c:pt idx="187">
                  <c:v>64.425768256398726</c:v>
                </c:pt>
                <c:pt idx="188">
                  <c:v>64.473056133105743</c:v>
                </c:pt>
                <c:pt idx="189">
                  <c:v>64.519870907072828</c:v>
                </c:pt>
                <c:pt idx="190">
                  <c:v>64.566204493860525</c:v>
                </c:pt>
                <c:pt idx="191">
                  <c:v>64.61204889159464</c:v>
                </c:pt>
                <c:pt idx="192">
                  <c:v>64.657396181603218</c:v>
                </c:pt>
                <c:pt idx="193">
                  <c:v>64.702238529043981</c:v>
                </c:pt>
                <c:pt idx="194">
                  <c:v>64.746568183522257</c:v>
                </c:pt>
                <c:pt idx="195">
                  <c:v>64.790377479699288</c:v>
                </c:pt>
                <c:pt idx="196">
                  <c:v>64.833658837891207</c:v>
                </c:pt>
                <c:pt idx="197">
                  <c:v>64.87640476465856</c:v>
                </c:pt>
                <c:pt idx="198">
                  <c:v>64.918607853386405</c:v>
                </c:pt>
                <c:pt idx="199">
                  <c:v>64.960260784855109</c:v>
                </c:pt>
                <c:pt idx="200">
                  <c:v>65.001356327801744</c:v>
                </c:pt>
                <c:pt idx="201">
                  <c:v>65.041887339472311</c:v>
                </c:pt>
                <c:pt idx="202">
                  <c:v>65.081846766164546</c:v>
                </c:pt>
                <c:pt idx="203">
                  <c:v>65.121227643761529</c:v>
                </c:pt>
                <c:pt idx="204">
                  <c:v>65.160023098256033</c:v>
                </c:pt>
                <c:pt idx="205">
                  <c:v>65.198226346265599</c:v>
                </c:pt>
                <c:pt idx="206">
                  <c:v>65.235830695538468</c:v>
                </c:pt>
                <c:pt idx="207">
                  <c:v>65.272829545450193</c:v>
                </c:pt>
                <c:pt idx="208">
                  <c:v>65.309216387491077</c:v>
                </c:pt>
                <c:pt idx="209">
                  <c:v>65.344984805744375</c:v>
                </c:pt>
                <c:pt idx="210">
                  <c:v>65.380128477355342</c:v>
                </c:pt>
                <c:pt idx="211">
                  <c:v>65.414641172990954</c:v>
                </c:pt>
                <c:pt idx="212">
                  <c:v>65.44851675729052</c:v>
                </c:pt>
                <c:pt idx="213">
                  <c:v>65.481749189306981</c:v>
                </c:pt>
                <c:pt idx="214">
                  <c:v>65.514332522939029</c:v>
                </c:pt>
                <c:pt idx="215">
                  <c:v>65.546260907353982</c:v>
                </c:pt>
                <c:pt idx="216">
                  <c:v>65.577528587401375</c:v>
                </c:pt>
                <c:pt idx="217">
                  <c:v>65.608129904017304</c:v>
                </c:pt>
                <c:pt idx="218">
                  <c:v>65.638059294619538</c:v>
                </c:pt>
                <c:pt idx="219">
                  <c:v>65.667311293493313</c:v>
                </c:pt>
                <c:pt idx="220">
                  <c:v>65.695880532167806</c:v>
                </c:pt>
                <c:pt idx="221">
                  <c:v>65.723761739783328</c:v>
                </c:pt>
                <c:pt idx="222">
                  <c:v>65.750949743449198</c:v>
                </c:pt>
                <c:pt idx="223">
                  <c:v>65.777439468592249</c:v>
                </c:pt>
                <c:pt idx="224">
                  <c:v>65.80322593929597</c:v>
                </c:pt>
                <c:pt idx="225">
                  <c:v>65.828304278630299</c:v>
                </c:pt>
                <c:pt idx="226">
                  <c:v>65.852669708972002</c:v>
                </c:pt>
                <c:pt idx="227">
                  <c:v>65.876317552315612</c:v>
                </c:pt>
                <c:pt idx="228">
                  <c:v>65.89924323057501</c:v>
                </c:pt>
                <c:pt idx="229">
                  <c:v>65.92144226587547</c:v>
                </c:pt>
                <c:pt idx="230">
                  <c:v>65.942910280836273</c:v>
                </c:pt>
                <c:pt idx="231">
                  <c:v>65.963642998843866</c:v>
                </c:pt>
                <c:pt idx="232">
                  <c:v>65.98363624431542</c:v>
                </c:pt>
                <c:pt idx="233">
                  <c:v>66.002885942952958</c:v>
                </c:pt>
                <c:pt idx="234">
                  <c:v>66.021388121987897</c:v>
                </c:pt>
                <c:pt idx="235">
                  <c:v>66.039138910415957</c:v>
                </c:pt>
                <c:pt idx="236">
                  <c:v>66.056134539222612</c:v>
                </c:pt>
                <c:pt idx="237">
                  <c:v>66.072371341598839</c:v>
                </c:pt>
                <c:pt idx="238">
                  <c:v>66.087845753147249</c:v>
                </c:pt>
                <c:pt idx="239">
                  <c:v>66.102554312078638</c:v>
                </c:pt>
                <c:pt idx="240">
                  <c:v>66.116493659398785</c:v>
                </c:pt>
                <c:pt idx="241">
                  <c:v>66.12966053908562</c:v>
                </c:pt>
                <c:pt idx="242">
                  <c:v>66.14205179825673</c:v>
                </c:pt>
                <c:pt idx="243">
                  <c:v>66.153664387327026</c:v>
                </c:pt>
                <c:pt idx="244">
                  <c:v>66.164495360156835</c:v>
                </c:pt>
                <c:pt idx="245">
                  <c:v>66.174541874190083</c:v>
                </c:pt>
                <c:pt idx="246">
                  <c:v>66.183801190582827</c:v>
                </c:pt>
                <c:pt idx="247">
                  <c:v>66.192270674321975</c:v>
                </c:pt>
                <c:pt idx="248">
                  <c:v>66.199947794334136</c:v>
                </c:pt>
                <c:pt idx="249">
                  <c:v>66.206830123584737</c:v>
                </c:pt>
                <c:pt idx="250">
                  <c:v>66.21291533916731</c:v>
                </c:pt>
                <c:pt idx="251">
                  <c:v>66.218201222382888</c:v>
                </c:pt>
                <c:pt idx="252">
                  <c:v>66.222685658809567</c:v>
                </c:pt>
                <c:pt idx="253">
                  <c:v>66.226366638362194</c:v>
                </c:pt>
                <c:pt idx="254">
                  <c:v>66.229242255342214</c:v>
                </c:pt>
                <c:pt idx="255">
                  <c:v>66.231310708477565</c:v>
                </c:pt>
                <c:pt idx="256">
                  <c:v>66.232570300952716</c:v>
                </c:pt>
                <c:pt idx="257">
                  <c:v>66.233019440428791</c:v>
                </c:pt>
                <c:pt idx="258">
                  <c:v>66.232656639053729</c:v>
                </c:pt>
                <c:pt idx="259">
                  <c:v>66.231480513462586</c:v>
                </c:pt>
                <c:pt idx="260">
                  <c:v>66.229489784767864</c:v>
                </c:pt>
                <c:pt idx="261">
                  <c:v>66.22668327853988</c:v>
                </c:pt>
                <c:pt idx="262">
                  <c:v>66.223059924777218</c:v>
                </c:pt>
                <c:pt idx="263">
                  <c:v>66.218618757867233</c:v>
                </c:pt>
                <c:pt idx="264">
                  <c:v>66.213358916536592</c:v>
                </c:pt>
                <c:pt idx="265">
                  <c:v>66.207279643791836</c:v>
                </c:pt>
                <c:pt idx="266">
                  <c:v>66.200380286850006</c:v>
                </c:pt>
                <c:pt idx="267">
                  <c:v>66.192660297059319</c:v>
                </c:pt>
                <c:pt idx="268">
                  <c:v>66.184119229809824</c:v>
                </c:pt>
                <c:pt idx="269">
                  <c:v>66.174756744434191</c:v>
                </c:pt>
                <c:pt idx="270">
                  <c:v>66.164572604098424</c:v>
                </c:pt>
                <c:pt idx="271">
                  <c:v>66.15356667568274</c:v>
                </c:pt>
                <c:pt idx="272">
                  <c:v>66.141738929652405</c:v>
                </c:pt>
                <c:pt idx="273">
                  <c:v>66.129089439918658</c:v>
                </c:pt>
                <c:pt idx="274">
                  <c:v>66.115618383689664</c:v>
                </c:pt>
                <c:pt idx="275">
                  <c:v>66.101326041311594</c:v>
                </c:pt>
                <c:pt idx="276">
                  <c:v>66.086212796099701</c:v>
                </c:pt>
                <c:pt idx="277">
                  <c:v>66.07027913415952</c:v>
                </c:pt>
                <c:pt idx="278">
                  <c:v>66.053525644198132</c:v>
                </c:pt>
                <c:pt idx="279">
                  <c:v>66.035953017325539</c:v>
                </c:pt>
                <c:pt idx="280">
                  <c:v>66.017562046846166</c:v>
                </c:pt>
                <c:pt idx="281">
                  <c:v>65.998353628040462</c:v>
                </c:pt>
                <c:pt idx="282">
                  <c:v>65.978328757936652</c:v>
                </c:pt>
                <c:pt idx="283">
                  <c:v>65.957488535072628</c:v>
                </c:pt>
                <c:pt idx="284">
                  <c:v>65.935834159248003</c:v>
                </c:pt>
                <c:pt idx="285">
                  <c:v>65.913366931266381</c:v>
                </c:pt>
                <c:pt idx="286">
                  <c:v>65.890088252667795</c:v>
                </c:pt>
                <c:pt idx="287">
                  <c:v>65.865999625451408</c:v>
                </c:pt>
                <c:pt idx="288">
                  <c:v>65.841102651788376</c:v>
                </c:pt>
                <c:pt idx="289">
                  <c:v>65.815399033725043</c:v>
                </c:pt>
                <c:pt idx="290">
                  <c:v>65.78889057287644</c:v>
                </c:pt>
                <c:pt idx="291">
                  <c:v>65.761579170109982</c:v>
                </c:pt>
                <c:pt idx="292">
                  <c:v>65.733466825219622</c:v>
                </c:pt>
                <c:pt idx="293">
                  <c:v>65.704555636590271</c:v>
                </c:pt>
                <c:pt idx="294">
                  <c:v>65.674847800852646</c:v>
                </c:pt>
                <c:pt idx="295">
                  <c:v>65.644345612528497</c:v>
                </c:pt>
                <c:pt idx="296">
                  <c:v>65.613051463666309</c:v>
                </c:pt>
                <c:pt idx="297">
                  <c:v>65.580967843467477</c:v>
                </c:pt>
                <c:pt idx="298">
                  <c:v>65.548097337902888</c:v>
                </c:pt>
                <c:pt idx="299">
                  <c:v>65.514442629320172</c:v>
                </c:pt>
                <c:pt idx="300">
                  <c:v>65.480006496041412</c:v>
                </c:pt>
                <c:pt idx="301">
                  <c:v>65.444791811951475</c:v>
                </c:pt>
                <c:pt idx="302">
                  <c:v>65.408801546077044</c:v>
                </c:pt>
                <c:pt idx="303">
                  <c:v>65.372038762156166</c:v>
                </c:pt>
                <c:pt idx="304">
                  <c:v>65.334506618198674</c:v>
                </c:pt>
                <c:pt idx="305">
                  <c:v>65.296208366037249</c:v>
                </c:pt>
                <c:pt idx="306">
                  <c:v>65.257147350869275</c:v>
                </c:pt>
                <c:pt idx="307">
                  <c:v>65.21732701078956</c:v>
                </c:pt>
                <c:pt idx="308">
                  <c:v>65.176750988790161</c:v>
                </c:pt>
                <c:pt idx="309">
                  <c:v>65.135423425468446</c:v>
                </c:pt>
                <c:pt idx="310">
                  <c:v>65.093349412818213</c:v>
                </c:pt>
                <c:pt idx="311">
                  <c:v>65.050535532242364</c:v>
                </c:pt>
                <c:pt idx="312">
                  <c:v>65.006990386087992</c:v>
                </c:pt>
                <c:pt idx="313">
                  <c:v>64.962725047672095</c:v>
                </c:pt>
                <c:pt idx="314">
                  <c:v>64.917753382649323</c:v>
                </c:pt>
                <c:pt idx="315">
                  <c:v>64.872092222569762</c:v>
                </c:pt>
                <c:pt idx="316">
                  <c:v>64.825761393557002</c:v>
                </c:pt>
                <c:pt idx="317">
                  <c:v>64.778783617516794</c:v>
                </c:pt>
                <c:pt idx="318">
                  <c:v>64.731184310857074</c:v>
                </c:pt>
                <c:pt idx="319">
                  <c:v>64.682991308003778</c:v>
                </c:pt>
                <c:pt idx="320">
                  <c:v>64.63423453579756</c:v>
                </c:pt>
                <c:pt idx="321">
                  <c:v>64.584945661652768</c:v>
                </c:pt>
                <c:pt idx="322">
                  <c:v>64.535157734265795</c:v>
                </c:pt>
                <c:pt idx="323">
                  <c:v>64.484904831417509</c:v>
                </c:pt>
                <c:pt idx="324">
                  <c:v>64.434221725469683</c:v>
                </c:pt>
                <c:pt idx="325">
                  <c:v>64.38314357373406</c:v>
                </c:pt>
                <c:pt idx="326">
                  <c:v>64.331705638077551</c:v>
                </c:pt>
                <c:pt idx="327">
                  <c:v>64.279943035909611</c:v>
                </c:pt>
                <c:pt idx="328">
                  <c:v>64.227890523022594</c:v>
                </c:pt>
                <c:pt idx="329">
                  <c:v>64.175582307543891</c:v>
                </c:pt>
                <c:pt idx="330">
                  <c:v>64.123051893426691</c:v>
                </c:pt>
                <c:pt idx="331">
                  <c:v>64.070331951375465</c:v>
                </c:pt>
                <c:pt idx="332">
                  <c:v>64.01745421480183</c:v>
                </c:pt>
                <c:pt idx="333">
                  <c:v>63.964449398278767</c:v>
                </c:pt>
                <c:pt idx="334">
                  <c:v>63.911347135955815</c:v>
                </c:pt>
                <c:pt idx="335">
                  <c:v>63.85817593747938</c:v>
                </c:pt>
                <c:pt idx="336">
                  <c:v>63.804963159098889</c:v>
                </c:pt>
                <c:pt idx="337">
                  <c:v>63.751734987810259</c:v>
                </c:pt>
                <c:pt idx="338">
                  <c:v>63.698516436576327</c:v>
                </c:pt>
                <c:pt idx="339">
                  <c:v>63.645331348857603</c:v>
                </c:pt>
                <c:pt idx="340">
                  <c:v>63.59220241087791</c:v>
                </c:pt>
                <c:pt idx="341">
                  <c:v>63.539151170232707</c:v>
                </c:pt>
                <c:pt idx="342">
                  <c:v>63.486198059619724</c:v>
                </c:pt>
                <c:pt idx="343">
                  <c:v>63.43336242463004</c:v>
                </c:pt>
                <c:pt idx="344">
                  <c:v>63.380662554681997</c:v>
                </c:pt>
                <c:pt idx="345">
                  <c:v>63.328115716310414</c:v>
                </c:pt>
                <c:pt idx="346">
                  <c:v>63.275738188139577</c:v>
                </c:pt>
                <c:pt idx="347">
                  <c:v>63.223545296971452</c:v>
                </c:pt>
                <c:pt idx="348">
                  <c:v>63.171551454511025</c:v>
                </c:pt>
                <c:pt idx="349">
                  <c:v>63.119770194330208</c:v>
                </c:pt>
                <c:pt idx="350">
                  <c:v>63.068214208740478</c:v>
                </c:pt>
                <c:pt idx="351">
                  <c:v>63.016895385304643</c:v>
                </c:pt>
                <c:pt idx="352">
                  <c:v>62.965824842769344</c:v>
                </c:pt>
                <c:pt idx="353">
                  <c:v>62.915012966244547</c:v>
                </c:pt>
                <c:pt idx="354">
                  <c:v>62.864469441493824</c:v>
                </c:pt>
                <c:pt idx="355">
                  <c:v>62.81420328823171</c:v>
                </c:pt>
                <c:pt idx="356">
                  <c:v>62.764222892351412</c:v>
                </c:pt>
                <c:pt idx="357">
                  <c:v>62.714536037029269</c:v>
                </c:pt>
                <c:pt idx="358">
                  <c:v>62.66514993267144</c:v>
                </c:pt>
                <c:pt idx="359">
                  <c:v>62.616071245684282</c:v>
                </c:pt>
                <c:pt idx="360">
                  <c:v>62.567306126063094</c:v>
                </c:pt>
                <c:pt idx="361">
                  <c:v>62.518860233804638</c:v>
                </c:pt>
                <c:pt idx="362">
                  <c:v>62.470738764157559</c:v>
                </c:pt>
                <c:pt idx="363">
                  <c:v>62.422946471731791</c:v>
                </c:pt>
                <c:pt idx="364">
                  <c:v>62.375487693493596</c:v>
                </c:pt>
                <c:pt idx="365">
                  <c:v>62.328366370677017</c:v>
                </c:pt>
                <c:pt idx="366">
                  <c:v>62.281586069645726</c:v>
                </c:pt>
                <c:pt idx="367">
                  <c:v>62.235150001741481</c:v>
                </c:pt>
                <c:pt idx="368">
                  <c:v>62.189061042157043</c:v>
                </c:pt>
                <c:pt idx="369">
                  <c:v>62.143321747872115</c:v>
                </c:pt>
                <c:pt idx="370">
                  <c:v>62.097934374691455</c:v>
                </c:pt>
                <c:pt idx="371">
                  <c:v>62.05290089342418</c:v>
                </c:pt>
                <c:pt idx="372">
                  <c:v>62.008223005242925</c:v>
                </c:pt>
                <c:pt idx="373">
                  <c:v>61.963902156260957</c:v>
                </c:pt>
                <c:pt idx="374">
                  <c:v>61.919939551364408</c:v>
                </c:pt>
                <c:pt idx="375">
                  <c:v>61.876336167335865</c:v>
                </c:pt>
                <c:pt idx="376">
                  <c:v>61.833092765304386</c:v>
                </c:pt>
                <c:pt idx="377">
                  <c:v>61.79020990255578</c:v>
                </c:pt>
                <c:pt idx="378">
                  <c:v>61.747687943735727</c:v>
                </c:pt>
                <c:pt idx="379">
                  <c:v>61.705527071476965</c:v>
                </c:pt>
                <c:pt idx="380">
                  <c:v>61.663727296480509</c:v>
                </c:pt>
                <c:pt idx="381">
                  <c:v>61.622288467079365</c:v>
                </c:pt>
                <c:pt idx="382">
                  <c:v>61.581210278312042</c:v>
                </c:pt>
                <c:pt idx="383">
                  <c:v>61.540492280531801</c:v>
                </c:pt>
                <c:pt idx="384">
                  <c:v>61.500133887576176</c:v>
                </c:pt>
                <c:pt idx="385">
                  <c:v>61.460134384520238</c:v>
                </c:pt>
                <c:pt idx="386">
                  <c:v>61.42049293503576</c:v>
                </c:pt>
                <c:pt idx="387">
                  <c:v>61.381208588377255</c:v>
                </c:pt>
                <c:pt idx="388">
                  <c:v>61.342280286014805</c:v>
                </c:pt>
                <c:pt idx="389">
                  <c:v>61.303706867932497</c:v>
                </c:pt>
                <c:pt idx="390">
                  <c:v>61.265487078610242</c:v>
                </c:pt>
                <c:pt idx="391">
                  <c:v>61.227619572705756</c:v>
                </c:pt>
                <c:pt idx="392">
                  <c:v>61.190102920452652</c:v>
                </c:pt>
                <c:pt idx="393">
                  <c:v>61.152935612789562</c:v>
                </c:pt>
                <c:pt idx="394">
                  <c:v>61.116116066234454</c:v>
                </c:pt>
                <c:pt idx="395">
                  <c:v>61.079642627517543</c:v>
                </c:pt>
                <c:pt idx="396">
                  <c:v>61.043513577985351</c:v>
                </c:pt>
                <c:pt idx="397">
                  <c:v>61.007727137787818</c:v>
                </c:pt>
                <c:pt idx="398">
                  <c:v>60.972281469859745</c:v>
                </c:pt>
                <c:pt idx="399">
                  <c:v>60.937174683707063</c:v>
                </c:pt>
                <c:pt idx="400">
                  <c:v>60.902404839007993</c:v>
                </c:pt>
                <c:pt idx="401">
                  <c:v>60.86796994903851</c:v>
                </c:pt>
                <c:pt idx="402">
                  <c:v>60.833867983931015</c:v>
                </c:pt>
                <c:pt idx="403">
                  <c:v>60.800096873774613</c:v>
                </c:pt>
                <c:pt idx="404">
                  <c:v>60.766654511564958</c:v>
                </c:pt>
                <c:pt idx="405">
                  <c:v>60.7335387560111</c:v>
                </c:pt>
                <c:pt idx="406">
                  <c:v>60.700747434206491</c:v>
                </c:pt>
                <c:pt idx="407">
                  <c:v>60.668278344170815</c:v>
                </c:pt>
                <c:pt idx="408">
                  <c:v>60.636129257268948</c:v>
                </c:pt>
                <c:pt idx="409">
                  <c:v>60.604297920513012</c:v>
                </c:pt>
                <c:pt idx="410">
                  <c:v>60.572782058753283</c:v>
                </c:pt>
                <c:pt idx="411">
                  <c:v>60.54157937676316</c:v>
                </c:pt>
                <c:pt idx="412">
                  <c:v>60.510687561223371</c:v>
                </c:pt>
                <c:pt idx="413">
                  <c:v>60.480104282610164</c:v>
                </c:pt>
                <c:pt idx="414">
                  <c:v>60.449827196992068</c:v>
                </c:pt>
                <c:pt idx="415">
                  <c:v>60.419853947739433</c:v>
                </c:pt>
                <c:pt idx="416">
                  <c:v>60.390182167150968</c:v>
                </c:pt>
                <c:pt idx="417">
                  <c:v>60.360809478001052</c:v>
                </c:pt>
                <c:pt idx="418">
                  <c:v>60.331733495011498</c:v>
                </c:pt>
                <c:pt idx="419">
                  <c:v>60.302951826251281</c:v>
                </c:pt>
                <c:pt idx="420">
                  <c:v>60.274462074467536</c:v>
                </c:pt>
                <c:pt idx="421">
                  <c:v>60.246261838350968</c:v>
                </c:pt>
                <c:pt idx="422">
                  <c:v>60.218348713738614</c:v>
                </c:pt>
                <c:pt idx="423">
                  <c:v>60.190720294756872</c:v>
                </c:pt>
                <c:pt idx="424">
                  <c:v>60.163374174907446</c:v>
                </c:pt>
                <c:pt idx="425">
                  <c:v>60.136307948098775</c:v>
                </c:pt>
                <c:pt idx="426">
                  <c:v>60.10951920962539</c:v>
                </c:pt>
                <c:pt idx="427">
                  <c:v>60.083005557097572</c:v>
                </c:pt>
                <c:pt idx="428">
                  <c:v>60.056764591323429</c:v>
                </c:pt>
                <c:pt idx="429">
                  <c:v>60.030793917145608</c:v>
                </c:pt>
                <c:pt idx="430">
                  <c:v>60.005091144234569</c:v>
                </c:pt>
                <c:pt idx="431">
                  <c:v>59.979653887840399</c:v>
                </c:pt>
                <c:pt idx="432">
                  <c:v>59.954479769504928</c:v>
                </c:pt>
                <c:pt idx="433">
                  <c:v>59.92956641773597</c:v>
                </c:pt>
                <c:pt idx="434">
                  <c:v>59.904911468645274</c:v>
                </c:pt>
                <c:pt idx="435">
                  <c:v>59.880512566551836</c:v>
                </c:pt>
                <c:pt idx="436">
                  <c:v>59.856367364552042</c:v>
                </c:pt>
                <c:pt idx="437">
                  <c:v>59.83247352505812</c:v>
                </c:pt>
                <c:pt idx="438">
                  <c:v>59.808828720306259</c:v>
                </c:pt>
                <c:pt idx="439">
                  <c:v>59.785430632835755</c:v>
                </c:pt>
                <c:pt idx="440">
                  <c:v>59.762276955940379</c:v>
                </c:pt>
                <c:pt idx="441">
                  <c:v>59.739365394093291</c:v>
                </c:pt>
                <c:pt idx="442">
                  <c:v>59.716693663346476</c:v>
                </c:pt>
                <c:pt idx="443">
                  <c:v>59.694259491706035</c:v>
                </c:pt>
                <c:pt idx="444">
                  <c:v>59.672060619484164</c:v>
                </c:pt>
                <c:pt idx="445">
                  <c:v>59.650094799628981</c:v>
                </c:pt>
                <c:pt idx="446">
                  <c:v>59.628359798033124</c:v>
                </c:pt>
                <c:pt idx="447">
                  <c:v>59.606853393822021</c:v>
                </c:pt>
                <c:pt idx="448">
                  <c:v>59.585573379622758</c:v>
                </c:pt>
                <c:pt idx="449">
                  <c:v>59.564517561814377</c:v>
                </c:pt>
                <c:pt idx="450">
                  <c:v>59.543683760760409</c:v>
                </c:pt>
                <c:pt idx="451">
                  <c:v>59.523069811024449</c:v>
                </c:pt>
                <c:pt idx="452">
                  <c:v>59.502673561569466</c:v>
                </c:pt>
                <c:pt idx="453">
                  <c:v>59.482492875941652</c:v>
                </c:pt>
                <c:pt idx="454">
                  <c:v>59.46252563243938</c:v>
                </c:pt>
                <c:pt idx="455">
                  <c:v>59.442769724268047</c:v>
                </c:pt>
                <c:pt idx="456">
                  <c:v>59.42322305968132</c:v>
                </c:pt>
                <c:pt idx="457">
                  <c:v>59.403883562109499</c:v>
                </c:pt>
                <c:pt idx="458">
                  <c:v>59.38474917027547</c:v>
                </c:pt>
                <c:pt idx="459">
                  <c:v>59.365817838298874</c:v>
                </c:pt>
                <c:pt idx="460">
                  <c:v>59.347087535789008</c:v>
                </c:pt>
                <c:pt idx="461">
                  <c:v>59.328556247926947</c:v>
                </c:pt>
                <c:pt idx="462">
                  <c:v>59.310221975537395</c:v>
                </c:pt>
                <c:pt idx="463">
                  <c:v>59.292082735150757</c:v>
                </c:pt>
                <c:pt idx="464">
                  <c:v>59.274136559055776</c:v>
                </c:pt>
                <c:pt idx="465">
                  <c:v>59.256381495343355</c:v>
                </c:pt>
                <c:pt idx="466">
                  <c:v>59.238815607941774</c:v>
                </c:pt>
                <c:pt idx="467">
                  <c:v>59.221436976643851</c:v>
                </c:pt>
                <c:pt idx="468">
                  <c:v>59.20424369712633</c:v>
                </c:pt>
                <c:pt idx="469">
                  <c:v>59.187233880961948</c:v>
                </c:pt>
                <c:pt idx="470">
                  <c:v>59.170405655624435</c:v>
                </c:pt>
                <c:pt idx="471">
                  <c:v>59.153757164486841</c:v>
                </c:pt>
                <c:pt idx="472">
                  <c:v>59.13728656681355</c:v>
                </c:pt>
                <c:pt idx="473">
                  <c:v>59.120992037746184</c:v>
                </c:pt>
                <c:pt idx="474">
                  <c:v>59.104871768283786</c:v>
                </c:pt>
                <c:pt idx="475">
                  <c:v>59.088923965257521</c:v>
                </c:pt>
                <c:pt idx="476">
                  <c:v>59.073146851300201</c:v>
                </c:pt>
                <c:pt idx="477">
                  <c:v>59.057538664810842</c:v>
                </c:pt>
                <c:pt idx="478">
                  <c:v>59.042097659914582</c:v>
                </c:pt>
                <c:pt idx="479">
                  <c:v>59.026822106418095</c:v>
                </c:pt>
                <c:pt idx="480">
                  <c:v>59.011710289760863</c:v>
                </c:pt>
                <c:pt idx="481">
                  <c:v>58.996760510962417</c:v>
                </c:pt>
                <c:pt idx="482">
                  <c:v>58.981971086565807</c:v>
                </c:pt>
                <c:pt idx="483">
                  <c:v>58.96734034857748</c:v>
                </c:pt>
                <c:pt idx="484">
                  <c:v>58.952866644403841</c:v>
                </c:pt>
                <c:pt idx="485">
                  <c:v>58.93854833678455</c:v>
                </c:pt>
                <c:pt idx="486">
                  <c:v>58.92438380372284</c:v>
                </c:pt>
                <c:pt idx="487">
                  <c:v>58.910371438413001</c:v>
                </c:pt>
                <c:pt idx="488">
                  <c:v>58.896509649165203</c:v>
                </c:pt>
                <c:pt idx="489">
                  <c:v>58.882796859327748</c:v>
                </c:pt>
                <c:pt idx="490">
                  <c:v>58.869231507207012</c:v>
                </c:pt>
                <c:pt idx="491">
                  <c:v>58.855812045985139</c:v>
                </c:pt>
                <c:pt idx="492">
                  <c:v>58.842536943635672</c:v>
                </c:pt>
                <c:pt idx="493">
                  <c:v>58.829404682837222</c:v>
                </c:pt>
                <c:pt idx="494">
                  <c:v>58.816413760885318</c:v>
                </c:pt>
                <c:pt idx="495">
                  <c:v>58.803562689602593</c:v>
                </c:pt>
                <c:pt idx="496">
                  <c:v>58.790849995247335</c:v>
                </c:pt>
                <c:pt idx="497">
                  <c:v>58.778274218420613</c:v>
                </c:pt>
                <c:pt idx="498">
                  <c:v>58.765833913972017</c:v>
                </c:pt>
                <c:pt idx="499">
                  <c:v>58.753527650904168</c:v>
                </c:pt>
                <c:pt idx="500">
                  <c:v>58.741354012276048</c:v>
                </c:pt>
                <c:pt idx="501">
                  <c:v>58.72931159510528</c:v>
                </c:pt>
                <c:pt idx="502">
                  <c:v>58.717399010269418</c:v>
                </c:pt>
                <c:pt idx="503">
                  <c:v>58.705614882406337</c:v>
                </c:pt>
                <c:pt idx="504">
                  <c:v>58.693957849813877</c:v>
                </c:pt>
                <c:pt idx="505">
                  <c:v>58.682426564348688</c:v>
                </c:pt>
                <c:pt idx="506">
                  <c:v>58.671019691324467</c:v>
                </c:pt>
                <c:pt idx="507">
                  <c:v>58.659735909409605</c:v>
                </c:pt>
                <c:pt idx="508">
                  <c:v>58.64857391052432</c:v>
                </c:pt>
                <c:pt idx="509">
                  <c:v>58.637532399737339</c:v>
                </c:pt>
                <c:pt idx="510">
                  <c:v>58.626610095162214</c:v>
                </c:pt>
                <c:pt idx="511">
                  <c:v>58.615805727853306</c:v>
                </c:pt>
                <c:pt idx="512">
                  <c:v>58.605118041701502</c:v>
                </c:pt>
                <c:pt idx="513">
                  <c:v>58.594545793329743</c:v>
                </c:pt>
                <c:pt idx="514">
                  <c:v>58.584087751988342</c:v>
                </c:pt>
                <c:pt idx="515">
                  <c:v>58.57374269945025</c:v>
                </c:pt>
                <c:pt idx="516">
                  <c:v>58.563509429906247</c:v>
                </c:pt>
                <c:pt idx="517">
                  <c:v>58.553386749860081</c:v>
                </c:pt>
                <c:pt idx="518">
                  <c:v>58.543373478023675</c:v>
                </c:pt>
                <c:pt idx="519">
                  <c:v>58.533468445212399</c:v>
                </c:pt>
                <c:pt idx="520">
                  <c:v>58.523670494240413</c:v>
                </c:pt>
                <c:pt idx="521">
                  <c:v>58.513978479816195</c:v>
                </c:pt>
                <c:pt idx="522">
                  <c:v>58.504391268438226</c:v>
                </c:pt>
                <c:pt idx="523">
                  <c:v>58.494907738290884</c:v>
                </c:pt>
                <c:pt idx="524">
                  <c:v>58.485526779140621</c:v>
                </c:pt>
                <c:pt idx="525">
                  <c:v>58.476247292232337</c:v>
                </c:pt>
                <c:pt idx="526">
                  <c:v>58.467068190186133</c:v>
                </c:pt>
                <c:pt idx="527">
                  <c:v>58.457988396894372</c:v>
                </c:pt>
                <c:pt idx="528">
                  <c:v>58.449006847419071</c:v>
                </c:pt>
                <c:pt idx="529">
                  <c:v>58.440122487889703</c:v>
                </c:pt>
                <c:pt idx="530">
                  <c:v>58.431334275401383</c:v>
                </c:pt>
                <c:pt idx="531">
                  <c:v>58.422641177913491</c:v>
                </c:pt>
                <c:pt idx="532">
                  <c:v>58.41404217414874</c:v>
                </c:pt>
                <c:pt idx="533">
                  <c:v>58.405536253492699</c:v>
                </c:pt>
                <c:pt idx="534">
                  <c:v>58.397122415893811</c:v>
                </c:pt>
                <c:pt idx="535">
                  <c:v>58.38879967176392</c:v>
                </c:pt>
                <c:pt idx="536">
                  <c:v>58.380567041879274</c:v>
                </c:pt>
                <c:pt idx="537">
                  <c:v>58.372423557282112</c:v>
                </c:pt>
                <c:pt idx="538">
                  <c:v>58.364368259182761</c:v>
                </c:pt>
                <c:pt idx="539">
                  <c:v>58.356400198862325</c:v>
                </c:pt>
                <c:pt idx="540">
                  <c:v>58.348518437575898</c:v>
                </c:pt>
                <c:pt idx="541">
                  <c:v>58.340722046456406</c:v>
                </c:pt>
                <c:pt idx="542">
                  <c:v>58.333010106419046</c:v>
                </c:pt>
                <c:pt idx="543">
                  <c:v>58.325381708066296</c:v>
                </c:pt>
                <c:pt idx="544">
                  <c:v>58.317835951593551</c:v>
                </c:pt>
                <c:pt idx="545">
                  <c:v>58.310371946695398</c:v>
                </c:pt>
                <c:pt idx="546">
                  <c:v>58.302988812472513</c:v>
                </c:pt>
                <c:pt idx="547">
                  <c:v>58.295685677339208</c:v>
                </c:pt>
                <c:pt idx="548">
                  <c:v>58.288461678931583</c:v>
                </c:pt>
                <c:pt idx="549">
                  <c:v>58.281315964016393</c:v>
                </c:pt>
                <c:pt idx="550">
                  <c:v>58.274247688400528</c:v>
                </c:pt>
                <c:pt idx="551">
                  <c:v>58.267256016841166</c:v>
                </c:pt>
                <c:pt idx="552">
                  <c:v>58.260340122956599</c:v>
                </c:pt>
                <c:pt idx="553">
                  <c:v>58.253499189137713</c:v>
                </c:pt>
                <c:pt idx="554">
                  <c:v>58.24673240646019</c:v>
                </c:pt>
                <c:pt idx="555">
                  <c:v>58.240038974597333</c:v>
                </c:pt>
                <c:pt idx="556">
                  <c:v>58.233418101733591</c:v>
                </c:pt>
                <c:pt idx="557">
                  <c:v>58.226869004478793</c:v>
                </c:pt>
                <c:pt idx="558">
                  <c:v>58.220390907783049</c:v>
                </c:pt>
                <c:pt idx="559">
                  <c:v>58.213983044852306</c:v>
                </c:pt>
                <c:pt idx="560">
                  <c:v>58.20764465706467</c:v>
                </c:pt>
                <c:pt idx="561">
                  <c:v>58.201374993887335</c:v>
                </c:pt>
                <c:pt idx="562">
                  <c:v>58.195173312794267</c:v>
                </c:pt>
                <c:pt idx="563">
                  <c:v>58.18903887918453</c:v>
                </c:pt>
                <c:pt idx="564">
                  <c:v>58.182970966301333</c:v>
                </c:pt>
                <c:pt idx="565">
                  <c:v>58.17696885515177</c:v>
                </c:pt>
                <c:pt idx="566">
                  <c:v>58.171031834427225</c:v>
                </c:pt>
                <c:pt idx="567">
                  <c:v>58.16515920042449</c:v>
                </c:pt>
                <c:pt idx="568">
                  <c:v>58.159350256967549</c:v>
                </c:pt>
                <c:pt idx="569">
                  <c:v>58.153604315330071</c:v>
                </c:pt>
                <c:pt idx="570">
                  <c:v>58.147920694158593</c:v>
                </c:pt>
                <c:pt idx="571">
                  <c:v>58.142298719396337</c:v>
                </c:pt>
                <c:pt idx="572">
                  <c:v>58.136737724207777</c:v>
                </c:pt>
                <c:pt idx="573">
                  <c:v>58.131237048903856</c:v>
                </c:pt>
                <c:pt idx="574">
                  <c:v>58.125796040867854</c:v>
                </c:pt>
                <c:pt idx="575">
                  <c:v>58.120414054481969</c:v>
                </c:pt>
                <c:pt idx="576">
                  <c:v>58.115090451054563</c:v>
                </c:pt>
                <c:pt idx="577">
                  <c:v>58.109824598748069</c:v>
                </c:pt>
                <c:pt idx="578">
                  <c:v>58.104615872507573</c:v>
                </c:pt>
                <c:pt idx="579">
                  <c:v>58.09946365399005</c:v>
                </c:pt>
                <c:pt idx="580">
                  <c:v>58.094367331494276</c:v>
                </c:pt>
                <c:pt idx="581">
                  <c:v>58.089326299891383</c:v>
                </c:pt>
                <c:pt idx="582">
                  <c:v>58.084339960556093</c:v>
                </c:pt>
                <c:pt idx="583">
                  <c:v>58.079407721298551</c:v>
                </c:pt>
                <c:pt idx="584">
                  <c:v>58.074528996296884</c:v>
                </c:pt>
                <c:pt idx="585">
                  <c:v>58.069703206030333</c:v>
                </c:pt>
                <c:pt idx="586">
                  <c:v>58.064929777213052</c:v>
                </c:pt>
                <c:pt idx="587">
                  <c:v>58.060208142728577</c:v>
                </c:pt>
                <c:pt idx="588">
                  <c:v>58.055537741564848</c:v>
                </c:pt>
                <c:pt idx="589">
                  <c:v>58.050918018749954</c:v>
                </c:pt>
                <c:pt idx="590">
                  <c:v>58.046348425288414</c:v>
                </c:pt>
                <c:pt idx="591">
                  <c:v>58.041828418098163</c:v>
                </c:pt>
                <c:pt idx="592">
                  <c:v>58.037357459948076</c:v>
                </c:pt>
                <c:pt idx="593">
                  <c:v>58.03293501939617</c:v>
                </c:pt>
                <c:pt idx="594">
                  <c:v>58.028560570728366</c:v>
                </c:pt>
                <c:pt idx="595">
                  <c:v>58.024233593897883</c:v>
                </c:pt>
                <c:pt idx="596">
                  <c:v>58.01995357446522</c:v>
                </c:pt>
                <c:pt idx="597">
                  <c:v>58.015720003538732</c:v>
                </c:pt>
                <c:pt idx="598">
                  <c:v>58.011532377715824</c:v>
                </c:pt>
                <c:pt idx="599">
                  <c:v>58.00739019902467</c:v>
                </c:pt>
                <c:pt idx="600">
                  <c:v>58.003292974866589</c:v>
                </c:pt>
                <c:pt idx="601">
                  <c:v>57.999240217958942</c:v>
                </c:pt>
                <c:pt idx="602">
                  <c:v>57.995231446278623</c:v>
                </c:pt>
                <c:pt idx="603">
                  <c:v>57.991266183006132</c:v>
                </c:pt>
                <c:pt idx="604">
                  <c:v>57.987343956470191</c:v>
                </c:pt>
                <c:pt idx="605">
                  <c:v>57.983464300092912</c:v>
                </c:pt>
                <c:pt idx="606">
                  <c:v>57.979626752335548</c:v>
                </c:pt>
                <c:pt idx="607">
                  <c:v>57.975830856644798</c:v>
                </c:pt>
                <c:pt idx="608">
                  <c:v>57.972076273875892</c:v>
                </c:pt>
                <c:pt idx="609">
                  <c:v>57.968363075433594</c:v>
                </c:pt>
                <c:pt idx="610">
                  <c:v>57.964692197505791</c:v>
                </c:pt>
                <c:pt idx="611">
                  <c:v>57.961065979528243</c:v>
                </c:pt>
                <c:pt idx="612">
                  <c:v>57.957488696181159</c:v>
                </c:pt>
                <c:pt idx="613">
                  <c:v>57.953967007885922</c:v>
                </c:pt>
                <c:pt idx="614">
                  <c:v>57.950510282653141</c:v>
                </c:pt>
                <c:pt idx="615">
                  <c:v>57.947130770130151</c:v>
                </c:pt>
                <c:pt idx="616">
                  <c:v>57.943843630778048</c:v>
                </c:pt>
                <c:pt idx="617">
                  <c:v>57.940666837588481</c:v>
                </c:pt>
                <c:pt idx="618">
                  <c:v>57.937620975321067</c:v>
                </c:pt>
                <c:pt idx="619">
                  <c:v>57.934728964545712</c:v>
                </c:pt>
                <c:pt idx="620">
                  <c:v>57.932015736574741</c:v>
                </c:pt>
                <c:pt idx="621">
                  <c:v>57.929507882166469</c:v>
                </c:pt>
                <c:pt idx="622">
                  <c:v>57.92723329278693</c:v>
                </c:pt>
                <c:pt idx="623">
                  <c:v>57.925220808974672</c:v>
                </c:pt>
                <c:pt idx="624">
                  <c:v>57.923499886408258</c:v>
                </c:pt>
                <c:pt idx="625">
                  <c:v>57.922100286855233</c:v>
                </c:pt>
                <c:pt idx="626">
                  <c:v>57.921051798365838</c:v>
                </c:pt>
                <c:pt idx="627">
                  <c:v>57.920383986857587</c:v>
                </c:pt>
                <c:pt idx="628">
                  <c:v>57.92012597956132</c:v>
                </c:pt>
                <c:pt idx="629">
                  <c:v>57.920306279587535</c:v>
                </c:pt>
                <c:pt idx="630">
                  <c:v>57.920952610039805</c:v>
                </c:pt>
                <c:pt idx="631">
                  <c:v>57.922091785571162</c:v>
                </c:pt>
                <c:pt idx="632">
                  <c:v>57.9237496089793</c:v>
                </c:pt>
                <c:pt idx="633">
                  <c:v>57.925950790308164</c:v>
                </c:pt>
                <c:pt idx="634">
                  <c:v>57.928718885918776</c:v>
                </c:pt>
                <c:pt idx="635">
                  <c:v>57.932076255073227</c:v>
                </c:pt>
                <c:pt idx="636">
                  <c:v>57.936044031712427</c:v>
                </c:pt>
                <c:pt idx="637">
                  <c:v>57.940642109279153</c:v>
                </c:pt>
                <c:pt idx="638">
                  <c:v>57.945889136625937</c:v>
                </c:pt>
                <c:pt idx="639">
                  <c:v>57.951802523240929</c:v>
                </c:pt>
                <c:pt idx="640">
                  <c:v>57.958398452216457</c:v>
                </c:pt>
                <c:pt idx="641">
                  <c:v>57.965691899567808</c:v>
                </c:pt>
                <c:pt idx="642">
                  <c:v>57.973696658681888</c:v>
                </c:pt>
                <c:pt idx="643">
                  <c:v>57.982425368833745</c:v>
                </c:pt>
                <c:pt idx="644">
                  <c:v>57.991889546853379</c:v>
                </c:pt>
                <c:pt idx="645">
                  <c:v>58.002099621155061</c:v>
                </c:pt>
                <c:pt idx="646">
                  <c:v>58.013064967457701</c:v>
                </c:pt>
                <c:pt idx="647">
                  <c:v>58.024793945627543</c:v>
                </c:pt>
                <c:pt idx="648">
                  <c:v>58.037293937165053</c:v>
                </c:pt>
                <c:pt idx="649">
                  <c:v>58.050571382937299</c:v>
                </c:pt>
                <c:pt idx="650">
                  <c:v>58.064631820826023</c:v>
                </c:pt>
                <c:pt idx="651">
                  <c:v>58.079479923021545</c:v>
                </c:pt>
                <c:pt idx="652">
                  <c:v>58.095119532744171</c:v>
                </c:pt>
                <c:pt idx="653">
                  <c:v>58.111553700219176</c:v>
                </c:pt>
                <c:pt idx="654">
                  <c:v>58.12878471776915</c:v>
                </c:pt>
                <c:pt idx="655">
                  <c:v>58.146814153919841</c:v>
                </c:pt>
                <c:pt idx="656">
                  <c:v>58.165642886442718</c:v>
                </c:pt>
                <c:pt idx="657">
                  <c:v>58.185271134280534</c:v>
                </c:pt>
                <c:pt idx="658">
                  <c:v>58.20569848832131</c:v>
                </c:pt>
                <c:pt idx="659">
                  <c:v>58.226923941002092</c:v>
                </c:pt>
                <c:pt idx="660">
                  <c:v>58.248945914737085</c:v>
                </c:pt>
                <c:pt idx="661">
                  <c:v>58.271762289175449</c:v>
                </c:pt>
                <c:pt idx="662">
                  <c:v>58.295370427302778</c:v>
                </c:pt>
                <c:pt idx="663">
                  <c:v>58.319767200407348</c:v>
                </c:pt>
                <c:pt idx="664">
                  <c:v>58.344949011937565</c:v>
                </c:pt>
                <c:pt idx="665">
                  <c:v>58.370911820281364</c:v>
                </c:pt>
                <c:pt idx="666">
                  <c:v>58.397651160501447</c:v>
                </c:pt>
                <c:pt idx="667">
                  <c:v>58.425162165062474</c:v>
                </c:pt>
                <c:pt idx="668">
                  <c:v>58.453439583587901</c:v>
                </c:pt>
                <c:pt idx="669">
                  <c:v>58.482477801685064</c:v>
                </c:pt>
                <c:pt idx="670">
                  <c:v>58.512270858877415</c:v>
                </c:pt>
                <c:pt idx="671">
                  <c:v>58.542812465682907</c:v>
                </c:pt>
                <c:pt idx="672">
                  <c:v>58.574096019877111</c:v>
                </c:pt>
                <c:pt idx="673">
                  <c:v>58.606114621979003</c:v>
                </c:pt>
                <c:pt idx="674">
                  <c:v>58.638861089996531</c:v>
                </c:pt>
                <c:pt idx="675">
                  <c:v>58.672327973468093</c:v>
                </c:pt>
                <c:pt idx="676">
                  <c:v>58.706507566834873</c:v>
                </c:pt>
                <c:pt idx="677">
                  <c:v>58.741391922177797</c:v>
                </c:pt>
                <c:pt idx="678">
                  <c:v>58.77697286135156</c:v>
                </c:pt>
                <c:pt idx="679">
                  <c:v>58.813241987546881</c:v>
                </c:pt>
                <c:pt idx="680">
                  <c:v>58.850190696310804</c:v>
                </c:pt>
                <c:pt idx="681">
                  <c:v>58.887810186053443</c:v>
                </c:pt>
                <c:pt idx="682">
                  <c:v>58.926091468068378</c:v>
                </c:pt>
                <c:pt idx="683">
                  <c:v>58.96502537609247</c:v>
                </c:pt>
                <c:pt idx="684">
                  <c:v>59.004602575429587</c:v>
                </c:pt>
                <c:pt idx="685">
                  <c:v>59.044813571661635</c:v>
                </c:pt>
                <c:pt idx="686">
                  <c:v>59.085648718968812</c:v>
                </c:pt>
                <c:pt idx="687">
                  <c:v>59.127098228080136</c:v>
                </c:pt>
                <c:pt idx="688">
                  <c:v>59.169152173873911</c:v>
                </c:pt>
                <c:pt idx="689">
                  <c:v>59.211800502646931</c:v>
                </c:pt>
                <c:pt idx="690">
                  <c:v>59.255033039069993</c:v>
                </c:pt>
                <c:pt idx="691">
                  <c:v>59.298839492846525</c:v>
                </c:pt>
                <c:pt idx="692">
                  <c:v>59.343209465090077</c:v>
                </c:pt>
                <c:pt idx="693">
                  <c:v>59.38813245443545</c:v>
                </c:pt>
                <c:pt idx="694">
                  <c:v>59.433597862897692</c:v>
                </c:pt>
                <c:pt idx="695">
                  <c:v>59.479595001492029</c:v>
                </c:pt>
                <c:pt idx="696">
                  <c:v>59.526113095627359</c:v>
                </c:pt>
                <c:pt idx="697">
                  <c:v>59.573141290285001</c:v>
                </c:pt>
                <c:pt idx="698">
                  <c:v>59.620668654993892</c:v>
                </c:pt>
                <c:pt idx="699">
                  <c:v>59.668684188612644</c:v>
                </c:pt>
                <c:pt idx="700">
                  <c:v>59.717176823928412</c:v>
                </c:pt>
                <c:pt idx="701">
                  <c:v>59.766135432081803</c:v>
                </c:pt>
                <c:pt idx="702">
                  <c:v>59.815548826826763</c:v>
                </c:pt>
                <c:pt idx="703">
                  <c:v>59.865405768633586</c:v>
                </c:pt>
                <c:pt idx="704">
                  <c:v>59.915694968642939</c:v>
                </c:pt>
                <c:pt idx="705">
                  <c:v>59.966405092478333</c:v>
                </c:pt>
                <c:pt idx="706">
                  <c:v>60.017524763923937</c:v>
                </c:pt>
                <c:pt idx="707">
                  <c:v>60.069042568474323</c:v>
                </c:pt>
                <c:pt idx="708">
                  <c:v>60.120947056762439</c:v>
                </c:pt>
                <c:pt idx="709">
                  <c:v>60.173226747871553</c:v>
                </c:pt>
                <c:pt idx="710">
                  <c:v>60.225870132536819</c:v>
                </c:pt>
                <c:pt idx="711">
                  <c:v>60.278865676241686</c:v>
                </c:pt>
                <c:pt idx="712">
                  <c:v>60.332201822214017</c:v>
                </c:pt>
                <c:pt idx="713">
                  <c:v>60.385866994326776</c:v>
                </c:pt>
                <c:pt idx="714">
                  <c:v>60.439849599907504</c:v>
                </c:pt>
                <c:pt idx="715">
                  <c:v>60.494138032460995</c:v>
                </c:pt>
              </c:numCache>
            </c:numRef>
          </c:val>
        </c:ser>
        <c:ser>
          <c:idx val="9"/>
          <c:order val="9"/>
          <c:tx>
            <c:strRef>
              <c:f>Calculations!$A$33</c:f>
              <c:strCache>
                <c:ptCount val="1"/>
                <c:pt idx="0">
                  <c:v>9</c:v>
                </c:pt>
              </c:strCache>
            </c:strRef>
          </c:tx>
          <c:marker>
            <c:symbol val="none"/>
          </c:marker>
          <c:cat>
            <c:numRef>
              <c:f>Calculations!$B$21:$AAO$21</c:f>
              <c:numCache>
                <c:formatCode>0.00</c:formatCode>
                <c:ptCount val="716"/>
                <c:pt idx="0" formatCode="General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5.0000000000000036</c:v>
                </c:pt>
                <c:pt idx="126">
                  <c:v>5.0400000000000036</c:v>
                </c:pt>
                <c:pt idx="127">
                  <c:v>5.0800000000000036</c:v>
                </c:pt>
                <c:pt idx="128">
                  <c:v>5.1200000000000037</c:v>
                </c:pt>
                <c:pt idx="129">
                  <c:v>5.1600000000000037</c:v>
                </c:pt>
                <c:pt idx="130">
                  <c:v>5.2000000000000037</c:v>
                </c:pt>
                <c:pt idx="131">
                  <c:v>5.2400000000000038</c:v>
                </c:pt>
                <c:pt idx="132">
                  <c:v>5.2800000000000038</c:v>
                </c:pt>
                <c:pt idx="133">
                  <c:v>5.3200000000000038</c:v>
                </c:pt>
                <c:pt idx="134">
                  <c:v>5.3600000000000039</c:v>
                </c:pt>
                <c:pt idx="135">
                  <c:v>5.4000000000000039</c:v>
                </c:pt>
                <c:pt idx="136">
                  <c:v>5.4400000000000039</c:v>
                </c:pt>
                <c:pt idx="137">
                  <c:v>5.480000000000004</c:v>
                </c:pt>
                <c:pt idx="138">
                  <c:v>5.520000000000004</c:v>
                </c:pt>
                <c:pt idx="139">
                  <c:v>5.5600000000000041</c:v>
                </c:pt>
                <c:pt idx="140">
                  <c:v>5.6000000000000041</c:v>
                </c:pt>
                <c:pt idx="141">
                  <c:v>5.6400000000000041</c:v>
                </c:pt>
                <c:pt idx="142">
                  <c:v>5.6800000000000042</c:v>
                </c:pt>
                <c:pt idx="143">
                  <c:v>5.7200000000000042</c:v>
                </c:pt>
                <c:pt idx="144">
                  <c:v>5.7600000000000042</c:v>
                </c:pt>
                <c:pt idx="145">
                  <c:v>5.8000000000000043</c:v>
                </c:pt>
                <c:pt idx="146">
                  <c:v>5.8400000000000043</c:v>
                </c:pt>
                <c:pt idx="147">
                  <c:v>5.8800000000000043</c:v>
                </c:pt>
                <c:pt idx="148">
                  <c:v>5.9200000000000044</c:v>
                </c:pt>
                <c:pt idx="149">
                  <c:v>5.9600000000000044</c:v>
                </c:pt>
                <c:pt idx="150">
                  <c:v>6.0000000000000044</c:v>
                </c:pt>
                <c:pt idx="151">
                  <c:v>6.0400000000000045</c:v>
                </c:pt>
                <c:pt idx="152">
                  <c:v>6.0800000000000045</c:v>
                </c:pt>
                <c:pt idx="153">
                  <c:v>6.1200000000000045</c:v>
                </c:pt>
                <c:pt idx="154">
                  <c:v>6.1600000000000046</c:v>
                </c:pt>
                <c:pt idx="155">
                  <c:v>6.2000000000000046</c:v>
                </c:pt>
                <c:pt idx="156">
                  <c:v>6.2400000000000047</c:v>
                </c:pt>
                <c:pt idx="157">
                  <c:v>6.2800000000000047</c:v>
                </c:pt>
                <c:pt idx="158">
                  <c:v>6.3200000000000047</c:v>
                </c:pt>
                <c:pt idx="159">
                  <c:v>6.3600000000000048</c:v>
                </c:pt>
                <c:pt idx="160">
                  <c:v>6.4000000000000048</c:v>
                </c:pt>
                <c:pt idx="161">
                  <c:v>6.4400000000000048</c:v>
                </c:pt>
                <c:pt idx="162">
                  <c:v>6.4800000000000049</c:v>
                </c:pt>
                <c:pt idx="163">
                  <c:v>6.5200000000000049</c:v>
                </c:pt>
                <c:pt idx="164">
                  <c:v>6.5600000000000049</c:v>
                </c:pt>
                <c:pt idx="165">
                  <c:v>6.600000000000005</c:v>
                </c:pt>
                <c:pt idx="166">
                  <c:v>6.640000000000005</c:v>
                </c:pt>
                <c:pt idx="167">
                  <c:v>6.680000000000005</c:v>
                </c:pt>
                <c:pt idx="168">
                  <c:v>6.7200000000000051</c:v>
                </c:pt>
                <c:pt idx="169">
                  <c:v>6.7600000000000051</c:v>
                </c:pt>
                <c:pt idx="170">
                  <c:v>6.8000000000000052</c:v>
                </c:pt>
                <c:pt idx="171">
                  <c:v>6.8400000000000052</c:v>
                </c:pt>
                <c:pt idx="172">
                  <c:v>6.8800000000000052</c:v>
                </c:pt>
                <c:pt idx="173">
                  <c:v>6.9200000000000053</c:v>
                </c:pt>
                <c:pt idx="174">
                  <c:v>6.9600000000000053</c:v>
                </c:pt>
                <c:pt idx="175">
                  <c:v>7.0000000000000053</c:v>
                </c:pt>
                <c:pt idx="176">
                  <c:v>7.0400000000000054</c:v>
                </c:pt>
                <c:pt idx="177">
                  <c:v>7.0800000000000054</c:v>
                </c:pt>
                <c:pt idx="178">
                  <c:v>7.1200000000000054</c:v>
                </c:pt>
                <c:pt idx="179">
                  <c:v>7.1600000000000055</c:v>
                </c:pt>
                <c:pt idx="180">
                  <c:v>7.2000000000000055</c:v>
                </c:pt>
                <c:pt idx="181">
                  <c:v>7.2400000000000055</c:v>
                </c:pt>
                <c:pt idx="182">
                  <c:v>7.2800000000000056</c:v>
                </c:pt>
                <c:pt idx="183">
                  <c:v>7.3200000000000056</c:v>
                </c:pt>
                <c:pt idx="184">
                  <c:v>7.3600000000000056</c:v>
                </c:pt>
                <c:pt idx="185">
                  <c:v>7.4000000000000057</c:v>
                </c:pt>
                <c:pt idx="186">
                  <c:v>7.4400000000000057</c:v>
                </c:pt>
                <c:pt idx="187">
                  <c:v>7.4800000000000058</c:v>
                </c:pt>
                <c:pt idx="188">
                  <c:v>7.5200000000000058</c:v>
                </c:pt>
                <c:pt idx="189">
                  <c:v>7.5600000000000058</c:v>
                </c:pt>
                <c:pt idx="190">
                  <c:v>7.6000000000000059</c:v>
                </c:pt>
                <c:pt idx="191">
                  <c:v>7.6400000000000059</c:v>
                </c:pt>
                <c:pt idx="192">
                  <c:v>7.6800000000000059</c:v>
                </c:pt>
                <c:pt idx="193">
                  <c:v>7.720000000000006</c:v>
                </c:pt>
                <c:pt idx="194">
                  <c:v>7.760000000000006</c:v>
                </c:pt>
                <c:pt idx="195">
                  <c:v>7.800000000000006</c:v>
                </c:pt>
                <c:pt idx="196">
                  <c:v>7.8400000000000061</c:v>
                </c:pt>
                <c:pt idx="197">
                  <c:v>7.8800000000000061</c:v>
                </c:pt>
                <c:pt idx="198">
                  <c:v>7.9200000000000061</c:v>
                </c:pt>
                <c:pt idx="199">
                  <c:v>7.9600000000000062</c:v>
                </c:pt>
                <c:pt idx="200">
                  <c:v>8.0000000000000053</c:v>
                </c:pt>
                <c:pt idx="201">
                  <c:v>8.0400000000000045</c:v>
                </c:pt>
                <c:pt idx="202">
                  <c:v>8.0800000000000036</c:v>
                </c:pt>
                <c:pt idx="203">
                  <c:v>8.1200000000000028</c:v>
                </c:pt>
                <c:pt idx="204">
                  <c:v>8.1600000000000019</c:v>
                </c:pt>
                <c:pt idx="205">
                  <c:v>8.2000000000000011</c:v>
                </c:pt>
                <c:pt idx="206">
                  <c:v>8.24</c:v>
                </c:pt>
                <c:pt idx="207">
                  <c:v>8.2799999999999994</c:v>
                </c:pt>
                <c:pt idx="208">
                  <c:v>8.3199999999999985</c:v>
                </c:pt>
                <c:pt idx="209">
                  <c:v>8.3599999999999977</c:v>
                </c:pt>
                <c:pt idx="210">
                  <c:v>8.3999999999999968</c:v>
                </c:pt>
                <c:pt idx="211">
                  <c:v>8.4399999999999959</c:v>
                </c:pt>
                <c:pt idx="212">
                  <c:v>8.4799999999999951</c:v>
                </c:pt>
                <c:pt idx="213">
                  <c:v>8.5199999999999942</c:v>
                </c:pt>
                <c:pt idx="214">
                  <c:v>8.5599999999999934</c:v>
                </c:pt>
                <c:pt idx="215">
                  <c:v>8.5999999999999925</c:v>
                </c:pt>
                <c:pt idx="216">
                  <c:v>8.6399999999999917</c:v>
                </c:pt>
                <c:pt idx="217">
                  <c:v>8.6799999999999908</c:v>
                </c:pt>
                <c:pt idx="218">
                  <c:v>8.71999999999999</c:v>
                </c:pt>
                <c:pt idx="219">
                  <c:v>8.7599999999999891</c:v>
                </c:pt>
                <c:pt idx="220">
                  <c:v>8.7999999999999883</c:v>
                </c:pt>
                <c:pt idx="221">
                  <c:v>8.8399999999999874</c:v>
                </c:pt>
                <c:pt idx="222">
                  <c:v>8.8799999999999866</c:v>
                </c:pt>
                <c:pt idx="223">
                  <c:v>8.9199999999999857</c:v>
                </c:pt>
                <c:pt idx="224">
                  <c:v>8.9599999999999849</c:v>
                </c:pt>
                <c:pt idx="225">
                  <c:v>8.999999999999984</c:v>
                </c:pt>
                <c:pt idx="226">
                  <c:v>9.0399999999999832</c:v>
                </c:pt>
                <c:pt idx="227">
                  <c:v>9.0799999999999823</c:v>
                </c:pt>
                <c:pt idx="228">
                  <c:v>9.1199999999999815</c:v>
                </c:pt>
                <c:pt idx="229">
                  <c:v>9.1599999999999806</c:v>
                </c:pt>
                <c:pt idx="230">
                  <c:v>9.1999999999999797</c:v>
                </c:pt>
                <c:pt idx="231">
                  <c:v>9.2399999999999789</c:v>
                </c:pt>
                <c:pt idx="232">
                  <c:v>9.279999999999978</c:v>
                </c:pt>
                <c:pt idx="233">
                  <c:v>9.3199999999999772</c:v>
                </c:pt>
                <c:pt idx="234">
                  <c:v>9.3599999999999763</c:v>
                </c:pt>
                <c:pt idx="235">
                  <c:v>9.3999999999999755</c:v>
                </c:pt>
                <c:pt idx="236">
                  <c:v>9.4399999999999746</c:v>
                </c:pt>
                <c:pt idx="237">
                  <c:v>9.4799999999999738</c:v>
                </c:pt>
                <c:pt idx="238">
                  <c:v>9.5199999999999729</c:v>
                </c:pt>
                <c:pt idx="239">
                  <c:v>9.5599999999999721</c:v>
                </c:pt>
                <c:pt idx="240">
                  <c:v>9.5999999999999712</c:v>
                </c:pt>
                <c:pt idx="241">
                  <c:v>9.6399999999999704</c:v>
                </c:pt>
                <c:pt idx="242">
                  <c:v>9.6799999999999695</c:v>
                </c:pt>
                <c:pt idx="243">
                  <c:v>9.7199999999999687</c:v>
                </c:pt>
                <c:pt idx="244">
                  <c:v>9.7599999999999678</c:v>
                </c:pt>
                <c:pt idx="245">
                  <c:v>9.799999999999967</c:v>
                </c:pt>
                <c:pt idx="246">
                  <c:v>9.8399999999999661</c:v>
                </c:pt>
                <c:pt idx="247">
                  <c:v>9.8799999999999653</c:v>
                </c:pt>
                <c:pt idx="248">
                  <c:v>9.9199999999999644</c:v>
                </c:pt>
                <c:pt idx="249">
                  <c:v>9.9599999999999635</c:v>
                </c:pt>
                <c:pt idx="250">
                  <c:v>9.9999999999999627</c:v>
                </c:pt>
                <c:pt idx="251">
                  <c:v>10.039999999999962</c:v>
                </c:pt>
                <c:pt idx="252">
                  <c:v>10.079999999999961</c:v>
                </c:pt>
                <c:pt idx="253">
                  <c:v>10.11999999999996</c:v>
                </c:pt>
                <c:pt idx="254">
                  <c:v>10.159999999999959</c:v>
                </c:pt>
                <c:pt idx="255">
                  <c:v>10.199999999999958</c:v>
                </c:pt>
                <c:pt idx="256">
                  <c:v>10.239999999999958</c:v>
                </c:pt>
                <c:pt idx="257">
                  <c:v>10.279999999999957</c:v>
                </c:pt>
                <c:pt idx="258">
                  <c:v>10.319999999999956</c:v>
                </c:pt>
                <c:pt idx="259">
                  <c:v>10.359999999999955</c:v>
                </c:pt>
                <c:pt idx="260">
                  <c:v>10.399999999999954</c:v>
                </c:pt>
                <c:pt idx="261">
                  <c:v>10.439999999999953</c:v>
                </c:pt>
                <c:pt idx="262">
                  <c:v>10.479999999999952</c:v>
                </c:pt>
                <c:pt idx="263">
                  <c:v>10.519999999999952</c:v>
                </c:pt>
                <c:pt idx="264">
                  <c:v>10.559999999999951</c:v>
                </c:pt>
                <c:pt idx="265">
                  <c:v>10.59999999999995</c:v>
                </c:pt>
                <c:pt idx="266">
                  <c:v>10.639999999999949</c:v>
                </c:pt>
                <c:pt idx="267">
                  <c:v>10.679999999999948</c:v>
                </c:pt>
                <c:pt idx="268">
                  <c:v>10.719999999999947</c:v>
                </c:pt>
                <c:pt idx="269">
                  <c:v>10.759999999999946</c:v>
                </c:pt>
                <c:pt idx="270">
                  <c:v>10.799999999999946</c:v>
                </c:pt>
                <c:pt idx="271">
                  <c:v>10.839999999999945</c:v>
                </c:pt>
                <c:pt idx="272">
                  <c:v>10.879999999999944</c:v>
                </c:pt>
                <c:pt idx="273">
                  <c:v>10.919999999999943</c:v>
                </c:pt>
                <c:pt idx="274">
                  <c:v>10.959999999999942</c:v>
                </c:pt>
                <c:pt idx="275">
                  <c:v>10.999999999999941</c:v>
                </c:pt>
                <c:pt idx="276">
                  <c:v>11.039999999999941</c:v>
                </c:pt>
                <c:pt idx="277">
                  <c:v>11.07999999999994</c:v>
                </c:pt>
                <c:pt idx="278">
                  <c:v>11.119999999999939</c:v>
                </c:pt>
                <c:pt idx="279">
                  <c:v>11.159999999999938</c:v>
                </c:pt>
                <c:pt idx="280">
                  <c:v>11.199999999999937</c:v>
                </c:pt>
                <c:pt idx="281">
                  <c:v>11.239999999999936</c:v>
                </c:pt>
                <c:pt idx="282">
                  <c:v>11.279999999999935</c:v>
                </c:pt>
                <c:pt idx="283">
                  <c:v>11.319999999999935</c:v>
                </c:pt>
                <c:pt idx="284">
                  <c:v>11.359999999999934</c:v>
                </c:pt>
                <c:pt idx="285">
                  <c:v>11.399999999999933</c:v>
                </c:pt>
                <c:pt idx="286">
                  <c:v>11.439999999999932</c:v>
                </c:pt>
                <c:pt idx="287">
                  <c:v>11.479999999999931</c:v>
                </c:pt>
                <c:pt idx="288">
                  <c:v>11.51999999999993</c:v>
                </c:pt>
                <c:pt idx="289">
                  <c:v>11.559999999999929</c:v>
                </c:pt>
                <c:pt idx="290">
                  <c:v>11.599999999999929</c:v>
                </c:pt>
                <c:pt idx="291">
                  <c:v>11.639999999999928</c:v>
                </c:pt>
                <c:pt idx="292">
                  <c:v>11.679999999999927</c:v>
                </c:pt>
                <c:pt idx="293">
                  <c:v>11.719999999999926</c:v>
                </c:pt>
                <c:pt idx="294">
                  <c:v>11.759999999999925</c:v>
                </c:pt>
                <c:pt idx="295">
                  <c:v>11.799999999999924</c:v>
                </c:pt>
                <c:pt idx="296">
                  <c:v>11.839999999999923</c:v>
                </c:pt>
                <c:pt idx="297">
                  <c:v>11.879999999999923</c:v>
                </c:pt>
                <c:pt idx="298">
                  <c:v>11.919999999999922</c:v>
                </c:pt>
                <c:pt idx="299">
                  <c:v>11.959999999999921</c:v>
                </c:pt>
                <c:pt idx="300">
                  <c:v>11.99999999999992</c:v>
                </c:pt>
                <c:pt idx="301">
                  <c:v>12.039999999999919</c:v>
                </c:pt>
                <c:pt idx="302">
                  <c:v>12.079999999999918</c:v>
                </c:pt>
                <c:pt idx="303">
                  <c:v>12.119999999999918</c:v>
                </c:pt>
                <c:pt idx="304">
                  <c:v>12.159999999999917</c:v>
                </c:pt>
                <c:pt idx="305">
                  <c:v>12.199999999999916</c:v>
                </c:pt>
                <c:pt idx="306">
                  <c:v>12.239999999999915</c:v>
                </c:pt>
                <c:pt idx="307">
                  <c:v>12.279999999999914</c:v>
                </c:pt>
                <c:pt idx="308">
                  <c:v>12.319999999999913</c:v>
                </c:pt>
                <c:pt idx="309">
                  <c:v>12.359999999999912</c:v>
                </c:pt>
                <c:pt idx="310">
                  <c:v>12.399999999999912</c:v>
                </c:pt>
                <c:pt idx="311">
                  <c:v>12.439999999999911</c:v>
                </c:pt>
                <c:pt idx="312">
                  <c:v>12.47999999999991</c:v>
                </c:pt>
                <c:pt idx="313">
                  <c:v>12.519999999999909</c:v>
                </c:pt>
                <c:pt idx="314">
                  <c:v>12.559999999999908</c:v>
                </c:pt>
                <c:pt idx="315">
                  <c:v>12.599999999999907</c:v>
                </c:pt>
                <c:pt idx="316">
                  <c:v>12.639999999999906</c:v>
                </c:pt>
                <c:pt idx="317">
                  <c:v>12.679999999999906</c:v>
                </c:pt>
                <c:pt idx="318">
                  <c:v>12.719999999999905</c:v>
                </c:pt>
                <c:pt idx="319">
                  <c:v>12.759999999999904</c:v>
                </c:pt>
                <c:pt idx="320">
                  <c:v>12.799999999999903</c:v>
                </c:pt>
                <c:pt idx="321">
                  <c:v>12.839999999999902</c:v>
                </c:pt>
                <c:pt idx="322">
                  <c:v>12.879999999999901</c:v>
                </c:pt>
                <c:pt idx="323">
                  <c:v>12.9199999999999</c:v>
                </c:pt>
                <c:pt idx="324">
                  <c:v>12.9599999999999</c:v>
                </c:pt>
                <c:pt idx="325">
                  <c:v>12.999999999999899</c:v>
                </c:pt>
                <c:pt idx="326">
                  <c:v>13.039999999999898</c:v>
                </c:pt>
                <c:pt idx="327">
                  <c:v>13.079999999999897</c:v>
                </c:pt>
                <c:pt idx="328">
                  <c:v>13.119999999999896</c:v>
                </c:pt>
                <c:pt idx="329">
                  <c:v>13.159999999999895</c:v>
                </c:pt>
                <c:pt idx="330">
                  <c:v>13.199999999999894</c:v>
                </c:pt>
                <c:pt idx="331">
                  <c:v>13.239999999999894</c:v>
                </c:pt>
                <c:pt idx="332">
                  <c:v>13.279999999999893</c:v>
                </c:pt>
                <c:pt idx="333">
                  <c:v>13.319999999999892</c:v>
                </c:pt>
                <c:pt idx="334">
                  <c:v>13.359999999999891</c:v>
                </c:pt>
                <c:pt idx="335">
                  <c:v>13.39999999999989</c:v>
                </c:pt>
                <c:pt idx="336">
                  <c:v>13.439999999999889</c:v>
                </c:pt>
                <c:pt idx="337">
                  <c:v>13.479999999999889</c:v>
                </c:pt>
                <c:pt idx="338">
                  <c:v>13.519999999999888</c:v>
                </c:pt>
                <c:pt idx="339">
                  <c:v>13.559999999999887</c:v>
                </c:pt>
                <c:pt idx="340">
                  <c:v>13.599999999999886</c:v>
                </c:pt>
                <c:pt idx="341">
                  <c:v>13.639999999999885</c:v>
                </c:pt>
                <c:pt idx="342">
                  <c:v>13.679999999999884</c:v>
                </c:pt>
                <c:pt idx="343">
                  <c:v>13.719999999999883</c:v>
                </c:pt>
                <c:pt idx="344">
                  <c:v>13.759999999999883</c:v>
                </c:pt>
                <c:pt idx="345">
                  <c:v>13.799999999999882</c:v>
                </c:pt>
                <c:pt idx="346">
                  <c:v>13.839999999999881</c:v>
                </c:pt>
                <c:pt idx="347">
                  <c:v>13.87999999999988</c:v>
                </c:pt>
                <c:pt idx="348">
                  <c:v>13.919999999999879</c:v>
                </c:pt>
                <c:pt idx="349">
                  <c:v>13.959999999999878</c:v>
                </c:pt>
                <c:pt idx="350">
                  <c:v>13.999999999999877</c:v>
                </c:pt>
                <c:pt idx="351">
                  <c:v>14.039999999999877</c:v>
                </c:pt>
                <c:pt idx="352">
                  <c:v>14.079999999999876</c:v>
                </c:pt>
                <c:pt idx="353">
                  <c:v>14.119999999999875</c:v>
                </c:pt>
                <c:pt idx="354">
                  <c:v>14.159999999999874</c:v>
                </c:pt>
                <c:pt idx="355">
                  <c:v>14.199999999999873</c:v>
                </c:pt>
                <c:pt idx="356">
                  <c:v>14.239999999999872</c:v>
                </c:pt>
                <c:pt idx="357">
                  <c:v>14.279999999999871</c:v>
                </c:pt>
                <c:pt idx="358">
                  <c:v>14.319999999999871</c:v>
                </c:pt>
                <c:pt idx="359">
                  <c:v>14.35999999999987</c:v>
                </c:pt>
                <c:pt idx="360">
                  <c:v>14.399999999999869</c:v>
                </c:pt>
                <c:pt idx="361">
                  <c:v>14.439999999999868</c:v>
                </c:pt>
                <c:pt idx="362">
                  <c:v>14.479999999999867</c:v>
                </c:pt>
                <c:pt idx="363">
                  <c:v>14.519999999999866</c:v>
                </c:pt>
                <c:pt idx="364">
                  <c:v>14.559999999999865</c:v>
                </c:pt>
                <c:pt idx="365">
                  <c:v>14.599999999999865</c:v>
                </c:pt>
                <c:pt idx="366">
                  <c:v>14.639999999999864</c:v>
                </c:pt>
                <c:pt idx="367">
                  <c:v>14.679999999999863</c:v>
                </c:pt>
                <c:pt idx="368">
                  <c:v>14.719999999999862</c:v>
                </c:pt>
                <c:pt idx="369">
                  <c:v>14.759999999999861</c:v>
                </c:pt>
                <c:pt idx="370">
                  <c:v>14.79999999999986</c:v>
                </c:pt>
                <c:pt idx="371">
                  <c:v>14.83999999999986</c:v>
                </c:pt>
                <c:pt idx="372">
                  <c:v>14.879999999999859</c:v>
                </c:pt>
                <c:pt idx="373">
                  <c:v>14.919999999999858</c:v>
                </c:pt>
                <c:pt idx="374">
                  <c:v>14.959999999999857</c:v>
                </c:pt>
                <c:pt idx="375">
                  <c:v>14.999999999999856</c:v>
                </c:pt>
                <c:pt idx="376">
                  <c:v>15.039999999999855</c:v>
                </c:pt>
                <c:pt idx="377">
                  <c:v>15.079999999999854</c:v>
                </c:pt>
                <c:pt idx="378">
                  <c:v>15.119999999999854</c:v>
                </c:pt>
                <c:pt idx="379">
                  <c:v>15.159999999999853</c:v>
                </c:pt>
                <c:pt idx="380">
                  <c:v>15.199999999999852</c:v>
                </c:pt>
                <c:pt idx="381">
                  <c:v>15.239999999999851</c:v>
                </c:pt>
                <c:pt idx="382">
                  <c:v>15.27999999999985</c:v>
                </c:pt>
                <c:pt idx="383">
                  <c:v>15.319999999999849</c:v>
                </c:pt>
                <c:pt idx="384">
                  <c:v>15.359999999999848</c:v>
                </c:pt>
                <c:pt idx="385">
                  <c:v>15.399999999999848</c:v>
                </c:pt>
                <c:pt idx="386">
                  <c:v>15.439999999999847</c:v>
                </c:pt>
                <c:pt idx="387">
                  <c:v>15.479999999999846</c:v>
                </c:pt>
                <c:pt idx="388">
                  <c:v>15.519999999999845</c:v>
                </c:pt>
                <c:pt idx="389">
                  <c:v>15.559999999999844</c:v>
                </c:pt>
                <c:pt idx="390">
                  <c:v>15.599999999999843</c:v>
                </c:pt>
                <c:pt idx="391">
                  <c:v>15.639999999999842</c:v>
                </c:pt>
                <c:pt idx="392">
                  <c:v>15.679999999999842</c:v>
                </c:pt>
                <c:pt idx="393">
                  <c:v>15.719999999999841</c:v>
                </c:pt>
                <c:pt idx="394">
                  <c:v>15.75999999999984</c:v>
                </c:pt>
                <c:pt idx="395">
                  <c:v>15.799999999999839</c:v>
                </c:pt>
                <c:pt idx="396">
                  <c:v>15.839999999999838</c:v>
                </c:pt>
                <c:pt idx="397">
                  <c:v>15.879999999999837</c:v>
                </c:pt>
                <c:pt idx="398">
                  <c:v>15.919999999999837</c:v>
                </c:pt>
                <c:pt idx="399">
                  <c:v>15.959999999999836</c:v>
                </c:pt>
                <c:pt idx="400">
                  <c:v>15.999999999999835</c:v>
                </c:pt>
                <c:pt idx="401">
                  <c:v>16.039999999999836</c:v>
                </c:pt>
                <c:pt idx="402">
                  <c:v>16.079999999999835</c:v>
                </c:pt>
                <c:pt idx="403">
                  <c:v>16.119999999999834</c:v>
                </c:pt>
                <c:pt idx="404">
                  <c:v>16.159999999999833</c:v>
                </c:pt>
                <c:pt idx="405">
                  <c:v>16.199999999999832</c:v>
                </c:pt>
                <c:pt idx="406">
                  <c:v>16.239999999999831</c:v>
                </c:pt>
                <c:pt idx="407">
                  <c:v>16.279999999999831</c:v>
                </c:pt>
                <c:pt idx="408">
                  <c:v>16.31999999999983</c:v>
                </c:pt>
                <c:pt idx="409">
                  <c:v>16.359999999999829</c:v>
                </c:pt>
                <c:pt idx="410">
                  <c:v>16.399999999999828</c:v>
                </c:pt>
                <c:pt idx="411">
                  <c:v>16.439999999999827</c:v>
                </c:pt>
                <c:pt idx="412">
                  <c:v>16.479999999999826</c:v>
                </c:pt>
                <c:pt idx="413">
                  <c:v>16.519999999999825</c:v>
                </c:pt>
                <c:pt idx="414">
                  <c:v>16.559999999999825</c:v>
                </c:pt>
                <c:pt idx="415">
                  <c:v>16.599999999999824</c:v>
                </c:pt>
                <c:pt idx="416">
                  <c:v>16.639999999999823</c:v>
                </c:pt>
                <c:pt idx="417">
                  <c:v>16.679999999999822</c:v>
                </c:pt>
                <c:pt idx="418">
                  <c:v>16.719999999999821</c:v>
                </c:pt>
                <c:pt idx="419">
                  <c:v>16.75999999999982</c:v>
                </c:pt>
                <c:pt idx="420">
                  <c:v>16.79999999999982</c:v>
                </c:pt>
                <c:pt idx="421">
                  <c:v>16.839999999999819</c:v>
                </c:pt>
                <c:pt idx="422">
                  <c:v>16.879999999999818</c:v>
                </c:pt>
                <c:pt idx="423">
                  <c:v>16.919999999999817</c:v>
                </c:pt>
                <c:pt idx="424">
                  <c:v>16.959999999999816</c:v>
                </c:pt>
                <c:pt idx="425">
                  <c:v>16.999999999999815</c:v>
                </c:pt>
                <c:pt idx="426">
                  <c:v>17.039999999999814</c:v>
                </c:pt>
                <c:pt idx="427">
                  <c:v>17.079999999999814</c:v>
                </c:pt>
                <c:pt idx="428">
                  <c:v>17.119999999999813</c:v>
                </c:pt>
                <c:pt idx="429">
                  <c:v>17.159999999999812</c:v>
                </c:pt>
                <c:pt idx="430">
                  <c:v>17.199999999999811</c:v>
                </c:pt>
                <c:pt idx="431">
                  <c:v>17.23999999999981</c:v>
                </c:pt>
                <c:pt idx="432">
                  <c:v>17.279999999999809</c:v>
                </c:pt>
                <c:pt idx="433">
                  <c:v>17.319999999999808</c:v>
                </c:pt>
                <c:pt idx="434">
                  <c:v>17.359999999999808</c:v>
                </c:pt>
                <c:pt idx="435">
                  <c:v>17.399999999999807</c:v>
                </c:pt>
                <c:pt idx="436">
                  <c:v>17.439999999999806</c:v>
                </c:pt>
                <c:pt idx="437">
                  <c:v>17.479999999999805</c:v>
                </c:pt>
                <c:pt idx="438">
                  <c:v>17.519999999999804</c:v>
                </c:pt>
                <c:pt idx="439">
                  <c:v>17.559999999999803</c:v>
                </c:pt>
                <c:pt idx="440">
                  <c:v>17.599999999999802</c:v>
                </c:pt>
                <c:pt idx="441">
                  <c:v>17.639999999999802</c:v>
                </c:pt>
                <c:pt idx="442">
                  <c:v>17.679999999999801</c:v>
                </c:pt>
                <c:pt idx="443">
                  <c:v>17.7199999999998</c:v>
                </c:pt>
                <c:pt idx="444">
                  <c:v>17.759999999999799</c:v>
                </c:pt>
                <c:pt idx="445">
                  <c:v>17.799999999999798</c:v>
                </c:pt>
                <c:pt idx="446">
                  <c:v>17.839999999999797</c:v>
                </c:pt>
                <c:pt idx="447">
                  <c:v>17.879999999999797</c:v>
                </c:pt>
                <c:pt idx="448">
                  <c:v>17.919999999999796</c:v>
                </c:pt>
                <c:pt idx="449">
                  <c:v>17.959999999999795</c:v>
                </c:pt>
                <c:pt idx="450">
                  <c:v>17.999999999999794</c:v>
                </c:pt>
                <c:pt idx="451">
                  <c:v>18.039999999999793</c:v>
                </c:pt>
                <c:pt idx="452">
                  <c:v>18.079999999999792</c:v>
                </c:pt>
                <c:pt idx="453">
                  <c:v>18.119999999999791</c:v>
                </c:pt>
                <c:pt idx="454">
                  <c:v>18.159999999999791</c:v>
                </c:pt>
                <c:pt idx="455">
                  <c:v>18.19999999999979</c:v>
                </c:pt>
                <c:pt idx="456">
                  <c:v>18.239999999999789</c:v>
                </c:pt>
                <c:pt idx="457">
                  <c:v>18.279999999999788</c:v>
                </c:pt>
                <c:pt idx="458">
                  <c:v>18.319999999999787</c:v>
                </c:pt>
                <c:pt idx="459">
                  <c:v>18.359999999999786</c:v>
                </c:pt>
                <c:pt idx="460">
                  <c:v>18.399999999999785</c:v>
                </c:pt>
                <c:pt idx="461">
                  <c:v>18.439999999999785</c:v>
                </c:pt>
                <c:pt idx="462">
                  <c:v>18.479999999999784</c:v>
                </c:pt>
                <c:pt idx="463">
                  <c:v>18.519999999999783</c:v>
                </c:pt>
                <c:pt idx="464">
                  <c:v>18.559999999999782</c:v>
                </c:pt>
                <c:pt idx="465">
                  <c:v>18.599999999999781</c:v>
                </c:pt>
                <c:pt idx="466">
                  <c:v>18.63999999999978</c:v>
                </c:pt>
                <c:pt idx="467">
                  <c:v>18.679999999999779</c:v>
                </c:pt>
                <c:pt idx="468">
                  <c:v>18.719999999999779</c:v>
                </c:pt>
                <c:pt idx="469">
                  <c:v>18.759999999999778</c:v>
                </c:pt>
                <c:pt idx="470">
                  <c:v>18.799999999999777</c:v>
                </c:pt>
                <c:pt idx="471">
                  <c:v>18.839999999999776</c:v>
                </c:pt>
                <c:pt idx="472">
                  <c:v>18.879999999999775</c:v>
                </c:pt>
                <c:pt idx="473">
                  <c:v>18.919999999999774</c:v>
                </c:pt>
                <c:pt idx="474">
                  <c:v>18.959999999999773</c:v>
                </c:pt>
                <c:pt idx="475">
                  <c:v>18.999999999999773</c:v>
                </c:pt>
                <c:pt idx="476">
                  <c:v>19.039999999999772</c:v>
                </c:pt>
                <c:pt idx="477">
                  <c:v>19.079999999999771</c:v>
                </c:pt>
                <c:pt idx="478">
                  <c:v>19.11999999999977</c:v>
                </c:pt>
                <c:pt idx="479">
                  <c:v>19.159999999999769</c:v>
                </c:pt>
                <c:pt idx="480">
                  <c:v>19.199999999999768</c:v>
                </c:pt>
                <c:pt idx="481">
                  <c:v>19.239999999999768</c:v>
                </c:pt>
                <c:pt idx="482">
                  <c:v>19.279999999999767</c:v>
                </c:pt>
                <c:pt idx="483">
                  <c:v>19.319999999999766</c:v>
                </c:pt>
                <c:pt idx="484">
                  <c:v>19.359999999999765</c:v>
                </c:pt>
                <c:pt idx="485">
                  <c:v>19.399999999999764</c:v>
                </c:pt>
                <c:pt idx="486">
                  <c:v>19.439999999999763</c:v>
                </c:pt>
                <c:pt idx="487">
                  <c:v>19.479999999999762</c:v>
                </c:pt>
                <c:pt idx="488">
                  <c:v>19.519999999999762</c:v>
                </c:pt>
                <c:pt idx="489">
                  <c:v>19.559999999999761</c:v>
                </c:pt>
                <c:pt idx="490">
                  <c:v>19.59999999999976</c:v>
                </c:pt>
                <c:pt idx="491">
                  <c:v>19.639999999999759</c:v>
                </c:pt>
                <c:pt idx="492">
                  <c:v>19.679999999999758</c:v>
                </c:pt>
                <c:pt idx="493">
                  <c:v>19.719999999999757</c:v>
                </c:pt>
                <c:pt idx="494">
                  <c:v>19.759999999999756</c:v>
                </c:pt>
                <c:pt idx="495">
                  <c:v>19.799999999999756</c:v>
                </c:pt>
                <c:pt idx="496">
                  <c:v>19.839999999999755</c:v>
                </c:pt>
                <c:pt idx="497">
                  <c:v>19.879999999999754</c:v>
                </c:pt>
                <c:pt idx="498">
                  <c:v>19.919999999999753</c:v>
                </c:pt>
                <c:pt idx="499">
                  <c:v>19.959999999999752</c:v>
                </c:pt>
                <c:pt idx="500">
                  <c:v>19.999999999999751</c:v>
                </c:pt>
                <c:pt idx="501">
                  <c:v>20.03999999999975</c:v>
                </c:pt>
                <c:pt idx="502">
                  <c:v>20.07999999999975</c:v>
                </c:pt>
                <c:pt idx="503">
                  <c:v>20.119999999999749</c:v>
                </c:pt>
                <c:pt idx="504">
                  <c:v>20.159999999999748</c:v>
                </c:pt>
                <c:pt idx="505">
                  <c:v>20.199999999999747</c:v>
                </c:pt>
                <c:pt idx="506">
                  <c:v>20.239999999999746</c:v>
                </c:pt>
                <c:pt idx="507">
                  <c:v>20.279999999999745</c:v>
                </c:pt>
                <c:pt idx="508">
                  <c:v>20.319999999999744</c:v>
                </c:pt>
                <c:pt idx="509">
                  <c:v>20.359999999999744</c:v>
                </c:pt>
                <c:pt idx="510">
                  <c:v>20.399999999999743</c:v>
                </c:pt>
                <c:pt idx="511">
                  <c:v>20.439999999999742</c:v>
                </c:pt>
                <c:pt idx="512">
                  <c:v>20.479999999999741</c:v>
                </c:pt>
                <c:pt idx="513">
                  <c:v>20.51999999999974</c:v>
                </c:pt>
                <c:pt idx="514">
                  <c:v>20.559999999999739</c:v>
                </c:pt>
                <c:pt idx="515">
                  <c:v>20.599999999999739</c:v>
                </c:pt>
                <c:pt idx="516">
                  <c:v>20.639999999999738</c:v>
                </c:pt>
                <c:pt idx="517">
                  <c:v>20.679999999999737</c:v>
                </c:pt>
                <c:pt idx="518">
                  <c:v>20.719999999999736</c:v>
                </c:pt>
                <c:pt idx="519">
                  <c:v>20.759999999999735</c:v>
                </c:pt>
                <c:pt idx="520">
                  <c:v>20.799999999999734</c:v>
                </c:pt>
                <c:pt idx="521">
                  <c:v>20.839999999999733</c:v>
                </c:pt>
                <c:pt idx="522">
                  <c:v>20.879999999999733</c:v>
                </c:pt>
                <c:pt idx="523">
                  <c:v>20.919999999999732</c:v>
                </c:pt>
                <c:pt idx="524">
                  <c:v>20.959999999999731</c:v>
                </c:pt>
                <c:pt idx="525">
                  <c:v>20.99999999999973</c:v>
                </c:pt>
                <c:pt idx="526">
                  <c:v>21.039999999999729</c:v>
                </c:pt>
                <c:pt idx="527">
                  <c:v>21.079999999999728</c:v>
                </c:pt>
                <c:pt idx="528">
                  <c:v>21.119999999999727</c:v>
                </c:pt>
                <c:pt idx="529">
                  <c:v>21.159999999999727</c:v>
                </c:pt>
                <c:pt idx="530">
                  <c:v>21.199999999999726</c:v>
                </c:pt>
                <c:pt idx="531">
                  <c:v>21.239999999999725</c:v>
                </c:pt>
                <c:pt idx="532">
                  <c:v>21.279999999999724</c:v>
                </c:pt>
                <c:pt idx="533">
                  <c:v>21.319999999999723</c:v>
                </c:pt>
                <c:pt idx="534">
                  <c:v>21.359999999999722</c:v>
                </c:pt>
                <c:pt idx="535">
                  <c:v>21.399999999999721</c:v>
                </c:pt>
                <c:pt idx="536">
                  <c:v>21.439999999999721</c:v>
                </c:pt>
                <c:pt idx="537">
                  <c:v>21.47999999999972</c:v>
                </c:pt>
                <c:pt idx="538">
                  <c:v>21.519999999999719</c:v>
                </c:pt>
                <c:pt idx="539">
                  <c:v>21.559999999999718</c:v>
                </c:pt>
                <c:pt idx="540">
                  <c:v>21.599999999999717</c:v>
                </c:pt>
                <c:pt idx="541">
                  <c:v>21.639999999999716</c:v>
                </c:pt>
                <c:pt idx="542">
                  <c:v>21.679999999999715</c:v>
                </c:pt>
                <c:pt idx="543">
                  <c:v>21.719999999999715</c:v>
                </c:pt>
                <c:pt idx="544">
                  <c:v>21.759999999999714</c:v>
                </c:pt>
                <c:pt idx="545">
                  <c:v>21.799999999999713</c:v>
                </c:pt>
                <c:pt idx="546">
                  <c:v>21.839999999999712</c:v>
                </c:pt>
                <c:pt idx="547">
                  <c:v>21.879999999999711</c:v>
                </c:pt>
                <c:pt idx="548">
                  <c:v>21.91999999999971</c:v>
                </c:pt>
                <c:pt idx="549">
                  <c:v>21.95999999999971</c:v>
                </c:pt>
                <c:pt idx="550">
                  <c:v>21.999999999999709</c:v>
                </c:pt>
                <c:pt idx="551">
                  <c:v>22.039999999999708</c:v>
                </c:pt>
                <c:pt idx="552">
                  <c:v>22.079999999999707</c:v>
                </c:pt>
                <c:pt idx="553">
                  <c:v>22.119999999999706</c:v>
                </c:pt>
                <c:pt idx="554">
                  <c:v>22.159999999999705</c:v>
                </c:pt>
                <c:pt idx="555">
                  <c:v>22.199999999999704</c:v>
                </c:pt>
                <c:pt idx="556">
                  <c:v>22.239999999999704</c:v>
                </c:pt>
                <c:pt idx="557">
                  <c:v>22.279999999999703</c:v>
                </c:pt>
                <c:pt idx="558">
                  <c:v>22.319999999999702</c:v>
                </c:pt>
                <c:pt idx="559">
                  <c:v>22.359999999999701</c:v>
                </c:pt>
                <c:pt idx="560">
                  <c:v>22.3999999999997</c:v>
                </c:pt>
                <c:pt idx="561">
                  <c:v>22.439999999999699</c:v>
                </c:pt>
                <c:pt idx="562">
                  <c:v>22.479999999999698</c:v>
                </c:pt>
                <c:pt idx="563">
                  <c:v>22.519999999999698</c:v>
                </c:pt>
                <c:pt idx="564">
                  <c:v>22.559999999999697</c:v>
                </c:pt>
                <c:pt idx="565">
                  <c:v>22.599999999999696</c:v>
                </c:pt>
                <c:pt idx="566">
                  <c:v>22.639999999999695</c:v>
                </c:pt>
                <c:pt idx="567">
                  <c:v>22.679999999999694</c:v>
                </c:pt>
                <c:pt idx="568">
                  <c:v>22.719999999999693</c:v>
                </c:pt>
                <c:pt idx="569">
                  <c:v>22.759999999999692</c:v>
                </c:pt>
                <c:pt idx="570">
                  <c:v>22.799999999999692</c:v>
                </c:pt>
                <c:pt idx="571">
                  <c:v>22.839999999999691</c:v>
                </c:pt>
                <c:pt idx="572">
                  <c:v>22.87999999999969</c:v>
                </c:pt>
                <c:pt idx="573">
                  <c:v>22.919999999999689</c:v>
                </c:pt>
                <c:pt idx="574">
                  <c:v>22.959999999999688</c:v>
                </c:pt>
                <c:pt idx="575">
                  <c:v>22.999999999999687</c:v>
                </c:pt>
                <c:pt idx="576">
                  <c:v>23.039999999999687</c:v>
                </c:pt>
                <c:pt idx="577">
                  <c:v>23.079999999999686</c:v>
                </c:pt>
                <c:pt idx="578">
                  <c:v>23.119999999999685</c:v>
                </c:pt>
                <c:pt idx="579">
                  <c:v>23.159999999999684</c:v>
                </c:pt>
                <c:pt idx="580">
                  <c:v>23.199999999999683</c:v>
                </c:pt>
                <c:pt idx="581">
                  <c:v>23.239999999999682</c:v>
                </c:pt>
                <c:pt idx="582">
                  <c:v>23.279999999999681</c:v>
                </c:pt>
                <c:pt idx="583">
                  <c:v>23.319999999999681</c:v>
                </c:pt>
                <c:pt idx="584">
                  <c:v>23.35999999999968</c:v>
                </c:pt>
                <c:pt idx="585">
                  <c:v>23.399999999999679</c:v>
                </c:pt>
                <c:pt idx="586">
                  <c:v>23.439999999999678</c:v>
                </c:pt>
                <c:pt idx="587">
                  <c:v>23.479999999999677</c:v>
                </c:pt>
                <c:pt idx="588">
                  <c:v>23.519999999999676</c:v>
                </c:pt>
                <c:pt idx="589">
                  <c:v>23.559999999999675</c:v>
                </c:pt>
                <c:pt idx="590">
                  <c:v>23.599999999999675</c:v>
                </c:pt>
                <c:pt idx="591">
                  <c:v>23.639999999999674</c:v>
                </c:pt>
                <c:pt idx="592">
                  <c:v>23.679999999999673</c:v>
                </c:pt>
                <c:pt idx="593">
                  <c:v>23.719999999999672</c:v>
                </c:pt>
                <c:pt idx="594">
                  <c:v>23.759999999999671</c:v>
                </c:pt>
                <c:pt idx="595">
                  <c:v>23.79999999999967</c:v>
                </c:pt>
                <c:pt idx="596">
                  <c:v>23.839999999999669</c:v>
                </c:pt>
                <c:pt idx="597">
                  <c:v>23.879999999999669</c:v>
                </c:pt>
                <c:pt idx="598">
                  <c:v>23.919999999999668</c:v>
                </c:pt>
                <c:pt idx="599">
                  <c:v>23.959999999999667</c:v>
                </c:pt>
                <c:pt idx="600">
                  <c:v>23.999999999999666</c:v>
                </c:pt>
                <c:pt idx="601">
                  <c:v>24.039999999999665</c:v>
                </c:pt>
                <c:pt idx="602">
                  <c:v>24.079999999999664</c:v>
                </c:pt>
                <c:pt idx="603">
                  <c:v>24.119999999999663</c:v>
                </c:pt>
                <c:pt idx="604">
                  <c:v>24.159999999999663</c:v>
                </c:pt>
                <c:pt idx="605">
                  <c:v>24.199999999999662</c:v>
                </c:pt>
                <c:pt idx="606">
                  <c:v>24.239999999999661</c:v>
                </c:pt>
                <c:pt idx="607">
                  <c:v>24.27999999999966</c:v>
                </c:pt>
                <c:pt idx="608">
                  <c:v>24.319999999999659</c:v>
                </c:pt>
                <c:pt idx="609">
                  <c:v>24.359999999999658</c:v>
                </c:pt>
                <c:pt idx="610">
                  <c:v>24.399999999999658</c:v>
                </c:pt>
                <c:pt idx="611">
                  <c:v>24.439999999999657</c:v>
                </c:pt>
                <c:pt idx="612">
                  <c:v>24.479999999999656</c:v>
                </c:pt>
                <c:pt idx="613">
                  <c:v>24.519999999999655</c:v>
                </c:pt>
                <c:pt idx="614">
                  <c:v>24.559999999999654</c:v>
                </c:pt>
                <c:pt idx="615">
                  <c:v>24.599999999999653</c:v>
                </c:pt>
                <c:pt idx="616">
                  <c:v>24.639999999999652</c:v>
                </c:pt>
                <c:pt idx="617">
                  <c:v>24.679999999999652</c:v>
                </c:pt>
                <c:pt idx="618">
                  <c:v>24.719999999999651</c:v>
                </c:pt>
                <c:pt idx="619">
                  <c:v>24.75999999999965</c:v>
                </c:pt>
                <c:pt idx="620">
                  <c:v>24.799999999999649</c:v>
                </c:pt>
                <c:pt idx="621">
                  <c:v>24.839999999999648</c:v>
                </c:pt>
                <c:pt idx="622">
                  <c:v>24.879999999999647</c:v>
                </c:pt>
                <c:pt idx="623">
                  <c:v>24.919999999999646</c:v>
                </c:pt>
                <c:pt idx="624">
                  <c:v>24.959999999999646</c:v>
                </c:pt>
                <c:pt idx="625">
                  <c:v>24.999999999999645</c:v>
                </c:pt>
                <c:pt idx="626">
                  <c:v>25.039999999999644</c:v>
                </c:pt>
                <c:pt idx="627">
                  <c:v>25.079999999999643</c:v>
                </c:pt>
                <c:pt idx="628">
                  <c:v>25.119999999999642</c:v>
                </c:pt>
                <c:pt idx="629">
                  <c:v>25.159999999999641</c:v>
                </c:pt>
                <c:pt idx="630">
                  <c:v>25.19999999999964</c:v>
                </c:pt>
                <c:pt idx="631">
                  <c:v>25.23999999999964</c:v>
                </c:pt>
                <c:pt idx="632">
                  <c:v>25.279999999999639</c:v>
                </c:pt>
                <c:pt idx="633">
                  <c:v>25.319999999999638</c:v>
                </c:pt>
                <c:pt idx="634">
                  <c:v>25.359999999999637</c:v>
                </c:pt>
                <c:pt idx="635">
                  <c:v>25.399999999999636</c:v>
                </c:pt>
                <c:pt idx="636">
                  <c:v>25.439999999999635</c:v>
                </c:pt>
                <c:pt idx="637">
                  <c:v>25.479999999999634</c:v>
                </c:pt>
                <c:pt idx="638">
                  <c:v>25.519999999999634</c:v>
                </c:pt>
                <c:pt idx="639">
                  <c:v>25.559999999999633</c:v>
                </c:pt>
                <c:pt idx="640">
                  <c:v>25.599999999999632</c:v>
                </c:pt>
                <c:pt idx="641">
                  <c:v>25.639999999999631</c:v>
                </c:pt>
                <c:pt idx="642">
                  <c:v>25.67999999999963</c:v>
                </c:pt>
                <c:pt idx="643">
                  <c:v>25.719999999999629</c:v>
                </c:pt>
                <c:pt idx="644">
                  <c:v>25.759999999999629</c:v>
                </c:pt>
                <c:pt idx="645">
                  <c:v>25.799999999999628</c:v>
                </c:pt>
                <c:pt idx="646">
                  <c:v>25.839999999999627</c:v>
                </c:pt>
                <c:pt idx="647">
                  <c:v>25.879999999999626</c:v>
                </c:pt>
                <c:pt idx="648">
                  <c:v>25.919999999999625</c:v>
                </c:pt>
                <c:pt idx="649">
                  <c:v>25.959999999999624</c:v>
                </c:pt>
                <c:pt idx="650">
                  <c:v>25.999999999999623</c:v>
                </c:pt>
                <c:pt idx="651">
                  <c:v>26.039999999999623</c:v>
                </c:pt>
                <c:pt idx="652">
                  <c:v>26.079999999999622</c:v>
                </c:pt>
                <c:pt idx="653">
                  <c:v>26.119999999999621</c:v>
                </c:pt>
                <c:pt idx="654">
                  <c:v>26.15999999999962</c:v>
                </c:pt>
                <c:pt idx="655">
                  <c:v>26.199999999999619</c:v>
                </c:pt>
                <c:pt idx="656">
                  <c:v>26.239999999999618</c:v>
                </c:pt>
                <c:pt idx="657">
                  <c:v>26.279999999999617</c:v>
                </c:pt>
                <c:pt idx="658">
                  <c:v>26.319999999999617</c:v>
                </c:pt>
                <c:pt idx="659">
                  <c:v>26.359999999999616</c:v>
                </c:pt>
                <c:pt idx="660">
                  <c:v>26.399999999999615</c:v>
                </c:pt>
                <c:pt idx="661">
                  <c:v>26.439999999999614</c:v>
                </c:pt>
                <c:pt idx="662">
                  <c:v>26.479999999999613</c:v>
                </c:pt>
                <c:pt idx="663">
                  <c:v>26.519999999999612</c:v>
                </c:pt>
                <c:pt idx="664">
                  <c:v>26.559999999999611</c:v>
                </c:pt>
                <c:pt idx="665">
                  <c:v>26.599999999999611</c:v>
                </c:pt>
                <c:pt idx="666">
                  <c:v>26.63999999999961</c:v>
                </c:pt>
                <c:pt idx="667">
                  <c:v>26.679999999999609</c:v>
                </c:pt>
                <c:pt idx="668">
                  <c:v>26.719999999999608</c:v>
                </c:pt>
                <c:pt idx="669">
                  <c:v>26.759999999999607</c:v>
                </c:pt>
                <c:pt idx="670">
                  <c:v>26.799999999999606</c:v>
                </c:pt>
                <c:pt idx="671">
                  <c:v>26.839999999999606</c:v>
                </c:pt>
                <c:pt idx="672">
                  <c:v>26.879999999999605</c:v>
                </c:pt>
                <c:pt idx="673">
                  <c:v>26.919999999999604</c:v>
                </c:pt>
                <c:pt idx="674">
                  <c:v>26.959999999999603</c:v>
                </c:pt>
                <c:pt idx="675">
                  <c:v>26.999999999999602</c:v>
                </c:pt>
                <c:pt idx="676">
                  <c:v>27.039999999999601</c:v>
                </c:pt>
                <c:pt idx="677">
                  <c:v>27.0799999999996</c:v>
                </c:pt>
                <c:pt idx="678">
                  <c:v>27.1199999999996</c:v>
                </c:pt>
                <c:pt idx="679">
                  <c:v>27.159999999999599</c:v>
                </c:pt>
                <c:pt idx="680">
                  <c:v>27.199999999999598</c:v>
                </c:pt>
                <c:pt idx="681">
                  <c:v>27.239999999999597</c:v>
                </c:pt>
                <c:pt idx="682">
                  <c:v>27.279999999999596</c:v>
                </c:pt>
                <c:pt idx="683">
                  <c:v>27.319999999999595</c:v>
                </c:pt>
                <c:pt idx="684">
                  <c:v>27.359999999999594</c:v>
                </c:pt>
                <c:pt idx="685">
                  <c:v>27.399999999999594</c:v>
                </c:pt>
                <c:pt idx="686">
                  <c:v>27.439999999999593</c:v>
                </c:pt>
                <c:pt idx="687">
                  <c:v>27.479999999999592</c:v>
                </c:pt>
                <c:pt idx="688">
                  <c:v>27.519999999999591</c:v>
                </c:pt>
                <c:pt idx="689">
                  <c:v>27.55999999999959</c:v>
                </c:pt>
                <c:pt idx="690">
                  <c:v>27.599999999999589</c:v>
                </c:pt>
                <c:pt idx="691">
                  <c:v>27.639999999999588</c:v>
                </c:pt>
                <c:pt idx="692">
                  <c:v>27.679999999999588</c:v>
                </c:pt>
                <c:pt idx="693">
                  <c:v>27.719999999999587</c:v>
                </c:pt>
                <c:pt idx="694">
                  <c:v>27.759999999999586</c:v>
                </c:pt>
                <c:pt idx="695">
                  <c:v>27.799999999999585</c:v>
                </c:pt>
                <c:pt idx="696">
                  <c:v>27.839999999999584</c:v>
                </c:pt>
                <c:pt idx="697">
                  <c:v>27.879999999999583</c:v>
                </c:pt>
                <c:pt idx="698">
                  <c:v>27.919999999999582</c:v>
                </c:pt>
                <c:pt idx="699">
                  <c:v>27.959999999999582</c:v>
                </c:pt>
                <c:pt idx="700">
                  <c:v>27.999999999999581</c:v>
                </c:pt>
                <c:pt idx="701">
                  <c:v>28.03999999999958</c:v>
                </c:pt>
                <c:pt idx="702">
                  <c:v>28.079999999999579</c:v>
                </c:pt>
                <c:pt idx="703">
                  <c:v>28.119999999999578</c:v>
                </c:pt>
                <c:pt idx="704">
                  <c:v>28.159999999999577</c:v>
                </c:pt>
                <c:pt idx="705">
                  <c:v>28.199999999999577</c:v>
                </c:pt>
                <c:pt idx="706">
                  <c:v>28.239999999999576</c:v>
                </c:pt>
                <c:pt idx="707">
                  <c:v>28.279999999999575</c:v>
                </c:pt>
                <c:pt idx="708">
                  <c:v>28.319999999999574</c:v>
                </c:pt>
                <c:pt idx="709">
                  <c:v>28.359999999999573</c:v>
                </c:pt>
                <c:pt idx="710">
                  <c:v>28.399999999999572</c:v>
                </c:pt>
                <c:pt idx="711">
                  <c:v>28.439999999999571</c:v>
                </c:pt>
                <c:pt idx="712">
                  <c:v>28.479999999999571</c:v>
                </c:pt>
                <c:pt idx="713">
                  <c:v>28.51999999999957</c:v>
                </c:pt>
                <c:pt idx="714">
                  <c:v>28.559999999999569</c:v>
                </c:pt>
                <c:pt idx="715">
                  <c:v>28.599999999999568</c:v>
                </c:pt>
              </c:numCache>
            </c:numRef>
          </c:cat>
          <c:val>
            <c:numRef>
              <c:f>Calculations!$B$33:$AAO$33</c:f>
              <c:numCache>
                <c:formatCode>General</c:formatCode>
                <c:ptCount val="716"/>
                <c:pt idx="0">
                  <c:v>66.037095196748012</c:v>
                </c:pt>
                <c:pt idx="1">
                  <c:v>66.037095196748012</c:v>
                </c:pt>
                <c:pt idx="2">
                  <c:v>66.037095196748012</c:v>
                </c:pt>
                <c:pt idx="3">
                  <c:v>66.037095196748012</c:v>
                </c:pt>
                <c:pt idx="4">
                  <c:v>66.037095196748012</c:v>
                </c:pt>
                <c:pt idx="5">
                  <c:v>66.037095196748012</c:v>
                </c:pt>
                <c:pt idx="6">
                  <c:v>66.037095196748012</c:v>
                </c:pt>
                <c:pt idx="7">
                  <c:v>66.037095196748012</c:v>
                </c:pt>
                <c:pt idx="8">
                  <c:v>66.037095196748012</c:v>
                </c:pt>
                <c:pt idx="9">
                  <c:v>66.037095199275782</c:v>
                </c:pt>
                <c:pt idx="10">
                  <c:v>66.037095218245838</c:v>
                </c:pt>
                <c:pt idx="11">
                  <c:v>66.037095297141192</c:v>
                </c:pt>
                <c:pt idx="12">
                  <c:v>66.037095537517047</c:v>
                </c:pt>
                <c:pt idx="13">
                  <c:v>66.037096136736977</c:v>
                </c:pt>
                <c:pt idx="14">
                  <c:v>66.037097432325226</c:v>
                </c:pt>
                <c:pt idx="15">
                  <c:v>66.037099949555682</c:v>
                </c:pt>
                <c:pt idx="16">
                  <c:v>66.037104448817871</c:v>
                </c:pt>
                <c:pt idx="17">
                  <c:v>66.037111969700064</c:v>
                </c:pt>
                <c:pt idx="18">
                  <c:v>66.037123869393966</c:v>
                </c:pt>
                <c:pt idx="19">
                  <c:v>66.037141853779602</c:v>
                </c:pt>
                <c:pt idx="20">
                  <c:v>66.037168000272416</c:v>
                </c:pt>
                <c:pt idx="21">
                  <c:v>66.037204772138637</c:v>
                </c:pt>
                <c:pt idx="22">
                  <c:v>66.037255024478739</c:v>
                </c:pt>
                <c:pt idx="23">
                  <c:v>66.037322002439112</c:v>
                </c:pt>
                <c:pt idx="24">
                  <c:v>66.037409332451048</c:v>
                </c:pt>
                <c:pt idx="25">
                  <c:v>66.037521007431948</c:v>
                </c:pt>
                <c:pt idx="26">
                  <c:v>66.037661366939531</c:v>
                </c:pt>
                <c:pt idx="27">
                  <c:v>66.037835073264731</c:v>
                </c:pt>
                <c:pt idx="28">
                  <c:v>66.038047084402265</c:v>
                </c:pt>
                <c:pt idx="29">
                  <c:v>66.038302624763801</c:v>
                </c:pt>
                <c:pt idx="30">
                  <c:v>66.038607154408808</c:v>
                </c:pt>
                <c:pt idx="31">
                  <c:v>66.038966337471734</c:v>
                </c:pt>
                <c:pt idx="32">
                  <c:v>66.039386010367011</c:v>
                </c:pt>
                <c:pt idx="33">
                  <c:v>66.039872150259868</c:v>
                </c:pt>
                <c:pt idx="34">
                  <c:v>66.040430844203797</c:v>
                </c:pt>
                <c:pt idx="35">
                  <c:v>66.041068259266382</c:v>
                </c:pt>
                <c:pt idx="36">
                  <c:v>66.041790613894491</c:v>
                </c:pt>
                <c:pt idx="37">
                  <c:v>66.0426041507082</c:v>
                </c:pt>
                <c:pt idx="38">
                  <c:v>66.043515110859033</c:v>
                </c:pt>
                <c:pt idx="39">
                  <c:v>66.044529710042966</c:v>
                </c:pt>
                <c:pt idx="40">
                  <c:v>66.04565411622012</c:v>
                </c:pt>
                <c:pt idx="41">
                  <c:v>66.046894429061467</c:v>
                </c:pt>
                <c:pt idx="42">
                  <c:v>66.048256661116781</c:v>
                </c:pt>
                <c:pt idx="43">
                  <c:v>66.049746720677248</c:v>
                </c:pt>
                <c:pt idx="44">
                  <c:v>66.051370396289499</c:v>
                </c:pt>
                <c:pt idx="45">
                  <c:v>66.053133342865166</c:v>
                </c:pt>
                <c:pt idx="46">
                  <c:v>66.055041069320239</c:v>
                </c:pt>
                <c:pt idx="47">
                  <c:v>66.057098927671746</c:v>
                </c:pt>
                <c:pt idx="48">
                  <c:v>66.059312103514614</c:v>
                </c:pt>
                <c:pt idx="49">
                  <c:v>66.061685607798552</c:v>
                </c:pt>
                <c:pt idx="50">
                  <c:v>66.064224269823669</c:v>
                </c:pt>
                <c:pt idx="51">
                  <c:v>66.066932731373527</c:v>
                </c:pt>
                <c:pt idx="52">
                  <c:v>66.069815441905064</c:v>
                </c:pt>
                <c:pt idx="53">
                  <c:v>66.07287665471668</c:v>
                </c:pt>
                <c:pt idx="54">
                  <c:v>66.076120424018157</c:v>
                </c:pt>
                <c:pt idx="55">
                  <c:v>66.079550602828704</c:v>
                </c:pt>
                <c:pt idx="56">
                  <c:v>66.083170841632679</c:v>
                </c:pt>
                <c:pt idx="57">
                  <c:v>66.086984587725837</c:v>
                </c:pt>
                <c:pt idx="58">
                  <c:v>66.09099508518841</c:v>
                </c:pt>
                <c:pt idx="59">
                  <c:v>66.095205375424953</c:v>
                </c:pt>
                <c:pt idx="60">
                  <c:v>66.099618298214523</c:v>
                </c:pt>
                <c:pt idx="61">
                  <c:v>66.104236493218181</c:v>
                </c:pt>
                <c:pt idx="62">
                  <c:v>66.10906240189442</c:v>
                </c:pt>
                <c:pt idx="63">
                  <c:v>66.114098269776534</c:v>
                </c:pt>
                <c:pt idx="64">
                  <c:v>66.119346149069187</c:v>
                </c:pt>
                <c:pt idx="65">
                  <c:v>66.12480790152469</c:v>
                </c:pt>
                <c:pt idx="66">
                  <c:v>66.130485201562365</c:v>
                </c:pt>
                <c:pt idx="67">
                  <c:v>66.136379539597641</c:v>
                </c:pt>
                <c:pt idx="68">
                  <c:v>66.142492225549688</c:v>
                </c:pt>
                <c:pt idx="69">
                  <c:v>66.148824392499563</c:v>
                </c:pt>
                <c:pt idx="70">
                  <c:v>66.155377000472896</c:v>
                </c:pt>
                <c:pt idx="71">
                  <c:v>66.162150840323633</c:v>
                </c:pt>
                <c:pt idx="72">
                  <c:v>66.169146537697301</c:v>
                </c:pt>
                <c:pt idx="73">
                  <c:v>66.176364557054498</c:v>
                </c:pt>
                <c:pt idx="74">
                  <c:v>66.183805205737016</c:v>
                </c:pt>
                <c:pt idx="75">
                  <c:v>66.19146863806067</c:v>
                </c:pt>
                <c:pt idx="76">
                  <c:v>66.199354859420765</c:v>
                </c:pt>
                <c:pt idx="77">
                  <c:v>66.207463730397279</c:v>
                </c:pt>
                <c:pt idx="78">
                  <c:v>66.215794970848563</c:v>
                </c:pt>
                <c:pt idx="79">
                  <c:v>66.224348163983279</c:v>
                </c:pt>
                <c:pt idx="80">
                  <c:v>66.233122760401741</c:v>
                </c:pt>
                <c:pt idx="81">
                  <c:v>66.242118082098699</c:v>
                </c:pt>
                <c:pt idx="82">
                  <c:v>66.251333326420706</c:v>
                </c:pt>
                <c:pt idx="83">
                  <c:v>66.260767569972018</c:v>
                </c:pt>
                <c:pt idx="84">
                  <c:v>66.270419772463896</c:v>
                </c:pt>
                <c:pt idx="85">
                  <c:v>66.28028878050273</c:v>
                </c:pt>
                <c:pt idx="86">
                  <c:v>66.290373331313361</c:v>
                </c:pt>
                <c:pt idx="87">
                  <c:v>66.300672056394333</c:v>
                </c:pt>
                <c:pt idx="88">
                  <c:v>66.311183485102532</c:v>
                </c:pt>
                <c:pt idx="89">
                  <c:v>66.321906048165062</c:v>
                </c:pt>
                <c:pt idx="90">
                  <c:v>66.332838081116847</c:v>
                </c:pt>
                <c:pt idx="91">
                  <c:v>66.343977827662556</c:v>
                </c:pt>
                <c:pt idx="92">
                  <c:v>66.355323442962089</c:v>
                </c:pt>
                <c:pt idx="93">
                  <c:v>66.366872996839135</c:v>
                </c:pt>
                <c:pt idx="94">
                  <c:v>66.378624476912435</c:v>
                </c:pt>
                <c:pt idx="95">
                  <c:v>66.390575791649923</c:v>
                </c:pt>
                <c:pt idx="96">
                  <c:v>66.402724773345909</c:v>
                </c:pt>
                <c:pt idx="97">
                  <c:v>66.415069181021806</c:v>
                </c:pt>
                <c:pt idx="98">
                  <c:v>66.427606703251058</c:v>
                </c:pt>
                <c:pt idx="99">
                  <c:v>66.440334960909041</c:v>
                </c:pt>
                <c:pt idx="100">
                  <c:v>66.453251509848883</c:v>
                </c:pt>
                <c:pt idx="101">
                  <c:v>66.466353843504379</c:v>
                </c:pt>
                <c:pt idx="102">
                  <c:v>66.479639395420989</c:v>
                </c:pt>
                <c:pt idx="103">
                  <c:v>66.493105541716275</c:v>
                </c:pt>
                <c:pt idx="104">
                  <c:v>66.50674960347115</c:v>
                </c:pt>
                <c:pt idx="105">
                  <c:v>66.520568849053205</c:v>
                </c:pt>
                <c:pt idx="106">
                  <c:v>66.534560496373672</c:v>
                </c:pt>
                <c:pt idx="107">
                  <c:v>66.548721715079381</c:v>
                </c:pt>
                <c:pt idx="108">
                  <c:v>66.56304962868137</c:v>
                </c:pt>
                <c:pt idx="109">
                  <c:v>66.577541316621506</c:v>
                </c:pt>
                <c:pt idx="110">
                  <c:v>66.592193816278808</c:v>
                </c:pt>
                <c:pt idx="111">
                  <c:v>66.607004124916926</c:v>
                </c:pt>
                <c:pt idx="112">
                  <c:v>66.621969201574402</c:v>
                </c:pt>
                <c:pt idx="113">
                  <c:v>66.637085968899171</c:v>
                </c:pt>
                <c:pt idx="114">
                  <c:v>66.652351314928978</c:v>
                </c:pt>
                <c:pt idx="115">
                  <c:v>66.667762094819082</c:v>
                </c:pt>
                <c:pt idx="116">
                  <c:v>66.683315132518942</c:v>
                </c:pt>
                <c:pt idx="117">
                  <c:v>66.699007222399189</c:v>
                </c:pt>
                <c:pt idx="118">
                  <c:v>66.714835130830565</c:v>
                </c:pt>
                <c:pt idx="119">
                  <c:v>66.730795597716096</c:v>
                </c:pt>
                <c:pt idx="120">
                  <c:v>66.746885337978057</c:v>
                </c:pt>
                <c:pt idx="121">
                  <c:v>66.763101043001072</c:v>
                </c:pt>
                <c:pt idx="122">
                  <c:v>66.779439382032791</c:v>
                </c:pt>
                <c:pt idx="123">
                  <c:v>66.795897003543331</c:v>
                </c:pt>
                <c:pt idx="124">
                  <c:v>66.812470536545007</c:v>
                </c:pt>
                <c:pt idx="125">
                  <c:v>66.82915659187347</c:v>
                </c:pt>
                <c:pt idx="126">
                  <c:v>66.845951763431614</c:v>
                </c:pt>
                <c:pt idx="127">
                  <c:v>66.862852629397381</c:v>
                </c:pt>
                <c:pt idx="128">
                  <c:v>66.87985575339674</c:v>
                </c:pt>
                <c:pt idx="129">
                  <c:v>66.89695768564296</c:v>
                </c:pt>
                <c:pt idx="130">
                  <c:v>66.914154964043249</c:v>
                </c:pt>
                <c:pt idx="131">
                  <c:v>66.931444115273948</c:v>
                </c:pt>
                <c:pt idx="132">
                  <c:v>66.948821655825313</c:v>
                </c:pt>
                <c:pt idx="133">
                  <c:v>66.966284093016853</c:v>
                </c:pt>
                <c:pt idx="134">
                  <c:v>66.983827925984315</c:v>
                </c:pt>
                <c:pt idx="135">
                  <c:v>67.001449646639188</c:v>
                </c:pt>
                <c:pt idx="136">
                  <c:v>67.019145740601815</c:v>
                </c:pt>
                <c:pt idx="137">
                  <c:v>67.036912688108799</c:v>
                </c:pt>
                <c:pt idx="138">
                  <c:v>67.054746964895813</c:v>
                </c:pt>
                <c:pt idx="139">
                  <c:v>67.072645043056511</c:v>
                </c:pt>
                <c:pt idx="140">
                  <c:v>67.090603391878417</c:v>
                </c:pt>
                <c:pt idx="141">
                  <c:v>67.108618478656609</c:v>
                </c:pt>
                <c:pt idx="142">
                  <c:v>67.1266867694859</c:v>
                </c:pt>
                <c:pt idx="143">
                  <c:v>67.144804730032334</c:v>
                </c:pt>
                <c:pt idx="144">
                  <c:v>67.162968826284697</c:v>
                </c:pt>
                <c:pt idx="145">
                  <c:v>67.181175525286662</c:v>
                </c:pt>
                <c:pt idx="146">
                  <c:v>67.199421295850343</c:v>
                </c:pt>
                <c:pt idx="147">
                  <c:v>67.217702609251845</c:v>
                </c:pt>
                <c:pt idx="148">
                  <c:v>67.236015939909407</c:v>
                </c:pt>
                <c:pt idx="149">
                  <c:v>67.254357766044805</c:v>
                </c:pt>
                <c:pt idx="150">
                  <c:v>67.272724570328577</c:v>
                </c:pt>
                <c:pt idx="151">
                  <c:v>67.291112840509513</c:v>
                </c:pt>
                <c:pt idx="152">
                  <c:v>67.309519070029182</c:v>
                </c:pt>
                <c:pt idx="153">
                  <c:v>67.32793975862171</c:v>
                </c:pt>
                <c:pt idx="154">
                  <c:v>67.346371412899614</c:v>
                </c:pt>
                <c:pt idx="155">
                  <c:v>67.364810546925924</c:v>
                </c:pt>
                <c:pt idx="156">
                  <c:v>67.383253682773187</c:v>
                </c:pt>
                <c:pt idx="157">
                  <c:v>67.401697351069771</c:v>
                </c:pt>
                <c:pt idx="158">
                  <c:v>67.420138091533843</c:v>
                </c:pt>
                <c:pt idx="159">
                  <c:v>67.438572453495553</c:v>
                </c:pt>
                <c:pt idx="160">
                  <c:v>67.456996996407639</c:v>
                </c:pt>
                <c:pt idx="161">
                  <c:v>67.475408290345001</c:v>
                </c:pt>
                <c:pt idx="162">
                  <c:v>67.493802916493507</c:v>
                </c:pt>
                <c:pt idx="163">
                  <c:v>67.512177467628433</c:v>
                </c:pt>
                <c:pt idx="164">
                  <c:v>67.530528548582822</c:v>
                </c:pt>
                <c:pt idx="165">
                  <c:v>67.548852776706127</c:v>
                </c:pt>
                <c:pt idx="166">
                  <c:v>67.567146782313458</c:v>
                </c:pt>
                <c:pt idx="167">
                  <c:v>67.585407209125648</c:v>
                </c:pt>
                <c:pt idx="168">
                  <c:v>67.603630714700543</c:v>
                </c:pt>
                <c:pt idx="169">
                  <c:v>67.621813970855683</c:v>
                </c:pt>
                <c:pt idx="170">
                  <c:v>67.639953664082711</c:v>
                </c:pt>
                <c:pt idx="171">
                  <c:v>67.658046495953727</c:v>
                </c:pt>
                <c:pt idx="172">
                  <c:v>67.676089183519778</c:v>
                </c:pt>
                <c:pt idx="173">
                  <c:v>67.694078459701899</c:v>
                </c:pt>
                <c:pt idx="174">
                  <c:v>67.712011073674645</c:v>
                </c:pt>
                <c:pt idx="175">
                  <c:v>67.729883791242571</c:v>
                </c:pt>
                <c:pt idx="176">
                  <c:v>67.747693395209794</c:v>
                </c:pt>
                <c:pt idx="177">
                  <c:v>67.765436685742728</c:v>
                </c:pt>
                <c:pt idx="178">
                  <c:v>67.783110480726293</c:v>
                </c:pt>
                <c:pt idx="179">
                  <c:v>67.800711616113787</c:v>
                </c:pt>
                <c:pt idx="180">
                  <c:v>67.818236946270503</c:v>
                </c:pt>
                <c:pt idx="181">
                  <c:v>67.835683344311278</c:v>
                </c:pt>
                <c:pt idx="182">
                  <c:v>67.853047702432235</c:v>
                </c:pt>
                <c:pt idx="183">
                  <c:v>67.870326932236679</c:v>
                </c:pt>
                <c:pt idx="184">
                  <c:v>67.88751796505548</c:v>
                </c:pt>
                <c:pt idx="185">
                  <c:v>67.904617752261956</c:v>
                </c:pt>
                <c:pt idx="186">
                  <c:v>67.921623265581431</c:v>
                </c:pt>
                <c:pt idx="187">
                  <c:v>67.938531497395573</c:v>
                </c:pt>
                <c:pt idx="188">
                  <c:v>67.955339461041632</c:v>
                </c:pt>
                <c:pt idx="189">
                  <c:v>67.972044191106775</c:v>
                </c:pt>
                <c:pt idx="190">
                  <c:v>67.988642743717463</c:v>
                </c:pt>
                <c:pt idx="191">
                  <c:v>68.005132196824079</c:v>
                </c:pt>
                <c:pt idx="192">
                  <c:v>68.021509650480937</c:v>
                </c:pt>
                <c:pt idx="193">
                  <c:v>68.037772227121678</c:v>
                </c:pt>
                <c:pt idx="194">
                  <c:v>68.053917071830156</c:v>
                </c:pt>
                <c:pt idx="195">
                  <c:v>68.069941352607017</c:v>
                </c:pt>
                <c:pt idx="196">
                  <c:v>68.085842260631793</c:v>
                </c:pt>
                <c:pt idx="197">
                  <c:v>68.101617010520954</c:v>
                </c:pt>
                <c:pt idx="198">
                  <c:v>68.117262840581603</c:v>
                </c:pt>
                <c:pt idx="199">
                  <c:v>68.132777013061173</c:v>
                </c:pt>
                <c:pt idx="200">
                  <c:v>68.148156814393062</c:v>
                </c:pt>
                <c:pt idx="201">
                  <c:v>68.163399555438261</c:v>
                </c:pt>
                <c:pt idx="202">
                  <c:v>68.178502571723143</c:v>
                </c:pt>
                <c:pt idx="203">
                  <c:v>68.193463223673263</c:v>
                </c:pt>
                <c:pt idx="204">
                  <c:v>68.208278896843467</c:v>
                </c:pt>
                <c:pt idx="205">
                  <c:v>68.222947002144167</c:v>
                </c:pt>
                <c:pt idx="206">
                  <c:v>68.237464976063976</c:v>
                </c:pt>
                <c:pt idx="207">
                  <c:v>68.251830280888569</c:v>
                </c:pt>
                <c:pt idx="208">
                  <c:v>68.266040404916012</c:v>
                </c:pt>
                <c:pt idx="209">
                  <c:v>68.280092862668454</c:v>
                </c:pt>
                <c:pt idx="210">
                  <c:v>68.293985195100291</c:v>
                </c:pt>
                <c:pt idx="211">
                  <c:v>68.307714969802774</c:v>
                </c:pt>
                <c:pt idx="212">
                  <c:v>68.321279781205234</c:v>
                </c:pt>
                <c:pt idx="213">
                  <c:v>68.334677250772714</c:v>
                </c:pt>
                <c:pt idx="214">
                  <c:v>68.347905027200284</c:v>
                </c:pt>
                <c:pt idx="215">
                  <c:v>68.360960786603954</c:v>
                </c:pt>
                <c:pt idx="216">
                  <c:v>68.373842232708157</c:v>
                </c:pt>
                <c:pt idx="217">
                  <c:v>68.386547097029947</c:v>
                </c:pt>
                <c:pt idx="218">
                  <c:v>68.399073139059809</c:v>
                </c:pt>
                <c:pt idx="219">
                  <c:v>68.411418146439246</c:v>
                </c:pt>
                <c:pt idx="220">
                  <c:v>68.423579935135024</c:v>
                </c:pt>
                <c:pt idx="221">
                  <c:v>68.435556349610152</c:v>
                </c:pt>
                <c:pt idx="222">
                  <c:v>68.447345262991647</c:v>
                </c:pt>
                <c:pt idx="223">
                  <c:v>68.45894457723503</c:v>
                </c:pt>
                <c:pt idx="224">
                  <c:v>68.470352223285602</c:v>
                </c:pt>
                <c:pt idx="225">
                  <c:v>68.481566161236557</c:v>
                </c:pt>
                <c:pt idx="226">
                  <c:v>68.492584380483819</c:v>
                </c:pt>
                <c:pt idx="227">
                  <c:v>68.503404899877779</c:v>
                </c:pt>
                <c:pt idx="228">
                  <c:v>68.514025767871772</c:v>
                </c:pt>
                <c:pt idx="229">
                  <c:v>68.524445062667453</c:v>
                </c:pt>
                <c:pt idx="230">
                  <c:v>68.534660892356982</c:v>
                </c:pt>
                <c:pt idx="231">
                  <c:v>68.544671395062082</c:v>
                </c:pt>
                <c:pt idx="232">
                  <c:v>68.554474739069875</c:v>
                </c:pt>
                <c:pt idx="233">
                  <c:v>68.564069122965719</c:v>
                </c:pt>
                <c:pt idx="234">
                  <c:v>68.573452775762732</c:v>
                </c:pt>
                <c:pt idx="235">
                  <c:v>68.582623957028346</c:v>
                </c:pt>
                <c:pt idx="236">
                  <c:v>68.591580957007608</c:v>
                </c:pt>
                <c:pt idx="237">
                  <c:v>68.600322096743469</c:v>
                </c:pt>
                <c:pt idx="238">
                  <c:v>68.608845728193856</c:v>
                </c:pt>
                <c:pt idx="239">
                  <c:v>68.617150234345658</c:v>
                </c:pt>
                <c:pt idx="240">
                  <c:v>68.625234029325583</c:v>
                </c:pt>
                <c:pt idx="241">
                  <c:v>68.633095558507961</c:v>
                </c:pt>
                <c:pt idx="242">
                  <c:v>68.640733298619324</c:v>
                </c:pt>
                <c:pt idx="243">
                  <c:v>68.648145757839956</c:v>
                </c:pt>
                <c:pt idx="244">
                  <c:v>68.655331475902258</c:v>
                </c:pt>
                <c:pt idx="245">
                  <c:v>68.662289024186052</c:v>
                </c:pt>
                <c:pt idx="246">
                  <c:v>68.669017005810773</c:v>
                </c:pt>
                <c:pt idx="247">
                  <c:v>68.675514055724449</c:v>
                </c:pt>
                <c:pt idx="248">
                  <c:v>68.681778840789676</c:v>
                </c:pt>
                <c:pt idx="249">
                  <c:v>68.687810059866422</c:v>
                </c:pt>
                <c:pt idx="250">
                  <c:v>68.693606443891667</c:v>
                </c:pt>
                <c:pt idx="251">
                  <c:v>68.699166755956</c:v>
                </c:pt>
                <c:pt idx="252">
                  <c:v>68.704489791377028</c:v>
                </c:pt>
                <c:pt idx="253">
                  <c:v>68.709574377769684</c:v>
                </c:pt>
                <c:pt idx="254">
                  <c:v>68.71441937511338</c:v>
                </c:pt>
                <c:pt idx="255">
                  <c:v>68.719023675816089</c:v>
                </c:pt>
                <c:pt idx="256">
                  <c:v>68.723386204775196</c:v>
                </c:pt>
                <c:pt idx="257">
                  <c:v>68.727505919435288</c:v>
                </c:pt>
                <c:pt idx="258">
                  <c:v>68.731381809842759</c:v>
                </c:pt>
                <c:pt idx="259">
                  <c:v>68.735012898697335</c:v>
                </c:pt>
                <c:pt idx="260">
                  <c:v>68.738398241400347</c:v>
                </c:pt>
                <c:pt idx="261">
                  <c:v>68.741536926099968</c:v>
                </c:pt>
                <c:pt idx="262">
                  <c:v>68.74442807373326</c:v>
                </c:pt>
                <c:pt idx="263">
                  <c:v>68.747070838065028</c:v>
                </c:pt>
                <c:pt idx="264">
                  <c:v>68.749464405723586</c:v>
                </c:pt>
                <c:pt idx="265">
                  <c:v>68.751607996233304</c:v>
                </c:pt>
                <c:pt idx="266">
                  <c:v>68.753500862044064</c:v>
                </c:pt>
                <c:pt idx="267">
                  <c:v>68.755142288557508</c:v>
                </c:pt>
                <c:pt idx="268">
                  <c:v>68.756531594150132</c:v>
                </c:pt>
                <c:pt idx="269">
                  <c:v>68.757668130193224</c:v>
                </c:pt>
                <c:pt idx="270">
                  <c:v>68.758551281069643</c:v>
                </c:pt>
                <c:pt idx="271">
                  <c:v>68.759180464187423</c:v>
                </c:pt>
                <c:pt idx="272">
                  <c:v>68.759555129990176</c:v>
                </c:pt>
                <c:pt idx="273">
                  <c:v>68.759674761964419</c:v>
                </c:pt>
                <c:pt idx="274">
                  <c:v>68.759538876643603</c:v>
                </c:pt>
                <c:pt idx="275">
                  <c:v>68.759147023609103</c:v>
                </c:pt>
                <c:pt idx="276">
                  <c:v>68.758498785487902</c:v>
                </c:pt>
                <c:pt idx="277">
                  <c:v>68.757593777947235</c:v>
                </c:pt>
                <c:pt idx="278">
                  <c:v>68.756431649685965</c:v>
                </c:pt>
                <c:pt idx="279">
                  <c:v>68.755012082422809</c:v>
                </c:pt>
                <c:pt idx="280">
                  <c:v>68.753334790881425</c:v>
                </c:pt>
                <c:pt idx="281">
                  <c:v>68.751399522772289</c:v>
                </c:pt>
                <c:pt idx="282">
                  <c:v>68.749206058771421</c:v>
                </c:pt>
                <c:pt idx="283">
                  <c:v>68.746754212495915</c:v>
                </c:pt>
                <c:pt idx="284">
                  <c:v>68.744043830476343</c:v>
                </c:pt>
                <c:pt idx="285">
                  <c:v>68.741074792125971</c:v>
                </c:pt>
                <c:pt idx="286">
                  <c:v>68.737847009706755</c:v>
                </c:pt>
                <c:pt idx="287">
                  <c:v>68.734360428292277</c:v>
                </c:pt>
                <c:pt idx="288">
                  <c:v>68.730615025727417</c:v>
                </c:pt>
                <c:pt idx="289">
                  <c:v>68.726610812584951</c:v>
                </c:pt>
                <c:pt idx="290">
                  <c:v>68.722347832118913</c:v>
                </c:pt>
                <c:pt idx="291">
                  <c:v>68.717826160214855</c:v>
                </c:pt>
                <c:pt idx="292">
                  <c:v>68.713045905336926</c:v>
                </c:pt>
                <c:pt idx="293">
                  <c:v>68.708007208471841</c:v>
                </c:pt>
                <c:pt idx="294">
                  <c:v>68.70271024306966</c:v>
                </c:pt>
                <c:pt idx="295">
                  <c:v>68.69715521498145</c:v>
                </c:pt>
                <c:pt idx="296">
                  <c:v>68.691342362393812</c:v>
                </c:pt>
                <c:pt idx="297">
                  <c:v>68.685271955760257</c:v>
                </c:pt>
                <c:pt idx="298">
                  <c:v>68.678944297729501</c:v>
                </c:pt>
                <c:pt idx="299">
                  <c:v>68.672359723070585</c:v>
                </c:pt>
                <c:pt idx="300">
                  <c:v>68.665518598594886</c:v>
                </c:pt>
                <c:pt idx="301">
                  <c:v>68.658421323075075</c:v>
                </c:pt>
                <c:pt idx="302">
                  <c:v>68.651068327160914</c:v>
                </c:pt>
                <c:pt idx="303">
                  <c:v>68.643460073291962</c:v>
                </c:pt>
                <c:pt idx="304">
                  <c:v>68.635597055607221</c:v>
                </c:pt>
                <c:pt idx="305">
                  <c:v>68.627479799851656</c:v>
                </c:pt>
                <c:pt idx="306">
                  <c:v>68.619108863279664</c:v>
                </c:pt>
                <c:pt idx="307">
                  <c:v>68.610484834555479</c:v>
                </c:pt>
                <c:pt idx="308">
                  <c:v>68.601608333650532</c:v>
                </c:pt>
                <c:pt idx="309">
                  <c:v>68.592480014265476</c:v>
                </c:pt>
                <c:pt idx="310">
                  <c:v>68.583100572580378</c:v>
                </c:pt>
                <c:pt idx="311">
                  <c:v>68.573470765324757</c:v>
                </c:pt>
                <c:pt idx="312">
                  <c:v>68.563591438166384</c:v>
                </c:pt>
                <c:pt idx="313">
                  <c:v>68.553463563329686</c:v>
                </c:pt>
                <c:pt idx="314">
                  <c:v>68.54308828382716</c:v>
                </c:pt>
                <c:pt idx="315">
                  <c:v>68.532466960924523</c:v>
                </c:pt>
                <c:pt idx="316">
                  <c:v>68.521601221379925</c:v>
                </c:pt>
                <c:pt idx="317">
                  <c:v>68.510493001397222</c:v>
                </c:pt>
                <c:pt idx="318">
                  <c:v>68.499144584897934</c:v>
                </c:pt>
                <c:pt idx="319">
                  <c:v>68.487558634470403</c:v>
                </c:pt>
                <c:pt idx="320">
                  <c:v>68.475738214078262</c:v>
                </c:pt>
                <c:pt idx="321">
                  <c:v>68.463686803234253</c:v>
                </c:pt>
                <c:pt idx="322">
                  <c:v>68.451408302839141</c:v>
                </c:pt>
                <c:pt idx="323">
                  <c:v>68.438907033246068</c:v>
                </c:pt>
                <c:pt idx="324">
                  <c:v>68.426187725349195</c:v>
                </c:pt>
                <c:pt idx="325">
                  <c:v>68.413255505631838</c:v>
                </c:pt>
                <c:pt idx="326">
                  <c:v>68.400115876164591</c:v>
                </c:pt>
                <c:pt idx="327">
                  <c:v>68.386774690539397</c:v>
                </c:pt>
                <c:pt idx="328">
                  <c:v>68.373238126678459</c:v>
                </c:pt>
                <c:pt idx="329">
                  <c:v>68.359512657382837</c:v>
                </c:pt>
                <c:pt idx="330">
                  <c:v>68.345605019396018</c:v>
                </c:pt>
                <c:pt idx="331">
                  <c:v>68.331522181661015</c:v>
                </c:pt>
                <c:pt idx="332">
                  <c:v>68.317271313352492</c:v>
                </c:pt>
                <c:pt idx="333">
                  <c:v>68.302859752171955</c:v>
                </c:pt>
                <c:pt idx="334">
                  <c:v>68.288294973306833</c:v>
                </c:pt>
                <c:pt idx="335">
                  <c:v>68.273584559375266</c:v>
                </c:pt>
                <c:pt idx="336">
                  <c:v>68.258736171607509</c:v>
                </c:pt>
                <c:pt idx="337">
                  <c:v>68.243757522453308</c:v>
                </c:pt>
                <c:pt idx="338">
                  <c:v>68.228656349751077</c:v>
                </c:pt>
                <c:pt idx="339">
                  <c:v>68.213440392549089</c:v>
                </c:pt>
                <c:pt idx="340">
                  <c:v>68.19811736863069</c:v>
                </c:pt>
                <c:pt idx="341">
                  <c:v>68.182694953764027</c:v>
                </c:pt>
                <c:pt idx="342">
                  <c:v>68.167180762670284</c:v>
                </c:pt>
                <c:pt idx="343">
                  <c:v>68.151582331684111</c:v>
                </c:pt>
                <c:pt idx="344">
                  <c:v>68.135907103062905</c:v>
                </c:pt>
                <c:pt idx="345">
                  <c:v>68.12016241088898</c:v>
                </c:pt>
                <c:pt idx="346">
                  <c:v>68.104355468499136</c:v>
                </c:pt>
                <c:pt idx="347">
                  <c:v>68.088493357369032</c:v>
                </c:pt>
                <c:pt idx="348">
                  <c:v>68.072583017375166</c:v>
                </c:pt>
                <c:pt idx="349">
                  <c:v>68.056631238354527</c:v>
                </c:pt>
                <c:pt idx="350">
                  <c:v>68.04064465288053</c:v>
                </c:pt>
                <c:pt idx="351">
                  <c:v>68.024629730173956</c:v>
                </c:pt>
                <c:pt idx="352">
                  <c:v>68.008592771068308</c:v>
                </c:pt>
                <c:pt idx="353">
                  <c:v>67.992539903951112</c:v>
                </c:pt>
                <c:pt idx="354">
                  <c:v>67.976477081604529</c:v>
                </c:pt>
                <c:pt idx="355">
                  <c:v>67.960410078871902</c:v>
                </c:pt>
                <c:pt idx="356">
                  <c:v>67.944344491079647</c:v>
                </c:pt>
                <c:pt idx="357">
                  <c:v>67.928285733147291</c:v>
                </c:pt>
                <c:pt idx="358">
                  <c:v>67.912239039322245</c:v>
                </c:pt>
                <c:pt idx="359">
                  <c:v>67.896209463479025</c:v>
                </c:pt>
                <c:pt idx="360">
                  <c:v>67.880201879926574</c:v>
                </c:pt>
                <c:pt idx="361">
                  <c:v>67.864220984670766</c:v>
                </c:pt>
                <c:pt idx="362">
                  <c:v>67.848271297082704</c:v>
                </c:pt>
                <c:pt idx="363">
                  <c:v>67.832357161926751</c:v>
                </c:pt>
                <c:pt idx="364">
                  <c:v>67.81648275170572</c:v>
                </c:pt>
                <c:pt idx="365">
                  <c:v>67.800652069283615</c:v>
                </c:pt>
                <c:pt idx="366">
                  <c:v>67.784868950749512</c:v>
                </c:pt>
                <c:pt idx="367">
                  <c:v>67.769137068488988</c:v>
                </c:pt>
                <c:pt idx="368">
                  <c:v>67.753459934432243</c:v>
                </c:pt>
                <c:pt idx="369">
                  <c:v>67.737840903450632</c:v>
                </c:pt>
                <c:pt idx="370">
                  <c:v>67.722283176875834</c:v>
                </c:pt>
                <c:pt idx="371">
                  <c:v>67.706789806118138</c:v>
                </c:pt>
                <c:pt idx="372">
                  <c:v>67.691363696362359</c:v>
                </c:pt>
                <c:pt idx="373">
                  <c:v>67.676007610322131</c:v>
                </c:pt>
                <c:pt idx="374">
                  <c:v>67.66072417203489</c:v>
                </c:pt>
                <c:pt idx="375">
                  <c:v>67.645515870681891</c:v>
                </c:pt>
                <c:pt idx="376">
                  <c:v>67.630385064418917</c:v>
                </c:pt>
                <c:pt idx="377">
                  <c:v>67.615333984205108</c:v>
                </c:pt>
                <c:pt idx="378">
                  <c:v>67.600364737618378</c:v>
                </c:pt>
                <c:pt idx="379">
                  <c:v>67.585479312647564</c:v>
                </c:pt>
                <c:pt idx="380">
                  <c:v>67.570679581452154</c:v>
                </c:pt>
                <c:pt idx="381">
                  <c:v>67.555967304081861</c:v>
                </c:pt>
                <c:pt idx="382">
                  <c:v>67.541344132149177</c:v>
                </c:pt>
                <c:pt idx="383">
                  <c:v>67.526811612448881</c:v>
                </c:pt>
                <c:pt idx="384">
                  <c:v>67.512371190519289</c:v>
                </c:pt>
                <c:pt idx="385">
                  <c:v>67.498024214140941</c:v>
                </c:pt>
                <c:pt idx="386">
                  <c:v>67.483771936768875</c:v>
                </c:pt>
                <c:pt idx="387">
                  <c:v>67.469615520895402</c:v>
                </c:pt>
                <c:pt idx="388">
                  <c:v>67.455556041340799</c:v>
                </c:pt>
                <c:pt idx="389">
                  <c:v>67.441594488469917</c:v>
                </c:pt>
                <c:pt idx="390">
                  <c:v>67.427731771333001</c:v>
                </c:pt>
                <c:pt idx="391">
                  <c:v>67.413968720729571</c:v>
                </c:pt>
                <c:pt idx="392">
                  <c:v>67.400306092194555</c:v>
                </c:pt>
                <c:pt idx="393">
                  <c:v>67.386744568906124</c:v>
                </c:pt>
                <c:pt idx="394">
                  <c:v>67.373284764515091</c:v>
                </c:pt>
                <c:pt idx="395">
                  <c:v>67.359927225895859</c:v>
                </c:pt>
                <c:pt idx="396">
                  <c:v>67.346672435819272</c:v>
                </c:pt>
                <c:pt idx="397">
                  <c:v>67.333520815547828</c:v>
                </c:pt>
                <c:pt idx="398">
                  <c:v>67.320472727353987</c:v>
                </c:pt>
                <c:pt idx="399">
                  <c:v>67.307528476962318</c:v>
                </c:pt>
                <c:pt idx="400">
                  <c:v>67.294688315916545</c:v>
                </c:pt>
                <c:pt idx="401">
                  <c:v>67.281952443872626</c:v>
                </c:pt>
                <c:pt idx="402">
                  <c:v>67.269321010818857</c:v>
                </c:pt>
                <c:pt idx="403">
                  <c:v>67.256794119224622</c:v>
                </c:pt>
                <c:pt idx="404">
                  <c:v>67.244371826118766</c:v>
                </c:pt>
                <c:pt idx="405">
                  <c:v>67.232054145099397</c:v>
                </c:pt>
                <c:pt idx="406">
                  <c:v>67.219841048276237</c:v>
                </c:pt>
                <c:pt idx="407">
                  <c:v>67.207732468147299</c:v>
                </c:pt>
                <c:pt idx="408">
                  <c:v>67.195728299411286</c:v>
                </c:pt>
                <c:pt idx="409">
                  <c:v>67.183828400717331</c:v>
                </c:pt>
                <c:pt idx="410">
                  <c:v>67.172032596353617</c:v>
                </c:pt>
                <c:pt idx="411">
                  <c:v>67.160340677876476</c:v>
                </c:pt>
                <c:pt idx="412">
                  <c:v>67.148752405681634</c:v>
                </c:pt>
                <c:pt idx="413">
                  <c:v>67.13726751051901</c:v>
                </c:pt>
                <c:pt idx="414">
                  <c:v>67.125885694952842</c:v>
                </c:pt>
                <c:pt idx="415">
                  <c:v>67.114606634768549</c:v>
                </c:pt>
                <c:pt idx="416">
                  <c:v>67.103429980327988</c:v>
                </c:pt>
                <c:pt idx="417">
                  <c:v>67.092355357874567</c:v>
                </c:pt>
                <c:pt idx="418">
                  <c:v>67.081382370789782</c:v>
                </c:pt>
                <c:pt idx="419">
                  <c:v>67.070510600802606</c:v>
                </c:pt>
                <c:pt idx="420">
                  <c:v>67.059739609153212</c:v>
                </c:pt>
                <c:pt idx="421">
                  <c:v>67.049068937712562</c:v>
                </c:pt>
                <c:pt idx="422">
                  <c:v>67.038498110059095</c:v>
                </c:pt>
                <c:pt idx="423">
                  <c:v>67.028026632514013</c:v>
                </c:pt>
                <c:pt idx="424">
                  <c:v>67.017653995136541</c:v>
                </c:pt>
                <c:pt idx="425">
                  <c:v>67.007379672680358</c:v>
                </c:pt>
                <c:pt idx="426">
                  <c:v>66.997203125512584</c:v>
                </c:pt>
                <c:pt idx="427">
                  <c:v>66.987123800496562</c:v>
                </c:pt>
                <c:pt idx="428">
                  <c:v>66.977141131839588</c:v>
                </c:pt>
                <c:pt idx="429">
                  <c:v>66.967254541906968</c:v>
                </c:pt>
                <c:pt idx="430">
                  <c:v>66.957463442003274</c:v>
                </c:pt>
                <c:pt idx="431">
                  <c:v>66.947767233122207</c:v>
                </c:pt>
                <c:pt idx="432">
                  <c:v>66.938165306665994</c:v>
                </c:pt>
                <c:pt idx="433">
                  <c:v>66.928657045135438</c:v>
                </c:pt>
                <c:pt idx="434">
                  <c:v>66.919241822791662</c:v>
                </c:pt>
                <c:pt idx="435">
                  <c:v>66.909919006290508</c:v>
                </c:pt>
                <c:pt idx="436">
                  <c:v>66.90068795529065</c:v>
                </c:pt>
                <c:pt idx="437">
                  <c:v>66.891548023036279</c:v>
                </c:pt>
                <c:pt idx="438">
                  <c:v>66.882498556915266</c:v>
                </c:pt>
                <c:pt idx="439">
                  <c:v>66.8735388989938</c:v>
                </c:pt>
                <c:pt idx="440">
                  <c:v>66.864668386528265</c:v>
                </c:pt>
                <c:pt idx="441">
                  <c:v>66.855886352455158</c:v>
                </c:pt>
                <c:pt idx="442">
                  <c:v>66.847192125859962</c:v>
                </c:pt>
                <c:pt idx="443">
                  <c:v>66.838585032425684</c:v>
                </c:pt>
                <c:pt idx="444">
                  <c:v>66.830064394861765</c:v>
                </c:pt>
                <c:pt idx="445">
                  <c:v>66.821629533314194</c:v>
                </c:pt>
                <c:pt idx="446">
                  <c:v>66.813279765757457</c:v>
                </c:pt>
                <c:pt idx="447">
                  <c:v>66.80501440836899</c:v>
                </c:pt>
                <c:pt idx="448">
                  <c:v>66.796832775886898</c:v>
                </c:pt>
                <c:pt idx="449">
                  <c:v>66.788734181951384</c:v>
                </c:pt>
                <c:pt idx="450">
                  <c:v>66.780717939430659</c:v>
                </c:pt>
                <c:pt idx="451">
                  <c:v>66.772783360731935</c:v>
                </c:pt>
                <c:pt idx="452">
                  <c:v>66.764929758097907</c:v>
                </c:pt>
                <c:pt idx="453">
                  <c:v>66.757156443889414</c:v>
                </c:pt>
                <c:pt idx="454">
                  <c:v>66.749462730854816</c:v>
                </c:pt>
                <c:pt idx="455">
                  <c:v>66.741847932386506</c:v>
                </c:pt>
                <c:pt idx="456">
                  <c:v>66.734311362765126</c:v>
                </c:pt>
                <c:pt idx="457">
                  <c:v>66.726852337391904</c:v>
                </c:pt>
                <c:pt idx="458">
                  <c:v>66.719470173009654</c:v>
                </c:pt>
                <c:pt idx="459">
                  <c:v>66.712164187912819</c:v>
                </c:pt>
                <c:pt idx="460">
                  <c:v>66.704933702146974</c:v>
                </c:pt>
                <c:pt idx="461">
                  <c:v>66.697778037698257</c:v>
                </c:pt>
                <c:pt idx="462">
                  <c:v>66.690696518673064</c:v>
                </c:pt>
                <c:pt idx="463">
                  <c:v>66.683688471468486</c:v>
                </c:pt>
                <c:pt idx="464">
                  <c:v>66.676753224933691</c:v>
                </c:pt>
                <c:pt idx="465">
                  <c:v>66.669890110522786</c:v>
                </c:pt>
                <c:pt idx="466">
                  <c:v>66.663098462439436</c:v>
                </c:pt>
                <c:pt idx="467">
                  <c:v>66.656377617773444</c:v>
                </c:pt>
                <c:pt idx="468">
                  <c:v>66.649726916629874</c:v>
                </c:pt>
                <c:pt idx="469">
                  <c:v>66.643145702250735</c:v>
                </c:pt>
                <c:pt idx="470">
                  <c:v>66.63663332112975</c:v>
                </c:pt>
                <c:pt idx="471">
                  <c:v>66.630189123120374</c:v>
                </c:pt>
                <c:pt idx="472">
                  <c:v>66.623812461537298</c:v>
                </c:pt>
                <c:pt idx="473">
                  <c:v>66.617502693251893</c:v>
                </c:pt>
                <c:pt idx="474">
                  <c:v>66.611259178781594</c:v>
                </c:pt>
                <c:pt idx="475">
                  <c:v>66.605081282373661</c:v>
                </c:pt>
                <c:pt idx="476">
                  <c:v>66.598968372083476</c:v>
                </c:pt>
                <c:pt idx="477">
                  <c:v>66.59291981984758</c:v>
                </c:pt>
                <c:pt idx="478">
                  <c:v>66.586935001551737</c:v>
                </c:pt>
                <c:pt idx="479">
                  <c:v>66.581013297094145</c:v>
                </c:pt>
                <c:pt idx="480">
                  <c:v>66.57515409044413</c:v>
                </c:pt>
                <c:pt idx="481">
                  <c:v>66.569356769696327</c:v>
                </c:pt>
                <c:pt idx="482">
                  <c:v>66.563620727120693</c:v>
                </c:pt>
                <c:pt idx="483">
                  <c:v>66.557945359208475</c:v>
                </c:pt>
                <c:pt idx="484">
                  <c:v>66.552330066714333</c:v>
                </c:pt>
                <c:pt idx="485">
                  <c:v>66.546774254694697</c:v>
                </c:pt>
                <c:pt idx="486">
                  <c:v>66.541277332542606</c:v>
                </c:pt>
                <c:pt idx="487">
                  <c:v>66.535838714019206</c:v>
                </c:pt>
                <c:pt idx="488">
                  <c:v>66.530457817281928</c:v>
                </c:pt>
                <c:pt idx="489">
                  <c:v>66.525134064909608</c:v>
                </c:pt>
                <c:pt idx="490">
                  <c:v>66.519866883924621</c:v>
                </c:pt>
                <c:pt idx="491">
                  <c:v>66.514655705812217</c:v>
                </c:pt>
                <c:pt idx="492">
                  <c:v>66.509499966537135</c:v>
                </c:pt>
                <c:pt idx="493">
                  <c:v>66.504399106557571</c:v>
                </c:pt>
                <c:pt idx="494">
                  <c:v>66.499352570836805</c:v>
                </c:pt>
                <c:pt idx="495">
                  <c:v>66.494359808852352</c:v>
                </c:pt>
                <c:pt idx="496">
                  <c:v>66.489420274602921</c:v>
                </c:pt>
                <c:pt idx="497">
                  <c:v>66.484533426613211</c:v>
                </c:pt>
                <c:pt idx="498">
                  <c:v>66.479698727936693</c:v>
                </c:pt>
                <c:pt idx="499">
                  <c:v>66.474915646156404</c:v>
                </c:pt>
                <c:pt idx="500">
                  <c:v>66.470183653383884</c:v>
                </c:pt>
                <c:pt idx="501">
                  <c:v>66.465502226256405</c:v>
                </c:pt>
                <c:pt idx="502">
                  <c:v>66.460870845932433</c:v>
                </c:pt>
                <c:pt idx="503">
                  <c:v>66.456288998085526</c:v>
                </c:pt>
                <c:pt idx="504">
                  <c:v>66.451756172896737</c:v>
                </c:pt>
                <c:pt idx="505">
                  <c:v>66.447271865045522</c:v>
                </c:pt>
                <c:pt idx="506">
                  <c:v>66.44283557369927</c:v>
                </c:pt>
                <c:pt idx="507">
                  <c:v>66.438446802501588</c:v>
                </c:pt>
                <c:pt idx="508">
                  <c:v>66.434105059559258</c:v>
                </c:pt>
                <c:pt idx="509">
                  <c:v>66.429809857428097</c:v>
                </c:pt>
                <c:pt idx="510">
                  <c:v>66.425560713097667</c:v>
                </c:pt>
                <c:pt idx="511">
                  <c:v>66.421357147974888</c:v>
                </c:pt>
                <c:pt idx="512">
                  <c:v>66.417198687866758</c:v>
                </c:pt>
                <c:pt idx="513">
                  <c:v>66.413084862962009</c:v>
                </c:pt>
                <c:pt idx="514">
                  <c:v>66.409015207811962</c:v>
                </c:pt>
                <c:pt idx="515">
                  <c:v>66.40498926131049</c:v>
                </c:pt>
                <c:pt idx="516">
                  <c:v>66.401006566673217</c:v>
                </c:pt>
                <c:pt idx="517">
                  <c:v>66.397066671415899</c:v>
                </c:pt>
                <c:pt idx="518">
                  <c:v>66.393169127332229</c:v>
                </c:pt>
                <c:pt idx="519">
                  <c:v>66.38931349047084</c:v>
                </c:pt>
                <c:pt idx="520">
                  <c:v>66.385499321111794</c:v>
                </c:pt>
                <c:pt idx="521">
                  <c:v>66.381726183742416</c:v>
                </c:pt>
                <c:pt idx="522">
                  <c:v>66.377993647032639</c:v>
                </c:pt>
                <c:pt idx="523">
                  <c:v>66.374301283809785</c:v>
                </c:pt>
                <c:pt idx="524">
                  <c:v>66.370648671032924</c:v>
                </c:pt>
                <c:pt idx="525">
                  <c:v>66.367035389766741</c:v>
                </c:pt>
                <c:pt idx="526">
                  <c:v>66.363461025155061</c:v>
                </c:pt>
                <c:pt idx="527">
                  <c:v>66.359925166393893</c:v>
                </c:pt>
                <c:pt idx="528">
                  <c:v>66.356427406704228</c:v>
                </c:pt>
                <c:pt idx="529">
                  <c:v>66.352967343304428</c:v>
                </c:pt>
                <c:pt idx="530">
                  <c:v>66.34954457738236</c:v>
                </c:pt>
                <c:pt idx="531">
                  <c:v>66.346158714067286</c:v>
                </c:pt>
                <c:pt idx="532">
                  <c:v>66.342809362401425</c:v>
                </c:pt>
                <c:pt idx="533">
                  <c:v>66.339496135311364</c:v>
                </c:pt>
                <c:pt idx="534">
                  <c:v>66.336218649579223</c:v>
                </c:pt>
                <c:pt idx="535">
                  <c:v>66.332976525813663</c:v>
                </c:pt>
                <c:pt idx="536">
                  <c:v>66.329769388420701</c:v>
                </c:pt>
                <c:pt idx="537">
                  <c:v>66.326596865574444</c:v>
                </c:pt>
                <c:pt idx="538">
                  <c:v>66.323458589187624</c:v>
                </c:pt>
                <c:pt idx="539">
                  <c:v>66.320354194882071</c:v>
                </c:pt>
                <c:pt idx="540">
                  <c:v>66.31728332195911</c:v>
                </c:pt>
                <c:pt idx="541">
                  <c:v>66.314245613369849</c:v>
                </c:pt>
                <c:pt idx="542">
                  <c:v>66.311240715685443</c:v>
                </c:pt>
                <c:pt idx="543">
                  <c:v>66.308268279067264</c:v>
                </c:pt>
                <c:pt idx="544">
                  <c:v>66.305327957237111</c:v>
                </c:pt>
                <c:pt idx="545">
                  <c:v>66.30241940744736</c:v>
                </c:pt>
                <c:pt idx="546">
                  <c:v>66.299542290451114</c:v>
                </c:pt>
                <c:pt idx="547">
                  <c:v>66.296696270472381</c:v>
                </c:pt>
                <c:pt idx="548">
                  <c:v>66.293881015176268</c:v>
                </c:pt>
                <c:pt idx="549">
                  <c:v>66.291096195639184</c:v>
                </c:pt>
                <c:pt idx="550">
                  <c:v>66.288341486319112</c:v>
                </c:pt>
                <c:pt idx="551">
                  <c:v>66.285616565025933</c:v>
                </c:pt>
                <c:pt idx="552">
                  <c:v>66.282921112891799</c:v>
                </c:pt>
                <c:pt idx="553">
                  <c:v>66.280254814341575</c:v>
                </c:pt>
                <c:pt idx="554">
                  <c:v>66.277617357063363</c:v>
                </c:pt>
                <c:pt idx="555">
                  <c:v>66.275008431979145</c:v>
                </c:pt>
                <c:pt idx="556">
                  <c:v>66.27242773321548</c:v>
                </c:pt>
                <c:pt idx="557">
                  <c:v>66.269874958074283</c:v>
                </c:pt>
                <c:pt idx="558">
                  <c:v>66.267349807003811</c:v>
                </c:pt>
                <c:pt idx="559">
                  <c:v>66.264851983569642</c:v>
                </c:pt>
                <c:pt idx="560">
                  <c:v>66.262381194425885</c:v>
                </c:pt>
                <c:pt idx="561">
                  <c:v>66.259937149286415</c:v>
                </c:pt>
                <c:pt idx="562">
                  <c:v>66.257519560896341</c:v>
                </c:pt>
                <c:pt idx="563">
                  <c:v>66.255128145003553</c:v>
                </c:pt>
                <c:pt idx="564">
                  <c:v>66.252762620330401</c:v>
                </c:pt>
                <c:pt idx="565">
                  <c:v>66.250422708545571</c:v>
                </c:pt>
                <c:pt idx="566">
                  <c:v>66.248108134236077</c:v>
                </c:pt>
                <c:pt idx="567">
                  <c:v>66.245818624879419</c:v>
                </c:pt>
                <c:pt idx="568">
                  <c:v>66.243553910815905</c:v>
                </c:pt>
                <c:pt idx="569">
                  <c:v>66.241313725221133</c:v>
                </c:pt>
                <c:pt idx="570">
                  <c:v>66.239097804078639</c:v>
                </c:pt>
                <c:pt idx="571">
                  <c:v>66.236905886152726</c:v>
                </c:pt>
                <c:pt idx="572">
                  <c:v>66.234737712961419</c:v>
                </c:pt>
                <c:pt idx="573">
                  <c:v>66.232593028749662</c:v>
                </c:pt>
                <c:pt idx="574">
                  <c:v>66.230471580462677</c:v>
                </c:pt>
                <c:pt idx="575">
                  <c:v>66.228373117719443</c:v>
                </c:pt>
                <c:pt idx="576">
                  <c:v>66.226297392786435</c:v>
                </c:pt>
                <c:pt idx="577">
                  <c:v>66.224244160551507</c:v>
                </c:pt>
                <c:pt idx="578">
                  <c:v>66.222213178497967</c:v>
                </c:pt>
                <c:pt idx="579">
                  <c:v>66.220204206678844</c:v>
                </c:pt>
                <c:pt idx="580">
                  <c:v>66.218217007691337</c:v>
                </c:pt>
                <c:pt idx="581">
                  <c:v>66.216251346651461</c:v>
                </c:pt>
                <c:pt idx="582">
                  <c:v>66.214306991168868</c:v>
                </c:pt>
                <c:pt idx="583">
                  <c:v>66.212383711321891</c:v>
                </c:pt>
                <c:pt idx="584">
                  <c:v>66.210481279632774</c:v>
                </c:pt>
                <c:pt idx="585">
                  <c:v>66.20859947104303</c:v>
                </c:pt>
                <c:pt idx="586">
                  <c:v>66.20673806288913</c:v>
                </c:pt>
                <c:pt idx="587">
                  <c:v>66.204896834878255</c:v>
                </c:pt>
                <c:pt idx="588">
                  <c:v>66.203075569064296</c:v>
                </c:pt>
                <c:pt idx="589">
                  <c:v>66.201274049824065</c:v>
                </c:pt>
                <c:pt idx="590">
                  <c:v>66.199492063833688</c:v>
                </c:pt>
                <c:pt idx="591">
                  <c:v>66.197729400045191</c:v>
                </c:pt>
                <c:pt idx="592">
                  <c:v>66.195985849663288</c:v>
                </c:pt>
                <c:pt idx="593">
                  <c:v>66.194261206122334</c:v>
                </c:pt>
                <c:pt idx="594">
                  <c:v>66.192555265063547</c:v>
                </c:pt>
                <c:pt idx="595">
                  <c:v>66.190867824312363</c:v>
                </c:pt>
                <c:pt idx="596">
                  <c:v>66.189198683856006</c:v>
                </c:pt>
                <c:pt idx="597">
                  <c:v>66.187547645821255</c:v>
                </c:pt>
                <c:pt idx="598">
                  <c:v>66.185914514452421</c:v>
                </c:pt>
                <c:pt idx="599">
                  <c:v>66.184299096089461</c:v>
                </c:pt>
                <c:pt idx="600">
                  <c:v>66.182701199146393</c:v>
                </c:pt>
                <c:pt idx="601">
                  <c:v>66.181120634089808</c:v>
                </c:pt>
                <c:pt idx="602">
                  <c:v>66.179557213417581</c:v>
                </c:pt>
                <c:pt idx="603">
                  <c:v>66.178010751637871</c:v>
                </c:pt>
                <c:pt idx="604">
                  <c:v>66.176481065248183</c:v>
                </c:pt>
                <c:pt idx="605">
                  <c:v>66.174967972714711</c:v>
                </c:pt>
                <c:pt idx="606">
                  <c:v>66.173471294451872</c:v>
                </c:pt>
                <c:pt idx="607">
                  <c:v>66.171990852801926</c:v>
                </c:pt>
                <c:pt idx="608">
                  <c:v>66.170526472014956</c:v>
                </c:pt>
                <c:pt idx="609">
                  <c:v>66.169077980756626</c:v>
                </c:pt>
                <c:pt idx="610">
                  <c:v>66.167645220947477</c:v>
                </c:pt>
                <c:pt idx="611">
                  <c:v>66.166228065925111</c:v>
                </c:pt>
                <c:pt idx="612">
                  <c:v>66.164826448928466</c:v>
                </c:pt>
                <c:pt idx="613">
                  <c:v>66.163440400814906</c:v>
                </c:pt>
                <c:pt idx="614">
                  <c:v>66.162070094393471</c:v>
                </c:pt>
                <c:pt idx="615">
                  <c:v>66.160715891994982</c:v>
                </c:pt>
                <c:pt idx="616">
                  <c:v>66.159378392819463</c:v>
                </c:pt>
                <c:pt idx="617">
                  <c:v>66.158058477000793</c:v>
                </c:pt>
                <c:pt idx="618">
                  <c:v>66.156757343993121</c:v>
                </c:pt>
                <c:pt idx="619">
                  <c:v>66.155476543637562</c:v>
                </c:pt>
                <c:pt idx="620">
                  <c:v>66.15421799899147</c:v>
                </c:pt>
                <c:pt idx="621">
                  <c:v>66.15298402062605</c:v>
                </c:pt>
                <c:pt idx="622">
                  <c:v>66.151777312592174</c:v>
                </c:pt>
                <c:pt idx="623">
                  <c:v>66.150600970614704</c:v>
                </c:pt>
                <c:pt idx="624">
                  <c:v>66.14945847331424</c:v>
                </c:pt>
                <c:pt idx="625">
                  <c:v>66.148353667391262</c:v>
                </c:pt>
                <c:pt idx="626">
                  <c:v>66.147290747763449</c:v>
                </c:pt>
                <c:pt idx="627">
                  <c:v>66.146274233641847</c:v>
                </c:pt>
                <c:pt idx="628">
                  <c:v>66.145308941484899</c:v>
                </c:pt>
                <c:pt idx="629">
                  <c:v>66.144399955695221</c:v>
                </c:pt>
                <c:pt idx="630">
                  <c:v>66.143552597834173</c:v>
                </c:pt>
                <c:pt idx="631">
                  <c:v>66.142772395033063</c:v>
                </c:pt>
                <c:pt idx="632">
                  <c:v>66.142065048182189</c:v>
                </c:pt>
                <c:pt idx="633">
                  <c:v>66.141436400385913</c:v>
                </c:pt>
                <c:pt idx="634">
                  <c:v>66.140892406084603</c:v>
                </c:pt>
                <c:pt idx="635">
                  <c:v>66.140439101164944</c:v>
                </c:pt>
                <c:pt idx="636">
                  <c:v>66.140082574309957</c:v>
                </c:pt>
                <c:pt idx="637">
                  <c:v>66.139828939777729</c:v>
                </c:pt>
                <c:pt idx="638">
                  <c:v>66.139684311744759</c:v>
                </c:pt>
                <c:pt idx="639">
                  <c:v>66.139654780304127</c:v>
                </c:pt>
                <c:pt idx="640">
                  <c:v>66.139746389170554</c:v>
                </c:pt>
                <c:pt idx="641">
                  <c:v>66.139965115112545</c:v>
                </c:pt>
                <c:pt idx="642">
                  <c:v>66.140316849106057</c:v>
                </c:pt>
                <c:pt idx="643">
                  <c:v>66.14080737918286</c:v>
                </c:pt>
                <c:pt idx="644">
                  <c:v>66.141442374930534</c:v>
                </c:pt>
                <c:pt idx="645">
                  <c:v>66.142227373588057</c:v>
                </c:pt>
                <c:pt idx="646">
                  <c:v>66.143167767671457</c:v>
                </c:pt>
                <c:pt idx="647">
                  <c:v>66.144268794056813</c:v>
                </c:pt>
                <c:pt idx="648">
                  <c:v>66.145535524443659</c:v>
                </c:pt>
                <c:pt idx="649">
                  <c:v>66.146972857118456</c:v>
                </c:pt>
                <c:pt idx="650">
                  <c:v>66.148585509937107</c:v>
                </c:pt>
                <c:pt idx="651">
                  <c:v>66.150378014444811</c:v>
                </c:pt>
                <c:pt idx="652">
                  <c:v>66.152354711053135</c:v>
                </c:pt>
                <c:pt idx="653">
                  <c:v>66.154519745195259</c:v>
                </c:pt>
                <c:pt idx="654">
                  <c:v>66.156877064383238</c:v>
                </c:pt>
                <c:pt idx="655">
                  <c:v>66.159430416093514</c:v>
                </c:pt>
                <c:pt idx="656">
                  <c:v>66.162183346410217</c:v>
                </c:pt>
                <c:pt idx="657">
                  <c:v>66.165139199359132</c:v>
                </c:pt>
                <c:pt idx="658">
                  <c:v>66.168301116868648</c:v>
                </c:pt>
                <c:pt idx="659">
                  <c:v>66.171672039297576</c:v>
                </c:pt>
                <c:pt idx="660">
                  <c:v>66.175254706473439</c:v>
                </c:pt>
                <c:pt idx="661">
                  <c:v>66.179051659188175</c:v>
                </c:pt>
                <c:pt idx="662">
                  <c:v>66.183065241101957</c:v>
                </c:pt>
                <c:pt idx="663">
                  <c:v>66.187297601009007</c:v>
                </c:pt>
                <c:pt idx="664">
                  <c:v>66.191750695422769</c:v>
                </c:pt>
                <c:pt idx="665">
                  <c:v>66.196426291440929</c:v>
                </c:pt>
                <c:pt idx="666">
                  <c:v>66.201325969853599</c:v>
                </c:pt>
                <c:pt idx="667">
                  <c:v>66.206451128461339</c:v>
                </c:pt>
                <c:pt idx="668">
                  <c:v>66.211802985571907</c:v>
                </c:pt>
                <c:pt idx="669">
                  <c:v>66.217382583647563</c:v>
                </c:pt>
                <c:pt idx="670">
                  <c:v>66.22319079307708</c:v>
                </c:pt>
                <c:pt idx="671">
                  <c:v>66.229228316048847</c:v>
                </c:pt>
                <c:pt idx="672">
                  <c:v>66.235495690503726</c:v>
                </c:pt>
                <c:pt idx="673">
                  <c:v>66.241993294148145</c:v>
                </c:pt>
                <c:pt idx="674">
                  <c:v>66.24872134850996</c:v>
                </c:pt>
                <c:pt idx="675">
                  <c:v>66.255679923021191</c:v>
                </c:pt>
                <c:pt idx="676">
                  <c:v>66.262868939113361</c:v>
                </c:pt>
                <c:pt idx="677">
                  <c:v>66.270288174312853</c:v>
                </c:pt>
                <c:pt idx="678">
                  <c:v>66.277937266324713</c:v>
                </c:pt>
                <c:pt idx="679">
                  <c:v>66.285815717094891</c:v>
                </c:pt>
                <c:pt idx="680">
                  <c:v>66.293922896841963</c:v>
                </c:pt>
                <c:pt idx="681">
                  <c:v>66.30225804805039</c:v>
                </c:pt>
                <c:pt idx="682">
                  <c:v>66.31082028941853</c:v>
                </c:pt>
                <c:pt idx="683">
                  <c:v>66.319608619755144</c:v>
                </c:pt>
                <c:pt idx="684">
                  <c:v>66.328621921819547</c:v>
                </c:pt>
                <c:pt idx="685">
                  <c:v>66.337858966100583</c:v>
                </c:pt>
                <c:pt idx="686">
                  <c:v>66.347318414530932</c:v>
                </c:pt>
                <c:pt idx="687">
                  <c:v>66.356998824133456</c:v>
                </c:pt>
                <c:pt idx="688">
                  <c:v>66.366898650597008</c:v>
                </c:pt>
                <c:pt idx="689">
                  <c:v>66.377016251779594</c:v>
                </c:pt>
                <c:pt idx="690">
                  <c:v>66.387349891137276</c:v>
                </c:pt>
                <c:pt idx="691">
                  <c:v>66.397897741077628</c:v>
                </c:pt>
                <c:pt idx="692">
                  <c:v>66.408657886236739</c:v>
                </c:pt>
                <c:pt idx="693">
                  <c:v>66.419628326679373</c:v>
                </c:pt>
                <c:pt idx="694">
                  <c:v>66.430806981022002</c:v>
                </c:pt>
                <c:pt idx="695">
                  <c:v>66.442191689478747</c:v>
                </c:pt>
                <c:pt idx="696">
                  <c:v>66.453780216830481</c:v>
                </c:pt>
                <c:pt idx="697">
                  <c:v>66.465570255317502</c:v>
                </c:pt>
                <c:pt idx="698">
                  <c:v>66.477559427456569</c:v>
                </c:pt>
                <c:pt idx="699">
                  <c:v>66.489745288782956</c:v>
                </c:pt>
                <c:pt idx="700">
                  <c:v>66.502125330518538</c:v>
                </c:pt>
                <c:pt idx="701">
                  <c:v>66.514696982166981</c:v>
                </c:pt>
                <c:pt idx="702">
                  <c:v>66.527457614037203</c:v>
                </c:pt>
                <c:pt idx="703">
                  <c:v>66.540404539696297</c:v>
                </c:pt>
                <c:pt idx="704">
                  <c:v>66.553535018353301</c:v>
                </c:pt>
                <c:pt idx="705">
                  <c:v>66.566846257175243</c:v>
                </c:pt>
                <c:pt idx="706">
                  <c:v>66.580335413536787</c:v>
                </c:pt>
                <c:pt idx="707">
                  <c:v>66.593999597205041</c:v>
                </c:pt>
                <c:pt idx="708">
                  <c:v>66.607835872460996</c:v>
                </c:pt>
                <c:pt idx="709">
                  <c:v>66.621841260159187</c:v>
                </c:pt>
                <c:pt idx="710">
                  <c:v>66.636012739726979</c:v>
                </c:pt>
                <c:pt idx="711">
                  <c:v>66.650347251105217</c:v>
                </c:pt>
                <c:pt idx="712">
                  <c:v>66.66484169663164</c:v>
                </c:pt>
                <c:pt idx="713">
                  <c:v>66.679492942868663</c:v>
                </c:pt>
                <c:pt idx="714">
                  <c:v>66.694297822377109</c:v>
                </c:pt>
                <c:pt idx="715">
                  <c:v>66.709253135437365</c:v>
                </c:pt>
              </c:numCache>
            </c:numRef>
          </c:val>
        </c:ser>
        <c:ser>
          <c:idx val="10"/>
          <c:order val="10"/>
          <c:tx>
            <c:strRef>
              <c:f>Calculations!$A$34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cat>
            <c:numRef>
              <c:f>Calculations!$B$21:$AAO$21</c:f>
              <c:numCache>
                <c:formatCode>0.00</c:formatCode>
                <c:ptCount val="716"/>
                <c:pt idx="0" formatCode="General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5.0000000000000036</c:v>
                </c:pt>
                <c:pt idx="126">
                  <c:v>5.0400000000000036</c:v>
                </c:pt>
                <c:pt idx="127">
                  <c:v>5.0800000000000036</c:v>
                </c:pt>
                <c:pt idx="128">
                  <c:v>5.1200000000000037</c:v>
                </c:pt>
                <c:pt idx="129">
                  <c:v>5.1600000000000037</c:v>
                </c:pt>
                <c:pt idx="130">
                  <c:v>5.2000000000000037</c:v>
                </c:pt>
                <c:pt idx="131">
                  <c:v>5.2400000000000038</c:v>
                </c:pt>
                <c:pt idx="132">
                  <c:v>5.2800000000000038</c:v>
                </c:pt>
                <c:pt idx="133">
                  <c:v>5.3200000000000038</c:v>
                </c:pt>
                <c:pt idx="134">
                  <c:v>5.3600000000000039</c:v>
                </c:pt>
                <c:pt idx="135">
                  <c:v>5.4000000000000039</c:v>
                </c:pt>
                <c:pt idx="136">
                  <c:v>5.4400000000000039</c:v>
                </c:pt>
                <c:pt idx="137">
                  <c:v>5.480000000000004</c:v>
                </c:pt>
                <c:pt idx="138">
                  <c:v>5.520000000000004</c:v>
                </c:pt>
                <c:pt idx="139">
                  <c:v>5.5600000000000041</c:v>
                </c:pt>
                <c:pt idx="140">
                  <c:v>5.6000000000000041</c:v>
                </c:pt>
                <c:pt idx="141">
                  <c:v>5.6400000000000041</c:v>
                </c:pt>
                <c:pt idx="142">
                  <c:v>5.6800000000000042</c:v>
                </c:pt>
                <c:pt idx="143">
                  <c:v>5.7200000000000042</c:v>
                </c:pt>
                <c:pt idx="144">
                  <c:v>5.7600000000000042</c:v>
                </c:pt>
                <c:pt idx="145">
                  <c:v>5.8000000000000043</c:v>
                </c:pt>
                <c:pt idx="146">
                  <c:v>5.8400000000000043</c:v>
                </c:pt>
                <c:pt idx="147">
                  <c:v>5.8800000000000043</c:v>
                </c:pt>
                <c:pt idx="148">
                  <c:v>5.9200000000000044</c:v>
                </c:pt>
                <c:pt idx="149">
                  <c:v>5.9600000000000044</c:v>
                </c:pt>
                <c:pt idx="150">
                  <c:v>6.0000000000000044</c:v>
                </c:pt>
                <c:pt idx="151">
                  <c:v>6.0400000000000045</c:v>
                </c:pt>
                <c:pt idx="152">
                  <c:v>6.0800000000000045</c:v>
                </c:pt>
                <c:pt idx="153">
                  <c:v>6.1200000000000045</c:v>
                </c:pt>
                <c:pt idx="154">
                  <c:v>6.1600000000000046</c:v>
                </c:pt>
                <c:pt idx="155">
                  <c:v>6.2000000000000046</c:v>
                </c:pt>
                <c:pt idx="156">
                  <c:v>6.2400000000000047</c:v>
                </c:pt>
                <c:pt idx="157">
                  <c:v>6.2800000000000047</c:v>
                </c:pt>
                <c:pt idx="158">
                  <c:v>6.3200000000000047</c:v>
                </c:pt>
                <c:pt idx="159">
                  <c:v>6.3600000000000048</c:v>
                </c:pt>
                <c:pt idx="160">
                  <c:v>6.4000000000000048</c:v>
                </c:pt>
                <c:pt idx="161">
                  <c:v>6.4400000000000048</c:v>
                </c:pt>
                <c:pt idx="162">
                  <c:v>6.4800000000000049</c:v>
                </c:pt>
                <c:pt idx="163">
                  <c:v>6.5200000000000049</c:v>
                </c:pt>
                <c:pt idx="164">
                  <c:v>6.5600000000000049</c:v>
                </c:pt>
                <c:pt idx="165">
                  <c:v>6.600000000000005</c:v>
                </c:pt>
                <c:pt idx="166">
                  <c:v>6.640000000000005</c:v>
                </c:pt>
                <c:pt idx="167">
                  <c:v>6.680000000000005</c:v>
                </c:pt>
                <c:pt idx="168">
                  <c:v>6.7200000000000051</c:v>
                </c:pt>
                <c:pt idx="169">
                  <c:v>6.7600000000000051</c:v>
                </c:pt>
                <c:pt idx="170">
                  <c:v>6.8000000000000052</c:v>
                </c:pt>
                <c:pt idx="171">
                  <c:v>6.8400000000000052</c:v>
                </c:pt>
                <c:pt idx="172">
                  <c:v>6.8800000000000052</c:v>
                </c:pt>
                <c:pt idx="173">
                  <c:v>6.9200000000000053</c:v>
                </c:pt>
                <c:pt idx="174">
                  <c:v>6.9600000000000053</c:v>
                </c:pt>
                <c:pt idx="175">
                  <c:v>7.0000000000000053</c:v>
                </c:pt>
                <c:pt idx="176">
                  <c:v>7.0400000000000054</c:v>
                </c:pt>
                <c:pt idx="177">
                  <c:v>7.0800000000000054</c:v>
                </c:pt>
                <c:pt idx="178">
                  <c:v>7.1200000000000054</c:v>
                </c:pt>
                <c:pt idx="179">
                  <c:v>7.1600000000000055</c:v>
                </c:pt>
                <c:pt idx="180">
                  <c:v>7.2000000000000055</c:v>
                </c:pt>
                <c:pt idx="181">
                  <c:v>7.2400000000000055</c:v>
                </c:pt>
                <c:pt idx="182">
                  <c:v>7.2800000000000056</c:v>
                </c:pt>
                <c:pt idx="183">
                  <c:v>7.3200000000000056</c:v>
                </c:pt>
                <c:pt idx="184">
                  <c:v>7.3600000000000056</c:v>
                </c:pt>
                <c:pt idx="185">
                  <c:v>7.4000000000000057</c:v>
                </c:pt>
                <c:pt idx="186">
                  <c:v>7.4400000000000057</c:v>
                </c:pt>
                <c:pt idx="187">
                  <c:v>7.4800000000000058</c:v>
                </c:pt>
                <c:pt idx="188">
                  <c:v>7.5200000000000058</c:v>
                </c:pt>
                <c:pt idx="189">
                  <c:v>7.5600000000000058</c:v>
                </c:pt>
                <c:pt idx="190">
                  <c:v>7.6000000000000059</c:v>
                </c:pt>
                <c:pt idx="191">
                  <c:v>7.6400000000000059</c:v>
                </c:pt>
                <c:pt idx="192">
                  <c:v>7.6800000000000059</c:v>
                </c:pt>
                <c:pt idx="193">
                  <c:v>7.720000000000006</c:v>
                </c:pt>
                <c:pt idx="194">
                  <c:v>7.760000000000006</c:v>
                </c:pt>
                <c:pt idx="195">
                  <c:v>7.800000000000006</c:v>
                </c:pt>
                <c:pt idx="196">
                  <c:v>7.8400000000000061</c:v>
                </c:pt>
                <c:pt idx="197">
                  <c:v>7.8800000000000061</c:v>
                </c:pt>
                <c:pt idx="198">
                  <c:v>7.9200000000000061</c:v>
                </c:pt>
                <c:pt idx="199">
                  <c:v>7.9600000000000062</c:v>
                </c:pt>
                <c:pt idx="200">
                  <c:v>8.0000000000000053</c:v>
                </c:pt>
                <c:pt idx="201">
                  <c:v>8.0400000000000045</c:v>
                </c:pt>
                <c:pt idx="202">
                  <c:v>8.0800000000000036</c:v>
                </c:pt>
                <c:pt idx="203">
                  <c:v>8.1200000000000028</c:v>
                </c:pt>
                <c:pt idx="204">
                  <c:v>8.1600000000000019</c:v>
                </c:pt>
                <c:pt idx="205">
                  <c:v>8.2000000000000011</c:v>
                </c:pt>
                <c:pt idx="206">
                  <c:v>8.24</c:v>
                </c:pt>
                <c:pt idx="207">
                  <c:v>8.2799999999999994</c:v>
                </c:pt>
                <c:pt idx="208">
                  <c:v>8.3199999999999985</c:v>
                </c:pt>
                <c:pt idx="209">
                  <c:v>8.3599999999999977</c:v>
                </c:pt>
                <c:pt idx="210">
                  <c:v>8.3999999999999968</c:v>
                </c:pt>
                <c:pt idx="211">
                  <c:v>8.4399999999999959</c:v>
                </c:pt>
                <c:pt idx="212">
                  <c:v>8.4799999999999951</c:v>
                </c:pt>
                <c:pt idx="213">
                  <c:v>8.5199999999999942</c:v>
                </c:pt>
                <c:pt idx="214">
                  <c:v>8.5599999999999934</c:v>
                </c:pt>
                <c:pt idx="215">
                  <c:v>8.5999999999999925</c:v>
                </c:pt>
                <c:pt idx="216">
                  <c:v>8.6399999999999917</c:v>
                </c:pt>
                <c:pt idx="217">
                  <c:v>8.6799999999999908</c:v>
                </c:pt>
                <c:pt idx="218">
                  <c:v>8.71999999999999</c:v>
                </c:pt>
                <c:pt idx="219">
                  <c:v>8.7599999999999891</c:v>
                </c:pt>
                <c:pt idx="220">
                  <c:v>8.7999999999999883</c:v>
                </c:pt>
                <c:pt idx="221">
                  <c:v>8.8399999999999874</c:v>
                </c:pt>
                <c:pt idx="222">
                  <c:v>8.8799999999999866</c:v>
                </c:pt>
                <c:pt idx="223">
                  <c:v>8.9199999999999857</c:v>
                </c:pt>
                <c:pt idx="224">
                  <c:v>8.9599999999999849</c:v>
                </c:pt>
                <c:pt idx="225">
                  <c:v>8.999999999999984</c:v>
                </c:pt>
                <c:pt idx="226">
                  <c:v>9.0399999999999832</c:v>
                </c:pt>
                <c:pt idx="227">
                  <c:v>9.0799999999999823</c:v>
                </c:pt>
                <c:pt idx="228">
                  <c:v>9.1199999999999815</c:v>
                </c:pt>
                <c:pt idx="229">
                  <c:v>9.1599999999999806</c:v>
                </c:pt>
                <c:pt idx="230">
                  <c:v>9.1999999999999797</c:v>
                </c:pt>
                <c:pt idx="231">
                  <c:v>9.2399999999999789</c:v>
                </c:pt>
                <c:pt idx="232">
                  <c:v>9.279999999999978</c:v>
                </c:pt>
                <c:pt idx="233">
                  <c:v>9.3199999999999772</c:v>
                </c:pt>
                <c:pt idx="234">
                  <c:v>9.3599999999999763</c:v>
                </c:pt>
                <c:pt idx="235">
                  <c:v>9.3999999999999755</c:v>
                </c:pt>
                <c:pt idx="236">
                  <c:v>9.4399999999999746</c:v>
                </c:pt>
                <c:pt idx="237">
                  <c:v>9.4799999999999738</c:v>
                </c:pt>
                <c:pt idx="238">
                  <c:v>9.5199999999999729</c:v>
                </c:pt>
                <c:pt idx="239">
                  <c:v>9.5599999999999721</c:v>
                </c:pt>
                <c:pt idx="240">
                  <c:v>9.5999999999999712</c:v>
                </c:pt>
                <c:pt idx="241">
                  <c:v>9.6399999999999704</c:v>
                </c:pt>
                <c:pt idx="242">
                  <c:v>9.6799999999999695</c:v>
                </c:pt>
                <c:pt idx="243">
                  <c:v>9.7199999999999687</c:v>
                </c:pt>
                <c:pt idx="244">
                  <c:v>9.7599999999999678</c:v>
                </c:pt>
                <c:pt idx="245">
                  <c:v>9.799999999999967</c:v>
                </c:pt>
                <c:pt idx="246">
                  <c:v>9.8399999999999661</c:v>
                </c:pt>
                <c:pt idx="247">
                  <c:v>9.8799999999999653</c:v>
                </c:pt>
                <c:pt idx="248">
                  <c:v>9.9199999999999644</c:v>
                </c:pt>
                <c:pt idx="249">
                  <c:v>9.9599999999999635</c:v>
                </c:pt>
                <c:pt idx="250">
                  <c:v>9.9999999999999627</c:v>
                </c:pt>
                <c:pt idx="251">
                  <c:v>10.039999999999962</c:v>
                </c:pt>
                <c:pt idx="252">
                  <c:v>10.079999999999961</c:v>
                </c:pt>
                <c:pt idx="253">
                  <c:v>10.11999999999996</c:v>
                </c:pt>
                <c:pt idx="254">
                  <c:v>10.159999999999959</c:v>
                </c:pt>
                <c:pt idx="255">
                  <c:v>10.199999999999958</c:v>
                </c:pt>
                <c:pt idx="256">
                  <c:v>10.239999999999958</c:v>
                </c:pt>
                <c:pt idx="257">
                  <c:v>10.279999999999957</c:v>
                </c:pt>
                <c:pt idx="258">
                  <c:v>10.319999999999956</c:v>
                </c:pt>
                <c:pt idx="259">
                  <c:v>10.359999999999955</c:v>
                </c:pt>
                <c:pt idx="260">
                  <c:v>10.399999999999954</c:v>
                </c:pt>
                <c:pt idx="261">
                  <c:v>10.439999999999953</c:v>
                </c:pt>
                <c:pt idx="262">
                  <c:v>10.479999999999952</c:v>
                </c:pt>
                <c:pt idx="263">
                  <c:v>10.519999999999952</c:v>
                </c:pt>
                <c:pt idx="264">
                  <c:v>10.559999999999951</c:v>
                </c:pt>
                <c:pt idx="265">
                  <c:v>10.59999999999995</c:v>
                </c:pt>
                <c:pt idx="266">
                  <c:v>10.639999999999949</c:v>
                </c:pt>
                <c:pt idx="267">
                  <c:v>10.679999999999948</c:v>
                </c:pt>
                <c:pt idx="268">
                  <c:v>10.719999999999947</c:v>
                </c:pt>
                <c:pt idx="269">
                  <c:v>10.759999999999946</c:v>
                </c:pt>
                <c:pt idx="270">
                  <c:v>10.799999999999946</c:v>
                </c:pt>
                <c:pt idx="271">
                  <c:v>10.839999999999945</c:v>
                </c:pt>
                <c:pt idx="272">
                  <c:v>10.879999999999944</c:v>
                </c:pt>
                <c:pt idx="273">
                  <c:v>10.919999999999943</c:v>
                </c:pt>
                <c:pt idx="274">
                  <c:v>10.959999999999942</c:v>
                </c:pt>
                <c:pt idx="275">
                  <c:v>10.999999999999941</c:v>
                </c:pt>
                <c:pt idx="276">
                  <c:v>11.039999999999941</c:v>
                </c:pt>
                <c:pt idx="277">
                  <c:v>11.07999999999994</c:v>
                </c:pt>
                <c:pt idx="278">
                  <c:v>11.119999999999939</c:v>
                </c:pt>
                <c:pt idx="279">
                  <c:v>11.159999999999938</c:v>
                </c:pt>
                <c:pt idx="280">
                  <c:v>11.199999999999937</c:v>
                </c:pt>
                <c:pt idx="281">
                  <c:v>11.239999999999936</c:v>
                </c:pt>
                <c:pt idx="282">
                  <c:v>11.279999999999935</c:v>
                </c:pt>
                <c:pt idx="283">
                  <c:v>11.319999999999935</c:v>
                </c:pt>
                <c:pt idx="284">
                  <c:v>11.359999999999934</c:v>
                </c:pt>
                <c:pt idx="285">
                  <c:v>11.399999999999933</c:v>
                </c:pt>
                <c:pt idx="286">
                  <c:v>11.439999999999932</c:v>
                </c:pt>
                <c:pt idx="287">
                  <c:v>11.479999999999931</c:v>
                </c:pt>
                <c:pt idx="288">
                  <c:v>11.51999999999993</c:v>
                </c:pt>
                <c:pt idx="289">
                  <c:v>11.559999999999929</c:v>
                </c:pt>
                <c:pt idx="290">
                  <c:v>11.599999999999929</c:v>
                </c:pt>
                <c:pt idx="291">
                  <c:v>11.639999999999928</c:v>
                </c:pt>
                <c:pt idx="292">
                  <c:v>11.679999999999927</c:v>
                </c:pt>
                <c:pt idx="293">
                  <c:v>11.719999999999926</c:v>
                </c:pt>
                <c:pt idx="294">
                  <c:v>11.759999999999925</c:v>
                </c:pt>
                <c:pt idx="295">
                  <c:v>11.799999999999924</c:v>
                </c:pt>
                <c:pt idx="296">
                  <c:v>11.839999999999923</c:v>
                </c:pt>
                <c:pt idx="297">
                  <c:v>11.879999999999923</c:v>
                </c:pt>
                <c:pt idx="298">
                  <c:v>11.919999999999922</c:v>
                </c:pt>
                <c:pt idx="299">
                  <c:v>11.959999999999921</c:v>
                </c:pt>
                <c:pt idx="300">
                  <c:v>11.99999999999992</c:v>
                </c:pt>
                <c:pt idx="301">
                  <c:v>12.039999999999919</c:v>
                </c:pt>
                <c:pt idx="302">
                  <c:v>12.079999999999918</c:v>
                </c:pt>
                <c:pt idx="303">
                  <c:v>12.119999999999918</c:v>
                </c:pt>
                <c:pt idx="304">
                  <c:v>12.159999999999917</c:v>
                </c:pt>
                <c:pt idx="305">
                  <c:v>12.199999999999916</c:v>
                </c:pt>
                <c:pt idx="306">
                  <c:v>12.239999999999915</c:v>
                </c:pt>
                <c:pt idx="307">
                  <c:v>12.279999999999914</c:v>
                </c:pt>
                <c:pt idx="308">
                  <c:v>12.319999999999913</c:v>
                </c:pt>
                <c:pt idx="309">
                  <c:v>12.359999999999912</c:v>
                </c:pt>
                <c:pt idx="310">
                  <c:v>12.399999999999912</c:v>
                </c:pt>
                <c:pt idx="311">
                  <c:v>12.439999999999911</c:v>
                </c:pt>
                <c:pt idx="312">
                  <c:v>12.47999999999991</c:v>
                </c:pt>
                <c:pt idx="313">
                  <c:v>12.519999999999909</c:v>
                </c:pt>
                <c:pt idx="314">
                  <c:v>12.559999999999908</c:v>
                </c:pt>
                <c:pt idx="315">
                  <c:v>12.599999999999907</c:v>
                </c:pt>
                <c:pt idx="316">
                  <c:v>12.639999999999906</c:v>
                </c:pt>
                <c:pt idx="317">
                  <c:v>12.679999999999906</c:v>
                </c:pt>
                <c:pt idx="318">
                  <c:v>12.719999999999905</c:v>
                </c:pt>
                <c:pt idx="319">
                  <c:v>12.759999999999904</c:v>
                </c:pt>
                <c:pt idx="320">
                  <c:v>12.799999999999903</c:v>
                </c:pt>
                <c:pt idx="321">
                  <c:v>12.839999999999902</c:v>
                </c:pt>
                <c:pt idx="322">
                  <c:v>12.879999999999901</c:v>
                </c:pt>
                <c:pt idx="323">
                  <c:v>12.9199999999999</c:v>
                </c:pt>
                <c:pt idx="324">
                  <c:v>12.9599999999999</c:v>
                </c:pt>
                <c:pt idx="325">
                  <c:v>12.999999999999899</c:v>
                </c:pt>
                <c:pt idx="326">
                  <c:v>13.039999999999898</c:v>
                </c:pt>
                <c:pt idx="327">
                  <c:v>13.079999999999897</c:v>
                </c:pt>
                <c:pt idx="328">
                  <c:v>13.119999999999896</c:v>
                </c:pt>
                <c:pt idx="329">
                  <c:v>13.159999999999895</c:v>
                </c:pt>
                <c:pt idx="330">
                  <c:v>13.199999999999894</c:v>
                </c:pt>
                <c:pt idx="331">
                  <c:v>13.239999999999894</c:v>
                </c:pt>
                <c:pt idx="332">
                  <c:v>13.279999999999893</c:v>
                </c:pt>
                <c:pt idx="333">
                  <c:v>13.319999999999892</c:v>
                </c:pt>
                <c:pt idx="334">
                  <c:v>13.359999999999891</c:v>
                </c:pt>
                <c:pt idx="335">
                  <c:v>13.39999999999989</c:v>
                </c:pt>
                <c:pt idx="336">
                  <c:v>13.439999999999889</c:v>
                </c:pt>
                <c:pt idx="337">
                  <c:v>13.479999999999889</c:v>
                </c:pt>
                <c:pt idx="338">
                  <c:v>13.519999999999888</c:v>
                </c:pt>
                <c:pt idx="339">
                  <c:v>13.559999999999887</c:v>
                </c:pt>
                <c:pt idx="340">
                  <c:v>13.599999999999886</c:v>
                </c:pt>
                <c:pt idx="341">
                  <c:v>13.639999999999885</c:v>
                </c:pt>
                <c:pt idx="342">
                  <c:v>13.679999999999884</c:v>
                </c:pt>
                <c:pt idx="343">
                  <c:v>13.719999999999883</c:v>
                </c:pt>
                <c:pt idx="344">
                  <c:v>13.759999999999883</c:v>
                </c:pt>
                <c:pt idx="345">
                  <c:v>13.799999999999882</c:v>
                </c:pt>
                <c:pt idx="346">
                  <c:v>13.839999999999881</c:v>
                </c:pt>
                <c:pt idx="347">
                  <c:v>13.87999999999988</c:v>
                </c:pt>
                <c:pt idx="348">
                  <c:v>13.919999999999879</c:v>
                </c:pt>
                <c:pt idx="349">
                  <c:v>13.959999999999878</c:v>
                </c:pt>
                <c:pt idx="350">
                  <c:v>13.999999999999877</c:v>
                </c:pt>
                <c:pt idx="351">
                  <c:v>14.039999999999877</c:v>
                </c:pt>
                <c:pt idx="352">
                  <c:v>14.079999999999876</c:v>
                </c:pt>
                <c:pt idx="353">
                  <c:v>14.119999999999875</c:v>
                </c:pt>
                <c:pt idx="354">
                  <c:v>14.159999999999874</c:v>
                </c:pt>
                <c:pt idx="355">
                  <c:v>14.199999999999873</c:v>
                </c:pt>
                <c:pt idx="356">
                  <c:v>14.239999999999872</c:v>
                </c:pt>
                <c:pt idx="357">
                  <c:v>14.279999999999871</c:v>
                </c:pt>
                <c:pt idx="358">
                  <c:v>14.319999999999871</c:v>
                </c:pt>
                <c:pt idx="359">
                  <c:v>14.35999999999987</c:v>
                </c:pt>
                <c:pt idx="360">
                  <c:v>14.399999999999869</c:v>
                </c:pt>
                <c:pt idx="361">
                  <c:v>14.439999999999868</c:v>
                </c:pt>
                <c:pt idx="362">
                  <c:v>14.479999999999867</c:v>
                </c:pt>
                <c:pt idx="363">
                  <c:v>14.519999999999866</c:v>
                </c:pt>
                <c:pt idx="364">
                  <c:v>14.559999999999865</c:v>
                </c:pt>
                <c:pt idx="365">
                  <c:v>14.599999999999865</c:v>
                </c:pt>
                <c:pt idx="366">
                  <c:v>14.639999999999864</c:v>
                </c:pt>
                <c:pt idx="367">
                  <c:v>14.679999999999863</c:v>
                </c:pt>
                <c:pt idx="368">
                  <c:v>14.719999999999862</c:v>
                </c:pt>
                <c:pt idx="369">
                  <c:v>14.759999999999861</c:v>
                </c:pt>
                <c:pt idx="370">
                  <c:v>14.79999999999986</c:v>
                </c:pt>
                <c:pt idx="371">
                  <c:v>14.83999999999986</c:v>
                </c:pt>
                <c:pt idx="372">
                  <c:v>14.879999999999859</c:v>
                </c:pt>
                <c:pt idx="373">
                  <c:v>14.919999999999858</c:v>
                </c:pt>
                <c:pt idx="374">
                  <c:v>14.959999999999857</c:v>
                </c:pt>
                <c:pt idx="375">
                  <c:v>14.999999999999856</c:v>
                </c:pt>
                <c:pt idx="376">
                  <c:v>15.039999999999855</c:v>
                </c:pt>
                <c:pt idx="377">
                  <c:v>15.079999999999854</c:v>
                </c:pt>
                <c:pt idx="378">
                  <c:v>15.119999999999854</c:v>
                </c:pt>
                <c:pt idx="379">
                  <c:v>15.159999999999853</c:v>
                </c:pt>
                <c:pt idx="380">
                  <c:v>15.199999999999852</c:v>
                </c:pt>
                <c:pt idx="381">
                  <c:v>15.239999999999851</c:v>
                </c:pt>
                <c:pt idx="382">
                  <c:v>15.27999999999985</c:v>
                </c:pt>
                <c:pt idx="383">
                  <c:v>15.319999999999849</c:v>
                </c:pt>
                <c:pt idx="384">
                  <c:v>15.359999999999848</c:v>
                </c:pt>
                <c:pt idx="385">
                  <c:v>15.399999999999848</c:v>
                </c:pt>
                <c:pt idx="386">
                  <c:v>15.439999999999847</c:v>
                </c:pt>
                <c:pt idx="387">
                  <c:v>15.479999999999846</c:v>
                </c:pt>
                <c:pt idx="388">
                  <c:v>15.519999999999845</c:v>
                </c:pt>
                <c:pt idx="389">
                  <c:v>15.559999999999844</c:v>
                </c:pt>
                <c:pt idx="390">
                  <c:v>15.599999999999843</c:v>
                </c:pt>
                <c:pt idx="391">
                  <c:v>15.639999999999842</c:v>
                </c:pt>
                <c:pt idx="392">
                  <c:v>15.679999999999842</c:v>
                </c:pt>
                <c:pt idx="393">
                  <c:v>15.719999999999841</c:v>
                </c:pt>
                <c:pt idx="394">
                  <c:v>15.75999999999984</c:v>
                </c:pt>
                <c:pt idx="395">
                  <c:v>15.799999999999839</c:v>
                </c:pt>
                <c:pt idx="396">
                  <c:v>15.839999999999838</c:v>
                </c:pt>
                <c:pt idx="397">
                  <c:v>15.879999999999837</c:v>
                </c:pt>
                <c:pt idx="398">
                  <c:v>15.919999999999837</c:v>
                </c:pt>
                <c:pt idx="399">
                  <c:v>15.959999999999836</c:v>
                </c:pt>
                <c:pt idx="400">
                  <c:v>15.999999999999835</c:v>
                </c:pt>
                <c:pt idx="401">
                  <c:v>16.039999999999836</c:v>
                </c:pt>
                <c:pt idx="402">
                  <c:v>16.079999999999835</c:v>
                </c:pt>
                <c:pt idx="403">
                  <c:v>16.119999999999834</c:v>
                </c:pt>
                <c:pt idx="404">
                  <c:v>16.159999999999833</c:v>
                </c:pt>
                <c:pt idx="405">
                  <c:v>16.199999999999832</c:v>
                </c:pt>
                <c:pt idx="406">
                  <c:v>16.239999999999831</c:v>
                </c:pt>
                <c:pt idx="407">
                  <c:v>16.279999999999831</c:v>
                </c:pt>
                <c:pt idx="408">
                  <c:v>16.31999999999983</c:v>
                </c:pt>
                <c:pt idx="409">
                  <c:v>16.359999999999829</c:v>
                </c:pt>
                <c:pt idx="410">
                  <c:v>16.399999999999828</c:v>
                </c:pt>
                <c:pt idx="411">
                  <c:v>16.439999999999827</c:v>
                </c:pt>
                <c:pt idx="412">
                  <c:v>16.479999999999826</c:v>
                </c:pt>
                <c:pt idx="413">
                  <c:v>16.519999999999825</c:v>
                </c:pt>
                <c:pt idx="414">
                  <c:v>16.559999999999825</c:v>
                </c:pt>
                <c:pt idx="415">
                  <c:v>16.599999999999824</c:v>
                </c:pt>
                <c:pt idx="416">
                  <c:v>16.639999999999823</c:v>
                </c:pt>
                <c:pt idx="417">
                  <c:v>16.679999999999822</c:v>
                </c:pt>
                <c:pt idx="418">
                  <c:v>16.719999999999821</c:v>
                </c:pt>
                <c:pt idx="419">
                  <c:v>16.75999999999982</c:v>
                </c:pt>
                <c:pt idx="420">
                  <c:v>16.79999999999982</c:v>
                </c:pt>
                <c:pt idx="421">
                  <c:v>16.839999999999819</c:v>
                </c:pt>
                <c:pt idx="422">
                  <c:v>16.879999999999818</c:v>
                </c:pt>
                <c:pt idx="423">
                  <c:v>16.919999999999817</c:v>
                </c:pt>
                <c:pt idx="424">
                  <c:v>16.959999999999816</c:v>
                </c:pt>
                <c:pt idx="425">
                  <c:v>16.999999999999815</c:v>
                </c:pt>
                <c:pt idx="426">
                  <c:v>17.039999999999814</c:v>
                </c:pt>
                <c:pt idx="427">
                  <c:v>17.079999999999814</c:v>
                </c:pt>
                <c:pt idx="428">
                  <c:v>17.119999999999813</c:v>
                </c:pt>
                <c:pt idx="429">
                  <c:v>17.159999999999812</c:v>
                </c:pt>
                <c:pt idx="430">
                  <c:v>17.199999999999811</c:v>
                </c:pt>
                <c:pt idx="431">
                  <c:v>17.23999999999981</c:v>
                </c:pt>
                <c:pt idx="432">
                  <c:v>17.279999999999809</c:v>
                </c:pt>
                <c:pt idx="433">
                  <c:v>17.319999999999808</c:v>
                </c:pt>
                <c:pt idx="434">
                  <c:v>17.359999999999808</c:v>
                </c:pt>
                <c:pt idx="435">
                  <c:v>17.399999999999807</c:v>
                </c:pt>
                <c:pt idx="436">
                  <c:v>17.439999999999806</c:v>
                </c:pt>
                <c:pt idx="437">
                  <c:v>17.479999999999805</c:v>
                </c:pt>
                <c:pt idx="438">
                  <c:v>17.519999999999804</c:v>
                </c:pt>
                <c:pt idx="439">
                  <c:v>17.559999999999803</c:v>
                </c:pt>
                <c:pt idx="440">
                  <c:v>17.599999999999802</c:v>
                </c:pt>
                <c:pt idx="441">
                  <c:v>17.639999999999802</c:v>
                </c:pt>
                <c:pt idx="442">
                  <c:v>17.679999999999801</c:v>
                </c:pt>
                <c:pt idx="443">
                  <c:v>17.7199999999998</c:v>
                </c:pt>
                <c:pt idx="444">
                  <c:v>17.759999999999799</c:v>
                </c:pt>
                <c:pt idx="445">
                  <c:v>17.799999999999798</c:v>
                </c:pt>
                <c:pt idx="446">
                  <c:v>17.839999999999797</c:v>
                </c:pt>
                <c:pt idx="447">
                  <c:v>17.879999999999797</c:v>
                </c:pt>
                <c:pt idx="448">
                  <c:v>17.919999999999796</c:v>
                </c:pt>
                <c:pt idx="449">
                  <c:v>17.959999999999795</c:v>
                </c:pt>
                <c:pt idx="450">
                  <c:v>17.999999999999794</c:v>
                </c:pt>
                <c:pt idx="451">
                  <c:v>18.039999999999793</c:v>
                </c:pt>
                <c:pt idx="452">
                  <c:v>18.079999999999792</c:v>
                </c:pt>
                <c:pt idx="453">
                  <c:v>18.119999999999791</c:v>
                </c:pt>
                <c:pt idx="454">
                  <c:v>18.159999999999791</c:v>
                </c:pt>
                <c:pt idx="455">
                  <c:v>18.19999999999979</c:v>
                </c:pt>
                <c:pt idx="456">
                  <c:v>18.239999999999789</c:v>
                </c:pt>
                <c:pt idx="457">
                  <c:v>18.279999999999788</c:v>
                </c:pt>
                <c:pt idx="458">
                  <c:v>18.319999999999787</c:v>
                </c:pt>
                <c:pt idx="459">
                  <c:v>18.359999999999786</c:v>
                </c:pt>
                <c:pt idx="460">
                  <c:v>18.399999999999785</c:v>
                </c:pt>
                <c:pt idx="461">
                  <c:v>18.439999999999785</c:v>
                </c:pt>
                <c:pt idx="462">
                  <c:v>18.479999999999784</c:v>
                </c:pt>
                <c:pt idx="463">
                  <c:v>18.519999999999783</c:v>
                </c:pt>
                <c:pt idx="464">
                  <c:v>18.559999999999782</c:v>
                </c:pt>
                <c:pt idx="465">
                  <c:v>18.599999999999781</c:v>
                </c:pt>
                <c:pt idx="466">
                  <c:v>18.63999999999978</c:v>
                </c:pt>
                <c:pt idx="467">
                  <c:v>18.679999999999779</c:v>
                </c:pt>
                <c:pt idx="468">
                  <c:v>18.719999999999779</c:v>
                </c:pt>
                <c:pt idx="469">
                  <c:v>18.759999999999778</c:v>
                </c:pt>
                <c:pt idx="470">
                  <c:v>18.799999999999777</c:v>
                </c:pt>
                <c:pt idx="471">
                  <c:v>18.839999999999776</c:v>
                </c:pt>
                <c:pt idx="472">
                  <c:v>18.879999999999775</c:v>
                </c:pt>
                <c:pt idx="473">
                  <c:v>18.919999999999774</c:v>
                </c:pt>
                <c:pt idx="474">
                  <c:v>18.959999999999773</c:v>
                </c:pt>
                <c:pt idx="475">
                  <c:v>18.999999999999773</c:v>
                </c:pt>
                <c:pt idx="476">
                  <c:v>19.039999999999772</c:v>
                </c:pt>
                <c:pt idx="477">
                  <c:v>19.079999999999771</c:v>
                </c:pt>
                <c:pt idx="478">
                  <c:v>19.11999999999977</c:v>
                </c:pt>
                <c:pt idx="479">
                  <c:v>19.159999999999769</c:v>
                </c:pt>
                <c:pt idx="480">
                  <c:v>19.199999999999768</c:v>
                </c:pt>
                <c:pt idx="481">
                  <c:v>19.239999999999768</c:v>
                </c:pt>
                <c:pt idx="482">
                  <c:v>19.279999999999767</c:v>
                </c:pt>
                <c:pt idx="483">
                  <c:v>19.319999999999766</c:v>
                </c:pt>
                <c:pt idx="484">
                  <c:v>19.359999999999765</c:v>
                </c:pt>
                <c:pt idx="485">
                  <c:v>19.399999999999764</c:v>
                </c:pt>
                <c:pt idx="486">
                  <c:v>19.439999999999763</c:v>
                </c:pt>
                <c:pt idx="487">
                  <c:v>19.479999999999762</c:v>
                </c:pt>
                <c:pt idx="488">
                  <c:v>19.519999999999762</c:v>
                </c:pt>
                <c:pt idx="489">
                  <c:v>19.559999999999761</c:v>
                </c:pt>
                <c:pt idx="490">
                  <c:v>19.59999999999976</c:v>
                </c:pt>
                <c:pt idx="491">
                  <c:v>19.639999999999759</c:v>
                </c:pt>
                <c:pt idx="492">
                  <c:v>19.679999999999758</c:v>
                </c:pt>
                <c:pt idx="493">
                  <c:v>19.719999999999757</c:v>
                </c:pt>
                <c:pt idx="494">
                  <c:v>19.759999999999756</c:v>
                </c:pt>
                <c:pt idx="495">
                  <c:v>19.799999999999756</c:v>
                </c:pt>
                <c:pt idx="496">
                  <c:v>19.839999999999755</c:v>
                </c:pt>
                <c:pt idx="497">
                  <c:v>19.879999999999754</c:v>
                </c:pt>
                <c:pt idx="498">
                  <c:v>19.919999999999753</c:v>
                </c:pt>
                <c:pt idx="499">
                  <c:v>19.959999999999752</c:v>
                </c:pt>
                <c:pt idx="500">
                  <c:v>19.999999999999751</c:v>
                </c:pt>
                <c:pt idx="501">
                  <c:v>20.03999999999975</c:v>
                </c:pt>
                <c:pt idx="502">
                  <c:v>20.07999999999975</c:v>
                </c:pt>
                <c:pt idx="503">
                  <c:v>20.119999999999749</c:v>
                </c:pt>
                <c:pt idx="504">
                  <c:v>20.159999999999748</c:v>
                </c:pt>
                <c:pt idx="505">
                  <c:v>20.199999999999747</c:v>
                </c:pt>
                <c:pt idx="506">
                  <c:v>20.239999999999746</c:v>
                </c:pt>
                <c:pt idx="507">
                  <c:v>20.279999999999745</c:v>
                </c:pt>
                <c:pt idx="508">
                  <c:v>20.319999999999744</c:v>
                </c:pt>
                <c:pt idx="509">
                  <c:v>20.359999999999744</c:v>
                </c:pt>
                <c:pt idx="510">
                  <c:v>20.399999999999743</c:v>
                </c:pt>
                <c:pt idx="511">
                  <c:v>20.439999999999742</c:v>
                </c:pt>
                <c:pt idx="512">
                  <c:v>20.479999999999741</c:v>
                </c:pt>
                <c:pt idx="513">
                  <c:v>20.51999999999974</c:v>
                </c:pt>
                <c:pt idx="514">
                  <c:v>20.559999999999739</c:v>
                </c:pt>
                <c:pt idx="515">
                  <c:v>20.599999999999739</c:v>
                </c:pt>
                <c:pt idx="516">
                  <c:v>20.639999999999738</c:v>
                </c:pt>
                <c:pt idx="517">
                  <c:v>20.679999999999737</c:v>
                </c:pt>
                <c:pt idx="518">
                  <c:v>20.719999999999736</c:v>
                </c:pt>
                <c:pt idx="519">
                  <c:v>20.759999999999735</c:v>
                </c:pt>
                <c:pt idx="520">
                  <c:v>20.799999999999734</c:v>
                </c:pt>
                <c:pt idx="521">
                  <c:v>20.839999999999733</c:v>
                </c:pt>
                <c:pt idx="522">
                  <c:v>20.879999999999733</c:v>
                </c:pt>
                <c:pt idx="523">
                  <c:v>20.919999999999732</c:v>
                </c:pt>
                <c:pt idx="524">
                  <c:v>20.959999999999731</c:v>
                </c:pt>
                <c:pt idx="525">
                  <c:v>20.99999999999973</c:v>
                </c:pt>
                <c:pt idx="526">
                  <c:v>21.039999999999729</c:v>
                </c:pt>
                <c:pt idx="527">
                  <c:v>21.079999999999728</c:v>
                </c:pt>
                <c:pt idx="528">
                  <c:v>21.119999999999727</c:v>
                </c:pt>
                <c:pt idx="529">
                  <c:v>21.159999999999727</c:v>
                </c:pt>
                <c:pt idx="530">
                  <c:v>21.199999999999726</c:v>
                </c:pt>
                <c:pt idx="531">
                  <c:v>21.239999999999725</c:v>
                </c:pt>
                <c:pt idx="532">
                  <c:v>21.279999999999724</c:v>
                </c:pt>
                <c:pt idx="533">
                  <c:v>21.319999999999723</c:v>
                </c:pt>
                <c:pt idx="534">
                  <c:v>21.359999999999722</c:v>
                </c:pt>
                <c:pt idx="535">
                  <c:v>21.399999999999721</c:v>
                </c:pt>
                <c:pt idx="536">
                  <c:v>21.439999999999721</c:v>
                </c:pt>
                <c:pt idx="537">
                  <c:v>21.47999999999972</c:v>
                </c:pt>
                <c:pt idx="538">
                  <c:v>21.519999999999719</c:v>
                </c:pt>
                <c:pt idx="539">
                  <c:v>21.559999999999718</c:v>
                </c:pt>
                <c:pt idx="540">
                  <c:v>21.599999999999717</c:v>
                </c:pt>
                <c:pt idx="541">
                  <c:v>21.639999999999716</c:v>
                </c:pt>
                <c:pt idx="542">
                  <c:v>21.679999999999715</c:v>
                </c:pt>
                <c:pt idx="543">
                  <c:v>21.719999999999715</c:v>
                </c:pt>
                <c:pt idx="544">
                  <c:v>21.759999999999714</c:v>
                </c:pt>
                <c:pt idx="545">
                  <c:v>21.799999999999713</c:v>
                </c:pt>
                <c:pt idx="546">
                  <c:v>21.839999999999712</c:v>
                </c:pt>
                <c:pt idx="547">
                  <c:v>21.879999999999711</c:v>
                </c:pt>
                <c:pt idx="548">
                  <c:v>21.91999999999971</c:v>
                </c:pt>
                <c:pt idx="549">
                  <c:v>21.95999999999971</c:v>
                </c:pt>
                <c:pt idx="550">
                  <c:v>21.999999999999709</c:v>
                </c:pt>
                <c:pt idx="551">
                  <c:v>22.039999999999708</c:v>
                </c:pt>
                <c:pt idx="552">
                  <c:v>22.079999999999707</c:v>
                </c:pt>
                <c:pt idx="553">
                  <c:v>22.119999999999706</c:v>
                </c:pt>
                <c:pt idx="554">
                  <c:v>22.159999999999705</c:v>
                </c:pt>
                <c:pt idx="555">
                  <c:v>22.199999999999704</c:v>
                </c:pt>
                <c:pt idx="556">
                  <c:v>22.239999999999704</c:v>
                </c:pt>
                <c:pt idx="557">
                  <c:v>22.279999999999703</c:v>
                </c:pt>
                <c:pt idx="558">
                  <c:v>22.319999999999702</c:v>
                </c:pt>
                <c:pt idx="559">
                  <c:v>22.359999999999701</c:v>
                </c:pt>
                <c:pt idx="560">
                  <c:v>22.3999999999997</c:v>
                </c:pt>
                <c:pt idx="561">
                  <c:v>22.439999999999699</c:v>
                </c:pt>
                <c:pt idx="562">
                  <c:v>22.479999999999698</c:v>
                </c:pt>
                <c:pt idx="563">
                  <c:v>22.519999999999698</c:v>
                </c:pt>
                <c:pt idx="564">
                  <c:v>22.559999999999697</c:v>
                </c:pt>
                <c:pt idx="565">
                  <c:v>22.599999999999696</c:v>
                </c:pt>
                <c:pt idx="566">
                  <c:v>22.639999999999695</c:v>
                </c:pt>
                <c:pt idx="567">
                  <c:v>22.679999999999694</c:v>
                </c:pt>
                <c:pt idx="568">
                  <c:v>22.719999999999693</c:v>
                </c:pt>
                <c:pt idx="569">
                  <c:v>22.759999999999692</c:v>
                </c:pt>
                <c:pt idx="570">
                  <c:v>22.799999999999692</c:v>
                </c:pt>
                <c:pt idx="571">
                  <c:v>22.839999999999691</c:v>
                </c:pt>
                <c:pt idx="572">
                  <c:v>22.87999999999969</c:v>
                </c:pt>
                <c:pt idx="573">
                  <c:v>22.919999999999689</c:v>
                </c:pt>
                <c:pt idx="574">
                  <c:v>22.959999999999688</c:v>
                </c:pt>
                <c:pt idx="575">
                  <c:v>22.999999999999687</c:v>
                </c:pt>
                <c:pt idx="576">
                  <c:v>23.039999999999687</c:v>
                </c:pt>
                <c:pt idx="577">
                  <c:v>23.079999999999686</c:v>
                </c:pt>
                <c:pt idx="578">
                  <c:v>23.119999999999685</c:v>
                </c:pt>
                <c:pt idx="579">
                  <c:v>23.159999999999684</c:v>
                </c:pt>
                <c:pt idx="580">
                  <c:v>23.199999999999683</c:v>
                </c:pt>
                <c:pt idx="581">
                  <c:v>23.239999999999682</c:v>
                </c:pt>
                <c:pt idx="582">
                  <c:v>23.279999999999681</c:v>
                </c:pt>
                <c:pt idx="583">
                  <c:v>23.319999999999681</c:v>
                </c:pt>
                <c:pt idx="584">
                  <c:v>23.35999999999968</c:v>
                </c:pt>
                <c:pt idx="585">
                  <c:v>23.399999999999679</c:v>
                </c:pt>
                <c:pt idx="586">
                  <c:v>23.439999999999678</c:v>
                </c:pt>
                <c:pt idx="587">
                  <c:v>23.479999999999677</c:v>
                </c:pt>
                <c:pt idx="588">
                  <c:v>23.519999999999676</c:v>
                </c:pt>
                <c:pt idx="589">
                  <c:v>23.559999999999675</c:v>
                </c:pt>
                <c:pt idx="590">
                  <c:v>23.599999999999675</c:v>
                </c:pt>
                <c:pt idx="591">
                  <c:v>23.639999999999674</c:v>
                </c:pt>
                <c:pt idx="592">
                  <c:v>23.679999999999673</c:v>
                </c:pt>
                <c:pt idx="593">
                  <c:v>23.719999999999672</c:v>
                </c:pt>
                <c:pt idx="594">
                  <c:v>23.759999999999671</c:v>
                </c:pt>
                <c:pt idx="595">
                  <c:v>23.79999999999967</c:v>
                </c:pt>
                <c:pt idx="596">
                  <c:v>23.839999999999669</c:v>
                </c:pt>
                <c:pt idx="597">
                  <c:v>23.879999999999669</c:v>
                </c:pt>
                <c:pt idx="598">
                  <c:v>23.919999999999668</c:v>
                </c:pt>
                <c:pt idx="599">
                  <c:v>23.959999999999667</c:v>
                </c:pt>
                <c:pt idx="600">
                  <c:v>23.999999999999666</c:v>
                </c:pt>
                <c:pt idx="601">
                  <c:v>24.039999999999665</c:v>
                </c:pt>
                <c:pt idx="602">
                  <c:v>24.079999999999664</c:v>
                </c:pt>
                <c:pt idx="603">
                  <c:v>24.119999999999663</c:v>
                </c:pt>
                <c:pt idx="604">
                  <c:v>24.159999999999663</c:v>
                </c:pt>
                <c:pt idx="605">
                  <c:v>24.199999999999662</c:v>
                </c:pt>
                <c:pt idx="606">
                  <c:v>24.239999999999661</c:v>
                </c:pt>
                <c:pt idx="607">
                  <c:v>24.27999999999966</c:v>
                </c:pt>
                <c:pt idx="608">
                  <c:v>24.319999999999659</c:v>
                </c:pt>
                <c:pt idx="609">
                  <c:v>24.359999999999658</c:v>
                </c:pt>
                <c:pt idx="610">
                  <c:v>24.399999999999658</c:v>
                </c:pt>
                <c:pt idx="611">
                  <c:v>24.439999999999657</c:v>
                </c:pt>
                <c:pt idx="612">
                  <c:v>24.479999999999656</c:v>
                </c:pt>
                <c:pt idx="613">
                  <c:v>24.519999999999655</c:v>
                </c:pt>
                <c:pt idx="614">
                  <c:v>24.559999999999654</c:v>
                </c:pt>
                <c:pt idx="615">
                  <c:v>24.599999999999653</c:v>
                </c:pt>
                <c:pt idx="616">
                  <c:v>24.639999999999652</c:v>
                </c:pt>
                <c:pt idx="617">
                  <c:v>24.679999999999652</c:v>
                </c:pt>
                <c:pt idx="618">
                  <c:v>24.719999999999651</c:v>
                </c:pt>
                <c:pt idx="619">
                  <c:v>24.75999999999965</c:v>
                </c:pt>
                <c:pt idx="620">
                  <c:v>24.799999999999649</c:v>
                </c:pt>
                <c:pt idx="621">
                  <c:v>24.839999999999648</c:v>
                </c:pt>
                <c:pt idx="622">
                  <c:v>24.879999999999647</c:v>
                </c:pt>
                <c:pt idx="623">
                  <c:v>24.919999999999646</c:v>
                </c:pt>
                <c:pt idx="624">
                  <c:v>24.959999999999646</c:v>
                </c:pt>
                <c:pt idx="625">
                  <c:v>24.999999999999645</c:v>
                </c:pt>
                <c:pt idx="626">
                  <c:v>25.039999999999644</c:v>
                </c:pt>
                <c:pt idx="627">
                  <c:v>25.079999999999643</c:v>
                </c:pt>
                <c:pt idx="628">
                  <c:v>25.119999999999642</c:v>
                </c:pt>
                <c:pt idx="629">
                  <c:v>25.159999999999641</c:v>
                </c:pt>
                <c:pt idx="630">
                  <c:v>25.19999999999964</c:v>
                </c:pt>
                <c:pt idx="631">
                  <c:v>25.23999999999964</c:v>
                </c:pt>
                <c:pt idx="632">
                  <c:v>25.279999999999639</c:v>
                </c:pt>
                <c:pt idx="633">
                  <c:v>25.319999999999638</c:v>
                </c:pt>
                <c:pt idx="634">
                  <c:v>25.359999999999637</c:v>
                </c:pt>
                <c:pt idx="635">
                  <c:v>25.399999999999636</c:v>
                </c:pt>
                <c:pt idx="636">
                  <c:v>25.439999999999635</c:v>
                </c:pt>
                <c:pt idx="637">
                  <c:v>25.479999999999634</c:v>
                </c:pt>
                <c:pt idx="638">
                  <c:v>25.519999999999634</c:v>
                </c:pt>
                <c:pt idx="639">
                  <c:v>25.559999999999633</c:v>
                </c:pt>
                <c:pt idx="640">
                  <c:v>25.599999999999632</c:v>
                </c:pt>
                <c:pt idx="641">
                  <c:v>25.639999999999631</c:v>
                </c:pt>
                <c:pt idx="642">
                  <c:v>25.67999999999963</c:v>
                </c:pt>
                <c:pt idx="643">
                  <c:v>25.719999999999629</c:v>
                </c:pt>
                <c:pt idx="644">
                  <c:v>25.759999999999629</c:v>
                </c:pt>
                <c:pt idx="645">
                  <c:v>25.799999999999628</c:v>
                </c:pt>
                <c:pt idx="646">
                  <c:v>25.839999999999627</c:v>
                </c:pt>
                <c:pt idx="647">
                  <c:v>25.879999999999626</c:v>
                </c:pt>
                <c:pt idx="648">
                  <c:v>25.919999999999625</c:v>
                </c:pt>
                <c:pt idx="649">
                  <c:v>25.959999999999624</c:v>
                </c:pt>
                <c:pt idx="650">
                  <c:v>25.999999999999623</c:v>
                </c:pt>
                <c:pt idx="651">
                  <c:v>26.039999999999623</c:v>
                </c:pt>
                <c:pt idx="652">
                  <c:v>26.079999999999622</c:v>
                </c:pt>
                <c:pt idx="653">
                  <c:v>26.119999999999621</c:v>
                </c:pt>
                <c:pt idx="654">
                  <c:v>26.15999999999962</c:v>
                </c:pt>
                <c:pt idx="655">
                  <c:v>26.199999999999619</c:v>
                </c:pt>
                <c:pt idx="656">
                  <c:v>26.239999999999618</c:v>
                </c:pt>
                <c:pt idx="657">
                  <c:v>26.279999999999617</c:v>
                </c:pt>
                <c:pt idx="658">
                  <c:v>26.319999999999617</c:v>
                </c:pt>
                <c:pt idx="659">
                  <c:v>26.359999999999616</c:v>
                </c:pt>
                <c:pt idx="660">
                  <c:v>26.399999999999615</c:v>
                </c:pt>
                <c:pt idx="661">
                  <c:v>26.439999999999614</c:v>
                </c:pt>
                <c:pt idx="662">
                  <c:v>26.479999999999613</c:v>
                </c:pt>
                <c:pt idx="663">
                  <c:v>26.519999999999612</c:v>
                </c:pt>
                <c:pt idx="664">
                  <c:v>26.559999999999611</c:v>
                </c:pt>
                <c:pt idx="665">
                  <c:v>26.599999999999611</c:v>
                </c:pt>
                <c:pt idx="666">
                  <c:v>26.63999999999961</c:v>
                </c:pt>
                <c:pt idx="667">
                  <c:v>26.679999999999609</c:v>
                </c:pt>
                <c:pt idx="668">
                  <c:v>26.719999999999608</c:v>
                </c:pt>
                <c:pt idx="669">
                  <c:v>26.759999999999607</c:v>
                </c:pt>
                <c:pt idx="670">
                  <c:v>26.799999999999606</c:v>
                </c:pt>
                <c:pt idx="671">
                  <c:v>26.839999999999606</c:v>
                </c:pt>
                <c:pt idx="672">
                  <c:v>26.879999999999605</c:v>
                </c:pt>
                <c:pt idx="673">
                  <c:v>26.919999999999604</c:v>
                </c:pt>
                <c:pt idx="674">
                  <c:v>26.959999999999603</c:v>
                </c:pt>
                <c:pt idx="675">
                  <c:v>26.999999999999602</c:v>
                </c:pt>
                <c:pt idx="676">
                  <c:v>27.039999999999601</c:v>
                </c:pt>
                <c:pt idx="677">
                  <c:v>27.0799999999996</c:v>
                </c:pt>
                <c:pt idx="678">
                  <c:v>27.1199999999996</c:v>
                </c:pt>
                <c:pt idx="679">
                  <c:v>27.159999999999599</c:v>
                </c:pt>
                <c:pt idx="680">
                  <c:v>27.199999999999598</c:v>
                </c:pt>
                <c:pt idx="681">
                  <c:v>27.239999999999597</c:v>
                </c:pt>
                <c:pt idx="682">
                  <c:v>27.279999999999596</c:v>
                </c:pt>
                <c:pt idx="683">
                  <c:v>27.319999999999595</c:v>
                </c:pt>
                <c:pt idx="684">
                  <c:v>27.359999999999594</c:v>
                </c:pt>
                <c:pt idx="685">
                  <c:v>27.399999999999594</c:v>
                </c:pt>
                <c:pt idx="686">
                  <c:v>27.439999999999593</c:v>
                </c:pt>
                <c:pt idx="687">
                  <c:v>27.479999999999592</c:v>
                </c:pt>
                <c:pt idx="688">
                  <c:v>27.519999999999591</c:v>
                </c:pt>
                <c:pt idx="689">
                  <c:v>27.55999999999959</c:v>
                </c:pt>
                <c:pt idx="690">
                  <c:v>27.599999999999589</c:v>
                </c:pt>
                <c:pt idx="691">
                  <c:v>27.639999999999588</c:v>
                </c:pt>
                <c:pt idx="692">
                  <c:v>27.679999999999588</c:v>
                </c:pt>
                <c:pt idx="693">
                  <c:v>27.719999999999587</c:v>
                </c:pt>
                <c:pt idx="694">
                  <c:v>27.759999999999586</c:v>
                </c:pt>
                <c:pt idx="695">
                  <c:v>27.799999999999585</c:v>
                </c:pt>
                <c:pt idx="696">
                  <c:v>27.839999999999584</c:v>
                </c:pt>
                <c:pt idx="697">
                  <c:v>27.879999999999583</c:v>
                </c:pt>
                <c:pt idx="698">
                  <c:v>27.919999999999582</c:v>
                </c:pt>
                <c:pt idx="699">
                  <c:v>27.959999999999582</c:v>
                </c:pt>
                <c:pt idx="700">
                  <c:v>27.999999999999581</c:v>
                </c:pt>
                <c:pt idx="701">
                  <c:v>28.03999999999958</c:v>
                </c:pt>
                <c:pt idx="702">
                  <c:v>28.079999999999579</c:v>
                </c:pt>
                <c:pt idx="703">
                  <c:v>28.119999999999578</c:v>
                </c:pt>
                <c:pt idx="704">
                  <c:v>28.159999999999577</c:v>
                </c:pt>
                <c:pt idx="705">
                  <c:v>28.199999999999577</c:v>
                </c:pt>
                <c:pt idx="706">
                  <c:v>28.239999999999576</c:v>
                </c:pt>
                <c:pt idx="707">
                  <c:v>28.279999999999575</c:v>
                </c:pt>
                <c:pt idx="708">
                  <c:v>28.319999999999574</c:v>
                </c:pt>
                <c:pt idx="709">
                  <c:v>28.359999999999573</c:v>
                </c:pt>
                <c:pt idx="710">
                  <c:v>28.399999999999572</c:v>
                </c:pt>
                <c:pt idx="711">
                  <c:v>28.439999999999571</c:v>
                </c:pt>
                <c:pt idx="712">
                  <c:v>28.479999999999571</c:v>
                </c:pt>
                <c:pt idx="713">
                  <c:v>28.51999999999957</c:v>
                </c:pt>
                <c:pt idx="714">
                  <c:v>28.559999999999569</c:v>
                </c:pt>
                <c:pt idx="715">
                  <c:v>28.599999999999568</c:v>
                </c:pt>
              </c:numCache>
            </c:numRef>
          </c:cat>
          <c:val>
            <c:numRef>
              <c:f>Calculations!$B$34:$AAO$34</c:f>
              <c:numCache>
                <c:formatCode>General</c:formatCode>
                <c:ptCount val="716"/>
                <c:pt idx="0">
                  <c:v>68.410862120199823</c:v>
                </c:pt>
                <c:pt idx="1">
                  <c:v>68.410862120199823</c:v>
                </c:pt>
                <c:pt idx="2">
                  <c:v>68.410862120199823</c:v>
                </c:pt>
                <c:pt idx="3">
                  <c:v>68.410862120199823</c:v>
                </c:pt>
                <c:pt idx="4">
                  <c:v>68.410862120199823</c:v>
                </c:pt>
                <c:pt idx="5">
                  <c:v>68.410862120199823</c:v>
                </c:pt>
                <c:pt idx="6">
                  <c:v>68.410862120199823</c:v>
                </c:pt>
                <c:pt idx="7">
                  <c:v>68.410862120199823</c:v>
                </c:pt>
                <c:pt idx="8">
                  <c:v>68.410862120199823</c:v>
                </c:pt>
                <c:pt idx="9">
                  <c:v>68.410862120199823</c:v>
                </c:pt>
                <c:pt idx="10">
                  <c:v>68.410862120419893</c:v>
                </c:pt>
                <c:pt idx="11">
                  <c:v>68.410862122243685</c:v>
                </c:pt>
                <c:pt idx="12">
                  <c:v>68.410862130540025</c:v>
                </c:pt>
                <c:pt idx="13">
                  <c:v>68.410862157961958</c:v>
                </c:pt>
                <c:pt idx="14">
                  <c:v>68.41086223159769</c:v>
                </c:pt>
                <c:pt idx="15">
                  <c:v>68.410862402038845</c:v>
                </c:pt>
                <c:pt idx="16">
                  <c:v>68.410862754623068</c:v>
                </c:pt>
                <c:pt idx="17">
                  <c:v>68.410863422359355</c:v>
                </c:pt>
                <c:pt idx="18">
                  <c:v>68.410864599885159</c:v>
                </c:pt>
                <c:pt idx="19">
                  <c:v>68.41086655773681</c:v>
                </c:pt>
                <c:pt idx="20">
                  <c:v>68.410869656228016</c:v>
                </c:pt>
                <c:pt idx="21">
                  <c:v>68.410874358304312</c:v>
                </c:pt>
                <c:pt idx="22">
                  <c:v>68.410881240853143</c:v>
                </c:pt>
                <c:pt idx="23">
                  <c:v>68.410891004079318</c:v>
                </c:pt>
                <c:pt idx="24">
                  <c:v>68.410904478689432</c:v>
                </c:pt>
                <c:pt idx="25">
                  <c:v>68.410922630753817</c:v>
                </c:pt>
                <c:pt idx="26">
                  <c:v>68.410946564224517</c:v>
                </c:pt>
                <c:pt idx="27">
                  <c:v>68.410977521178964</c:v>
                </c:pt>
                <c:pt idx="28">
                  <c:v>68.411016879929377</c:v>
                </c:pt>
                <c:pt idx="29">
                  <c:v>68.411066151189488</c:v>
                </c:pt>
                <c:pt idx="30">
                  <c:v>68.411126972523817</c:v>
                </c:pt>
                <c:pt idx="31">
                  <c:v>68.411201101323272</c:v>
                </c:pt>
                <c:pt idx="32">
                  <c:v>68.411290406557157</c:v>
                </c:pt>
                <c:pt idx="33">
                  <c:v>68.411396859547722</c:v>
                </c:pt>
                <c:pt idx="34">
                  <c:v>68.411522524002734</c:v>
                </c:pt>
                <c:pt idx="35">
                  <c:v>68.411669545525143</c:v>
                </c:pt>
                <c:pt idx="36">
                  <c:v>68.411840140799427</c:v>
                </c:pt>
                <c:pt idx="37">
                  <c:v>68.412036586632652</c:v>
                </c:pt>
                <c:pt idx="38">
                  <c:v>68.412261209006289</c:v>
                </c:pt>
                <c:pt idx="39">
                  <c:v>68.412516372272492</c:v>
                </c:pt>
                <c:pt idx="40">
                  <c:v>68.412804468607689</c:v>
                </c:pt>
                <c:pt idx="41">
                  <c:v>68.413127907816047</c:v>
                </c:pt>
                <c:pt idx="42">
                  <c:v>68.413489107557325</c:v>
                </c:pt>
                <c:pt idx="43">
                  <c:v>68.413890484056793</c:v>
                </c:pt>
                <c:pt idx="44">
                  <c:v>68.414334443340067</c:v>
                </c:pt>
                <c:pt idx="45">
                  <c:v>68.414823373022685</c:v>
                </c:pt>
                <c:pt idx="46">
                  <c:v>68.415359634672939</c:v>
                </c:pt>
                <c:pt idx="47">
                  <c:v>68.415945556756597</c:v>
                </c:pt>
                <c:pt idx="48">
                  <c:v>68.416583428164159</c:v>
                </c:pt>
                <c:pt idx="49">
                  <c:v>68.417275492314246</c:v>
                </c:pt>
                <c:pt idx="50">
                  <c:v>68.418023941821261</c:v>
                </c:pt>
                <c:pt idx="51">
                  <c:v>68.418830913710991</c:v>
                </c:pt>
                <c:pt idx="52">
                  <c:v>68.41969848516402</c:v>
                </c:pt>
                <c:pt idx="53">
                  <c:v>68.420628669764596</c:v>
                </c:pt>
                <c:pt idx="54">
                  <c:v>68.42162341423024</c:v>
                </c:pt>
                <c:pt idx="55">
                  <c:v>68.422684595596266</c:v>
                </c:pt>
                <c:pt idx="56">
                  <c:v>68.423814018828566</c:v>
                </c:pt>
                <c:pt idx="57">
                  <c:v>68.425013414837608</c:v>
                </c:pt>
                <c:pt idx="58">
                  <c:v>68.42628443886673</c:v>
                </c:pt>
                <c:pt idx="59">
                  <c:v>68.427628669227943</c:v>
                </c:pt>
                <c:pt idx="60">
                  <c:v>68.429047606359205</c:v>
                </c:pt>
                <c:pt idx="61">
                  <c:v>68.43054267217785</c:v>
                </c:pt>
                <c:pt idx="62">
                  <c:v>68.432115209705515</c:v>
                </c:pt>
                <c:pt idx="63">
                  <c:v>68.433766482941337</c:v>
                </c:pt>
                <c:pt idx="64">
                  <c:v>68.435497676960949</c:v>
                </c:pt>
                <c:pt idx="65">
                  <c:v>68.437309898219951</c:v>
                </c:pt>
                <c:pt idx="66">
                  <c:v>68.439204175042008</c:v>
                </c:pt>
                <c:pt idx="67">
                  <c:v>68.441181458272453</c:v>
                </c:pt>
                <c:pt idx="68">
                  <c:v>68.443242622079893</c:v>
                </c:pt>
                <c:pt idx="69">
                  <c:v>68.445388464889106</c:v>
                </c:pt>
                <c:pt idx="70">
                  <c:v>68.447619710429919</c:v>
                </c:pt>
                <c:pt idx="71">
                  <c:v>68.449937008887602</c:v>
                </c:pt>
                <c:pt idx="72">
                  <c:v>68.452340938141774</c:v>
                </c:pt>
                <c:pt idx="73">
                  <c:v>68.454832005081187</c:v>
                </c:pt>
                <c:pt idx="74">
                  <c:v>68.457410646983533</c:v>
                </c:pt>
                <c:pt idx="75">
                  <c:v>68.460077232949516</c:v>
                </c:pt>
                <c:pt idx="76">
                  <c:v>68.462832065382059</c:v>
                </c:pt>
                <c:pt idx="77">
                  <c:v>68.465675381501626</c:v>
                </c:pt>
                <c:pt idx="78">
                  <c:v>68.468607354890096</c:v>
                </c:pt>
                <c:pt idx="79">
                  <c:v>68.471628097055799</c:v>
                </c:pt>
                <c:pt idx="80">
                  <c:v>68.474737659013215</c:v>
                </c:pt>
                <c:pt idx="81">
                  <c:v>68.477936032871654</c:v>
                </c:pt>
                <c:pt idx="82">
                  <c:v>68.481223153427436</c:v>
                </c:pt>
                <c:pt idx="83">
                  <c:v>68.484598899754985</c:v>
                </c:pt>
                <c:pt idx="84">
                  <c:v>68.488063096792459</c:v>
                </c:pt>
                <c:pt idx="85">
                  <c:v>68.491615516918316</c:v>
                </c:pt>
                <c:pt idx="86">
                  <c:v>68.495255881515391</c:v>
                </c:pt>
                <c:pt idx="87">
                  <c:v>68.498983862519509</c:v>
                </c:pt>
                <c:pt idx="88">
                  <c:v>68.502799083950151</c:v>
                </c:pt>
                <c:pt idx="89">
                  <c:v>68.506701123420882</c:v>
                </c:pt>
                <c:pt idx="90">
                  <c:v>68.510689513627568</c:v>
                </c:pt>
                <c:pt idx="91">
                  <c:v>68.514763743812821</c:v>
                </c:pt>
                <c:pt idx="92">
                  <c:v>68.518923261205174</c:v>
                </c:pt>
                <c:pt idx="93">
                  <c:v>68.523167472431794</c:v>
                </c:pt>
                <c:pt idx="94">
                  <c:v>68.527495744903902</c:v>
                </c:pt>
                <c:pt idx="95">
                  <c:v>68.531907408173964</c:v>
                </c:pt>
                <c:pt idx="96">
                  <c:v>68.536401755264151</c:v>
                </c:pt>
                <c:pt idx="97">
                  <c:v>68.540978043965538</c:v>
                </c:pt>
                <c:pt idx="98">
                  <c:v>68.545635498107856</c:v>
                </c:pt>
                <c:pt idx="99">
                  <c:v>68.550373308799394</c:v>
                </c:pt>
                <c:pt idx="100">
                  <c:v>68.55519063563726</c:v>
                </c:pt>
                <c:pt idx="101">
                  <c:v>68.560086607887712</c:v>
                </c:pt>
                <c:pt idx="102">
                  <c:v>68.565060325636935</c:v>
                </c:pt>
                <c:pt idx="103">
                  <c:v>68.57011086091228</c:v>
                </c:pt>
                <c:pt idx="104">
                  <c:v>68.575237258774294</c:v>
                </c:pt>
                <c:pt idx="105">
                  <c:v>68.580438538379894</c:v>
                </c:pt>
                <c:pt idx="106">
                  <c:v>68.585713694016874</c:v>
                </c:pt>
                <c:pt idx="107">
                  <c:v>68.59106169611043</c:v>
                </c:pt>
                <c:pt idx="108">
                  <c:v>68.596481492201917</c:v>
                </c:pt>
                <c:pt idx="109">
                  <c:v>68.6019720079005</c:v>
                </c:pt>
                <c:pt idx="110">
                  <c:v>68.607532147808001</c:v>
                </c:pt>
                <c:pt idx="111">
                  <c:v>68.613160796417759</c:v>
                </c:pt>
                <c:pt idx="112">
                  <c:v>68.618856818987794</c:v>
                </c:pt>
                <c:pt idx="113">
                  <c:v>68.624619062389044</c:v>
                </c:pt>
                <c:pt idx="114">
                  <c:v>68.630446355929095</c:v>
                </c:pt>
                <c:pt idx="115">
                  <c:v>68.636337512152096</c:v>
                </c:pt>
                <c:pt idx="116">
                  <c:v>68.642291327615453</c:v>
                </c:pt>
                <c:pt idx="117">
                  <c:v>68.648306583643816</c:v>
                </c:pt>
                <c:pt idx="118">
                  <c:v>68.654382047061077</c:v>
                </c:pt>
                <c:pt idx="119">
                  <c:v>68.660516470900873</c:v>
                </c:pt>
                <c:pt idx="120">
                  <c:v>68.666708595096225</c:v>
                </c:pt>
                <c:pt idx="121">
                  <c:v>68.672957147148921</c:v>
                </c:pt>
                <c:pt idx="122">
                  <c:v>68.679260842779186</c:v>
                </c:pt>
                <c:pt idx="123">
                  <c:v>68.685618386556314</c:v>
                </c:pt>
                <c:pt idx="124">
                  <c:v>68.692028472510643</c:v>
                </c:pt>
                <c:pt idx="125">
                  <c:v>68.698489784727641</c:v>
                </c:pt>
                <c:pt idx="126">
                  <c:v>68.705000997924515</c:v>
                </c:pt>
                <c:pt idx="127">
                  <c:v>68.71156077800994</c:v>
                </c:pt>
                <c:pt idx="128">
                  <c:v>68.718167782627404</c:v>
                </c:pt>
                <c:pt idx="129">
                  <c:v>68.724820661682713</c:v>
                </c:pt>
                <c:pt idx="130">
                  <c:v>68.731518057856192</c:v>
                </c:pt>
                <c:pt idx="131">
                  <c:v>68.738258607099979</c:v>
                </c:pt>
                <c:pt idx="132">
                  <c:v>68.745040939120997</c:v>
                </c:pt>
                <c:pt idx="133">
                  <c:v>68.751863677850011</c:v>
                </c:pt>
                <c:pt idx="134">
                  <c:v>68.758725441897241</c:v>
                </c:pt>
                <c:pt idx="135">
                  <c:v>68.765624844995017</c:v>
                </c:pt>
                <c:pt idx="136">
                  <c:v>68.772560496427801</c:v>
                </c:pt>
                <c:pt idx="137">
                  <c:v>68.779531001450167</c:v>
                </c:pt>
                <c:pt idx="138">
                  <c:v>68.786534961693008</c:v>
                </c:pt>
                <c:pt idx="139">
                  <c:v>68.793570975558353</c:v>
                </c:pt>
                <c:pt idx="140">
                  <c:v>68.800637638603305</c:v>
                </c:pt>
                <c:pt idx="141">
                  <c:v>68.807733543913415</c:v>
                </c:pt>
                <c:pt idx="142">
                  <c:v>68.814857282465752</c:v>
                </c:pt>
                <c:pt idx="143">
                  <c:v>68.822007443482192</c:v>
                </c:pt>
                <c:pt idx="144">
                  <c:v>68.829182614773146</c:v>
                </c:pt>
                <c:pt idx="145">
                  <c:v>68.836381383072094</c:v>
                </c:pt>
                <c:pt idx="146">
                  <c:v>68.843602334361179</c:v>
                </c:pt>
                <c:pt idx="147">
                  <c:v>68.850844054188357</c:v>
                </c:pt>
                <c:pt idx="148">
                  <c:v>68.858105127976089</c:v>
                </c:pt>
                <c:pt idx="149">
                  <c:v>68.865384141322195</c:v>
                </c:pt>
                <c:pt idx="150">
                  <c:v>68.872679680292904</c:v>
                </c:pt>
                <c:pt idx="151">
                  <c:v>68.879990331708456</c:v>
                </c:pt>
                <c:pt idx="152">
                  <c:v>68.887314683421479</c:v>
                </c:pt>
                <c:pt idx="153">
                  <c:v>68.894651324588509</c:v>
                </c:pt>
                <c:pt idx="154">
                  <c:v>68.901998845934699</c:v>
                </c:pt>
                <c:pt idx="155">
                  <c:v>68.909355840012111</c:v>
                </c:pt>
                <c:pt idx="156">
                  <c:v>68.916720901451711</c:v>
                </c:pt>
                <c:pt idx="157">
                  <c:v>68.924092627209347</c:v>
                </c:pt>
                <c:pt idx="158">
                  <c:v>68.931469616805828</c:v>
                </c:pt>
                <c:pt idx="159">
                  <c:v>68.938850472561455</c:v>
                </c:pt>
                <c:pt idx="160">
                  <c:v>68.946233799825023</c:v>
                </c:pt>
                <c:pt idx="161">
                  <c:v>68.953618207197621</c:v>
                </c:pt>
                <c:pt idx="162">
                  <c:v>68.961002306751254</c:v>
                </c:pt>
                <c:pt idx="163">
                  <c:v>68.968384714242646</c:v>
                </c:pt>
                <c:pt idx="164">
                  <c:v>68.975764049322223</c:v>
                </c:pt>
                <c:pt idx="165">
                  <c:v>68.983138935738509</c:v>
                </c:pt>
                <c:pt idx="166">
                  <c:v>68.990508001538089</c:v>
                </c:pt>
                <c:pt idx="167">
                  <c:v>68.997869879261259</c:v>
                </c:pt>
                <c:pt idx="168">
                  <c:v>69.005223206133536</c:v>
                </c:pt>
                <c:pt idx="169">
                  <c:v>69.012566624253068</c:v>
                </c:pt>
                <c:pt idx="170">
                  <c:v>69.019898780774255</c:v>
                </c:pt>
                <c:pt idx="171">
                  <c:v>69.027218328087514</c:v>
                </c:pt>
                <c:pt idx="172">
                  <c:v>69.034523923995408</c:v>
                </c:pt>
                <c:pt idx="173">
                  <c:v>69.04181423188524</c:v>
                </c:pt>
                <c:pt idx="174">
                  <c:v>69.049087920898216</c:v>
                </c:pt>
                <c:pt idx="175">
                  <c:v>69.056343666095273</c:v>
                </c:pt>
                <c:pt idx="176">
                  <c:v>69.063580148619664</c:v>
                </c:pt>
                <c:pt idx="177">
                  <c:v>69.07079605585642</c:v>
                </c:pt>
                <c:pt idx="178">
                  <c:v>69.077990081588837</c:v>
                </c:pt>
                <c:pt idx="179">
                  <c:v>69.085160926151914</c:v>
                </c:pt>
                <c:pt idx="180">
                  <c:v>69.092307296582945</c:v>
                </c:pt>
                <c:pt idx="181">
                  <c:v>69.099427906769421</c:v>
                </c:pt>
                <c:pt idx="182">
                  <c:v>69.1065214775941</c:v>
                </c:pt>
                <c:pt idx="183">
                  <c:v>69.113586737077526</c:v>
                </c:pt>
                <c:pt idx="184">
                  <c:v>69.120622420517975</c:v>
                </c:pt>
                <c:pt idx="185">
                  <c:v>69.127627270628878</c:v>
                </c:pt>
                <c:pt idx="186">
                  <c:v>69.134600037673863</c:v>
                </c:pt>
                <c:pt idx="187">
                  <c:v>69.141539479599388</c:v>
                </c:pt>
                <c:pt idx="188">
                  <c:v>69.148444362165122</c:v>
                </c:pt>
                <c:pt idx="189">
                  <c:v>69.155313459072019</c:v>
                </c:pt>
                <c:pt idx="190">
                  <c:v>69.162145552088262</c:v>
                </c:pt>
                <c:pt idx="191">
                  <c:v>69.168939431173015</c:v>
                </c:pt>
                <c:pt idx="192">
                  <c:v>69.175693894598098</c:v>
                </c:pt>
                <c:pt idx="193">
                  <c:v>69.18240774906765</c:v>
                </c:pt>
                <c:pt idx="194">
                  <c:v>69.189079809835761</c:v>
                </c:pt>
                <c:pt idx="195">
                  <c:v>69.19570890082214</c:v>
                </c:pt>
                <c:pt idx="196">
                  <c:v>69.202293854725937</c:v>
                </c:pt>
                <c:pt idx="197">
                  <c:v>69.208833513137591</c:v>
                </c:pt>
                <c:pt idx="198">
                  <c:v>69.215326726648925</c:v>
                </c:pt>
                <c:pt idx="199">
                  <c:v>69.221772354961359</c:v>
                </c:pt>
                <c:pt idx="200">
                  <c:v>69.228169266992481</c:v>
                </c:pt>
                <c:pt idx="201">
                  <c:v>69.234516340980733</c:v>
                </c:pt>
                <c:pt idx="202">
                  <c:v>69.240812464588487</c:v>
                </c:pt>
                <c:pt idx="203">
                  <c:v>69.247056535003438</c:v>
                </c:pt>
                <c:pt idx="204">
                  <c:v>69.253247459038306</c:v>
                </c:pt>
                <c:pt idx="205">
                  <c:v>69.25938415322895</c:v>
                </c:pt>
                <c:pt idx="206">
                  <c:v>69.265465543930901</c:v>
                </c:pt>
                <c:pt idx="207">
                  <c:v>69.271490567414247</c:v>
                </c:pt>
                <c:pt idx="208">
                  <c:v>69.277458169957058</c:v>
                </c:pt>
                <c:pt idx="209">
                  <c:v>69.283367307937198</c:v>
                </c:pt>
                <c:pt idx="210">
                  <c:v>69.289216947922739</c:v>
                </c:pt>
                <c:pt idx="211">
                  <c:v>69.29500606676072</c:v>
                </c:pt>
                <c:pt idx="212">
                  <c:v>69.300733651664586</c:v>
                </c:pt>
                <c:pt idx="213">
                  <c:v>69.306398700300079</c:v>
                </c:pt>
                <c:pt idx="214">
                  <c:v>69.31200022086972</c:v>
                </c:pt>
                <c:pt idx="215">
                  <c:v>69.317537232195875</c:v>
                </c:pt>
                <c:pt idx="216">
                  <c:v>69.323008763802392</c:v>
                </c:pt>
                <c:pt idx="217">
                  <c:v>69.328413855994825</c:v>
                </c:pt>
                <c:pt idx="218">
                  <c:v>69.333751559939287</c:v>
                </c:pt>
                <c:pt idx="219">
                  <c:v>69.33902093773996</c:v>
                </c:pt>
                <c:pt idx="220">
                  <c:v>69.34422106251516</c:v>
                </c:pt>
                <c:pt idx="221">
                  <c:v>69.349351018472149</c:v>
                </c:pt>
                <c:pt idx="222">
                  <c:v>69.354409900980542</c:v>
                </c:pt>
                <c:pt idx="223">
                  <c:v>69.359396816644349</c:v>
                </c:pt>
                <c:pt idx="224">
                  <c:v>69.364310883372752</c:v>
                </c:pt>
                <c:pt idx="225">
                  <c:v>69.369151230449575</c:v>
                </c:pt>
                <c:pt idx="226">
                  <c:v>69.373916998601345</c:v>
                </c:pt>
                <c:pt idx="227">
                  <c:v>69.378607340064164</c:v>
                </c:pt>
                <c:pt idx="228">
                  <c:v>69.383221418649185</c:v>
                </c:pt>
                <c:pt idx="229">
                  <c:v>69.387758409806864</c:v>
                </c:pt>
                <c:pt idx="230">
                  <c:v>69.392217500689867</c:v>
                </c:pt>
                <c:pt idx="231">
                  <c:v>69.396597890214721</c:v>
                </c:pt>
                <c:pt idx="232">
                  <c:v>69.400898789122223</c:v>
                </c:pt>
                <c:pt idx="233">
                  <c:v>69.405119420036513</c:v>
                </c:pt>
                <c:pt idx="234">
                  <c:v>69.409259017522857</c:v>
                </c:pt>
                <c:pt idx="235">
                  <c:v>69.413316828144247</c:v>
                </c:pt>
                <c:pt idx="236">
                  <c:v>69.417292110516684</c:v>
                </c:pt>
                <c:pt idx="237">
                  <c:v>69.421184135363191</c:v>
                </c:pt>
                <c:pt idx="238">
                  <c:v>69.424992185566566</c:v>
                </c:pt>
                <c:pt idx="239">
                  <c:v>69.428715556220894</c:v>
                </c:pt>
                <c:pt idx="240">
                  <c:v>69.432353554681782</c:v>
                </c:pt>
                <c:pt idx="241">
                  <c:v>69.435905500615362</c:v>
                </c:pt>
                <c:pt idx="242">
                  <c:v>69.439370726046022</c:v>
                </c:pt>
                <c:pt idx="243">
                  <c:v>69.442748575402874</c:v>
                </c:pt>
                <c:pt idx="244">
                  <c:v>69.446038405565005</c:v>
                </c:pt>
                <c:pt idx="245">
                  <c:v>69.449239585905417</c:v>
                </c:pt>
                <c:pt idx="246">
                  <c:v>69.452351498333769</c:v>
                </c:pt>
                <c:pt idx="247">
                  <c:v>69.455373537337849</c:v>
                </c:pt>
                <c:pt idx="248">
                  <c:v>69.458305110023801</c:v>
                </c:pt>
                <c:pt idx="249">
                  <c:v>69.461145636155081</c:v>
                </c:pt>
                <c:pt idx="250">
                  <c:v>69.463894548190154</c:v>
                </c:pt>
                <c:pt idx="251">
                  <c:v>69.466551291319021</c:v>
                </c:pt>
                <c:pt idx="252">
                  <c:v>69.469115323498357</c:v>
                </c:pt>
                <c:pt idx="253">
                  <c:v>69.471586115485536</c:v>
                </c:pt>
                <c:pt idx="254">
                  <c:v>69.473963150871299</c:v>
                </c:pt>
                <c:pt idx="255">
                  <c:v>69.476245926111247</c:v>
                </c:pt>
                <c:pt idx="256">
                  <c:v>69.478433950555981</c:v>
                </c:pt>
                <c:pt idx="257">
                  <c:v>69.480526746480123</c:v>
                </c:pt>
                <c:pt idx="258">
                  <c:v>69.482523849109938</c:v>
                </c:pt>
                <c:pt idx="259">
                  <c:v>69.484424806649827</c:v>
                </c:pt>
                <c:pt idx="260">
                  <c:v>69.486229180307475</c:v>
                </c:pt>
                <c:pt idx="261">
                  <c:v>69.487936544317762</c:v>
                </c:pt>
                <c:pt idx="262">
                  <c:v>69.489546485965434</c:v>
                </c:pt>
                <c:pt idx="263">
                  <c:v>69.491058605606526</c:v>
                </c:pt>
                <c:pt idx="264">
                  <c:v>69.492472516688466</c:v>
                </c:pt>
                <c:pt idx="265">
                  <c:v>69.493787845768978</c:v>
                </c:pt>
                <c:pt idx="266">
                  <c:v>69.495004232533702</c:v>
                </c:pt>
                <c:pt idx="267">
                  <c:v>69.496121329812524</c:v>
                </c:pt>
                <c:pt idx="268">
                  <c:v>69.49713880359468</c:v>
                </c:pt>
                <c:pt idx="269">
                  <c:v>69.49805633304257</c:v>
                </c:pt>
                <c:pt idx="270">
                  <c:v>69.498873610504361</c:v>
                </c:pt>
                <c:pt idx="271">
                  <c:v>69.499590341525206</c:v>
                </c:pt>
                <c:pt idx="272">
                  <c:v>69.500206244857338</c:v>
                </c:pt>
                <c:pt idx="273">
                  <c:v>69.500721052468776</c:v>
                </c:pt>
                <c:pt idx="274">
                  <c:v>69.501134509550837</c:v>
                </c:pt>
                <c:pt idx="275">
                  <c:v>69.501446374524363</c:v>
                </c:pt>
                <c:pt idx="276">
                  <c:v>69.501656419044664</c:v>
                </c:pt>
                <c:pt idx="277">
                  <c:v>69.501764428005174</c:v>
                </c:pt>
                <c:pt idx="278">
                  <c:v>69.501770199539891</c:v>
                </c:pt>
                <c:pt idx="279">
                  <c:v>69.501673545024488</c:v>
                </c:pt>
                <c:pt idx="280">
                  <c:v>69.501474289076228</c:v>
                </c:pt>
                <c:pt idx="281">
                  <c:v>69.501172269552512</c:v>
                </c:pt>
                <c:pt idx="282">
                  <c:v>69.500767337548197</c:v>
                </c:pt>
                <c:pt idx="283">
                  <c:v>69.500259357391684</c:v>
                </c:pt>
                <c:pt idx="284">
                  <c:v>69.499648206639677</c:v>
                </c:pt>
                <c:pt idx="285">
                  <c:v>69.498933776070714</c:v>
                </c:pt>
                <c:pt idx="286">
                  <c:v>69.498115969677357</c:v>
                </c:pt>
                <c:pt idx="287">
                  <c:v>69.497194704657204</c:v>
                </c:pt>
                <c:pt idx="288">
                  <c:v>69.496169911402575</c:v>
                </c:pt>
                <c:pt idx="289">
                  <c:v>69.49504153348893</c:v>
                </c:pt>
                <c:pt idx="290">
                  <c:v>69.493809527662037</c:v>
                </c:pt>
                <c:pt idx="291">
                  <c:v>69.492473863823832</c:v>
                </c:pt>
                <c:pt idx="292">
                  <c:v>69.491034525017071</c:v>
                </c:pt>
                <c:pt idx="293">
                  <c:v>69.489491507408658</c:v>
                </c:pt>
                <c:pt idx="294">
                  <c:v>69.487844820271775</c:v>
                </c:pt>
                <c:pt idx="295">
                  <c:v>69.486094485966632</c:v>
                </c:pt>
                <c:pt idx="296">
                  <c:v>69.484240539920108</c:v>
                </c:pt>
                <c:pt idx="297">
                  <c:v>69.48228303060398</c:v>
                </c:pt>
                <c:pt idx="298">
                  <c:v>69.480222019511984</c:v>
                </c:pt>
                <c:pt idx="299">
                  <c:v>69.478057581135602</c:v>
                </c:pt>
                <c:pt idx="300">
                  <c:v>69.47578980293855</c:v>
                </c:pt>
                <c:pt idx="301">
                  <c:v>69.473418785330068</c:v>
                </c:pt>
                <c:pt idx="302">
                  <c:v>69.470944641636919</c:v>
                </c:pt>
                <c:pt idx="303">
                  <c:v>69.46836749807413</c:v>
                </c:pt>
                <c:pt idx="304">
                  <c:v>69.465687493714526</c:v>
                </c:pt>
                <c:pt idx="305">
                  <c:v>69.462904780456952</c:v>
                </c:pt>
                <c:pt idx="306">
                  <c:v>69.460019522993321</c:v>
                </c:pt>
                <c:pt idx="307">
                  <c:v>69.457031898774375</c:v>
                </c:pt>
                <c:pt idx="308">
                  <c:v>69.453942097974206</c:v>
                </c:pt>
                <c:pt idx="309">
                  <c:v>69.450750323453548</c:v>
                </c:pt>
                <c:pt idx="310">
                  <c:v>69.447456790941914</c:v>
                </c:pt>
                <c:pt idx="311">
                  <c:v>69.444061729941936</c:v>
                </c:pt>
                <c:pt idx="312">
                  <c:v>69.44056538601059</c:v>
                </c:pt>
                <c:pt idx="313">
                  <c:v>69.436968025016526</c:v>
                </c:pt>
                <c:pt idx="314">
                  <c:v>69.433269939748229</c:v>
                </c:pt>
                <c:pt idx="315">
                  <c:v>69.429471458938252</c:v>
                </c:pt>
                <c:pt idx="316">
                  <c:v>69.425572958460421</c:v>
                </c:pt>
                <c:pt idx="317">
                  <c:v>69.421574874208787</c:v>
                </c:pt>
                <c:pt idx="318">
                  <c:v>69.417477716006999</c:v>
                </c:pt>
                <c:pt idx="319">
                  <c:v>69.413282081829806</c:v>
                </c:pt>
                <c:pt idx="320">
                  <c:v>69.408988671631448</c:v>
                </c:pt>
                <c:pt idx="321">
                  <c:v>69.404598300148876</c:v>
                </c:pt>
                <c:pt idx="322">
                  <c:v>69.400111908159303</c:v>
                </c:pt>
                <c:pt idx="323">
                  <c:v>69.395530571802027</c:v>
                </c:pt>
                <c:pt idx="324">
                  <c:v>69.390855509707976</c:v>
                </c:pt>
                <c:pt idx="325">
                  <c:v>69.386088087805632</c:v>
                </c:pt>
                <c:pt idx="326">
                  <c:v>69.381229821781872</c:v>
                </c:pt>
                <c:pt idx="327">
                  <c:v>69.376282377267216</c:v>
                </c:pt>
                <c:pt idx="328">
                  <c:v>69.37124756788576</c:v>
                </c:pt>
                <c:pt idx="329">
                  <c:v>69.366127351361172</c:v>
                </c:pt>
                <c:pt idx="330">
                  <c:v>69.360923823904201</c:v>
                </c:pt>
                <c:pt idx="331">
                  <c:v>69.355639213125301</c:v>
                </c:pt>
                <c:pt idx="332">
                  <c:v>69.350275869722509</c:v>
                </c:pt>
                <c:pt idx="333">
                  <c:v>69.344836258190782</c:v>
                </c:pt>
                <c:pt idx="334">
                  <c:v>69.339322946788172</c:v>
                </c:pt>
                <c:pt idx="335">
                  <c:v>69.333738596978051</c:v>
                </c:pt>
                <c:pt idx="336">
                  <c:v>69.328085952546829</c:v>
                </c:pt>
                <c:pt idx="337">
                  <c:v>69.322367828575324</c:v>
                </c:pt>
                <c:pt idx="338">
                  <c:v>69.316587100419753</c:v>
                </c:pt>
                <c:pt idx="339">
                  <c:v>69.310746692836162</c:v>
                </c:pt>
                <c:pt idx="340">
                  <c:v>69.30484956936094</c:v>
                </c:pt>
                <c:pt idx="341">
                  <c:v>69.298898722040278</c:v>
                </c:pt>
                <c:pt idx="342">
                  <c:v>69.292897161582871</c:v>
                </c:pt>
                <c:pt idx="343">
                  <c:v>69.286847907993618</c:v>
                </c:pt>
                <c:pt idx="344">
                  <c:v>69.280753981731181</c:v>
                </c:pt>
                <c:pt idx="345">
                  <c:v>69.274618395419253</c:v>
                </c:pt>
                <c:pt idx="346">
                  <c:v>69.268444146130008</c:v>
                </c:pt>
                <c:pt idx="347">
                  <c:v>69.262234208248444</c:v>
                </c:pt>
                <c:pt idx="348">
                  <c:v>69.255991526918166</c:v>
                </c:pt>
                <c:pt idx="349">
                  <c:v>69.249719012062343</c:v>
                </c:pt>
                <c:pt idx="350">
                  <c:v>69.24341953296792</c:v>
                </c:pt>
                <c:pt idx="351">
                  <c:v>69.237095913416681</c:v>
                </c:pt>
                <c:pt idx="352">
                  <c:v>69.23075092734328</c:v>
                </c:pt>
                <c:pt idx="353">
                  <c:v>69.224387294997584</c:v>
                </c:pt>
                <c:pt idx="354">
                  <c:v>69.218007679586847</c:v>
                </c:pt>
                <c:pt idx="355">
                  <c:v>69.211614684371824</c:v>
                </c:pt>
                <c:pt idx="356">
                  <c:v>69.205210850190184</c:v>
                </c:pt>
                <c:pt idx="357">
                  <c:v>69.19879865338018</c:v>
                </c:pt>
                <c:pt idx="358">
                  <c:v>69.192380504077647</c:v>
                </c:pt>
                <c:pt idx="359">
                  <c:v>69.185958744859605</c:v>
                </c:pt>
                <c:pt idx="360">
                  <c:v>69.179535649708413</c:v>
                </c:pt>
                <c:pt idx="361">
                  <c:v>69.173113423271047</c:v>
                </c:pt>
                <c:pt idx="362">
                  <c:v>69.166694200389188</c:v>
                </c:pt>
                <c:pt idx="363">
                  <c:v>69.160280045876462</c:v>
                </c:pt>
                <c:pt idx="364">
                  <c:v>69.153872954520679</c:v>
                </c:pt>
                <c:pt idx="365">
                  <c:v>69.147474851289715</c:v>
                </c:pt>
                <c:pt idx="366">
                  <c:v>69.141087591721018</c:v>
                </c:pt>
                <c:pt idx="367">
                  <c:v>69.134712962475945</c:v>
                </c:pt>
                <c:pt idx="368">
                  <c:v>69.128352682041069</c:v>
                </c:pt>
                <c:pt idx="369">
                  <c:v>69.122008401560009</c:v>
                </c:pt>
                <c:pt idx="370">
                  <c:v>69.115681705780446</c:v>
                </c:pt>
                <c:pt idx="371">
                  <c:v>69.109374114101811</c:v>
                </c:pt>
                <c:pt idx="372">
                  <c:v>69.103087081710612</c:v>
                </c:pt>
                <c:pt idx="373">
                  <c:v>69.096822000790965</c:v>
                </c:pt>
                <c:pt idx="374">
                  <c:v>69.090580201799199</c:v>
                </c:pt>
                <c:pt idx="375">
                  <c:v>69.084362954792127</c:v>
                </c:pt>
                <c:pt idx="376">
                  <c:v>69.078171470799518</c:v>
                </c:pt>
                <c:pt idx="377">
                  <c:v>69.072006903232065</c:v>
                </c:pt>
                <c:pt idx="378">
                  <c:v>69.065870349317038</c:v>
                </c:pt>
                <c:pt idx="379">
                  <c:v>69.059762851554424</c:v>
                </c:pt>
                <c:pt idx="380">
                  <c:v>69.053685399187074</c:v>
                </c:pt>
                <c:pt idx="381">
                  <c:v>69.047638929678953</c:v>
                </c:pt>
                <c:pt idx="382">
                  <c:v>69.041624330196342</c:v>
                </c:pt>
                <c:pt idx="383">
                  <c:v>69.035642439087169</c:v>
                </c:pt>
                <c:pt idx="384">
                  <c:v>69.029694047354269</c:v>
                </c:pt>
                <c:pt idx="385">
                  <c:v>69.023779900118868</c:v>
                </c:pt>
                <c:pt idx="386">
                  <c:v>69.017900698070889</c:v>
                </c:pt>
                <c:pt idx="387">
                  <c:v>69.012057098903242</c:v>
                </c:pt>
                <c:pt idx="388">
                  <c:v>69.006249718727446</c:v>
                </c:pt>
                <c:pt idx="389">
                  <c:v>69.000479133468446</c:v>
                </c:pt>
                <c:pt idx="390">
                  <c:v>68.994745880236621</c:v>
                </c:pt>
                <c:pt idx="391">
                  <c:v>68.989050458675351</c:v>
                </c:pt>
                <c:pt idx="392">
                  <c:v>68.983393332282787</c:v>
                </c:pt>
                <c:pt idx="393">
                  <c:v>68.977774929706598</c:v>
                </c:pt>
                <c:pt idx="394">
                  <c:v>68.972195646010832</c:v>
                </c:pt>
                <c:pt idx="395">
                  <c:v>68.966655843914012</c:v>
                </c:pt>
                <c:pt idx="396">
                  <c:v>68.961155854997926</c:v>
                </c:pt>
                <c:pt idx="397">
                  <c:v>68.95569598088673</c:v>
                </c:pt>
                <c:pt idx="398">
                  <c:v>68.950276494395979</c:v>
                </c:pt>
                <c:pt idx="399">
                  <c:v>68.944897640651433</c:v>
                </c:pt>
                <c:pt idx="400">
                  <c:v>68.93955963817757</c:v>
                </c:pt>
                <c:pt idx="401">
                  <c:v>68.934262679955879</c:v>
                </c:pt>
                <c:pt idx="402">
                  <c:v>68.929006934453014</c:v>
                </c:pt>
                <c:pt idx="403">
                  <c:v>68.923792546619012</c:v>
                </c:pt>
                <c:pt idx="404">
                  <c:v>68.918619638855844</c:v>
                </c:pt>
                <c:pt idx="405">
                  <c:v>68.913488311956698</c:v>
                </c:pt>
                <c:pt idx="406">
                  <c:v>68.908398646016238</c:v>
                </c:pt>
                <c:pt idx="407">
                  <c:v>68.903350701312348</c:v>
                </c:pt>
                <c:pt idx="408">
                  <c:v>68.898344519159906</c:v>
                </c:pt>
                <c:pt idx="409">
                  <c:v>68.893380122736886</c:v>
                </c:pt>
                <c:pt idx="410">
                  <c:v>68.888457517883509</c:v>
                </c:pt>
                <c:pt idx="411">
                  <c:v>68.8835766938749</c:v>
                </c:pt>
                <c:pt idx="412">
                  <c:v>68.878737624167783</c:v>
                </c:pt>
                <c:pt idx="413">
                  <c:v>68.87394026712191</c:v>
                </c:pt>
                <c:pt idx="414">
                  <c:v>68.869184566696688</c:v>
                </c:pt>
                <c:pt idx="415">
                  <c:v>68.864470453123744</c:v>
                </c:pt>
                <c:pt idx="416">
                  <c:v>68.859797843555924</c:v>
                </c:pt>
                <c:pt idx="417">
                  <c:v>68.855166642693362</c:v>
                </c:pt>
                <c:pt idx="418">
                  <c:v>68.850576743387293</c:v>
                </c:pt>
                <c:pt idx="419">
                  <c:v>68.846028027222104</c:v>
                </c:pt>
                <c:pt idx="420">
                  <c:v>68.84152036507642</c:v>
                </c:pt>
                <c:pt idx="421">
                  <c:v>68.837053617663528</c:v>
                </c:pt>
                <c:pt idx="422">
                  <c:v>68.832627636052109</c:v>
                </c:pt>
                <c:pt idx="423">
                  <c:v>68.828242262167549</c:v>
                </c:pt>
                <c:pt idx="424">
                  <c:v>68.823897329274573</c:v>
                </c:pt>
                <c:pt idx="425">
                  <c:v>68.81959266244175</c:v>
                </c:pt>
                <c:pt idx="426">
                  <c:v>68.815328078988401</c:v>
                </c:pt>
                <c:pt idx="427">
                  <c:v>68.811103388914518</c:v>
                </c:pt>
                <c:pt idx="428">
                  <c:v>68.806918395314185</c:v>
                </c:pt>
                <c:pt idx="429">
                  <c:v>68.802772894773042</c:v>
                </c:pt>
                <c:pt idx="430">
                  <c:v>68.798666677750319</c:v>
                </c:pt>
                <c:pt idx="431">
                  <c:v>68.794599528945966</c:v>
                </c:pt>
                <c:pt idx="432">
                  <c:v>68.790571227653373</c:v>
                </c:pt>
                <c:pt idx="433">
                  <c:v>68.786581548098098</c:v>
                </c:pt>
                <c:pt idx="434">
                  <c:v>68.782630259763167</c:v>
                </c:pt>
                <c:pt idx="435">
                  <c:v>68.778717127701356</c:v>
                </c:pt>
                <c:pt idx="436">
                  <c:v>68.774841912834901</c:v>
                </c:pt>
                <c:pt idx="437">
                  <c:v>68.771004372243056</c:v>
                </c:pt>
                <c:pt idx="438">
                  <c:v>68.767204259438031</c:v>
                </c:pt>
                <c:pt idx="439">
                  <c:v>68.763441324629483</c:v>
                </c:pt>
                <c:pt idx="440">
                  <c:v>68.759715314978294</c:v>
                </c:pt>
                <c:pt idx="441">
                  <c:v>68.756025974839659</c:v>
                </c:pt>
                <c:pt idx="442">
                  <c:v>68.752373045996166</c:v>
                </c:pt>
                <c:pt idx="443">
                  <c:v>68.748756267881021</c:v>
                </c:pt>
                <c:pt idx="444">
                  <c:v>68.745175377791924</c:v>
                </c:pt>
                <c:pt idx="445">
                  <c:v>68.741630111095773</c:v>
                </c:pt>
                <c:pt idx="446">
                  <c:v>68.738120201424707</c:v>
                </c:pt>
                <c:pt idx="447">
                  <c:v>68.734645380863668</c:v>
                </c:pt>
                <c:pt idx="448">
                  <c:v>68.73120538012985</c:v>
                </c:pt>
                <c:pt idx="449">
                  <c:v>68.727799928744318</c:v>
                </c:pt>
                <c:pt idx="450">
                  <c:v>68.724428755196143</c:v>
                </c:pt>
                <c:pt idx="451">
                  <c:v>68.72109158709921</c:v>
                </c:pt>
                <c:pt idx="452">
                  <c:v>68.717788151342091</c:v>
                </c:pt>
                <c:pt idx="453">
                  <c:v>68.714518174231202</c:v>
                </c:pt>
                <c:pt idx="454">
                  <c:v>68.711281381627472</c:v>
                </c:pt>
                <c:pt idx="455">
                  <c:v>68.708077499076808</c:v>
                </c:pt>
                <c:pt idx="456">
                  <c:v>68.704906251934517</c:v>
                </c:pt>
                <c:pt idx="457">
                  <c:v>68.701767365484059</c:v>
                </c:pt>
                <c:pt idx="458">
                  <c:v>68.698660565050162</c:v>
                </c:pt>
                <c:pt idx="459">
                  <c:v>68.695585576106694</c:v>
                </c:pt>
                <c:pt idx="460">
                  <c:v>68.692542124379344</c:v>
                </c:pt>
                <c:pt idx="461">
                  <c:v>68.689529935943412</c:v>
                </c:pt>
                <c:pt idx="462">
                  <c:v>68.686548737316855</c:v>
                </c:pt>
                <c:pt idx="463">
                  <c:v>68.683598255548759</c:v>
                </c:pt>
                <c:pt idx="464">
                  <c:v>68.680678218303456</c:v>
                </c:pt>
                <c:pt idx="465">
                  <c:v>68.677788353940443</c:v>
                </c:pt>
                <c:pt idx="466">
                  <c:v>68.674928391590214</c:v>
                </c:pt>
                <c:pt idx="467">
                  <c:v>68.672098061226265</c:v>
                </c:pt>
                <c:pt idx="468">
                  <c:v>68.669297093733363</c:v>
                </c:pt>
                <c:pt idx="469">
                  <c:v>68.666525220972161</c:v>
                </c:pt>
                <c:pt idx="470">
                  <c:v>68.663782175840467</c:v>
                </c:pt>
                <c:pt idx="471">
                  <c:v>68.661067692331159</c:v>
                </c:pt>
                <c:pt idx="472">
                  <c:v>68.658381505586917</c:v>
                </c:pt>
                <c:pt idx="473">
                  <c:v>68.655723351951963</c:v>
                </c:pt>
                <c:pt idx="474">
                  <c:v>68.653092969020804</c:v>
                </c:pt>
                <c:pt idx="475">
                  <c:v>68.650490095684248</c:v>
                </c:pt>
                <c:pt idx="476">
                  <c:v>68.647914472172658</c:v>
                </c:pt>
                <c:pt idx="477">
                  <c:v>68.645365840096687</c:v>
                </c:pt>
                <c:pt idx="478">
                  <c:v>68.642843942485499</c:v>
                </c:pt>
                <c:pt idx="479">
                  <c:v>68.640348523822595</c:v>
                </c:pt>
                <c:pt idx="480">
                  <c:v>68.637879330079429</c:v>
                </c:pt>
                <c:pt idx="481">
                  <c:v>68.635436108746774</c:v>
                </c:pt>
                <c:pt idx="482">
                  <c:v>68.633018608864006</c:v>
                </c:pt>
                <c:pt idx="483">
                  <c:v>68.630626581046442</c:v>
                </c:pt>
                <c:pt idx="484">
                  <c:v>68.62825977751065</c:v>
                </c:pt>
                <c:pt idx="485">
                  <c:v>68.625917952098021</c:v>
                </c:pt>
                <c:pt idx="486">
                  <c:v>68.623600860296477</c:v>
                </c:pt>
                <c:pt idx="487">
                  <c:v>68.621308259260601</c:v>
                </c:pt>
                <c:pt idx="488">
                  <c:v>68.619039907830029</c:v>
                </c:pt>
                <c:pt idx="489">
                  <c:v>68.616795566546386</c:v>
                </c:pt>
                <c:pt idx="490">
                  <c:v>68.614574997668711</c:v>
                </c:pt>
                <c:pt idx="491">
                  <c:v>68.612377965187434</c:v>
                </c:pt>
                <c:pt idx="492">
                  <c:v>68.610204234837013</c:v>
                </c:pt>
                <c:pt idx="493">
                  <c:v>68.608053574107288</c:v>
                </c:pt>
                <c:pt idx="494">
                  <c:v>68.605925752253597</c:v>
                </c:pt>
                <c:pt idx="495">
                  <c:v>68.603820540305648</c:v>
                </c:pt>
                <c:pt idx="496">
                  <c:v>68.601737711075359</c:v>
                </c:pt>
                <c:pt idx="497">
                  <c:v>68.599677039163481</c:v>
                </c:pt>
                <c:pt idx="498">
                  <c:v>68.597638300965315</c:v>
                </c:pt>
                <c:pt idx="499">
                  <c:v>68.595621274675352</c:v>
                </c:pt>
                <c:pt idx="500">
                  <c:v>68.593625740291031</c:v>
                </c:pt>
                <c:pt idx="501">
                  <c:v>68.591651479615535</c:v>
                </c:pt>
                <c:pt idx="502">
                  <c:v>68.589698276259767</c:v>
                </c:pt>
                <c:pt idx="503">
                  <c:v>68.587765915643502</c:v>
                </c:pt>
                <c:pt idx="504">
                  <c:v>68.585854184995767</c:v>
                </c:pt>
                <c:pt idx="505">
                  <c:v>68.583962873354466</c:v>
                </c:pt>
                <c:pt idx="506">
                  <c:v>68.58209177156526</c:v>
                </c:pt>
                <c:pt idx="507">
                  <c:v>68.580240672279857</c:v>
                </c:pt>
                <c:pt idx="508">
                  <c:v>68.578409369953576</c:v>
                </c:pt>
                <c:pt idx="509">
                  <c:v>68.576597660842353</c:v>
                </c:pt>
                <c:pt idx="510">
                  <c:v>68.574805342999156</c:v>
                </c:pt>
                <c:pt idx="511">
                  <c:v>68.573032216269823</c:v>
                </c:pt>
                <c:pt idx="512">
                  <c:v>68.571278082288401</c:v>
                </c:pt>
                <c:pt idx="513">
                  <c:v>68.569542744471988</c:v>
                </c:pt>
                <c:pt idx="514">
                  <c:v>68.567826008015118</c:v>
                </c:pt>
                <c:pt idx="515">
                  <c:v>68.56612767988365</c:v>
                </c:pt>
                <c:pt idx="516">
                  <c:v>68.564447568808276</c:v>
                </c:pt>
                <c:pt idx="517">
                  <c:v>68.562785485277615</c:v>
                </c:pt>
                <c:pt idx="518">
                  <c:v>68.561141241530919</c:v>
                </c:pt>
                <c:pt idx="519">
                  <c:v>68.559514651550472</c:v>
                </c:pt>
                <c:pt idx="520">
                  <c:v>68.557905531053564</c:v>
                </c:pt>
                <c:pt idx="521">
                  <c:v>68.556313697484214</c:v>
                </c:pt>
                <c:pt idx="522">
                  <c:v>68.554738970004578</c:v>
                </c:pt>
                <c:pt idx="523">
                  <c:v>68.553181169486066</c:v>
                </c:pt>
                <c:pt idx="524">
                  <c:v>68.551640118500202</c:v>
                </c:pt>
                <c:pt idx="525">
                  <c:v>68.550115641309219</c:v>
                </c:pt>
                <c:pt idx="526">
                  <c:v>68.54860756385645</c:v>
                </c:pt>
                <c:pt idx="527">
                  <c:v>68.54711571375644</c:v>
                </c:pt>
                <c:pt idx="528">
                  <c:v>68.54563992028497</c:v>
                </c:pt>
                <c:pt idx="529">
                  <c:v>68.544180014368735</c:v>
                </c:pt>
                <c:pt idx="530">
                  <c:v>68.542735828574976</c:v>
                </c:pt>
                <c:pt idx="531">
                  <c:v>68.541307197100892</c:v>
                </c:pt>
                <c:pt idx="532">
                  <c:v>68.539893955762892</c:v>
                </c:pt>
                <c:pt idx="533">
                  <c:v>68.53849594198573</c:v>
                </c:pt>
                <c:pt idx="534">
                  <c:v>68.537112994791471</c:v>
                </c:pt>
                <c:pt idx="535">
                  <c:v>68.535744954788413</c:v>
                </c:pt>
                <c:pt idx="536">
                  <c:v>68.534391664159813</c:v>
                </c:pt>
                <c:pt idx="537">
                  <c:v>68.533052966652562</c:v>
                </c:pt>
                <c:pt idx="538">
                  <c:v>68.531728707565762</c:v>
                </c:pt>
                <c:pt idx="539">
                  <c:v>68.530418733739211</c:v>
                </c:pt>
                <c:pt idx="540">
                  <c:v>68.529122893541839</c:v>
                </c:pt>
                <c:pt idx="541">
                  <c:v>68.527841036860053</c:v>
                </c:pt>
                <c:pt idx="542">
                  <c:v>68.526573015086029</c:v>
                </c:pt>
                <c:pt idx="543">
                  <c:v>68.525318681105972</c:v>
                </c:pt>
                <c:pt idx="544">
                  <c:v>68.524077889288307</c:v>
                </c:pt>
                <c:pt idx="545">
                  <c:v>68.522850495471886</c:v>
                </c:pt>
                <c:pt idx="546">
                  <c:v>68.521636356954062</c:v>
                </c:pt>
                <c:pt idx="547">
                  <c:v>68.520435332478868</c:v>
                </c:pt>
                <c:pt idx="548">
                  <c:v>68.519247282225109</c:v>
                </c:pt>
                <c:pt idx="549">
                  <c:v>68.518072067794392</c:v>
                </c:pt>
                <c:pt idx="550">
                  <c:v>68.516909552199294</c:v>
                </c:pt>
                <c:pt idx="551">
                  <c:v>68.515759599851364</c:v>
                </c:pt>
                <c:pt idx="552">
                  <c:v>68.514622076549273</c:v>
                </c:pt>
                <c:pt idx="553">
                  <c:v>68.513496849466847</c:v>
                </c:pt>
                <c:pt idx="554">
                  <c:v>68.512383787141218</c:v>
                </c:pt>
                <c:pt idx="555">
                  <c:v>68.511282759460926</c:v>
                </c:pt>
                <c:pt idx="556">
                  <c:v>68.510193637654041</c:v>
                </c:pt>
                <c:pt idx="557">
                  <c:v>68.509116294276382</c:v>
                </c:pt>
                <c:pt idx="558">
                  <c:v>68.508050603199649</c:v>
                </c:pt>
                <c:pt idx="559">
                  <c:v>68.506996439599703</c:v>
                </c:pt>
                <c:pt idx="560">
                  <c:v>68.505953679944795</c:v>
                </c:pt>
                <c:pt idx="561">
                  <c:v>68.504922201983874</c:v>
                </c:pt>
                <c:pt idx="562">
                  <c:v>68.50390188473493</c:v>
                </c:pt>
                <c:pt idx="563">
                  <c:v>68.50289260847336</c:v>
                </c:pt>
                <c:pt idx="564">
                  <c:v>68.501894254720426</c:v>
                </c:pt>
                <c:pt idx="565">
                  <c:v>68.500906706231717</c:v>
                </c:pt>
                <c:pt idx="566">
                  <c:v>68.499929846985665</c:v>
                </c:pt>
                <c:pt idx="567">
                  <c:v>68.49896356217215</c:v>
                </c:pt>
                <c:pt idx="568">
                  <c:v>68.498007738181116</c:v>
                </c:pt>
                <c:pt idx="569">
                  <c:v>68.497062262591285</c:v>
                </c:pt>
                <c:pt idx="570">
                  <c:v>68.496127024158881</c:v>
                </c:pt>
                <c:pt idx="571">
                  <c:v>68.495201912806465</c:v>
                </c:pt>
                <c:pt idx="572">
                  <c:v>68.49428681961183</c:v>
                </c:pt>
                <c:pt idx="573">
                  <c:v>68.493381636796883</c:v>
                </c:pt>
                <c:pt idx="574">
                  <c:v>68.49248625771672</c:v>
                </c:pt>
                <c:pt idx="575">
                  <c:v>68.491600576848626</c:v>
                </c:pt>
                <c:pt idx="576">
                  <c:v>68.490724489781272</c:v>
                </c:pt>
                <c:pt idx="577">
                  <c:v>68.489857893203876</c:v>
                </c:pt>
                <c:pt idx="578">
                  <c:v>68.48900068489553</c:v>
                </c:pt>
                <c:pt idx="579">
                  <c:v>68.488152763714496</c:v>
                </c:pt>
                <c:pt idx="580">
                  <c:v>68.487314029587665</c:v>
                </c:pt>
                <c:pt idx="581">
                  <c:v>68.486484383500056</c:v>
                </c:pt>
                <c:pt idx="582">
                  <c:v>68.485663727484322</c:v>
                </c:pt>
                <c:pt idx="583">
                  <c:v>68.484851964610485</c:v>
                </c:pt>
                <c:pt idx="584">
                  <c:v>68.484048998975553</c:v>
                </c:pt>
                <c:pt idx="585">
                  <c:v>68.483254735693393</c:v>
                </c:pt>
                <c:pt idx="586">
                  <c:v>68.482469080884542</c:v>
                </c:pt>
                <c:pt idx="587">
                  <c:v>68.48169194166617</c:v>
                </c:pt>
                <c:pt idx="588">
                  <c:v>68.480923226142124</c:v>
                </c:pt>
                <c:pt idx="589">
                  <c:v>68.480162843392989</c:v>
                </c:pt>
                <c:pt idx="590">
                  <c:v>68.479410703466286</c:v>
                </c:pt>
                <c:pt idx="591">
                  <c:v>68.478666717366707</c:v>
                </c:pt>
                <c:pt idx="592">
                  <c:v>68.47793079704644</c:v>
                </c:pt>
                <c:pt idx="593">
                  <c:v>68.477202855395632</c:v>
                </c:pt>
                <c:pt idx="594">
                  <c:v>68.476482806232823</c:v>
                </c:pt>
                <c:pt idx="595">
                  <c:v>68.475770564295516</c:v>
                </c:pt>
                <c:pt idx="596">
                  <c:v>68.475066045230818</c:v>
                </c:pt>
                <c:pt idx="597">
                  <c:v>68.474369165586211</c:v>
                </c:pt>
                <c:pt idx="598">
                  <c:v>68.473679842800294</c:v>
                </c:pt>
                <c:pt idx="599">
                  <c:v>68.472997995193708</c:v>
                </c:pt>
                <c:pt idx="600">
                  <c:v>68.472323541960051</c:v>
                </c:pt>
                <c:pt idx="601">
                  <c:v>68.471656403156942</c:v>
                </c:pt>
                <c:pt idx="602">
                  <c:v>68.470996499697137</c:v>
                </c:pt>
                <c:pt idx="603">
                  <c:v>68.470343753339705</c:v>
                </c:pt>
                <c:pt idx="604">
                  <c:v>68.469698086681333</c:v>
                </c:pt>
                <c:pt idx="605">
                  <c:v>68.469059423147627</c:v>
                </c:pt>
                <c:pt idx="606">
                  <c:v>68.468427686984555</c:v>
                </c:pt>
                <c:pt idx="607">
                  <c:v>68.467802803249995</c:v>
                </c:pt>
                <c:pt idx="608">
                  <c:v>68.467184697805237</c:v>
                </c:pt>
                <c:pt idx="609">
                  <c:v>68.466573297306724</c:v>
                </c:pt>
                <c:pt idx="610">
                  <c:v>68.465968529417751</c:v>
                </c:pt>
                <c:pt idx="611">
                  <c:v>68.465370323743912</c:v>
                </c:pt>
                <c:pt idx="612">
                  <c:v>68.464778614146496</c:v>
                </c:pt>
                <c:pt idx="613">
                  <c:v>68.464193343033472</c:v>
                </c:pt>
                <c:pt idx="614">
                  <c:v>68.463614468002547</c:v>
                </c:pt>
                <c:pt idx="615">
                  <c:v>68.463041970901486</c:v>
                </c:pt>
                <c:pt idx="616">
                  <c:v>68.462475869062885</c:v>
                </c:pt>
                <c:pt idx="617">
                  <c:v>68.461916228221824</c:v>
                </c:pt>
                <c:pt idx="618">
                  <c:v>68.461363176465241</c:v>
                </c:pt>
                <c:pt idx="619">
                  <c:v>68.460816918494785</c:v>
                </c:pt>
                <c:pt idx="620">
                  <c:v>68.460277749497777</c:v>
                </c:pt>
                <c:pt idx="621">
                  <c:v>68.45974606799426</c:v>
                </c:pt>
                <c:pt idx="622">
                  <c:v>68.459222387139633</c:v>
                </c:pt>
                <c:pt idx="623">
                  <c:v>68.458707344092886</c:v>
                </c:pt>
                <c:pt idx="624">
                  <c:v>68.458201707193709</c:v>
                </c:pt>
                <c:pt idx="625">
                  <c:v>68.457706380817314</c:v>
                </c:pt>
                <c:pt idx="626">
                  <c:v>68.457222407885325</c:v>
                </c:pt>
                <c:pt idx="627">
                  <c:v>68.456750970102405</c:v>
                </c:pt>
                <c:pt idx="628">
                  <c:v>68.456293386058732</c:v>
                </c:pt>
                <c:pt idx="629">
                  <c:v>68.45585110738979</c:v>
                </c:pt>
                <c:pt idx="630">
                  <c:v>68.455425713218872</c:v>
                </c:pt>
                <c:pt idx="631">
                  <c:v>68.455018903125932</c:v>
                </c:pt>
                <c:pt idx="632">
                  <c:v>68.454632488892855</c:v>
                </c:pt>
                <c:pt idx="633">
                  <c:v>68.454268385271448</c:v>
                </c:pt>
                <c:pt idx="634">
                  <c:v>68.453928600009448</c:v>
                </c:pt>
                <c:pt idx="635">
                  <c:v>68.453615223353665</c:v>
                </c:pt>
                <c:pt idx="636">
                  <c:v>68.453330417229949</c:v>
                </c:pt>
                <c:pt idx="637">
                  <c:v>68.453076404277894</c:v>
                </c:pt>
                <c:pt idx="638">
                  <c:v>68.45285545689633</c:v>
                </c:pt>
                <c:pt idx="639">
                  <c:v>68.452669886433412</c:v>
                </c:pt>
                <c:pt idx="640">
                  <c:v>68.452522032634022</c:v>
                </c:pt>
                <c:pt idx="641">
                  <c:v>68.452414253437126</c:v>
                </c:pt>
                <c:pt idx="642">
                  <c:v>68.452348915197632</c:v>
                </c:pt>
                <c:pt idx="643">
                  <c:v>68.452328383390267</c:v>
                </c:pt>
                <c:pt idx="644">
                  <c:v>68.452355013838527</c:v>
                </c:pt>
                <c:pt idx="645">
                  <c:v>68.452431144498433</c:v>
                </c:pt>
                <c:pt idx="646">
                  <c:v>68.452559087815487</c:v>
                </c:pt>
                <c:pt idx="647">
                  <c:v>68.452741123663714</c:v>
                </c:pt>
                <c:pt idx="648">
                  <c:v>68.452979492867215</c:v>
                </c:pt>
                <c:pt idx="649">
                  <c:v>68.453276391297948</c:v>
                </c:pt>
                <c:pt idx="650">
                  <c:v>68.453633964537843</c:v>
                </c:pt>
                <c:pt idx="651">
                  <c:v>68.454054303088839</c:v>
                </c:pt>
                <c:pt idx="652">
                  <c:v>68.454539438110928</c:v>
                </c:pt>
                <c:pt idx="653">
                  <c:v>68.455091337665579</c:v>
                </c:pt>
                <c:pt idx="654">
                  <c:v>68.455711903440019</c:v>
                </c:pt>
                <c:pt idx="655">
                  <c:v>68.456402967926465</c:v>
                </c:pt>
                <c:pt idx="656">
                  <c:v>68.457166292029711</c:v>
                </c:pt>
                <c:pt idx="657">
                  <c:v>68.458003563075948</c:v>
                </c:pt>
                <c:pt idx="658">
                  <c:v>68.458916393195906</c:v>
                </c:pt>
                <c:pt idx="659">
                  <c:v>68.45990631805563</c:v>
                </c:pt>
                <c:pt idx="660">
                  <c:v>68.460974795908754</c:v>
                </c:pt>
                <c:pt idx="661">
                  <c:v>68.462123206944909</c:v>
                </c:pt>
                <c:pt idx="662">
                  <c:v>68.463352852909821</c:v>
                </c:pt>
                <c:pt idx="663">
                  <c:v>68.464664956973607</c:v>
                </c:pt>
                <c:pt idx="664">
                  <c:v>68.466060663824933</c:v>
                </c:pt>
                <c:pt idx="665">
                  <c:v>68.467541039969831</c:v>
                </c:pt>
                <c:pt idx="666">
                  <c:v>68.469107074214975</c:v>
                </c:pt>
                <c:pt idx="667">
                  <c:v>68.470759678316739</c:v>
                </c:pt>
                <c:pt idx="668">
                  <c:v>68.472499687778125</c:v>
                </c:pt>
                <c:pt idx="669">
                  <c:v>68.474327862777116</c:v>
                </c:pt>
                <c:pt idx="670">
                  <c:v>68.476244889211031</c:v>
                </c:pt>
                <c:pt idx="671">
                  <c:v>68.478251379842533</c:v>
                </c:pt>
                <c:pt idx="672">
                  <c:v>68.480347875533994</c:v>
                </c:pt>
                <c:pt idx="673">
                  <c:v>68.482534846558053</c:v>
                </c:pt>
                <c:pt idx="674">
                  <c:v>68.48481269397297</c:v>
                </c:pt>
                <c:pt idx="675">
                  <c:v>68.487181751052532</c:v>
                </c:pt>
                <c:pt idx="676">
                  <c:v>68.489642284760919</c:v>
                </c:pt>
                <c:pt idx="677">
                  <c:v>68.492194497263952</c:v>
                </c:pt>
                <c:pt idx="678">
                  <c:v>68.494838527468744</c:v>
                </c:pt>
                <c:pt idx="679">
                  <c:v>68.497574452584658</c:v>
                </c:pt>
                <c:pt idx="680">
                  <c:v>68.500402289698982</c:v>
                </c:pt>
                <c:pt idx="681">
                  <c:v>68.503321997361553</c:v>
                </c:pt>
                <c:pt idx="682">
                  <c:v>68.506333477173015</c:v>
                </c:pt>
                <c:pt idx="683">
                  <c:v>68.509436575371922</c:v>
                </c:pt>
                <c:pt idx="684">
                  <c:v>68.512631084416554</c:v>
                </c:pt>
                <c:pt idx="685">
                  <c:v>68.515916744557614</c:v>
                </c:pt>
                <c:pt idx="686">
                  <c:v>68.519293245398472</c:v>
                </c:pt>
                <c:pt idx="687">
                  <c:v>68.522760227440045</c:v>
                </c:pt>
                <c:pt idx="688">
                  <c:v>68.526317283607739</c:v>
                </c:pt>
                <c:pt idx="689">
                  <c:v>68.529963960758181</c:v>
                </c:pt>
                <c:pt idx="690">
                  <c:v>68.533699761163845</c:v>
                </c:pt>
                <c:pt idx="691">
                  <c:v>68.537524143973812</c:v>
                </c:pt>
                <c:pt idx="692">
                  <c:v>68.541436526649406</c:v>
                </c:pt>
                <c:pt idx="693">
                  <c:v>68.545436286373445</c:v>
                </c:pt>
                <c:pt idx="694">
                  <c:v>68.549522761432073</c:v>
                </c:pt>
                <c:pt idx="695">
                  <c:v>68.553695252568573</c:v>
                </c:pt>
                <c:pt idx="696">
                  <c:v>68.557953024308375</c:v>
                </c:pt>
                <c:pt idx="697">
                  <c:v>68.562295306254882</c:v>
                </c:pt>
                <c:pt idx="698">
                  <c:v>68.566721294355872</c:v>
                </c:pt>
                <c:pt idx="699">
                  <c:v>68.571230152140132</c:v>
                </c:pt>
                <c:pt idx="700">
                  <c:v>68.575821011924376</c:v>
                </c:pt>
                <c:pt idx="701">
                  <c:v>68.58049297599041</c:v>
                </c:pt>
                <c:pt idx="702">
                  <c:v>68.585245117732683</c:v>
                </c:pt>
                <c:pt idx="703">
                  <c:v>68.590076482776325</c:v>
                </c:pt>
                <c:pt idx="704">
                  <c:v>68.594986090066129</c:v>
                </c:pt>
                <c:pt idx="705">
                  <c:v>68.599972932926491</c:v>
                </c:pt>
                <c:pt idx="706">
                  <c:v>68.605035980093007</c:v>
                </c:pt>
                <c:pt idx="707">
                  <c:v>68.61017417671583</c:v>
                </c:pt>
                <c:pt idx="708">
                  <c:v>68.615386445335517</c:v>
                </c:pt>
                <c:pt idx="709">
                  <c:v>68.620671686831628</c:v>
                </c:pt>
                <c:pt idx="710">
                  <c:v>68.626028781344743</c:v>
                </c:pt>
                <c:pt idx="711">
                  <c:v>68.631456589172345</c:v>
                </c:pt>
                <c:pt idx="712">
                  <c:v>68.636953951639114</c:v>
                </c:pt>
                <c:pt idx="713">
                  <c:v>68.642519691942312</c:v>
                </c:pt>
                <c:pt idx="714">
                  <c:v>68.648152615972734</c:v>
                </c:pt>
                <c:pt idx="715">
                  <c:v>68.653851513111846</c:v>
                </c:pt>
              </c:numCache>
            </c:numRef>
          </c:val>
        </c:ser>
        <c:ser>
          <c:idx val="11"/>
          <c:order val="11"/>
          <c:tx>
            <c:strRef>
              <c:f>Calculations!$A$35</c:f>
              <c:strCache>
                <c:ptCount val="1"/>
                <c:pt idx="0">
                  <c:v>Inside</c:v>
                </c:pt>
              </c:strCache>
            </c:strRef>
          </c:tx>
          <c:marker>
            <c:symbol val="none"/>
          </c:marker>
          <c:cat>
            <c:numRef>
              <c:f>Calculations!$B$21:$AAO$21</c:f>
              <c:numCache>
                <c:formatCode>0.00</c:formatCode>
                <c:ptCount val="716"/>
                <c:pt idx="0" formatCode="General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5.0000000000000036</c:v>
                </c:pt>
                <c:pt idx="126">
                  <c:v>5.0400000000000036</c:v>
                </c:pt>
                <c:pt idx="127">
                  <c:v>5.0800000000000036</c:v>
                </c:pt>
                <c:pt idx="128">
                  <c:v>5.1200000000000037</c:v>
                </c:pt>
                <c:pt idx="129">
                  <c:v>5.1600000000000037</c:v>
                </c:pt>
                <c:pt idx="130">
                  <c:v>5.2000000000000037</c:v>
                </c:pt>
                <c:pt idx="131">
                  <c:v>5.2400000000000038</c:v>
                </c:pt>
                <c:pt idx="132">
                  <c:v>5.2800000000000038</c:v>
                </c:pt>
                <c:pt idx="133">
                  <c:v>5.3200000000000038</c:v>
                </c:pt>
                <c:pt idx="134">
                  <c:v>5.3600000000000039</c:v>
                </c:pt>
                <c:pt idx="135">
                  <c:v>5.4000000000000039</c:v>
                </c:pt>
                <c:pt idx="136">
                  <c:v>5.4400000000000039</c:v>
                </c:pt>
                <c:pt idx="137">
                  <c:v>5.480000000000004</c:v>
                </c:pt>
                <c:pt idx="138">
                  <c:v>5.520000000000004</c:v>
                </c:pt>
                <c:pt idx="139">
                  <c:v>5.5600000000000041</c:v>
                </c:pt>
                <c:pt idx="140">
                  <c:v>5.6000000000000041</c:v>
                </c:pt>
                <c:pt idx="141">
                  <c:v>5.6400000000000041</c:v>
                </c:pt>
                <c:pt idx="142">
                  <c:v>5.6800000000000042</c:v>
                </c:pt>
                <c:pt idx="143">
                  <c:v>5.7200000000000042</c:v>
                </c:pt>
                <c:pt idx="144">
                  <c:v>5.7600000000000042</c:v>
                </c:pt>
                <c:pt idx="145">
                  <c:v>5.8000000000000043</c:v>
                </c:pt>
                <c:pt idx="146">
                  <c:v>5.8400000000000043</c:v>
                </c:pt>
                <c:pt idx="147">
                  <c:v>5.8800000000000043</c:v>
                </c:pt>
                <c:pt idx="148">
                  <c:v>5.9200000000000044</c:v>
                </c:pt>
                <c:pt idx="149">
                  <c:v>5.9600000000000044</c:v>
                </c:pt>
                <c:pt idx="150">
                  <c:v>6.0000000000000044</c:v>
                </c:pt>
                <c:pt idx="151">
                  <c:v>6.0400000000000045</c:v>
                </c:pt>
                <c:pt idx="152">
                  <c:v>6.0800000000000045</c:v>
                </c:pt>
                <c:pt idx="153">
                  <c:v>6.1200000000000045</c:v>
                </c:pt>
                <c:pt idx="154">
                  <c:v>6.1600000000000046</c:v>
                </c:pt>
                <c:pt idx="155">
                  <c:v>6.2000000000000046</c:v>
                </c:pt>
                <c:pt idx="156">
                  <c:v>6.2400000000000047</c:v>
                </c:pt>
                <c:pt idx="157">
                  <c:v>6.2800000000000047</c:v>
                </c:pt>
                <c:pt idx="158">
                  <c:v>6.3200000000000047</c:v>
                </c:pt>
                <c:pt idx="159">
                  <c:v>6.3600000000000048</c:v>
                </c:pt>
                <c:pt idx="160">
                  <c:v>6.4000000000000048</c:v>
                </c:pt>
                <c:pt idx="161">
                  <c:v>6.4400000000000048</c:v>
                </c:pt>
                <c:pt idx="162">
                  <c:v>6.4800000000000049</c:v>
                </c:pt>
                <c:pt idx="163">
                  <c:v>6.5200000000000049</c:v>
                </c:pt>
                <c:pt idx="164">
                  <c:v>6.5600000000000049</c:v>
                </c:pt>
                <c:pt idx="165">
                  <c:v>6.600000000000005</c:v>
                </c:pt>
                <c:pt idx="166">
                  <c:v>6.640000000000005</c:v>
                </c:pt>
                <c:pt idx="167">
                  <c:v>6.680000000000005</c:v>
                </c:pt>
                <c:pt idx="168">
                  <c:v>6.7200000000000051</c:v>
                </c:pt>
                <c:pt idx="169">
                  <c:v>6.7600000000000051</c:v>
                </c:pt>
                <c:pt idx="170">
                  <c:v>6.8000000000000052</c:v>
                </c:pt>
                <c:pt idx="171">
                  <c:v>6.8400000000000052</c:v>
                </c:pt>
                <c:pt idx="172">
                  <c:v>6.8800000000000052</c:v>
                </c:pt>
                <c:pt idx="173">
                  <c:v>6.9200000000000053</c:v>
                </c:pt>
                <c:pt idx="174">
                  <c:v>6.9600000000000053</c:v>
                </c:pt>
                <c:pt idx="175">
                  <c:v>7.0000000000000053</c:v>
                </c:pt>
                <c:pt idx="176">
                  <c:v>7.0400000000000054</c:v>
                </c:pt>
                <c:pt idx="177">
                  <c:v>7.0800000000000054</c:v>
                </c:pt>
                <c:pt idx="178">
                  <c:v>7.1200000000000054</c:v>
                </c:pt>
                <c:pt idx="179">
                  <c:v>7.1600000000000055</c:v>
                </c:pt>
                <c:pt idx="180">
                  <c:v>7.2000000000000055</c:v>
                </c:pt>
                <c:pt idx="181">
                  <c:v>7.2400000000000055</c:v>
                </c:pt>
                <c:pt idx="182">
                  <c:v>7.2800000000000056</c:v>
                </c:pt>
                <c:pt idx="183">
                  <c:v>7.3200000000000056</c:v>
                </c:pt>
                <c:pt idx="184">
                  <c:v>7.3600000000000056</c:v>
                </c:pt>
                <c:pt idx="185">
                  <c:v>7.4000000000000057</c:v>
                </c:pt>
                <c:pt idx="186">
                  <c:v>7.4400000000000057</c:v>
                </c:pt>
                <c:pt idx="187">
                  <c:v>7.4800000000000058</c:v>
                </c:pt>
                <c:pt idx="188">
                  <c:v>7.5200000000000058</c:v>
                </c:pt>
                <c:pt idx="189">
                  <c:v>7.5600000000000058</c:v>
                </c:pt>
                <c:pt idx="190">
                  <c:v>7.6000000000000059</c:v>
                </c:pt>
                <c:pt idx="191">
                  <c:v>7.6400000000000059</c:v>
                </c:pt>
                <c:pt idx="192">
                  <c:v>7.6800000000000059</c:v>
                </c:pt>
                <c:pt idx="193">
                  <c:v>7.720000000000006</c:v>
                </c:pt>
                <c:pt idx="194">
                  <c:v>7.760000000000006</c:v>
                </c:pt>
                <c:pt idx="195">
                  <c:v>7.800000000000006</c:v>
                </c:pt>
                <c:pt idx="196">
                  <c:v>7.8400000000000061</c:v>
                </c:pt>
                <c:pt idx="197">
                  <c:v>7.8800000000000061</c:v>
                </c:pt>
                <c:pt idx="198">
                  <c:v>7.9200000000000061</c:v>
                </c:pt>
                <c:pt idx="199">
                  <c:v>7.9600000000000062</c:v>
                </c:pt>
                <c:pt idx="200">
                  <c:v>8.0000000000000053</c:v>
                </c:pt>
                <c:pt idx="201">
                  <c:v>8.0400000000000045</c:v>
                </c:pt>
                <c:pt idx="202">
                  <c:v>8.0800000000000036</c:v>
                </c:pt>
                <c:pt idx="203">
                  <c:v>8.1200000000000028</c:v>
                </c:pt>
                <c:pt idx="204">
                  <c:v>8.1600000000000019</c:v>
                </c:pt>
                <c:pt idx="205">
                  <c:v>8.2000000000000011</c:v>
                </c:pt>
                <c:pt idx="206">
                  <c:v>8.24</c:v>
                </c:pt>
                <c:pt idx="207">
                  <c:v>8.2799999999999994</c:v>
                </c:pt>
                <c:pt idx="208">
                  <c:v>8.3199999999999985</c:v>
                </c:pt>
                <c:pt idx="209">
                  <c:v>8.3599999999999977</c:v>
                </c:pt>
                <c:pt idx="210">
                  <c:v>8.3999999999999968</c:v>
                </c:pt>
                <c:pt idx="211">
                  <c:v>8.4399999999999959</c:v>
                </c:pt>
                <c:pt idx="212">
                  <c:v>8.4799999999999951</c:v>
                </c:pt>
                <c:pt idx="213">
                  <c:v>8.5199999999999942</c:v>
                </c:pt>
                <c:pt idx="214">
                  <c:v>8.5599999999999934</c:v>
                </c:pt>
                <c:pt idx="215">
                  <c:v>8.5999999999999925</c:v>
                </c:pt>
                <c:pt idx="216">
                  <c:v>8.6399999999999917</c:v>
                </c:pt>
                <c:pt idx="217">
                  <c:v>8.6799999999999908</c:v>
                </c:pt>
                <c:pt idx="218">
                  <c:v>8.71999999999999</c:v>
                </c:pt>
                <c:pt idx="219">
                  <c:v>8.7599999999999891</c:v>
                </c:pt>
                <c:pt idx="220">
                  <c:v>8.7999999999999883</c:v>
                </c:pt>
                <c:pt idx="221">
                  <c:v>8.8399999999999874</c:v>
                </c:pt>
                <c:pt idx="222">
                  <c:v>8.8799999999999866</c:v>
                </c:pt>
                <c:pt idx="223">
                  <c:v>8.9199999999999857</c:v>
                </c:pt>
                <c:pt idx="224">
                  <c:v>8.9599999999999849</c:v>
                </c:pt>
                <c:pt idx="225">
                  <c:v>8.999999999999984</c:v>
                </c:pt>
                <c:pt idx="226">
                  <c:v>9.0399999999999832</c:v>
                </c:pt>
                <c:pt idx="227">
                  <c:v>9.0799999999999823</c:v>
                </c:pt>
                <c:pt idx="228">
                  <c:v>9.1199999999999815</c:v>
                </c:pt>
                <c:pt idx="229">
                  <c:v>9.1599999999999806</c:v>
                </c:pt>
                <c:pt idx="230">
                  <c:v>9.1999999999999797</c:v>
                </c:pt>
                <c:pt idx="231">
                  <c:v>9.2399999999999789</c:v>
                </c:pt>
                <c:pt idx="232">
                  <c:v>9.279999999999978</c:v>
                </c:pt>
                <c:pt idx="233">
                  <c:v>9.3199999999999772</c:v>
                </c:pt>
                <c:pt idx="234">
                  <c:v>9.3599999999999763</c:v>
                </c:pt>
                <c:pt idx="235">
                  <c:v>9.3999999999999755</c:v>
                </c:pt>
                <c:pt idx="236">
                  <c:v>9.4399999999999746</c:v>
                </c:pt>
                <c:pt idx="237">
                  <c:v>9.4799999999999738</c:v>
                </c:pt>
                <c:pt idx="238">
                  <c:v>9.5199999999999729</c:v>
                </c:pt>
                <c:pt idx="239">
                  <c:v>9.5599999999999721</c:v>
                </c:pt>
                <c:pt idx="240">
                  <c:v>9.5999999999999712</c:v>
                </c:pt>
                <c:pt idx="241">
                  <c:v>9.6399999999999704</c:v>
                </c:pt>
                <c:pt idx="242">
                  <c:v>9.6799999999999695</c:v>
                </c:pt>
                <c:pt idx="243">
                  <c:v>9.7199999999999687</c:v>
                </c:pt>
                <c:pt idx="244">
                  <c:v>9.7599999999999678</c:v>
                </c:pt>
                <c:pt idx="245">
                  <c:v>9.799999999999967</c:v>
                </c:pt>
                <c:pt idx="246">
                  <c:v>9.8399999999999661</c:v>
                </c:pt>
                <c:pt idx="247">
                  <c:v>9.8799999999999653</c:v>
                </c:pt>
                <c:pt idx="248">
                  <c:v>9.9199999999999644</c:v>
                </c:pt>
                <c:pt idx="249">
                  <c:v>9.9599999999999635</c:v>
                </c:pt>
                <c:pt idx="250">
                  <c:v>9.9999999999999627</c:v>
                </c:pt>
                <c:pt idx="251">
                  <c:v>10.039999999999962</c:v>
                </c:pt>
                <c:pt idx="252">
                  <c:v>10.079999999999961</c:v>
                </c:pt>
                <c:pt idx="253">
                  <c:v>10.11999999999996</c:v>
                </c:pt>
                <c:pt idx="254">
                  <c:v>10.159999999999959</c:v>
                </c:pt>
                <c:pt idx="255">
                  <c:v>10.199999999999958</c:v>
                </c:pt>
                <c:pt idx="256">
                  <c:v>10.239999999999958</c:v>
                </c:pt>
                <c:pt idx="257">
                  <c:v>10.279999999999957</c:v>
                </c:pt>
                <c:pt idx="258">
                  <c:v>10.319999999999956</c:v>
                </c:pt>
                <c:pt idx="259">
                  <c:v>10.359999999999955</c:v>
                </c:pt>
                <c:pt idx="260">
                  <c:v>10.399999999999954</c:v>
                </c:pt>
                <c:pt idx="261">
                  <c:v>10.439999999999953</c:v>
                </c:pt>
                <c:pt idx="262">
                  <c:v>10.479999999999952</c:v>
                </c:pt>
                <c:pt idx="263">
                  <c:v>10.519999999999952</c:v>
                </c:pt>
                <c:pt idx="264">
                  <c:v>10.559999999999951</c:v>
                </c:pt>
                <c:pt idx="265">
                  <c:v>10.59999999999995</c:v>
                </c:pt>
                <c:pt idx="266">
                  <c:v>10.639999999999949</c:v>
                </c:pt>
                <c:pt idx="267">
                  <c:v>10.679999999999948</c:v>
                </c:pt>
                <c:pt idx="268">
                  <c:v>10.719999999999947</c:v>
                </c:pt>
                <c:pt idx="269">
                  <c:v>10.759999999999946</c:v>
                </c:pt>
                <c:pt idx="270">
                  <c:v>10.799999999999946</c:v>
                </c:pt>
                <c:pt idx="271">
                  <c:v>10.839999999999945</c:v>
                </c:pt>
                <c:pt idx="272">
                  <c:v>10.879999999999944</c:v>
                </c:pt>
                <c:pt idx="273">
                  <c:v>10.919999999999943</c:v>
                </c:pt>
                <c:pt idx="274">
                  <c:v>10.959999999999942</c:v>
                </c:pt>
                <c:pt idx="275">
                  <c:v>10.999999999999941</c:v>
                </c:pt>
                <c:pt idx="276">
                  <c:v>11.039999999999941</c:v>
                </c:pt>
                <c:pt idx="277">
                  <c:v>11.07999999999994</c:v>
                </c:pt>
                <c:pt idx="278">
                  <c:v>11.119999999999939</c:v>
                </c:pt>
                <c:pt idx="279">
                  <c:v>11.159999999999938</c:v>
                </c:pt>
                <c:pt idx="280">
                  <c:v>11.199999999999937</c:v>
                </c:pt>
                <c:pt idx="281">
                  <c:v>11.239999999999936</c:v>
                </c:pt>
                <c:pt idx="282">
                  <c:v>11.279999999999935</c:v>
                </c:pt>
                <c:pt idx="283">
                  <c:v>11.319999999999935</c:v>
                </c:pt>
                <c:pt idx="284">
                  <c:v>11.359999999999934</c:v>
                </c:pt>
                <c:pt idx="285">
                  <c:v>11.399999999999933</c:v>
                </c:pt>
                <c:pt idx="286">
                  <c:v>11.439999999999932</c:v>
                </c:pt>
                <c:pt idx="287">
                  <c:v>11.479999999999931</c:v>
                </c:pt>
                <c:pt idx="288">
                  <c:v>11.51999999999993</c:v>
                </c:pt>
                <c:pt idx="289">
                  <c:v>11.559999999999929</c:v>
                </c:pt>
                <c:pt idx="290">
                  <c:v>11.599999999999929</c:v>
                </c:pt>
                <c:pt idx="291">
                  <c:v>11.639999999999928</c:v>
                </c:pt>
                <c:pt idx="292">
                  <c:v>11.679999999999927</c:v>
                </c:pt>
                <c:pt idx="293">
                  <c:v>11.719999999999926</c:v>
                </c:pt>
                <c:pt idx="294">
                  <c:v>11.759999999999925</c:v>
                </c:pt>
                <c:pt idx="295">
                  <c:v>11.799999999999924</c:v>
                </c:pt>
                <c:pt idx="296">
                  <c:v>11.839999999999923</c:v>
                </c:pt>
                <c:pt idx="297">
                  <c:v>11.879999999999923</c:v>
                </c:pt>
                <c:pt idx="298">
                  <c:v>11.919999999999922</c:v>
                </c:pt>
                <c:pt idx="299">
                  <c:v>11.959999999999921</c:v>
                </c:pt>
                <c:pt idx="300">
                  <c:v>11.99999999999992</c:v>
                </c:pt>
                <c:pt idx="301">
                  <c:v>12.039999999999919</c:v>
                </c:pt>
                <c:pt idx="302">
                  <c:v>12.079999999999918</c:v>
                </c:pt>
                <c:pt idx="303">
                  <c:v>12.119999999999918</c:v>
                </c:pt>
                <c:pt idx="304">
                  <c:v>12.159999999999917</c:v>
                </c:pt>
                <c:pt idx="305">
                  <c:v>12.199999999999916</c:v>
                </c:pt>
                <c:pt idx="306">
                  <c:v>12.239999999999915</c:v>
                </c:pt>
                <c:pt idx="307">
                  <c:v>12.279999999999914</c:v>
                </c:pt>
                <c:pt idx="308">
                  <c:v>12.319999999999913</c:v>
                </c:pt>
                <c:pt idx="309">
                  <c:v>12.359999999999912</c:v>
                </c:pt>
                <c:pt idx="310">
                  <c:v>12.399999999999912</c:v>
                </c:pt>
                <c:pt idx="311">
                  <c:v>12.439999999999911</c:v>
                </c:pt>
                <c:pt idx="312">
                  <c:v>12.47999999999991</c:v>
                </c:pt>
                <c:pt idx="313">
                  <c:v>12.519999999999909</c:v>
                </c:pt>
                <c:pt idx="314">
                  <c:v>12.559999999999908</c:v>
                </c:pt>
                <c:pt idx="315">
                  <c:v>12.599999999999907</c:v>
                </c:pt>
                <c:pt idx="316">
                  <c:v>12.639999999999906</c:v>
                </c:pt>
                <c:pt idx="317">
                  <c:v>12.679999999999906</c:v>
                </c:pt>
                <c:pt idx="318">
                  <c:v>12.719999999999905</c:v>
                </c:pt>
                <c:pt idx="319">
                  <c:v>12.759999999999904</c:v>
                </c:pt>
                <c:pt idx="320">
                  <c:v>12.799999999999903</c:v>
                </c:pt>
                <c:pt idx="321">
                  <c:v>12.839999999999902</c:v>
                </c:pt>
                <c:pt idx="322">
                  <c:v>12.879999999999901</c:v>
                </c:pt>
                <c:pt idx="323">
                  <c:v>12.9199999999999</c:v>
                </c:pt>
                <c:pt idx="324">
                  <c:v>12.9599999999999</c:v>
                </c:pt>
                <c:pt idx="325">
                  <c:v>12.999999999999899</c:v>
                </c:pt>
                <c:pt idx="326">
                  <c:v>13.039999999999898</c:v>
                </c:pt>
                <c:pt idx="327">
                  <c:v>13.079999999999897</c:v>
                </c:pt>
                <c:pt idx="328">
                  <c:v>13.119999999999896</c:v>
                </c:pt>
                <c:pt idx="329">
                  <c:v>13.159999999999895</c:v>
                </c:pt>
                <c:pt idx="330">
                  <c:v>13.199999999999894</c:v>
                </c:pt>
                <c:pt idx="331">
                  <c:v>13.239999999999894</c:v>
                </c:pt>
                <c:pt idx="332">
                  <c:v>13.279999999999893</c:v>
                </c:pt>
                <c:pt idx="333">
                  <c:v>13.319999999999892</c:v>
                </c:pt>
                <c:pt idx="334">
                  <c:v>13.359999999999891</c:v>
                </c:pt>
                <c:pt idx="335">
                  <c:v>13.39999999999989</c:v>
                </c:pt>
                <c:pt idx="336">
                  <c:v>13.439999999999889</c:v>
                </c:pt>
                <c:pt idx="337">
                  <c:v>13.479999999999889</c:v>
                </c:pt>
                <c:pt idx="338">
                  <c:v>13.519999999999888</c:v>
                </c:pt>
                <c:pt idx="339">
                  <c:v>13.559999999999887</c:v>
                </c:pt>
                <c:pt idx="340">
                  <c:v>13.599999999999886</c:v>
                </c:pt>
                <c:pt idx="341">
                  <c:v>13.639999999999885</c:v>
                </c:pt>
                <c:pt idx="342">
                  <c:v>13.679999999999884</c:v>
                </c:pt>
                <c:pt idx="343">
                  <c:v>13.719999999999883</c:v>
                </c:pt>
                <c:pt idx="344">
                  <c:v>13.759999999999883</c:v>
                </c:pt>
                <c:pt idx="345">
                  <c:v>13.799999999999882</c:v>
                </c:pt>
                <c:pt idx="346">
                  <c:v>13.839999999999881</c:v>
                </c:pt>
                <c:pt idx="347">
                  <c:v>13.87999999999988</c:v>
                </c:pt>
                <c:pt idx="348">
                  <c:v>13.919999999999879</c:v>
                </c:pt>
                <c:pt idx="349">
                  <c:v>13.959999999999878</c:v>
                </c:pt>
                <c:pt idx="350">
                  <c:v>13.999999999999877</c:v>
                </c:pt>
                <c:pt idx="351">
                  <c:v>14.039999999999877</c:v>
                </c:pt>
                <c:pt idx="352">
                  <c:v>14.079999999999876</c:v>
                </c:pt>
                <c:pt idx="353">
                  <c:v>14.119999999999875</c:v>
                </c:pt>
                <c:pt idx="354">
                  <c:v>14.159999999999874</c:v>
                </c:pt>
                <c:pt idx="355">
                  <c:v>14.199999999999873</c:v>
                </c:pt>
                <c:pt idx="356">
                  <c:v>14.239999999999872</c:v>
                </c:pt>
                <c:pt idx="357">
                  <c:v>14.279999999999871</c:v>
                </c:pt>
                <c:pt idx="358">
                  <c:v>14.319999999999871</c:v>
                </c:pt>
                <c:pt idx="359">
                  <c:v>14.35999999999987</c:v>
                </c:pt>
                <c:pt idx="360">
                  <c:v>14.399999999999869</c:v>
                </c:pt>
                <c:pt idx="361">
                  <c:v>14.439999999999868</c:v>
                </c:pt>
                <c:pt idx="362">
                  <c:v>14.479999999999867</c:v>
                </c:pt>
                <c:pt idx="363">
                  <c:v>14.519999999999866</c:v>
                </c:pt>
                <c:pt idx="364">
                  <c:v>14.559999999999865</c:v>
                </c:pt>
                <c:pt idx="365">
                  <c:v>14.599999999999865</c:v>
                </c:pt>
                <c:pt idx="366">
                  <c:v>14.639999999999864</c:v>
                </c:pt>
                <c:pt idx="367">
                  <c:v>14.679999999999863</c:v>
                </c:pt>
                <c:pt idx="368">
                  <c:v>14.719999999999862</c:v>
                </c:pt>
                <c:pt idx="369">
                  <c:v>14.759999999999861</c:v>
                </c:pt>
                <c:pt idx="370">
                  <c:v>14.79999999999986</c:v>
                </c:pt>
                <c:pt idx="371">
                  <c:v>14.83999999999986</c:v>
                </c:pt>
                <c:pt idx="372">
                  <c:v>14.879999999999859</c:v>
                </c:pt>
                <c:pt idx="373">
                  <c:v>14.919999999999858</c:v>
                </c:pt>
                <c:pt idx="374">
                  <c:v>14.959999999999857</c:v>
                </c:pt>
                <c:pt idx="375">
                  <c:v>14.999999999999856</c:v>
                </c:pt>
                <c:pt idx="376">
                  <c:v>15.039999999999855</c:v>
                </c:pt>
                <c:pt idx="377">
                  <c:v>15.079999999999854</c:v>
                </c:pt>
                <c:pt idx="378">
                  <c:v>15.119999999999854</c:v>
                </c:pt>
                <c:pt idx="379">
                  <c:v>15.159999999999853</c:v>
                </c:pt>
                <c:pt idx="380">
                  <c:v>15.199999999999852</c:v>
                </c:pt>
                <c:pt idx="381">
                  <c:v>15.239999999999851</c:v>
                </c:pt>
                <c:pt idx="382">
                  <c:v>15.27999999999985</c:v>
                </c:pt>
                <c:pt idx="383">
                  <c:v>15.319999999999849</c:v>
                </c:pt>
                <c:pt idx="384">
                  <c:v>15.359999999999848</c:v>
                </c:pt>
                <c:pt idx="385">
                  <c:v>15.399999999999848</c:v>
                </c:pt>
                <c:pt idx="386">
                  <c:v>15.439999999999847</c:v>
                </c:pt>
                <c:pt idx="387">
                  <c:v>15.479999999999846</c:v>
                </c:pt>
                <c:pt idx="388">
                  <c:v>15.519999999999845</c:v>
                </c:pt>
                <c:pt idx="389">
                  <c:v>15.559999999999844</c:v>
                </c:pt>
                <c:pt idx="390">
                  <c:v>15.599999999999843</c:v>
                </c:pt>
                <c:pt idx="391">
                  <c:v>15.639999999999842</c:v>
                </c:pt>
                <c:pt idx="392">
                  <c:v>15.679999999999842</c:v>
                </c:pt>
                <c:pt idx="393">
                  <c:v>15.719999999999841</c:v>
                </c:pt>
                <c:pt idx="394">
                  <c:v>15.75999999999984</c:v>
                </c:pt>
                <c:pt idx="395">
                  <c:v>15.799999999999839</c:v>
                </c:pt>
                <c:pt idx="396">
                  <c:v>15.839999999999838</c:v>
                </c:pt>
                <c:pt idx="397">
                  <c:v>15.879999999999837</c:v>
                </c:pt>
                <c:pt idx="398">
                  <c:v>15.919999999999837</c:v>
                </c:pt>
                <c:pt idx="399">
                  <c:v>15.959999999999836</c:v>
                </c:pt>
                <c:pt idx="400">
                  <c:v>15.999999999999835</c:v>
                </c:pt>
                <c:pt idx="401">
                  <c:v>16.039999999999836</c:v>
                </c:pt>
                <c:pt idx="402">
                  <c:v>16.079999999999835</c:v>
                </c:pt>
                <c:pt idx="403">
                  <c:v>16.119999999999834</c:v>
                </c:pt>
                <c:pt idx="404">
                  <c:v>16.159999999999833</c:v>
                </c:pt>
                <c:pt idx="405">
                  <c:v>16.199999999999832</c:v>
                </c:pt>
                <c:pt idx="406">
                  <c:v>16.239999999999831</c:v>
                </c:pt>
                <c:pt idx="407">
                  <c:v>16.279999999999831</c:v>
                </c:pt>
                <c:pt idx="408">
                  <c:v>16.31999999999983</c:v>
                </c:pt>
                <c:pt idx="409">
                  <c:v>16.359999999999829</c:v>
                </c:pt>
                <c:pt idx="410">
                  <c:v>16.399999999999828</c:v>
                </c:pt>
                <c:pt idx="411">
                  <c:v>16.439999999999827</c:v>
                </c:pt>
                <c:pt idx="412">
                  <c:v>16.479999999999826</c:v>
                </c:pt>
                <c:pt idx="413">
                  <c:v>16.519999999999825</c:v>
                </c:pt>
                <c:pt idx="414">
                  <c:v>16.559999999999825</c:v>
                </c:pt>
                <c:pt idx="415">
                  <c:v>16.599999999999824</c:v>
                </c:pt>
                <c:pt idx="416">
                  <c:v>16.639999999999823</c:v>
                </c:pt>
                <c:pt idx="417">
                  <c:v>16.679999999999822</c:v>
                </c:pt>
                <c:pt idx="418">
                  <c:v>16.719999999999821</c:v>
                </c:pt>
                <c:pt idx="419">
                  <c:v>16.75999999999982</c:v>
                </c:pt>
                <c:pt idx="420">
                  <c:v>16.79999999999982</c:v>
                </c:pt>
                <c:pt idx="421">
                  <c:v>16.839999999999819</c:v>
                </c:pt>
                <c:pt idx="422">
                  <c:v>16.879999999999818</c:v>
                </c:pt>
                <c:pt idx="423">
                  <c:v>16.919999999999817</c:v>
                </c:pt>
                <c:pt idx="424">
                  <c:v>16.959999999999816</c:v>
                </c:pt>
                <c:pt idx="425">
                  <c:v>16.999999999999815</c:v>
                </c:pt>
                <c:pt idx="426">
                  <c:v>17.039999999999814</c:v>
                </c:pt>
                <c:pt idx="427">
                  <c:v>17.079999999999814</c:v>
                </c:pt>
                <c:pt idx="428">
                  <c:v>17.119999999999813</c:v>
                </c:pt>
                <c:pt idx="429">
                  <c:v>17.159999999999812</c:v>
                </c:pt>
                <c:pt idx="430">
                  <c:v>17.199999999999811</c:v>
                </c:pt>
                <c:pt idx="431">
                  <c:v>17.23999999999981</c:v>
                </c:pt>
                <c:pt idx="432">
                  <c:v>17.279999999999809</c:v>
                </c:pt>
                <c:pt idx="433">
                  <c:v>17.319999999999808</c:v>
                </c:pt>
                <c:pt idx="434">
                  <c:v>17.359999999999808</c:v>
                </c:pt>
                <c:pt idx="435">
                  <c:v>17.399999999999807</c:v>
                </c:pt>
                <c:pt idx="436">
                  <c:v>17.439999999999806</c:v>
                </c:pt>
                <c:pt idx="437">
                  <c:v>17.479999999999805</c:v>
                </c:pt>
                <c:pt idx="438">
                  <c:v>17.519999999999804</c:v>
                </c:pt>
                <c:pt idx="439">
                  <c:v>17.559999999999803</c:v>
                </c:pt>
                <c:pt idx="440">
                  <c:v>17.599999999999802</c:v>
                </c:pt>
                <c:pt idx="441">
                  <c:v>17.639999999999802</c:v>
                </c:pt>
                <c:pt idx="442">
                  <c:v>17.679999999999801</c:v>
                </c:pt>
                <c:pt idx="443">
                  <c:v>17.7199999999998</c:v>
                </c:pt>
                <c:pt idx="444">
                  <c:v>17.759999999999799</c:v>
                </c:pt>
                <c:pt idx="445">
                  <c:v>17.799999999999798</c:v>
                </c:pt>
                <c:pt idx="446">
                  <c:v>17.839999999999797</c:v>
                </c:pt>
                <c:pt idx="447">
                  <c:v>17.879999999999797</c:v>
                </c:pt>
                <c:pt idx="448">
                  <c:v>17.919999999999796</c:v>
                </c:pt>
                <c:pt idx="449">
                  <c:v>17.959999999999795</c:v>
                </c:pt>
                <c:pt idx="450">
                  <c:v>17.999999999999794</c:v>
                </c:pt>
                <c:pt idx="451">
                  <c:v>18.039999999999793</c:v>
                </c:pt>
                <c:pt idx="452">
                  <c:v>18.079999999999792</c:v>
                </c:pt>
                <c:pt idx="453">
                  <c:v>18.119999999999791</c:v>
                </c:pt>
                <c:pt idx="454">
                  <c:v>18.159999999999791</c:v>
                </c:pt>
                <c:pt idx="455">
                  <c:v>18.19999999999979</c:v>
                </c:pt>
                <c:pt idx="456">
                  <c:v>18.239999999999789</c:v>
                </c:pt>
                <c:pt idx="457">
                  <c:v>18.279999999999788</c:v>
                </c:pt>
                <c:pt idx="458">
                  <c:v>18.319999999999787</c:v>
                </c:pt>
                <c:pt idx="459">
                  <c:v>18.359999999999786</c:v>
                </c:pt>
                <c:pt idx="460">
                  <c:v>18.399999999999785</c:v>
                </c:pt>
                <c:pt idx="461">
                  <c:v>18.439999999999785</c:v>
                </c:pt>
                <c:pt idx="462">
                  <c:v>18.479999999999784</c:v>
                </c:pt>
                <c:pt idx="463">
                  <c:v>18.519999999999783</c:v>
                </c:pt>
                <c:pt idx="464">
                  <c:v>18.559999999999782</c:v>
                </c:pt>
                <c:pt idx="465">
                  <c:v>18.599999999999781</c:v>
                </c:pt>
                <c:pt idx="466">
                  <c:v>18.63999999999978</c:v>
                </c:pt>
                <c:pt idx="467">
                  <c:v>18.679999999999779</c:v>
                </c:pt>
                <c:pt idx="468">
                  <c:v>18.719999999999779</c:v>
                </c:pt>
                <c:pt idx="469">
                  <c:v>18.759999999999778</c:v>
                </c:pt>
                <c:pt idx="470">
                  <c:v>18.799999999999777</c:v>
                </c:pt>
                <c:pt idx="471">
                  <c:v>18.839999999999776</c:v>
                </c:pt>
                <c:pt idx="472">
                  <c:v>18.879999999999775</c:v>
                </c:pt>
                <c:pt idx="473">
                  <c:v>18.919999999999774</c:v>
                </c:pt>
                <c:pt idx="474">
                  <c:v>18.959999999999773</c:v>
                </c:pt>
                <c:pt idx="475">
                  <c:v>18.999999999999773</c:v>
                </c:pt>
                <c:pt idx="476">
                  <c:v>19.039999999999772</c:v>
                </c:pt>
                <c:pt idx="477">
                  <c:v>19.079999999999771</c:v>
                </c:pt>
                <c:pt idx="478">
                  <c:v>19.11999999999977</c:v>
                </c:pt>
                <c:pt idx="479">
                  <c:v>19.159999999999769</c:v>
                </c:pt>
                <c:pt idx="480">
                  <c:v>19.199999999999768</c:v>
                </c:pt>
                <c:pt idx="481">
                  <c:v>19.239999999999768</c:v>
                </c:pt>
                <c:pt idx="482">
                  <c:v>19.279999999999767</c:v>
                </c:pt>
                <c:pt idx="483">
                  <c:v>19.319999999999766</c:v>
                </c:pt>
                <c:pt idx="484">
                  <c:v>19.359999999999765</c:v>
                </c:pt>
                <c:pt idx="485">
                  <c:v>19.399999999999764</c:v>
                </c:pt>
                <c:pt idx="486">
                  <c:v>19.439999999999763</c:v>
                </c:pt>
                <c:pt idx="487">
                  <c:v>19.479999999999762</c:v>
                </c:pt>
                <c:pt idx="488">
                  <c:v>19.519999999999762</c:v>
                </c:pt>
                <c:pt idx="489">
                  <c:v>19.559999999999761</c:v>
                </c:pt>
                <c:pt idx="490">
                  <c:v>19.59999999999976</c:v>
                </c:pt>
                <c:pt idx="491">
                  <c:v>19.639999999999759</c:v>
                </c:pt>
                <c:pt idx="492">
                  <c:v>19.679999999999758</c:v>
                </c:pt>
                <c:pt idx="493">
                  <c:v>19.719999999999757</c:v>
                </c:pt>
                <c:pt idx="494">
                  <c:v>19.759999999999756</c:v>
                </c:pt>
                <c:pt idx="495">
                  <c:v>19.799999999999756</c:v>
                </c:pt>
                <c:pt idx="496">
                  <c:v>19.839999999999755</c:v>
                </c:pt>
                <c:pt idx="497">
                  <c:v>19.879999999999754</c:v>
                </c:pt>
                <c:pt idx="498">
                  <c:v>19.919999999999753</c:v>
                </c:pt>
                <c:pt idx="499">
                  <c:v>19.959999999999752</c:v>
                </c:pt>
                <c:pt idx="500">
                  <c:v>19.999999999999751</c:v>
                </c:pt>
                <c:pt idx="501">
                  <c:v>20.03999999999975</c:v>
                </c:pt>
                <c:pt idx="502">
                  <c:v>20.07999999999975</c:v>
                </c:pt>
                <c:pt idx="503">
                  <c:v>20.119999999999749</c:v>
                </c:pt>
                <c:pt idx="504">
                  <c:v>20.159999999999748</c:v>
                </c:pt>
                <c:pt idx="505">
                  <c:v>20.199999999999747</c:v>
                </c:pt>
                <c:pt idx="506">
                  <c:v>20.239999999999746</c:v>
                </c:pt>
                <c:pt idx="507">
                  <c:v>20.279999999999745</c:v>
                </c:pt>
                <c:pt idx="508">
                  <c:v>20.319999999999744</c:v>
                </c:pt>
                <c:pt idx="509">
                  <c:v>20.359999999999744</c:v>
                </c:pt>
                <c:pt idx="510">
                  <c:v>20.399999999999743</c:v>
                </c:pt>
                <c:pt idx="511">
                  <c:v>20.439999999999742</c:v>
                </c:pt>
                <c:pt idx="512">
                  <c:v>20.479999999999741</c:v>
                </c:pt>
                <c:pt idx="513">
                  <c:v>20.51999999999974</c:v>
                </c:pt>
                <c:pt idx="514">
                  <c:v>20.559999999999739</c:v>
                </c:pt>
                <c:pt idx="515">
                  <c:v>20.599999999999739</c:v>
                </c:pt>
                <c:pt idx="516">
                  <c:v>20.639999999999738</c:v>
                </c:pt>
                <c:pt idx="517">
                  <c:v>20.679999999999737</c:v>
                </c:pt>
                <c:pt idx="518">
                  <c:v>20.719999999999736</c:v>
                </c:pt>
                <c:pt idx="519">
                  <c:v>20.759999999999735</c:v>
                </c:pt>
                <c:pt idx="520">
                  <c:v>20.799999999999734</c:v>
                </c:pt>
                <c:pt idx="521">
                  <c:v>20.839999999999733</c:v>
                </c:pt>
                <c:pt idx="522">
                  <c:v>20.879999999999733</c:v>
                </c:pt>
                <c:pt idx="523">
                  <c:v>20.919999999999732</c:v>
                </c:pt>
                <c:pt idx="524">
                  <c:v>20.959999999999731</c:v>
                </c:pt>
                <c:pt idx="525">
                  <c:v>20.99999999999973</c:v>
                </c:pt>
                <c:pt idx="526">
                  <c:v>21.039999999999729</c:v>
                </c:pt>
                <c:pt idx="527">
                  <c:v>21.079999999999728</c:v>
                </c:pt>
                <c:pt idx="528">
                  <c:v>21.119999999999727</c:v>
                </c:pt>
                <c:pt idx="529">
                  <c:v>21.159999999999727</c:v>
                </c:pt>
                <c:pt idx="530">
                  <c:v>21.199999999999726</c:v>
                </c:pt>
                <c:pt idx="531">
                  <c:v>21.239999999999725</c:v>
                </c:pt>
                <c:pt idx="532">
                  <c:v>21.279999999999724</c:v>
                </c:pt>
                <c:pt idx="533">
                  <c:v>21.319999999999723</c:v>
                </c:pt>
                <c:pt idx="534">
                  <c:v>21.359999999999722</c:v>
                </c:pt>
                <c:pt idx="535">
                  <c:v>21.399999999999721</c:v>
                </c:pt>
                <c:pt idx="536">
                  <c:v>21.439999999999721</c:v>
                </c:pt>
                <c:pt idx="537">
                  <c:v>21.47999999999972</c:v>
                </c:pt>
                <c:pt idx="538">
                  <c:v>21.519999999999719</c:v>
                </c:pt>
                <c:pt idx="539">
                  <c:v>21.559999999999718</c:v>
                </c:pt>
                <c:pt idx="540">
                  <c:v>21.599999999999717</c:v>
                </c:pt>
                <c:pt idx="541">
                  <c:v>21.639999999999716</c:v>
                </c:pt>
                <c:pt idx="542">
                  <c:v>21.679999999999715</c:v>
                </c:pt>
                <c:pt idx="543">
                  <c:v>21.719999999999715</c:v>
                </c:pt>
                <c:pt idx="544">
                  <c:v>21.759999999999714</c:v>
                </c:pt>
                <c:pt idx="545">
                  <c:v>21.799999999999713</c:v>
                </c:pt>
                <c:pt idx="546">
                  <c:v>21.839999999999712</c:v>
                </c:pt>
                <c:pt idx="547">
                  <c:v>21.879999999999711</c:v>
                </c:pt>
                <c:pt idx="548">
                  <c:v>21.91999999999971</c:v>
                </c:pt>
                <c:pt idx="549">
                  <c:v>21.95999999999971</c:v>
                </c:pt>
                <c:pt idx="550">
                  <c:v>21.999999999999709</c:v>
                </c:pt>
                <c:pt idx="551">
                  <c:v>22.039999999999708</c:v>
                </c:pt>
                <c:pt idx="552">
                  <c:v>22.079999999999707</c:v>
                </c:pt>
                <c:pt idx="553">
                  <c:v>22.119999999999706</c:v>
                </c:pt>
                <c:pt idx="554">
                  <c:v>22.159999999999705</c:v>
                </c:pt>
                <c:pt idx="555">
                  <c:v>22.199999999999704</c:v>
                </c:pt>
                <c:pt idx="556">
                  <c:v>22.239999999999704</c:v>
                </c:pt>
                <c:pt idx="557">
                  <c:v>22.279999999999703</c:v>
                </c:pt>
                <c:pt idx="558">
                  <c:v>22.319999999999702</c:v>
                </c:pt>
                <c:pt idx="559">
                  <c:v>22.359999999999701</c:v>
                </c:pt>
                <c:pt idx="560">
                  <c:v>22.3999999999997</c:v>
                </c:pt>
                <c:pt idx="561">
                  <c:v>22.439999999999699</c:v>
                </c:pt>
                <c:pt idx="562">
                  <c:v>22.479999999999698</c:v>
                </c:pt>
                <c:pt idx="563">
                  <c:v>22.519999999999698</c:v>
                </c:pt>
                <c:pt idx="564">
                  <c:v>22.559999999999697</c:v>
                </c:pt>
                <c:pt idx="565">
                  <c:v>22.599999999999696</c:v>
                </c:pt>
                <c:pt idx="566">
                  <c:v>22.639999999999695</c:v>
                </c:pt>
                <c:pt idx="567">
                  <c:v>22.679999999999694</c:v>
                </c:pt>
                <c:pt idx="568">
                  <c:v>22.719999999999693</c:v>
                </c:pt>
                <c:pt idx="569">
                  <c:v>22.759999999999692</c:v>
                </c:pt>
                <c:pt idx="570">
                  <c:v>22.799999999999692</c:v>
                </c:pt>
                <c:pt idx="571">
                  <c:v>22.839999999999691</c:v>
                </c:pt>
                <c:pt idx="572">
                  <c:v>22.87999999999969</c:v>
                </c:pt>
                <c:pt idx="573">
                  <c:v>22.919999999999689</c:v>
                </c:pt>
                <c:pt idx="574">
                  <c:v>22.959999999999688</c:v>
                </c:pt>
                <c:pt idx="575">
                  <c:v>22.999999999999687</c:v>
                </c:pt>
                <c:pt idx="576">
                  <c:v>23.039999999999687</c:v>
                </c:pt>
                <c:pt idx="577">
                  <c:v>23.079999999999686</c:v>
                </c:pt>
                <c:pt idx="578">
                  <c:v>23.119999999999685</c:v>
                </c:pt>
                <c:pt idx="579">
                  <c:v>23.159999999999684</c:v>
                </c:pt>
                <c:pt idx="580">
                  <c:v>23.199999999999683</c:v>
                </c:pt>
                <c:pt idx="581">
                  <c:v>23.239999999999682</c:v>
                </c:pt>
                <c:pt idx="582">
                  <c:v>23.279999999999681</c:v>
                </c:pt>
                <c:pt idx="583">
                  <c:v>23.319999999999681</c:v>
                </c:pt>
                <c:pt idx="584">
                  <c:v>23.35999999999968</c:v>
                </c:pt>
                <c:pt idx="585">
                  <c:v>23.399999999999679</c:v>
                </c:pt>
                <c:pt idx="586">
                  <c:v>23.439999999999678</c:v>
                </c:pt>
                <c:pt idx="587">
                  <c:v>23.479999999999677</c:v>
                </c:pt>
                <c:pt idx="588">
                  <c:v>23.519999999999676</c:v>
                </c:pt>
                <c:pt idx="589">
                  <c:v>23.559999999999675</c:v>
                </c:pt>
                <c:pt idx="590">
                  <c:v>23.599999999999675</c:v>
                </c:pt>
                <c:pt idx="591">
                  <c:v>23.639999999999674</c:v>
                </c:pt>
                <c:pt idx="592">
                  <c:v>23.679999999999673</c:v>
                </c:pt>
                <c:pt idx="593">
                  <c:v>23.719999999999672</c:v>
                </c:pt>
                <c:pt idx="594">
                  <c:v>23.759999999999671</c:v>
                </c:pt>
                <c:pt idx="595">
                  <c:v>23.79999999999967</c:v>
                </c:pt>
                <c:pt idx="596">
                  <c:v>23.839999999999669</c:v>
                </c:pt>
                <c:pt idx="597">
                  <c:v>23.879999999999669</c:v>
                </c:pt>
                <c:pt idx="598">
                  <c:v>23.919999999999668</c:v>
                </c:pt>
                <c:pt idx="599">
                  <c:v>23.959999999999667</c:v>
                </c:pt>
                <c:pt idx="600">
                  <c:v>23.999999999999666</c:v>
                </c:pt>
                <c:pt idx="601">
                  <c:v>24.039999999999665</c:v>
                </c:pt>
                <c:pt idx="602">
                  <c:v>24.079999999999664</c:v>
                </c:pt>
                <c:pt idx="603">
                  <c:v>24.119999999999663</c:v>
                </c:pt>
                <c:pt idx="604">
                  <c:v>24.159999999999663</c:v>
                </c:pt>
                <c:pt idx="605">
                  <c:v>24.199999999999662</c:v>
                </c:pt>
                <c:pt idx="606">
                  <c:v>24.239999999999661</c:v>
                </c:pt>
                <c:pt idx="607">
                  <c:v>24.27999999999966</c:v>
                </c:pt>
                <c:pt idx="608">
                  <c:v>24.319999999999659</c:v>
                </c:pt>
                <c:pt idx="609">
                  <c:v>24.359999999999658</c:v>
                </c:pt>
                <c:pt idx="610">
                  <c:v>24.399999999999658</c:v>
                </c:pt>
                <c:pt idx="611">
                  <c:v>24.439999999999657</c:v>
                </c:pt>
                <c:pt idx="612">
                  <c:v>24.479999999999656</c:v>
                </c:pt>
                <c:pt idx="613">
                  <c:v>24.519999999999655</c:v>
                </c:pt>
                <c:pt idx="614">
                  <c:v>24.559999999999654</c:v>
                </c:pt>
                <c:pt idx="615">
                  <c:v>24.599999999999653</c:v>
                </c:pt>
                <c:pt idx="616">
                  <c:v>24.639999999999652</c:v>
                </c:pt>
                <c:pt idx="617">
                  <c:v>24.679999999999652</c:v>
                </c:pt>
                <c:pt idx="618">
                  <c:v>24.719999999999651</c:v>
                </c:pt>
                <c:pt idx="619">
                  <c:v>24.75999999999965</c:v>
                </c:pt>
                <c:pt idx="620">
                  <c:v>24.799999999999649</c:v>
                </c:pt>
                <c:pt idx="621">
                  <c:v>24.839999999999648</c:v>
                </c:pt>
                <c:pt idx="622">
                  <c:v>24.879999999999647</c:v>
                </c:pt>
                <c:pt idx="623">
                  <c:v>24.919999999999646</c:v>
                </c:pt>
                <c:pt idx="624">
                  <c:v>24.959999999999646</c:v>
                </c:pt>
                <c:pt idx="625">
                  <c:v>24.999999999999645</c:v>
                </c:pt>
                <c:pt idx="626">
                  <c:v>25.039999999999644</c:v>
                </c:pt>
                <c:pt idx="627">
                  <c:v>25.079999999999643</c:v>
                </c:pt>
                <c:pt idx="628">
                  <c:v>25.119999999999642</c:v>
                </c:pt>
                <c:pt idx="629">
                  <c:v>25.159999999999641</c:v>
                </c:pt>
                <c:pt idx="630">
                  <c:v>25.19999999999964</c:v>
                </c:pt>
                <c:pt idx="631">
                  <c:v>25.23999999999964</c:v>
                </c:pt>
                <c:pt idx="632">
                  <c:v>25.279999999999639</c:v>
                </c:pt>
                <c:pt idx="633">
                  <c:v>25.319999999999638</c:v>
                </c:pt>
                <c:pt idx="634">
                  <c:v>25.359999999999637</c:v>
                </c:pt>
                <c:pt idx="635">
                  <c:v>25.399999999999636</c:v>
                </c:pt>
                <c:pt idx="636">
                  <c:v>25.439999999999635</c:v>
                </c:pt>
                <c:pt idx="637">
                  <c:v>25.479999999999634</c:v>
                </c:pt>
                <c:pt idx="638">
                  <c:v>25.519999999999634</c:v>
                </c:pt>
                <c:pt idx="639">
                  <c:v>25.559999999999633</c:v>
                </c:pt>
                <c:pt idx="640">
                  <c:v>25.599999999999632</c:v>
                </c:pt>
                <c:pt idx="641">
                  <c:v>25.639999999999631</c:v>
                </c:pt>
                <c:pt idx="642">
                  <c:v>25.67999999999963</c:v>
                </c:pt>
                <c:pt idx="643">
                  <c:v>25.719999999999629</c:v>
                </c:pt>
                <c:pt idx="644">
                  <c:v>25.759999999999629</c:v>
                </c:pt>
                <c:pt idx="645">
                  <c:v>25.799999999999628</c:v>
                </c:pt>
                <c:pt idx="646">
                  <c:v>25.839999999999627</c:v>
                </c:pt>
                <c:pt idx="647">
                  <c:v>25.879999999999626</c:v>
                </c:pt>
                <c:pt idx="648">
                  <c:v>25.919999999999625</c:v>
                </c:pt>
                <c:pt idx="649">
                  <c:v>25.959999999999624</c:v>
                </c:pt>
                <c:pt idx="650">
                  <c:v>25.999999999999623</c:v>
                </c:pt>
                <c:pt idx="651">
                  <c:v>26.039999999999623</c:v>
                </c:pt>
                <c:pt idx="652">
                  <c:v>26.079999999999622</c:v>
                </c:pt>
                <c:pt idx="653">
                  <c:v>26.119999999999621</c:v>
                </c:pt>
                <c:pt idx="654">
                  <c:v>26.15999999999962</c:v>
                </c:pt>
                <c:pt idx="655">
                  <c:v>26.199999999999619</c:v>
                </c:pt>
                <c:pt idx="656">
                  <c:v>26.239999999999618</c:v>
                </c:pt>
                <c:pt idx="657">
                  <c:v>26.279999999999617</c:v>
                </c:pt>
                <c:pt idx="658">
                  <c:v>26.319999999999617</c:v>
                </c:pt>
                <c:pt idx="659">
                  <c:v>26.359999999999616</c:v>
                </c:pt>
                <c:pt idx="660">
                  <c:v>26.399999999999615</c:v>
                </c:pt>
                <c:pt idx="661">
                  <c:v>26.439999999999614</c:v>
                </c:pt>
                <c:pt idx="662">
                  <c:v>26.479999999999613</c:v>
                </c:pt>
                <c:pt idx="663">
                  <c:v>26.519999999999612</c:v>
                </c:pt>
                <c:pt idx="664">
                  <c:v>26.559999999999611</c:v>
                </c:pt>
                <c:pt idx="665">
                  <c:v>26.599999999999611</c:v>
                </c:pt>
                <c:pt idx="666">
                  <c:v>26.63999999999961</c:v>
                </c:pt>
                <c:pt idx="667">
                  <c:v>26.679999999999609</c:v>
                </c:pt>
                <c:pt idx="668">
                  <c:v>26.719999999999608</c:v>
                </c:pt>
                <c:pt idx="669">
                  <c:v>26.759999999999607</c:v>
                </c:pt>
                <c:pt idx="670">
                  <c:v>26.799999999999606</c:v>
                </c:pt>
                <c:pt idx="671">
                  <c:v>26.839999999999606</c:v>
                </c:pt>
                <c:pt idx="672">
                  <c:v>26.879999999999605</c:v>
                </c:pt>
                <c:pt idx="673">
                  <c:v>26.919999999999604</c:v>
                </c:pt>
                <c:pt idx="674">
                  <c:v>26.959999999999603</c:v>
                </c:pt>
                <c:pt idx="675">
                  <c:v>26.999999999999602</c:v>
                </c:pt>
                <c:pt idx="676">
                  <c:v>27.039999999999601</c:v>
                </c:pt>
                <c:pt idx="677">
                  <c:v>27.0799999999996</c:v>
                </c:pt>
                <c:pt idx="678">
                  <c:v>27.1199999999996</c:v>
                </c:pt>
                <c:pt idx="679">
                  <c:v>27.159999999999599</c:v>
                </c:pt>
                <c:pt idx="680">
                  <c:v>27.199999999999598</c:v>
                </c:pt>
                <c:pt idx="681">
                  <c:v>27.239999999999597</c:v>
                </c:pt>
                <c:pt idx="682">
                  <c:v>27.279999999999596</c:v>
                </c:pt>
                <c:pt idx="683">
                  <c:v>27.319999999999595</c:v>
                </c:pt>
                <c:pt idx="684">
                  <c:v>27.359999999999594</c:v>
                </c:pt>
                <c:pt idx="685">
                  <c:v>27.399999999999594</c:v>
                </c:pt>
                <c:pt idx="686">
                  <c:v>27.439999999999593</c:v>
                </c:pt>
                <c:pt idx="687">
                  <c:v>27.479999999999592</c:v>
                </c:pt>
                <c:pt idx="688">
                  <c:v>27.519999999999591</c:v>
                </c:pt>
                <c:pt idx="689">
                  <c:v>27.55999999999959</c:v>
                </c:pt>
                <c:pt idx="690">
                  <c:v>27.599999999999589</c:v>
                </c:pt>
                <c:pt idx="691">
                  <c:v>27.639999999999588</c:v>
                </c:pt>
                <c:pt idx="692">
                  <c:v>27.679999999999588</c:v>
                </c:pt>
                <c:pt idx="693">
                  <c:v>27.719999999999587</c:v>
                </c:pt>
                <c:pt idx="694">
                  <c:v>27.759999999999586</c:v>
                </c:pt>
                <c:pt idx="695">
                  <c:v>27.799999999999585</c:v>
                </c:pt>
                <c:pt idx="696">
                  <c:v>27.839999999999584</c:v>
                </c:pt>
                <c:pt idx="697">
                  <c:v>27.879999999999583</c:v>
                </c:pt>
                <c:pt idx="698">
                  <c:v>27.919999999999582</c:v>
                </c:pt>
                <c:pt idx="699">
                  <c:v>27.959999999999582</c:v>
                </c:pt>
                <c:pt idx="700">
                  <c:v>27.999999999999581</c:v>
                </c:pt>
                <c:pt idx="701">
                  <c:v>28.03999999999958</c:v>
                </c:pt>
                <c:pt idx="702">
                  <c:v>28.079999999999579</c:v>
                </c:pt>
                <c:pt idx="703">
                  <c:v>28.119999999999578</c:v>
                </c:pt>
                <c:pt idx="704">
                  <c:v>28.159999999999577</c:v>
                </c:pt>
                <c:pt idx="705">
                  <c:v>28.199999999999577</c:v>
                </c:pt>
                <c:pt idx="706">
                  <c:v>28.239999999999576</c:v>
                </c:pt>
                <c:pt idx="707">
                  <c:v>28.279999999999575</c:v>
                </c:pt>
                <c:pt idx="708">
                  <c:v>28.319999999999574</c:v>
                </c:pt>
                <c:pt idx="709">
                  <c:v>28.359999999999573</c:v>
                </c:pt>
                <c:pt idx="710">
                  <c:v>28.399999999999572</c:v>
                </c:pt>
                <c:pt idx="711">
                  <c:v>28.439999999999571</c:v>
                </c:pt>
                <c:pt idx="712">
                  <c:v>28.479999999999571</c:v>
                </c:pt>
                <c:pt idx="713">
                  <c:v>28.51999999999957</c:v>
                </c:pt>
                <c:pt idx="714">
                  <c:v>28.559999999999569</c:v>
                </c:pt>
                <c:pt idx="715">
                  <c:v>28.599999999999568</c:v>
                </c:pt>
              </c:numCache>
            </c:numRef>
          </c:cat>
          <c:val>
            <c:numRef>
              <c:f>Calculations!$B$35:$AAO$35</c:f>
              <c:numCache>
                <c:formatCode>General</c:formatCode>
                <c:ptCount val="71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70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70</c:v>
                </c:pt>
                <c:pt idx="308">
                  <c:v>70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70</c:v>
                </c:pt>
                <c:pt idx="325">
                  <c:v>70</c:v>
                </c:pt>
                <c:pt idx="326">
                  <c:v>70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70</c:v>
                </c:pt>
                <c:pt idx="412">
                  <c:v>70</c:v>
                </c:pt>
                <c:pt idx="413">
                  <c:v>70</c:v>
                </c:pt>
                <c:pt idx="414">
                  <c:v>70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70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70</c:v>
                </c:pt>
                <c:pt idx="427">
                  <c:v>70</c:v>
                </c:pt>
                <c:pt idx="428">
                  <c:v>70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70</c:v>
                </c:pt>
                <c:pt idx="446">
                  <c:v>70</c:v>
                </c:pt>
                <c:pt idx="447">
                  <c:v>70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70</c:v>
                </c:pt>
                <c:pt idx="452">
                  <c:v>70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70</c:v>
                </c:pt>
                <c:pt idx="457">
                  <c:v>70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70</c:v>
                </c:pt>
                <c:pt idx="477">
                  <c:v>70</c:v>
                </c:pt>
                <c:pt idx="478">
                  <c:v>70</c:v>
                </c:pt>
                <c:pt idx="479">
                  <c:v>70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</c:v>
                </c:pt>
                <c:pt idx="484">
                  <c:v>70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70</c:v>
                </c:pt>
                <c:pt idx="492">
                  <c:v>70</c:v>
                </c:pt>
                <c:pt idx="493">
                  <c:v>70</c:v>
                </c:pt>
                <c:pt idx="494">
                  <c:v>70</c:v>
                </c:pt>
                <c:pt idx="495">
                  <c:v>70</c:v>
                </c:pt>
                <c:pt idx="496">
                  <c:v>70</c:v>
                </c:pt>
                <c:pt idx="497">
                  <c:v>70</c:v>
                </c:pt>
                <c:pt idx="498">
                  <c:v>70</c:v>
                </c:pt>
                <c:pt idx="499">
                  <c:v>70</c:v>
                </c:pt>
                <c:pt idx="500">
                  <c:v>70</c:v>
                </c:pt>
                <c:pt idx="501">
                  <c:v>70</c:v>
                </c:pt>
                <c:pt idx="502">
                  <c:v>70</c:v>
                </c:pt>
                <c:pt idx="503">
                  <c:v>70</c:v>
                </c:pt>
                <c:pt idx="504">
                  <c:v>70</c:v>
                </c:pt>
                <c:pt idx="505">
                  <c:v>70</c:v>
                </c:pt>
                <c:pt idx="506">
                  <c:v>70</c:v>
                </c:pt>
                <c:pt idx="507">
                  <c:v>70</c:v>
                </c:pt>
                <c:pt idx="508">
                  <c:v>70</c:v>
                </c:pt>
                <c:pt idx="509">
                  <c:v>70</c:v>
                </c:pt>
                <c:pt idx="510">
                  <c:v>70</c:v>
                </c:pt>
                <c:pt idx="511">
                  <c:v>70</c:v>
                </c:pt>
                <c:pt idx="512">
                  <c:v>70</c:v>
                </c:pt>
                <c:pt idx="513">
                  <c:v>70</c:v>
                </c:pt>
                <c:pt idx="514">
                  <c:v>70</c:v>
                </c:pt>
                <c:pt idx="515">
                  <c:v>70</c:v>
                </c:pt>
                <c:pt idx="516">
                  <c:v>70</c:v>
                </c:pt>
                <c:pt idx="517">
                  <c:v>70</c:v>
                </c:pt>
                <c:pt idx="518">
                  <c:v>70</c:v>
                </c:pt>
                <c:pt idx="519">
                  <c:v>70</c:v>
                </c:pt>
                <c:pt idx="520">
                  <c:v>70</c:v>
                </c:pt>
                <c:pt idx="521">
                  <c:v>70</c:v>
                </c:pt>
                <c:pt idx="522">
                  <c:v>70</c:v>
                </c:pt>
                <c:pt idx="523">
                  <c:v>70</c:v>
                </c:pt>
                <c:pt idx="524">
                  <c:v>70</c:v>
                </c:pt>
                <c:pt idx="525">
                  <c:v>70</c:v>
                </c:pt>
                <c:pt idx="526">
                  <c:v>70</c:v>
                </c:pt>
                <c:pt idx="527">
                  <c:v>70</c:v>
                </c:pt>
                <c:pt idx="528">
                  <c:v>70</c:v>
                </c:pt>
                <c:pt idx="529">
                  <c:v>70</c:v>
                </c:pt>
                <c:pt idx="530">
                  <c:v>70</c:v>
                </c:pt>
                <c:pt idx="531">
                  <c:v>70</c:v>
                </c:pt>
                <c:pt idx="532">
                  <c:v>70</c:v>
                </c:pt>
                <c:pt idx="533">
                  <c:v>70</c:v>
                </c:pt>
                <c:pt idx="534">
                  <c:v>70</c:v>
                </c:pt>
                <c:pt idx="535">
                  <c:v>70</c:v>
                </c:pt>
                <c:pt idx="536">
                  <c:v>70</c:v>
                </c:pt>
                <c:pt idx="537">
                  <c:v>70</c:v>
                </c:pt>
                <c:pt idx="538">
                  <c:v>70</c:v>
                </c:pt>
                <c:pt idx="539">
                  <c:v>70</c:v>
                </c:pt>
                <c:pt idx="540">
                  <c:v>70</c:v>
                </c:pt>
                <c:pt idx="541">
                  <c:v>70</c:v>
                </c:pt>
                <c:pt idx="542">
                  <c:v>70</c:v>
                </c:pt>
                <c:pt idx="543">
                  <c:v>70</c:v>
                </c:pt>
                <c:pt idx="544">
                  <c:v>70</c:v>
                </c:pt>
                <c:pt idx="545">
                  <c:v>70</c:v>
                </c:pt>
                <c:pt idx="546">
                  <c:v>70</c:v>
                </c:pt>
                <c:pt idx="547">
                  <c:v>70</c:v>
                </c:pt>
                <c:pt idx="548">
                  <c:v>70</c:v>
                </c:pt>
                <c:pt idx="549">
                  <c:v>70</c:v>
                </c:pt>
                <c:pt idx="550">
                  <c:v>70</c:v>
                </c:pt>
                <c:pt idx="551">
                  <c:v>70</c:v>
                </c:pt>
                <c:pt idx="552">
                  <c:v>70</c:v>
                </c:pt>
                <c:pt idx="553">
                  <c:v>70</c:v>
                </c:pt>
                <c:pt idx="554">
                  <c:v>70</c:v>
                </c:pt>
                <c:pt idx="555">
                  <c:v>70</c:v>
                </c:pt>
                <c:pt idx="556">
                  <c:v>70</c:v>
                </c:pt>
                <c:pt idx="557">
                  <c:v>70</c:v>
                </c:pt>
                <c:pt idx="558">
                  <c:v>70</c:v>
                </c:pt>
                <c:pt idx="559">
                  <c:v>70</c:v>
                </c:pt>
                <c:pt idx="560">
                  <c:v>70</c:v>
                </c:pt>
                <c:pt idx="561">
                  <c:v>70</c:v>
                </c:pt>
                <c:pt idx="562">
                  <c:v>70</c:v>
                </c:pt>
                <c:pt idx="563">
                  <c:v>70</c:v>
                </c:pt>
                <c:pt idx="564">
                  <c:v>70</c:v>
                </c:pt>
                <c:pt idx="565">
                  <c:v>70</c:v>
                </c:pt>
                <c:pt idx="566">
                  <c:v>70</c:v>
                </c:pt>
                <c:pt idx="567">
                  <c:v>70</c:v>
                </c:pt>
                <c:pt idx="568">
                  <c:v>70</c:v>
                </c:pt>
                <c:pt idx="569">
                  <c:v>70</c:v>
                </c:pt>
                <c:pt idx="570">
                  <c:v>70</c:v>
                </c:pt>
                <c:pt idx="571">
                  <c:v>70</c:v>
                </c:pt>
                <c:pt idx="572">
                  <c:v>70</c:v>
                </c:pt>
                <c:pt idx="573">
                  <c:v>70</c:v>
                </c:pt>
                <c:pt idx="574">
                  <c:v>70</c:v>
                </c:pt>
                <c:pt idx="575">
                  <c:v>70</c:v>
                </c:pt>
                <c:pt idx="576">
                  <c:v>70</c:v>
                </c:pt>
                <c:pt idx="577">
                  <c:v>70</c:v>
                </c:pt>
                <c:pt idx="578">
                  <c:v>70</c:v>
                </c:pt>
                <c:pt idx="579">
                  <c:v>70</c:v>
                </c:pt>
                <c:pt idx="580">
                  <c:v>70</c:v>
                </c:pt>
                <c:pt idx="581">
                  <c:v>70</c:v>
                </c:pt>
                <c:pt idx="582">
                  <c:v>70</c:v>
                </c:pt>
                <c:pt idx="583">
                  <c:v>70</c:v>
                </c:pt>
                <c:pt idx="584">
                  <c:v>70</c:v>
                </c:pt>
                <c:pt idx="585">
                  <c:v>70</c:v>
                </c:pt>
                <c:pt idx="586">
                  <c:v>70</c:v>
                </c:pt>
                <c:pt idx="587">
                  <c:v>70</c:v>
                </c:pt>
                <c:pt idx="588">
                  <c:v>70</c:v>
                </c:pt>
                <c:pt idx="589">
                  <c:v>70</c:v>
                </c:pt>
                <c:pt idx="590">
                  <c:v>70</c:v>
                </c:pt>
                <c:pt idx="591">
                  <c:v>70</c:v>
                </c:pt>
                <c:pt idx="592">
                  <c:v>70</c:v>
                </c:pt>
                <c:pt idx="593">
                  <c:v>70</c:v>
                </c:pt>
                <c:pt idx="594">
                  <c:v>70</c:v>
                </c:pt>
                <c:pt idx="595">
                  <c:v>70</c:v>
                </c:pt>
                <c:pt idx="596">
                  <c:v>70</c:v>
                </c:pt>
                <c:pt idx="597">
                  <c:v>70</c:v>
                </c:pt>
                <c:pt idx="598">
                  <c:v>70</c:v>
                </c:pt>
                <c:pt idx="599">
                  <c:v>70</c:v>
                </c:pt>
                <c:pt idx="600">
                  <c:v>70</c:v>
                </c:pt>
                <c:pt idx="601">
                  <c:v>70</c:v>
                </c:pt>
                <c:pt idx="602">
                  <c:v>70</c:v>
                </c:pt>
                <c:pt idx="603">
                  <c:v>70</c:v>
                </c:pt>
                <c:pt idx="604">
                  <c:v>70</c:v>
                </c:pt>
                <c:pt idx="605">
                  <c:v>70</c:v>
                </c:pt>
                <c:pt idx="606">
                  <c:v>70</c:v>
                </c:pt>
                <c:pt idx="607">
                  <c:v>70</c:v>
                </c:pt>
                <c:pt idx="608">
                  <c:v>70</c:v>
                </c:pt>
                <c:pt idx="609">
                  <c:v>70</c:v>
                </c:pt>
                <c:pt idx="610">
                  <c:v>70</c:v>
                </c:pt>
                <c:pt idx="611">
                  <c:v>70</c:v>
                </c:pt>
                <c:pt idx="612">
                  <c:v>70</c:v>
                </c:pt>
                <c:pt idx="613">
                  <c:v>70</c:v>
                </c:pt>
                <c:pt idx="614">
                  <c:v>70</c:v>
                </c:pt>
                <c:pt idx="615">
                  <c:v>70</c:v>
                </c:pt>
                <c:pt idx="616">
                  <c:v>70</c:v>
                </c:pt>
                <c:pt idx="617">
                  <c:v>70</c:v>
                </c:pt>
                <c:pt idx="618">
                  <c:v>70</c:v>
                </c:pt>
                <c:pt idx="619">
                  <c:v>70</c:v>
                </c:pt>
                <c:pt idx="620">
                  <c:v>70</c:v>
                </c:pt>
                <c:pt idx="621">
                  <c:v>70</c:v>
                </c:pt>
                <c:pt idx="622">
                  <c:v>70</c:v>
                </c:pt>
                <c:pt idx="623">
                  <c:v>70</c:v>
                </c:pt>
                <c:pt idx="624">
                  <c:v>70</c:v>
                </c:pt>
                <c:pt idx="625">
                  <c:v>70</c:v>
                </c:pt>
                <c:pt idx="626">
                  <c:v>70</c:v>
                </c:pt>
                <c:pt idx="627">
                  <c:v>70</c:v>
                </c:pt>
                <c:pt idx="628">
                  <c:v>70</c:v>
                </c:pt>
                <c:pt idx="629">
                  <c:v>70</c:v>
                </c:pt>
                <c:pt idx="630">
                  <c:v>70</c:v>
                </c:pt>
                <c:pt idx="631">
                  <c:v>70</c:v>
                </c:pt>
                <c:pt idx="632">
                  <c:v>70</c:v>
                </c:pt>
                <c:pt idx="633">
                  <c:v>70</c:v>
                </c:pt>
                <c:pt idx="634">
                  <c:v>70</c:v>
                </c:pt>
                <c:pt idx="635">
                  <c:v>70</c:v>
                </c:pt>
                <c:pt idx="636">
                  <c:v>70</c:v>
                </c:pt>
                <c:pt idx="637">
                  <c:v>70</c:v>
                </c:pt>
                <c:pt idx="638">
                  <c:v>70</c:v>
                </c:pt>
                <c:pt idx="639">
                  <c:v>70</c:v>
                </c:pt>
                <c:pt idx="640">
                  <c:v>70</c:v>
                </c:pt>
                <c:pt idx="641">
                  <c:v>70</c:v>
                </c:pt>
                <c:pt idx="642">
                  <c:v>70</c:v>
                </c:pt>
                <c:pt idx="643">
                  <c:v>70</c:v>
                </c:pt>
                <c:pt idx="644">
                  <c:v>70</c:v>
                </c:pt>
                <c:pt idx="645">
                  <c:v>70</c:v>
                </c:pt>
                <c:pt idx="646">
                  <c:v>70</c:v>
                </c:pt>
                <c:pt idx="647">
                  <c:v>70</c:v>
                </c:pt>
                <c:pt idx="648">
                  <c:v>70</c:v>
                </c:pt>
                <c:pt idx="649">
                  <c:v>70</c:v>
                </c:pt>
                <c:pt idx="650">
                  <c:v>70</c:v>
                </c:pt>
                <c:pt idx="651">
                  <c:v>70</c:v>
                </c:pt>
                <c:pt idx="652">
                  <c:v>70</c:v>
                </c:pt>
                <c:pt idx="653">
                  <c:v>70</c:v>
                </c:pt>
                <c:pt idx="654">
                  <c:v>70</c:v>
                </c:pt>
                <c:pt idx="655">
                  <c:v>70</c:v>
                </c:pt>
                <c:pt idx="656">
                  <c:v>70</c:v>
                </c:pt>
                <c:pt idx="657">
                  <c:v>70</c:v>
                </c:pt>
                <c:pt idx="658">
                  <c:v>70</c:v>
                </c:pt>
                <c:pt idx="659">
                  <c:v>70</c:v>
                </c:pt>
                <c:pt idx="660">
                  <c:v>70</c:v>
                </c:pt>
                <c:pt idx="661">
                  <c:v>70</c:v>
                </c:pt>
                <c:pt idx="662">
                  <c:v>70</c:v>
                </c:pt>
                <c:pt idx="663">
                  <c:v>70</c:v>
                </c:pt>
                <c:pt idx="664">
                  <c:v>70</c:v>
                </c:pt>
                <c:pt idx="665">
                  <c:v>70</c:v>
                </c:pt>
                <c:pt idx="666">
                  <c:v>70</c:v>
                </c:pt>
                <c:pt idx="667">
                  <c:v>70</c:v>
                </c:pt>
                <c:pt idx="668">
                  <c:v>70</c:v>
                </c:pt>
                <c:pt idx="669">
                  <c:v>70</c:v>
                </c:pt>
                <c:pt idx="670">
                  <c:v>70</c:v>
                </c:pt>
                <c:pt idx="671">
                  <c:v>70</c:v>
                </c:pt>
                <c:pt idx="672">
                  <c:v>70</c:v>
                </c:pt>
                <c:pt idx="673">
                  <c:v>70</c:v>
                </c:pt>
                <c:pt idx="674">
                  <c:v>70</c:v>
                </c:pt>
                <c:pt idx="675">
                  <c:v>70</c:v>
                </c:pt>
                <c:pt idx="676">
                  <c:v>70</c:v>
                </c:pt>
                <c:pt idx="677">
                  <c:v>70</c:v>
                </c:pt>
                <c:pt idx="678">
                  <c:v>70</c:v>
                </c:pt>
                <c:pt idx="679">
                  <c:v>70</c:v>
                </c:pt>
                <c:pt idx="680">
                  <c:v>70</c:v>
                </c:pt>
                <c:pt idx="681">
                  <c:v>70</c:v>
                </c:pt>
                <c:pt idx="682">
                  <c:v>70</c:v>
                </c:pt>
                <c:pt idx="683">
                  <c:v>70</c:v>
                </c:pt>
                <c:pt idx="684">
                  <c:v>70</c:v>
                </c:pt>
                <c:pt idx="685">
                  <c:v>70</c:v>
                </c:pt>
                <c:pt idx="686">
                  <c:v>70</c:v>
                </c:pt>
                <c:pt idx="687">
                  <c:v>70</c:v>
                </c:pt>
                <c:pt idx="688">
                  <c:v>70</c:v>
                </c:pt>
                <c:pt idx="689">
                  <c:v>70</c:v>
                </c:pt>
                <c:pt idx="690">
                  <c:v>70</c:v>
                </c:pt>
                <c:pt idx="691">
                  <c:v>70</c:v>
                </c:pt>
                <c:pt idx="692">
                  <c:v>70</c:v>
                </c:pt>
                <c:pt idx="693">
                  <c:v>70</c:v>
                </c:pt>
                <c:pt idx="694">
                  <c:v>70</c:v>
                </c:pt>
                <c:pt idx="695">
                  <c:v>70</c:v>
                </c:pt>
                <c:pt idx="696">
                  <c:v>70</c:v>
                </c:pt>
                <c:pt idx="697">
                  <c:v>70</c:v>
                </c:pt>
                <c:pt idx="698">
                  <c:v>70</c:v>
                </c:pt>
                <c:pt idx="699">
                  <c:v>70</c:v>
                </c:pt>
                <c:pt idx="700">
                  <c:v>70</c:v>
                </c:pt>
                <c:pt idx="701">
                  <c:v>70</c:v>
                </c:pt>
                <c:pt idx="702">
                  <c:v>70</c:v>
                </c:pt>
                <c:pt idx="703">
                  <c:v>70</c:v>
                </c:pt>
                <c:pt idx="704">
                  <c:v>70</c:v>
                </c:pt>
                <c:pt idx="705">
                  <c:v>70</c:v>
                </c:pt>
                <c:pt idx="706">
                  <c:v>70</c:v>
                </c:pt>
                <c:pt idx="707">
                  <c:v>70</c:v>
                </c:pt>
                <c:pt idx="708">
                  <c:v>70</c:v>
                </c:pt>
                <c:pt idx="709">
                  <c:v>70</c:v>
                </c:pt>
                <c:pt idx="710">
                  <c:v>70</c:v>
                </c:pt>
                <c:pt idx="711">
                  <c:v>70</c:v>
                </c:pt>
                <c:pt idx="712">
                  <c:v>70</c:v>
                </c:pt>
                <c:pt idx="713">
                  <c:v>70</c:v>
                </c:pt>
                <c:pt idx="714">
                  <c:v>70</c:v>
                </c:pt>
                <c:pt idx="715">
                  <c:v>70</c:v>
                </c:pt>
              </c:numCache>
            </c:numRef>
          </c:val>
        </c:ser>
        <c:marker val="1"/>
        <c:axId val="115904512"/>
        <c:axId val="115906816"/>
      </c:lineChart>
      <c:catAx>
        <c:axId val="115904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(Hr)</a:t>
                </a:r>
              </a:p>
            </c:rich>
          </c:tx>
          <c:layout/>
        </c:title>
        <c:numFmt formatCode="#,##0.0" sourceLinked="0"/>
        <c:tickLblPos val="nextTo"/>
        <c:crossAx val="115906816"/>
        <c:crosses val="autoZero"/>
        <c:auto val="1"/>
        <c:lblAlgn val="ctr"/>
        <c:lblOffset val="100"/>
      </c:catAx>
      <c:valAx>
        <c:axId val="11590681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</a:t>
                </a:r>
              </a:p>
            </c:rich>
          </c:tx>
          <c:layout/>
        </c:title>
        <c:numFmt formatCode="General" sourceLinked="1"/>
        <c:tickLblPos val="nextTo"/>
        <c:crossAx val="1159045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20</xdr:row>
      <xdr:rowOff>47626</xdr:rowOff>
    </xdr:from>
    <xdr:to>
      <xdr:col>12</xdr:col>
      <xdr:colOff>238125</xdr:colOff>
      <xdr:row>41</xdr:row>
      <xdr:rowOff>47626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</xdr:row>
      <xdr:rowOff>0</xdr:rowOff>
    </xdr:from>
    <xdr:to>
      <xdr:col>16</xdr:col>
      <xdr:colOff>333375</xdr:colOff>
      <xdr:row>14</xdr:row>
      <xdr:rowOff>400050</xdr:rowOff>
    </xdr:to>
    <xdr:sp macro="" textlink="">
      <xdr:nvSpPr>
        <xdr:cNvPr id="2" name="Left Brace 1"/>
        <xdr:cNvSpPr/>
      </xdr:nvSpPr>
      <xdr:spPr>
        <a:xfrm>
          <a:off x="9753600" y="190500"/>
          <a:ext cx="333375" cy="2286000"/>
        </a:xfrm>
        <a:prstGeom prst="leftBrac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552449</xdr:colOff>
      <xdr:row>2</xdr:row>
      <xdr:rowOff>152401</xdr:rowOff>
    </xdr:from>
    <xdr:to>
      <xdr:col>16</xdr:col>
      <xdr:colOff>866774</xdr:colOff>
      <xdr:row>14</xdr:row>
      <xdr:rowOff>390525</xdr:rowOff>
    </xdr:to>
    <xdr:sp macro="" textlink="">
      <xdr:nvSpPr>
        <xdr:cNvPr id="3" name="Left Brace 2"/>
        <xdr:cNvSpPr/>
      </xdr:nvSpPr>
      <xdr:spPr>
        <a:xfrm flipH="1">
          <a:off x="10306049" y="152401"/>
          <a:ext cx="57150" cy="2324099"/>
        </a:xfrm>
        <a:prstGeom prst="leftBrac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28575</xdr:colOff>
      <xdr:row>3</xdr:row>
      <xdr:rowOff>0</xdr:rowOff>
    </xdr:from>
    <xdr:to>
      <xdr:col>4</xdr:col>
      <xdr:colOff>123825</xdr:colOff>
      <xdr:row>14</xdr:row>
      <xdr:rowOff>381000</xdr:rowOff>
    </xdr:to>
    <xdr:sp macro="" textlink="">
      <xdr:nvSpPr>
        <xdr:cNvPr id="4" name="Left Bracket 3"/>
        <xdr:cNvSpPr/>
      </xdr:nvSpPr>
      <xdr:spPr>
        <a:xfrm>
          <a:off x="2466975" y="190500"/>
          <a:ext cx="95250" cy="2286000"/>
        </a:xfrm>
        <a:prstGeom prst="leftBracket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466724</xdr:colOff>
      <xdr:row>3</xdr:row>
      <xdr:rowOff>19050</xdr:rowOff>
    </xdr:from>
    <xdr:to>
      <xdr:col>16</xdr:col>
      <xdr:colOff>19049</xdr:colOff>
      <xdr:row>14</xdr:row>
      <xdr:rowOff>381000</xdr:rowOff>
    </xdr:to>
    <xdr:sp macro="" textlink="">
      <xdr:nvSpPr>
        <xdr:cNvPr id="5" name="Left Bracket 4"/>
        <xdr:cNvSpPr/>
      </xdr:nvSpPr>
      <xdr:spPr>
        <a:xfrm flipH="1">
          <a:off x="9610724" y="209550"/>
          <a:ext cx="161925" cy="2266950"/>
        </a:xfrm>
        <a:prstGeom prst="leftBracket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28576</xdr:colOff>
      <xdr:row>3</xdr:row>
      <xdr:rowOff>19050</xdr:rowOff>
    </xdr:from>
    <xdr:to>
      <xdr:col>1</xdr:col>
      <xdr:colOff>257176</xdr:colOff>
      <xdr:row>15</xdr:row>
      <xdr:rowOff>9526</xdr:rowOff>
    </xdr:to>
    <xdr:sp macro="" textlink="">
      <xdr:nvSpPr>
        <xdr:cNvPr id="7" name="Left Brace 6"/>
        <xdr:cNvSpPr/>
      </xdr:nvSpPr>
      <xdr:spPr>
        <a:xfrm>
          <a:off x="638176" y="209550"/>
          <a:ext cx="228600" cy="2276476"/>
        </a:xfrm>
        <a:prstGeom prst="leftBrac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2285999</xdr:colOff>
      <xdr:row>2</xdr:row>
      <xdr:rowOff>180975</xdr:rowOff>
    </xdr:from>
    <xdr:to>
      <xdr:col>1</xdr:col>
      <xdr:colOff>2533648</xdr:colOff>
      <xdr:row>15</xdr:row>
      <xdr:rowOff>1</xdr:rowOff>
    </xdr:to>
    <xdr:sp macro="" textlink="">
      <xdr:nvSpPr>
        <xdr:cNvPr id="8" name="Left Brace 7"/>
        <xdr:cNvSpPr/>
      </xdr:nvSpPr>
      <xdr:spPr>
        <a:xfrm flipH="1">
          <a:off x="1219199" y="180975"/>
          <a:ext cx="0" cy="2295526"/>
        </a:xfrm>
        <a:prstGeom prst="leftBrac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47625</xdr:colOff>
      <xdr:row>18</xdr:row>
      <xdr:rowOff>28575</xdr:rowOff>
    </xdr:from>
    <xdr:to>
      <xdr:col>4</xdr:col>
      <xdr:colOff>257175</xdr:colOff>
      <xdr:row>25</xdr:row>
      <xdr:rowOff>0</xdr:rowOff>
    </xdr:to>
    <xdr:sp macro="" textlink="">
      <xdr:nvSpPr>
        <xdr:cNvPr id="9" name="Left Brace 8"/>
        <xdr:cNvSpPr/>
      </xdr:nvSpPr>
      <xdr:spPr>
        <a:xfrm>
          <a:off x="2486025" y="3076575"/>
          <a:ext cx="209550" cy="1304925"/>
        </a:xfrm>
        <a:prstGeom prst="leftBrac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476249</xdr:colOff>
      <xdr:row>18</xdr:row>
      <xdr:rowOff>19049</xdr:rowOff>
    </xdr:from>
    <xdr:to>
      <xdr:col>4</xdr:col>
      <xdr:colOff>666748</xdr:colOff>
      <xdr:row>24</xdr:row>
      <xdr:rowOff>466724</xdr:rowOff>
    </xdr:to>
    <xdr:sp macro="" textlink="">
      <xdr:nvSpPr>
        <xdr:cNvPr id="10" name="Left Brace 9"/>
        <xdr:cNvSpPr/>
      </xdr:nvSpPr>
      <xdr:spPr>
        <a:xfrm flipH="1">
          <a:off x="2914649" y="3067049"/>
          <a:ext cx="133349" cy="1314450"/>
        </a:xfrm>
        <a:prstGeom prst="leftBrac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876299</xdr:colOff>
      <xdr:row>18</xdr:row>
      <xdr:rowOff>47624</xdr:rowOff>
    </xdr:from>
    <xdr:to>
      <xdr:col>3</xdr:col>
      <xdr:colOff>66674</xdr:colOff>
      <xdr:row>24</xdr:row>
      <xdr:rowOff>457199</xdr:rowOff>
    </xdr:to>
    <xdr:sp macro="" textlink="">
      <xdr:nvSpPr>
        <xdr:cNvPr id="11" name="Left Brace 10"/>
        <xdr:cNvSpPr/>
      </xdr:nvSpPr>
      <xdr:spPr>
        <a:xfrm flipH="1">
          <a:off x="1828799" y="3095624"/>
          <a:ext cx="66675" cy="1285875"/>
        </a:xfrm>
        <a:prstGeom prst="leftBrac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2381250</xdr:colOff>
      <xdr:row>18</xdr:row>
      <xdr:rowOff>47625</xdr:rowOff>
    </xdr:from>
    <xdr:to>
      <xdr:col>2</xdr:col>
      <xdr:colOff>123825</xdr:colOff>
      <xdr:row>25</xdr:row>
      <xdr:rowOff>9525</xdr:rowOff>
    </xdr:to>
    <xdr:sp macro="" textlink="">
      <xdr:nvSpPr>
        <xdr:cNvPr id="12" name="Left Brace 11"/>
        <xdr:cNvSpPr/>
      </xdr:nvSpPr>
      <xdr:spPr>
        <a:xfrm>
          <a:off x="1219200" y="3095625"/>
          <a:ext cx="123825" cy="1295400"/>
        </a:xfrm>
        <a:prstGeom prst="leftBrac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9524</xdr:colOff>
      <xdr:row>18</xdr:row>
      <xdr:rowOff>57149</xdr:rowOff>
    </xdr:from>
    <xdr:to>
      <xdr:col>10</xdr:col>
      <xdr:colOff>95249</xdr:colOff>
      <xdr:row>24</xdr:row>
      <xdr:rowOff>466724</xdr:rowOff>
    </xdr:to>
    <xdr:sp macro="" textlink="">
      <xdr:nvSpPr>
        <xdr:cNvPr id="13" name="Left Brace 12"/>
        <xdr:cNvSpPr/>
      </xdr:nvSpPr>
      <xdr:spPr>
        <a:xfrm flipH="1">
          <a:off x="6105524" y="3105149"/>
          <a:ext cx="85725" cy="1276350"/>
        </a:xfrm>
        <a:prstGeom prst="leftBrac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419100</xdr:colOff>
      <xdr:row>18</xdr:row>
      <xdr:rowOff>57150</xdr:rowOff>
    </xdr:from>
    <xdr:to>
      <xdr:col>8</xdr:col>
      <xdr:colOff>542925</xdr:colOff>
      <xdr:row>25</xdr:row>
      <xdr:rowOff>19050</xdr:rowOff>
    </xdr:to>
    <xdr:sp macro="" textlink="">
      <xdr:nvSpPr>
        <xdr:cNvPr id="14" name="Left Brace 13"/>
        <xdr:cNvSpPr/>
      </xdr:nvSpPr>
      <xdr:spPr>
        <a:xfrm>
          <a:off x="5295900" y="3105150"/>
          <a:ext cx="123825" cy="1295400"/>
        </a:xfrm>
        <a:prstGeom prst="leftBrac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package" Target="../embeddings/Microsoft_Office_Word_Document1.docx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Q64"/>
  <sheetViews>
    <sheetView tabSelected="1" zoomScaleNormal="100" workbookViewId="0">
      <selection activeCell="D9" sqref="D9"/>
    </sheetView>
  </sheetViews>
  <sheetFormatPr defaultRowHeight="15"/>
  <cols>
    <col min="1" max="1" width="13.85546875" customWidth="1"/>
    <col min="2" max="2" width="5.7109375" customWidth="1"/>
    <col min="3" max="3" width="4.85546875" customWidth="1"/>
    <col min="4" max="4" width="6.5703125" customWidth="1"/>
    <col min="5" max="8" width="4.85546875" customWidth="1"/>
    <col min="9" max="10" width="5.5703125" customWidth="1"/>
    <col min="11" max="11" width="6.42578125" customWidth="1"/>
    <col min="12" max="717" width="5.5703125" customWidth="1"/>
  </cols>
  <sheetData>
    <row r="1" spans="1:25">
      <c r="A1" s="4" t="s">
        <v>38</v>
      </c>
      <c r="B1" s="17">
        <f>1/12</f>
        <v>8.3333333333333329E-2</v>
      </c>
      <c r="C1" t="s">
        <v>14</v>
      </c>
    </row>
    <row r="2" spans="1:25">
      <c r="A2" s="4" t="s">
        <v>33</v>
      </c>
      <c r="B2" s="17">
        <v>30</v>
      </c>
      <c r="C2" t="s">
        <v>13</v>
      </c>
    </row>
    <row r="3" spans="1:25">
      <c r="A3" s="4" t="s">
        <v>34</v>
      </c>
      <c r="B3" s="17">
        <v>70</v>
      </c>
      <c r="C3" t="s">
        <v>13</v>
      </c>
      <c r="F3" s="16"/>
      <c r="H3" s="4"/>
      <c r="I3" s="27"/>
    </row>
    <row r="4" spans="1:25">
      <c r="A4" s="4" t="s">
        <v>36</v>
      </c>
      <c r="B4" s="17">
        <f>900*3.14/3.28^2</f>
        <v>262.67846519928617</v>
      </c>
      <c r="C4" t="s">
        <v>37</v>
      </c>
      <c r="F4" s="16"/>
    </row>
    <row r="5" spans="1:25">
      <c r="A5" t="s">
        <v>40</v>
      </c>
      <c r="B5" s="17">
        <v>0.5</v>
      </c>
      <c r="C5" t="s">
        <v>41</v>
      </c>
      <c r="F5" s="16"/>
    </row>
    <row r="6" spans="1:25">
      <c r="A6" s="4" t="s">
        <v>39</v>
      </c>
      <c r="B6" s="18">
        <v>0.04</v>
      </c>
      <c r="C6" t="s">
        <v>16</v>
      </c>
    </row>
    <row r="7" spans="1:25" ht="65.25">
      <c r="A7" s="4"/>
      <c r="B7" s="26" t="s">
        <v>104</v>
      </c>
      <c r="C7" s="26" t="s">
        <v>102</v>
      </c>
      <c r="D7" s="28" t="s">
        <v>4</v>
      </c>
      <c r="E7" s="28" t="s">
        <v>5</v>
      </c>
      <c r="F7" s="28" t="s">
        <v>6</v>
      </c>
      <c r="G7" s="28" t="s">
        <v>103</v>
      </c>
      <c r="J7" s="3" t="s">
        <v>43</v>
      </c>
      <c r="K7" s="3" t="s">
        <v>44</v>
      </c>
      <c r="M7" s="3" t="s">
        <v>17</v>
      </c>
      <c r="N7" s="3" t="s">
        <v>28</v>
      </c>
      <c r="O7" s="3">
        <v>1</v>
      </c>
      <c r="P7" s="3">
        <v>2</v>
      </c>
      <c r="Q7" s="3">
        <v>3</v>
      </c>
      <c r="R7" s="3">
        <v>4</v>
      </c>
      <c r="S7" s="3">
        <v>5</v>
      </c>
      <c r="T7" s="3">
        <v>6</v>
      </c>
      <c r="U7" s="3">
        <v>7</v>
      </c>
      <c r="V7" s="3">
        <v>8</v>
      </c>
      <c r="W7" s="3">
        <v>9</v>
      </c>
      <c r="X7" s="3">
        <v>10</v>
      </c>
      <c r="Y7" s="11" t="s">
        <v>18</v>
      </c>
    </row>
    <row r="8" spans="1:25">
      <c r="A8" s="4" t="s">
        <v>1</v>
      </c>
      <c r="B8" s="16" t="s">
        <v>2</v>
      </c>
      <c r="D8" s="15">
        <f>0.1761*20</f>
        <v>3.5220000000000002</v>
      </c>
      <c r="E8">
        <v>10000</v>
      </c>
      <c r="F8">
        <v>0.24</v>
      </c>
      <c r="G8">
        <f>1/D8</f>
        <v>0.28392958546280522</v>
      </c>
      <c r="I8" s="4" t="s">
        <v>1</v>
      </c>
      <c r="J8">
        <v>10000</v>
      </c>
      <c r="K8">
        <f>1/J8</f>
        <v>1E-4</v>
      </c>
      <c r="M8" s="3" t="s">
        <v>28</v>
      </c>
      <c r="N8" s="5">
        <f>D8</f>
        <v>3.5220000000000002</v>
      </c>
      <c r="O8" s="3">
        <f>-D8</f>
        <v>-3.5220000000000002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6">
        <v>0</v>
      </c>
    </row>
    <row r="9" spans="1:25">
      <c r="A9" s="4" t="s">
        <v>19</v>
      </c>
      <c r="B9" s="15" t="s">
        <v>11</v>
      </c>
      <c r="C9" s="25">
        <v>0.5</v>
      </c>
      <c r="D9" s="15">
        <f>1*0.5779/dx</f>
        <v>6.9348000000000001</v>
      </c>
      <c r="E9" s="15">
        <v>120</v>
      </c>
      <c r="F9" s="15">
        <v>0.19</v>
      </c>
      <c r="G9">
        <f t="shared" ref="G9:G18" si="0">1/D9</f>
        <v>0.1442002653284882</v>
      </c>
      <c r="I9">
        <v>1</v>
      </c>
      <c r="J9">
        <f>(E9*F9)*dx/2</f>
        <v>0.95</v>
      </c>
      <c r="K9">
        <f t="shared" ref="K9:K19" si="1">1/J9</f>
        <v>1.0526315789473684</v>
      </c>
      <c r="M9" s="3">
        <v>1</v>
      </c>
      <c r="N9" s="7">
        <f>-D8</f>
        <v>-3.5220000000000002</v>
      </c>
      <c r="O9" s="3">
        <f>D8+D9</f>
        <v>10.456800000000001</v>
      </c>
      <c r="P9" s="3">
        <f>-D9</f>
        <v>-6.9348000000000001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8">
        <v>0</v>
      </c>
    </row>
    <row r="10" spans="1:25">
      <c r="A10" s="4" t="s">
        <v>20</v>
      </c>
      <c r="B10" s="15" t="s">
        <v>11</v>
      </c>
      <c r="C10" s="25">
        <v>1</v>
      </c>
      <c r="D10" s="15">
        <f>D9</f>
        <v>6.9348000000000001</v>
      </c>
      <c r="E10" s="15">
        <v>120</v>
      </c>
      <c r="F10" s="15">
        <v>0.19</v>
      </c>
      <c r="G10">
        <f t="shared" si="0"/>
        <v>0.1442002653284882</v>
      </c>
      <c r="I10">
        <f>I9+1</f>
        <v>2</v>
      </c>
      <c r="J10">
        <f t="shared" ref="J10:J17" si="2">(E9*F9+E10*F10)*dx/2</f>
        <v>1.9</v>
      </c>
      <c r="K10">
        <f t="shared" si="1"/>
        <v>0.52631578947368418</v>
      </c>
      <c r="M10" s="3">
        <v>2</v>
      </c>
      <c r="N10" s="7">
        <v>0</v>
      </c>
      <c r="O10" s="3">
        <f>-D9</f>
        <v>-6.9348000000000001</v>
      </c>
      <c r="P10" s="3">
        <f>D9+D10</f>
        <v>13.8696</v>
      </c>
      <c r="Q10" s="3">
        <f>-D10</f>
        <v>-6.9348000000000001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8">
        <v>0</v>
      </c>
    </row>
    <row r="11" spans="1:25">
      <c r="A11" s="4" t="s">
        <v>21</v>
      </c>
      <c r="B11" s="15" t="s">
        <v>11</v>
      </c>
      <c r="C11" s="25">
        <v>1</v>
      </c>
      <c r="D11" s="15">
        <f t="shared" ref="D11:D12" si="3">D10</f>
        <v>6.9348000000000001</v>
      </c>
      <c r="E11" s="15">
        <v>120</v>
      </c>
      <c r="F11" s="15">
        <v>0.19</v>
      </c>
      <c r="G11">
        <f t="shared" ref="G11:G15" si="4">1/D11</f>
        <v>0.1442002653284882</v>
      </c>
      <c r="I11">
        <f t="shared" ref="I11:I17" si="5">I10+1</f>
        <v>3</v>
      </c>
      <c r="J11">
        <f t="shared" si="2"/>
        <v>1.9</v>
      </c>
      <c r="K11">
        <f t="shared" si="1"/>
        <v>0.52631578947368418</v>
      </c>
      <c r="M11" s="3">
        <v>3</v>
      </c>
      <c r="N11" s="7">
        <v>0</v>
      </c>
      <c r="O11" s="3">
        <v>0</v>
      </c>
      <c r="P11" s="3">
        <f>-D10</f>
        <v>-6.9348000000000001</v>
      </c>
      <c r="Q11" s="3">
        <f>+D10+D11</f>
        <v>13.8696</v>
      </c>
      <c r="R11" s="3">
        <f>-D11</f>
        <v>-6.9348000000000001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8">
        <v>0</v>
      </c>
    </row>
    <row r="12" spans="1:25">
      <c r="A12" s="4" t="s">
        <v>22</v>
      </c>
      <c r="B12" s="15" t="s">
        <v>11</v>
      </c>
      <c r="C12" s="25">
        <v>1</v>
      </c>
      <c r="D12" s="15">
        <f t="shared" si="3"/>
        <v>6.9348000000000001</v>
      </c>
      <c r="E12" s="15">
        <v>120</v>
      </c>
      <c r="F12" s="15">
        <v>0.19</v>
      </c>
      <c r="G12">
        <f t="shared" ref="G12:G13" si="6">1/D12</f>
        <v>0.1442002653284882</v>
      </c>
      <c r="I12">
        <f t="shared" si="5"/>
        <v>4</v>
      </c>
      <c r="J12">
        <f t="shared" si="2"/>
        <v>1.9</v>
      </c>
      <c r="K12">
        <f t="shared" ref="K12:K13" si="7">1/J12</f>
        <v>0.52631578947368418</v>
      </c>
      <c r="M12" s="3">
        <v>4</v>
      </c>
      <c r="N12" s="7">
        <v>0</v>
      </c>
      <c r="O12" s="3">
        <v>0</v>
      </c>
      <c r="P12" s="3">
        <v>0</v>
      </c>
      <c r="Q12" s="3">
        <f>-D11</f>
        <v>-6.9348000000000001</v>
      </c>
      <c r="R12" s="3">
        <f>+D11+D12</f>
        <v>13.8696</v>
      </c>
      <c r="S12" s="3">
        <f>-D12</f>
        <v>-6.9348000000000001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8">
        <v>0</v>
      </c>
    </row>
    <row r="13" spans="1:25">
      <c r="A13" s="4" t="s">
        <v>22</v>
      </c>
      <c r="B13" s="15" t="s">
        <v>12</v>
      </c>
      <c r="C13" s="25">
        <v>1</v>
      </c>
      <c r="D13" s="15">
        <f>0.048*0.5779/dx</f>
        <v>0.33287040000000001</v>
      </c>
      <c r="E13" s="15">
        <v>5.3</v>
      </c>
      <c r="F13" s="15">
        <v>0.23</v>
      </c>
      <c r="G13">
        <f t="shared" si="6"/>
        <v>3.004172194343504</v>
      </c>
      <c r="I13">
        <f t="shared" si="5"/>
        <v>5</v>
      </c>
      <c r="J13">
        <f t="shared" si="2"/>
        <v>1.0007916666666667</v>
      </c>
      <c r="K13">
        <f t="shared" si="7"/>
        <v>0.99920895957367073</v>
      </c>
      <c r="M13" s="3">
        <v>5</v>
      </c>
      <c r="N13" s="7">
        <v>0</v>
      </c>
      <c r="O13" s="3">
        <v>0</v>
      </c>
      <c r="P13" s="3">
        <v>0</v>
      </c>
      <c r="Q13" s="3">
        <v>0</v>
      </c>
      <c r="R13" s="3">
        <f>-D12</f>
        <v>-6.9348000000000001</v>
      </c>
      <c r="S13" s="3">
        <f>+D12+D13</f>
        <v>7.2676704000000001</v>
      </c>
      <c r="T13" s="3">
        <f>-D13</f>
        <v>-0.33287040000000001</v>
      </c>
      <c r="U13" s="3">
        <v>0</v>
      </c>
      <c r="V13" s="3">
        <v>0</v>
      </c>
      <c r="W13" s="3">
        <v>0</v>
      </c>
      <c r="X13" s="3">
        <v>0</v>
      </c>
      <c r="Y13" s="8">
        <v>0</v>
      </c>
    </row>
    <row r="14" spans="1:25">
      <c r="A14" s="4" t="s">
        <v>22</v>
      </c>
      <c r="B14" s="15" t="s">
        <v>12</v>
      </c>
      <c r="C14" s="25">
        <v>1</v>
      </c>
      <c r="D14" s="15">
        <f>0.048*0.5779/dx</f>
        <v>0.33287040000000001</v>
      </c>
      <c r="E14" s="15">
        <v>5.3</v>
      </c>
      <c r="F14" s="15">
        <v>0.23</v>
      </c>
      <c r="G14">
        <f t="shared" si="4"/>
        <v>3.004172194343504</v>
      </c>
      <c r="I14">
        <f t="shared" si="5"/>
        <v>6</v>
      </c>
      <c r="J14">
        <f t="shared" si="2"/>
        <v>0.10158333333333333</v>
      </c>
      <c r="K14">
        <f t="shared" si="1"/>
        <v>9.844134536505333</v>
      </c>
      <c r="M14" s="3">
        <v>6</v>
      </c>
      <c r="N14" s="7">
        <v>0</v>
      </c>
      <c r="O14" s="3">
        <v>0</v>
      </c>
      <c r="P14" s="3">
        <v>0</v>
      </c>
      <c r="Q14" s="3">
        <v>0</v>
      </c>
      <c r="R14" s="3">
        <v>0</v>
      </c>
      <c r="S14" s="3">
        <f>-D13</f>
        <v>-0.33287040000000001</v>
      </c>
      <c r="T14" s="3">
        <f>+D13+D14</f>
        <v>0.66574080000000002</v>
      </c>
      <c r="U14" s="3">
        <f>-D14</f>
        <v>-0.33287040000000001</v>
      </c>
      <c r="V14" s="3">
        <v>0</v>
      </c>
      <c r="W14" s="3">
        <v>0</v>
      </c>
      <c r="X14" s="3">
        <v>0</v>
      </c>
      <c r="Y14" s="8">
        <v>0</v>
      </c>
    </row>
    <row r="15" spans="1:25">
      <c r="A15" s="4" t="s">
        <v>23</v>
      </c>
      <c r="B15" s="15" t="s">
        <v>12</v>
      </c>
      <c r="C15" s="25">
        <v>1</v>
      </c>
      <c r="D15" s="15">
        <f>0.048*0.5779/dx</f>
        <v>0.33287040000000001</v>
      </c>
      <c r="E15" s="15">
        <v>5.3</v>
      </c>
      <c r="F15" s="15">
        <v>0.23</v>
      </c>
      <c r="G15">
        <f t="shared" si="4"/>
        <v>3.004172194343504</v>
      </c>
      <c r="I15">
        <f t="shared" si="5"/>
        <v>7</v>
      </c>
      <c r="J15">
        <f t="shared" si="2"/>
        <v>0.10158333333333333</v>
      </c>
      <c r="K15">
        <f t="shared" si="1"/>
        <v>9.844134536505333</v>
      </c>
      <c r="M15" s="3">
        <v>7</v>
      </c>
      <c r="N15" s="7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f>-D14</f>
        <v>-0.33287040000000001</v>
      </c>
      <c r="U15" s="3">
        <f>+D14+D15</f>
        <v>0.66574080000000002</v>
      </c>
      <c r="V15" s="3">
        <f>-D15</f>
        <v>-0.33287040000000001</v>
      </c>
      <c r="W15" s="3">
        <v>0</v>
      </c>
      <c r="X15" s="3">
        <v>0</v>
      </c>
      <c r="Y15" s="8">
        <v>0</v>
      </c>
    </row>
    <row r="16" spans="1:25">
      <c r="A16" s="4" t="s">
        <v>24</v>
      </c>
      <c r="B16" s="15" t="s">
        <v>12</v>
      </c>
      <c r="C16" s="25">
        <v>1</v>
      </c>
      <c r="D16" s="15">
        <f>0.048*0.5779/dx</f>
        <v>0.33287040000000001</v>
      </c>
      <c r="E16" s="15">
        <v>5.3</v>
      </c>
      <c r="F16" s="15">
        <v>0.23</v>
      </c>
      <c r="G16">
        <f t="shared" si="0"/>
        <v>3.004172194343504</v>
      </c>
      <c r="I16">
        <f t="shared" si="5"/>
        <v>8</v>
      </c>
      <c r="J16">
        <f t="shared" si="2"/>
        <v>0.10158333333333333</v>
      </c>
      <c r="K16">
        <f t="shared" si="1"/>
        <v>9.844134536505333</v>
      </c>
      <c r="M16" s="3">
        <v>8</v>
      </c>
      <c r="N16" s="7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f>-D15</f>
        <v>-0.33287040000000001</v>
      </c>
      <c r="V16" s="3">
        <f>+D15+D16</f>
        <v>0.66574080000000002</v>
      </c>
      <c r="W16" s="3">
        <f>-D16</f>
        <v>-0.33287040000000001</v>
      </c>
      <c r="X16" s="3">
        <v>0</v>
      </c>
      <c r="Y16" s="8">
        <v>0</v>
      </c>
    </row>
    <row r="17" spans="1:717">
      <c r="A17" s="4" t="s">
        <v>25</v>
      </c>
      <c r="B17" s="15" t="s">
        <v>26</v>
      </c>
      <c r="C17" s="25">
        <v>0.5</v>
      </c>
      <c r="D17" s="15">
        <f>0.17*0.5779/dx</f>
        <v>1.1789160000000001</v>
      </c>
      <c r="E17" s="15">
        <v>50</v>
      </c>
      <c r="F17" s="15">
        <v>0.26</v>
      </c>
      <c r="G17">
        <f t="shared" si="0"/>
        <v>0.84823685487346001</v>
      </c>
      <c r="I17">
        <f t="shared" si="5"/>
        <v>9</v>
      </c>
      <c r="J17">
        <f t="shared" si="2"/>
        <v>0.59245833333333331</v>
      </c>
      <c r="K17">
        <f t="shared" si="1"/>
        <v>1.6878824108587103</v>
      </c>
      <c r="M17" s="3">
        <v>9</v>
      </c>
      <c r="N17" s="7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f>-D16</f>
        <v>-0.33287040000000001</v>
      </c>
      <c r="W17" s="3">
        <f>+D16+D17</f>
        <v>1.5117864000000001</v>
      </c>
      <c r="X17" s="3">
        <f>-D17</f>
        <v>-1.1789160000000001</v>
      </c>
      <c r="Y17" s="8">
        <v>0</v>
      </c>
    </row>
    <row r="18" spans="1:717">
      <c r="A18" s="4" t="s">
        <v>27</v>
      </c>
      <c r="B18" s="16" t="s">
        <v>3</v>
      </c>
      <c r="D18" s="15">
        <f>0.1761*10</f>
        <v>1.7610000000000001</v>
      </c>
      <c r="E18">
        <f>E8</f>
        <v>10000</v>
      </c>
      <c r="F18">
        <f>F8</f>
        <v>0.24</v>
      </c>
      <c r="G18">
        <f t="shared" si="0"/>
        <v>0.56785917092561045</v>
      </c>
      <c r="I18">
        <v>10</v>
      </c>
      <c r="J18">
        <f>(E17*F17)*dx/2</f>
        <v>0.54166666666666663</v>
      </c>
      <c r="K18">
        <f t="shared" si="1"/>
        <v>1.8461538461538463</v>
      </c>
      <c r="M18" s="3">
        <v>10</v>
      </c>
      <c r="N18" s="7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f>-D17</f>
        <v>-1.1789160000000001</v>
      </c>
      <c r="X18" s="3">
        <f>+D17+D18</f>
        <v>2.9399160000000002</v>
      </c>
      <c r="Y18" s="8">
        <f>-D18</f>
        <v>-1.7610000000000001</v>
      </c>
    </row>
    <row r="19" spans="1:717">
      <c r="A19" s="4" t="s">
        <v>0</v>
      </c>
      <c r="I19" s="4" t="s">
        <v>0</v>
      </c>
      <c r="J19">
        <v>10000</v>
      </c>
      <c r="K19">
        <f t="shared" si="1"/>
        <v>1E-4</v>
      </c>
      <c r="M19" s="3" t="s">
        <v>18</v>
      </c>
      <c r="N19" s="9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f>-D18</f>
        <v>-1.7610000000000001</v>
      </c>
      <c r="Y19" s="10">
        <f>+D18</f>
        <v>1.7610000000000001</v>
      </c>
    </row>
    <row r="20" spans="1:717" ht="93">
      <c r="B20" s="12" t="s">
        <v>8</v>
      </c>
      <c r="C20" s="12" t="s">
        <v>101</v>
      </c>
      <c r="D20" s="12" t="s">
        <v>7</v>
      </c>
      <c r="E20" s="12" t="s">
        <v>9</v>
      </c>
      <c r="F20" s="12" t="s">
        <v>10</v>
      </c>
      <c r="G20" s="13">
        <f>SUM(G8:G18)</f>
        <v>14.293515449949842</v>
      </c>
    </row>
    <row r="21" spans="1:717">
      <c r="A21" t="s">
        <v>32</v>
      </c>
      <c r="B21">
        <v>0</v>
      </c>
      <c r="C21" s="2">
        <f t="shared" ref="C21:Z21" si="8">B21+$B6</f>
        <v>0.04</v>
      </c>
      <c r="D21" s="2">
        <f t="shared" si="8"/>
        <v>0.08</v>
      </c>
      <c r="E21" s="2">
        <f t="shared" si="8"/>
        <v>0.12</v>
      </c>
      <c r="F21" s="2">
        <f t="shared" si="8"/>
        <v>0.16</v>
      </c>
      <c r="G21" s="2">
        <f t="shared" si="8"/>
        <v>0.2</v>
      </c>
      <c r="H21" s="2">
        <f t="shared" si="8"/>
        <v>0.24000000000000002</v>
      </c>
      <c r="I21" s="2">
        <f t="shared" si="8"/>
        <v>0.28000000000000003</v>
      </c>
      <c r="J21" s="2">
        <f t="shared" si="8"/>
        <v>0.32</v>
      </c>
      <c r="K21" s="2">
        <f t="shared" si="8"/>
        <v>0.36</v>
      </c>
      <c r="L21" s="2">
        <f t="shared" si="8"/>
        <v>0.39999999999999997</v>
      </c>
      <c r="M21" s="2">
        <f t="shared" si="8"/>
        <v>0.43999999999999995</v>
      </c>
      <c r="N21" s="2">
        <f t="shared" si="8"/>
        <v>0.47999999999999993</v>
      </c>
      <c r="O21" s="2">
        <f t="shared" si="8"/>
        <v>0.51999999999999991</v>
      </c>
      <c r="P21" s="2">
        <f t="shared" si="8"/>
        <v>0.55999999999999994</v>
      </c>
      <c r="Q21" s="2">
        <f t="shared" si="8"/>
        <v>0.6</v>
      </c>
      <c r="R21" s="2">
        <f t="shared" si="8"/>
        <v>0.64</v>
      </c>
      <c r="S21" s="2">
        <f t="shared" si="8"/>
        <v>0.68</v>
      </c>
      <c r="T21" s="2">
        <f t="shared" si="8"/>
        <v>0.72000000000000008</v>
      </c>
      <c r="U21" s="2">
        <f t="shared" si="8"/>
        <v>0.76000000000000012</v>
      </c>
      <c r="V21" s="2">
        <f t="shared" si="8"/>
        <v>0.80000000000000016</v>
      </c>
      <c r="W21" s="2">
        <f t="shared" si="8"/>
        <v>0.84000000000000019</v>
      </c>
      <c r="X21" s="2">
        <f t="shared" si="8"/>
        <v>0.88000000000000023</v>
      </c>
      <c r="Y21" s="2">
        <f t="shared" si="8"/>
        <v>0.92000000000000026</v>
      </c>
      <c r="Z21" s="2">
        <f t="shared" si="8"/>
        <v>0.9600000000000003</v>
      </c>
      <c r="AA21" s="2">
        <f>$Z$21+$B6</f>
        <v>1.0000000000000002</v>
      </c>
      <c r="AB21" s="2">
        <f t="shared" ref="AB21:CM21" si="9">AA21+$B6</f>
        <v>1.0400000000000003</v>
      </c>
      <c r="AC21" s="2">
        <f t="shared" si="9"/>
        <v>1.0800000000000003</v>
      </c>
      <c r="AD21" s="2">
        <f t="shared" si="9"/>
        <v>1.1200000000000003</v>
      </c>
      <c r="AE21" s="2">
        <f t="shared" si="9"/>
        <v>1.1600000000000004</v>
      </c>
      <c r="AF21" s="2">
        <f t="shared" si="9"/>
        <v>1.2000000000000004</v>
      </c>
      <c r="AG21" s="2">
        <f t="shared" si="9"/>
        <v>1.2400000000000004</v>
      </c>
      <c r="AH21" s="2">
        <f t="shared" si="9"/>
        <v>1.2800000000000005</v>
      </c>
      <c r="AI21" s="2">
        <f t="shared" si="9"/>
        <v>1.3200000000000005</v>
      </c>
      <c r="AJ21" s="2">
        <f t="shared" si="9"/>
        <v>1.3600000000000005</v>
      </c>
      <c r="AK21" s="2">
        <f t="shared" si="9"/>
        <v>1.4000000000000006</v>
      </c>
      <c r="AL21" s="2">
        <f t="shared" si="9"/>
        <v>1.4400000000000006</v>
      </c>
      <c r="AM21" s="2">
        <f t="shared" si="9"/>
        <v>1.4800000000000006</v>
      </c>
      <c r="AN21" s="2">
        <f t="shared" si="9"/>
        <v>1.5200000000000007</v>
      </c>
      <c r="AO21" s="2">
        <f t="shared" si="9"/>
        <v>1.5600000000000007</v>
      </c>
      <c r="AP21" s="2">
        <f t="shared" si="9"/>
        <v>1.6000000000000008</v>
      </c>
      <c r="AQ21" s="2">
        <f t="shared" si="9"/>
        <v>1.6400000000000008</v>
      </c>
      <c r="AR21" s="2">
        <f t="shared" si="9"/>
        <v>1.6800000000000008</v>
      </c>
      <c r="AS21" s="2">
        <f t="shared" si="9"/>
        <v>1.7200000000000009</v>
      </c>
      <c r="AT21" s="2">
        <f t="shared" si="9"/>
        <v>1.7600000000000009</v>
      </c>
      <c r="AU21" s="2">
        <f t="shared" si="9"/>
        <v>1.8000000000000009</v>
      </c>
      <c r="AV21" s="2">
        <f t="shared" si="9"/>
        <v>1.840000000000001</v>
      </c>
      <c r="AW21" s="2">
        <f t="shared" si="9"/>
        <v>1.880000000000001</v>
      </c>
      <c r="AX21" s="2">
        <f t="shared" si="9"/>
        <v>1.920000000000001</v>
      </c>
      <c r="AY21" s="2">
        <f t="shared" si="9"/>
        <v>1.9600000000000011</v>
      </c>
      <c r="AZ21" s="2">
        <f t="shared" si="9"/>
        <v>2.0000000000000009</v>
      </c>
      <c r="BA21" s="2">
        <f t="shared" si="9"/>
        <v>2.0400000000000009</v>
      </c>
      <c r="BB21" s="2">
        <f t="shared" si="9"/>
        <v>2.080000000000001</v>
      </c>
      <c r="BC21" s="2">
        <f t="shared" si="9"/>
        <v>2.120000000000001</v>
      </c>
      <c r="BD21" s="2">
        <f t="shared" si="9"/>
        <v>2.160000000000001</v>
      </c>
      <c r="BE21" s="2">
        <f t="shared" si="9"/>
        <v>2.2000000000000011</v>
      </c>
      <c r="BF21" s="2">
        <f t="shared" si="9"/>
        <v>2.2400000000000011</v>
      </c>
      <c r="BG21" s="2">
        <f t="shared" si="9"/>
        <v>2.2800000000000011</v>
      </c>
      <c r="BH21" s="2">
        <f t="shared" si="9"/>
        <v>2.3200000000000012</v>
      </c>
      <c r="BI21" s="2">
        <f t="shared" si="9"/>
        <v>2.3600000000000012</v>
      </c>
      <c r="BJ21" s="2">
        <f t="shared" si="9"/>
        <v>2.4000000000000012</v>
      </c>
      <c r="BK21" s="2">
        <f t="shared" si="9"/>
        <v>2.4400000000000013</v>
      </c>
      <c r="BL21" s="2">
        <f t="shared" si="9"/>
        <v>2.4800000000000013</v>
      </c>
      <c r="BM21" s="2">
        <f t="shared" si="9"/>
        <v>2.5200000000000014</v>
      </c>
      <c r="BN21" s="2">
        <f t="shared" si="9"/>
        <v>2.5600000000000014</v>
      </c>
      <c r="BO21" s="2">
        <f t="shared" si="9"/>
        <v>2.6000000000000014</v>
      </c>
      <c r="BP21" s="2">
        <f t="shared" si="9"/>
        <v>2.6400000000000015</v>
      </c>
      <c r="BQ21" s="2">
        <f t="shared" si="9"/>
        <v>2.6800000000000015</v>
      </c>
      <c r="BR21" s="2">
        <f t="shared" si="9"/>
        <v>2.7200000000000015</v>
      </c>
      <c r="BS21" s="2">
        <f t="shared" si="9"/>
        <v>2.7600000000000016</v>
      </c>
      <c r="BT21" s="2">
        <f t="shared" si="9"/>
        <v>2.8000000000000016</v>
      </c>
      <c r="BU21" s="2">
        <f t="shared" si="9"/>
        <v>2.8400000000000016</v>
      </c>
      <c r="BV21" s="2">
        <f t="shared" si="9"/>
        <v>2.8800000000000017</v>
      </c>
      <c r="BW21" s="2">
        <f t="shared" si="9"/>
        <v>2.9200000000000017</v>
      </c>
      <c r="BX21" s="2">
        <f t="shared" si="9"/>
        <v>2.9600000000000017</v>
      </c>
      <c r="BY21" s="2">
        <f t="shared" si="9"/>
        <v>3.0000000000000018</v>
      </c>
      <c r="BZ21" s="2">
        <f t="shared" si="9"/>
        <v>3.0400000000000018</v>
      </c>
      <c r="CA21" s="2">
        <f t="shared" si="9"/>
        <v>3.0800000000000018</v>
      </c>
      <c r="CB21" s="2">
        <f t="shared" si="9"/>
        <v>3.1200000000000019</v>
      </c>
      <c r="CC21" s="2">
        <f t="shared" si="9"/>
        <v>3.1600000000000019</v>
      </c>
      <c r="CD21" s="2">
        <f t="shared" si="9"/>
        <v>3.200000000000002</v>
      </c>
      <c r="CE21" s="2">
        <f t="shared" si="9"/>
        <v>3.240000000000002</v>
      </c>
      <c r="CF21" s="2">
        <f t="shared" si="9"/>
        <v>3.280000000000002</v>
      </c>
      <c r="CG21" s="2">
        <f t="shared" si="9"/>
        <v>3.3200000000000021</v>
      </c>
      <c r="CH21" s="2">
        <f t="shared" si="9"/>
        <v>3.3600000000000021</v>
      </c>
      <c r="CI21" s="2">
        <f t="shared" si="9"/>
        <v>3.4000000000000021</v>
      </c>
      <c r="CJ21" s="2">
        <f t="shared" si="9"/>
        <v>3.4400000000000022</v>
      </c>
      <c r="CK21" s="2">
        <f t="shared" si="9"/>
        <v>3.4800000000000022</v>
      </c>
      <c r="CL21" s="2">
        <f t="shared" si="9"/>
        <v>3.5200000000000022</v>
      </c>
      <c r="CM21" s="2">
        <f t="shared" si="9"/>
        <v>3.5600000000000023</v>
      </c>
      <c r="CN21" s="2">
        <f t="shared" ref="CN21:EY21" si="10">CM21+$B6</f>
        <v>3.6000000000000023</v>
      </c>
      <c r="CO21" s="2">
        <f t="shared" si="10"/>
        <v>3.6400000000000023</v>
      </c>
      <c r="CP21" s="2">
        <f t="shared" si="10"/>
        <v>3.6800000000000024</v>
      </c>
      <c r="CQ21" s="2">
        <f t="shared" si="10"/>
        <v>3.7200000000000024</v>
      </c>
      <c r="CR21" s="2">
        <f t="shared" si="10"/>
        <v>3.7600000000000025</v>
      </c>
      <c r="CS21" s="2">
        <f t="shared" si="10"/>
        <v>3.8000000000000025</v>
      </c>
      <c r="CT21" s="2">
        <f t="shared" si="10"/>
        <v>3.8400000000000025</v>
      </c>
      <c r="CU21" s="2">
        <f t="shared" si="10"/>
        <v>3.8800000000000026</v>
      </c>
      <c r="CV21" s="2">
        <f t="shared" si="10"/>
        <v>3.9200000000000026</v>
      </c>
      <c r="CW21" s="2">
        <f t="shared" si="10"/>
        <v>3.9600000000000026</v>
      </c>
      <c r="CX21" s="2">
        <f t="shared" si="10"/>
        <v>4.0000000000000027</v>
      </c>
      <c r="CY21" s="2">
        <f t="shared" si="10"/>
        <v>4.0400000000000027</v>
      </c>
      <c r="CZ21" s="2">
        <f t="shared" si="10"/>
        <v>4.0800000000000027</v>
      </c>
      <c r="DA21" s="2">
        <f t="shared" si="10"/>
        <v>4.1200000000000028</v>
      </c>
      <c r="DB21" s="2">
        <f t="shared" si="10"/>
        <v>4.1600000000000028</v>
      </c>
      <c r="DC21" s="2">
        <f t="shared" si="10"/>
        <v>4.2000000000000028</v>
      </c>
      <c r="DD21" s="2">
        <f t="shared" si="10"/>
        <v>4.2400000000000029</v>
      </c>
      <c r="DE21" s="2">
        <f t="shared" si="10"/>
        <v>4.2800000000000029</v>
      </c>
      <c r="DF21" s="2">
        <f t="shared" si="10"/>
        <v>4.3200000000000029</v>
      </c>
      <c r="DG21" s="2">
        <f t="shared" si="10"/>
        <v>4.360000000000003</v>
      </c>
      <c r="DH21" s="2">
        <f t="shared" si="10"/>
        <v>4.400000000000003</v>
      </c>
      <c r="DI21" s="2">
        <f t="shared" si="10"/>
        <v>4.4400000000000031</v>
      </c>
      <c r="DJ21" s="2">
        <f t="shared" si="10"/>
        <v>4.4800000000000031</v>
      </c>
      <c r="DK21" s="2">
        <f t="shared" si="10"/>
        <v>4.5200000000000031</v>
      </c>
      <c r="DL21" s="2">
        <f t="shared" si="10"/>
        <v>4.5600000000000032</v>
      </c>
      <c r="DM21" s="2">
        <f t="shared" si="10"/>
        <v>4.6000000000000032</v>
      </c>
      <c r="DN21" s="2">
        <f t="shared" si="10"/>
        <v>4.6400000000000032</v>
      </c>
      <c r="DO21" s="2">
        <f t="shared" si="10"/>
        <v>4.6800000000000033</v>
      </c>
      <c r="DP21" s="2">
        <f t="shared" si="10"/>
        <v>4.7200000000000033</v>
      </c>
      <c r="DQ21" s="2">
        <f t="shared" si="10"/>
        <v>4.7600000000000033</v>
      </c>
      <c r="DR21" s="2">
        <f t="shared" si="10"/>
        <v>4.8000000000000034</v>
      </c>
      <c r="DS21" s="2">
        <f t="shared" si="10"/>
        <v>4.8400000000000034</v>
      </c>
      <c r="DT21" s="2">
        <f t="shared" si="10"/>
        <v>4.8800000000000034</v>
      </c>
      <c r="DU21" s="2">
        <f t="shared" si="10"/>
        <v>4.9200000000000035</v>
      </c>
      <c r="DV21" s="2">
        <f t="shared" si="10"/>
        <v>4.9600000000000035</v>
      </c>
      <c r="DW21" s="2">
        <f t="shared" si="10"/>
        <v>5.0000000000000036</v>
      </c>
      <c r="DX21" s="2">
        <f t="shared" si="10"/>
        <v>5.0400000000000036</v>
      </c>
      <c r="DY21" s="2">
        <f t="shared" si="10"/>
        <v>5.0800000000000036</v>
      </c>
      <c r="DZ21" s="2">
        <f t="shared" si="10"/>
        <v>5.1200000000000037</v>
      </c>
      <c r="EA21" s="2">
        <f t="shared" si="10"/>
        <v>5.1600000000000037</v>
      </c>
      <c r="EB21" s="2">
        <f t="shared" si="10"/>
        <v>5.2000000000000037</v>
      </c>
      <c r="EC21" s="2">
        <f t="shared" si="10"/>
        <v>5.2400000000000038</v>
      </c>
      <c r="ED21" s="2">
        <f t="shared" si="10"/>
        <v>5.2800000000000038</v>
      </c>
      <c r="EE21" s="2">
        <f t="shared" si="10"/>
        <v>5.3200000000000038</v>
      </c>
      <c r="EF21" s="2">
        <f t="shared" si="10"/>
        <v>5.3600000000000039</v>
      </c>
      <c r="EG21" s="2">
        <f t="shared" si="10"/>
        <v>5.4000000000000039</v>
      </c>
      <c r="EH21" s="2">
        <f t="shared" si="10"/>
        <v>5.4400000000000039</v>
      </c>
      <c r="EI21" s="2">
        <f t="shared" si="10"/>
        <v>5.480000000000004</v>
      </c>
      <c r="EJ21" s="2">
        <f t="shared" si="10"/>
        <v>5.520000000000004</v>
      </c>
      <c r="EK21" s="2">
        <f t="shared" si="10"/>
        <v>5.5600000000000041</v>
      </c>
      <c r="EL21" s="2">
        <f t="shared" si="10"/>
        <v>5.6000000000000041</v>
      </c>
      <c r="EM21" s="2">
        <f t="shared" si="10"/>
        <v>5.6400000000000041</v>
      </c>
      <c r="EN21" s="2">
        <f t="shared" si="10"/>
        <v>5.6800000000000042</v>
      </c>
      <c r="EO21" s="2">
        <f t="shared" si="10"/>
        <v>5.7200000000000042</v>
      </c>
      <c r="EP21" s="2">
        <f t="shared" si="10"/>
        <v>5.7600000000000042</v>
      </c>
      <c r="EQ21" s="2">
        <f t="shared" si="10"/>
        <v>5.8000000000000043</v>
      </c>
      <c r="ER21" s="2">
        <f t="shared" si="10"/>
        <v>5.8400000000000043</v>
      </c>
      <c r="ES21" s="2">
        <f t="shared" si="10"/>
        <v>5.8800000000000043</v>
      </c>
      <c r="ET21" s="2">
        <f t="shared" si="10"/>
        <v>5.9200000000000044</v>
      </c>
      <c r="EU21" s="2">
        <f t="shared" si="10"/>
        <v>5.9600000000000044</v>
      </c>
      <c r="EV21" s="2">
        <f t="shared" si="10"/>
        <v>6.0000000000000044</v>
      </c>
      <c r="EW21" s="2">
        <f t="shared" si="10"/>
        <v>6.0400000000000045</v>
      </c>
      <c r="EX21" s="2">
        <f t="shared" si="10"/>
        <v>6.0800000000000045</v>
      </c>
      <c r="EY21" s="2">
        <f t="shared" si="10"/>
        <v>6.1200000000000045</v>
      </c>
      <c r="EZ21" s="2">
        <f t="shared" ref="EZ21:HK21" si="11">EY21+$B6</f>
        <v>6.1600000000000046</v>
      </c>
      <c r="FA21" s="2">
        <f t="shared" si="11"/>
        <v>6.2000000000000046</v>
      </c>
      <c r="FB21" s="2">
        <f t="shared" si="11"/>
        <v>6.2400000000000047</v>
      </c>
      <c r="FC21" s="2">
        <f t="shared" si="11"/>
        <v>6.2800000000000047</v>
      </c>
      <c r="FD21" s="2">
        <f t="shared" si="11"/>
        <v>6.3200000000000047</v>
      </c>
      <c r="FE21" s="2">
        <f t="shared" si="11"/>
        <v>6.3600000000000048</v>
      </c>
      <c r="FF21" s="2">
        <f t="shared" si="11"/>
        <v>6.4000000000000048</v>
      </c>
      <c r="FG21" s="2">
        <f t="shared" si="11"/>
        <v>6.4400000000000048</v>
      </c>
      <c r="FH21" s="2">
        <f t="shared" si="11"/>
        <v>6.4800000000000049</v>
      </c>
      <c r="FI21" s="2">
        <f t="shared" si="11"/>
        <v>6.5200000000000049</v>
      </c>
      <c r="FJ21" s="2">
        <f t="shared" si="11"/>
        <v>6.5600000000000049</v>
      </c>
      <c r="FK21" s="2">
        <f t="shared" si="11"/>
        <v>6.600000000000005</v>
      </c>
      <c r="FL21" s="2">
        <f t="shared" si="11"/>
        <v>6.640000000000005</v>
      </c>
      <c r="FM21" s="2">
        <f t="shared" si="11"/>
        <v>6.680000000000005</v>
      </c>
      <c r="FN21" s="2">
        <f t="shared" si="11"/>
        <v>6.7200000000000051</v>
      </c>
      <c r="FO21" s="2">
        <f t="shared" si="11"/>
        <v>6.7600000000000051</v>
      </c>
      <c r="FP21" s="2">
        <f t="shared" si="11"/>
        <v>6.8000000000000052</v>
      </c>
      <c r="FQ21" s="2">
        <f t="shared" si="11"/>
        <v>6.8400000000000052</v>
      </c>
      <c r="FR21" s="2">
        <f t="shared" si="11"/>
        <v>6.8800000000000052</v>
      </c>
      <c r="FS21" s="2">
        <f t="shared" si="11"/>
        <v>6.9200000000000053</v>
      </c>
      <c r="FT21" s="2">
        <f t="shared" si="11"/>
        <v>6.9600000000000053</v>
      </c>
      <c r="FU21" s="2">
        <f t="shared" si="11"/>
        <v>7.0000000000000053</v>
      </c>
      <c r="FV21" s="2">
        <f t="shared" si="11"/>
        <v>7.0400000000000054</v>
      </c>
      <c r="FW21" s="2">
        <f t="shared" si="11"/>
        <v>7.0800000000000054</v>
      </c>
      <c r="FX21" s="2">
        <f t="shared" si="11"/>
        <v>7.1200000000000054</v>
      </c>
      <c r="FY21" s="2">
        <f t="shared" si="11"/>
        <v>7.1600000000000055</v>
      </c>
      <c r="FZ21" s="2">
        <f t="shared" si="11"/>
        <v>7.2000000000000055</v>
      </c>
      <c r="GA21" s="2">
        <f t="shared" si="11"/>
        <v>7.2400000000000055</v>
      </c>
      <c r="GB21" s="2">
        <f t="shared" si="11"/>
        <v>7.2800000000000056</v>
      </c>
      <c r="GC21" s="2">
        <f t="shared" si="11"/>
        <v>7.3200000000000056</v>
      </c>
      <c r="GD21" s="2">
        <f t="shared" si="11"/>
        <v>7.3600000000000056</v>
      </c>
      <c r="GE21" s="2">
        <f t="shared" si="11"/>
        <v>7.4000000000000057</v>
      </c>
      <c r="GF21" s="2">
        <f t="shared" si="11"/>
        <v>7.4400000000000057</v>
      </c>
      <c r="GG21" s="2">
        <f t="shared" si="11"/>
        <v>7.4800000000000058</v>
      </c>
      <c r="GH21" s="2">
        <f t="shared" si="11"/>
        <v>7.5200000000000058</v>
      </c>
      <c r="GI21" s="2">
        <f t="shared" si="11"/>
        <v>7.5600000000000058</v>
      </c>
      <c r="GJ21" s="2">
        <f t="shared" si="11"/>
        <v>7.6000000000000059</v>
      </c>
      <c r="GK21" s="2">
        <f t="shared" si="11"/>
        <v>7.6400000000000059</v>
      </c>
      <c r="GL21" s="2">
        <f t="shared" si="11"/>
        <v>7.6800000000000059</v>
      </c>
      <c r="GM21" s="2">
        <f t="shared" si="11"/>
        <v>7.720000000000006</v>
      </c>
      <c r="GN21" s="2">
        <f t="shared" si="11"/>
        <v>7.760000000000006</v>
      </c>
      <c r="GO21" s="2">
        <f t="shared" si="11"/>
        <v>7.800000000000006</v>
      </c>
      <c r="GP21" s="2">
        <f t="shared" si="11"/>
        <v>7.8400000000000061</v>
      </c>
      <c r="GQ21" s="2">
        <f t="shared" si="11"/>
        <v>7.8800000000000061</v>
      </c>
      <c r="GR21" s="2">
        <f t="shared" si="11"/>
        <v>7.9200000000000061</v>
      </c>
      <c r="GS21" s="2">
        <f t="shared" si="11"/>
        <v>7.9600000000000062</v>
      </c>
      <c r="GT21" s="2">
        <f t="shared" si="11"/>
        <v>8.0000000000000053</v>
      </c>
      <c r="GU21" s="2">
        <f t="shared" si="11"/>
        <v>8.0400000000000045</v>
      </c>
      <c r="GV21" s="2">
        <f t="shared" si="11"/>
        <v>8.0800000000000036</v>
      </c>
      <c r="GW21" s="2">
        <f t="shared" si="11"/>
        <v>8.1200000000000028</v>
      </c>
      <c r="GX21" s="2">
        <f t="shared" si="11"/>
        <v>8.1600000000000019</v>
      </c>
      <c r="GY21" s="2">
        <f t="shared" si="11"/>
        <v>8.2000000000000011</v>
      </c>
      <c r="GZ21" s="2">
        <f t="shared" si="11"/>
        <v>8.24</v>
      </c>
      <c r="HA21" s="2">
        <f t="shared" si="11"/>
        <v>8.2799999999999994</v>
      </c>
      <c r="HB21" s="2">
        <f t="shared" si="11"/>
        <v>8.3199999999999985</v>
      </c>
      <c r="HC21" s="2">
        <f t="shared" si="11"/>
        <v>8.3599999999999977</v>
      </c>
      <c r="HD21" s="2">
        <f t="shared" si="11"/>
        <v>8.3999999999999968</v>
      </c>
      <c r="HE21" s="2">
        <f t="shared" si="11"/>
        <v>8.4399999999999959</v>
      </c>
      <c r="HF21" s="2">
        <f t="shared" si="11"/>
        <v>8.4799999999999951</v>
      </c>
      <c r="HG21" s="2">
        <f t="shared" si="11"/>
        <v>8.5199999999999942</v>
      </c>
      <c r="HH21" s="2">
        <f t="shared" si="11"/>
        <v>8.5599999999999934</v>
      </c>
      <c r="HI21" s="2">
        <f t="shared" si="11"/>
        <v>8.5999999999999925</v>
      </c>
      <c r="HJ21" s="2">
        <f t="shared" si="11"/>
        <v>8.6399999999999917</v>
      </c>
      <c r="HK21" s="2">
        <f t="shared" si="11"/>
        <v>8.6799999999999908</v>
      </c>
      <c r="HL21" s="2">
        <f t="shared" ref="HL21:JI21" si="12">HK21+$B6</f>
        <v>8.71999999999999</v>
      </c>
      <c r="HM21" s="2">
        <f t="shared" si="12"/>
        <v>8.7599999999999891</v>
      </c>
      <c r="HN21" s="2">
        <f t="shared" si="12"/>
        <v>8.7999999999999883</v>
      </c>
      <c r="HO21" s="2">
        <f t="shared" si="12"/>
        <v>8.8399999999999874</v>
      </c>
      <c r="HP21" s="2">
        <f t="shared" si="12"/>
        <v>8.8799999999999866</v>
      </c>
      <c r="HQ21" s="2">
        <f t="shared" si="12"/>
        <v>8.9199999999999857</v>
      </c>
      <c r="HR21" s="2">
        <f t="shared" si="12"/>
        <v>8.9599999999999849</v>
      </c>
      <c r="HS21" s="2">
        <f t="shared" si="12"/>
        <v>8.999999999999984</v>
      </c>
      <c r="HT21" s="2">
        <f t="shared" si="12"/>
        <v>9.0399999999999832</v>
      </c>
      <c r="HU21" s="2">
        <f t="shared" si="12"/>
        <v>9.0799999999999823</v>
      </c>
      <c r="HV21" s="2">
        <f t="shared" si="12"/>
        <v>9.1199999999999815</v>
      </c>
      <c r="HW21" s="2">
        <f t="shared" si="12"/>
        <v>9.1599999999999806</v>
      </c>
      <c r="HX21" s="2">
        <f t="shared" si="12"/>
        <v>9.1999999999999797</v>
      </c>
      <c r="HY21" s="2">
        <f t="shared" si="12"/>
        <v>9.2399999999999789</v>
      </c>
      <c r="HZ21" s="2">
        <f t="shared" si="12"/>
        <v>9.279999999999978</v>
      </c>
      <c r="IA21" s="2">
        <f t="shared" si="12"/>
        <v>9.3199999999999772</v>
      </c>
      <c r="IB21" s="2">
        <f t="shared" si="12"/>
        <v>9.3599999999999763</v>
      </c>
      <c r="IC21" s="2">
        <f t="shared" si="12"/>
        <v>9.3999999999999755</v>
      </c>
      <c r="ID21" s="2">
        <f t="shared" si="12"/>
        <v>9.4399999999999746</v>
      </c>
      <c r="IE21" s="2">
        <f t="shared" si="12"/>
        <v>9.4799999999999738</v>
      </c>
      <c r="IF21" s="2">
        <f t="shared" si="12"/>
        <v>9.5199999999999729</v>
      </c>
      <c r="IG21" s="2">
        <f t="shared" si="12"/>
        <v>9.5599999999999721</v>
      </c>
      <c r="IH21" s="2">
        <f t="shared" si="12"/>
        <v>9.5999999999999712</v>
      </c>
      <c r="II21" s="2">
        <f t="shared" si="12"/>
        <v>9.6399999999999704</v>
      </c>
      <c r="IJ21" s="2">
        <f t="shared" si="12"/>
        <v>9.6799999999999695</v>
      </c>
      <c r="IK21" s="2">
        <f t="shared" si="12"/>
        <v>9.7199999999999687</v>
      </c>
      <c r="IL21" s="2">
        <f t="shared" si="12"/>
        <v>9.7599999999999678</v>
      </c>
      <c r="IM21" s="2">
        <f t="shared" si="12"/>
        <v>9.799999999999967</v>
      </c>
      <c r="IN21" s="2">
        <f t="shared" si="12"/>
        <v>9.8399999999999661</v>
      </c>
      <c r="IO21" s="2">
        <f t="shared" si="12"/>
        <v>9.8799999999999653</v>
      </c>
      <c r="IP21" s="2">
        <f t="shared" si="12"/>
        <v>9.9199999999999644</v>
      </c>
      <c r="IQ21" s="2">
        <f t="shared" si="12"/>
        <v>9.9599999999999635</v>
      </c>
      <c r="IR21" s="2">
        <f t="shared" si="12"/>
        <v>9.9999999999999627</v>
      </c>
      <c r="IS21" s="2">
        <f t="shared" si="12"/>
        <v>10.039999999999962</v>
      </c>
      <c r="IT21" s="2">
        <f t="shared" si="12"/>
        <v>10.079999999999961</v>
      </c>
      <c r="IU21" s="2">
        <f t="shared" si="12"/>
        <v>10.11999999999996</v>
      </c>
      <c r="IV21" s="2">
        <f t="shared" si="12"/>
        <v>10.159999999999959</v>
      </c>
      <c r="IW21" s="2">
        <f t="shared" si="12"/>
        <v>10.199999999999958</v>
      </c>
      <c r="IX21" s="2">
        <f t="shared" si="12"/>
        <v>10.239999999999958</v>
      </c>
      <c r="IY21" s="2">
        <f t="shared" si="12"/>
        <v>10.279999999999957</v>
      </c>
      <c r="IZ21" s="2">
        <f t="shared" si="12"/>
        <v>10.319999999999956</v>
      </c>
      <c r="JA21" s="2">
        <f t="shared" si="12"/>
        <v>10.359999999999955</v>
      </c>
      <c r="JB21" s="2">
        <f t="shared" si="12"/>
        <v>10.399999999999954</v>
      </c>
      <c r="JC21" s="2">
        <f t="shared" si="12"/>
        <v>10.439999999999953</v>
      </c>
      <c r="JD21" s="2">
        <f t="shared" si="12"/>
        <v>10.479999999999952</v>
      </c>
      <c r="JE21" s="2">
        <f t="shared" si="12"/>
        <v>10.519999999999952</v>
      </c>
      <c r="JF21" s="2">
        <f t="shared" si="12"/>
        <v>10.559999999999951</v>
      </c>
      <c r="JG21" s="2">
        <f t="shared" si="12"/>
        <v>10.59999999999995</v>
      </c>
      <c r="JH21" s="2">
        <f t="shared" si="12"/>
        <v>10.639999999999949</v>
      </c>
      <c r="JI21" s="2">
        <f t="shared" si="12"/>
        <v>10.679999999999948</v>
      </c>
      <c r="JJ21" s="2">
        <f t="shared" ref="JJ21:LU21" si="13">JI21+$B6</f>
        <v>10.719999999999947</v>
      </c>
      <c r="JK21" s="2">
        <f t="shared" si="13"/>
        <v>10.759999999999946</v>
      </c>
      <c r="JL21" s="2">
        <f t="shared" si="13"/>
        <v>10.799999999999946</v>
      </c>
      <c r="JM21" s="2">
        <f t="shared" si="13"/>
        <v>10.839999999999945</v>
      </c>
      <c r="JN21" s="2">
        <f t="shared" si="13"/>
        <v>10.879999999999944</v>
      </c>
      <c r="JO21" s="2">
        <f t="shared" si="13"/>
        <v>10.919999999999943</v>
      </c>
      <c r="JP21" s="2">
        <f t="shared" si="13"/>
        <v>10.959999999999942</v>
      </c>
      <c r="JQ21" s="2">
        <f t="shared" si="13"/>
        <v>10.999999999999941</v>
      </c>
      <c r="JR21" s="2">
        <f t="shared" si="13"/>
        <v>11.039999999999941</v>
      </c>
      <c r="JS21" s="2">
        <f t="shared" si="13"/>
        <v>11.07999999999994</v>
      </c>
      <c r="JT21" s="2">
        <f t="shared" si="13"/>
        <v>11.119999999999939</v>
      </c>
      <c r="JU21" s="2">
        <f t="shared" si="13"/>
        <v>11.159999999999938</v>
      </c>
      <c r="JV21" s="2">
        <f t="shared" si="13"/>
        <v>11.199999999999937</v>
      </c>
      <c r="JW21" s="2">
        <f t="shared" si="13"/>
        <v>11.239999999999936</v>
      </c>
      <c r="JX21" s="2">
        <f t="shared" si="13"/>
        <v>11.279999999999935</v>
      </c>
      <c r="JY21" s="2">
        <f t="shared" si="13"/>
        <v>11.319999999999935</v>
      </c>
      <c r="JZ21" s="2">
        <f t="shared" si="13"/>
        <v>11.359999999999934</v>
      </c>
      <c r="KA21" s="2">
        <f t="shared" si="13"/>
        <v>11.399999999999933</v>
      </c>
      <c r="KB21" s="2">
        <f t="shared" si="13"/>
        <v>11.439999999999932</v>
      </c>
      <c r="KC21" s="2">
        <f t="shared" si="13"/>
        <v>11.479999999999931</v>
      </c>
      <c r="KD21" s="2">
        <f t="shared" si="13"/>
        <v>11.51999999999993</v>
      </c>
      <c r="KE21" s="2">
        <f t="shared" si="13"/>
        <v>11.559999999999929</v>
      </c>
      <c r="KF21" s="2">
        <f t="shared" si="13"/>
        <v>11.599999999999929</v>
      </c>
      <c r="KG21" s="2">
        <f t="shared" si="13"/>
        <v>11.639999999999928</v>
      </c>
      <c r="KH21" s="2">
        <f t="shared" si="13"/>
        <v>11.679999999999927</v>
      </c>
      <c r="KI21" s="2">
        <f t="shared" si="13"/>
        <v>11.719999999999926</v>
      </c>
      <c r="KJ21" s="2">
        <f t="shared" si="13"/>
        <v>11.759999999999925</v>
      </c>
      <c r="KK21" s="2">
        <f t="shared" si="13"/>
        <v>11.799999999999924</v>
      </c>
      <c r="KL21" s="2">
        <f t="shared" si="13"/>
        <v>11.839999999999923</v>
      </c>
      <c r="KM21" s="2">
        <f t="shared" si="13"/>
        <v>11.879999999999923</v>
      </c>
      <c r="KN21" s="2">
        <f t="shared" si="13"/>
        <v>11.919999999999922</v>
      </c>
      <c r="KO21" s="2">
        <f t="shared" si="13"/>
        <v>11.959999999999921</v>
      </c>
      <c r="KP21" s="2">
        <f t="shared" si="13"/>
        <v>11.99999999999992</v>
      </c>
      <c r="KQ21" s="2">
        <f t="shared" si="13"/>
        <v>12.039999999999919</v>
      </c>
      <c r="KR21" s="2">
        <f t="shared" si="13"/>
        <v>12.079999999999918</v>
      </c>
      <c r="KS21" s="2">
        <f t="shared" si="13"/>
        <v>12.119999999999918</v>
      </c>
      <c r="KT21" s="2">
        <f t="shared" si="13"/>
        <v>12.159999999999917</v>
      </c>
      <c r="KU21" s="2">
        <f t="shared" si="13"/>
        <v>12.199999999999916</v>
      </c>
      <c r="KV21" s="2">
        <f t="shared" si="13"/>
        <v>12.239999999999915</v>
      </c>
      <c r="KW21" s="2">
        <f t="shared" si="13"/>
        <v>12.279999999999914</v>
      </c>
      <c r="KX21" s="2">
        <f t="shared" si="13"/>
        <v>12.319999999999913</v>
      </c>
      <c r="KY21" s="2">
        <f t="shared" si="13"/>
        <v>12.359999999999912</v>
      </c>
      <c r="KZ21" s="2">
        <f t="shared" si="13"/>
        <v>12.399999999999912</v>
      </c>
      <c r="LA21" s="2">
        <f t="shared" si="13"/>
        <v>12.439999999999911</v>
      </c>
      <c r="LB21" s="2">
        <f t="shared" si="13"/>
        <v>12.47999999999991</v>
      </c>
      <c r="LC21" s="2">
        <f t="shared" si="13"/>
        <v>12.519999999999909</v>
      </c>
      <c r="LD21" s="2">
        <f t="shared" si="13"/>
        <v>12.559999999999908</v>
      </c>
      <c r="LE21" s="2">
        <f t="shared" si="13"/>
        <v>12.599999999999907</v>
      </c>
      <c r="LF21" s="2">
        <f t="shared" si="13"/>
        <v>12.639999999999906</v>
      </c>
      <c r="LG21" s="2">
        <f t="shared" si="13"/>
        <v>12.679999999999906</v>
      </c>
      <c r="LH21" s="2">
        <f t="shared" si="13"/>
        <v>12.719999999999905</v>
      </c>
      <c r="LI21" s="2">
        <f t="shared" si="13"/>
        <v>12.759999999999904</v>
      </c>
      <c r="LJ21" s="2">
        <f t="shared" si="13"/>
        <v>12.799999999999903</v>
      </c>
      <c r="LK21" s="2">
        <f t="shared" si="13"/>
        <v>12.839999999999902</v>
      </c>
      <c r="LL21" s="2">
        <f t="shared" si="13"/>
        <v>12.879999999999901</v>
      </c>
      <c r="LM21" s="2">
        <f t="shared" si="13"/>
        <v>12.9199999999999</v>
      </c>
      <c r="LN21" s="2">
        <f t="shared" si="13"/>
        <v>12.9599999999999</v>
      </c>
      <c r="LO21" s="2">
        <f t="shared" si="13"/>
        <v>12.999999999999899</v>
      </c>
      <c r="LP21" s="2">
        <f t="shared" si="13"/>
        <v>13.039999999999898</v>
      </c>
      <c r="LQ21" s="2">
        <f t="shared" si="13"/>
        <v>13.079999999999897</v>
      </c>
      <c r="LR21" s="2">
        <f t="shared" si="13"/>
        <v>13.119999999999896</v>
      </c>
      <c r="LS21" s="2">
        <f t="shared" si="13"/>
        <v>13.159999999999895</v>
      </c>
      <c r="LT21" s="2">
        <f t="shared" si="13"/>
        <v>13.199999999999894</v>
      </c>
      <c r="LU21" s="2">
        <f t="shared" si="13"/>
        <v>13.239999999999894</v>
      </c>
      <c r="LV21" s="2">
        <f t="shared" ref="LV21:OG21" si="14">LU21+$B6</f>
        <v>13.279999999999893</v>
      </c>
      <c r="LW21" s="2">
        <f t="shared" si="14"/>
        <v>13.319999999999892</v>
      </c>
      <c r="LX21" s="2">
        <f t="shared" si="14"/>
        <v>13.359999999999891</v>
      </c>
      <c r="LY21" s="2">
        <f t="shared" si="14"/>
        <v>13.39999999999989</v>
      </c>
      <c r="LZ21" s="2">
        <f t="shared" si="14"/>
        <v>13.439999999999889</v>
      </c>
      <c r="MA21" s="2">
        <f t="shared" si="14"/>
        <v>13.479999999999889</v>
      </c>
      <c r="MB21" s="2">
        <f t="shared" si="14"/>
        <v>13.519999999999888</v>
      </c>
      <c r="MC21" s="2">
        <f t="shared" si="14"/>
        <v>13.559999999999887</v>
      </c>
      <c r="MD21" s="2">
        <f t="shared" si="14"/>
        <v>13.599999999999886</v>
      </c>
      <c r="ME21" s="2">
        <f t="shared" si="14"/>
        <v>13.639999999999885</v>
      </c>
      <c r="MF21" s="2">
        <f t="shared" si="14"/>
        <v>13.679999999999884</v>
      </c>
      <c r="MG21" s="2">
        <f t="shared" si="14"/>
        <v>13.719999999999883</v>
      </c>
      <c r="MH21" s="2">
        <f t="shared" si="14"/>
        <v>13.759999999999883</v>
      </c>
      <c r="MI21" s="2">
        <f t="shared" si="14"/>
        <v>13.799999999999882</v>
      </c>
      <c r="MJ21" s="2">
        <f t="shared" si="14"/>
        <v>13.839999999999881</v>
      </c>
      <c r="MK21" s="2">
        <f t="shared" si="14"/>
        <v>13.87999999999988</v>
      </c>
      <c r="ML21" s="2">
        <f t="shared" si="14"/>
        <v>13.919999999999879</v>
      </c>
      <c r="MM21" s="2">
        <f t="shared" si="14"/>
        <v>13.959999999999878</v>
      </c>
      <c r="MN21" s="2">
        <f t="shared" si="14"/>
        <v>13.999999999999877</v>
      </c>
      <c r="MO21" s="2">
        <f t="shared" si="14"/>
        <v>14.039999999999877</v>
      </c>
      <c r="MP21" s="2">
        <f t="shared" si="14"/>
        <v>14.079999999999876</v>
      </c>
      <c r="MQ21" s="2">
        <f t="shared" si="14"/>
        <v>14.119999999999875</v>
      </c>
      <c r="MR21" s="2">
        <f t="shared" si="14"/>
        <v>14.159999999999874</v>
      </c>
      <c r="MS21" s="2">
        <f t="shared" si="14"/>
        <v>14.199999999999873</v>
      </c>
      <c r="MT21" s="2">
        <f t="shared" si="14"/>
        <v>14.239999999999872</v>
      </c>
      <c r="MU21" s="2">
        <f t="shared" si="14"/>
        <v>14.279999999999871</v>
      </c>
      <c r="MV21" s="2">
        <f t="shared" si="14"/>
        <v>14.319999999999871</v>
      </c>
      <c r="MW21" s="2">
        <f t="shared" si="14"/>
        <v>14.35999999999987</v>
      </c>
      <c r="MX21" s="2">
        <f t="shared" si="14"/>
        <v>14.399999999999869</v>
      </c>
      <c r="MY21" s="2">
        <f t="shared" si="14"/>
        <v>14.439999999999868</v>
      </c>
      <c r="MZ21" s="2">
        <f t="shared" si="14"/>
        <v>14.479999999999867</v>
      </c>
      <c r="NA21" s="2">
        <f t="shared" si="14"/>
        <v>14.519999999999866</v>
      </c>
      <c r="NB21" s="2">
        <f t="shared" si="14"/>
        <v>14.559999999999865</v>
      </c>
      <c r="NC21" s="2">
        <f t="shared" si="14"/>
        <v>14.599999999999865</v>
      </c>
      <c r="ND21" s="2">
        <f t="shared" si="14"/>
        <v>14.639999999999864</v>
      </c>
      <c r="NE21" s="2">
        <f t="shared" si="14"/>
        <v>14.679999999999863</v>
      </c>
      <c r="NF21" s="2">
        <f t="shared" si="14"/>
        <v>14.719999999999862</v>
      </c>
      <c r="NG21" s="2">
        <f t="shared" si="14"/>
        <v>14.759999999999861</v>
      </c>
      <c r="NH21" s="2">
        <f t="shared" si="14"/>
        <v>14.79999999999986</v>
      </c>
      <c r="NI21" s="2">
        <f t="shared" si="14"/>
        <v>14.83999999999986</v>
      </c>
      <c r="NJ21" s="2">
        <f t="shared" si="14"/>
        <v>14.879999999999859</v>
      </c>
      <c r="NK21" s="2">
        <f t="shared" si="14"/>
        <v>14.919999999999858</v>
      </c>
      <c r="NL21" s="2">
        <f t="shared" si="14"/>
        <v>14.959999999999857</v>
      </c>
      <c r="NM21" s="2">
        <f t="shared" si="14"/>
        <v>14.999999999999856</v>
      </c>
      <c r="NN21" s="2">
        <f t="shared" si="14"/>
        <v>15.039999999999855</v>
      </c>
      <c r="NO21" s="2">
        <f t="shared" si="14"/>
        <v>15.079999999999854</v>
      </c>
      <c r="NP21" s="2">
        <f t="shared" si="14"/>
        <v>15.119999999999854</v>
      </c>
      <c r="NQ21" s="2">
        <f t="shared" si="14"/>
        <v>15.159999999999853</v>
      </c>
      <c r="NR21" s="2">
        <f t="shared" si="14"/>
        <v>15.199999999999852</v>
      </c>
      <c r="NS21" s="2">
        <f t="shared" si="14"/>
        <v>15.239999999999851</v>
      </c>
      <c r="NT21" s="2">
        <f t="shared" si="14"/>
        <v>15.27999999999985</v>
      </c>
      <c r="NU21" s="2">
        <f t="shared" si="14"/>
        <v>15.319999999999849</v>
      </c>
      <c r="NV21" s="2">
        <f t="shared" si="14"/>
        <v>15.359999999999848</v>
      </c>
      <c r="NW21" s="2">
        <f t="shared" si="14"/>
        <v>15.399999999999848</v>
      </c>
      <c r="NX21" s="2">
        <f t="shared" si="14"/>
        <v>15.439999999999847</v>
      </c>
      <c r="NY21" s="2">
        <f t="shared" si="14"/>
        <v>15.479999999999846</v>
      </c>
      <c r="NZ21" s="2">
        <f t="shared" si="14"/>
        <v>15.519999999999845</v>
      </c>
      <c r="OA21" s="2">
        <f t="shared" si="14"/>
        <v>15.559999999999844</v>
      </c>
      <c r="OB21" s="2">
        <f t="shared" si="14"/>
        <v>15.599999999999843</v>
      </c>
      <c r="OC21" s="2">
        <f t="shared" si="14"/>
        <v>15.639999999999842</v>
      </c>
      <c r="OD21" s="2">
        <f t="shared" si="14"/>
        <v>15.679999999999842</v>
      </c>
      <c r="OE21" s="2">
        <f t="shared" si="14"/>
        <v>15.719999999999841</v>
      </c>
      <c r="OF21" s="2">
        <f t="shared" si="14"/>
        <v>15.75999999999984</v>
      </c>
      <c r="OG21" s="2">
        <f t="shared" si="14"/>
        <v>15.799999999999839</v>
      </c>
      <c r="OH21" s="2">
        <f t="shared" ref="OH21:QS21" si="15">OG21+$B6</f>
        <v>15.839999999999838</v>
      </c>
      <c r="OI21" s="2">
        <f t="shared" si="15"/>
        <v>15.879999999999837</v>
      </c>
      <c r="OJ21" s="2">
        <f t="shared" si="15"/>
        <v>15.919999999999837</v>
      </c>
      <c r="OK21" s="2">
        <f t="shared" si="15"/>
        <v>15.959999999999836</v>
      </c>
      <c r="OL21" s="2">
        <f t="shared" si="15"/>
        <v>15.999999999999835</v>
      </c>
      <c r="OM21" s="2">
        <f t="shared" si="15"/>
        <v>16.039999999999836</v>
      </c>
      <c r="ON21" s="2">
        <f t="shared" si="15"/>
        <v>16.079999999999835</v>
      </c>
      <c r="OO21" s="2">
        <f t="shared" si="15"/>
        <v>16.119999999999834</v>
      </c>
      <c r="OP21" s="2">
        <f t="shared" si="15"/>
        <v>16.159999999999833</v>
      </c>
      <c r="OQ21" s="2">
        <f t="shared" si="15"/>
        <v>16.199999999999832</v>
      </c>
      <c r="OR21" s="2">
        <f t="shared" si="15"/>
        <v>16.239999999999831</v>
      </c>
      <c r="OS21" s="2">
        <f t="shared" si="15"/>
        <v>16.279999999999831</v>
      </c>
      <c r="OT21" s="2">
        <f t="shared" si="15"/>
        <v>16.31999999999983</v>
      </c>
      <c r="OU21" s="2">
        <f t="shared" si="15"/>
        <v>16.359999999999829</v>
      </c>
      <c r="OV21" s="2">
        <f t="shared" si="15"/>
        <v>16.399999999999828</v>
      </c>
      <c r="OW21" s="2">
        <f t="shared" si="15"/>
        <v>16.439999999999827</v>
      </c>
      <c r="OX21" s="2">
        <f t="shared" si="15"/>
        <v>16.479999999999826</v>
      </c>
      <c r="OY21" s="2">
        <f t="shared" si="15"/>
        <v>16.519999999999825</v>
      </c>
      <c r="OZ21" s="2">
        <f t="shared" si="15"/>
        <v>16.559999999999825</v>
      </c>
      <c r="PA21" s="2">
        <f t="shared" si="15"/>
        <v>16.599999999999824</v>
      </c>
      <c r="PB21" s="2">
        <f t="shared" si="15"/>
        <v>16.639999999999823</v>
      </c>
      <c r="PC21" s="2">
        <f t="shared" si="15"/>
        <v>16.679999999999822</v>
      </c>
      <c r="PD21" s="2">
        <f t="shared" si="15"/>
        <v>16.719999999999821</v>
      </c>
      <c r="PE21" s="2">
        <f t="shared" si="15"/>
        <v>16.75999999999982</v>
      </c>
      <c r="PF21" s="2">
        <f t="shared" si="15"/>
        <v>16.79999999999982</v>
      </c>
      <c r="PG21" s="2">
        <f t="shared" si="15"/>
        <v>16.839999999999819</v>
      </c>
      <c r="PH21" s="2">
        <f t="shared" si="15"/>
        <v>16.879999999999818</v>
      </c>
      <c r="PI21" s="2">
        <f t="shared" si="15"/>
        <v>16.919999999999817</v>
      </c>
      <c r="PJ21" s="2">
        <f t="shared" si="15"/>
        <v>16.959999999999816</v>
      </c>
      <c r="PK21" s="2">
        <f t="shared" si="15"/>
        <v>16.999999999999815</v>
      </c>
      <c r="PL21" s="2">
        <f t="shared" si="15"/>
        <v>17.039999999999814</v>
      </c>
      <c r="PM21" s="2">
        <f t="shared" si="15"/>
        <v>17.079999999999814</v>
      </c>
      <c r="PN21" s="2">
        <f t="shared" si="15"/>
        <v>17.119999999999813</v>
      </c>
      <c r="PO21" s="2">
        <f t="shared" si="15"/>
        <v>17.159999999999812</v>
      </c>
      <c r="PP21" s="2">
        <f t="shared" si="15"/>
        <v>17.199999999999811</v>
      </c>
      <c r="PQ21" s="2">
        <f t="shared" si="15"/>
        <v>17.23999999999981</v>
      </c>
      <c r="PR21" s="2">
        <f t="shared" si="15"/>
        <v>17.279999999999809</v>
      </c>
      <c r="PS21" s="2">
        <f t="shared" si="15"/>
        <v>17.319999999999808</v>
      </c>
      <c r="PT21" s="2">
        <f t="shared" si="15"/>
        <v>17.359999999999808</v>
      </c>
      <c r="PU21" s="2">
        <f t="shared" si="15"/>
        <v>17.399999999999807</v>
      </c>
      <c r="PV21" s="2">
        <f t="shared" si="15"/>
        <v>17.439999999999806</v>
      </c>
      <c r="PW21" s="2">
        <f t="shared" si="15"/>
        <v>17.479999999999805</v>
      </c>
      <c r="PX21" s="2">
        <f t="shared" si="15"/>
        <v>17.519999999999804</v>
      </c>
      <c r="PY21" s="2">
        <f t="shared" si="15"/>
        <v>17.559999999999803</v>
      </c>
      <c r="PZ21" s="2">
        <f t="shared" si="15"/>
        <v>17.599999999999802</v>
      </c>
      <c r="QA21" s="2">
        <f t="shared" si="15"/>
        <v>17.639999999999802</v>
      </c>
      <c r="QB21" s="2">
        <f t="shared" si="15"/>
        <v>17.679999999999801</v>
      </c>
      <c r="QC21" s="2">
        <f t="shared" si="15"/>
        <v>17.7199999999998</v>
      </c>
      <c r="QD21" s="2">
        <f t="shared" si="15"/>
        <v>17.759999999999799</v>
      </c>
      <c r="QE21" s="2">
        <f t="shared" si="15"/>
        <v>17.799999999999798</v>
      </c>
      <c r="QF21" s="2">
        <f t="shared" si="15"/>
        <v>17.839999999999797</v>
      </c>
      <c r="QG21" s="2">
        <f t="shared" si="15"/>
        <v>17.879999999999797</v>
      </c>
      <c r="QH21" s="2">
        <f t="shared" si="15"/>
        <v>17.919999999999796</v>
      </c>
      <c r="QI21" s="2">
        <f t="shared" si="15"/>
        <v>17.959999999999795</v>
      </c>
      <c r="QJ21" s="2">
        <f t="shared" si="15"/>
        <v>17.999999999999794</v>
      </c>
      <c r="QK21" s="2">
        <f t="shared" si="15"/>
        <v>18.039999999999793</v>
      </c>
      <c r="QL21" s="2">
        <f t="shared" si="15"/>
        <v>18.079999999999792</v>
      </c>
      <c r="QM21" s="2">
        <f t="shared" si="15"/>
        <v>18.119999999999791</v>
      </c>
      <c r="QN21" s="2">
        <f t="shared" si="15"/>
        <v>18.159999999999791</v>
      </c>
      <c r="QO21" s="2">
        <f t="shared" si="15"/>
        <v>18.19999999999979</v>
      </c>
      <c r="QP21" s="2">
        <f t="shared" si="15"/>
        <v>18.239999999999789</v>
      </c>
      <c r="QQ21" s="2">
        <f t="shared" si="15"/>
        <v>18.279999999999788</v>
      </c>
      <c r="QR21" s="2">
        <f t="shared" si="15"/>
        <v>18.319999999999787</v>
      </c>
      <c r="QS21" s="2">
        <f t="shared" si="15"/>
        <v>18.359999999999786</v>
      </c>
      <c r="QT21" s="2">
        <f t="shared" ref="QT21:TE21" si="16">QS21+$B6</f>
        <v>18.399999999999785</v>
      </c>
      <c r="QU21" s="2">
        <f t="shared" si="16"/>
        <v>18.439999999999785</v>
      </c>
      <c r="QV21" s="2">
        <f t="shared" si="16"/>
        <v>18.479999999999784</v>
      </c>
      <c r="QW21" s="2">
        <f t="shared" si="16"/>
        <v>18.519999999999783</v>
      </c>
      <c r="QX21" s="2">
        <f t="shared" si="16"/>
        <v>18.559999999999782</v>
      </c>
      <c r="QY21" s="2">
        <f t="shared" si="16"/>
        <v>18.599999999999781</v>
      </c>
      <c r="QZ21" s="2">
        <f t="shared" si="16"/>
        <v>18.63999999999978</v>
      </c>
      <c r="RA21" s="2">
        <f t="shared" si="16"/>
        <v>18.679999999999779</v>
      </c>
      <c r="RB21" s="2">
        <f t="shared" si="16"/>
        <v>18.719999999999779</v>
      </c>
      <c r="RC21" s="2">
        <f t="shared" si="16"/>
        <v>18.759999999999778</v>
      </c>
      <c r="RD21" s="2">
        <f t="shared" si="16"/>
        <v>18.799999999999777</v>
      </c>
      <c r="RE21" s="2">
        <f t="shared" si="16"/>
        <v>18.839999999999776</v>
      </c>
      <c r="RF21" s="2">
        <f t="shared" si="16"/>
        <v>18.879999999999775</v>
      </c>
      <c r="RG21" s="2">
        <f t="shared" si="16"/>
        <v>18.919999999999774</v>
      </c>
      <c r="RH21" s="2">
        <f t="shared" si="16"/>
        <v>18.959999999999773</v>
      </c>
      <c r="RI21" s="2">
        <f t="shared" si="16"/>
        <v>18.999999999999773</v>
      </c>
      <c r="RJ21" s="2">
        <f t="shared" si="16"/>
        <v>19.039999999999772</v>
      </c>
      <c r="RK21" s="2">
        <f t="shared" si="16"/>
        <v>19.079999999999771</v>
      </c>
      <c r="RL21" s="2">
        <f t="shared" si="16"/>
        <v>19.11999999999977</v>
      </c>
      <c r="RM21" s="2">
        <f t="shared" si="16"/>
        <v>19.159999999999769</v>
      </c>
      <c r="RN21" s="2">
        <f t="shared" si="16"/>
        <v>19.199999999999768</v>
      </c>
      <c r="RO21" s="2">
        <f t="shared" si="16"/>
        <v>19.239999999999768</v>
      </c>
      <c r="RP21" s="2">
        <f t="shared" si="16"/>
        <v>19.279999999999767</v>
      </c>
      <c r="RQ21" s="2">
        <f t="shared" si="16"/>
        <v>19.319999999999766</v>
      </c>
      <c r="RR21" s="2">
        <f t="shared" si="16"/>
        <v>19.359999999999765</v>
      </c>
      <c r="RS21" s="2">
        <f t="shared" si="16"/>
        <v>19.399999999999764</v>
      </c>
      <c r="RT21" s="2">
        <f t="shared" si="16"/>
        <v>19.439999999999763</v>
      </c>
      <c r="RU21" s="2">
        <f t="shared" si="16"/>
        <v>19.479999999999762</v>
      </c>
      <c r="RV21" s="2">
        <f t="shared" si="16"/>
        <v>19.519999999999762</v>
      </c>
      <c r="RW21" s="2">
        <f t="shared" si="16"/>
        <v>19.559999999999761</v>
      </c>
      <c r="RX21" s="2">
        <f t="shared" si="16"/>
        <v>19.59999999999976</v>
      </c>
      <c r="RY21" s="2">
        <f t="shared" si="16"/>
        <v>19.639999999999759</v>
      </c>
      <c r="RZ21" s="2">
        <f t="shared" si="16"/>
        <v>19.679999999999758</v>
      </c>
      <c r="SA21" s="2">
        <f t="shared" si="16"/>
        <v>19.719999999999757</v>
      </c>
      <c r="SB21" s="2">
        <f t="shared" si="16"/>
        <v>19.759999999999756</v>
      </c>
      <c r="SC21" s="2">
        <f t="shared" si="16"/>
        <v>19.799999999999756</v>
      </c>
      <c r="SD21" s="2">
        <f t="shared" si="16"/>
        <v>19.839999999999755</v>
      </c>
      <c r="SE21" s="2">
        <f t="shared" si="16"/>
        <v>19.879999999999754</v>
      </c>
      <c r="SF21" s="2">
        <f t="shared" si="16"/>
        <v>19.919999999999753</v>
      </c>
      <c r="SG21" s="2">
        <f t="shared" si="16"/>
        <v>19.959999999999752</v>
      </c>
      <c r="SH21" s="2">
        <f t="shared" si="16"/>
        <v>19.999999999999751</v>
      </c>
      <c r="SI21" s="2">
        <f t="shared" si="16"/>
        <v>20.03999999999975</v>
      </c>
      <c r="SJ21" s="2">
        <f t="shared" si="16"/>
        <v>20.07999999999975</v>
      </c>
      <c r="SK21" s="2">
        <f t="shared" si="16"/>
        <v>20.119999999999749</v>
      </c>
      <c r="SL21" s="2">
        <f t="shared" si="16"/>
        <v>20.159999999999748</v>
      </c>
      <c r="SM21" s="2">
        <f t="shared" si="16"/>
        <v>20.199999999999747</v>
      </c>
      <c r="SN21" s="2">
        <f t="shared" si="16"/>
        <v>20.239999999999746</v>
      </c>
      <c r="SO21" s="2">
        <f t="shared" si="16"/>
        <v>20.279999999999745</v>
      </c>
      <c r="SP21" s="2">
        <f t="shared" si="16"/>
        <v>20.319999999999744</v>
      </c>
      <c r="SQ21" s="2">
        <f t="shared" si="16"/>
        <v>20.359999999999744</v>
      </c>
      <c r="SR21" s="2">
        <f t="shared" si="16"/>
        <v>20.399999999999743</v>
      </c>
      <c r="SS21" s="2">
        <f t="shared" si="16"/>
        <v>20.439999999999742</v>
      </c>
      <c r="ST21" s="2">
        <f t="shared" si="16"/>
        <v>20.479999999999741</v>
      </c>
      <c r="SU21" s="2">
        <f t="shared" si="16"/>
        <v>20.51999999999974</v>
      </c>
      <c r="SV21" s="2">
        <f t="shared" si="16"/>
        <v>20.559999999999739</v>
      </c>
      <c r="SW21" s="2">
        <f t="shared" si="16"/>
        <v>20.599999999999739</v>
      </c>
      <c r="SX21" s="2">
        <f t="shared" si="16"/>
        <v>20.639999999999738</v>
      </c>
      <c r="SY21" s="2">
        <f t="shared" si="16"/>
        <v>20.679999999999737</v>
      </c>
      <c r="SZ21" s="2">
        <f t="shared" si="16"/>
        <v>20.719999999999736</v>
      </c>
      <c r="TA21" s="2">
        <f t="shared" si="16"/>
        <v>20.759999999999735</v>
      </c>
      <c r="TB21" s="2">
        <f t="shared" si="16"/>
        <v>20.799999999999734</v>
      </c>
      <c r="TC21" s="2">
        <f t="shared" si="16"/>
        <v>20.839999999999733</v>
      </c>
      <c r="TD21" s="2">
        <f t="shared" si="16"/>
        <v>20.879999999999733</v>
      </c>
      <c r="TE21" s="2">
        <f t="shared" si="16"/>
        <v>20.919999999999732</v>
      </c>
      <c r="TF21" s="2">
        <f t="shared" ref="TF21:VQ21" si="17">TE21+$B6</f>
        <v>20.959999999999731</v>
      </c>
      <c r="TG21" s="2">
        <f t="shared" si="17"/>
        <v>20.99999999999973</v>
      </c>
      <c r="TH21" s="2">
        <f t="shared" si="17"/>
        <v>21.039999999999729</v>
      </c>
      <c r="TI21" s="2">
        <f t="shared" si="17"/>
        <v>21.079999999999728</v>
      </c>
      <c r="TJ21" s="2">
        <f t="shared" si="17"/>
        <v>21.119999999999727</v>
      </c>
      <c r="TK21" s="2">
        <f t="shared" si="17"/>
        <v>21.159999999999727</v>
      </c>
      <c r="TL21" s="2">
        <f t="shared" si="17"/>
        <v>21.199999999999726</v>
      </c>
      <c r="TM21" s="2">
        <f t="shared" si="17"/>
        <v>21.239999999999725</v>
      </c>
      <c r="TN21" s="2">
        <f t="shared" si="17"/>
        <v>21.279999999999724</v>
      </c>
      <c r="TO21" s="2">
        <f t="shared" si="17"/>
        <v>21.319999999999723</v>
      </c>
      <c r="TP21" s="2">
        <f t="shared" si="17"/>
        <v>21.359999999999722</v>
      </c>
      <c r="TQ21" s="2">
        <f t="shared" si="17"/>
        <v>21.399999999999721</v>
      </c>
      <c r="TR21" s="2">
        <f t="shared" si="17"/>
        <v>21.439999999999721</v>
      </c>
      <c r="TS21" s="2">
        <f t="shared" si="17"/>
        <v>21.47999999999972</v>
      </c>
      <c r="TT21" s="2">
        <f t="shared" si="17"/>
        <v>21.519999999999719</v>
      </c>
      <c r="TU21" s="2">
        <f t="shared" si="17"/>
        <v>21.559999999999718</v>
      </c>
      <c r="TV21" s="2">
        <f t="shared" si="17"/>
        <v>21.599999999999717</v>
      </c>
      <c r="TW21" s="2">
        <f t="shared" si="17"/>
        <v>21.639999999999716</v>
      </c>
      <c r="TX21" s="2">
        <f t="shared" si="17"/>
        <v>21.679999999999715</v>
      </c>
      <c r="TY21" s="2">
        <f t="shared" si="17"/>
        <v>21.719999999999715</v>
      </c>
      <c r="TZ21" s="2">
        <f t="shared" si="17"/>
        <v>21.759999999999714</v>
      </c>
      <c r="UA21" s="2">
        <f t="shared" si="17"/>
        <v>21.799999999999713</v>
      </c>
      <c r="UB21" s="2">
        <f t="shared" si="17"/>
        <v>21.839999999999712</v>
      </c>
      <c r="UC21" s="2">
        <f t="shared" si="17"/>
        <v>21.879999999999711</v>
      </c>
      <c r="UD21" s="2">
        <f t="shared" si="17"/>
        <v>21.91999999999971</v>
      </c>
      <c r="UE21" s="2">
        <f t="shared" si="17"/>
        <v>21.95999999999971</v>
      </c>
      <c r="UF21" s="2">
        <f t="shared" si="17"/>
        <v>21.999999999999709</v>
      </c>
      <c r="UG21" s="2">
        <f t="shared" si="17"/>
        <v>22.039999999999708</v>
      </c>
      <c r="UH21" s="2">
        <f t="shared" si="17"/>
        <v>22.079999999999707</v>
      </c>
      <c r="UI21" s="2">
        <f t="shared" si="17"/>
        <v>22.119999999999706</v>
      </c>
      <c r="UJ21" s="2">
        <f t="shared" si="17"/>
        <v>22.159999999999705</v>
      </c>
      <c r="UK21" s="2">
        <f t="shared" si="17"/>
        <v>22.199999999999704</v>
      </c>
      <c r="UL21" s="2">
        <f t="shared" si="17"/>
        <v>22.239999999999704</v>
      </c>
      <c r="UM21" s="2">
        <f t="shared" si="17"/>
        <v>22.279999999999703</v>
      </c>
      <c r="UN21" s="2">
        <f t="shared" si="17"/>
        <v>22.319999999999702</v>
      </c>
      <c r="UO21" s="2">
        <f t="shared" si="17"/>
        <v>22.359999999999701</v>
      </c>
      <c r="UP21" s="2">
        <f t="shared" si="17"/>
        <v>22.3999999999997</v>
      </c>
      <c r="UQ21" s="2">
        <f t="shared" si="17"/>
        <v>22.439999999999699</v>
      </c>
      <c r="UR21" s="2">
        <f t="shared" si="17"/>
        <v>22.479999999999698</v>
      </c>
      <c r="US21" s="2">
        <f t="shared" si="17"/>
        <v>22.519999999999698</v>
      </c>
      <c r="UT21" s="2">
        <f t="shared" si="17"/>
        <v>22.559999999999697</v>
      </c>
      <c r="UU21" s="2">
        <f t="shared" si="17"/>
        <v>22.599999999999696</v>
      </c>
      <c r="UV21" s="2">
        <f t="shared" si="17"/>
        <v>22.639999999999695</v>
      </c>
      <c r="UW21" s="2">
        <f t="shared" si="17"/>
        <v>22.679999999999694</v>
      </c>
      <c r="UX21" s="2">
        <f t="shared" si="17"/>
        <v>22.719999999999693</v>
      </c>
      <c r="UY21" s="2">
        <f t="shared" si="17"/>
        <v>22.759999999999692</v>
      </c>
      <c r="UZ21" s="2">
        <f t="shared" si="17"/>
        <v>22.799999999999692</v>
      </c>
      <c r="VA21" s="2">
        <f t="shared" si="17"/>
        <v>22.839999999999691</v>
      </c>
      <c r="VB21" s="2">
        <f t="shared" si="17"/>
        <v>22.87999999999969</v>
      </c>
      <c r="VC21" s="2">
        <f t="shared" si="17"/>
        <v>22.919999999999689</v>
      </c>
      <c r="VD21" s="2">
        <f t="shared" si="17"/>
        <v>22.959999999999688</v>
      </c>
      <c r="VE21" s="2">
        <f t="shared" si="17"/>
        <v>22.999999999999687</v>
      </c>
      <c r="VF21" s="2">
        <f t="shared" si="17"/>
        <v>23.039999999999687</v>
      </c>
      <c r="VG21" s="2">
        <f t="shared" si="17"/>
        <v>23.079999999999686</v>
      </c>
      <c r="VH21" s="2">
        <f t="shared" si="17"/>
        <v>23.119999999999685</v>
      </c>
      <c r="VI21" s="2">
        <f t="shared" si="17"/>
        <v>23.159999999999684</v>
      </c>
      <c r="VJ21" s="2">
        <f t="shared" si="17"/>
        <v>23.199999999999683</v>
      </c>
      <c r="VK21" s="2">
        <f t="shared" si="17"/>
        <v>23.239999999999682</v>
      </c>
      <c r="VL21" s="2">
        <f t="shared" si="17"/>
        <v>23.279999999999681</v>
      </c>
      <c r="VM21" s="2">
        <f t="shared" si="17"/>
        <v>23.319999999999681</v>
      </c>
      <c r="VN21" s="2">
        <f t="shared" si="17"/>
        <v>23.35999999999968</v>
      </c>
      <c r="VO21" s="2">
        <f t="shared" si="17"/>
        <v>23.399999999999679</v>
      </c>
      <c r="VP21" s="2">
        <f t="shared" si="17"/>
        <v>23.439999999999678</v>
      </c>
      <c r="VQ21" s="2">
        <f t="shared" si="17"/>
        <v>23.479999999999677</v>
      </c>
      <c r="VR21" s="2">
        <f t="shared" ref="VR21:YC21" si="18">VQ21+$B6</f>
        <v>23.519999999999676</v>
      </c>
      <c r="VS21" s="2">
        <f t="shared" si="18"/>
        <v>23.559999999999675</v>
      </c>
      <c r="VT21" s="2">
        <f t="shared" si="18"/>
        <v>23.599999999999675</v>
      </c>
      <c r="VU21" s="2">
        <f t="shared" si="18"/>
        <v>23.639999999999674</v>
      </c>
      <c r="VV21" s="2">
        <f t="shared" si="18"/>
        <v>23.679999999999673</v>
      </c>
      <c r="VW21" s="2">
        <f t="shared" si="18"/>
        <v>23.719999999999672</v>
      </c>
      <c r="VX21" s="2">
        <f t="shared" si="18"/>
        <v>23.759999999999671</v>
      </c>
      <c r="VY21" s="2">
        <f t="shared" si="18"/>
        <v>23.79999999999967</v>
      </c>
      <c r="VZ21" s="2">
        <f t="shared" si="18"/>
        <v>23.839999999999669</v>
      </c>
      <c r="WA21" s="2">
        <f t="shared" si="18"/>
        <v>23.879999999999669</v>
      </c>
      <c r="WB21" s="2">
        <f t="shared" si="18"/>
        <v>23.919999999999668</v>
      </c>
      <c r="WC21" s="2">
        <f t="shared" si="18"/>
        <v>23.959999999999667</v>
      </c>
      <c r="WD21" s="2">
        <f t="shared" si="18"/>
        <v>23.999999999999666</v>
      </c>
      <c r="WE21" s="2">
        <f t="shared" si="18"/>
        <v>24.039999999999665</v>
      </c>
      <c r="WF21" s="2">
        <f t="shared" si="18"/>
        <v>24.079999999999664</v>
      </c>
      <c r="WG21" s="2">
        <f t="shared" si="18"/>
        <v>24.119999999999663</v>
      </c>
      <c r="WH21" s="2">
        <f t="shared" si="18"/>
        <v>24.159999999999663</v>
      </c>
      <c r="WI21" s="2">
        <f t="shared" si="18"/>
        <v>24.199999999999662</v>
      </c>
      <c r="WJ21" s="2">
        <f t="shared" si="18"/>
        <v>24.239999999999661</v>
      </c>
      <c r="WK21" s="2">
        <f t="shared" si="18"/>
        <v>24.27999999999966</v>
      </c>
      <c r="WL21" s="2">
        <f t="shared" si="18"/>
        <v>24.319999999999659</v>
      </c>
      <c r="WM21" s="2">
        <f t="shared" si="18"/>
        <v>24.359999999999658</v>
      </c>
      <c r="WN21" s="2">
        <f t="shared" si="18"/>
        <v>24.399999999999658</v>
      </c>
      <c r="WO21" s="2">
        <f t="shared" si="18"/>
        <v>24.439999999999657</v>
      </c>
      <c r="WP21" s="2">
        <f t="shared" si="18"/>
        <v>24.479999999999656</v>
      </c>
      <c r="WQ21" s="2">
        <f t="shared" si="18"/>
        <v>24.519999999999655</v>
      </c>
      <c r="WR21" s="2">
        <f t="shared" si="18"/>
        <v>24.559999999999654</v>
      </c>
      <c r="WS21" s="2">
        <f t="shared" si="18"/>
        <v>24.599999999999653</v>
      </c>
      <c r="WT21" s="2">
        <f t="shared" si="18"/>
        <v>24.639999999999652</v>
      </c>
      <c r="WU21" s="2">
        <f t="shared" si="18"/>
        <v>24.679999999999652</v>
      </c>
      <c r="WV21" s="2">
        <f t="shared" si="18"/>
        <v>24.719999999999651</v>
      </c>
      <c r="WW21" s="2">
        <f t="shared" si="18"/>
        <v>24.75999999999965</v>
      </c>
      <c r="WX21" s="2">
        <f t="shared" si="18"/>
        <v>24.799999999999649</v>
      </c>
      <c r="WY21" s="2">
        <f t="shared" si="18"/>
        <v>24.839999999999648</v>
      </c>
      <c r="WZ21" s="2">
        <f t="shared" si="18"/>
        <v>24.879999999999647</v>
      </c>
      <c r="XA21" s="2">
        <f t="shared" si="18"/>
        <v>24.919999999999646</v>
      </c>
      <c r="XB21" s="2">
        <f t="shared" si="18"/>
        <v>24.959999999999646</v>
      </c>
      <c r="XC21" s="2">
        <f t="shared" si="18"/>
        <v>24.999999999999645</v>
      </c>
      <c r="XD21" s="2">
        <f t="shared" si="18"/>
        <v>25.039999999999644</v>
      </c>
      <c r="XE21" s="2">
        <f t="shared" si="18"/>
        <v>25.079999999999643</v>
      </c>
      <c r="XF21" s="2">
        <f t="shared" si="18"/>
        <v>25.119999999999642</v>
      </c>
      <c r="XG21" s="2">
        <f t="shared" si="18"/>
        <v>25.159999999999641</v>
      </c>
      <c r="XH21" s="2">
        <f t="shared" si="18"/>
        <v>25.19999999999964</v>
      </c>
      <c r="XI21" s="2">
        <f t="shared" si="18"/>
        <v>25.23999999999964</v>
      </c>
      <c r="XJ21" s="2">
        <f t="shared" si="18"/>
        <v>25.279999999999639</v>
      </c>
      <c r="XK21" s="2">
        <f t="shared" si="18"/>
        <v>25.319999999999638</v>
      </c>
      <c r="XL21" s="2">
        <f t="shared" si="18"/>
        <v>25.359999999999637</v>
      </c>
      <c r="XM21" s="2">
        <f t="shared" si="18"/>
        <v>25.399999999999636</v>
      </c>
      <c r="XN21" s="2">
        <f t="shared" si="18"/>
        <v>25.439999999999635</v>
      </c>
      <c r="XO21" s="2">
        <f t="shared" si="18"/>
        <v>25.479999999999634</v>
      </c>
      <c r="XP21" s="2">
        <f t="shared" si="18"/>
        <v>25.519999999999634</v>
      </c>
      <c r="XQ21" s="2">
        <f t="shared" si="18"/>
        <v>25.559999999999633</v>
      </c>
      <c r="XR21" s="2">
        <f t="shared" si="18"/>
        <v>25.599999999999632</v>
      </c>
      <c r="XS21" s="2">
        <f t="shared" si="18"/>
        <v>25.639999999999631</v>
      </c>
      <c r="XT21" s="2">
        <f t="shared" si="18"/>
        <v>25.67999999999963</v>
      </c>
      <c r="XU21" s="2">
        <f t="shared" si="18"/>
        <v>25.719999999999629</v>
      </c>
      <c r="XV21" s="2">
        <f t="shared" si="18"/>
        <v>25.759999999999629</v>
      </c>
      <c r="XW21" s="2">
        <f t="shared" si="18"/>
        <v>25.799999999999628</v>
      </c>
      <c r="XX21" s="2">
        <f t="shared" si="18"/>
        <v>25.839999999999627</v>
      </c>
      <c r="XY21" s="2">
        <f t="shared" si="18"/>
        <v>25.879999999999626</v>
      </c>
      <c r="XZ21" s="2">
        <f t="shared" si="18"/>
        <v>25.919999999999625</v>
      </c>
      <c r="YA21" s="2">
        <f t="shared" si="18"/>
        <v>25.959999999999624</v>
      </c>
      <c r="YB21" s="2">
        <f t="shared" si="18"/>
        <v>25.999999999999623</v>
      </c>
      <c r="YC21" s="2">
        <f t="shared" si="18"/>
        <v>26.039999999999623</v>
      </c>
      <c r="YD21" s="2">
        <f t="shared" ref="YD21:AAO21" si="19">YC21+$B6</f>
        <v>26.079999999999622</v>
      </c>
      <c r="YE21" s="2">
        <f t="shared" si="19"/>
        <v>26.119999999999621</v>
      </c>
      <c r="YF21" s="2">
        <f t="shared" si="19"/>
        <v>26.15999999999962</v>
      </c>
      <c r="YG21" s="2">
        <f t="shared" si="19"/>
        <v>26.199999999999619</v>
      </c>
      <c r="YH21" s="2">
        <f t="shared" si="19"/>
        <v>26.239999999999618</v>
      </c>
      <c r="YI21" s="2">
        <f t="shared" si="19"/>
        <v>26.279999999999617</v>
      </c>
      <c r="YJ21" s="2">
        <f t="shared" si="19"/>
        <v>26.319999999999617</v>
      </c>
      <c r="YK21" s="2">
        <f t="shared" si="19"/>
        <v>26.359999999999616</v>
      </c>
      <c r="YL21" s="2">
        <f t="shared" si="19"/>
        <v>26.399999999999615</v>
      </c>
      <c r="YM21" s="2">
        <f t="shared" si="19"/>
        <v>26.439999999999614</v>
      </c>
      <c r="YN21" s="2">
        <f t="shared" si="19"/>
        <v>26.479999999999613</v>
      </c>
      <c r="YO21" s="2">
        <f t="shared" si="19"/>
        <v>26.519999999999612</v>
      </c>
      <c r="YP21" s="2">
        <f t="shared" si="19"/>
        <v>26.559999999999611</v>
      </c>
      <c r="YQ21" s="2">
        <f t="shared" si="19"/>
        <v>26.599999999999611</v>
      </c>
      <c r="YR21" s="2">
        <f t="shared" si="19"/>
        <v>26.63999999999961</v>
      </c>
      <c r="YS21" s="2">
        <f t="shared" si="19"/>
        <v>26.679999999999609</v>
      </c>
      <c r="YT21" s="2">
        <f t="shared" si="19"/>
        <v>26.719999999999608</v>
      </c>
      <c r="YU21" s="2">
        <f t="shared" si="19"/>
        <v>26.759999999999607</v>
      </c>
      <c r="YV21" s="2">
        <f t="shared" si="19"/>
        <v>26.799999999999606</v>
      </c>
      <c r="YW21" s="2">
        <f t="shared" si="19"/>
        <v>26.839999999999606</v>
      </c>
      <c r="YX21" s="2">
        <f t="shared" si="19"/>
        <v>26.879999999999605</v>
      </c>
      <c r="YY21" s="2">
        <f t="shared" si="19"/>
        <v>26.919999999999604</v>
      </c>
      <c r="YZ21" s="2">
        <f t="shared" si="19"/>
        <v>26.959999999999603</v>
      </c>
      <c r="ZA21" s="2">
        <f t="shared" si="19"/>
        <v>26.999999999999602</v>
      </c>
      <c r="ZB21" s="2">
        <f t="shared" si="19"/>
        <v>27.039999999999601</v>
      </c>
      <c r="ZC21" s="2">
        <f t="shared" si="19"/>
        <v>27.0799999999996</v>
      </c>
      <c r="ZD21" s="2">
        <f t="shared" si="19"/>
        <v>27.1199999999996</v>
      </c>
      <c r="ZE21" s="2">
        <f t="shared" si="19"/>
        <v>27.159999999999599</v>
      </c>
      <c r="ZF21" s="2">
        <f t="shared" si="19"/>
        <v>27.199999999999598</v>
      </c>
      <c r="ZG21" s="2">
        <f t="shared" si="19"/>
        <v>27.239999999999597</v>
      </c>
      <c r="ZH21" s="2">
        <f t="shared" si="19"/>
        <v>27.279999999999596</v>
      </c>
      <c r="ZI21" s="2">
        <f t="shared" si="19"/>
        <v>27.319999999999595</v>
      </c>
      <c r="ZJ21" s="2">
        <f t="shared" si="19"/>
        <v>27.359999999999594</v>
      </c>
      <c r="ZK21" s="2">
        <f t="shared" si="19"/>
        <v>27.399999999999594</v>
      </c>
      <c r="ZL21" s="2">
        <f t="shared" si="19"/>
        <v>27.439999999999593</v>
      </c>
      <c r="ZM21" s="2">
        <f t="shared" si="19"/>
        <v>27.479999999999592</v>
      </c>
      <c r="ZN21" s="2">
        <f t="shared" si="19"/>
        <v>27.519999999999591</v>
      </c>
      <c r="ZO21" s="2">
        <f t="shared" si="19"/>
        <v>27.55999999999959</v>
      </c>
      <c r="ZP21" s="2">
        <f t="shared" si="19"/>
        <v>27.599999999999589</v>
      </c>
      <c r="ZQ21" s="2">
        <f t="shared" si="19"/>
        <v>27.639999999999588</v>
      </c>
      <c r="ZR21" s="2">
        <f t="shared" si="19"/>
        <v>27.679999999999588</v>
      </c>
      <c r="ZS21" s="2">
        <f t="shared" si="19"/>
        <v>27.719999999999587</v>
      </c>
      <c r="ZT21" s="2">
        <f t="shared" si="19"/>
        <v>27.759999999999586</v>
      </c>
      <c r="ZU21" s="2">
        <f t="shared" si="19"/>
        <v>27.799999999999585</v>
      </c>
      <c r="ZV21" s="2">
        <f t="shared" si="19"/>
        <v>27.839999999999584</v>
      </c>
      <c r="ZW21" s="2">
        <f t="shared" si="19"/>
        <v>27.879999999999583</v>
      </c>
      <c r="ZX21" s="2">
        <f t="shared" si="19"/>
        <v>27.919999999999582</v>
      </c>
      <c r="ZY21" s="2">
        <f t="shared" si="19"/>
        <v>27.959999999999582</v>
      </c>
      <c r="ZZ21" s="2">
        <f t="shared" si="19"/>
        <v>27.999999999999581</v>
      </c>
      <c r="AAA21" s="2">
        <f t="shared" si="19"/>
        <v>28.03999999999958</v>
      </c>
      <c r="AAB21" s="2">
        <f t="shared" si="19"/>
        <v>28.079999999999579</v>
      </c>
      <c r="AAC21" s="2">
        <f t="shared" si="19"/>
        <v>28.119999999999578</v>
      </c>
      <c r="AAD21" s="2">
        <f t="shared" si="19"/>
        <v>28.159999999999577</v>
      </c>
      <c r="AAE21" s="2">
        <f t="shared" si="19"/>
        <v>28.199999999999577</v>
      </c>
      <c r="AAF21" s="2">
        <f t="shared" si="19"/>
        <v>28.239999999999576</v>
      </c>
      <c r="AAG21" s="2">
        <f t="shared" si="19"/>
        <v>28.279999999999575</v>
      </c>
      <c r="AAH21" s="2">
        <f t="shared" si="19"/>
        <v>28.319999999999574</v>
      </c>
      <c r="AAI21" s="2">
        <f t="shared" si="19"/>
        <v>28.359999999999573</v>
      </c>
      <c r="AAJ21" s="2">
        <f t="shared" si="19"/>
        <v>28.399999999999572</v>
      </c>
      <c r="AAK21" s="2">
        <f t="shared" si="19"/>
        <v>28.439999999999571</v>
      </c>
      <c r="AAL21" s="2">
        <f t="shared" si="19"/>
        <v>28.479999999999571</v>
      </c>
      <c r="AAM21" s="2">
        <f t="shared" si="19"/>
        <v>28.51999999999957</v>
      </c>
      <c r="AAN21" s="2">
        <f t="shared" si="19"/>
        <v>28.559999999999569</v>
      </c>
      <c r="AAO21" s="2">
        <f t="shared" si="19"/>
        <v>28.599999999999568</v>
      </c>
    </row>
    <row r="22" spans="1:717">
      <c r="A22" t="s">
        <v>31</v>
      </c>
      <c r="B22">
        <f t="shared" ref="B22:BM22" si="20">IF(SIN(B21*PI()/12)&gt;0,$B$4*$B$5*SIN(B21*PI()/12),0)</f>
        <v>0</v>
      </c>
      <c r="C22">
        <f t="shared" si="20"/>
        <v>1.3753560897768542</v>
      </c>
      <c r="D22">
        <f t="shared" si="20"/>
        <v>2.7505613562596101</v>
      </c>
      <c r="E22">
        <f t="shared" si="20"/>
        <v>4.1254649926936411</v>
      </c>
      <c r="F22">
        <f t="shared" si="20"/>
        <v>5.4999162254014617</v>
      </c>
      <c r="G22">
        <f t="shared" si="20"/>
        <v>6.8737643303167415</v>
      </c>
      <c r="H22">
        <f t="shared" si="20"/>
        <v>8.2468586495129212</v>
      </c>
      <c r="I22">
        <f t="shared" si="20"/>
        <v>9.6190486077245296</v>
      </c>
      <c r="J22">
        <f t="shared" si="20"/>
        <v>10.990183728859478</v>
      </c>
      <c r="K22">
        <f t="shared" si="20"/>
        <v>12.360113652500441</v>
      </c>
      <c r="L22">
        <f t="shared" si="20"/>
        <v>13.728688150393586</v>
      </c>
      <c r="M22">
        <f t="shared" si="20"/>
        <v>15.095757142922785</v>
      </c>
      <c r="N22">
        <f t="shared" si="20"/>
        <v>16.461170715567548</v>
      </c>
      <c r="O22">
        <f t="shared" si="20"/>
        <v>17.824779135342808</v>
      </c>
      <c r="P22">
        <f t="shared" si="20"/>
        <v>19.18643286721888</v>
      </c>
      <c r="Q22">
        <f t="shared" si="20"/>
        <v>20.545982590519618</v>
      </c>
      <c r="R22">
        <f t="shared" si="20"/>
        <v>21.903279215297122</v>
      </c>
      <c r="S22">
        <f t="shared" si="20"/>
        <v>23.258173898681147</v>
      </c>
      <c r="T22">
        <f t="shared" si="20"/>
        <v>24.610518061201379</v>
      </c>
      <c r="U22">
        <f t="shared" si="20"/>
        <v>25.96016340308088</v>
      </c>
      <c r="V22">
        <f t="shared" si="20"/>
        <v>27.306961920498775</v>
      </c>
      <c r="W22">
        <f t="shared" si="20"/>
        <v>28.650765921820597</v>
      </c>
      <c r="X22">
        <f t="shared" si="20"/>
        <v>29.991428043794308</v>
      </c>
      <c r="Y22">
        <f t="shared" si="20"/>
        <v>31.328801267710343</v>
      </c>
      <c r="Z22">
        <f t="shared" si="20"/>
        <v>32.662738935523862</v>
      </c>
      <c r="AA22">
        <f t="shared" si="20"/>
        <v>33.993094765937499</v>
      </c>
      <c r="AB22">
        <f t="shared" si="20"/>
        <v>35.319722870442682</v>
      </c>
      <c r="AC22">
        <f t="shared" si="20"/>
        <v>36.642477769318027</v>
      </c>
      <c r="AD22">
        <f t="shared" si="20"/>
        <v>37.961214407582773</v>
      </c>
      <c r="AE22">
        <f t="shared" si="20"/>
        <v>39.275788170903724</v>
      </c>
      <c r="AF22">
        <f t="shared" si="20"/>
        <v>40.586054901453828</v>
      </c>
      <c r="AG22">
        <f t="shared" si="20"/>
        <v>41.89187091372073</v>
      </c>
      <c r="AH22">
        <f t="shared" si="20"/>
        <v>43.193093010263446</v>
      </c>
      <c r="AI22">
        <f t="shared" si="20"/>
        <v>44.489578497415685</v>
      </c>
      <c r="AJ22">
        <f t="shared" si="20"/>
        <v>45.781185200933692</v>
      </c>
      <c r="AK22">
        <f t="shared" si="20"/>
        <v>47.067771481587364</v>
      </c>
      <c r="AL22">
        <f t="shared" si="20"/>
        <v>48.349196250692501</v>
      </c>
      <c r="AM22">
        <f t="shared" si="20"/>
        <v>49.62531898558283</v>
      </c>
      <c r="AN22">
        <f t="shared" si="20"/>
        <v>50.895999745019864</v>
      </c>
      <c r="AO22">
        <f t="shared" si="20"/>
        <v>52.16109918453909</v>
      </c>
      <c r="AP22">
        <f t="shared" si="20"/>
        <v>53.420478571730555</v>
      </c>
      <c r="AQ22">
        <f t="shared" si="20"/>
        <v>54.67399980145256</v>
      </c>
      <c r="AR22">
        <f t="shared" si="20"/>
        <v>55.921525410976351</v>
      </c>
      <c r="AS22">
        <f t="shared" si="20"/>
        <v>57.162918595060518</v>
      </c>
      <c r="AT22">
        <f t="shared" si="20"/>
        <v>58.398043220953198</v>
      </c>
      <c r="AU22">
        <f t="shared" si="20"/>
        <v>59.62676384332056</v>
      </c>
      <c r="AV22">
        <f t="shared" si="20"/>
        <v>60.848945719099959</v>
      </c>
      <c r="AW22">
        <f t="shared" si="20"/>
        <v>62.064454822275962</v>
      </c>
      <c r="AX22">
        <f t="shared" si="20"/>
        <v>63.273157858577861</v>
      </c>
      <c r="AY22">
        <f t="shared" si="20"/>
        <v>64.474922280096891</v>
      </c>
      <c r="AZ22">
        <f t="shared" si="20"/>
        <v>65.669616299821556</v>
      </c>
      <c r="BA22">
        <f t="shared" si="20"/>
        <v>66.85710890608965</v>
      </c>
      <c r="BB22">
        <f t="shared" si="20"/>
        <v>68.037269876955065</v>
      </c>
      <c r="BC22">
        <f t="shared" si="20"/>
        <v>69.209969794468108</v>
      </c>
      <c r="BD22">
        <f t="shared" si="20"/>
        <v>70.375080058867724</v>
      </c>
      <c r="BE22">
        <f t="shared" si="20"/>
        <v>71.532472902683821</v>
      </c>
      <c r="BF22">
        <f t="shared" si="20"/>
        <v>72.68202140474844</v>
      </c>
      <c r="BG22">
        <f t="shared" si="20"/>
        <v>73.823599504114085</v>
      </c>
      <c r="BH22">
        <f t="shared" si="20"/>
        <v>74.957082013877752</v>
      </c>
      <c r="BI22">
        <f t="shared" si="20"/>
        <v>76.082344634909063</v>
      </c>
      <c r="BJ22">
        <f t="shared" si="20"/>
        <v>77.199263969481052</v>
      </c>
      <c r="BK22">
        <f t="shared" si="20"/>
        <v>78.307717534802165</v>
      </c>
      <c r="BL22">
        <f t="shared" si="20"/>
        <v>79.407583776447822</v>
      </c>
      <c r="BM22">
        <f t="shared" si="20"/>
        <v>80.498742081690239</v>
      </c>
      <c r="BN22">
        <f t="shared" ref="BN22:DY22" si="21">IF(SIN(BN21*PI()/12)&gt;0,$B$4*$B$5*SIN(BN21*PI()/12),0)</f>
        <v>81.581072792725038</v>
      </c>
      <c r="BO22">
        <f t="shared" si="21"/>
        <v>82.654457219792974</v>
      </c>
      <c r="BP22">
        <f t="shared" si="21"/>
        <v>83.718777654195705</v>
      </c>
      <c r="BQ22">
        <f t="shared" si="21"/>
        <v>84.773917381203759</v>
      </c>
      <c r="BR22">
        <f t="shared" si="21"/>
        <v>85.819760692855766</v>
      </c>
      <c r="BS22">
        <f t="shared" si="21"/>
        <v>86.856192900646988</v>
      </c>
      <c r="BT22">
        <f t="shared" si="21"/>
        <v>87.883100348106339</v>
      </c>
      <c r="BU22">
        <f t="shared" si="21"/>
        <v>88.900370423259972</v>
      </c>
      <c r="BV22">
        <f t="shared" si="21"/>
        <v>89.90789157098061</v>
      </c>
      <c r="BW22">
        <f t="shared" si="21"/>
        <v>90.905553305220607</v>
      </c>
      <c r="BX22">
        <f t="shared" si="21"/>
        <v>91.893246221128223</v>
      </c>
      <c r="BY22">
        <f t="shared" si="21"/>
        <v>92.87086200704492</v>
      </c>
      <c r="BZ22">
        <f t="shared" si="21"/>
        <v>93.838293456383084</v>
      </c>
      <c r="CA22">
        <f t="shared" si="21"/>
        <v>94.79543447938228</v>
      </c>
      <c r="CB22">
        <f t="shared" si="21"/>
        <v>95.742180114743377</v>
      </c>
      <c r="CC22">
        <f t="shared" si="21"/>
        <v>96.678426541138563</v>
      </c>
      <c r="CD22">
        <f t="shared" si="21"/>
        <v>97.604071088596683</v>
      </c>
      <c r="CE22">
        <f t="shared" si="21"/>
        <v>98.519012249762042</v>
      </c>
      <c r="CF22">
        <f t="shared" si="21"/>
        <v>99.423149691025841</v>
      </c>
      <c r="CG22">
        <f t="shared" si="21"/>
        <v>100.31638426352896</v>
      </c>
      <c r="CH22">
        <f t="shared" si="21"/>
        <v>101.19861801403468</v>
      </c>
      <c r="CI22">
        <f t="shared" si="21"/>
        <v>102.0697541956704</v>
      </c>
      <c r="CJ22">
        <f t="shared" si="21"/>
        <v>102.92969727853696</v>
      </c>
      <c r="CK22">
        <f t="shared" si="21"/>
        <v>103.77835296018471</v>
      </c>
      <c r="CL22">
        <f t="shared" si="21"/>
        <v>104.6156281759546</v>
      </c>
      <c r="CM22">
        <f t="shared" si="21"/>
        <v>105.44143110918404</v>
      </c>
      <c r="CN22">
        <f t="shared" si="21"/>
        <v>106.25567120127539</v>
      </c>
      <c r="CO22">
        <f t="shared" si="21"/>
        <v>107.05825916162699</v>
      </c>
      <c r="CP22">
        <f t="shared" si="21"/>
        <v>107.84910697742455</v>
      </c>
      <c r="CQ22">
        <f t="shared" si="21"/>
        <v>108.62812792329309</v>
      </c>
      <c r="CR22">
        <f t="shared" si="21"/>
        <v>109.3952365708071</v>
      </c>
      <c r="CS22">
        <f t="shared" si="21"/>
        <v>110.15034879785887</v>
      </c>
      <c r="CT22">
        <f t="shared" si="21"/>
        <v>110.89338179788332</v>
      </c>
      <c r="CU22">
        <f t="shared" si="21"/>
        <v>111.62425408893881</v>
      </c>
      <c r="CV22">
        <f t="shared" si="21"/>
        <v>112.34288552264245</v>
      </c>
      <c r="CW22">
        <f t="shared" si="21"/>
        <v>113.04919729295925</v>
      </c>
      <c r="CX22">
        <f t="shared" si="21"/>
        <v>113.74311194484426</v>
      </c>
      <c r="CY22">
        <f t="shared" si="21"/>
        <v>114.42455338273611</v>
      </c>
      <c r="CZ22">
        <f t="shared" si="21"/>
        <v>115.09344687890207</v>
      </c>
      <c r="DA22">
        <f t="shared" si="21"/>
        <v>115.74971908163245</v>
      </c>
      <c r="DB22">
        <f t="shared" si="21"/>
        <v>116.39329802328479</v>
      </c>
      <c r="DC22">
        <f t="shared" si="21"/>
        <v>117.02411312817559</v>
      </c>
      <c r="DD22">
        <f t="shared" si="21"/>
        <v>117.64209522032002</v>
      </c>
      <c r="DE22">
        <f t="shared" si="21"/>
        <v>118.24717653101763</v>
      </c>
      <c r="DF22">
        <f t="shared" si="21"/>
        <v>118.83929070628403</v>
      </c>
      <c r="DG22">
        <f t="shared" si="21"/>
        <v>119.41837281412742</v>
      </c>
      <c r="DH22">
        <f t="shared" si="21"/>
        <v>119.98435935166899</v>
      </c>
      <c r="DI22">
        <f t="shared" si="21"/>
        <v>120.53718825210682</v>
      </c>
      <c r="DJ22">
        <f t="shared" si="21"/>
        <v>121.07679889152215</v>
      </c>
      <c r="DK22">
        <f t="shared" si="21"/>
        <v>121.60313209552751</v>
      </c>
      <c r="DL22">
        <f t="shared" si="21"/>
        <v>122.11613014575585</v>
      </c>
      <c r="DM22">
        <f t="shared" si="21"/>
        <v>122.61573678619001</v>
      </c>
      <c r="DN22">
        <f t="shared" si="21"/>
        <v>123.1018972293318</v>
      </c>
      <c r="DO22">
        <f t="shared" si="21"/>
        <v>123.57455816221011</v>
      </c>
      <c r="DP22">
        <f t="shared" si="21"/>
        <v>124.03366775222722</v>
      </c>
      <c r="DQ22">
        <f t="shared" si="21"/>
        <v>124.47917565284291</v>
      </c>
      <c r="DR22">
        <f t="shared" si="21"/>
        <v>124.91103300909546</v>
      </c>
      <c r="DS22">
        <f t="shared" si="21"/>
        <v>125.32919246295916</v>
      </c>
      <c r="DT22">
        <f t="shared" si="21"/>
        <v>125.73360815853765</v>
      </c>
      <c r="DU22">
        <f t="shared" si="21"/>
        <v>126.1242357470926</v>
      </c>
      <c r="DV22">
        <f t="shared" si="21"/>
        <v>126.50103239190693</v>
      </c>
      <c r="DW22">
        <f t="shared" si="21"/>
        <v>126.86395677298241</v>
      </c>
      <c r="DX22">
        <f t="shared" si="21"/>
        <v>127.21296909157088</v>
      </c>
      <c r="DY22">
        <f t="shared" si="21"/>
        <v>127.54803107453861</v>
      </c>
      <c r="DZ22">
        <f t="shared" ref="DZ22:GK22" si="22">IF(SIN(DZ21*PI()/12)&gt;0,$B$4*$B$5*SIN(DZ21*PI()/12),0)</f>
        <v>127.86910597856335</v>
      </c>
      <c r="EA22">
        <f t="shared" si="22"/>
        <v>128.1761585941637</v>
      </c>
      <c r="EB22">
        <f t="shared" si="22"/>
        <v>128.46915524956015</v>
      </c>
      <c r="EC22">
        <f t="shared" si="22"/>
        <v>128.7480638143677</v>
      </c>
      <c r="ED22">
        <f t="shared" si="22"/>
        <v>129.01285370311919</v>
      </c>
      <c r="EE22">
        <f t="shared" si="22"/>
        <v>129.26349587861944</v>
      </c>
      <c r="EF22">
        <f t="shared" si="22"/>
        <v>129.49996285512938</v>
      </c>
      <c r="EG22">
        <f t="shared" si="22"/>
        <v>129.72222870138032</v>
      </c>
      <c r="EH22">
        <f t="shared" si="22"/>
        <v>129.9302690434175</v>
      </c>
      <c r="EI22">
        <f t="shared" si="22"/>
        <v>130.12406106727303</v>
      </c>
      <c r="EJ22">
        <f t="shared" si="22"/>
        <v>130.30358352146766</v>
      </c>
      <c r="EK22">
        <f t="shared" si="22"/>
        <v>130.46881671934122</v>
      </c>
      <c r="EL22">
        <f t="shared" si="22"/>
        <v>130.61974254121156</v>
      </c>
      <c r="EM22">
        <f t="shared" si="22"/>
        <v>130.75634443636156</v>
      </c>
      <c r="EN22">
        <f t="shared" si="22"/>
        <v>130.87860742485404</v>
      </c>
      <c r="EO22">
        <f t="shared" si="22"/>
        <v>130.98651809917456</v>
      </c>
      <c r="EP22">
        <f t="shared" si="22"/>
        <v>131.0800646257016</v>
      </c>
      <c r="EQ22">
        <f t="shared" si="22"/>
        <v>131.15923674600435</v>
      </c>
      <c r="ER22">
        <f t="shared" si="22"/>
        <v>131.22402577796763</v>
      </c>
      <c r="ES22">
        <f t="shared" si="22"/>
        <v>131.27442461674403</v>
      </c>
      <c r="ET22">
        <f t="shared" si="22"/>
        <v>131.31042773553287</v>
      </c>
      <c r="EU22">
        <f t="shared" si="22"/>
        <v>131.3320311861865</v>
      </c>
      <c r="EV22">
        <f t="shared" si="22"/>
        <v>131.33923259964308</v>
      </c>
      <c r="EW22">
        <f t="shared" si="22"/>
        <v>131.3320311861865</v>
      </c>
      <c r="EX22">
        <f t="shared" si="22"/>
        <v>131.31042773553287</v>
      </c>
      <c r="EY22">
        <f t="shared" si="22"/>
        <v>131.274424616744</v>
      </c>
      <c r="EZ22">
        <f t="shared" si="22"/>
        <v>131.22402577796763</v>
      </c>
      <c r="FA22">
        <f t="shared" si="22"/>
        <v>131.15923674600432</v>
      </c>
      <c r="FB22">
        <f t="shared" si="22"/>
        <v>131.08006462570157</v>
      </c>
      <c r="FC22">
        <f t="shared" si="22"/>
        <v>130.98651809917453</v>
      </c>
      <c r="FD22">
        <f t="shared" si="22"/>
        <v>130.87860742485404</v>
      </c>
      <c r="FE22">
        <f t="shared" si="22"/>
        <v>130.75634443636153</v>
      </c>
      <c r="FF22">
        <f t="shared" si="22"/>
        <v>130.61974254121154</v>
      </c>
      <c r="FG22">
        <f t="shared" si="22"/>
        <v>130.46881671934119</v>
      </c>
      <c r="FH22">
        <f t="shared" si="22"/>
        <v>130.3035835214676</v>
      </c>
      <c r="FI22">
        <f t="shared" si="22"/>
        <v>130.124061067273</v>
      </c>
      <c r="FJ22">
        <f t="shared" si="22"/>
        <v>129.93026904341747</v>
      </c>
      <c r="FK22">
        <f t="shared" si="22"/>
        <v>129.72222870138026</v>
      </c>
      <c r="FL22">
        <f t="shared" si="22"/>
        <v>129.49996285512933</v>
      </c>
      <c r="FM22">
        <f t="shared" si="22"/>
        <v>129.26349587861938</v>
      </c>
      <c r="FN22">
        <f t="shared" si="22"/>
        <v>129.01285370311913</v>
      </c>
      <c r="FO22">
        <f t="shared" si="22"/>
        <v>128.74806381436764</v>
      </c>
      <c r="FP22">
        <f t="shared" si="22"/>
        <v>128.46915524956006</v>
      </c>
      <c r="FQ22">
        <f t="shared" si="22"/>
        <v>128.17615859416361</v>
      </c>
      <c r="FR22">
        <f t="shared" si="22"/>
        <v>127.86910597856328</v>
      </c>
      <c r="FS22">
        <f t="shared" si="22"/>
        <v>127.54803107453854</v>
      </c>
      <c r="FT22">
        <f t="shared" si="22"/>
        <v>127.21296909157083</v>
      </c>
      <c r="FU22">
        <f t="shared" si="22"/>
        <v>126.86395677298232</v>
      </c>
      <c r="FV22">
        <f t="shared" si="22"/>
        <v>126.50103239190685</v>
      </c>
      <c r="FW22">
        <f t="shared" si="22"/>
        <v>126.12423574709253</v>
      </c>
      <c r="FX22">
        <f t="shared" si="22"/>
        <v>125.73360815853758</v>
      </c>
      <c r="FY22">
        <f t="shared" si="22"/>
        <v>125.32919246295907</v>
      </c>
      <c r="FZ22">
        <f t="shared" si="22"/>
        <v>124.91103300909535</v>
      </c>
      <c r="GA22">
        <f t="shared" si="22"/>
        <v>124.47917565284283</v>
      </c>
      <c r="GB22">
        <f t="shared" si="22"/>
        <v>124.03366775222713</v>
      </c>
      <c r="GC22">
        <f t="shared" si="22"/>
        <v>123.57455816221</v>
      </c>
      <c r="GD22">
        <f t="shared" si="22"/>
        <v>123.1018972293317</v>
      </c>
      <c r="GE22">
        <f t="shared" si="22"/>
        <v>122.61573678618991</v>
      </c>
      <c r="GF22">
        <f t="shared" si="22"/>
        <v>122.11613014575575</v>
      </c>
      <c r="GG22">
        <f t="shared" si="22"/>
        <v>121.60313209552741</v>
      </c>
      <c r="GH22">
        <f t="shared" si="22"/>
        <v>121.07679889152203</v>
      </c>
      <c r="GI22">
        <f t="shared" si="22"/>
        <v>120.5371882521067</v>
      </c>
      <c r="GJ22">
        <f t="shared" si="22"/>
        <v>119.98435935166887</v>
      </c>
      <c r="GK22">
        <f t="shared" si="22"/>
        <v>119.41837281412732</v>
      </c>
      <c r="GL22">
        <f t="shared" ref="GL22:IW22" si="23">IF(SIN(GL21*PI()/12)&gt;0,$B$4*$B$5*SIN(GL21*PI()/12),0)</f>
        <v>118.83929070628392</v>
      </c>
      <c r="GM22">
        <f t="shared" si="23"/>
        <v>118.24717653101749</v>
      </c>
      <c r="GN22">
        <f t="shared" si="23"/>
        <v>117.6420952203199</v>
      </c>
      <c r="GO22">
        <f t="shared" si="23"/>
        <v>117.02411312817549</v>
      </c>
      <c r="GP22">
        <f t="shared" si="23"/>
        <v>116.39329802328466</v>
      </c>
      <c r="GQ22">
        <f t="shared" si="23"/>
        <v>115.74971908163231</v>
      </c>
      <c r="GR22">
        <f t="shared" si="23"/>
        <v>115.0934468789019</v>
      </c>
      <c r="GS22">
        <f t="shared" si="23"/>
        <v>114.42455338273599</v>
      </c>
      <c r="GT22">
        <f t="shared" si="23"/>
        <v>113.7431119448441</v>
      </c>
      <c r="GU22">
        <f t="shared" si="23"/>
        <v>113.04919729295916</v>
      </c>
      <c r="GV22">
        <f t="shared" si="23"/>
        <v>112.34288552264232</v>
      </c>
      <c r="GW22">
        <f t="shared" si="23"/>
        <v>111.62425408893873</v>
      </c>
      <c r="GX22">
        <f t="shared" si="23"/>
        <v>110.89338179788326</v>
      </c>
      <c r="GY22">
        <f t="shared" si="23"/>
        <v>110.1503487978588</v>
      </c>
      <c r="GZ22">
        <f t="shared" si="23"/>
        <v>109.39523657080707</v>
      </c>
      <c r="HA22">
        <f t="shared" si="23"/>
        <v>108.62812792329308</v>
      </c>
      <c r="HB22">
        <f t="shared" si="23"/>
        <v>107.84910697742455</v>
      </c>
      <c r="HC22">
        <f t="shared" si="23"/>
        <v>107.05825916162699</v>
      </c>
      <c r="HD22">
        <f t="shared" si="23"/>
        <v>106.25567120127543</v>
      </c>
      <c r="HE22">
        <f t="shared" si="23"/>
        <v>105.44143110918408</v>
      </c>
      <c r="HF22">
        <f t="shared" si="23"/>
        <v>104.61562817595467</v>
      </c>
      <c r="HG22">
        <f t="shared" si="23"/>
        <v>103.77835296018478</v>
      </c>
      <c r="HH22">
        <f t="shared" si="23"/>
        <v>102.92969727853709</v>
      </c>
      <c r="HI22">
        <f t="shared" si="23"/>
        <v>102.06975419567053</v>
      </c>
      <c r="HJ22">
        <f t="shared" si="23"/>
        <v>101.19861801403484</v>
      </c>
      <c r="HK22">
        <f t="shared" si="23"/>
        <v>100.31638426352913</v>
      </c>
      <c r="HL22">
        <f t="shared" si="23"/>
        <v>99.423149691026026</v>
      </c>
      <c r="HM22">
        <f t="shared" si="23"/>
        <v>98.519012249762241</v>
      </c>
      <c r="HN22">
        <f t="shared" si="23"/>
        <v>97.60407108859691</v>
      </c>
      <c r="HO22">
        <f t="shared" si="23"/>
        <v>96.678426541138819</v>
      </c>
      <c r="HP22">
        <f t="shared" si="23"/>
        <v>95.742180114743633</v>
      </c>
      <c r="HQ22">
        <f t="shared" si="23"/>
        <v>94.795434479382564</v>
      </c>
      <c r="HR22">
        <f t="shared" si="23"/>
        <v>93.838293456383425</v>
      </c>
      <c r="HS22">
        <f t="shared" si="23"/>
        <v>92.870862007045275</v>
      </c>
      <c r="HT22">
        <f t="shared" si="23"/>
        <v>91.893246221128621</v>
      </c>
      <c r="HU22">
        <f t="shared" si="23"/>
        <v>90.905553305220991</v>
      </c>
      <c r="HV22">
        <f t="shared" si="23"/>
        <v>89.907891570981036</v>
      </c>
      <c r="HW22">
        <f t="shared" si="23"/>
        <v>88.900370423260412</v>
      </c>
      <c r="HX22">
        <f t="shared" si="23"/>
        <v>87.883100348106836</v>
      </c>
      <c r="HY22">
        <f t="shared" si="23"/>
        <v>86.856192900647471</v>
      </c>
      <c r="HZ22">
        <f t="shared" si="23"/>
        <v>85.81976069285632</v>
      </c>
      <c r="IA22">
        <f t="shared" si="23"/>
        <v>84.773917381204356</v>
      </c>
      <c r="IB22">
        <f t="shared" si="23"/>
        <v>83.718777654196316</v>
      </c>
      <c r="IC22">
        <f t="shared" si="23"/>
        <v>82.654457219793628</v>
      </c>
      <c r="ID22">
        <f t="shared" si="23"/>
        <v>81.581072792725706</v>
      </c>
      <c r="IE22">
        <f t="shared" si="23"/>
        <v>80.498742081690935</v>
      </c>
      <c r="IF22">
        <f t="shared" si="23"/>
        <v>79.407583776448533</v>
      </c>
      <c r="IG22">
        <f t="shared" si="23"/>
        <v>78.307717534802919</v>
      </c>
      <c r="IH22">
        <f t="shared" si="23"/>
        <v>77.199263969481834</v>
      </c>
      <c r="II22">
        <f t="shared" si="23"/>
        <v>76.082344634909873</v>
      </c>
      <c r="IJ22">
        <f t="shared" si="23"/>
        <v>74.957082013878576</v>
      </c>
      <c r="IK22">
        <f t="shared" si="23"/>
        <v>73.823599504114952</v>
      </c>
      <c r="IL22">
        <f t="shared" si="23"/>
        <v>72.682021404749335</v>
      </c>
      <c r="IM22">
        <f t="shared" si="23"/>
        <v>71.532472902684759</v>
      </c>
      <c r="IN22">
        <f t="shared" si="23"/>
        <v>70.37508005886869</v>
      </c>
      <c r="IO22">
        <f t="shared" si="23"/>
        <v>69.209969794469103</v>
      </c>
      <c r="IP22">
        <f t="shared" si="23"/>
        <v>68.037269876956088</v>
      </c>
      <c r="IQ22">
        <f t="shared" si="23"/>
        <v>66.857108906090716</v>
      </c>
      <c r="IR22">
        <f t="shared" si="23"/>
        <v>65.66961629982265</v>
      </c>
      <c r="IS22">
        <f t="shared" si="23"/>
        <v>64.474922280098042</v>
      </c>
      <c r="IT22">
        <f t="shared" si="23"/>
        <v>63.273157858578998</v>
      </c>
      <c r="IU22">
        <f t="shared" si="23"/>
        <v>62.064454822277177</v>
      </c>
      <c r="IV22">
        <f t="shared" si="23"/>
        <v>60.84894571910116</v>
      </c>
      <c r="IW22">
        <f t="shared" si="23"/>
        <v>59.626763843321854</v>
      </c>
      <c r="IX22">
        <f t="shared" ref="IX22:LI22" si="24">IF(SIN(IX21*PI()/12)&gt;0,$B$4*$B$5*SIN(IX21*PI()/12),0)</f>
        <v>58.398043220954463</v>
      </c>
      <c r="IY22">
        <f t="shared" si="24"/>
        <v>57.162918595061818</v>
      </c>
      <c r="IZ22">
        <f t="shared" si="24"/>
        <v>55.921525410977736</v>
      </c>
      <c r="JA22">
        <f t="shared" si="24"/>
        <v>54.673999801453974</v>
      </c>
      <c r="JB22">
        <f t="shared" si="24"/>
        <v>53.420478571731948</v>
      </c>
      <c r="JC22">
        <f t="shared" si="24"/>
        <v>52.161099184540568</v>
      </c>
      <c r="JD22">
        <f t="shared" si="24"/>
        <v>50.895999745021385</v>
      </c>
      <c r="JE22">
        <f t="shared" si="24"/>
        <v>49.625318985584379</v>
      </c>
      <c r="JF22">
        <f t="shared" si="24"/>
        <v>48.349196250694021</v>
      </c>
      <c r="JG22">
        <f t="shared" si="24"/>
        <v>47.067771481588977</v>
      </c>
      <c r="JH22">
        <f t="shared" si="24"/>
        <v>45.78118520093534</v>
      </c>
      <c r="JI22">
        <f t="shared" si="24"/>
        <v>44.489578497417362</v>
      </c>
      <c r="JJ22">
        <f t="shared" si="24"/>
        <v>43.193093010265109</v>
      </c>
      <c r="JK22">
        <f t="shared" si="24"/>
        <v>41.891870913722471</v>
      </c>
      <c r="JL22">
        <f t="shared" si="24"/>
        <v>40.586054901455604</v>
      </c>
      <c r="JM22">
        <f t="shared" si="24"/>
        <v>39.275788170905535</v>
      </c>
      <c r="JN22">
        <f t="shared" si="24"/>
        <v>37.96121440758467</v>
      </c>
      <c r="JO22">
        <f t="shared" si="24"/>
        <v>36.642477769319903</v>
      </c>
      <c r="JP22">
        <f t="shared" si="24"/>
        <v>35.319722870444593</v>
      </c>
      <c r="JQ22">
        <f t="shared" si="24"/>
        <v>33.993094765939439</v>
      </c>
      <c r="JR22">
        <f t="shared" si="24"/>
        <v>32.662738935525894</v>
      </c>
      <c r="JS22">
        <f t="shared" si="24"/>
        <v>31.328801267712343</v>
      </c>
      <c r="JT22">
        <f t="shared" si="24"/>
        <v>29.991428043796343</v>
      </c>
      <c r="JU22">
        <f t="shared" si="24"/>
        <v>28.650765921822721</v>
      </c>
      <c r="JV22">
        <f t="shared" si="24"/>
        <v>27.306961920500932</v>
      </c>
      <c r="JW22">
        <f t="shared" si="24"/>
        <v>25.960163403083012</v>
      </c>
      <c r="JX22">
        <f t="shared" si="24"/>
        <v>24.61051806120355</v>
      </c>
      <c r="JY22">
        <f t="shared" si="24"/>
        <v>23.258173898683399</v>
      </c>
      <c r="JZ22">
        <f t="shared" si="24"/>
        <v>21.903279215299406</v>
      </c>
      <c r="KA22">
        <f t="shared" si="24"/>
        <v>20.545982590521877</v>
      </c>
      <c r="KB22">
        <f t="shared" si="24"/>
        <v>19.186432867221178</v>
      </c>
      <c r="KC22">
        <f t="shared" si="24"/>
        <v>17.824779135345192</v>
      </c>
      <c r="KD22">
        <f t="shared" si="24"/>
        <v>16.46117071556996</v>
      </c>
      <c r="KE22">
        <f t="shared" si="24"/>
        <v>15.095757142925171</v>
      </c>
      <c r="KF22">
        <f t="shared" si="24"/>
        <v>13.728688150396058</v>
      </c>
      <c r="KG22">
        <f t="shared" si="24"/>
        <v>12.360113652502942</v>
      </c>
      <c r="KH22">
        <f t="shared" si="24"/>
        <v>10.990183728862007</v>
      </c>
      <c r="KI22">
        <f t="shared" si="24"/>
        <v>9.6190486077270307</v>
      </c>
      <c r="KJ22">
        <f t="shared" si="24"/>
        <v>8.2468586495155094</v>
      </c>
      <c r="KK22">
        <f t="shared" si="24"/>
        <v>6.8737643303193598</v>
      </c>
      <c r="KL22">
        <f t="shared" si="24"/>
        <v>5.4999162254041067</v>
      </c>
      <c r="KM22">
        <f t="shared" si="24"/>
        <v>4.1254649926963758</v>
      </c>
      <c r="KN22">
        <f t="shared" si="24"/>
        <v>2.7505613562623124</v>
      </c>
      <c r="KO22">
        <f t="shared" si="24"/>
        <v>1.3753560897795842</v>
      </c>
      <c r="KP22">
        <f t="shared" si="24"/>
        <v>2.7574287990808206E-12</v>
      </c>
      <c r="KQ22">
        <f t="shared" si="24"/>
        <v>0</v>
      </c>
      <c r="KR22">
        <f t="shared" si="24"/>
        <v>0</v>
      </c>
      <c r="KS22">
        <f t="shared" si="24"/>
        <v>0</v>
      </c>
      <c r="KT22">
        <f t="shared" si="24"/>
        <v>0</v>
      </c>
      <c r="KU22">
        <f t="shared" si="24"/>
        <v>0</v>
      </c>
      <c r="KV22">
        <f t="shared" si="24"/>
        <v>0</v>
      </c>
      <c r="KW22">
        <f t="shared" si="24"/>
        <v>0</v>
      </c>
      <c r="KX22">
        <f t="shared" si="24"/>
        <v>0</v>
      </c>
      <c r="KY22">
        <f t="shared" si="24"/>
        <v>0</v>
      </c>
      <c r="KZ22">
        <f t="shared" si="24"/>
        <v>0</v>
      </c>
      <c r="LA22">
        <f t="shared" si="24"/>
        <v>0</v>
      </c>
      <c r="LB22">
        <f t="shared" si="24"/>
        <v>0</v>
      </c>
      <c r="LC22">
        <f t="shared" si="24"/>
        <v>0</v>
      </c>
      <c r="LD22">
        <f t="shared" si="24"/>
        <v>0</v>
      </c>
      <c r="LE22">
        <f t="shared" si="24"/>
        <v>0</v>
      </c>
      <c r="LF22">
        <f t="shared" si="24"/>
        <v>0</v>
      </c>
      <c r="LG22">
        <f t="shared" si="24"/>
        <v>0</v>
      </c>
      <c r="LH22">
        <f t="shared" si="24"/>
        <v>0</v>
      </c>
      <c r="LI22">
        <f t="shared" si="24"/>
        <v>0</v>
      </c>
      <c r="LJ22">
        <f t="shared" ref="LJ22:NU22" si="25">IF(SIN(LJ21*PI()/12)&gt;0,$B$4*$B$5*SIN(LJ21*PI()/12),0)</f>
        <v>0</v>
      </c>
      <c r="LK22">
        <f t="shared" si="25"/>
        <v>0</v>
      </c>
      <c r="LL22">
        <f t="shared" si="25"/>
        <v>0</v>
      </c>
      <c r="LM22">
        <f t="shared" si="25"/>
        <v>0</v>
      </c>
      <c r="LN22">
        <f t="shared" si="25"/>
        <v>0</v>
      </c>
      <c r="LO22">
        <f t="shared" si="25"/>
        <v>0</v>
      </c>
      <c r="LP22">
        <f t="shared" si="25"/>
        <v>0</v>
      </c>
      <c r="LQ22">
        <f t="shared" si="25"/>
        <v>0</v>
      </c>
      <c r="LR22">
        <f t="shared" si="25"/>
        <v>0</v>
      </c>
      <c r="LS22">
        <f t="shared" si="25"/>
        <v>0</v>
      </c>
      <c r="LT22">
        <f t="shared" si="25"/>
        <v>0</v>
      </c>
      <c r="LU22">
        <f t="shared" si="25"/>
        <v>0</v>
      </c>
      <c r="LV22">
        <f t="shared" si="25"/>
        <v>0</v>
      </c>
      <c r="LW22">
        <f t="shared" si="25"/>
        <v>0</v>
      </c>
      <c r="LX22">
        <f t="shared" si="25"/>
        <v>0</v>
      </c>
      <c r="LY22">
        <f t="shared" si="25"/>
        <v>0</v>
      </c>
      <c r="LZ22">
        <f t="shared" si="25"/>
        <v>0</v>
      </c>
      <c r="MA22">
        <f t="shared" si="25"/>
        <v>0</v>
      </c>
      <c r="MB22">
        <f t="shared" si="25"/>
        <v>0</v>
      </c>
      <c r="MC22">
        <f t="shared" si="25"/>
        <v>0</v>
      </c>
      <c r="MD22">
        <f t="shared" si="25"/>
        <v>0</v>
      </c>
      <c r="ME22">
        <f t="shared" si="25"/>
        <v>0</v>
      </c>
      <c r="MF22">
        <f t="shared" si="25"/>
        <v>0</v>
      </c>
      <c r="MG22">
        <f t="shared" si="25"/>
        <v>0</v>
      </c>
      <c r="MH22">
        <f t="shared" si="25"/>
        <v>0</v>
      </c>
      <c r="MI22">
        <f t="shared" si="25"/>
        <v>0</v>
      </c>
      <c r="MJ22">
        <f t="shared" si="25"/>
        <v>0</v>
      </c>
      <c r="MK22">
        <f t="shared" si="25"/>
        <v>0</v>
      </c>
      <c r="ML22">
        <f t="shared" si="25"/>
        <v>0</v>
      </c>
      <c r="MM22">
        <f t="shared" si="25"/>
        <v>0</v>
      </c>
      <c r="MN22">
        <f t="shared" si="25"/>
        <v>0</v>
      </c>
      <c r="MO22">
        <f t="shared" si="25"/>
        <v>0</v>
      </c>
      <c r="MP22">
        <f t="shared" si="25"/>
        <v>0</v>
      </c>
      <c r="MQ22">
        <f t="shared" si="25"/>
        <v>0</v>
      </c>
      <c r="MR22">
        <f t="shared" si="25"/>
        <v>0</v>
      </c>
      <c r="MS22">
        <f t="shared" si="25"/>
        <v>0</v>
      </c>
      <c r="MT22">
        <f t="shared" si="25"/>
        <v>0</v>
      </c>
      <c r="MU22">
        <f t="shared" si="25"/>
        <v>0</v>
      </c>
      <c r="MV22">
        <f t="shared" si="25"/>
        <v>0</v>
      </c>
      <c r="MW22">
        <f t="shared" si="25"/>
        <v>0</v>
      </c>
      <c r="MX22">
        <f t="shared" si="25"/>
        <v>0</v>
      </c>
      <c r="MY22">
        <f t="shared" si="25"/>
        <v>0</v>
      </c>
      <c r="MZ22">
        <f t="shared" si="25"/>
        <v>0</v>
      </c>
      <c r="NA22">
        <f t="shared" si="25"/>
        <v>0</v>
      </c>
      <c r="NB22">
        <f t="shared" si="25"/>
        <v>0</v>
      </c>
      <c r="NC22">
        <f t="shared" si="25"/>
        <v>0</v>
      </c>
      <c r="ND22">
        <f t="shared" si="25"/>
        <v>0</v>
      </c>
      <c r="NE22">
        <f t="shared" si="25"/>
        <v>0</v>
      </c>
      <c r="NF22">
        <f t="shared" si="25"/>
        <v>0</v>
      </c>
      <c r="NG22">
        <f t="shared" si="25"/>
        <v>0</v>
      </c>
      <c r="NH22">
        <f t="shared" si="25"/>
        <v>0</v>
      </c>
      <c r="NI22">
        <f t="shared" si="25"/>
        <v>0</v>
      </c>
      <c r="NJ22">
        <f t="shared" si="25"/>
        <v>0</v>
      </c>
      <c r="NK22">
        <f t="shared" si="25"/>
        <v>0</v>
      </c>
      <c r="NL22">
        <f t="shared" si="25"/>
        <v>0</v>
      </c>
      <c r="NM22">
        <f t="shared" si="25"/>
        <v>0</v>
      </c>
      <c r="NN22">
        <f t="shared" si="25"/>
        <v>0</v>
      </c>
      <c r="NO22">
        <f t="shared" si="25"/>
        <v>0</v>
      </c>
      <c r="NP22">
        <f t="shared" si="25"/>
        <v>0</v>
      </c>
      <c r="NQ22">
        <f t="shared" si="25"/>
        <v>0</v>
      </c>
      <c r="NR22">
        <f t="shared" si="25"/>
        <v>0</v>
      </c>
      <c r="NS22">
        <f t="shared" si="25"/>
        <v>0</v>
      </c>
      <c r="NT22">
        <f t="shared" si="25"/>
        <v>0</v>
      </c>
      <c r="NU22">
        <f t="shared" si="25"/>
        <v>0</v>
      </c>
      <c r="NV22">
        <f t="shared" ref="NV22:QG22" si="26">IF(SIN(NV21*PI()/12)&gt;0,$B$4*$B$5*SIN(NV21*PI()/12),0)</f>
        <v>0</v>
      </c>
      <c r="NW22">
        <f t="shared" si="26"/>
        <v>0</v>
      </c>
      <c r="NX22">
        <f t="shared" si="26"/>
        <v>0</v>
      </c>
      <c r="NY22">
        <f t="shared" si="26"/>
        <v>0</v>
      </c>
      <c r="NZ22">
        <f t="shared" si="26"/>
        <v>0</v>
      </c>
      <c r="OA22">
        <f t="shared" si="26"/>
        <v>0</v>
      </c>
      <c r="OB22">
        <f t="shared" si="26"/>
        <v>0</v>
      </c>
      <c r="OC22">
        <f t="shared" si="26"/>
        <v>0</v>
      </c>
      <c r="OD22">
        <f t="shared" si="26"/>
        <v>0</v>
      </c>
      <c r="OE22">
        <f t="shared" si="26"/>
        <v>0</v>
      </c>
      <c r="OF22">
        <f t="shared" si="26"/>
        <v>0</v>
      </c>
      <c r="OG22">
        <f t="shared" si="26"/>
        <v>0</v>
      </c>
      <c r="OH22">
        <f t="shared" si="26"/>
        <v>0</v>
      </c>
      <c r="OI22">
        <f t="shared" si="26"/>
        <v>0</v>
      </c>
      <c r="OJ22">
        <f t="shared" si="26"/>
        <v>0</v>
      </c>
      <c r="OK22">
        <f t="shared" si="26"/>
        <v>0</v>
      </c>
      <c r="OL22">
        <f t="shared" si="26"/>
        <v>0</v>
      </c>
      <c r="OM22">
        <f t="shared" si="26"/>
        <v>0</v>
      </c>
      <c r="ON22">
        <f t="shared" si="26"/>
        <v>0</v>
      </c>
      <c r="OO22">
        <f t="shared" si="26"/>
        <v>0</v>
      </c>
      <c r="OP22">
        <f t="shared" si="26"/>
        <v>0</v>
      </c>
      <c r="OQ22">
        <f t="shared" si="26"/>
        <v>0</v>
      </c>
      <c r="OR22">
        <f t="shared" si="26"/>
        <v>0</v>
      </c>
      <c r="OS22">
        <f t="shared" si="26"/>
        <v>0</v>
      </c>
      <c r="OT22">
        <f t="shared" si="26"/>
        <v>0</v>
      </c>
      <c r="OU22">
        <f t="shared" si="26"/>
        <v>0</v>
      </c>
      <c r="OV22">
        <f t="shared" si="26"/>
        <v>0</v>
      </c>
      <c r="OW22">
        <f t="shared" si="26"/>
        <v>0</v>
      </c>
      <c r="OX22">
        <f t="shared" si="26"/>
        <v>0</v>
      </c>
      <c r="OY22">
        <f t="shared" si="26"/>
        <v>0</v>
      </c>
      <c r="OZ22">
        <f t="shared" si="26"/>
        <v>0</v>
      </c>
      <c r="PA22">
        <f t="shared" si="26"/>
        <v>0</v>
      </c>
      <c r="PB22">
        <f t="shared" si="26"/>
        <v>0</v>
      </c>
      <c r="PC22">
        <f t="shared" si="26"/>
        <v>0</v>
      </c>
      <c r="PD22">
        <f t="shared" si="26"/>
        <v>0</v>
      </c>
      <c r="PE22">
        <f t="shared" si="26"/>
        <v>0</v>
      </c>
      <c r="PF22">
        <f t="shared" si="26"/>
        <v>0</v>
      </c>
      <c r="PG22">
        <f t="shared" si="26"/>
        <v>0</v>
      </c>
      <c r="PH22">
        <f t="shared" si="26"/>
        <v>0</v>
      </c>
      <c r="PI22">
        <f t="shared" si="26"/>
        <v>0</v>
      </c>
      <c r="PJ22">
        <f t="shared" si="26"/>
        <v>0</v>
      </c>
      <c r="PK22">
        <f t="shared" si="26"/>
        <v>0</v>
      </c>
      <c r="PL22">
        <f t="shared" si="26"/>
        <v>0</v>
      </c>
      <c r="PM22">
        <f t="shared" si="26"/>
        <v>0</v>
      </c>
      <c r="PN22">
        <f t="shared" si="26"/>
        <v>0</v>
      </c>
      <c r="PO22">
        <f t="shared" si="26"/>
        <v>0</v>
      </c>
      <c r="PP22">
        <f t="shared" si="26"/>
        <v>0</v>
      </c>
      <c r="PQ22">
        <f t="shared" si="26"/>
        <v>0</v>
      </c>
      <c r="PR22">
        <f t="shared" si="26"/>
        <v>0</v>
      </c>
      <c r="PS22">
        <f t="shared" si="26"/>
        <v>0</v>
      </c>
      <c r="PT22">
        <f t="shared" si="26"/>
        <v>0</v>
      </c>
      <c r="PU22">
        <f t="shared" si="26"/>
        <v>0</v>
      </c>
      <c r="PV22">
        <f t="shared" si="26"/>
        <v>0</v>
      </c>
      <c r="PW22">
        <f t="shared" si="26"/>
        <v>0</v>
      </c>
      <c r="PX22">
        <f t="shared" si="26"/>
        <v>0</v>
      </c>
      <c r="PY22">
        <f t="shared" si="26"/>
        <v>0</v>
      </c>
      <c r="PZ22">
        <f t="shared" si="26"/>
        <v>0</v>
      </c>
      <c r="QA22">
        <f t="shared" si="26"/>
        <v>0</v>
      </c>
      <c r="QB22">
        <f t="shared" si="26"/>
        <v>0</v>
      </c>
      <c r="QC22">
        <f t="shared" si="26"/>
        <v>0</v>
      </c>
      <c r="QD22">
        <f t="shared" si="26"/>
        <v>0</v>
      </c>
      <c r="QE22">
        <f t="shared" si="26"/>
        <v>0</v>
      </c>
      <c r="QF22">
        <f t="shared" si="26"/>
        <v>0</v>
      </c>
      <c r="QG22">
        <f t="shared" si="26"/>
        <v>0</v>
      </c>
      <c r="QH22">
        <f t="shared" ref="QH22:SS22" si="27">IF(SIN(QH21*PI()/12)&gt;0,$B$4*$B$5*SIN(QH21*PI()/12),0)</f>
        <v>0</v>
      </c>
      <c r="QI22">
        <f t="shared" si="27"/>
        <v>0</v>
      </c>
      <c r="QJ22">
        <f t="shared" si="27"/>
        <v>0</v>
      </c>
      <c r="QK22">
        <f t="shared" si="27"/>
        <v>0</v>
      </c>
      <c r="QL22">
        <f t="shared" si="27"/>
        <v>0</v>
      </c>
      <c r="QM22">
        <f t="shared" si="27"/>
        <v>0</v>
      </c>
      <c r="QN22">
        <f t="shared" si="27"/>
        <v>0</v>
      </c>
      <c r="QO22">
        <f t="shared" si="27"/>
        <v>0</v>
      </c>
      <c r="QP22">
        <f t="shared" si="27"/>
        <v>0</v>
      </c>
      <c r="QQ22">
        <f t="shared" si="27"/>
        <v>0</v>
      </c>
      <c r="QR22">
        <f t="shared" si="27"/>
        <v>0</v>
      </c>
      <c r="QS22">
        <f t="shared" si="27"/>
        <v>0</v>
      </c>
      <c r="QT22">
        <f t="shared" si="27"/>
        <v>0</v>
      </c>
      <c r="QU22">
        <f t="shared" si="27"/>
        <v>0</v>
      </c>
      <c r="QV22">
        <f t="shared" si="27"/>
        <v>0</v>
      </c>
      <c r="QW22">
        <f t="shared" si="27"/>
        <v>0</v>
      </c>
      <c r="QX22">
        <f t="shared" si="27"/>
        <v>0</v>
      </c>
      <c r="QY22">
        <f t="shared" si="27"/>
        <v>0</v>
      </c>
      <c r="QZ22">
        <f t="shared" si="27"/>
        <v>0</v>
      </c>
      <c r="RA22">
        <f t="shared" si="27"/>
        <v>0</v>
      </c>
      <c r="RB22">
        <f t="shared" si="27"/>
        <v>0</v>
      </c>
      <c r="RC22">
        <f t="shared" si="27"/>
        <v>0</v>
      </c>
      <c r="RD22">
        <f t="shared" si="27"/>
        <v>0</v>
      </c>
      <c r="RE22">
        <f t="shared" si="27"/>
        <v>0</v>
      </c>
      <c r="RF22">
        <f t="shared" si="27"/>
        <v>0</v>
      </c>
      <c r="RG22">
        <f t="shared" si="27"/>
        <v>0</v>
      </c>
      <c r="RH22">
        <f t="shared" si="27"/>
        <v>0</v>
      </c>
      <c r="RI22">
        <f t="shared" si="27"/>
        <v>0</v>
      </c>
      <c r="RJ22">
        <f t="shared" si="27"/>
        <v>0</v>
      </c>
      <c r="RK22">
        <f t="shared" si="27"/>
        <v>0</v>
      </c>
      <c r="RL22">
        <f t="shared" si="27"/>
        <v>0</v>
      </c>
      <c r="RM22">
        <f t="shared" si="27"/>
        <v>0</v>
      </c>
      <c r="RN22">
        <f t="shared" si="27"/>
        <v>0</v>
      </c>
      <c r="RO22">
        <f t="shared" si="27"/>
        <v>0</v>
      </c>
      <c r="RP22">
        <f t="shared" si="27"/>
        <v>0</v>
      </c>
      <c r="RQ22">
        <f t="shared" si="27"/>
        <v>0</v>
      </c>
      <c r="RR22">
        <f t="shared" si="27"/>
        <v>0</v>
      </c>
      <c r="RS22">
        <f t="shared" si="27"/>
        <v>0</v>
      </c>
      <c r="RT22">
        <f t="shared" si="27"/>
        <v>0</v>
      </c>
      <c r="RU22">
        <f t="shared" si="27"/>
        <v>0</v>
      </c>
      <c r="RV22">
        <f t="shared" si="27"/>
        <v>0</v>
      </c>
      <c r="RW22">
        <f t="shared" si="27"/>
        <v>0</v>
      </c>
      <c r="RX22">
        <f t="shared" si="27"/>
        <v>0</v>
      </c>
      <c r="RY22">
        <f t="shared" si="27"/>
        <v>0</v>
      </c>
      <c r="RZ22">
        <f t="shared" si="27"/>
        <v>0</v>
      </c>
      <c r="SA22">
        <f t="shared" si="27"/>
        <v>0</v>
      </c>
      <c r="SB22">
        <f t="shared" si="27"/>
        <v>0</v>
      </c>
      <c r="SC22">
        <f t="shared" si="27"/>
        <v>0</v>
      </c>
      <c r="SD22">
        <f t="shared" si="27"/>
        <v>0</v>
      </c>
      <c r="SE22">
        <f t="shared" si="27"/>
        <v>0</v>
      </c>
      <c r="SF22">
        <f t="shared" si="27"/>
        <v>0</v>
      </c>
      <c r="SG22">
        <f t="shared" si="27"/>
        <v>0</v>
      </c>
      <c r="SH22">
        <f t="shared" si="27"/>
        <v>0</v>
      </c>
      <c r="SI22">
        <f t="shared" si="27"/>
        <v>0</v>
      </c>
      <c r="SJ22">
        <f t="shared" si="27"/>
        <v>0</v>
      </c>
      <c r="SK22">
        <f t="shared" si="27"/>
        <v>0</v>
      </c>
      <c r="SL22">
        <f t="shared" si="27"/>
        <v>0</v>
      </c>
      <c r="SM22">
        <f t="shared" si="27"/>
        <v>0</v>
      </c>
      <c r="SN22">
        <f t="shared" si="27"/>
        <v>0</v>
      </c>
      <c r="SO22">
        <f t="shared" si="27"/>
        <v>0</v>
      </c>
      <c r="SP22">
        <f t="shared" si="27"/>
        <v>0</v>
      </c>
      <c r="SQ22">
        <f t="shared" si="27"/>
        <v>0</v>
      </c>
      <c r="SR22">
        <f t="shared" si="27"/>
        <v>0</v>
      </c>
      <c r="SS22">
        <f t="shared" si="27"/>
        <v>0</v>
      </c>
      <c r="ST22">
        <f t="shared" ref="ST22:VE22" si="28">IF(SIN(ST21*PI()/12)&gt;0,$B$4*$B$5*SIN(ST21*PI()/12),0)</f>
        <v>0</v>
      </c>
      <c r="SU22">
        <f t="shared" si="28"/>
        <v>0</v>
      </c>
      <c r="SV22">
        <f t="shared" si="28"/>
        <v>0</v>
      </c>
      <c r="SW22">
        <f t="shared" si="28"/>
        <v>0</v>
      </c>
      <c r="SX22">
        <f t="shared" si="28"/>
        <v>0</v>
      </c>
      <c r="SY22">
        <f t="shared" si="28"/>
        <v>0</v>
      </c>
      <c r="SZ22">
        <f t="shared" si="28"/>
        <v>0</v>
      </c>
      <c r="TA22">
        <f t="shared" si="28"/>
        <v>0</v>
      </c>
      <c r="TB22">
        <f t="shared" si="28"/>
        <v>0</v>
      </c>
      <c r="TC22">
        <f t="shared" si="28"/>
        <v>0</v>
      </c>
      <c r="TD22">
        <f t="shared" si="28"/>
        <v>0</v>
      </c>
      <c r="TE22">
        <f t="shared" si="28"/>
        <v>0</v>
      </c>
      <c r="TF22">
        <f t="shared" si="28"/>
        <v>0</v>
      </c>
      <c r="TG22">
        <f t="shared" si="28"/>
        <v>0</v>
      </c>
      <c r="TH22">
        <f t="shared" si="28"/>
        <v>0</v>
      </c>
      <c r="TI22">
        <f t="shared" si="28"/>
        <v>0</v>
      </c>
      <c r="TJ22">
        <f t="shared" si="28"/>
        <v>0</v>
      </c>
      <c r="TK22">
        <f t="shared" si="28"/>
        <v>0</v>
      </c>
      <c r="TL22">
        <f t="shared" si="28"/>
        <v>0</v>
      </c>
      <c r="TM22">
        <f t="shared" si="28"/>
        <v>0</v>
      </c>
      <c r="TN22">
        <f t="shared" si="28"/>
        <v>0</v>
      </c>
      <c r="TO22">
        <f t="shared" si="28"/>
        <v>0</v>
      </c>
      <c r="TP22">
        <f t="shared" si="28"/>
        <v>0</v>
      </c>
      <c r="TQ22">
        <f t="shared" si="28"/>
        <v>0</v>
      </c>
      <c r="TR22">
        <f t="shared" si="28"/>
        <v>0</v>
      </c>
      <c r="TS22">
        <f t="shared" si="28"/>
        <v>0</v>
      </c>
      <c r="TT22">
        <f t="shared" si="28"/>
        <v>0</v>
      </c>
      <c r="TU22">
        <f t="shared" si="28"/>
        <v>0</v>
      </c>
      <c r="TV22">
        <f t="shared" si="28"/>
        <v>0</v>
      </c>
      <c r="TW22">
        <f t="shared" si="28"/>
        <v>0</v>
      </c>
      <c r="TX22">
        <f t="shared" si="28"/>
        <v>0</v>
      </c>
      <c r="TY22">
        <f t="shared" si="28"/>
        <v>0</v>
      </c>
      <c r="TZ22">
        <f t="shared" si="28"/>
        <v>0</v>
      </c>
      <c r="UA22">
        <f t="shared" si="28"/>
        <v>0</v>
      </c>
      <c r="UB22">
        <f t="shared" si="28"/>
        <v>0</v>
      </c>
      <c r="UC22">
        <f t="shared" si="28"/>
        <v>0</v>
      </c>
      <c r="UD22">
        <f t="shared" si="28"/>
        <v>0</v>
      </c>
      <c r="UE22">
        <f t="shared" si="28"/>
        <v>0</v>
      </c>
      <c r="UF22">
        <f t="shared" si="28"/>
        <v>0</v>
      </c>
      <c r="UG22">
        <f t="shared" si="28"/>
        <v>0</v>
      </c>
      <c r="UH22">
        <f t="shared" si="28"/>
        <v>0</v>
      </c>
      <c r="UI22">
        <f t="shared" si="28"/>
        <v>0</v>
      </c>
      <c r="UJ22">
        <f t="shared" si="28"/>
        <v>0</v>
      </c>
      <c r="UK22">
        <f t="shared" si="28"/>
        <v>0</v>
      </c>
      <c r="UL22">
        <f t="shared" si="28"/>
        <v>0</v>
      </c>
      <c r="UM22">
        <f t="shared" si="28"/>
        <v>0</v>
      </c>
      <c r="UN22">
        <f t="shared" si="28"/>
        <v>0</v>
      </c>
      <c r="UO22">
        <f t="shared" si="28"/>
        <v>0</v>
      </c>
      <c r="UP22">
        <f t="shared" si="28"/>
        <v>0</v>
      </c>
      <c r="UQ22">
        <f t="shared" si="28"/>
        <v>0</v>
      </c>
      <c r="UR22">
        <f t="shared" si="28"/>
        <v>0</v>
      </c>
      <c r="US22">
        <f t="shared" si="28"/>
        <v>0</v>
      </c>
      <c r="UT22">
        <f t="shared" si="28"/>
        <v>0</v>
      </c>
      <c r="UU22">
        <f t="shared" si="28"/>
        <v>0</v>
      </c>
      <c r="UV22">
        <f t="shared" si="28"/>
        <v>0</v>
      </c>
      <c r="UW22">
        <f t="shared" si="28"/>
        <v>0</v>
      </c>
      <c r="UX22">
        <f t="shared" si="28"/>
        <v>0</v>
      </c>
      <c r="UY22">
        <f t="shared" si="28"/>
        <v>0</v>
      </c>
      <c r="UZ22">
        <f t="shared" si="28"/>
        <v>0</v>
      </c>
      <c r="VA22">
        <f t="shared" si="28"/>
        <v>0</v>
      </c>
      <c r="VB22">
        <f t="shared" si="28"/>
        <v>0</v>
      </c>
      <c r="VC22">
        <f t="shared" si="28"/>
        <v>0</v>
      </c>
      <c r="VD22">
        <f t="shared" si="28"/>
        <v>0</v>
      </c>
      <c r="VE22">
        <f t="shared" si="28"/>
        <v>0</v>
      </c>
      <c r="VF22">
        <f t="shared" ref="VF22:XQ22" si="29">IF(SIN(VF21*PI()/12)&gt;0,$B$4*$B$5*SIN(VF21*PI()/12),0)</f>
        <v>0</v>
      </c>
      <c r="VG22">
        <f t="shared" si="29"/>
        <v>0</v>
      </c>
      <c r="VH22">
        <f t="shared" si="29"/>
        <v>0</v>
      </c>
      <c r="VI22">
        <f t="shared" si="29"/>
        <v>0</v>
      </c>
      <c r="VJ22">
        <f t="shared" si="29"/>
        <v>0</v>
      </c>
      <c r="VK22">
        <f t="shared" si="29"/>
        <v>0</v>
      </c>
      <c r="VL22">
        <f t="shared" si="29"/>
        <v>0</v>
      </c>
      <c r="VM22">
        <f t="shared" si="29"/>
        <v>0</v>
      </c>
      <c r="VN22">
        <f t="shared" si="29"/>
        <v>0</v>
      </c>
      <c r="VO22">
        <f t="shared" si="29"/>
        <v>0</v>
      </c>
      <c r="VP22">
        <f t="shared" si="29"/>
        <v>0</v>
      </c>
      <c r="VQ22">
        <f t="shared" si="29"/>
        <v>0</v>
      </c>
      <c r="VR22">
        <f t="shared" si="29"/>
        <v>0</v>
      </c>
      <c r="VS22">
        <f t="shared" si="29"/>
        <v>0</v>
      </c>
      <c r="VT22">
        <f t="shared" si="29"/>
        <v>0</v>
      </c>
      <c r="VU22">
        <f t="shared" si="29"/>
        <v>0</v>
      </c>
      <c r="VV22">
        <f t="shared" si="29"/>
        <v>0</v>
      </c>
      <c r="VW22">
        <f t="shared" si="29"/>
        <v>0</v>
      </c>
      <c r="VX22">
        <f t="shared" si="29"/>
        <v>0</v>
      </c>
      <c r="VY22">
        <f t="shared" si="29"/>
        <v>0</v>
      </c>
      <c r="VZ22">
        <f t="shared" si="29"/>
        <v>0</v>
      </c>
      <c r="WA22">
        <f t="shared" si="29"/>
        <v>0</v>
      </c>
      <c r="WB22">
        <f t="shared" si="29"/>
        <v>0</v>
      </c>
      <c r="WC22">
        <f t="shared" si="29"/>
        <v>0</v>
      </c>
      <c r="WD22">
        <f t="shared" si="29"/>
        <v>0</v>
      </c>
      <c r="WE22">
        <f t="shared" si="29"/>
        <v>1.3753560897654218</v>
      </c>
      <c r="WF22">
        <f t="shared" si="29"/>
        <v>2.7505613562480939</v>
      </c>
      <c r="WG22">
        <f t="shared" si="29"/>
        <v>4.1254649926820433</v>
      </c>
      <c r="WH22">
        <f t="shared" si="29"/>
        <v>5.4999162253898985</v>
      </c>
      <c r="WI22">
        <f t="shared" si="29"/>
        <v>6.8737643303050993</v>
      </c>
      <c r="WJ22">
        <f t="shared" si="29"/>
        <v>8.2468586495011991</v>
      </c>
      <c r="WK22">
        <f t="shared" si="29"/>
        <v>9.6190486077128483</v>
      </c>
      <c r="WL22">
        <f t="shared" si="29"/>
        <v>10.99018372884772</v>
      </c>
      <c r="WM22">
        <f t="shared" si="29"/>
        <v>12.360113652488609</v>
      </c>
      <c r="WN22">
        <f t="shared" si="29"/>
        <v>13.728688150381915</v>
      </c>
      <c r="WO22">
        <f t="shared" si="29"/>
        <v>15.095757142911046</v>
      </c>
      <c r="WP22">
        <f t="shared" si="29"/>
        <v>16.461170715555848</v>
      </c>
      <c r="WQ22">
        <f t="shared" si="29"/>
        <v>17.824779135331045</v>
      </c>
      <c r="WR22">
        <f t="shared" si="29"/>
        <v>19.186432867207046</v>
      </c>
      <c r="WS22">
        <f t="shared" si="29"/>
        <v>20.54598259050783</v>
      </c>
      <c r="WT22">
        <f t="shared" si="29"/>
        <v>21.90327921528527</v>
      </c>
      <c r="WU22">
        <f t="shared" si="29"/>
        <v>23.258173898669231</v>
      </c>
      <c r="WV22">
        <f t="shared" si="29"/>
        <v>24.610518061189637</v>
      </c>
      <c r="WW22">
        <f t="shared" si="29"/>
        <v>25.960163403069071</v>
      </c>
      <c r="WX22">
        <f t="shared" si="29"/>
        <v>27.306961920486909</v>
      </c>
      <c r="WY22">
        <f t="shared" si="29"/>
        <v>28.650765921808791</v>
      </c>
      <c r="WZ22">
        <f t="shared" si="29"/>
        <v>29.991428043782442</v>
      </c>
      <c r="XA22">
        <f t="shared" si="29"/>
        <v>31.328801267698417</v>
      </c>
      <c r="XB22">
        <f t="shared" si="29"/>
        <v>32.662738935512003</v>
      </c>
      <c r="XC22">
        <f t="shared" si="29"/>
        <v>33.993094765925584</v>
      </c>
      <c r="XD22">
        <f t="shared" si="29"/>
        <v>35.319722870430951</v>
      </c>
      <c r="XE22">
        <f t="shared" si="29"/>
        <v>36.642477769306247</v>
      </c>
      <c r="XF22">
        <f t="shared" si="29"/>
        <v>37.961214407570949</v>
      </c>
      <c r="XG22">
        <f t="shared" si="29"/>
        <v>39.275788170891964</v>
      </c>
      <c r="XH22">
        <f t="shared" si="29"/>
        <v>40.586054901442026</v>
      </c>
      <c r="XI22">
        <f t="shared" si="29"/>
        <v>41.891870913708878</v>
      </c>
      <c r="XJ22">
        <f t="shared" si="29"/>
        <v>43.19309301025168</v>
      </c>
      <c r="XK22">
        <f t="shared" si="29"/>
        <v>44.489578497403876</v>
      </c>
      <c r="XL22">
        <f t="shared" si="29"/>
        <v>45.781185200921854</v>
      </c>
      <c r="XM22">
        <f t="shared" si="29"/>
        <v>47.067771481575697</v>
      </c>
      <c r="XN22">
        <f t="shared" si="29"/>
        <v>48.349196250680805</v>
      </c>
      <c r="XO22">
        <f t="shared" si="29"/>
        <v>49.625318985571205</v>
      </c>
      <c r="XP22">
        <f t="shared" si="29"/>
        <v>50.895999745008218</v>
      </c>
      <c r="XQ22">
        <f t="shared" si="29"/>
        <v>52.161099184527409</v>
      </c>
      <c r="XR22">
        <f t="shared" ref="XR22:AAC22" si="30">IF(SIN(XR21*PI()/12)&gt;0,$B$4*$B$5*SIN(XR21*PI()/12),0)</f>
        <v>53.420478571718952</v>
      </c>
      <c r="XS22">
        <f t="shared" si="30"/>
        <v>54.673999801440928</v>
      </c>
      <c r="XT22">
        <f t="shared" si="30"/>
        <v>55.921525410964705</v>
      </c>
      <c r="XU22">
        <f t="shared" si="30"/>
        <v>57.162918595049064</v>
      </c>
      <c r="XV22">
        <f t="shared" si="30"/>
        <v>58.398043220941723</v>
      </c>
      <c r="XW22">
        <f t="shared" si="30"/>
        <v>59.626763843309071</v>
      </c>
      <c r="XX22">
        <f t="shared" si="30"/>
        <v>60.848945719088555</v>
      </c>
      <c r="XY22">
        <f t="shared" si="30"/>
        <v>62.064454822264544</v>
      </c>
      <c r="XZ22">
        <f t="shared" si="30"/>
        <v>63.273157858566535</v>
      </c>
      <c r="YA22">
        <f t="shared" si="30"/>
        <v>64.474922280085565</v>
      </c>
      <c r="YB22">
        <f t="shared" si="30"/>
        <v>65.66961629981023</v>
      </c>
      <c r="YC22">
        <f t="shared" si="30"/>
        <v>66.857108906078523</v>
      </c>
      <c r="YD22">
        <f t="shared" si="30"/>
        <v>68.037269876943924</v>
      </c>
      <c r="YE22">
        <f t="shared" si="30"/>
        <v>69.209969794456967</v>
      </c>
      <c r="YF22">
        <f t="shared" si="30"/>
        <v>70.375080058856682</v>
      </c>
      <c r="YG22">
        <f t="shared" si="30"/>
        <v>71.532472902672765</v>
      </c>
      <c r="YH22">
        <f t="shared" si="30"/>
        <v>72.682021404737384</v>
      </c>
      <c r="YI22">
        <f t="shared" si="30"/>
        <v>73.823599504103143</v>
      </c>
      <c r="YJ22">
        <f t="shared" si="30"/>
        <v>74.95708201386681</v>
      </c>
      <c r="YK22">
        <f t="shared" si="30"/>
        <v>76.08234463489832</v>
      </c>
      <c r="YL22">
        <f t="shared" si="30"/>
        <v>77.199263969470337</v>
      </c>
      <c r="YM22">
        <f t="shared" si="30"/>
        <v>78.307717534791436</v>
      </c>
      <c r="YN22">
        <f t="shared" si="30"/>
        <v>79.407583776437207</v>
      </c>
      <c r="YO22">
        <f t="shared" si="30"/>
        <v>80.498742081679637</v>
      </c>
      <c r="YP22">
        <f t="shared" si="30"/>
        <v>81.581072792714465</v>
      </c>
      <c r="YQ22">
        <f t="shared" si="30"/>
        <v>82.654457219782529</v>
      </c>
      <c r="YR22">
        <f t="shared" si="30"/>
        <v>83.71877765418526</v>
      </c>
      <c r="YS22">
        <f t="shared" si="30"/>
        <v>84.773917381193357</v>
      </c>
      <c r="YT22">
        <f t="shared" si="30"/>
        <v>85.819760692845563</v>
      </c>
      <c r="YU22">
        <f t="shared" si="30"/>
        <v>86.856192900636813</v>
      </c>
      <c r="YV22">
        <f t="shared" si="30"/>
        <v>87.883100348096178</v>
      </c>
      <c r="YW22">
        <f t="shared" si="30"/>
        <v>88.900370423249953</v>
      </c>
      <c r="YX22">
        <f t="shared" si="30"/>
        <v>89.907891570970605</v>
      </c>
      <c r="YY22">
        <f t="shared" si="30"/>
        <v>90.905553305210717</v>
      </c>
      <c r="YZ22">
        <f t="shared" si="30"/>
        <v>91.893246221118389</v>
      </c>
      <c r="ZA22">
        <f t="shared" si="30"/>
        <v>92.870862007035129</v>
      </c>
      <c r="ZB22">
        <f t="shared" si="30"/>
        <v>93.838293456373492</v>
      </c>
      <c r="ZC22">
        <f t="shared" si="30"/>
        <v>94.79543447937273</v>
      </c>
      <c r="ZD22">
        <f t="shared" si="30"/>
        <v>95.74218011473387</v>
      </c>
      <c r="ZE22">
        <f t="shared" si="30"/>
        <v>96.678426541129198</v>
      </c>
      <c r="ZF22">
        <f t="shared" si="30"/>
        <v>97.604071088587361</v>
      </c>
      <c r="ZG22">
        <f t="shared" si="30"/>
        <v>98.519012249752763</v>
      </c>
      <c r="ZH22">
        <f t="shared" si="30"/>
        <v>99.42314969101669</v>
      </c>
      <c r="ZI22">
        <f t="shared" si="30"/>
        <v>100.31638426351986</v>
      </c>
      <c r="ZJ22">
        <f t="shared" si="30"/>
        <v>101.1986180140258</v>
      </c>
      <c r="ZK22">
        <f t="shared" si="30"/>
        <v>102.06975419566157</v>
      </c>
      <c r="ZL22">
        <f t="shared" si="30"/>
        <v>102.92969727852821</v>
      </c>
      <c r="ZM22">
        <f t="shared" si="30"/>
        <v>103.77835296017608</v>
      </c>
      <c r="ZN22">
        <f t="shared" si="30"/>
        <v>104.61562817594603</v>
      </c>
      <c r="ZO22">
        <f t="shared" si="30"/>
        <v>105.44143110917553</v>
      </c>
      <c r="ZP22">
        <f t="shared" si="30"/>
        <v>106.25567120126703</v>
      </c>
      <c r="ZQ22">
        <f t="shared" si="30"/>
        <v>107.05825916161869</v>
      </c>
      <c r="ZR22">
        <f t="shared" si="30"/>
        <v>107.84910697741634</v>
      </c>
      <c r="ZS22">
        <f t="shared" si="30"/>
        <v>108.62812792328509</v>
      </c>
      <c r="ZT22">
        <f t="shared" si="30"/>
        <v>109.39523657079917</v>
      </c>
      <c r="ZU22">
        <f t="shared" si="30"/>
        <v>110.15034879785107</v>
      </c>
      <c r="ZV22">
        <f t="shared" si="30"/>
        <v>110.89338179787561</v>
      </c>
      <c r="ZW22">
        <f t="shared" si="30"/>
        <v>111.62425408893118</v>
      </c>
      <c r="ZX22">
        <f t="shared" si="30"/>
        <v>112.34288552263496</v>
      </c>
      <c r="ZY22">
        <f t="shared" si="30"/>
        <v>113.04919729295186</v>
      </c>
      <c r="ZZ22">
        <f t="shared" si="30"/>
        <v>113.74311194483694</v>
      </c>
      <c r="AAA22">
        <f t="shared" si="30"/>
        <v>114.424553382729</v>
      </c>
      <c r="AAB22">
        <f t="shared" si="30"/>
        <v>115.09344687889504</v>
      </c>
      <c r="AAC22">
        <f t="shared" si="30"/>
        <v>115.74971908162553</v>
      </c>
      <c r="AAD22">
        <f t="shared" ref="AAD22:AAO22" si="31">IF(SIN(AAD21*PI()/12)&gt;0,$B$4*$B$5*SIN(AAD21*PI()/12),0)</f>
        <v>116.39329802327801</v>
      </c>
      <c r="AAE22">
        <f t="shared" si="31"/>
        <v>117.02411312816892</v>
      </c>
      <c r="AAF22">
        <f t="shared" si="31"/>
        <v>117.64209522031344</v>
      </c>
      <c r="AAG22">
        <f t="shared" si="31"/>
        <v>118.24717653101119</v>
      </c>
      <c r="AAH22">
        <f t="shared" si="31"/>
        <v>118.83929070627772</v>
      </c>
      <c r="AAI22">
        <f t="shared" si="31"/>
        <v>119.4183728141213</v>
      </c>
      <c r="AAJ22">
        <f t="shared" si="31"/>
        <v>119.98435935166296</v>
      </c>
      <c r="AAK22">
        <f t="shared" si="31"/>
        <v>120.53718825210089</v>
      </c>
      <c r="AAL22">
        <f t="shared" si="31"/>
        <v>121.07679889151639</v>
      </c>
      <c r="AAM22">
        <f t="shared" si="31"/>
        <v>121.60313209552187</v>
      </c>
      <c r="AAN22">
        <f t="shared" si="31"/>
        <v>122.11613014575032</v>
      </c>
      <c r="AAO22">
        <f t="shared" si="31"/>
        <v>122.61573678618464</v>
      </c>
    </row>
    <row r="23" spans="1:717">
      <c r="A23" t="s">
        <v>30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</row>
    <row r="24" spans="1:717">
      <c r="A24" t="s">
        <v>1</v>
      </c>
      <c r="B24">
        <f>B2</f>
        <v>30</v>
      </c>
      <c r="C24">
        <f>B24</f>
        <v>30</v>
      </c>
      <c r="D24">
        <f>C24</f>
        <v>30</v>
      </c>
      <c r="E24">
        <f t="shared" ref="E24:BP24" si="32">D24</f>
        <v>30</v>
      </c>
      <c r="F24">
        <f t="shared" si="32"/>
        <v>30</v>
      </c>
      <c r="G24">
        <f t="shared" si="32"/>
        <v>30</v>
      </c>
      <c r="H24">
        <f t="shared" si="32"/>
        <v>30</v>
      </c>
      <c r="I24">
        <f t="shared" si="32"/>
        <v>30</v>
      </c>
      <c r="J24">
        <f t="shared" si="32"/>
        <v>30</v>
      </c>
      <c r="K24">
        <f t="shared" si="32"/>
        <v>30</v>
      </c>
      <c r="L24">
        <f t="shared" si="32"/>
        <v>30</v>
      </c>
      <c r="M24">
        <f t="shared" si="32"/>
        <v>30</v>
      </c>
      <c r="N24">
        <f t="shared" si="32"/>
        <v>30</v>
      </c>
      <c r="O24">
        <f t="shared" si="32"/>
        <v>30</v>
      </c>
      <c r="P24">
        <f t="shared" si="32"/>
        <v>30</v>
      </c>
      <c r="Q24">
        <f t="shared" si="32"/>
        <v>30</v>
      </c>
      <c r="R24">
        <f t="shared" si="32"/>
        <v>30</v>
      </c>
      <c r="S24">
        <f t="shared" si="32"/>
        <v>30</v>
      </c>
      <c r="T24">
        <f t="shared" si="32"/>
        <v>30</v>
      </c>
      <c r="U24">
        <f t="shared" si="32"/>
        <v>30</v>
      </c>
      <c r="V24">
        <f t="shared" si="32"/>
        <v>30</v>
      </c>
      <c r="W24">
        <f t="shared" si="32"/>
        <v>30</v>
      </c>
      <c r="X24">
        <f t="shared" si="32"/>
        <v>30</v>
      </c>
      <c r="Y24">
        <f t="shared" si="32"/>
        <v>30</v>
      </c>
      <c r="Z24">
        <f t="shared" si="32"/>
        <v>30</v>
      </c>
      <c r="AA24">
        <f t="shared" si="32"/>
        <v>30</v>
      </c>
      <c r="AB24">
        <f t="shared" si="32"/>
        <v>30</v>
      </c>
      <c r="AC24">
        <f t="shared" si="32"/>
        <v>30</v>
      </c>
      <c r="AD24">
        <f t="shared" si="32"/>
        <v>30</v>
      </c>
      <c r="AE24">
        <f t="shared" si="32"/>
        <v>30</v>
      </c>
      <c r="AF24">
        <f t="shared" si="32"/>
        <v>30</v>
      </c>
      <c r="AG24">
        <f t="shared" si="32"/>
        <v>30</v>
      </c>
      <c r="AH24">
        <f t="shared" si="32"/>
        <v>30</v>
      </c>
      <c r="AI24">
        <f t="shared" si="32"/>
        <v>30</v>
      </c>
      <c r="AJ24">
        <f t="shared" si="32"/>
        <v>30</v>
      </c>
      <c r="AK24">
        <f t="shared" si="32"/>
        <v>30</v>
      </c>
      <c r="AL24">
        <f t="shared" si="32"/>
        <v>30</v>
      </c>
      <c r="AM24">
        <f t="shared" si="32"/>
        <v>30</v>
      </c>
      <c r="AN24">
        <f t="shared" si="32"/>
        <v>30</v>
      </c>
      <c r="AO24">
        <f t="shared" si="32"/>
        <v>30</v>
      </c>
      <c r="AP24">
        <f t="shared" si="32"/>
        <v>30</v>
      </c>
      <c r="AQ24">
        <f t="shared" si="32"/>
        <v>30</v>
      </c>
      <c r="AR24">
        <f t="shared" si="32"/>
        <v>30</v>
      </c>
      <c r="AS24">
        <f t="shared" si="32"/>
        <v>30</v>
      </c>
      <c r="AT24">
        <f t="shared" si="32"/>
        <v>30</v>
      </c>
      <c r="AU24">
        <f t="shared" si="32"/>
        <v>30</v>
      </c>
      <c r="AV24">
        <f t="shared" si="32"/>
        <v>30</v>
      </c>
      <c r="AW24">
        <f t="shared" si="32"/>
        <v>30</v>
      </c>
      <c r="AX24">
        <f t="shared" si="32"/>
        <v>30</v>
      </c>
      <c r="AY24">
        <f t="shared" si="32"/>
        <v>30</v>
      </c>
      <c r="AZ24">
        <f t="shared" si="32"/>
        <v>30</v>
      </c>
      <c r="BA24">
        <f t="shared" si="32"/>
        <v>30</v>
      </c>
      <c r="BB24">
        <f t="shared" si="32"/>
        <v>30</v>
      </c>
      <c r="BC24">
        <f t="shared" si="32"/>
        <v>30</v>
      </c>
      <c r="BD24">
        <f t="shared" si="32"/>
        <v>30</v>
      </c>
      <c r="BE24">
        <f t="shared" si="32"/>
        <v>30</v>
      </c>
      <c r="BF24">
        <f t="shared" si="32"/>
        <v>30</v>
      </c>
      <c r="BG24">
        <f t="shared" si="32"/>
        <v>30</v>
      </c>
      <c r="BH24">
        <f t="shared" si="32"/>
        <v>30</v>
      </c>
      <c r="BI24">
        <f t="shared" si="32"/>
        <v>30</v>
      </c>
      <c r="BJ24">
        <f t="shared" si="32"/>
        <v>30</v>
      </c>
      <c r="BK24">
        <f t="shared" si="32"/>
        <v>30</v>
      </c>
      <c r="BL24">
        <f t="shared" si="32"/>
        <v>30</v>
      </c>
      <c r="BM24">
        <f t="shared" si="32"/>
        <v>30</v>
      </c>
      <c r="BN24">
        <f t="shared" si="32"/>
        <v>30</v>
      </c>
      <c r="BO24">
        <f t="shared" si="32"/>
        <v>30</v>
      </c>
      <c r="BP24">
        <f t="shared" si="32"/>
        <v>30</v>
      </c>
      <c r="BQ24">
        <f t="shared" ref="BQ24:CU24" si="33">BP24</f>
        <v>30</v>
      </c>
      <c r="BR24">
        <f t="shared" si="33"/>
        <v>30</v>
      </c>
      <c r="BS24">
        <f t="shared" si="33"/>
        <v>30</v>
      </c>
      <c r="BT24">
        <f t="shared" si="33"/>
        <v>30</v>
      </c>
      <c r="BU24">
        <f t="shared" si="33"/>
        <v>30</v>
      </c>
      <c r="BV24">
        <f t="shared" si="33"/>
        <v>30</v>
      </c>
      <c r="BW24">
        <f t="shared" si="33"/>
        <v>30</v>
      </c>
      <c r="BX24">
        <f t="shared" si="33"/>
        <v>30</v>
      </c>
      <c r="BY24">
        <f t="shared" si="33"/>
        <v>30</v>
      </c>
      <c r="BZ24">
        <f t="shared" si="33"/>
        <v>30</v>
      </c>
      <c r="CA24">
        <f t="shared" si="33"/>
        <v>30</v>
      </c>
      <c r="CB24">
        <f t="shared" si="33"/>
        <v>30</v>
      </c>
      <c r="CC24">
        <f t="shared" si="33"/>
        <v>30</v>
      </c>
      <c r="CD24">
        <f t="shared" si="33"/>
        <v>30</v>
      </c>
      <c r="CE24">
        <f t="shared" si="33"/>
        <v>30</v>
      </c>
      <c r="CF24">
        <f t="shared" si="33"/>
        <v>30</v>
      </c>
      <c r="CG24">
        <f t="shared" si="33"/>
        <v>30</v>
      </c>
      <c r="CH24">
        <f t="shared" si="33"/>
        <v>30</v>
      </c>
      <c r="CI24">
        <f t="shared" si="33"/>
        <v>30</v>
      </c>
      <c r="CJ24">
        <f t="shared" si="33"/>
        <v>30</v>
      </c>
      <c r="CK24">
        <f t="shared" si="33"/>
        <v>30</v>
      </c>
      <c r="CL24">
        <f t="shared" si="33"/>
        <v>30</v>
      </c>
      <c r="CM24">
        <f t="shared" si="33"/>
        <v>30</v>
      </c>
      <c r="CN24">
        <f t="shared" si="33"/>
        <v>30</v>
      </c>
      <c r="CO24">
        <f t="shared" si="33"/>
        <v>30</v>
      </c>
      <c r="CP24">
        <f t="shared" si="33"/>
        <v>30</v>
      </c>
      <c r="CQ24">
        <f t="shared" si="33"/>
        <v>30</v>
      </c>
      <c r="CR24">
        <f t="shared" si="33"/>
        <v>30</v>
      </c>
      <c r="CS24">
        <f t="shared" si="33"/>
        <v>30</v>
      </c>
      <c r="CT24">
        <f t="shared" si="33"/>
        <v>30</v>
      </c>
      <c r="CU24">
        <f t="shared" si="33"/>
        <v>30</v>
      </c>
      <c r="CV24">
        <f t="shared" ref="CV24" si="34">CU24</f>
        <v>30</v>
      </c>
      <c r="CW24">
        <f t="shared" ref="CW24" si="35">CV24</f>
        <v>30</v>
      </c>
      <c r="CX24">
        <f t="shared" ref="CX24" si="36">CW24</f>
        <v>30</v>
      </c>
      <c r="CY24">
        <f t="shared" ref="CY24" si="37">CX24</f>
        <v>30</v>
      </c>
      <c r="CZ24">
        <f t="shared" ref="CZ24" si="38">CY24</f>
        <v>30</v>
      </c>
      <c r="DA24">
        <f t="shared" ref="DA24" si="39">CZ24</f>
        <v>30</v>
      </c>
      <c r="DB24">
        <f t="shared" ref="DB24" si="40">DA24</f>
        <v>30</v>
      </c>
      <c r="DC24">
        <f t="shared" ref="DC24" si="41">DB24</f>
        <v>30</v>
      </c>
      <c r="DD24">
        <f t="shared" ref="DD24" si="42">DC24</f>
        <v>30</v>
      </c>
      <c r="DE24">
        <f t="shared" ref="DE24" si="43">DD24</f>
        <v>30</v>
      </c>
      <c r="DF24">
        <f t="shared" ref="DF24" si="44">DE24</f>
        <v>30</v>
      </c>
      <c r="DG24">
        <f t="shared" ref="DG24" si="45">DF24</f>
        <v>30</v>
      </c>
      <c r="DH24">
        <f t="shared" ref="DH24" si="46">DG24</f>
        <v>30</v>
      </c>
      <c r="DI24">
        <f t="shared" ref="DI24" si="47">DH24</f>
        <v>30</v>
      </c>
      <c r="DJ24">
        <f t="shared" ref="DJ24" si="48">DI24</f>
        <v>30</v>
      </c>
      <c r="DK24">
        <f t="shared" ref="DK24" si="49">DJ24</f>
        <v>30</v>
      </c>
      <c r="DL24">
        <f t="shared" ref="DL24" si="50">DK24</f>
        <v>30</v>
      </c>
      <c r="DM24">
        <f t="shared" ref="DM24" si="51">DL24</f>
        <v>30</v>
      </c>
      <c r="DN24">
        <f t="shared" ref="DN24" si="52">DM24</f>
        <v>30</v>
      </c>
      <c r="DO24">
        <f t="shared" ref="DO24" si="53">DN24</f>
        <v>30</v>
      </c>
      <c r="DP24">
        <f t="shared" ref="DP24" si="54">DO24</f>
        <v>30</v>
      </c>
      <c r="DQ24">
        <f t="shared" ref="DQ24" si="55">DP24</f>
        <v>30</v>
      </c>
      <c r="DR24">
        <f t="shared" ref="DR24" si="56">DQ24</f>
        <v>30</v>
      </c>
      <c r="DS24">
        <f t="shared" ref="DS24" si="57">DR24</f>
        <v>30</v>
      </c>
      <c r="DT24">
        <f t="shared" ref="DT24" si="58">DS24</f>
        <v>30</v>
      </c>
      <c r="DU24">
        <f t="shared" ref="DU24" si="59">DT24</f>
        <v>30</v>
      </c>
      <c r="DV24">
        <f t="shared" ref="DV24" si="60">DU24</f>
        <v>30</v>
      </c>
      <c r="DW24">
        <f t="shared" ref="DW24" si="61">DV24</f>
        <v>30</v>
      </c>
      <c r="DX24">
        <f t="shared" ref="DX24" si="62">DW24</f>
        <v>30</v>
      </c>
      <c r="DY24">
        <f t="shared" ref="DY24" si="63">DX24</f>
        <v>30</v>
      </c>
      <c r="DZ24">
        <f t="shared" ref="DZ24" si="64">DY24</f>
        <v>30</v>
      </c>
      <c r="EA24">
        <f t="shared" ref="EA24" si="65">DZ24</f>
        <v>30</v>
      </c>
      <c r="EB24">
        <f t="shared" ref="EB24" si="66">EA24</f>
        <v>30</v>
      </c>
      <c r="EC24">
        <f t="shared" ref="EC24" si="67">EB24</f>
        <v>30</v>
      </c>
      <c r="ED24">
        <f t="shared" ref="ED24" si="68">EC24</f>
        <v>30</v>
      </c>
      <c r="EE24">
        <f t="shared" ref="EE24" si="69">ED24</f>
        <v>30</v>
      </c>
      <c r="EF24">
        <f t="shared" ref="EF24" si="70">EE24</f>
        <v>30</v>
      </c>
      <c r="EG24">
        <f t="shared" ref="EG24" si="71">EF24</f>
        <v>30</v>
      </c>
      <c r="EH24">
        <f t="shared" ref="EH24" si="72">EG24</f>
        <v>30</v>
      </c>
      <c r="EI24">
        <f t="shared" ref="EI24" si="73">EH24</f>
        <v>30</v>
      </c>
      <c r="EJ24">
        <f t="shared" ref="EJ24" si="74">EI24</f>
        <v>30</v>
      </c>
      <c r="EK24">
        <f t="shared" ref="EK24" si="75">EJ24</f>
        <v>30</v>
      </c>
      <c r="EL24">
        <f t="shared" ref="EL24" si="76">EK24</f>
        <v>30</v>
      </c>
      <c r="EM24">
        <f t="shared" ref="EM24" si="77">EL24</f>
        <v>30</v>
      </c>
      <c r="EN24">
        <f t="shared" ref="EN24" si="78">EM24</f>
        <v>30</v>
      </c>
      <c r="EO24">
        <f t="shared" ref="EO24" si="79">EN24</f>
        <v>30</v>
      </c>
      <c r="EP24">
        <f t="shared" ref="EP24" si="80">EO24</f>
        <v>30</v>
      </c>
      <c r="EQ24">
        <f t="shared" ref="EQ24" si="81">EP24</f>
        <v>30</v>
      </c>
      <c r="ER24">
        <f t="shared" ref="ER24" si="82">EQ24</f>
        <v>30</v>
      </c>
      <c r="ES24">
        <f t="shared" ref="ES24" si="83">ER24</f>
        <v>30</v>
      </c>
      <c r="ET24">
        <f t="shared" ref="ET24" si="84">ES24</f>
        <v>30</v>
      </c>
      <c r="EU24">
        <f t="shared" ref="EU24" si="85">ET24</f>
        <v>30</v>
      </c>
      <c r="EV24">
        <f t="shared" ref="EV24" si="86">EU24</f>
        <v>30</v>
      </c>
      <c r="EW24">
        <f t="shared" ref="EW24" si="87">EV24</f>
        <v>30</v>
      </c>
      <c r="EX24">
        <f t="shared" ref="EX24" si="88">EW24</f>
        <v>30</v>
      </c>
      <c r="EY24">
        <f t="shared" ref="EY24" si="89">EX24</f>
        <v>30</v>
      </c>
      <c r="EZ24">
        <f t="shared" ref="EZ24" si="90">EY24</f>
        <v>30</v>
      </c>
      <c r="FA24">
        <f t="shared" ref="FA24" si="91">EZ24</f>
        <v>30</v>
      </c>
      <c r="FB24">
        <f t="shared" ref="FB24" si="92">FA24</f>
        <v>30</v>
      </c>
      <c r="FC24">
        <f t="shared" ref="FC24" si="93">FB24</f>
        <v>30</v>
      </c>
      <c r="FD24">
        <f t="shared" ref="FD24" si="94">FC24</f>
        <v>30</v>
      </c>
      <c r="FE24">
        <f t="shared" ref="FE24" si="95">FD24</f>
        <v>30</v>
      </c>
      <c r="FF24">
        <f t="shared" ref="FF24" si="96">FE24</f>
        <v>30</v>
      </c>
      <c r="FG24">
        <f t="shared" ref="FG24" si="97">FF24</f>
        <v>30</v>
      </c>
      <c r="FH24">
        <f t="shared" ref="FH24" si="98">FG24</f>
        <v>30</v>
      </c>
      <c r="FI24">
        <f t="shared" ref="FI24" si="99">FH24</f>
        <v>30</v>
      </c>
      <c r="FJ24">
        <f t="shared" ref="FJ24" si="100">FI24</f>
        <v>30</v>
      </c>
      <c r="FK24">
        <f t="shared" ref="FK24" si="101">FJ24</f>
        <v>30</v>
      </c>
      <c r="FL24">
        <f t="shared" ref="FL24" si="102">FK24</f>
        <v>30</v>
      </c>
      <c r="FM24">
        <f t="shared" ref="FM24" si="103">FL24</f>
        <v>30</v>
      </c>
      <c r="FN24">
        <f t="shared" ref="FN24" si="104">FM24</f>
        <v>30</v>
      </c>
      <c r="FO24">
        <f t="shared" ref="FO24" si="105">FN24</f>
        <v>30</v>
      </c>
      <c r="FP24">
        <f t="shared" ref="FP24" si="106">FO24</f>
        <v>30</v>
      </c>
      <c r="FQ24">
        <f t="shared" ref="FQ24" si="107">FP24</f>
        <v>30</v>
      </c>
      <c r="FR24">
        <f t="shared" ref="FR24" si="108">FQ24</f>
        <v>30</v>
      </c>
      <c r="FS24">
        <f t="shared" ref="FS24" si="109">FR24</f>
        <v>30</v>
      </c>
      <c r="FT24">
        <f t="shared" ref="FT24" si="110">FS24</f>
        <v>30</v>
      </c>
      <c r="FU24">
        <f t="shared" ref="FU24" si="111">FT24</f>
        <v>30</v>
      </c>
      <c r="FV24">
        <f t="shared" ref="FV24" si="112">FU24</f>
        <v>30</v>
      </c>
      <c r="FW24">
        <f t="shared" ref="FW24" si="113">FV24</f>
        <v>30</v>
      </c>
      <c r="FX24">
        <f t="shared" ref="FX24" si="114">FW24</f>
        <v>30</v>
      </c>
      <c r="FY24">
        <f t="shared" ref="FY24" si="115">FX24</f>
        <v>30</v>
      </c>
      <c r="FZ24">
        <f t="shared" ref="FZ24" si="116">FY24</f>
        <v>30</v>
      </c>
      <c r="GA24">
        <f t="shared" ref="GA24" si="117">FZ24</f>
        <v>30</v>
      </c>
      <c r="GB24">
        <f t="shared" ref="GB24" si="118">GA24</f>
        <v>30</v>
      </c>
      <c r="GC24">
        <f t="shared" ref="GC24" si="119">GB24</f>
        <v>30</v>
      </c>
      <c r="GD24">
        <f t="shared" ref="GD24" si="120">GC24</f>
        <v>30</v>
      </c>
      <c r="GE24">
        <f t="shared" ref="GE24" si="121">GD24</f>
        <v>30</v>
      </c>
      <c r="GF24">
        <f t="shared" ref="GF24" si="122">GE24</f>
        <v>30</v>
      </c>
      <c r="GG24">
        <f t="shared" ref="GG24" si="123">GF24</f>
        <v>30</v>
      </c>
      <c r="GH24">
        <f t="shared" ref="GH24" si="124">GG24</f>
        <v>30</v>
      </c>
      <c r="GI24">
        <f t="shared" ref="GI24" si="125">GH24</f>
        <v>30</v>
      </c>
      <c r="GJ24">
        <f t="shared" ref="GJ24" si="126">GI24</f>
        <v>30</v>
      </c>
      <c r="GK24">
        <f t="shared" ref="GK24" si="127">GJ24</f>
        <v>30</v>
      </c>
      <c r="GL24">
        <f t="shared" ref="GL24" si="128">GK24</f>
        <v>30</v>
      </c>
      <c r="GM24">
        <f t="shared" ref="GM24" si="129">GL24</f>
        <v>30</v>
      </c>
      <c r="GN24">
        <f t="shared" ref="GN24" si="130">GM24</f>
        <v>30</v>
      </c>
      <c r="GO24">
        <f t="shared" ref="GO24" si="131">GN24</f>
        <v>30</v>
      </c>
      <c r="GP24">
        <f t="shared" ref="GP24" si="132">GO24</f>
        <v>30</v>
      </c>
      <c r="GQ24">
        <f t="shared" ref="GQ24" si="133">GP24</f>
        <v>30</v>
      </c>
      <c r="GR24">
        <f t="shared" ref="GR24" si="134">GQ24</f>
        <v>30</v>
      </c>
      <c r="GS24">
        <f t="shared" ref="GS24" si="135">GR24</f>
        <v>30</v>
      </c>
      <c r="GT24">
        <f t="shared" ref="GT24" si="136">GS24</f>
        <v>30</v>
      </c>
      <c r="GU24">
        <f t="shared" ref="GU24" si="137">GT24</f>
        <v>30</v>
      </c>
      <c r="GV24">
        <f t="shared" ref="GV24" si="138">GU24</f>
        <v>30</v>
      </c>
      <c r="GW24">
        <f t="shared" ref="GW24" si="139">GV24</f>
        <v>30</v>
      </c>
      <c r="GX24">
        <f t="shared" ref="GX24" si="140">GW24</f>
        <v>30</v>
      </c>
      <c r="GY24">
        <f t="shared" ref="GY24" si="141">GX24</f>
        <v>30</v>
      </c>
      <c r="GZ24">
        <f t="shared" ref="GZ24" si="142">GY24</f>
        <v>30</v>
      </c>
      <c r="HA24">
        <f t="shared" ref="HA24" si="143">GZ24</f>
        <v>30</v>
      </c>
      <c r="HB24">
        <f t="shared" ref="HB24" si="144">HA24</f>
        <v>30</v>
      </c>
      <c r="HC24">
        <f t="shared" ref="HC24" si="145">HB24</f>
        <v>30</v>
      </c>
      <c r="HD24">
        <f t="shared" ref="HD24" si="146">HC24</f>
        <v>30</v>
      </c>
      <c r="HE24">
        <f t="shared" ref="HE24" si="147">HD24</f>
        <v>30</v>
      </c>
      <c r="HF24">
        <f t="shared" ref="HF24" si="148">HE24</f>
        <v>30</v>
      </c>
      <c r="HG24">
        <f t="shared" ref="HG24" si="149">HF24</f>
        <v>30</v>
      </c>
      <c r="HH24">
        <f t="shared" ref="HH24" si="150">HG24</f>
        <v>30</v>
      </c>
      <c r="HI24">
        <f t="shared" ref="HI24" si="151">HH24</f>
        <v>30</v>
      </c>
      <c r="HJ24">
        <f t="shared" ref="HJ24" si="152">HI24</f>
        <v>30</v>
      </c>
      <c r="HK24">
        <f t="shared" ref="HK24" si="153">HJ24</f>
        <v>30</v>
      </c>
      <c r="HL24">
        <f t="shared" ref="HL24" si="154">HK24</f>
        <v>30</v>
      </c>
      <c r="HM24">
        <f t="shared" ref="HM24" si="155">HL24</f>
        <v>30</v>
      </c>
      <c r="HN24">
        <f t="shared" ref="HN24" si="156">HM24</f>
        <v>30</v>
      </c>
      <c r="HO24">
        <f t="shared" ref="HO24" si="157">HN24</f>
        <v>30</v>
      </c>
      <c r="HP24">
        <f t="shared" ref="HP24" si="158">HO24</f>
        <v>30</v>
      </c>
      <c r="HQ24">
        <f t="shared" ref="HQ24" si="159">HP24</f>
        <v>30</v>
      </c>
      <c r="HR24">
        <f t="shared" ref="HR24" si="160">HQ24</f>
        <v>30</v>
      </c>
      <c r="HS24">
        <f t="shared" ref="HS24" si="161">HR24</f>
        <v>30</v>
      </c>
      <c r="HT24">
        <f t="shared" ref="HT24" si="162">HS24</f>
        <v>30</v>
      </c>
      <c r="HU24">
        <f t="shared" ref="HU24" si="163">HT24</f>
        <v>30</v>
      </c>
      <c r="HV24">
        <f t="shared" ref="HV24" si="164">HU24</f>
        <v>30</v>
      </c>
      <c r="HW24">
        <f t="shared" ref="HW24" si="165">HV24</f>
        <v>30</v>
      </c>
      <c r="HX24">
        <f t="shared" ref="HX24" si="166">HW24</f>
        <v>30</v>
      </c>
      <c r="HY24">
        <f t="shared" ref="HY24" si="167">HX24</f>
        <v>30</v>
      </c>
      <c r="HZ24">
        <f t="shared" ref="HZ24" si="168">HY24</f>
        <v>30</v>
      </c>
      <c r="IA24">
        <f t="shared" ref="IA24" si="169">HZ24</f>
        <v>30</v>
      </c>
      <c r="IB24">
        <f t="shared" ref="IB24" si="170">IA24</f>
        <v>30</v>
      </c>
      <c r="IC24">
        <f t="shared" ref="IC24" si="171">IB24</f>
        <v>30</v>
      </c>
      <c r="ID24">
        <f t="shared" ref="ID24" si="172">IC24</f>
        <v>30</v>
      </c>
      <c r="IE24">
        <f t="shared" ref="IE24" si="173">ID24</f>
        <v>30</v>
      </c>
      <c r="IF24">
        <f t="shared" ref="IF24" si="174">IE24</f>
        <v>30</v>
      </c>
      <c r="IG24">
        <f t="shared" ref="IG24" si="175">IF24</f>
        <v>30</v>
      </c>
      <c r="IH24">
        <f t="shared" ref="IH24" si="176">IG24</f>
        <v>30</v>
      </c>
      <c r="II24">
        <f t="shared" ref="II24" si="177">IH24</f>
        <v>30</v>
      </c>
      <c r="IJ24">
        <f t="shared" ref="IJ24" si="178">II24</f>
        <v>30</v>
      </c>
      <c r="IK24">
        <f t="shared" ref="IK24" si="179">IJ24</f>
        <v>30</v>
      </c>
      <c r="IL24">
        <f t="shared" ref="IL24" si="180">IK24</f>
        <v>30</v>
      </c>
      <c r="IM24">
        <f t="shared" ref="IM24" si="181">IL24</f>
        <v>30</v>
      </c>
      <c r="IN24">
        <f t="shared" ref="IN24" si="182">IM24</f>
        <v>30</v>
      </c>
      <c r="IO24">
        <f t="shared" ref="IO24" si="183">IN24</f>
        <v>30</v>
      </c>
      <c r="IP24">
        <f t="shared" ref="IP24" si="184">IO24</f>
        <v>30</v>
      </c>
      <c r="IQ24">
        <f t="shared" ref="IQ24" si="185">IP24</f>
        <v>30</v>
      </c>
      <c r="IR24">
        <f t="shared" ref="IR24" si="186">IQ24</f>
        <v>30</v>
      </c>
      <c r="IS24">
        <f t="shared" ref="IS24" si="187">IR24</f>
        <v>30</v>
      </c>
      <c r="IT24">
        <f t="shared" ref="IT24" si="188">IS24</f>
        <v>30</v>
      </c>
      <c r="IU24">
        <f t="shared" ref="IU24" si="189">IT24</f>
        <v>30</v>
      </c>
      <c r="IV24">
        <f t="shared" ref="IV24" si="190">IU24</f>
        <v>30</v>
      </c>
      <c r="IW24">
        <f t="shared" ref="IW24" si="191">IV24</f>
        <v>30</v>
      </c>
      <c r="IX24">
        <f t="shared" ref="IX24" si="192">IW24</f>
        <v>30</v>
      </c>
      <c r="IY24">
        <f t="shared" ref="IY24" si="193">IX24</f>
        <v>30</v>
      </c>
      <c r="IZ24">
        <f t="shared" ref="IZ24" si="194">IY24</f>
        <v>30</v>
      </c>
      <c r="JA24">
        <f t="shared" ref="JA24" si="195">IZ24</f>
        <v>30</v>
      </c>
      <c r="JB24">
        <f t="shared" ref="JB24" si="196">JA24</f>
        <v>30</v>
      </c>
      <c r="JC24">
        <f t="shared" ref="JC24" si="197">JB24</f>
        <v>30</v>
      </c>
      <c r="JD24">
        <f t="shared" ref="JD24" si="198">JC24</f>
        <v>30</v>
      </c>
      <c r="JE24">
        <f t="shared" ref="JE24" si="199">JD24</f>
        <v>30</v>
      </c>
      <c r="JF24">
        <f t="shared" ref="JF24" si="200">JE24</f>
        <v>30</v>
      </c>
      <c r="JG24">
        <f t="shared" ref="JG24" si="201">JF24</f>
        <v>30</v>
      </c>
      <c r="JH24">
        <f t="shared" ref="JH24" si="202">JG24</f>
        <v>30</v>
      </c>
      <c r="JI24">
        <f t="shared" ref="JI24" si="203">JH24</f>
        <v>30</v>
      </c>
      <c r="JJ24">
        <f t="shared" ref="JJ24" si="204">JI24</f>
        <v>30</v>
      </c>
      <c r="JK24">
        <f t="shared" ref="JK24" si="205">JJ24</f>
        <v>30</v>
      </c>
      <c r="JL24">
        <f t="shared" ref="JL24" si="206">JK24</f>
        <v>30</v>
      </c>
      <c r="JM24">
        <f t="shared" ref="JM24" si="207">JL24</f>
        <v>30</v>
      </c>
      <c r="JN24">
        <f t="shared" ref="JN24" si="208">JM24</f>
        <v>30</v>
      </c>
      <c r="JO24">
        <f t="shared" ref="JO24" si="209">JN24</f>
        <v>30</v>
      </c>
      <c r="JP24">
        <f t="shared" ref="JP24" si="210">JO24</f>
        <v>30</v>
      </c>
      <c r="JQ24">
        <f t="shared" ref="JQ24" si="211">JP24</f>
        <v>30</v>
      </c>
      <c r="JR24">
        <f t="shared" ref="JR24" si="212">JQ24</f>
        <v>30</v>
      </c>
      <c r="JS24">
        <f t="shared" ref="JS24" si="213">JR24</f>
        <v>30</v>
      </c>
      <c r="JT24">
        <f t="shared" ref="JT24" si="214">JS24</f>
        <v>30</v>
      </c>
      <c r="JU24">
        <f t="shared" ref="JU24" si="215">JT24</f>
        <v>30</v>
      </c>
      <c r="JV24">
        <f t="shared" ref="JV24" si="216">JU24</f>
        <v>30</v>
      </c>
      <c r="JW24">
        <f t="shared" ref="JW24" si="217">JV24</f>
        <v>30</v>
      </c>
      <c r="JX24">
        <f t="shared" ref="JX24" si="218">JW24</f>
        <v>30</v>
      </c>
      <c r="JY24">
        <f t="shared" ref="JY24" si="219">JX24</f>
        <v>30</v>
      </c>
      <c r="JZ24">
        <f t="shared" ref="JZ24" si="220">JY24</f>
        <v>30</v>
      </c>
      <c r="KA24">
        <f t="shared" ref="KA24" si="221">JZ24</f>
        <v>30</v>
      </c>
      <c r="KB24">
        <f t="shared" ref="KB24" si="222">KA24</f>
        <v>30</v>
      </c>
      <c r="KC24">
        <f t="shared" ref="KC24" si="223">KB24</f>
        <v>30</v>
      </c>
      <c r="KD24">
        <f t="shared" ref="KD24" si="224">KC24</f>
        <v>30</v>
      </c>
      <c r="KE24">
        <f t="shared" ref="KE24" si="225">KD24</f>
        <v>30</v>
      </c>
      <c r="KF24">
        <f t="shared" ref="KF24" si="226">KE24</f>
        <v>30</v>
      </c>
      <c r="KG24">
        <f t="shared" ref="KG24" si="227">KF24</f>
        <v>30</v>
      </c>
      <c r="KH24">
        <f t="shared" ref="KH24" si="228">KG24</f>
        <v>30</v>
      </c>
      <c r="KI24">
        <f t="shared" ref="KI24" si="229">KH24</f>
        <v>30</v>
      </c>
      <c r="KJ24">
        <f t="shared" ref="KJ24" si="230">KI24</f>
        <v>30</v>
      </c>
      <c r="KK24">
        <f t="shared" ref="KK24" si="231">KJ24</f>
        <v>30</v>
      </c>
      <c r="KL24">
        <f t="shared" ref="KL24" si="232">KK24</f>
        <v>30</v>
      </c>
      <c r="KM24">
        <f t="shared" ref="KM24" si="233">KL24</f>
        <v>30</v>
      </c>
      <c r="KN24">
        <f t="shared" ref="KN24" si="234">KM24</f>
        <v>30</v>
      </c>
      <c r="KO24">
        <f t="shared" ref="KO24" si="235">KN24</f>
        <v>30</v>
      </c>
      <c r="KP24">
        <f t="shared" ref="KP24" si="236">KO24</f>
        <v>30</v>
      </c>
      <c r="KQ24">
        <f t="shared" ref="KQ24" si="237">KP24</f>
        <v>30</v>
      </c>
      <c r="KR24">
        <f t="shared" ref="KR24" si="238">KQ24</f>
        <v>30</v>
      </c>
      <c r="KS24">
        <f t="shared" ref="KS24" si="239">KR24</f>
        <v>30</v>
      </c>
      <c r="KT24">
        <f t="shared" ref="KT24" si="240">KS24</f>
        <v>30</v>
      </c>
      <c r="KU24">
        <f t="shared" ref="KU24" si="241">KT24</f>
        <v>30</v>
      </c>
      <c r="KV24">
        <f t="shared" ref="KV24" si="242">KU24</f>
        <v>30</v>
      </c>
      <c r="KW24">
        <f t="shared" ref="KW24" si="243">KV24</f>
        <v>30</v>
      </c>
      <c r="KX24">
        <f t="shared" ref="KX24" si="244">KW24</f>
        <v>30</v>
      </c>
      <c r="KY24">
        <f t="shared" ref="KY24" si="245">KX24</f>
        <v>30</v>
      </c>
      <c r="KZ24">
        <f t="shared" ref="KZ24" si="246">KY24</f>
        <v>30</v>
      </c>
      <c r="LA24">
        <f t="shared" ref="LA24" si="247">KZ24</f>
        <v>30</v>
      </c>
      <c r="LB24">
        <f t="shared" ref="LB24" si="248">LA24</f>
        <v>30</v>
      </c>
      <c r="LC24">
        <f t="shared" ref="LC24" si="249">LB24</f>
        <v>30</v>
      </c>
      <c r="LD24">
        <f t="shared" ref="LD24" si="250">LC24</f>
        <v>30</v>
      </c>
      <c r="LE24">
        <f t="shared" ref="LE24" si="251">LD24</f>
        <v>30</v>
      </c>
      <c r="LF24">
        <f t="shared" ref="LF24" si="252">LE24</f>
        <v>30</v>
      </c>
      <c r="LG24">
        <f t="shared" ref="LG24" si="253">LF24</f>
        <v>30</v>
      </c>
      <c r="LH24">
        <f t="shared" ref="LH24" si="254">LG24</f>
        <v>30</v>
      </c>
      <c r="LI24">
        <f t="shared" ref="LI24" si="255">LH24</f>
        <v>30</v>
      </c>
      <c r="LJ24">
        <f t="shared" ref="LJ24" si="256">LI24</f>
        <v>30</v>
      </c>
      <c r="LK24">
        <f t="shared" ref="LK24" si="257">LJ24</f>
        <v>30</v>
      </c>
      <c r="LL24">
        <f t="shared" ref="LL24" si="258">LK24</f>
        <v>30</v>
      </c>
      <c r="LM24">
        <f t="shared" ref="LM24" si="259">LL24</f>
        <v>30</v>
      </c>
      <c r="LN24">
        <f t="shared" ref="LN24" si="260">LM24</f>
        <v>30</v>
      </c>
      <c r="LO24">
        <f t="shared" ref="LO24" si="261">LN24</f>
        <v>30</v>
      </c>
      <c r="LP24">
        <f t="shared" ref="LP24" si="262">LO24</f>
        <v>30</v>
      </c>
      <c r="LQ24">
        <f t="shared" ref="LQ24" si="263">LP24</f>
        <v>30</v>
      </c>
      <c r="LR24">
        <f t="shared" ref="LR24" si="264">LQ24</f>
        <v>30</v>
      </c>
      <c r="LS24">
        <f t="shared" ref="LS24" si="265">LR24</f>
        <v>30</v>
      </c>
      <c r="LT24">
        <f t="shared" ref="LT24" si="266">LS24</f>
        <v>30</v>
      </c>
      <c r="LU24">
        <f t="shared" ref="LU24" si="267">LT24</f>
        <v>30</v>
      </c>
      <c r="LV24">
        <f t="shared" ref="LV24" si="268">LU24</f>
        <v>30</v>
      </c>
      <c r="LW24">
        <f t="shared" ref="LW24" si="269">LV24</f>
        <v>30</v>
      </c>
      <c r="LX24">
        <f t="shared" ref="LX24" si="270">LW24</f>
        <v>30</v>
      </c>
      <c r="LY24">
        <f t="shared" ref="LY24" si="271">LX24</f>
        <v>30</v>
      </c>
      <c r="LZ24">
        <f t="shared" ref="LZ24" si="272">LY24</f>
        <v>30</v>
      </c>
      <c r="MA24">
        <f t="shared" ref="MA24" si="273">LZ24</f>
        <v>30</v>
      </c>
      <c r="MB24">
        <f t="shared" ref="MB24" si="274">MA24</f>
        <v>30</v>
      </c>
      <c r="MC24">
        <f t="shared" ref="MC24" si="275">MB24</f>
        <v>30</v>
      </c>
      <c r="MD24">
        <f t="shared" ref="MD24" si="276">MC24</f>
        <v>30</v>
      </c>
      <c r="ME24">
        <f t="shared" ref="ME24" si="277">MD24</f>
        <v>30</v>
      </c>
      <c r="MF24">
        <f t="shared" ref="MF24" si="278">ME24</f>
        <v>30</v>
      </c>
      <c r="MG24">
        <f t="shared" ref="MG24" si="279">MF24</f>
        <v>30</v>
      </c>
      <c r="MH24">
        <f t="shared" ref="MH24" si="280">MG24</f>
        <v>30</v>
      </c>
      <c r="MI24">
        <f t="shared" ref="MI24" si="281">MH24</f>
        <v>30</v>
      </c>
      <c r="MJ24">
        <f t="shared" ref="MJ24" si="282">MI24</f>
        <v>30</v>
      </c>
      <c r="MK24">
        <f t="shared" ref="MK24" si="283">MJ24</f>
        <v>30</v>
      </c>
      <c r="ML24">
        <f t="shared" ref="ML24" si="284">MK24</f>
        <v>30</v>
      </c>
      <c r="MM24">
        <f t="shared" ref="MM24" si="285">ML24</f>
        <v>30</v>
      </c>
      <c r="MN24">
        <f t="shared" ref="MN24" si="286">MM24</f>
        <v>30</v>
      </c>
      <c r="MO24">
        <f t="shared" ref="MO24" si="287">MN24</f>
        <v>30</v>
      </c>
      <c r="MP24">
        <f t="shared" ref="MP24" si="288">MO24</f>
        <v>30</v>
      </c>
      <c r="MQ24">
        <f t="shared" ref="MQ24" si="289">MP24</f>
        <v>30</v>
      </c>
      <c r="MR24">
        <f t="shared" ref="MR24" si="290">MQ24</f>
        <v>30</v>
      </c>
      <c r="MS24">
        <f t="shared" ref="MS24" si="291">MR24</f>
        <v>30</v>
      </c>
      <c r="MT24">
        <f t="shared" ref="MT24" si="292">MS24</f>
        <v>30</v>
      </c>
      <c r="MU24">
        <f t="shared" ref="MU24" si="293">MT24</f>
        <v>30</v>
      </c>
      <c r="MV24">
        <f t="shared" ref="MV24" si="294">MU24</f>
        <v>30</v>
      </c>
      <c r="MW24">
        <f t="shared" ref="MW24" si="295">MV24</f>
        <v>30</v>
      </c>
      <c r="MX24">
        <f t="shared" ref="MX24" si="296">MW24</f>
        <v>30</v>
      </c>
      <c r="MY24">
        <f t="shared" ref="MY24" si="297">MX24</f>
        <v>30</v>
      </c>
      <c r="MZ24">
        <f t="shared" ref="MZ24" si="298">MY24</f>
        <v>30</v>
      </c>
      <c r="NA24">
        <f t="shared" ref="NA24" si="299">MZ24</f>
        <v>30</v>
      </c>
      <c r="NB24">
        <f t="shared" ref="NB24" si="300">NA24</f>
        <v>30</v>
      </c>
      <c r="NC24">
        <f t="shared" ref="NC24" si="301">NB24</f>
        <v>30</v>
      </c>
      <c r="ND24">
        <f t="shared" ref="ND24" si="302">NC24</f>
        <v>30</v>
      </c>
      <c r="NE24">
        <f t="shared" ref="NE24" si="303">ND24</f>
        <v>30</v>
      </c>
      <c r="NF24">
        <f t="shared" ref="NF24" si="304">NE24</f>
        <v>30</v>
      </c>
      <c r="NG24">
        <f t="shared" ref="NG24" si="305">NF24</f>
        <v>30</v>
      </c>
      <c r="NH24">
        <f t="shared" ref="NH24" si="306">NG24</f>
        <v>30</v>
      </c>
      <c r="NI24">
        <f t="shared" ref="NI24" si="307">NH24</f>
        <v>30</v>
      </c>
      <c r="NJ24">
        <f t="shared" ref="NJ24" si="308">NI24</f>
        <v>30</v>
      </c>
      <c r="NK24">
        <f t="shared" ref="NK24" si="309">NJ24</f>
        <v>30</v>
      </c>
      <c r="NL24">
        <f t="shared" ref="NL24" si="310">NK24</f>
        <v>30</v>
      </c>
      <c r="NM24">
        <f t="shared" ref="NM24" si="311">NL24</f>
        <v>30</v>
      </c>
      <c r="NN24">
        <f t="shared" ref="NN24" si="312">NM24</f>
        <v>30</v>
      </c>
      <c r="NO24">
        <f t="shared" ref="NO24" si="313">NN24</f>
        <v>30</v>
      </c>
      <c r="NP24">
        <f t="shared" ref="NP24" si="314">NO24</f>
        <v>30</v>
      </c>
      <c r="NQ24">
        <f t="shared" ref="NQ24" si="315">NP24</f>
        <v>30</v>
      </c>
      <c r="NR24">
        <f t="shared" ref="NR24" si="316">NQ24</f>
        <v>30</v>
      </c>
      <c r="NS24">
        <f t="shared" ref="NS24" si="317">NR24</f>
        <v>30</v>
      </c>
      <c r="NT24">
        <f t="shared" ref="NT24" si="318">NS24</f>
        <v>30</v>
      </c>
      <c r="NU24">
        <f t="shared" ref="NU24" si="319">NT24</f>
        <v>30</v>
      </c>
      <c r="NV24">
        <f t="shared" ref="NV24" si="320">NU24</f>
        <v>30</v>
      </c>
      <c r="NW24">
        <f t="shared" ref="NW24" si="321">NV24</f>
        <v>30</v>
      </c>
      <c r="NX24">
        <f t="shared" ref="NX24" si="322">NW24</f>
        <v>30</v>
      </c>
      <c r="NY24">
        <f t="shared" ref="NY24" si="323">NX24</f>
        <v>30</v>
      </c>
      <c r="NZ24">
        <f t="shared" ref="NZ24" si="324">NY24</f>
        <v>30</v>
      </c>
      <c r="OA24">
        <f t="shared" ref="OA24" si="325">NZ24</f>
        <v>30</v>
      </c>
      <c r="OB24">
        <f t="shared" ref="OB24" si="326">OA24</f>
        <v>30</v>
      </c>
      <c r="OC24">
        <f t="shared" ref="OC24" si="327">OB24</f>
        <v>30</v>
      </c>
      <c r="OD24">
        <f t="shared" ref="OD24" si="328">OC24</f>
        <v>30</v>
      </c>
      <c r="OE24">
        <f t="shared" ref="OE24" si="329">OD24</f>
        <v>30</v>
      </c>
      <c r="OF24">
        <f t="shared" ref="OF24" si="330">OE24</f>
        <v>30</v>
      </c>
      <c r="OG24">
        <f t="shared" ref="OG24" si="331">OF24</f>
        <v>30</v>
      </c>
      <c r="OH24">
        <f t="shared" ref="OH24" si="332">OG24</f>
        <v>30</v>
      </c>
      <c r="OI24">
        <f t="shared" ref="OI24" si="333">OH24</f>
        <v>30</v>
      </c>
      <c r="OJ24">
        <f t="shared" ref="OJ24" si="334">OI24</f>
        <v>30</v>
      </c>
      <c r="OK24">
        <f t="shared" ref="OK24" si="335">OJ24</f>
        <v>30</v>
      </c>
      <c r="OL24">
        <f t="shared" ref="OL24" si="336">OK24</f>
        <v>30</v>
      </c>
      <c r="OM24">
        <f t="shared" ref="OM24" si="337">OL24</f>
        <v>30</v>
      </c>
      <c r="ON24">
        <f t="shared" ref="ON24" si="338">OM24</f>
        <v>30</v>
      </c>
      <c r="OO24">
        <f t="shared" ref="OO24" si="339">ON24</f>
        <v>30</v>
      </c>
      <c r="OP24">
        <f t="shared" ref="OP24" si="340">OO24</f>
        <v>30</v>
      </c>
      <c r="OQ24">
        <f t="shared" ref="OQ24" si="341">OP24</f>
        <v>30</v>
      </c>
      <c r="OR24">
        <f t="shared" ref="OR24" si="342">OQ24</f>
        <v>30</v>
      </c>
      <c r="OS24">
        <f t="shared" ref="OS24" si="343">OR24</f>
        <v>30</v>
      </c>
      <c r="OT24">
        <f t="shared" ref="OT24" si="344">OS24</f>
        <v>30</v>
      </c>
      <c r="OU24">
        <f t="shared" ref="OU24" si="345">OT24</f>
        <v>30</v>
      </c>
      <c r="OV24">
        <f t="shared" ref="OV24" si="346">OU24</f>
        <v>30</v>
      </c>
      <c r="OW24">
        <f t="shared" ref="OW24" si="347">OV24</f>
        <v>30</v>
      </c>
      <c r="OX24">
        <f t="shared" ref="OX24" si="348">OW24</f>
        <v>30</v>
      </c>
      <c r="OY24">
        <f t="shared" ref="OY24" si="349">OX24</f>
        <v>30</v>
      </c>
      <c r="OZ24">
        <f t="shared" ref="OZ24" si="350">OY24</f>
        <v>30</v>
      </c>
      <c r="PA24">
        <f t="shared" ref="PA24" si="351">OZ24</f>
        <v>30</v>
      </c>
      <c r="PB24">
        <f t="shared" ref="PB24" si="352">PA24</f>
        <v>30</v>
      </c>
      <c r="PC24">
        <f t="shared" ref="PC24" si="353">PB24</f>
        <v>30</v>
      </c>
      <c r="PD24">
        <f t="shared" ref="PD24" si="354">PC24</f>
        <v>30</v>
      </c>
      <c r="PE24">
        <f t="shared" ref="PE24" si="355">PD24</f>
        <v>30</v>
      </c>
      <c r="PF24">
        <f t="shared" ref="PF24" si="356">PE24</f>
        <v>30</v>
      </c>
      <c r="PG24">
        <f t="shared" ref="PG24" si="357">PF24</f>
        <v>30</v>
      </c>
      <c r="PH24">
        <f t="shared" ref="PH24" si="358">PG24</f>
        <v>30</v>
      </c>
      <c r="PI24">
        <f t="shared" ref="PI24" si="359">PH24</f>
        <v>30</v>
      </c>
      <c r="PJ24">
        <f t="shared" ref="PJ24" si="360">PI24</f>
        <v>30</v>
      </c>
      <c r="PK24">
        <f t="shared" ref="PK24" si="361">PJ24</f>
        <v>30</v>
      </c>
      <c r="PL24">
        <f t="shared" ref="PL24" si="362">PK24</f>
        <v>30</v>
      </c>
      <c r="PM24">
        <f t="shared" ref="PM24" si="363">PL24</f>
        <v>30</v>
      </c>
      <c r="PN24">
        <f t="shared" ref="PN24" si="364">PM24</f>
        <v>30</v>
      </c>
      <c r="PO24">
        <f t="shared" ref="PO24" si="365">PN24</f>
        <v>30</v>
      </c>
      <c r="PP24">
        <f t="shared" ref="PP24" si="366">PO24</f>
        <v>30</v>
      </c>
      <c r="PQ24">
        <f t="shared" ref="PQ24" si="367">PP24</f>
        <v>30</v>
      </c>
      <c r="PR24">
        <f t="shared" ref="PR24" si="368">PQ24</f>
        <v>30</v>
      </c>
      <c r="PS24">
        <f t="shared" ref="PS24" si="369">PR24</f>
        <v>30</v>
      </c>
      <c r="PT24">
        <f t="shared" ref="PT24" si="370">PS24</f>
        <v>30</v>
      </c>
      <c r="PU24">
        <f t="shared" ref="PU24" si="371">PT24</f>
        <v>30</v>
      </c>
      <c r="PV24">
        <f t="shared" ref="PV24" si="372">PU24</f>
        <v>30</v>
      </c>
      <c r="PW24">
        <f t="shared" ref="PW24" si="373">PV24</f>
        <v>30</v>
      </c>
      <c r="PX24">
        <f t="shared" ref="PX24" si="374">PW24</f>
        <v>30</v>
      </c>
      <c r="PY24">
        <f t="shared" ref="PY24" si="375">PX24</f>
        <v>30</v>
      </c>
      <c r="PZ24">
        <f t="shared" ref="PZ24" si="376">PY24</f>
        <v>30</v>
      </c>
      <c r="QA24">
        <f t="shared" ref="QA24" si="377">PZ24</f>
        <v>30</v>
      </c>
      <c r="QB24">
        <f t="shared" ref="QB24" si="378">QA24</f>
        <v>30</v>
      </c>
      <c r="QC24">
        <f t="shared" ref="QC24" si="379">QB24</f>
        <v>30</v>
      </c>
      <c r="QD24">
        <f t="shared" ref="QD24" si="380">QC24</f>
        <v>30</v>
      </c>
      <c r="QE24">
        <f t="shared" ref="QE24" si="381">QD24</f>
        <v>30</v>
      </c>
      <c r="QF24">
        <f t="shared" ref="QF24" si="382">QE24</f>
        <v>30</v>
      </c>
      <c r="QG24">
        <f t="shared" ref="QG24" si="383">QF24</f>
        <v>30</v>
      </c>
      <c r="QH24">
        <f t="shared" ref="QH24" si="384">QG24</f>
        <v>30</v>
      </c>
      <c r="QI24">
        <f t="shared" ref="QI24" si="385">QH24</f>
        <v>30</v>
      </c>
      <c r="QJ24">
        <f t="shared" ref="QJ24" si="386">QI24</f>
        <v>30</v>
      </c>
      <c r="QK24">
        <f t="shared" ref="QK24" si="387">QJ24</f>
        <v>30</v>
      </c>
      <c r="QL24">
        <f t="shared" ref="QL24" si="388">QK24</f>
        <v>30</v>
      </c>
      <c r="QM24">
        <f t="shared" ref="QM24" si="389">QL24</f>
        <v>30</v>
      </c>
      <c r="QN24">
        <f t="shared" ref="QN24" si="390">QM24</f>
        <v>30</v>
      </c>
      <c r="QO24">
        <f t="shared" ref="QO24" si="391">QN24</f>
        <v>30</v>
      </c>
      <c r="QP24">
        <f t="shared" ref="QP24" si="392">QO24</f>
        <v>30</v>
      </c>
      <c r="QQ24">
        <f t="shared" ref="QQ24" si="393">QP24</f>
        <v>30</v>
      </c>
      <c r="QR24">
        <f t="shared" ref="QR24" si="394">QQ24</f>
        <v>30</v>
      </c>
      <c r="QS24">
        <f t="shared" ref="QS24" si="395">QR24</f>
        <v>30</v>
      </c>
      <c r="QT24">
        <f t="shared" ref="QT24" si="396">QS24</f>
        <v>30</v>
      </c>
      <c r="QU24">
        <f t="shared" ref="QU24" si="397">QT24</f>
        <v>30</v>
      </c>
      <c r="QV24">
        <f t="shared" ref="QV24" si="398">QU24</f>
        <v>30</v>
      </c>
      <c r="QW24">
        <f t="shared" ref="QW24" si="399">QV24</f>
        <v>30</v>
      </c>
      <c r="QX24">
        <f t="shared" ref="QX24" si="400">QW24</f>
        <v>30</v>
      </c>
      <c r="QY24">
        <f t="shared" ref="QY24" si="401">QX24</f>
        <v>30</v>
      </c>
      <c r="QZ24">
        <f t="shared" ref="QZ24" si="402">QY24</f>
        <v>30</v>
      </c>
      <c r="RA24">
        <f t="shared" ref="RA24" si="403">QZ24</f>
        <v>30</v>
      </c>
      <c r="RB24">
        <f t="shared" ref="RB24" si="404">RA24</f>
        <v>30</v>
      </c>
      <c r="RC24">
        <f t="shared" ref="RC24" si="405">RB24</f>
        <v>30</v>
      </c>
      <c r="RD24">
        <f t="shared" ref="RD24" si="406">RC24</f>
        <v>30</v>
      </c>
      <c r="RE24">
        <f t="shared" ref="RE24" si="407">RD24</f>
        <v>30</v>
      </c>
      <c r="RF24">
        <f t="shared" ref="RF24" si="408">RE24</f>
        <v>30</v>
      </c>
      <c r="RG24">
        <f t="shared" ref="RG24" si="409">RF24</f>
        <v>30</v>
      </c>
      <c r="RH24">
        <f t="shared" ref="RH24" si="410">RG24</f>
        <v>30</v>
      </c>
      <c r="RI24">
        <f t="shared" ref="RI24" si="411">RH24</f>
        <v>30</v>
      </c>
      <c r="RJ24">
        <f t="shared" ref="RJ24" si="412">RI24</f>
        <v>30</v>
      </c>
      <c r="RK24">
        <f t="shared" ref="RK24" si="413">RJ24</f>
        <v>30</v>
      </c>
      <c r="RL24">
        <f t="shared" ref="RL24" si="414">RK24</f>
        <v>30</v>
      </c>
      <c r="RM24">
        <f t="shared" ref="RM24" si="415">RL24</f>
        <v>30</v>
      </c>
      <c r="RN24">
        <f t="shared" ref="RN24" si="416">RM24</f>
        <v>30</v>
      </c>
      <c r="RO24">
        <f t="shared" ref="RO24" si="417">RN24</f>
        <v>30</v>
      </c>
      <c r="RP24">
        <f t="shared" ref="RP24" si="418">RO24</f>
        <v>30</v>
      </c>
      <c r="RQ24">
        <f t="shared" ref="RQ24" si="419">RP24</f>
        <v>30</v>
      </c>
      <c r="RR24">
        <f t="shared" ref="RR24" si="420">RQ24</f>
        <v>30</v>
      </c>
      <c r="RS24">
        <f t="shared" ref="RS24" si="421">RR24</f>
        <v>30</v>
      </c>
      <c r="RT24">
        <f t="shared" ref="RT24" si="422">RS24</f>
        <v>30</v>
      </c>
      <c r="RU24">
        <f t="shared" ref="RU24" si="423">RT24</f>
        <v>30</v>
      </c>
      <c r="RV24">
        <f t="shared" ref="RV24" si="424">RU24</f>
        <v>30</v>
      </c>
      <c r="RW24">
        <f t="shared" ref="RW24" si="425">RV24</f>
        <v>30</v>
      </c>
      <c r="RX24">
        <f t="shared" ref="RX24" si="426">RW24</f>
        <v>30</v>
      </c>
      <c r="RY24">
        <f t="shared" ref="RY24" si="427">RX24</f>
        <v>30</v>
      </c>
      <c r="RZ24">
        <f t="shared" ref="RZ24" si="428">RY24</f>
        <v>30</v>
      </c>
      <c r="SA24">
        <f t="shared" ref="SA24" si="429">RZ24</f>
        <v>30</v>
      </c>
      <c r="SB24">
        <f t="shared" ref="SB24" si="430">SA24</f>
        <v>30</v>
      </c>
      <c r="SC24">
        <f t="shared" ref="SC24" si="431">SB24</f>
        <v>30</v>
      </c>
      <c r="SD24">
        <f t="shared" ref="SD24" si="432">SC24</f>
        <v>30</v>
      </c>
      <c r="SE24">
        <f t="shared" ref="SE24" si="433">SD24</f>
        <v>30</v>
      </c>
      <c r="SF24">
        <f t="shared" ref="SF24" si="434">SE24</f>
        <v>30</v>
      </c>
      <c r="SG24">
        <f t="shared" ref="SG24" si="435">SF24</f>
        <v>30</v>
      </c>
      <c r="SH24">
        <f t="shared" ref="SH24" si="436">SG24</f>
        <v>30</v>
      </c>
      <c r="SI24">
        <f t="shared" ref="SI24" si="437">SH24</f>
        <v>30</v>
      </c>
      <c r="SJ24">
        <f t="shared" ref="SJ24" si="438">SI24</f>
        <v>30</v>
      </c>
      <c r="SK24">
        <f t="shared" ref="SK24" si="439">SJ24</f>
        <v>30</v>
      </c>
      <c r="SL24">
        <f t="shared" ref="SL24" si="440">SK24</f>
        <v>30</v>
      </c>
      <c r="SM24">
        <f t="shared" ref="SM24" si="441">SL24</f>
        <v>30</v>
      </c>
      <c r="SN24">
        <f t="shared" ref="SN24" si="442">SM24</f>
        <v>30</v>
      </c>
      <c r="SO24">
        <f t="shared" ref="SO24" si="443">SN24</f>
        <v>30</v>
      </c>
      <c r="SP24">
        <f t="shared" ref="SP24" si="444">SO24</f>
        <v>30</v>
      </c>
      <c r="SQ24">
        <f t="shared" ref="SQ24" si="445">SP24</f>
        <v>30</v>
      </c>
      <c r="SR24">
        <f t="shared" ref="SR24" si="446">SQ24</f>
        <v>30</v>
      </c>
      <c r="SS24">
        <f t="shared" ref="SS24" si="447">SR24</f>
        <v>30</v>
      </c>
      <c r="ST24">
        <f t="shared" ref="ST24" si="448">SS24</f>
        <v>30</v>
      </c>
      <c r="SU24">
        <f t="shared" ref="SU24" si="449">ST24</f>
        <v>30</v>
      </c>
      <c r="SV24">
        <f t="shared" ref="SV24" si="450">SU24</f>
        <v>30</v>
      </c>
      <c r="SW24">
        <f t="shared" ref="SW24" si="451">SV24</f>
        <v>30</v>
      </c>
      <c r="SX24">
        <f t="shared" ref="SX24" si="452">SW24</f>
        <v>30</v>
      </c>
      <c r="SY24">
        <f t="shared" ref="SY24" si="453">SX24</f>
        <v>30</v>
      </c>
      <c r="SZ24">
        <f t="shared" ref="SZ24" si="454">SY24</f>
        <v>30</v>
      </c>
      <c r="TA24">
        <f t="shared" ref="TA24" si="455">SZ24</f>
        <v>30</v>
      </c>
      <c r="TB24">
        <f t="shared" ref="TB24" si="456">TA24</f>
        <v>30</v>
      </c>
      <c r="TC24">
        <f t="shared" ref="TC24" si="457">TB24</f>
        <v>30</v>
      </c>
      <c r="TD24">
        <f t="shared" ref="TD24" si="458">TC24</f>
        <v>30</v>
      </c>
      <c r="TE24">
        <f t="shared" ref="TE24" si="459">TD24</f>
        <v>30</v>
      </c>
      <c r="TF24">
        <f t="shared" ref="TF24" si="460">TE24</f>
        <v>30</v>
      </c>
      <c r="TG24">
        <f t="shared" ref="TG24" si="461">TF24</f>
        <v>30</v>
      </c>
      <c r="TH24">
        <f t="shared" ref="TH24" si="462">TG24</f>
        <v>30</v>
      </c>
      <c r="TI24">
        <f t="shared" ref="TI24" si="463">TH24</f>
        <v>30</v>
      </c>
      <c r="TJ24">
        <f t="shared" ref="TJ24" si="464">TI24</f>
        <v>30</v>
      </c>
      <c r="TK24">
        <f t="shared" ref="TK24" si="465">TJ24</f>
        <v>30</v>
      </c>
      <c r="TL24">
        <f t="shared" ref="TL24" si="466">TK24</f>
        <v>30</v>
      </c>
      <c r="TM24">
        <f t="shared" ref="TM24" si="467">TL24</f>
        <v>30</v>
      </c>
      <c r="TN24">
        <f t="shared" ref="TN24" si="468">TM24</f>
        <v>30</v>
      </c>
      <c r="TO24">
        <f t="shared" ref="TO24" si="469">TN24</f>
        <v>30</v>
      </c>
      <c r="TP24">
        <f t="shared" ref="TP24" si="470">TO24</f>
        <v>30</v>
      </c>
      <c r="TQ24">
        <f t="shared" ref="TQ24" si="471">TP24</f>
        <v>30</v>
      </c>
      <c r="TR24">
        <f t="shared" ref="TR24" si="472">TQ24</f>
        <v>30</v>
      </c>
      <c r="TS24">
        <f t="shared" ref="TS24" si="473">TR24</f>
        <v>30</v>
      </c>
      <c r="TT24">
        <f t="shared" ref="TT24" si="474">TS24</f>
        <v>30</v>
      </c>
      <c r="TU24">
        <f t="shared" ref="TU24" si="475">TT24</f>
        <v>30</v>
      </c>
      <c r="TV24">
        <f t="shared" ref="TV24" si="476">TU24</f>
        <v>30</v>
      </c>
      <c r="TW24">
        <f t="shared" ref="TW24" si="477">TV24</f>
        <v>30</v>
      </c>
      <c r="TX24">
        <f t="shared" ref="TX24" si="478">TW24</f>
        <v>30</v>
      </c>
      <c r="TY24">
        <f t="shared" ref="TY24" si="479">TX24</f>
        <v>30</v>
      </c>
      <c r="TZ24">
        <f t="shared" ref="TZ24" si="480">TY24</f>
        <v>30</v>
      </c>
      <c r="UA24">
        <f t="shared" ref="UA24" si="481">TZ24</f>
        <v>30</v>
      </c>
      <c r="UB24">
        <f t="shared" ref="UB24" si="482">UA24</f>
        <v>30</v>
      </c>
      <c r="UC24">
        <f t="shared" ref="UC24" si="483">UB24</f>
        <v>30</v>
      </c>
      <c r="UD24">
        <f t="shared" ref="UD24" si="484">UC24</f>
        <v>30</v>
      </c>
      <c r="UE24">
        <f t="shared" ref="UE24" si="485">UD24</f>
        <v>30</v>
      </c>
      <c r="UF24">
        <f t="shared" ref="UF24" si="486">UE24</f>
        <v>30</v>
      </c>
      <c r="UG24">
        <f t="shared" ref="UG24" si="487">UF24</f>
        <v>30</v>
      </c>
      <c r="UH24">
        <f t="shared" ref="UH24" si="488">UG24</f>
        <v>30</v>
      </c>
      <c r="UI24">
        <f t="shared" ref="UI24" si="489">UH24</f>
        <v>30</v>
      </c>
      <c r="UJ24">
        <f t="shared" ref="UJ24" si="490">UI24</f>
        <v>30</v>
      </c>
      <c r="UK24">
        <f t="shared" ref="UK24" si="491">UJ24</f>
        <v>30</v>
      </c>
      <c r="UL24">
        <f t="shared" ref="UL24" si="492">UK24</f>
        <v>30</v>
      </c>
      <c r="UM24">
        <f t="shared" ref="UM24" si="493">UL24</f>
        <v>30</v>
      </c>
      <c r="UN24">
        <f t="shared" ref="UN24" si="494">UM24</f>
        <v>30</v>
      </c>
      <c r="UO24">
        <f t="shared" ref="UO24" si="495">UN24</f>
        <v>30</v>
      </c>
      <c r="UP24">
        <f t="shared" ref="UP24" si="496">UO24</f>
        <v>30</v>
      </c>
      <c r="UQ24">
        <f t="shared" ref="UQ24" si="497">UP24</f>
        <v>30</v>
      </c>
      <c r="UR24">
        <f t="shared" ref="UR24" si="498">UQ24</f>
        <v>30</v>
      </c>
      <c r="US24">
        <f t="shared" ref="US24" si="499">UR24</f>
        <v>30</v>
      </c>
      <c r="UT24">
        <f t="shared" ref="UT24" si="500">US24</f>
        <v>30</v>
      </c>
      <c r="UU24">
        <f t="shared" ref="UU24" si="501">UT24</f>
        <v>30</v>
      </c>
      <c r="UV24">
        <f t="shared" ref="UV24" si="502">UU24</f>
        <v>30</v>
      </c>
      <c r="UW24">
        <f t="shared" ref="UW24" si="503">UV24</f>
        <v>30</v>
      </c>
      <c r="UX24">
        <f t="shared" ref="UX24" si="504">UW24</f>
        <v>30</v>
      </c>
      <c r="UY24">
        <f t="shared" ref="UY24" si="505">UX24</f>
        <v>30</v>
      </c>
      <c r="UZ24">
        <f t="shared" ref="UZ24" si="506">UY24</f>
        <v>30</v>
      </c>
      <c r="VA24">
        <f t="shared" ref="VA24" si="507">UZ24</f>
        <v>30</v>
      </c>
      <c r="VB24">
        <f t="shared" ref="VB24" si="508">VA24</f>
        <v>30</v>
      </c>
      <c r="VC24">
        <f t="shared" ref="VC24" si="509">VB24</f>
        <v>30</v>
      </c>
      <c r="VD24">
        <f t="shared" ref="VD24" si="510">VC24</f>
        <v>30</v>
      </c>
      <c r="VE24">
        <f t="shared" ref="VE24" si="511">VD24</f>
        <v>30</v>
      </c>
      <c r="VF24">
        <f t="shared" ref="VF24" si="512">VE24</f>
        <v>30</v>
      </c>
      <c r="VG24">
        <f t="shared" ref="VG24" si="513">VF24</f>
        <v>30</v>
      </c>
      <c r="VH24">
        <f t="shared" ref="VH24" si="514">VG24</f>
        <v>30</v>
      </c>
      <c r="VI24">
        <f t="shared" ref="VI24" si="515">VH24</f>
        <v>30</v>
      </c>
      <c r="VJ24">
        <f t="shared" ref="VJ24" si="516">VI24</f>
        <v>30</v>
      </c>
      <c r="VK24">
        <f t="shared" ref="VK24" si="517">VJ24</f>
        <v>30</v>
      </c>
      <c r="VL24">
        <f t="shared" ref="VL24" si="518">VK24</f>
        <v>30</v>
      </c>
      <c r="VM24">
        <f t="shared" ref="VM24" si="519">VL24</f>
        <v>30</v>
      </c>
      <c r="VN24">
        <f t="shared" ref="VN24" si="520">VM24</f>
        <v>30</v>
      </c>
      <c r="VO24">
        <f t="shared" ref="VO24" si="521">VN24</f>
        <v>30</v>
      </c>
      <c r="VP24">
        <f t="shared" ref="VP24" si="522">VO24</f>
        <v>30</v>
      </c>
      <c r="VQ24">
        <f t="shared" ref="VQ24" si="523">VP24</f>
        <v>30</v>
      </c>
      <c r="VR24">
        <f t="shared" ref="VR24" si="524">VQ24</f>
        <v>30</v>
      </c>
      <c r="VS24">
        <f t="shared" ref="VS24" si="525">VR24</f>
        <v>30</v>
      </c>
      <c r="VT24">
        <f t="shared" ref="VT24" si="526">VS24</f>
        <v>30</v>
      </c>
      <c r="VU24">
        <f t="shared" ref="VU24" si="527">VT24</f>
        <v>30</v>
      </c>
      <c r="VV24">
        <f t="shared" ref="VV24" si="528">VU24</f>
        <v>30</v>
      </c>
      <c r="VW24">
        <f t="shared" ref="VW24" si="529">VV24</f>
        <v>30</v>
      </c>
      <c r="VX24">
        <f t="shared" ref="VX24" si="530">VW24</f>
        <v>30</v>
      </c>
      <c r="VY24">
        <f t="shared" ref="VY24" si="531">VX24</f>
        <v>30</v>
      </c>
      <c r="VZ24">
        <f t="shared" ref="VZ24" si="532">VY24</f>
        <v>30</v>
      </c>
      <c r="WA24">
        <f t="shared" ref="WA24" si="533">VZ24</f>
        <v>30</v>
      </c>
      <c r="WB24">
        <f t="shared" ref="WB24" si="534">WA24</f>
        <v>30</v>
      </c>
      <c r="WC24">
        <f t="shared" ref="WC24" si="535">WB24</f>
        <v>30</v>
      </c>
      <c r="WD24">
        <f t="shared" ref="WD24" si="536">WC24</f>
        <v>30</v>
      </c>
      <c r="WE24">
        <f t="shared" ref="WE24" si="537">WD24</f>
        <v>30</v>
      </c>
      <c r="WF24">
        <f t="shared" ref="WF24" si="538">WE24</f>
        <v>30</v>
      </c>
      <c r="WG24">
        <f t="shared" ref="WG24" si="539">WF24</f>
        <v>30</v>
      </c>
      <c r="WH24">
        <f t="shared" ref="WH24" si="540">WG24</f>
        <v>30</v>
      </c>
      <c r="WI24">
        <f t="shared" ref="WI24" si="541">WH24</f>
        <v>30</v>
      </c>
      <c r="WJ24">
        <f t="shared" ref="WJ24" si="542">WI24</f>
        <v>30</v>
      </c>
      <c r="WK24">
        <f t="shared" ref="WK24" si="543">WJ24</f>
        <v>30</v>
      </c>
      <c r="WL24">
        <f t="shared" ref="WL24" si="544">WK24</f>
        <v>30</v>
      </c>
      <c r="WM24">
        <f t="shared" ref="WM24" si="545">WL24</f>
        <v>30</v>
      </c>
      <c r="WN24">
        <f t="shared" ref="WN24" si="546">WM24</f>
        <v>30</v>
      </c>
      <c r="WO24">
        <f t="shared" ref="WO24" si="547">WN24</f>
        <v>30</v>
      </c>
      <c r="WP24">
        <f t="shared" ref="WP24" si="548">WO24</f>
        <v>30</v>
      </c>
      <c r="WQ24">
        <f t="shared" ref="WQ24" si="549">WP24</f>
        <v>30</v>
      </c>
      <c r="WR24">
        <f t="shared" ref="WR24" si="550">WQ24</f>
        <v>30</v>
      </c>
      <c r="WS24">
        <f t="shared" ref="WS24" si="551">WR24</f>
        <v>30</v>
      </c>
      <c r="WT24">
        <f t="shared" ref="WT24" si="552">WS24</f>
        <v>30</v>
      </c>
      <c r="WU24">
        <f t="shared" ref="WU24" si="553">WT24</f>
        <v>30</v>
      </c>
      <c r="WV24">
        <f t="shared" ref="WV24" si="554">WU24</f>
        <v>30</v>
      </c>
      <c r="WW24">
        <f t="shared" ref="WW24" si="555">WV24</f>
        <v>30</v>
      </c>
      <c r="WX24">
        <f t="shared" ref="WX24" si="556">WW24</f>
        <v>30</v>
      </c>
      <c r="WY24">
        <f t="shared" ref="WY24" si="557">WX24</f>
        <v>30</v>
      </c>
      <c r="WZ24">
        <f t="shared" ref="WZ24" si="558">WY24</f>
        <v>30</v>
      </c>
      <c r="XA24">
        <f t="shared" ref="XA24" si="559">WZ24</f>
        <v>30</v>
      </c>
      <c r="XB24">
        <f t="shared" ref="XB24" si="560">XA24</f>
        <v>30</v>
      </c>
      <c r="XC24">
        <f t="shared" ref="XC24" si="561">XB24</f>
        <v>30</v>
      </c>
      <c r="XD24">
        <f t="shared" ref="XD24" si="562">XC24</f>
        <v>30</v>
      </c>
      <c r="XE24">
        <f t="shared" ref="XE24" si="563">XD24</f>
        <v>30</v>
      </c>
      <c r="XF24">
        <f t="shared" ref="XF24" si="564">XE24</f>
        <v>30</v>
      </c>
      <c r="XG24">
        <f t="shared" ref="XG24" si="565">XF24</f>
        <v>30</v>
      </c>
      <c r="XH24">
        <f t="shared" ref="XH24" si="566">XG24</f>
        <v>30</v>
      </c>
      <c r="XI24">
        <f t="shared" ref="XI24" si="567">XH24</f>
        <v>30</v>
      </c>
      <c r="XJ24">
        <f t="shared" ref="XJ24" si="568">XI24</f>
        <v>30</v>
      </c>
      <c r="XK24">
        <f t="shared" ref="XK24" si="569">XJ24</f>
        <v>30</v>
      </c>
      <c r="XL24">
        <f t="shared" ref="XL24" si="570">XK24</f>
        <v>30</v>
      </c>
      <c r="XM24">
        <f t="shared" ref="XM24" si="571">XL24</f>
        <v>30</v>
      </c>
      <c r="XN24">
        <f t="shared" ref="XN24" si="572">XM24</f>
        <v>30</v>
      </c>
      <c r="XO24">
        <f t="shared" ref="XO24" si="573">XN24</f>
        <v>30</v>
      </c>
      <c r="XP24">
        <f t="shared" ref="XP24" si="574">XO24</f>
        <v>30</v>
      </c>
      <c r="XQ24">
        <f t="shared" ref="XQ24" si="575">XP24</f>
        <v>30</v>
      </c>
      <c r="XR24">
        <f t="shared" ref="XR24" si="576">XQ24</f>
        <v>30</v>
      </c>
      <c r="XS24">
        <f t="shared" ref="XS24" si="577">XR24</f>
        <v>30</v>
      </c>
      <c r="XT24">
        <f t="shared" ref="XT24" si="578">XS24</f>
        <v>30</v>
      </c>
      <c r="XU24">
        <f t="shared" ref="XU24" si="579">XT24</f>
        <v>30</v>
      </c>
      <c r="XV24">
        <f t="shared" ref="XV24" si="580">XU24</f>
        <v>30</v>
      </c>
      <c r="XW24">
        <f t="shared" ref="XW24" si="581">XV24</f>
        <v>30</v>
      </c>
      <c r="XX24">
        <f t="shared" ref="XX24" si="582">XW24</f>
        <v>30</v>
      </c>
      <c r="XY24">
        <f t="shared" ref="XY24" si="583">XX24</f>
        <v>30</v>
      </c>
      <c r="XZ24">
        <f t="shared" ref="XZ24" si="584">XY24</f>
        <v>30</v>
      </c>
      <c r="YA24">
        <f t="shared" ref="YA24" si="585">XZ24</f>
        <v>30</v>
      </c>
      <c r="YB24">
        <f t="shared" ref="YB24" si="586">YA24</f>
        <v>30</v>
      </c>
      <c r="YC24">
        <f t="shared" ref="YC24" si="587">YB24</f>
        <v>30</v>
      </c>
      <c r="YD24">
        <f t="shared" ref="YD24" si="588">YC24</f>
        <v>30</v>
      </c>
      <c r="YE24">
        <f t="shared" ref="YE24" si="589">YD24</f>
        <v>30</v>
      </c>
      <c r="YF24">
        <f t="shared" ref="YF24" si="590">YE24</f>
        <v>30</v>
      </c>
      <c r="YG24">
        <f t="shared" ref="YG24" si="591">YF24</f>
        <v>30</v>
      </c>
      <c r="YH24">
        <f t="shared" ref="YH24" si="592">YG24</f>
        <v>30</v>
      </c>
      <c r="YI24">
        <f t="shared" ref="YI24" si="593">YH24</f>
        <v>30</v>
      </c>
      <c r="YJ24">
        <f t="shared" ref="YJ24" si="594">YI24</f>
        <v>30</v>
      </c>
      <c r="YK24">
        <f t="shared" ref="YK24" si="595">YJ24</f>
        <v>30</v>
      </c>
      <c r="YL24">
        <f t="shared" ref="YL24" si="596">YK24</f>
        <v>30</v>
      </c>
      <c r="YM24">
        <f t="shared" ref="YM24" si="597">YL24</f>
        <v>30</v>
      </c>
      <c r="YN24">
        <f t="shared" ref="YN24" si="598">YM24</f>
        <v>30</v>
      </c>
      <c r="YO24">
        <f t="shared" ref="YO24" si="599">YN24</f>
        <v>30</v>
      </c>
      <c r="YP24">
        <f t="shared" ref="YP24" si="600">YO24</f>
        <v>30</v>
      </c>
      <c r="YQ24">
        <f t="shared" ref="YQ24" si="601">YP24</f>
        <v>30</v>
      </c>
      <c r="YR24">
        <f t="shared" ref="YR24" si="602">YQ24</f>
        <v>30</v>
      </c>
      <c r="YS24">
        <f t="shared" ref="YS24" si="603">YR24</f>
        <v>30</v>
      </c>
      <c r="YT24">
        <f t="shared" ref="YT24" si="604">YS24</f>
        <v>30</v>
      </c>
      <c r="YU24">
        <f t="shared" ref="YU24" si="605">YT24</f>
        <v>30</v>
      </c>
      <c r="YV24">
        <f t="shared" ref="YV24" si="606">YU24</f>
        <v>30</v>
      </c>
      <c r="YW24">
        <f t="shared" ref="YW24" si="607">YV24</f>
        <v>30</v>
      </c>
      <c r="YX24">
        <f t="shared" ref="YX24" si="608">YW24</f>
        <v>30</v>
      </c>
      <c r="YY24">
        <f t="shared" ref="YY24" si="609">YX24</f>
        <v>30</v>
      </c>
      <c r="YZ24">
        <f t="shared" ref="YZ24" si="610">YY24</f>
        <v>30</v>
      </c>
      <c r="ZA24">
        <f t="shared" ref="ZA24" si="611">YZ24</f>
        <v>30</v>
      </c>
      <c r="ZB24">
        <f t="shared" ref="ZB24" si="612">ZA24</f>
        <v>30</v>
      </c>
      <c r="ZC24">
        <f t="shared" ref="ZC24" si="613">ZB24</f>
        <v>30</v>
      </c>
      <c r="ZD24">
        <f t="shared" ref="ZD24" si="614">ZC24</f>
        <v>30</v>
      </c>
      <c r="ZE24">
        <f t="shared" ref="ZE24" si="615">ZD24</f>
        <v>30</v>
      </c>
      <c r="ZF24">
        <f t="shared" ref="ZF24" si="616">ZE24</f>
        <v>30</v>
      </c>
      <c r="ZG24">
        <f t="shared" ref="ZG24" si="617">ZF24</f>
        <v>30</v>
      </c>
      <c r="ZH24">
        <f t="shared" ref="ZH24" si="618">ZG24</f>
        <v>30</v>
      </c>
      <c r="ZI24">
        <f t="shared" ref="ZI24" si="619">ZH24</f>
        <v>30</v>
      </c>
      <c r="ZJ24">
        <f t="shared" ref="ZJ24" si="620">ZI24</f>
        <v>30</v>
      </c>
      <c r="ZK24">
        <f t="shared" ref="ZK24" si="621">ZJ24</f>
        <v>30</v>
      </c>
      <c r="ZL24">
        <f t="shared" ref="ZL24" si="622">ZK24</f>
        <v>30</v>
      </c>
      <c r="ZM24">
        <f t="shared" ref="ZM24" si="623">ZL24</f>
        <v>30</v>
      </c>
      <c r="ZN24">
        <f t="shared" ref="ZN24" si="624">ZM24</f>
        <v>30</v>
      </c>
      <c r="ZO24">
        <f t="shared" ref="ZO24" si="625">ZN24</f>
        <v>30</v>
      </c>
      <c r="ZP24">
        <f t="shared" ref="ZP24" si="626">ZO24</f>
        <v>30</v>
      </c>
      <c r="ZQ24">
        <f t="shared" ref="ZQ24" si="627">ZP24</f>
        <v>30</v>
      </c>
      <c r="ZR24">
        <f t="shared" ref="ZR24" si="628">ZQ24</f>
        <v>30</v>
      </c>
      <c r="ZS24">
        <f t="shared" ref="ZS24" si="629">ZR24</f>
        <v>30</v>
      </c>
      <c r="ZT24">
        <f t="shared" ref="ZT24" si="630">ZS24</f>
        <v>30</v>
      </c>
      <c r="ZU24">
        <f t="shared" ref="ZU24" si="631">ZT24</f>
        <v>30</v>
      </c>
      <c r="ZV24">
        <f t="shared" ref="ZV24" si="632">ZU24</f>
        <v>30</v>
      </c>
      <c r="ZW24">
        <f t="shared" ref="ZW24" si="633">ZV24</f>
        <v>30</v>
      </c>
      <c r="ZX24">
        <f t="shared" ref="ZX24" si="634">ZW24</f>
        <v>30</v>
      </c>
      <c r="ZY24">
        <f t="shared" ref="ZY24" si="635">ZX24</f>
        <v>30</v>
      </c>
      <c r="ZZ24">
        <f t="shared" ref="ZZ24" si="636">ZY24</f>
        <v>30</v>
      </c>
      <c r="AAA24">
        <f t="shared" ref="AAA24" si="637">ZZ24</f>
        <v>30</v>
      </c>
      <c r="AAB24">
        <f t="shared" ref="AAB24" si="638">AAA24</f>
        <v>30</v>
      </c>
      <c r="AAC24">
        <f t="shared" ref="AAC24" si="639">AAB24</f>
        <v>30</v>
      </c>
      <c r="AAD24">
        <f t="shared" ref="AAD24" si="640">AAC24</f>
        <v>30</v>
      </c>
      <c r="AAE24">
        <f t="shared" ref="AAE24" si="641">AAD24</f>
        <v>30</v>
      </c>
      <c r="AAF24">
        <f t="shared" ref="AAF24" si="642">AAE24</f>
        <v>30</v>
      </c>
      <c r="AAG24">
        <f t="shared" ref="AAG24" si="643">AAF24</f>
        <v>30</v>
      </c>
      <c r="AAH24">
        <f t="shared" ref="AAH24" si="644">AAG24</f>
        <v>30</v>
      </c>
      <c r="AAI24">
        <f t="shared" ref="AAI24" si="645">AAH24</f>
        <v>30</v>
      </c>
      <c r="AAJ24">
        <f t="shared" ref="AAJ24" si="646">AAI24</f>
        <v>30</v>
      </c>
      <c r="AAK24">
        <f t="shared" ref="AAK24" si="647">AAJ24</f>
        <v>30</v>
      </c>
      <c r="AAL24">
        <f t="shared" ref="AAL24" si="648">AAK24</f>
        <v>30</v>
      </c>
      <c r="AAM24">
        <f t="shared" ref="AAM24" si="649">AAL24</f>
        <v>30</v>
      </c>
      <c r="AAN24">
        <f t="shared" ref="AAN24" si="650">AAM24</f>
        <v>30</v>
      </c>
      <c r="AAO24">
        <f t="shared" ref="AAO24" si="651">AAN24</f>
        <v>30</v>
      </c>
    </row>
    <row r="25" spans="1:717">
      <c r="A25">
        <v>1</v>
      </c>
      <c r="B25">
        <f>B$24+G8*(B$35-B$24)/G$20</f>
        <v>30.794568939900092</v>
      </c>
      <c r="C25">
        <f t="shared" ref="C25:BN25" si="652">(C22-B40)*$K9*dt+B25</f>
        <v>30.852478669995961</v>
      </c>
      <c r="D25">
        <f t="shared" si="652"/>
        <v>30.942794918020933</v>
      </c>
      <c r="E25">
        <f t="shared" si="652"/>
        <v>31.053705502594386</v>
      </c>
      <c r="F25">
        <f t="shared" si="652"/>
        <v>31.179253281324367</v>
      </c>
      <c r="G25">
        <f t="shared" si="652"/>
        <v>31.316114427580377</v>
      </c>
      <c r="H25">
        <f t="shared" si="652"/>
        <v>31.462231496886314</v>
      </c>
      <c r="I25">
        <f t="shared" si="652"/>
        <v>31.616207678525175</v>
      </c>
      <c r="J25">
        <f t="shared" si="652"/>
        <v>31.777022582710245</v>
      </c>
      <c r="K25">
        <f t="shared" si="652"/>
        <v>31.943889296229226</v>
      </c>
      <c r="L25">
        <f t="shared" si="652"/>
        <v>32.116176762800052</v>
      </c>
      <c r="M25">
        <f t="shared" si="652"/>
        <v>32.293364305037763</v>
      </c>
      <c r="N25">
        <f t="shared" si="652"/>
        <v>32.47501308833278</v>
      </c>
      <c r="O25">
        <f t="shared" si="652"/>
        <v>32.660747154195192</v>
      </c>
      <c r="P25">
        <f t="shared" si="652"/>
        <v>32.85024021143299</v>
      </c>
      <c r="Q25">
        <f t="shared" si="652"/>
        <v>33.04320608282729</v>
      </c>
      <c r="R25">
        <f t="shared" si="652"/>
        <v>33.239391576501028</v>
      </c>
      <c r="S25">
        <f t="shared" si="652"/>
        <v>33.438571023877998</v>
      </c>
      <c r="T25">
        <f t="shared" si="652"/>
        <v>33.640541997712376</v>
      </c>
      <c r="U25">
        <f t="shared" si="652"/>
        <v>33.845121887596967</v>
      </c>
      <c r="V25">
        <f t="shared" si="652"/>
        <v>34.052145113318012</v>
      </c>
      <c r="W25">
        <f t="shared" si="652"/>
        <v>34.261460823121418</v>
      </c>
      <c r="X25">
        <f t="shared" si="652"/>
        <v>34.472930968215906</v>
      </c>
      <c r="Y25">
        <f t="shared" si="652"/>
        <v>34.686428674784715</v>
      </c>
      <c r="Z25">
        <f t="shared" si="652"/>
        <v>34.901836855378413</v>
      </c>
      <c r="AA25">
        <f t="shared" si="652"/>
        <v>35.119047015951239</v>
      </c>
      <c r="AB25">
        <f t="shared" si="652"/>
        <v>35.337958225006965</v>
      </c>
      <c r="AC25">
        <f t="shared" si="652"/>
        <v>35.558476218667067</v>
      </c>
      <c r="AD25">
        <f t="shared" si="652"/>
        <v>35.780512620850111</v>
      </c>
      <c r="AE25">
        <f t="shared" si="652"/>
        <v>36.00398426175223</v>
      </c>
      <c r="AF25">
        <f t="shared" si="652"/>
        <v>36.228812580848334</v>
      </c>
      <c r="AG25">
        <f t="shared" si="652"/>
        <v>36.45492310296968</v>
      </c>
      <c r="AH25">
        <f t="shared" si="652"/>
        <v>36.682244977845599</v>
      </c>
      <c r="AI25">
        <f t="shared" si="652"/>
        <v>36.910710574959161</v>
      </c>
      <c r="AJ25">
        <f t="shared" si="652"/>
        <v>37.140255126750873</v>
      </c>
      <c r="AK25">
        <f t="shared" si="652"/>
        <v>37.370816414178265</v>
      </c>
      <c r="AL25">
        <f t="shared" si="652"/>
        <v>37.602334489449213</v>
      </c>
      <c r="AM25">
        <f t="shared" si="652"/>
        <v>37.834751431428337</v>
      </c>
      <c r="AN25">
        <f t="shared" si="652"/>
        <v>38.068011129794499</v>
      </c>
      <c r="AO25">
        <f t="shared" si="652"/>
        <v>38.302059094521944</v>
      </c>
      <c r="AP25">
        <f t="shared" si="652"/>
        <v>38.536842287683747</v>
      </c>
      <c r="AQ25">
        <f t="shared" si="652"/>
        <v>38.772308974944487</v>
      </c>
      <c r="AR25">
        <f t="shared" si="652"/>
        <v>39.008408594429014</v>
      </c>
      <c r="AS25">
        <f t="shared" si="652"/>
        <v>39.245091640932991</v>
      </c>
      <c r="AT25">
        <f t="shared" si="652"/>
        <v>39.482309563684517</v>
      </c>
      <c r="AU25">
        <f t="shared" si="652"/>
        <v>39.720014676079323</v>
      </c>
      <c r="AV25">
        <f t="shared" si="652"/>
        <v>39.958160075999047</v>
      </c>
      <c r="AW25">
        <f t="shared" si="652"/>
        <v>40.196699575486356</v>
      </c>
      <c r="AX25">
        <f t="shared" si="652"/>
        <v>40.43558763869499</v>
      </c>
      <c r="AY25">
        <f t="shared" si="652"/>
        <v>40.674779327159804</v>
      </c>
      <c r="AZ25">
        <f t="shared" si="652"/>
        <v>40.914230251543685</v>
      </c>
      <c r="BA25">
        <f t="shared" si="652"/>
        <v>41.153896529116828</v>
      </c>
      <c r="BB25">
        <f t="shared" si="652"/>
        <v>41.393734746310464</v>
      </c>
      <c r="BC25">
        <f t="shared" si="652"/>
        <v>41.633701925763901</v>
      </c>
      <c r="BD25">
        <f t="shared" si="652"/>
        <v>41.873755497351105</v>
      </c>
      <c r="BE25">
        <f t="shared" si="652"/>
        <v>42.113853272732634</v>
      </c>
      <c r="BF25">
        <f t="shared" si="652"/>
        <v>42.353953423031427</v>
      </c>
      <c r="BG25">
        <f t="shared" si="652"/>
        <v>42.594014459277105</v>
      </c>
      <c r="BH25">
        <f t="shared" si="652"/>
        <v>42.833995215304718</v>
      </c>
      <c r="BI25">
        <f t="shared" si="652"/>
        <v>43.073854832829767</v>
      </c>
      <c r="BJ25">
        <f t="shared" si="652"/>
        <v>43.313552748453539</v>
      </c>
      <c r="BK25">
        <f t="shared" si="652"/>
        <v>43.553048682380791</v>
      </c>
      <c r="BL25">
        <f t="shared" si="652"/>
        <v>43.792302628656941</v>
      </c>
      <c r="BM25">
        <f t="shared" si="652"/>
        <v>44.031274846753909</v>
      </c>
      <c r="BN25">
        <f t="shared" si="652"/>
        <v>44.269925854353204</v>
      </c>
      <c r="BO25">
        <f t="shared" ref="BO25:DZ25" si="653">(BO22-BN40)*$K9*dt+BN25</f>
        <v>44.508216421192138</v>
      </c>
      <c r="BP25">
        <f t="shared" si="653"/>
        <v>44.746107563854281</v>
      </c>
      <c r="BQ25">
        <f t="shared" si="653"/>
        <v>44.983560541398624</v>
      </c>
      <c r="BR25">
        <f t="shared" si="653"/>
        <v>45.220536851734082</v>
      </c>
      <c r="BS25">
        <f t="shared" si="653"/>
        <v>45.456998228656204</v>
      </c>
      <c r="BT25">
        <f t="shared" si="653"/>
        <v>45.692906639472596</v>
      </c>
      <c r="BU25">
        <f t="shared" si="653"/>
        <v>45.928224283151522</v>
      </c>
      <c r="BV25">
        <f t="shared" si="653"/>
        <v>46.162913588935737</v>
      </c>
      <c r="BW25">
        <f t="shared" si="653"/>
        <v>46.396937215369888</v>
      </c>
      <c r="BX25">
        <f t="shared" si="653"/>
        <v>46.630258049695584</v>
      </c>
      <c r="BY25">
        <f t="shared" si="653"/>
        <v>46.862839207573408</v>
      </c>
      <c r="BZ25">
        <f t="shared" si="653"/>
        <v>47.094644033095562</v>
      </c>
      <c r="CA25">
        <f t="shared" si="653"/>
        <v>47.325636099056801</v>
      </c>
      <c r="CB25">
        <f t="shared" si="653"/>
        <v>47.555779207454947</v>
      </c>
      <c r="CC25">
        <f t="shared" si="653"/>
        <v>47.785037390195292</v>
      </c>
      <c r="CD25">
        <f t="shared" si="653"/>
        <v>48.013374909976072</v>
      </c>
      <c r="CE25">
        <f t="shared" si="653"/>
        <v>48.240756261334646</v>
      </c>
      <c r="CF25">
        <f t="shared" si="653"/>
        <v>48.467146171836099</v>
      </c>
      <c r="CG25">
        <f t="shared" si="653"/>
        <v>48.692509603388132</v>
      </c>
      <c r="CH25">
        <f t="shared" si="653"/>
        <v>48.916811753667567</v>
      </c>
      <c r="CI25">
        <f t="shared" si="653"/>
        <v>49.140018057645619</v>
      </c>
      <c r="CJ25">
        <f t="shared" si="653"/>
        <v>49.362094189200178</v>
      </c>
      <c r="CK25">
        <f t="shared" si="653"/>
        <v>49.583006062804735</v>
      </c>
      <c r="CL25">
        <f t="shared" si="653"/>
        <v>49.802719835284613</v>
      </c>
      <c r="CM25">
        <f t="shared" si="653"/>
        <v>50.021201907632033</v>
      </c>
      <c r="CN25">
        <f t="shared" si="653"/>
        <v>50.238418926872576</v>
      </c>
      <c r="CO25">
        <f t="shared" si="653"/>
        <v>50.454337787976186</v>
      </c>
      <c r="CP25">
        <f t="shared" si="653"/>
        <v>50.668925635806609</v>
      </c>
      <c r="CQ25">
        <f t="shared" si="653"/>
        <v>50.882149867103834</v>
      </c>
      <c r="CR25">
        <f t="shared" si="653"/>
        <v>51.093978132494428</v>
      </c>
      <c r="CS25">
        <f t="shared" si="653"/>
        <v>51.304378338525446</v>
      </c>
      <c r="CT25">
        <f t="shared" si="653"/>
        <v>51.513318649717633</v>
      </c>
      <c r="CU25">
        <f t="shared" si="653"/>
        <v>51.720767490634479</v>
      </c>
      <c r="CV25">
        <f t="shared" si="653"/>
        <v>51.926693547963566</v>
      </c>
      <c r="CW25">
        <f t="shared" si="653"/>
        <v>52.131065772607279</v>
      </c>
      <c r="CX25">
        <f t="shared" si="653"/>
        <v>52.333853381780095</v>
      </c>
      <c r="CY25">
        <f t="shared" si="653"/>
        <v>52.535025861109879</v>
      </c>
      <c r="CZ25">
        <f t="shared" si="653"/>
        <v>52.734552966740914</v>
      </c>
      <c r="DA25">
        <f t="shared" si="653"/>
        <v>52.932404727436534</v>
      </c>
      <c r="DB25">
        <f t="shared" si="653"/>
        <v>53.128551446679452</v>
      </c>
      <c r="DC25">
        <f t="shared" si="653"/>
        <v>53.322963704767893</v>
      </c>
      <c r="DD25">
        <f t="shared" si="653"/>
        <v>53.515612360906054</v>
      </c>
      <c r="DE25">
        <f t="shared" si="653"/>
        <v>53.706468555287216</v>
      </c>
      <c r="DF25">
        <f t="shared" si="653"/>
        <v>53.895503711168161</v>
      </c>
      <c r="DG25">
        <f t="shared" si="653"/>
        <v>54.082689536933657</v>
      </c>
      <c r="DH25">
        <f t="shared" si="653"/>
        <v>54.267998028149663</v>
      </c>
      <c r="DI25">
        <f t="shared" si="653"/>
        <v>54.451401469604292</v>
      </c>
      <c r="DJ25">
        <f t="shared" si="653"/>
        <v>54.632872437335308</v>
      </c>
      <c r="DK25">
        <f t="shared" si="653"/>
        <v>54.812383800643325</v>
      </c>
      <c r="DL25">
        <f t="shared" si="653"/>
        <v>54.98990872408968</v>
      </c>
      <c r="DM25">
        <f t="shared" si="653"/>
        <v>55.165420669478181</v>
      </c>
      <c r="DN25">
        <f t="shared" si="653"/>
        <v>55.338893397819866</v>
      </c>
      <c r="DO25">
        <f t="shared" si="653"/>
        <v>55.510300971280017</v>
      </c>
      <c r="DP25">
        <f t="shared" si="653"/>
        <v>55.679617755106776</v>
      </c>
      <c r="DQ25">
        <f t="shared" si="653"/>
        <v>55.846818419540504</v>
      </c>
      <c r="DR25">
        <f t="shared" si="653"/>
        <v>56.011877941703403</v>
      </c>
      <c r="DS25">
        <f t="shared" si="653"/>
        <v>56.174771607468685</v>
      </c>
      <c r="DT25">
        <f t="shared" si="653"/>
        <v>56.335475013308717</v>
      </c>
      <c r="DU25">
        <f t="shared" si="653"/>
        <v>56.493964068121578</v>
      </c>
      <c r="DV25">
        <f t="shared" si="653"/>
        <v>56.650214995035462</v>
      </c>
      <c r="DW25">
        <f t="shared" si="653"/>
        <v>56.804204333190491</v>
      </c>
      <c r="DX25">
        <f t="shared" si="653"/>
        <v>56.955908939497284</v>
      </c>
      <c r="DY25">
        <f t="shared" si="653"/>
        <v>57.105305990371988</v>
      </c>
      <c r="DZ25">
        <f t="shared" si="653"/>
        <v>57.252372983447174</v>
      </c>
      <c r="EA25">
        <f t="shared" ref="EA25:GL25" si="654">(EA22-DZ40)*$K9*dt+DZ25</f>
        <v>57.397087739258225</v>
      </c>
      <c r="EB25">
        <f t="shared" si="654"/>
        <v>57.539428402904733</v>
      </c>
      <c r="EC25">
        <f t="shared" si="654"/>
        <v>57.679373445686593</v>
      </c>
      <c r="ED25">
        <f t="shared" si="654"/>
        <v>57.816901666714273</v>
      </c>
      <c r="EE25">
        <f t="shared" si="654"/>
        <v>57.951992194492945</v>
      </c>
      <c r="EF25">
        <f t="shared" si="654"/>
        <v>58.084624488480124</v>
      </c>
      <c r="EG25">
        <f t="shared" si="654"/>
        <v>58.214778340616363</v>
      </c>
      <c r="EH25">
        <f t="shared" si="654"/>
        <v>58.342433876828778</v>
      </c>
      <c r="EI25">
        <f t="shared" si="654"/>
        <v>58.467571558506954</v>
      </c>
      <c r="EJ25">
        <f t="shared" si="654"/>
        <v>58.590172183950934</v>
      </c>
      <c r="EK25">
        <f t="shared" si="654"/>
        <v>58.710216889791035</v>
      </c>
      <c r="EL25">
        <f t="shared" si="654"/>
        <v>58.827687152379099</v>
      </c>
      <c r="EM25">
        <f t="shared" si="654"/>
        <v>58.942564789150865</v>
      </c>
      <c r="EN25">
        <f t="shared" si="654"/>
        <v>59.054831959959287</v>
      </c>
      <c r="EO25">
        <f t="shared" si="654"/>
        <v>59.16447116837837</v>
      </c>
      <c r="EP25">
        <f t="shared" si="654"/>
        <v>59.27146526297733</v>
      </c>
      <c r="EQ25">
        <f t="shared" si="654"/>
        <v>59.375797438564774</v>
      </c>
      <c r="ER25">
        <f t="shared" si="654"/>
        <v>59.477451237402676</v>
      </c>
      <c r="ES25">
        <f t="shared" si="654"/>
        <v>59.576410550389838</v>
      </c>
      <c r="ET25">
        <f t="shared" si="654"/>
        <v>59.672659618214631</v>
      </c>
      <c r="EU25">
        <f t="shared" si="654"/>
        <v>59.766183032476754</v>
      </c>
      <c r="EV25">
        <f t="shared" si="654"/>
        <v>59.856965736777731</v>
      </c>
      <c r="EW25">
        <f t="shared" si="654"/>
        <v>59.944993027780058</v>
      </c>
      <c r="EX25">
        <f t="shared" si="654"/>
        <v>60.030250556234598</v>
      </c>
      <c r="EY25">
        <f t="shared" si="654"/>
        <v>60.112724327976125</v>
      </c>
      <c r="EZ25">
        <f t="shared" si="654"/>
        <v>60.192400704886786</v>
      </c>
      <c r="FA25">
        <f t="shared" si="654"/>
        <v>60.26926640582721</v>
      </c>
      <c r="FB25">
        <f t="shared" si="654"/>
        <v>60.343308507535191</v>
      </c>
      <c r="FC25">
        <f t="shared" si="654"/>
        <v>60.414514445491619</v>
      </c>
      <c r="FD25">
        <f t="shared" si="654"/>
        <v>60.482872014753546</v>
      </c>
      <c r="FE25">
        <f t="shared" si="654"/>
        <v>60.54836937075423</v>
      </c>
      <c r="FF25">
        <f t="shared" si="654"/>
        <v>60.610995030069866</v>
      </c>
      <c r="FG25">
        <f t="shared" si="654"/>
        <v>60.670737871152987</v>
      </c>
      <c r="FH25">
        <f t="shared" si="654"/>
        <v>60.727587135032216</v>
      </c>
      <c r="FI25">
        <f t="shared" si="654"/>
        <v>60.781532425978369</v>
      </c>
      <c r="FJ25">
        <f t="shared" si="654"/>
        <v>60.832563712136597</v>
      </c>
      <c r="FK25">
        <f t="shared" si="654"/>
        <v>60.880671326124528</v>
      </c>
      <c r="FL25">
        <f t="shared" si="654"/>
        <v>60.925845965596231</v>
      </c>
      <c r="FM25">
        <f t="shared" si="654"/>
        <v>60.968078693771844</v>
      </c>
      <c r="FN25">
        <f t="shared" si="654"/>
        <v>61.007360939932752</v>
      </c>
      <c r="FO25">
        <f t="shared" si="654"/>
        <v>61.043684499882204</v>
      </c>
      <c r="FP25">
        <f t="shared" si="654"/>
        <v>61.077041536371219</v>
      </c>
      <c r="FQ25">
        <f t="shared" si="654"/>
        <v>61.107424579489674</v>
      </c>
      <c r="FR25">
        <f t="shared" si="654"/>
        <v>61.134826527022419</v>
      </c>
      <c r="FS25">
        <f t="shared" si="654"/>
        <v>61.159240644770428</v>
      </c>
      <c r="FT25">
        <f t="shared" si="654"/>
        <v>61.18066056683675</v>
      </c>
      <c r="FU25">
        <f t="shared" si="654"/>
        <v>61.199080295877238</v>
      </c>
      <c r="FV25">
        <f t="shared" si="654"/>
        <v>61.214494203315923</v>
      </c>
      <c r="FW25">
        <f t="shared" si="654"/>
        <v>61.226897029525027</v>
      </c>
      <c r="FX25">
        <f t="shared" si="654"/>
        <v>61.236283883969392</v>
      </c>
      <c r="FY25">
        <f t="shared" si="654"/>
        <v>61.242650245315382</v>
      </c>
      <c r="FZ25">
        <f t="shared" si="654"/>
        <v>61.24599196150411</v>
      </c>
      <c r="GA25">
        <f t="shared" si="654"/>
        <v>61.246305249788975</v>
      </c>
      <c r="GB25">
        <f t="shared" si="654"/>
        <v>61.24358669673736</v>
      </c>
      <c r="GC25">
        <f t="shared" si="654"/>
        <v>61.237833258196531</v>
      </c>
      <c r="GD25">
        <f t="shared" si="654"/>
        <v>61.229042259223604</v>
      </c>
      <c r="GE25">
        <f t="shared" si="654"/>
        <v>61.217211393979603</v>
      </c>
      <c r="GF25">
        <f t="shared" si="654"/>
        <v>61.202338725587531</v>
      </c>
      <c r="GG25">
        <f t="shared" si="654"/>
        <v>61.184422685954345</v>
      </c>
      <c r="GH25">
        <f t="shared" si="654"/>
        <v>61.163462075556957</v>
      </c>
      <c r="GI25">
        <f t="shared" si="654"/>
        <v>61.1394560631921</v>
      </c>
      <c r="GJ25">
        <f t="shared" si="654"/>
        <v>61.112404185690075</v>
      </c>
      <c r="GK25">
        <f t="shared" si="654"/>
        <v>61.082306347592372</v>
      </c>
      <c r="GL25">
        <f t="shared" si="654"/>
        <v>61.049162820793136</v>
      </c>
      <c r="GM25">
        <f t="shared" ref="GM25:IX25" si="655">(GM22-GL40)*$K9*dt+GL25</f>
        <v>61.012974244144473</v>
      </c>
      <c r="GN25">
        <f t="shared" si="655"/>
        <v>60.973741623025589</v>
      </c>
      <c r="GO25">
        <f t="shared" si="655"/>
        <v>60.931466328875757</v>
      </c>
      <c r="GP25">
        <f t="shared" si="655"/>
        <v>60.886150098691132</v>
      </c>
      <c r="GQ25">
        <f t="shared" si="655"/>
        <v>60.837795034485382</v>
      </c>
      <c r="GR25">
        <f t="shared" si="655"/>
        <v>60.786403602714174</v>
      </c>
      <c r="GS25">
        <f t="shared" si="655"/>
        <v>60.731978633663601</v>
      </c>
      <c r="GT25">
        <f t="shared" si="655"/>
        <v>60.674523320802393</v>
      </c>
      <c r="GU25">
        <f t="shared" si="655"/>
        <v>60.614041220098152</v>
      </c>
      <c r="GV25">
        <f t="shared" si="655"/>
        <v>60.550536249297437</v>
      </c>
      <c r="GW25">
        <f t="shared" si="655"/>
        <v>60.484012687169965</v>
      </c>
      <c r="GX25">
        <f t="shared" si="655"/>
        <v>60.41447517271672</v>
      </c>
      <c r="GY25">
        <f t="shared" si="655"/>
        <v>60.341928704342195</v>
      </c>
      <c r="GZ25">
        <f t="shared" si="655"/>
        <v>60.266378638990751</v>
      </c>
      <c r="HA25">
        <f t="shared" si="655"/>
        <v>60.18783069124715</v>
      </c>
      <c r="HB25">
        <f t="shared" si="655"/>
        <v>60.106290932401294</v>
      </c>
      <c r="HC25">
        <f t="shared" si="655"/>
        <v>60.021765789477307</v>
      </c>
      <c r="HD25">
        <f t="shared" si="655"/>
        <v>59.934262044226948</v>
      </c>
      <c r="HE25">
        <f t="shared" si="655"/>
        <v>59.843786832087474</v>
      </c>
      <c r="HF25">
        <f t="shared" si="655"/>
        <v>59.750347641104</v>
      </c>
      <c r="HG25">
        <f t="shared" si="655"/>
        <v>59.653952310816464</v>
      </c>
      <c r="HH25">
        <f t="shared" si="655"/>
        <v>59.554609031111269</v>
      </c>
      <c r="HI25">
        <f t="shared" si="655"/>
        <v>59.452326341037676</v>
      </c>
      <c r="HJ25">
        <f t="shared" si="655"/>
        <v>59.347113127589047</v>
      </c>
      <c r="HK25">
        <f t="shared" si="655"/>
        <v>59.238978624449103</v>
      </c>
      <c r="HL25">
        <f t="shared" si="655"/>
        <v>59.127932410703153</v>
      </c>
      <c r="HM25">
        <f t="shared" si="655"/>
        <v>59.013984409514563</v>
      </c>
      <c r="HN25">
        <f t="shared" si="655"/>
        <v>58.897144886766448</v>
      </c>
      <c r="HO25">
        <f t="shared" si="655"/>
        <v>58.777424449668764</v>
      </c>
      <c r="HP25">
        <f t="shared" si="655"/>
        <v>58.654834045330958</v>
      </c>
      <c r="HQ25">
        <f t="shared" si="655"/>
        <v>58.529384959300174</v>
      </c>
      <c r="HR25">
        <f t="shared" si="655"/>
        <v>58.401088814065275</v>
      </c>
      <c r="HS25">
        <f t="shared" si="655"/>
        <v>58.269957567526703</v>
      </c>
      <c r="HT25">
        <f t="shared" si="655"/>
        <v>58.136003511432449</v>
      </c>
      <c r="HU25">
        <f t="shared" si="655"/>
        <v>57.999239269780084</v>
      </c>
      <c r="HV25">
        <f t="shared" si="655"/>
        <v>57.859677797185178</v>
      </c>
      <c r="HW25">
        <f t="shared" si="655"/>
        <v>57.717332377216152</v>
      </c>
      <c r="HX25">
        <f t="shared" si="655"/>
        <v>57.572216620695755</v>
      </c>
      <c r="HY25">
        <f t="shared" si="655"/>
        <v>57.424344463969241</v>
      </c>
      <c r="HZ25">
        <f t="shared" si="655"/>
        <v>57.27373016713959</v>
      </c>
      <c r="IA25">
        <f t="shared" si="655"/>
        <v>57.120388312269689</v>
      </c>
      <c r="IB25">
        <f t="shared" si="655"/>
        <v>56.964333801551895</v>
      </c>
      <c r="IC25">
        <f t="shared" si="655"/>
        <v>56.805581855444913</v>
      </c>
      <c r="ID25">
        <f t="shared" si="655"/>
        <v>56.64414801077838</v>
      </c>
      <c r="IE25">
        <f t="shared" si="655"/>
        <v>56.48004811882516</v>
      </c>
      <c r="IF25">
        <f t="shared" si="655"/>
        <v>56.313298343341664</v>
      </c>
      <c r="IG25">
        <f t="shared" si="655"/>
        <v>56.143915158576284</v>
      </c>
      <c r="IH25">
        <f t="shared" si="655"/>
        <v>55.971915347246195</v>
      </c>
      <c r="II25">
        <f t="shared" si="655"/>
        <v>55.797315998482709</v>
      </c>
      <c r="IJ25">
        <f t="shared" si="655"/>
        <v>55.620134505745362</v>
      </c>
      <c r="IK25">
        <f t="shared" si="655"/>
        <v>55.440388564704932</v>
      </c>
      <c r="IL25">
        <f t="shared" si="655"/>
        <v>55.258096171095637</v>
      </c>
      <c r="IM25">
        <f t="shared" si="655"/>
        <v>55.073275618536684</v>
      </c>
      <c r="IN25">
        <f t="shared" si="655"/>
        <v>54.885945496323373</v>
      </c>
      <c r="IO25">
        <f t="shared" si="655"/>
        <v>54.696124687188018</v>
      </c>
      <c r="IP25">
        <f t="shared" si="655"/>
        <v>54.503832365030874</v>
      </c>
      <c r="IQ25">
        <f t="shared" si="655"/>
        <v>54.309087992621308</v>
      </c>
      <c r="IR25">
        <f t="shared" si="655"/>
        <v>54.11191131926941</v>
      </c>
      <c r="IS25">
        <f t="shared" si="655"/>
        <v>53.912322378468346</v>
      </c>
      <c r="IT25">
        <f t="shared" si="655"/>
        <v>53.710341485507584</v>
      </c>
      <c r="IU25">
        <f t="shared" si="655"/>
        <v>53.505989235057378</v>
      </c>
      <c r="IV25">
        <f t="shared" si="655"/>
        <v>53.299286498724555</v>
      </c>
      <c r="IW25">
        <f t="shared" si="655"/>
        <v>53.09025442258006</v>
      </c>
      <c r="IX25">
        <f t="shared" si="655"/>
        <v>52.878914424658326</v>
      </c>
      <c r="IY25">
        <f t="shared" ref="IY25:LJ25" si="656">(IY22-IX40)*$K9*dt+IX25</f>
        <v>52.665288192428896</v>
      </c>
      <c r="IZ25">
        <f t="shared" si="656"/>
        <v>52.449397680240359</v>
      </c>
      <c r="JA25">
        <f t="shared" si="656"/>
        <v>52.231265106737034</v>
      </c>
      <c r="JB25">
        <f t="shared" si="656"/>
        <v>52.010912952248532</v>
      </c>
      <c r="JC25">
        <f t="shared" si="656"/>
        <v>51.788363956152594</v>
      </c>
      <c r="JD25">
        <f t="shared" si="656"/>
        <v>51.563641114211308</v>
      </c>
      <c r="JE25">
        <f t="shared" si="656"/>
        <v>51.336767675881134</v>
      </c>
      <c r="JF25">
        <f t="shared" si="656"/>
        <v>51.107767141596902</v>
      </c>
      <c r="JG25">
        <f t="shared" si="656"/>
        <v>50.876663260030149</v>
      </c>
      <c r="JH25">
        <f t="shared" si="656"/>
        <v>50.643480025321956</v>
      </c>
      <c r="JI25">
        <f t="shared" si="656"/>
        <v>50.4082416742907</v>
      </c>
      <c r="JJ25">
        <f t="shared" si="656"/>
        <v>50.170972683614941</v>
      </c>
      <c r="JK25">
        <f t="shared" si="656"/>
        <v>49.931697766991746</v>
      </c>
      <c r="JL25">
        <f t="shared" si="656"/>
        <v>49.690441872270668</v>
      </c>
      <c r="JM25">
        <f t="shared" si="656"/>
        <v>49.447230178563885</v>
      </c>
      <c r="JN25">
        <f t="shared" si="656"/>
        <v>49.202088093332506</v>
      </c>
      <c r="JO25">
        <f t="shared" si="656"/>
        <v>48.955041249449593</v>
      </c>
      <c r="JP25">
        <f t="shared" si="656"/>
        <v>48.706115502240095</v>
      </c>
      <c r="JQ25">
        <f t="shared" si="656"/>
        <v>48.455336926497971</v>
      </c>
      <c r="JR25">
        <f t="shared" si="656"/>
        <v>48.202731813480895</v>
      </c>
      <c r="JS25">
        <f t="shared" si="656"/>
        <v>47.948326667882796</v>
      </c>
      <c r="JT25">
        <f t="shared" si="656"/>
        <v>47.692148204784559</v>
      </c>
      <c r="JU25">
        <f t="shared" si="656"/>
        <v>47.434223346583224</v>
      </c>
      <c r="JV25">
        <f t="shared" si="656"/>
        <v>47.174579219899954</v>
      </c>
      <c r="JW25">
        <f t="shared" si="656"/>
        <v>46.913243152467196</v>
      </c>
      <c r="JX25">
        <f t="shared" si="656"/>
        <v>46.650242669995215</v>
      </c>
      <c r="JY25">
        <f t="shared" si="656"/>
        <v>46.385605493018446</v>
      </c>
      <c r="JZ25">
        <f t="shared" si="656"/>
        <v>46.119359533721962</v>
      </c>
      <c r="KA25">
        <f t="shared" si="656"/>
        <v>45.851532892748324</v>
      </c>
      <c r="KB25">
        <f t="shared" si="656"/>
        <v>45.582153855985304</v>
      </c>
      <c r="KC25">
        <f t="shared" si="656"/>
        <v>45.311250891334602</v>
      </c>
      <c r="KD25">
        <f t="shared" si="656"/>
        <v>45.038852645462093</v>
      </c>
      <c r="KE25">
        <f t="shared" si="656"/>
        <v>44.764987940529828</v>
      </c>
      <c r="KF25">
        <f t="shared" si="656"/>
        <v>44.489685770910178</v>
      </c>
      <c r="KG25">
        <f t="shared" si="656"/>
        <v>44.212975299882459</v>
      </c>
      <c r="KH25">
        <f t="shared" si="656"/>
        <v>43.934885856312349</v>
      </c>
      <c r="KI25">
        <f t="shared" si="656"/>
        <v>43.655446931314522</v>
      </c>
      <c r="KJ25">
        <f t="shared" si="656"/>
        <v>43.374688174898829</v>
      </c>
      <c r="KK25">
        <f t="shared" si="656"/>
        <v>43.092639392600233</v>
      </c>
      <c r="KL25">
        <f t="shared" si="656"/>
        <v>42.809330542093143</v>
      </c>
      <c r="KM25">
        <f t="shared" si="656"/>
        <v>42.524791729790216</v>
      </c>
      <c r="KN25">
        <f t="shared" si="656"/>
        <v>42.239053207426167</v>
      </c>
      <c r="KO25">
        <f t="shared" si="656"/>
        <v>41.952145368626894</v>
      </c>
      <c r="KP25">
        <f t="shared" si="656"/>
        <v>41.664098745464244</v>
      </c>
      <c r="KQ25">
        <f t="shared" si="656"/>
        <v>41.432853735092571</v>
      </c>
      <c r="KR25">
        <f t="shared" si="656"/>
        <v>41.232937923917895</v>
      </c>
      <c r="KS25">
        <f t="shared" si="656"/>
        <v>41.05257005716016</v>
      </c>
      <c r="KT25">
        <f t="shared" si="656"/>
        <v>40.88582404355715</v>
      </c>
      <c r="KU25">
        <f t="shared" si="656"/>
        <v>40.729407228625874</v>
      </c>
      <c r="KV25">
        <f t="shared" si="656"/>
        <v>40.581293457532063</v>
      </c>
      <c r="KW25">
        <f t="shared" si="656"/>
        <v>40.440117323159654</v>
      </c>
      <c r="KX25">
        <f t="shared" si="656"/>
        <v>40.304889949735411</v>
      </c>
      <c r="KY25">
        <f t="shared" si="656"/>
        <v>40.174856044915487</v>
      </c>
      <c r="KZ25">
        <f t="shared" si="656"/>
        <v>40.049416276573055</v>
      </c>
      <c r="LA25">
        <f t="shared" si="656"/>
        <v>39.928081791186777</v>
      </c>
      <c r="LB25">
        <f t="shared" si="656"/>
        <v>39.810445674130825</v>
      </c>
      <c r="LC25">
        <f t="shared" si="656"/>
        <v>39.696163979421435</v>
      </c>
      <c r="LD25">
        <f t="shared" si="656"/>
        <v>39.584942517288297</v>
      </c>
      <c r="LE25">
        <f t="shared" si="656"/>
        <v>39.476527297234284</v>
      </c>
      <c r="LF25">
        <f t="shared" si="656"/>
        <v>39.370697395780269</v>
      </c>
      <c r="LG25">
        <f t="shared" si="656"/>
        <v>39.267259490792426</v>
      </c>
      <c r="LH25">
        <f t="shared" si="656"/>
        <v>39.166043575872415</v>
      </c>
      <c r="LI25">
        <f t="shared" si="656"/>
        <v>39.066899532219139</v>
      </c>
      <c r="LJ25">
        <f t="shared" si="656"/>
        <v>38.969694338330299</v>
      </c>
      <c r="LK25">
        <f t="shared" ref="LK25:NV25" si="657">(LK22-LJ40)*$K9*dt+LJ25</f>
        <v>38.874309764609038</v>
      </c>
      <c r="LL25">
        <f t="shared" si="657"/>
        <v>38.780640444201431</v>
      </c>
      <c r="LM25">
        <f t="shared" si="657"/>
        <v>38.688592241337012</v>
      </c>
      <c r="LN25">
        <f t="shared" si="657"/>
        <v>38.598080859045112</v>
      </c>
      <c r="LO25">
        <f t="shared" si="657"/>
        <v>38.509030642510041</v>
      </c>
      <c r="LP25">
        <f t="shared" si="657"/>
        <v>38.421373544531271</v>
      </c>
      <c r="LQ25">
        <f t="shared" si="657"/>
        <v>38.335048226901925</v>
      </c>
      <c r="LR25">
        <f t="shared" si="657"/>
        <v>38.249999276894897</v>
      </c>
      <c r="LS25">
        <f t="shared" si="657"/>
        <v>38.166176522046761</v>
      </c>
      <c r="LT25">
        <f t="shared" si="657"/>
        <v>38.083534429459633</v>
      </c>
      <c r="LU25">
        <f t="shared" si="657"/>
        <v>38.002031578176904</v>
      </c>
      <c r="LV25">
        <f t="shared" si="657"/>
        <v>37.92163019502113</v>
      </c>
      <c r="LW25">
        <f t="shared" si="657"/>
        <v>37.842295745744146</v>
      </c>
      <c r="LX25">
        <f t="shared" si="657"/>
        <v>37.76399657452405</v>
      </c>
      <c r="LY25">
        <f t="shared" si="657"/>
        <v>37.686703585817135</v>
      </c>
      <c r="LZ25">
        <f t="shared" si="657"/>
        <v>37.61038996338312</v>
      </c>
      <c r="MA25">
        <f t="shared" si="657"/>
        <v>37.535030921983456</v>
      </c>
      <c r="MB25">
        <f t="shared" si="657"/>
        <v>37.46060348783098</v>
      </c>
      <c r="MC25">
        <f t="shared" si="657"/>
        <v>37.387086304364004</v>
      </c>
      <c r="MD25">
        <f t="shared" si="657"/>
        <v>37.314459460343848</v>
      </c>
      <c r="ME25">
        <f t="shared" si="657"/>
        <v>37.242704337643076</v>
      </c>
      <c r="MF25">
        <f t="shared" si="657"/>
        <v>37.171803476411803</v>
      </c>
      <c r="MG25">
        <f t="shared" si="657"/>
        <v>37.101740455588093</v>
      </c>
      <c r="MH25">
        <f t="shared" si="657"/>
        <v>37.032499786962141</v>
      </c>
      <c r="MI25">
        <f t="shared" si="657"/>
        <v>36.964066821217173</v>
      </c>
      <c r="MJ25">
        <f t="shared" si="657"/>
        <v>36.896427664556931</v>
      </c>
      <c r="MK25">
        <f t="shared" si="657"/>
        <v>36.829569104693931</v>
      </c>
      <c r="ML25">
        <f t="shared" si="657"/>
        <v>36.763478545116911</v>
      </c>
      <c r="MM25">
        <f t="shared" si="657"/>
        <v>36.698143946683032</v>
      </c>
      <c r="MN25">
        <f t="shared" si="657"/>
        <v>36.63355377569205</v>
      </c>
      <c r="MO25">
        <f t="shared" si="657"/>
        <v>36.569696957698291</v>
      </c>
      <c r="MP25">
        <f t="shared" si="657"/>
        <v>36.506562836403063</v>
      </c>
      <c r="MQ25">
        <f t="shared" si="657"/>
        <v>36.444141137046557</v>
      </c>
      <c r="MR25">
        <f t="shared" si="657"/>
        <v>36.382421933786055</v>
      </c>
      <c r="MS25">
        <f t="shared" si="657"/>
        <v>36.321395620606523</v>
      </c>
      <c r="MT25">
        <f t="shared" si="657"/>
        <v>36.26105288536251</v>
      </c>
      <c r="MU25">
        <f t="shared" si="657"/>
        <v>36.201384686596441</v>
      </c>
      <c r="MV25">
        <f t="shared" si="657"/>
        <v>36.142382232819571</v>
      </c>
      <c r="MW25">
        <f t="shared" si="657"/>
        <v>36.084036963977915</v>
      </c>
      <c r="MX25">
        <f t="shared" si="657"/>
        <v>36.026340534857397</v>
      </c>
      <c r="MY25">
        <f t="shared" si="657"/>
        <v>35.969284800210865</v>
      </c>
      <c r="MZ25">
        <f t="shared" si="657"/>
        <v>35.912861801414365</v>
      </c>
      <c r="NA25">
        <f t="shared" si="657"/>
        <v>35.857063754482269</v>
      </c>
      <c r="NB25">
        <f t="shared" si="657"/>
        <v>35.801883039290175</v>
      </c>
      <c r="NC25">
        <f t="shared" si="657"/>
        <v>35.747312189871941</v>
      </c>
      <c r="ND25">
        <f t="shared" si="657"/>
        <v>35.693343885672228</v>
      </c>
      <c r="NE25">
        <f t="shared" si="657"/>
        <v>35.639970943649551</v>
      </c>
      <c r="NF25">
        <f t="shared" si="657"/>
        <v>35.587186311136705</v>
      </c>
      <c r="NG25">
        <f t="shared" si="657"/>
        <v>35.534983059375904</v>
      </c>
      <c r="NH25">
        <f t="shared" si="657"/>
        <v>35.483354377655424</v>
      </c>
      <c r="NI25">
        <f t="shared" si="657"/>
        <v>35.432293567982775</v>
      </c>
      <c r="NJ25">
        <f t="shared" si="657"/>
        <v>35.381794040236578</v>
      </c>
      <c r="NK25">
        <f t="shared" si="657"/>
        <v>35.331849307746076</v>
      </c>
      <c r="NL25">
        <f t="shared" si="657"/>
        <v>35.282452983252625</v>
      </c>
      <c r="NM25">
        <f t="shared" si="657"/>
        <v>35.233598775212862</v>
      </c>
      <c r="NN25">
        <f t="shared" si="657"/>
        <v>35.185280484407571</v>
      </c>
      <c r="NO25">
        <f t="shared" si="657"/>
        <v>35.137492000824345</v>
      </c>
      <c r="NP25">
        <f t="shared" si="657"/>
        <v>35.090227300785592</v>
      </c>
      <c r="NQ25">
        <f t="shared" si="657"/>
        <v>35.043480444296677</v>
      </c>
      <c r="NR25">
        <f t="shared" si="657"/>
        <v>34.997245572591616</v>
      </c>
      <c r="NS25">
        <f t="shared" si="657"/>
        <v>34.951516905856451</v>
      </c>
      <c r="NT25">
        <f t="shared" si="657"/>
        <v>34.90628874111227</v>
      </c>
      <c r="NU25">
        <f t="shared" si="657"/>
        <v>34.861555450242157</v>
      </c>
      <c r="NV25">
        <f t="shared" si="657"/>
        <v>34.817311478147758</v>
      </c>
      <c r="NW25">
        <f t="shared" ref="NW25:QH25" si="658">(NW22-NV40)*$K9*dt+NV25</f>
        <v>34.773551341022909</v>
      </c>
      <c r="NX25">
        <f t="shared" si="658"/>
        <v>34.730269624732991</v>
      </c>
      <c r="NY25">
        <f t="shared" si="658"/>
        <v>34.687460983289938</v>
      </c>
      <c r="NZ25">
        <f t="shared" si="658"/>
        <v>34.645120137413969</v>
      </c>
      <c r="OA25">
        <f t="shared" si="658"/>
        <v>34.603241873173836</v>
      </c>
      <c r="OB25">
        <f t="shared" si="658"/>
        <v>34.561821040698597</v>
      </c>
      <c r="OC25">
        <f t="shared" si="658"/>
        <v>34.520852552954246</v>
      </c>
      <c r="OD25">
        <f t="shared" si="658"/>
        <v>34.480331384579671</v>
      </c>
      <c r="OE25">
        <f t="shared" si="658"/>
        <v>34.440252570776536</v>
      </c>
      <c r="OF25">
        <f t="shared" si="658"/>
        <v>34.400611206248627</v>
      </c>
      <c r="OG25">
        <f t="shared" si="658"/>
        <v>34.36140244418641</v>
      </c>
      <c r="OH25">
        <f t="shared" si="658"/>
        <v>34.322621495293056</v>
      </c>
      <c r="OI25">
        <f t="shared" si="658"/>
        <v>34.284263626848649</v>
      </c>
      <c r="OJ25">
        <f t="shared" si="658"/>
        <v>34.24632416180949</v>
      </c>
      <c r="OK25">
        <f t="shared" si="658"/>
        <v>34.208798477939766</v>
      </c>
      <c r="OL25">
        <f t="shared" si="658"/>
        <v>34.171682006973214</v>
      </c>
      <c r="OM25">
        <f t="shared" si="658"/>
        <v>34.134970233802441</v>
      </c>
      <c r="ON25">
        <f t="shared" si="658"/>
        <v>34.098658695694063</v>
      </c>
      <c r="OO25">
        <f t="shared" si="658"/>
        <v>34.062742981527698</v>
      </c>
      <c r="OP25">
        <f t="shared" si="658"/>
        <v>34.027218731057289</v>
      </c>
      <c r="OQ25">
        <f t="shared" si="658"/>
        <v>33.992081634193248</v>
      </c>
      <c r="OR25">
        <f t="shared" si="658"/>
        <v>33.957327430304041</v>
      </c>
      <c r="OS25">
        <f t="shared" si="658"/>
        <v>33.922951907536088</v>
      </c>
      <c r="OT25">
        <f t="shared" si="658"/>
        <v>33.888950902150775</v>
      </c>
      <c r="OU25">
        <f t="shared" si="658"/>
        <v>33.855320297877611</v>
      </c>
      <c r="OV25">
        <f t="shared" si="658"/>
        <v>33.822056025282649</v>
      </c>
      <c r="OW25">
        <f t="shared" si="658"/>
        <v>33.789154061151272</v>
      </c>
      <c r="OX25">
        <f t="shared" si="658"/>
        <v>33.756610427884638</v>
      </c>
      <c r="OY25">
        <f t="shared" si="658"/>
        <v>33.724421192909013</v>
      </c>
      <c r="OZ25">
        <f t="shared" si="658"/>
        <v>33.692582468097427</v>
      </c>
      <c r="PA25">
        <f t="shared" si="658"/>
        <v>33.661090409203041</v>
      </c>
      <c r="PB25">
        <f t="shared" si="658"/>
        <v>33.629941215303653</v>
      </c>
      <c r="PC25">
        <f t="shared" si="658"/>
        <v>33.599131128256872</v>
      </c>
      <c r="PD25">
        <f t="shared" si="658"/>
        <v>33.568656432165525</v>
      </c>
      <c r="PE25">
        <f t="shared" si="658"/>
        <v>33.538513452852811</v>
      </c>
      <c r="PF25">
        <f t="shared" si="658"/>
        <v>33.508698557346889</v>
      </c>
      <c r="PG25">
        <f t="shared" si="658"/>
        <v>33.479208153374472</v>
      </c>
      <c r="PH25">
        <f t="shared" si="658"/>
        <v>33.450038688863117</v>
      </c>
      <c r="PI25">
        <f t="shared" si="658"/>
        <v>33.421186651451897</v>
      </c>
      <c r="PJ25">
        <f t="shared" si="658"/>
        <v>33.392648568010195</v>
      </c>
      <c r="PK25">
        <f t="shared" si="658"/>
        <v>33.364421004164264</v>
      </c>
      <c r="PL25">
        <f t="shared" si="658"/>
        <v>33.336500563831407</v>
      </c>
      <c r="PM25">
        <f t="shared" si="658"/>
        <v>33.308883888761443</v>
      </c>
      <c r="PN25">
        <f t="shared" si="658"/>
        <v>33.281567658085315</v>
      </c>
      <c r="PO25">
        <f t="shared" si="658"/>
        <v>33.254548587870566</v>
      </c>
      <c r="PP25">
        <f t="shared" si="658"/>
        <v>33.227823430683536</v>
      </c>
      <c r="PQ25">
        <f t="shared" si="658"/>
        <v>33.201388975158068</v>
      </c>
      <c r="PR25">
        <f t="shared" si="658"/>
        <v>33.17524204557057</v>
      </c>
      <c r="PS25">
        <f t="shared" si="658"/>
        <v>33.149379501421208</v>
      </c>
      <c r="PT25">
        <f t="shared" si="658"/>
        <v>33.123798237021191</v>
      </c>
      <c r="PU25">
        <f t="shared" si="658"/>
        <v>33.098495181085859</v>
      </c>
      <c r="PV25">
        <f t="shared" si="658"/>
        <v>33.073467296333547</v>
      </c>
      <c r="PW25">
        <f t="shared" si="658"/>
        <v>33.048711579090003</v>
      </c>
      <c r="PX25">
        <f t="shared" si="658"/>
        <v>33.024225058898331</v>
      </c>
      <c r="PY25">
        <f t="shared" si="658"/>
        <v>33.000004798134242</v>
      </c>
      <c r="PZ25">
        <f t="shared" si="658"/>
        <v>32.976047891626543</v>
      </c>
      <c r="QA25">
        <f t="shared" si="658"/>
        <v>32.952351466282749</v>
      </c>
      <c r="QB25">
        <f t="shared" si="658"/>
        <v>32.928912680719719</v>
      </c>
      <c r="QC25">
        <f t="shared" si="658"/>
        <v>32.90572872489917</v>
      </c>
      <c r="QD25">
        <f t="shared" si="658"/>
        <v>32.882796819768053</v>
      </c>
      <c r="QE25">
        <f t="shared" si="658"/>
        <v>32.860114216903604</v>
      </c>
      <c r="QF25">
        <f t="shared" si="658"/>
        <v>32.837678198163054</v>
      </c>
      <c r="QG25">
        <f t="shared" si="658"/>
        <v>32.815486075337866</v>
      </c>
      <c r="QH25">
        <f t="shared" si="658"/>
        <v>32.793535189812424</v>
      </c>
      <c r="QI25">
        <f t="shared" ref="QI25:ST25" si="659">(QI22-QH40)*$K9*dt+QH25</f>
        <v>32.771822912227108</v>
      </c>
      <c r="QJ25">
        <f t="shared" si="659"/>
        <v>32.750346642145672</v>
      </c>
      <c r="QK25">
        <f t="shared" si="659"/>
        <v>32.729103807726815</v>
      </c>
      <c r="QL25">
        <f t="shared" si="659"/>
        <v>32.708091865399936</v>
      </c>
      <c r="QM25">
        <f t="shared" si="659"/>
        <v>32.687308299544945</v>
      </c>
      <c r="QN25">
        <f t="shared" si="659"/>
        <v>32.666750622176053</v>
      </c>
      <c r="QO25">
        <f t="shared" si="659"/>
        <v>32.646416372629595</v>
      </c>
      <c r="QP25">
        <f t="shared" si="659"/>
        <v>32.626303117255603</v>
      </c>
      <c r="QQ25">
        <f t="shared" si="659"/>
        <v>32.606408449113296</v>
      </c>
      <c r="QR25">
        <f t="shared" si="659"/>
        <v>32.586729987670253</v>
      </c>
      <c r="QS25">
        <f t="shared" si="659"/>
        <v>32.567265378505326</v>
      </c>
      <c r="QT25">
        <f t="shared" si="659"/>
        <v>32.548012293015148</v>
      </c>
      <c r="QU25">
        <f t="shared" si="659"/>
        <v>32.528968428124251</v>
      </c>
      <c r="QV25">
        <f t="shared" si="659"/>
        <v>32.510131505998643</v>
      </c>
      <c r="QW25">
        <f t="shared" si="659"/>
        <v>32.491499273762948</v>
      </c>
      <c r="QX25">
        <f t="shared" si="659"/>
        <v>32.47306950322087</v>
      </c>
      <c r="QY25">
        <f t="shared" si="659"/>
        <v>32.454839990579096</v>
      </c>
      <c r="QZ25">
        <f t="shared" si="659"/>
        <v>32.436808556174434</v>
      </c>
      <c r="RA25">
        <f t="shared" si="659"/>
        <v>32.418973044204286</v>
      </c>
      <c r="RB25">
        <f t="shared" si="659"/>
        <v>32.401331322460294</v>
      </c>
      <c r="RC25">
        <f t="shared" si="659"/>
        <v>32.383881282065182</v>
      </c>
      <c r="RD25">
        <f t="shared" si="659"/>
        <v>32.366620837212714</v>
      </c>
      <c r="RE25">
        <f t="shared" si="659"/>
        <v>32.349547924910709</v>
      </c>
      <c r="RF25">
        <f t="shared" si="659"/>
        <v>32.332660504727137</v>
      </c>
      <c r="RG25">
        <f t="shared" si="659"/>
        <v>32.315956558539185</v>
      </c>
      <c r="RH25">
        <f t="shared" si="659"/>
        <v>32.299434090285253</v>
      </c>
      <c r="RI25">
        <f t="shared" si="659"/>
        <v>32.283091125719906</v>
      </c>
      <c r="RJ25">
        <f t="shared" si="659"/>
        <v>32.266925712171663</v>
      </c>
      <c r="RK25">
        <f t="shared" si="659"/>
        <v>32.250935918303625</v>
      </c>
      <c r="RL25">
        <f t="shared" si="659"/>
        <v>32.235119833876908</v>
      </c>
      <c r="RM25">
        <f t="shared" si="659"/>
        <v>32.219475569516817</v>
      </c>
      <c r="RN25">
        <f t="shared" si="659"/>
        <v>32.204001256481739</v>
      </c>
      <c r="RO25">
        <f t="shared" si="659"/>
        <v>32.188695046434717</v>
      </c>
      <c r="RP25">
        <f t="shared" si="659"/>
        <v>32.173555111217674</v>
      </c>
      <c r="RQ25">
        <f t="shared" si="659"/>
        <v>32.158579642628261</v>
      </c>
      <c r="RR25">
        <f t="shared" si="659"/>
        <v>32.143766852199235</v>
      </c>
      <c r="RS25">
        <f t="shared" si="659"/>
        <v>32.129114970980446</v>
      </c>
      <c r="RT25">
        <f t="shared" si="659"/>
        <v>32.114622249323254</v>
      </c>
      <c r="RU25">
        <f t="shared" si="659"/>
        <v>32.100286956667503</v>
      </c>
      <c r="RV25">
        <f t="shared" si="659"/>
        <v>32.086107381330876</v>
      </c>
      <c r="RW25">
        <f t="shared" si="659"/>
        <v>32.072081830300696</v>
      </c>
      <c r="RX25">
        <f t="shared" si="659"/>
        <v>32.058208629028101</v>
      </c>
      <c r="RY25">
        <f t="shared" si="659"/>
        <v>32.044486121224566</v>
      </c>
      <c r="RZ25">
        <f t="shared" si="659"/>
        <v>32.03091266866074</v>
      </c>
      <c r="SA25">
        <f t="shared" si="659"/>
        <v>32.017486650967605</v>
      </c>
      <c r="SB25">
        <f t="shared" si="659"/>
        <v>32.004206465439843</v>
      </c>
      <c r="SC25">
        <f t="shared" si="659"/>
        <v>31.991070526841511</v>
      </c>
      <c r="SD25">
        <f t="shared" si="659"/>
        <v>31.978077267213852</v>
      </c>
      <c r="SE25">
        <f t="shared" si="659"/>
        <v>31.965225135685319</v>
      </c>
      <c r="SF25">
        <f t="shared" si="659"/>
        <v>31.952512598283761</v>
      </c>
      <c r="SG25">
        <f t="shared" si="659"/>
        <v>31.939938137750694</v>
      </c>
      <c r="SH25">
        <f t="shared" si="659"/>
        <v>31.927500253357724</v>
      </c>
      <c r="SI25">
        <f t="shared" si="659"/>
        <v>31.91519746072499</v>
      </c>
      <c r="SJ25">
        <f t="shared" si="659"/>
        <v>31.903028291641686</v>
      </c>
      <c r="SK25">
        <f t="shared" si="659"/>
        <v>31.890991293888614</v>
      </c>
      <c r="SL25">
        <f t="shared" si="659"/>
        <v>31.879085031062683</v>
      </c>
      <c r="SM25">
        <f t="shared" si="659"/>
        <v>31.867308082403454</v>
      </c>
      <c r="SN25">
        <f t="shared" si="659"/>
        <v>31.855659042621568</v>
      </c>
      <c r="SO25">
        <f t="shared" si="659"/>
        <v>31.844136521729141</v>
      </c>
      <c r="SP25">
        <f t="shared" si="659"/>
        <v>31.832739144872043</v>
      </c>
      <c r="SQ25">
        <f t="shared" si="659"/>
        <v>31.821465552164064</v>
      </c>
      <c r="SR25">
        <f t="shared" si="659"/>
        <v>31.810314398522937</v>
      </c>
      <c r="SS25">
        <f t="shared" si="659"/>
        <v>31.799284353508185</v>
      </c>
      <c r="ST25">
        <f t="shared" si="659"/>
        <v>31.788374101160791</v>
      </c>
      <c r="SU25">
        <f t="shared" ref="SU25:VF25" si="660">(SU22-ST40)*$K9*dt+ST25</f>
        <v>31.77758233984466</v>
      </c>
      <c r="SV25">
        <f t="shared" si="660"/>
        <v>31.766907782089838</v>
      </c>
      <c r="SW25">
        <f t="shared" si="660"/>
        <v>31.756349154437501</v>
      </c>
      <c r="SX25">
        <f t="shared" si="660"/>
        <v>31.745905197286646</v>
      </c>
      <c r="SY25">
        <f t="shared" si="660"/>
        <v>31.735574664742511</v>
      </c>
      <c r="SZ25">
        <f t="shared" si="660"/>
        <v>31.725356324466677</v>
      </c>
      <c r="TA25">
        <f t="shared" si="660"/>
        <v>31.715248957528821</v>
      </c>
      <c r="TB25">
        <f t="shared" si="660"/>
        <v>31.705251358260146</v>
      </c>
      <c r="TC25">
        <f t="shared" si="660"/>
        <v>31.695362334108417</v>
      </c>
      <c r="TD25">
        <f t="shared" si="660"/>
        <v>31.685580705494605</v>
      </c>
      <c r="TE25">
        <f t="shared" si="660"/>
        <v>31.675905305671147</v>
      </c>
      <c r="TF25">
        <f t="shared" si="660"/>
        <v>31.666334980581755</v>
      </c>
      <c r="TG25">
        <f t="shared" si="660"/>
        <v>31.656868588722784</v>
      </c>
      <c r="TH25">
        <f t="shared" si="660"/>
        <v>31.647505001006135</v>
      </c>
      <c r="TI25">
        <f t="shared" si="660"/>
        <v>31.638243100623676</v>
      </c>
      <c r="TJ25">
        <f t="shared" si="660"/>
        <v>31.629081782913179</v>
      </c>
      <c r="TK25">
        <f t="shared" si="660"/>
        <v>31.620019955225711</v>
      </c>
      <c r="TL25">
        <f t="shared" si="660"/>
        <v>31.611056536794521</v>
      </c>
      <c r="TM25">
        <f t="shared" si="660"/>
        <v>31.602190458605349</v>
      </c>
      <c r="TN25">
        <f t="shared" si="660"/>
        <v>31.593420663268194</v>
      </c>
      <c r="TO25">
        <f t="shared" si="660"/>
        <v>31.584746104890467</v>
      </c>
      <c r="TP25">
        <f t="shared" si="660"/>
        <v>31.576165748951578</v>
      </c>
      <c r="TQ25">
        <f t="shared" si="660"/>
        <v>31.567678572178878</v>
      </c>
      <c r="TR25">
        <f t="shared" si="660"/>
        <v>31.559283562424987</v>
      </c>
      <c r="TS25">
        <f t="shared" si="660"/>
        <v>31.550979718546468</v>
      </c>
      <c r="TT25">
        <f t="shared" si="660"/>
        <v>31.542766050283831</v>
      </c>
      <c r="TU25">
        <f t="shared" si="660"/>
        <v>31.534641578142875</v>
      </c>
      <c r="TV25">
        <f t="shared" si="660"/>
        <v>31.526605333277317</v>
      </c>
      <c r="TW25">
        <f t="shared" si="660"/>
        <v>31.518656357372723</v>
      </c>
      <c r="TX25">
        <f t="shared" si="660"/>
        <v>31.510793702531732</v>
      </c>
      <c r="TY25">
        <f t="shared" si="660"/>
        <v>31.503016431160503</v>
      </c>
      <c r="TZ25">
        <f t="shared" si="660"/>
        <v>31.495323615856446</v>
      </c>
      <c r="UA25">
        <f t="shared" si="660"/>
        <v>31.48771433929717</v>
      </c>
      <c r="UB25">
        <f t="shared" si="660"/>
        <v>31.480187694130656</v>
      </c>
      <c r="UC25">
        <f t="shared" si="660"/>
        <v>31.472742782866636</v>
      </c>
      <c r="UD25">
        <f t="shared" si="660"/>
        <v>31.465378717769166</v>
      </c>
      <c r="UE25">
        <f t="shared" si="660"/>
        <v>31.458094620750384</v>
      </c>
      <c r="UF25">
        <f t="shared" si="660"/>
        <v>31.450889623265397</v>
      </c>
      <c r="UG25">
        <f t="shared" si="660"/>
        <v>31.443762866208395</v>
      </c>
      <c r="UH25">
        <f t="shared" si="660"/>
        <v>31.436713499809823</v>
      </c>
      <c r="UI25">
        <f t="shared" si="660"/>
        <v>31.429740683534735</v>
      </c>
      <c r="UJ25">
        <f t="shared" si="660"/>
        <v>31.422843585982243</v>
      </c>
      <c r="UK25">
        <f t="shared" si="660"/>
        <v>31.416021384786067</v>
      </c>
      <c r="UL25">
        <f t="shared" si="660"/>
        <v>31.409273266516184</v>
      </c>
      <c r="UM25">
        <f t="shared" si="660"/>
        <v>31.402598426581548</v>
      </c>
      <c r="UN25">
        <f t="shared" si="660"/>
        <v>31.395996069133862</v>
      </c>
      <c r="UO25">
        <f t="shared" si="660"/>
        <v>31.389465406972437</v>
      </c>
      <c r="UP25">
        <f t="shared" si="660"/>
        <v>31.38300566145006</v>
      </c>
      <c r="UQ25">
        <f t="shared" si="660"/>
        <v>31.37661606237991</v>
      </c>
      <c r="UR25">
        <f t="shared" si="660"/>
        <v>31.370295847943481</v>
      </c>
      <c r="US25">
        <f t="shared" si="660"/>
        <v>31.364044264599535</v>
      </c>
      <c r="UT25">
        <f t="shared" si="660"/>
        <v>31.357860566994017</v>
      </c>
      <c r="UU25">
        <f t="shared" si="660"/>
        <v>31.351744017870978</v>
      </c>
      <c r="UV25">
        <f t="shared" si="660"/>
        <v>31.345693887984478</v>
      </c>
      <c r="UW25">
        <f t="shared" si="660"/>
        <v>31.33970945601143</v>
      </c>
      <c r="UX25">
        <f t="shared" si="660"/>
        <v>31.333790008465414</v>
      </c>
      <c r="UY25">
        <f t="shared" si="660"/>
        <v>31.327934839611412</v>
      </c>
      <c r="UZ25">
        <f t="shared" si="660"/>
        <v>31.322143251381519</v>
      </c>
      <c r="VA25">
        <f t="shared" si="660"/>
        <v>31.316414553291505</v>
      </c>
      <c r="VB25">
        <f t="shared" si="660"/>
        <v>31.310748062358371</v>
      </c>
      <c r="VC25">
        <f t="shared" si="660"/>
        <v>31.305143103018732</v>
      </c>
      <c r="VD25">
        <f t="shared" si="660"/>
        <v>31.299599007048133</v>
      </c>
      <c r="VE25">
        <f t="shared" si="660"/>
        <v>31.29411511348124</v>
      </c>
      <c r="VF25">
        <f t="shared" si="660"/>
        <v>31.288690768532884</v>
      </c>
      <c r="VG25">
        <f t="shared" ref="VG25:XR25" si="661">(VG22-VF40)*$K9*dt+VF25</f>
        <v>31.283325325519993</v>
      </c>
      <c r="VH25">
        <f t="shared" si="661"/>
        <v>31.278018144784358</v>
      </c>
      <c r="VI25">
        <f t="shared" si="661"/>
        <v>31.272768593616245</v>
      </c>
      <c r="VJ25">
        <f t="shared" si="661"/>
        <v>31.267576046178842</v>
      </c>
      <c r="VK25">
        <f t="shared" si="661"/>
        <v>31.262439883433533</v>
      </c>
      <c r="VL25">
        <f t="shared" si="661"/>
        <v>31.257359493065987</v>
      </c>
      <c r="VM25">
        <f t="shared" si="661"/>
        <v>31.252334269413044</v>
      </c>
      <c r="VN25">
        <f t="shared" si="661"/>
        <v>31.247363613390409</v>
      </c>
      <c r="VO25">
        <f t="shared" si="661"/>
        <v>31.242446932421128</v>
      </c>
      <c r="VP25">
        <f t="shared" si="661"/>
        <v>31.23758364036485</v>
      </c>
      <c r="VQ25">
        <f t="shared" si="661"/>
        <v>31.232773157447852</v>
      </c>
      <c r="VR25">
        <f t="shared" si="661"/>
        <v>31.228014910193831</v>
      </c>
      <c r="VS25">
        <f t="shared" si="661"/>
        <v>31.223308331355454</v>
      </c>
      <c r="VT25">
        <f t="shared" si="661"/>
        <v>31.218652859846653</v>
      </c>
      <c r="VU25">
        <f t="shared" si="661"/>
        <v>31.214047940675638</v>
      </c>
      <c r="VV25">
        <f t="shared" si="661"/>
        <v>31.209493024878686</v>
      </c>
      <c r="VW25">
        <f t="shared" si="661"/>
        <v>31.204987569454591</v>
      </c>
      <c r="VX25">
        <f t="shared" si="661"/>
        <v>31.200531037299882</v>
      </c>
      <c r="VY25">
        <f t="shared" si="661"/>
        <v>31.196122897144718</v>
      </c>
      <c r="VZ25">
        <f t="shared" si="661"/>
        <v>31.191762623489485</v>
      </c>
      <c r="WA25">
        <f t="shared" si="661"/>
        <v>31.187449696542082</v>
      </c>
      <c r="WB25">
        <f t="shared" si="661"/>
        <v>31.183183602155903</v>
      </c>
      <c r="WC25">
        <f t="shared" si="661"/>
        <v>31.178963831768485</v>
      </c>
      <c r="WD25">
        <f t="shared" si="661"/>
        <v>31.174789882340811</v>
      </c>
      <c r="WE25">
        <f t="shared" si="661"/>
        <v>31.228570986392693</v>
      </c>
      <c r="WF25">
        <f t="shared" si="661"/>
        <v>31.314803439586544</v>
      </c>
      <c r="WG25">
        <f t="shared" si="661"/>
        <v>31.42167457371545</v>
      </c>
      <c r="WH25">
        <f t="shared" si="661"/>
        <v>31.543226764848502</v>
      </c>
      <c r="WI25">
        <f t="shared" si="661"/>
        <v>31.676135710046054</v>
      </c>
      <c r="WJ25">
        <f t="shared" si="661"/>
        <v>31.818343493695867</v>
      </c>
      <c r="WK25">
        <f t="shared" si="661"/>
        <v>31.968452839061573</v>
      </c>
      <c r="WL25">
        <f t="shared" si="661"/>
        <v>32.125442895398265</v>
      </c>
      <c r="WM25">
        <f t="shared" si="661"/>
        <v>32.288526293541636</v>
      </c>
      <c r="WN25">
        <f t="shared" si="661"/>
        <v>32.457071526209418</v>
      </c>
      <c r="WO25">
        <f t="shared" si="661"/>
        <v>32.630557469914422</v>
      </c>
      <c r="WP25">
        <f t="shared" si="661"/>
        <v>32.80854484878963</v>
      </c>
      <c r="WQ25">
        <f t="shared" si="661"/>
        <v>32.990657267879818</v>
      </c>
      <c r="WR25">
        <f t="shared" si="661"/>
        <v>33.176568004267743</v>
      </c>
      <c r="WS25">
        <f t="shared" si="661"/>
        <v>33.365990453697883</v>
      </c>
      <c r="WT25">
        <f t="shared" si="661"/>
        <v>33.55867100189414</v>
      </c>
      <c r="WU25">
        <f t="shared" si="661"/>
        <v>33.754383562468576</v>
      </c>
      <c r="WV25">
        <f t="shared" si="661"/>
        <v>33.952925294901021</v>
      </c>
      <c r="WW25">
        <f t="shared" si="661"/>
        <v>34.154113179998085</v>
      </c>
      <c r="WX25">
        <f t="shared" si="661"/>
        <v>34.357781233199162</v>
      </c>
      <c r="WY25">
        <f t="shared" si="661"/>
        <v>34.563778202794495</v>
      </c>
      <c r="WZ25">
        <f t="shared" si="661"/>
        <v>34.771965644380558</v>
      </c>
      <c r="XA25">
        <f t="shared" si="661"/>
        <v>34.98221629282461</v>
      </c>
      <c r="XB25">
        <f t="shared" si="661"/>
        <v>35.194412673610827</v>
      </c>
      <c r="XC25">
        <f t="shared" si="661"/>
        <v>35.40844590983049</v>
      </c>
      <c r="XD25">
        <f t="shared" si="661"/>
        <v>35.624214691282177</v>
      </c>
      <c r="XE25">
        <f t="shared" si="661"/>
        <v>35.841624379494753</v>
      </c>
      <c r="XF25">
        <f t="shared" si="661"/>
        <v>36.060586227862139</v>
      </c>
      <c r="XG25">
        <f t="shared" si="661"/>
        <v>36.281016700079533</v>
      </c>
      <c r="XH25">
        <f t="shared" si="661"/>
        <v>36.502836873100961</v>
      </c>
      <c r="XI25">
        <f t="shared" si="661"/>
        <v>36.725971913173581</v>
      </c>
      <c r="XJ25">
        <f t="shared" si="661"/>
        <v>36.950350615336696</v>
      </c>
      <c r="XK25">
        <f t="shared" si="661"/>
        <v>37.175904998235055</v>
      </c>
      <c r="XL25">
        <f t="shared" si="661"/>
        <v>37.40256994728076</v>
      </c>
      <c r="XM25">
        <f t="shared" si="661"/>
        <v>37.630282900171494</v>
      </c>
      <c r="XN25">
        <f t="shared" si="661"/>
        <v>37.858983569582811</v>
      </c>
      <c r="XO25">
        <f t="shared" si="661"/>
        <v>38.088613698534168</v>
      </c>
      <c r="XP25">
        <f t="shared" si="661"/>
        <v>38.319116844506283</v>
      </c>
      <c r="XQ25">
        <f t="shared" si="661"/>
        <v>38.550438188882715</v>
      </c>
      <c r="XR25">
        <f t="shared" si="661"/>
        <v>38.782524368714121</v>
      </c>
      <c r="XS25">
        <f t="shared" ref="XS25:AAD25" si="662">(XS22-XR40)*$K9*dt+XR25</f>
        <v>39.015323328172151</v>
      </c>
      <c r="XT25">
        <f t="shared" si="662"/>
        <v>39.24878418737989</v>
      </c>
      <c r="XU25">
        <f t="shared" si="662"/>
        <v>39.48285712658452</v>
      </c>
      <c r="XV25">
        <f t="shared" si="662"/>
        <v>39.71749328388136</v>
      </c>
      <c r="XW25">
        <f t="shared" si="662"/>
        <v>39.952644664912036</v>
      </c>
      <c r="XX25">
        <f t="shared" si="662"/>
        <v>40.188264063146022</v>
      </c>
      <c r="XY25">
        <f t="shared" si="662"/>
        <v>40.424304989519477</v>
      </c>
      <c r="XZ25">
        <f t="shared" si="662"/>
        <v>40.660721610349398</v>
      </c>
      <c r="YA25">
        <f t="shared" si="662"/>
        <v>40.897468692568111</v>
      </c>
      <c r="YB25">
        <f t="shared" si="662"/>
        <v>41.134501555435108</v>
      </c>
      <c r="YC25">
        <f t="shared" si="662"/>
        <v>41.371776027981554</v>
      </c>
      <c r="YD25">
        <f t="shared" si="662"/>
        <v>41.609248411529649</v>
      </c>
      <c r="YE25">
        <f t="shared" si="662"/>
        <v>41.846875446705674</v>
      </c>
      <c r="YF25">
        <f t="shared" si="662"/>
        <v>42.084614284432966</v>
      </c>
      <c r="YG25">
        <f t="shared" si="662"/>
        <v>42.322422460450582</v>
      </c>
      <c r="YH25">
        <f t="shared" si="662"/>
        <v>42.560257872956171</v>
      </c>
      <c r="YI25">
        <f t="shared" si="662"/>
        <v>42.79807876301777</v>
      </c>
      <c r="YJ25">
        <f t="shared" si="662"/>
        <v>43.03584369744032</v>
      </c>
      <c r="YK25">
        <f t="shared" si="662"/>
        <v>43.27351155380893</v>
      </c>
      <c r="YL25">
        <f t="shared" si="662"/>
        <v>43.511041507462615</v>
      </c>
      <c r="YM25">
        <f t="shared" si="662"/>
        <v>43.748393020180913</v>
      </c>
      <c r="YN25">
        <f t="shared" si="662"/>
        <v>43.985525830390237</v>
      </c>
      <c r="YO25">
        <f t="shared" si="662"/>
        <v>44.222399944719228</v>
      </c>
      <c r="YP25">
        <f t="shared" si="662"/>
        <v>44.458975630751738</v>
      </c>
      <c r="YQ25">
        <f t="shared" si="662"/>
        <v>44.695213410843181</v>
      </c>
      <c r="YR25">
        <f t="shared" si="662"/>
        <v>44.931074056881499</v>
      </c>
      <c r="YS25">
        <f t="shared" si="662"/>
        <v>45.166518585887211</v>
      </c>
      <c r="YT25">
        <f t="shared" si="662"/>
        <v>45.40150825635898</v>
      </c>
      <c r="YU25">
        <f t="shared" si="662"/>
        <v>45.63600456528183</v>
      </c>
      <c r="YV25">
        <f t="shared" si="662"/>
        <v>45.869969245724313</v>
      </c>
      <c r="YW25">
        <f t="shared" si="662"/>
        <v>46.103364264959218</v>
      </c>
      <c r="YX25">
        <f t="shared" si="662"/>
        <v>46.336151823049747</v>
      </c>
      <c r="YY25">
        <f t="shared" si="662"/>
        <v>46.568294351849595</v>
      </c>
      <c r="YZ25">
        <f t="shared" si="662"/>
        <v>46.799754514371017</v>
      </c>
      <c r="ZA25">
        <f t="shared" si="662"/>
        <v>47.030495204480104</v>
      </c>
      <c r="ZB25">
        <f t="shared" si="662"/>
        <v>47.260479546882962</v>
      </c>
      <c r="ZC25">
        <f t="shared" si="662"/>
        <v>47.489670897370523</v>
      </c>
      <c r="ZD25">
        <f t="shared" si="662"/>
        <v>47.718032843293159</v>
      </c>
      <c r="ZE25">
        <f t="shared" si="662"/>
        <v>47.945529204239527</v>
      </c>
      <c r="ZF25">
        <f t="shared" si="662"/>
        <v>48.172124032896704</v>
      </c>
      <c r="ZG25">
        <f t="shared" si="662"/>
        <v>48.397781616071356</v>
      </c>
      <c r="ZH25">
        <f t="shared" si="662"/>
        <v>48.622466475853564</v>
      </c>
      <c r="ZI25">
        <f t="shared" si="662"/>
        <v>48.846143370907185</v>
      </c>
      <c r="ZJ25">
        <f t="shared" si="662"/>
        <v>49.068777297872217</v>
      </c>
      <c r="ZK25">
        <f t="shared" si="662"/>
        <v>49.290333492865983</v>
      </c>
      <c r="ZL25">
        <f t="shared" si="662"/>
        <v>49.510777433071816</v>
      </c>
      <c r="ZM25">
        <f t="shared" si="662"/>
        <v>49.730074838404484</v>
      </c>
      <c r="ZN25">
        <f t="shared" si="662"/>
        <v>49.948191673243223</v>
      </c>
      <c r="ZO25">
        <f t="shared" si="662"/>
        <v>50.165094148223886</v>
      </c>
      <c r="ZP25">
        <f t="shared" si="662"/>
        <v>50.380748722082707</v>
      </c>
      <c r="ZQ25">
        <f t="shared" si="662"/>
        <v>50.595122103544831</v>
      </c>
      <c r="ZR25">
        <f t="shared" si="662"/>
        <v>50.808181253251597</v>
      </c>
      <c r="ZS25">
        <f t="shared" si="662"/>
        <v>51.01989338572097</v>
      </c>
      <c r="ZT25">
        <f t="shared" si="662"/>
        <v>51.230225971336196</v>
      </c>
      <c r="ZU25">
        <f t="shared" si="662"/>
        <v>51.439146738358176</v>
      </c>
      <c r="ZV25">
        <f t="shared" si="662"/>
        <v>51.646623674957468</v>
      </c>
      <c r="ZW25">
        <f t="shared" si="662"/>
        <v>51.852625031262285</v>
      </c>
      <c r="ZX25">
        <f t="shared" si="662"/>
        <v>52.057119321419059</v>
      </c>
      <c r="ZY25">
        <f t="shared" si="662"/>
        <v>52.260075325662598</v>
      </c>
      <c r="ZZ25">
        <f t="shared" si="662"/>
        <v>52.461462092392978</v>
      </c>
      <c r="AAA25">
        <f t="shared" si="662"/>
        <v>52.661248940256776</v>
      </c>
      <c r="AAB25">
        <f t="shared" si="662"/>
        <v>52.859405460230171</v>
      </c>
      <c r="AAC25">
        <f t="shared" si="662"/>
        <v>53.055901517701876</v>
      </c>
      <c r="AAD25">
        <f t="shared" si="662"/>
        <v>53.250707254554001</v>
      </c>
      <c r="AAE25">
        <f t="shared" ref="AAE25:AAO25" si="663">(AAE22-AAD40)*$K9*dt+AAD25</f>
        <v>53.443793091238945</v>
      </c>
      <c r="AAF25">
        <f t="shared" si="663"/>
        <v>53.635129728850742</v>
      </c>
      <c r="AAG25">
        <f t="shared" si="663"/>
        <v>53.824688151189385</v>
      </c>
      <c r="AAH25">
        <f t="shared" si="663"/>
        <v>54.012439626816565</v>
      </c>
      <c r="AAI25">
        <f t="shared" si="663"/>
        <v>54.198355711101733</v>
      </c>
      <c r="AAJ25">
        <f t="shared" si="663"/>
        <v>54.382408248257057</v>
      </c>
      <c r="AAK25">
        <f t="shared" si="663"/>
        <v>54.564569373360335</v>
      </c>
      <c r="AAL25">
        <f t="shared" si="663"/>
        <v>54.744811514364663</v>
      </c>
      <c r="AAM25">
        <f t="shared" si="663"/>
        <v>54.923107394093982</v>
      </c>
      <c r="AAN25">
        <f t="shared" si="663"/>
        <v>55.099430032223459</v>
      </c>
      <c r="AAO25">
        <f t="shared" si="663"/>
        <v>55.273752747243996</v>
      </c>
    </row>
    <row r="26" spans="1:717">
      <c r="A26">
        <f>A25+1</f>
        <v>2</v>
      </c>
      <c r="B26">
        <f>B$24+SUM(G$8:G9)*(B$35-B$24)/G$20</f>
        <v>31.198109316886899</v>
      </c>
      <c r="C26">
        <f t="shared" ref="C26:BN26" si="664">(-B41)*$K10*dt+B26</f>
        <v>31.198109316886899</v>
      </c>
      <c r="D26">
        <f t="shared" si="664"/>
        <v>31.206563893650454</v>
      </c>
      <c r="E26">
        <f t="shared" si="664"/>
        <v>31.225735597128192</v>
      </c>
      <c r="F26">
        <f t="shared" si="664"/>
        <v>31.255682010355908</v>
      </c>
      <c r="G26">
        <f t="shared" si="664"/>
        <v>31.295749998965448</v>
      </c>
      <c r="H26">
        <f t="shared" si="664"/>
        <v>31.345121419916833</v>
      </c>
      <c r="I26">
        <f t="shared" si="664"/>
        <v>31.403000908222012</v>
      </c>
      <c r="J26">
        <f t="shared" si="664"/>
        <v>31.468671127712387</v>
      </c>
      <c r="K26">
        <f t="shared" si="664"/>
        <v>31.541500947896587</v>
      </c>
      <c r="L26">
        <f t="shared" si="664"/>
        <v>31.620938478178239</v>
      </c>
      <c r="M26">
        <f t="shared" si="664"/>
        <v>31.706500512287008</v>
      </c>
      <c r="N26">
        <f t="shared" si="664"/>
        <v>31.797762270140122</v>
      </c>
      <c r="O26">
        <f t="shared" si="664"/>
        <v>31.894348515338152</v>
      </c>
      <c r="P26">
        <f t="shared" si="664"/>
        <v>31.99592615475682</v>
      </c>
      <c r="Q26">
        <f t="shared" si="664"/>
        <v>32.102198134966038</v>
      </c>
      <c r="R26">
        <f t="shared" si="664"/>
        <v>32.212898398465406</v>
      </c>
      <c r="S26">
        <f t="shared" si="664"/>
        <v>32.327787686718075</v>
      </c>
      <c r="T26">
        <f t="shared" si="664"/>
        <v>32.446650017788116</v>
      </c>
      <c r="U26">
        <f t="shared" si="664"/>
        <v>32.56928970476438</v>
      </c>
      <c r="V26">
        <f t="shared" si="664"/>
        <v>32.695528812215784</v>
      </c>
      <c r="W26">
        <f t="shared" si="664"/>
        <v>32.825204971652504</v>
      </c>
      <c r="X26">
        <f t="shared" si="664"/>
        <v>32.95816949468464</v>
      </c>
      <c r="Y26">
        <f t="shared" si="664"/>
        <v>33.094285735719168</v>
      </c>
      <c r="Z26">
        <f t="shared" si="664"/>
        <v>33.233427665828593</v>
      </c>
      <c r="AA26">
        <f t="shared" si="664"/>
        <v>33.375478626785167</v>
      </c>
      <c r="AB26">
        <f t="shared" si="664"/>
        <v>33.520330239857266</v>
      </c>
      <c r="AC26">
        <f t="shared" si="664"/>
        <v>33.667881448293002</v>
      </c>
      <c r="AD26">
        <f t="shared" si="664"/>
        <v>33.81803767581286</v>
      </c>
      <c r="AE26">
        <f t="shared" si="664"/>
        <v>33.970710086140819</v>
      </c>
      <c r="AF26">
        <f t="shared" si="664"/>
        <v>34.125814930794839</v>
      </c>
      <c r="AG26">
        <f t="shared" si="664"/>
        <v>34.283272974155423</v>
      </c>
      <c r="AH26">
        <f t="shared" si="664"/>
        <v>34.443008986325097</v>
      </c>
      <c r="AI26">
        <f t="shared" si="664"/>
        <v>34.604951295546002</v>
      </c>
      <c r="AJ26">
        <f t="shared" si="664"/>
        <v>34.76903139300655</v>
      </c>
      <c r="AK26">
        <f t="shared" si="664"/>
        <v>34.935183583776286</v>
      </c>
      <c r="AL26">
        <f t="shared" si="664"/>
        <v>35.103344678389284</v>
      </c>
      <c r="AM26">
        <f t="shared" si="664"/>
        <v>35.273453720271156</v>
      </c>
      <c r="AN26">
        <f t="shared" si="664"/>
        <v>35.445451744790454</v>
      </c>
      <c r="AO26">
        <f t="shared" si="664"/>
        <v>35.619281566225318</v>
      </c>
      <c r="AP26">
        <f t="shared" si="664"/>
        <v>35.794887589381304</v>
      </c>
      <c r="AQ26">
        <f t="shared" si="664"/>
        <v>35.9722156429862</v>
      </c>
      <c r="AR26">
        <f t="shared" si="664"/>
        <v>36.151212832328874</v>
      </c>
      <c r="AS26">
        <f t="shared" si="664"/>
        <v>36.331827408909227</v>
      </c>
      <c r="AT26">
        <f t="shared" si="664"/>
        <v>36.514008655129544</v>
      </c>
      <c r="AU26">
        <f t="shared" si="664"/>
        <v>36.697706782289281</v>
      </c>
      <c r="AV26">
        <f t="shared" si="664"/>
        <v>36.882872840349314</v>
      </c>
      <c r="AW26">
        <f t="shared" si="664"/>
        <v>37.069458638111115</v>
      </c>
      <c r="AX26">
        <f t="shared" si="664"/>
        <v>37.257416672614667</v>
      </c>
      <c r="AY26">
        <f t="shared" si="664"/>
        <v>37.446700066698433</v>
      </c>
      <c r="AZ26">
        <f t="shared" si="664"/>
        <v>37.63726251378764</v>
      </c>
      <c r="BA26">
        <f t="shared" si="664"/>
        <v>37.829058229085575</v>
      </c>
      <c r="BB26">
        <f t="shared" si="664"/>
        <v>38.022041906438581</v>
      </c>
      <c r="BC26">
        <f t="shared" si="664"/>
        <v>38.2161686802296</v>
      </c>
      <c r="BD26">
        <f t="shared" si="664"/>
        <v>38.41139409172991</v>
      </c>
      <c r="BE26">
        <f t="shared" si="664"/>
        <v>38.60767405940453</v>
      </c>
      <c r="BF26">
        <f t="shared" si="664"/>
        <v>38.804964852724787</v>
      </c>
      <c r="BG26">
        <f t="shared" si="664"/>
        <v>39.003223069093103</v>
      </c>
      <c r="BH26">
        <f t="shared" si="664"/>
        <v>39.202405613530203</v>
      </c>
      <c r="BI26">
        <f t="shared" si="664"/>
        <v>39.402469680815294</v>
      </c>
      <c r="BJ26">
        <f t="shared" si="664"/>
        <v>39.603372739804904</v>
      </c>
      <c r="BK26">
        <f t="shared" si="664"/>
        <v>39.805072519687691</v>
      </c>
      <c r="BL26">
        <f t="shared" si="664"/>
        <v>40.007526997959943</v>
      </c>
      <c r="BM26">
        <f t="shared" si="664"/>
        <v>40.210694389931135</v>
      </c>
      <c r="BN26">
        <f t="shared" si="664"/>
        <v>40.414533139590525</v>
      </c>
      <c r="BO26">
        <f t="shared" ref="BO26:DZ26" si="665">(-BN41)*$K10*dt+BN26</f>
        <v>40.619001911684855</v>
      </c>
      <c r="BP26">
        <f t="shared" si="665"/>
        <v>40.824059584874242</v>
      </c>
      <c r="BQ26">
        <f t="shared" si="665"/>
        <v>41.029665245848257</v>
      </c>
      <c r="BR26">
        <f t="shared" si="665"/>
        <v>41.235778184297523</v>
      </c>
      <c r="BS26">
        <f t="shared" si="665"/>
        <v>41.442357888647855</v>
      </c>
      <c r="BT26">
        <f t="shared" si="665"/>
        <v>41.64936404247441</v>
      </c>
      <c r="BU26">
        <f t="shared" si="665"/>
        <v>41.856756521522385</v>
      </c>
      <c r="BV26">
        <f t="shared" si="665"/>
        <v>42.064495391269212</v>
      </c>
      <c r="BW26">
        <f t="shared" si="665"/>
        <v>42.272540904970136</v>
      </c>
      <c r="BX26">
        <f t="shared" si="665"/>
        <v>42.480853502135638</v>
      </c>
      <c r="BY26">
        <f t="shared" si="665"/>
        <v>42.689393807394843</v>
      </c>
      <c r="BZ26">
        <f t="shared" si="665"/>
        <v>42.898122629703948</v>
      </c>
      <c r="CA26">
        <f t="shared" si="665"/>
        <v>43.107000961863335</v>
      </c>
      <c r="CB26">
        <f t="shared" si="665"/>
        <v>43.315989980310825</v>
      </c>
      <c r="CC26">
        <f t="shared" si="665"/>
        <v>43.525051045162222</v>
      </c>
      <c r="CD26">
        <f t="shared" si="665"/>
        <v>43.734145700473242</v>
      </c>
      <c r="CE26">
        <f t="shared" si="665"/>
        <v>43.943235674699757</v>
      </c>
      <c r="CF26">
        <f t="shared" si="665"/>
        <v>44.1522828813358</v>
      </c>
      <c r="CG26">
        <f t="shared" si="665"/>
        <v>44.361249419710866</v>
      </c>
      <c r="CH26">
        <f t="shared" si="665"/>
        <v>44.570097575929999</v>
      </c>
      <c r="CI26">
        <f t="shared" si="665"/>
        <v>44.778789823941935</v>
      </c>
      <c r="CJ26">
        <f t="shared" si="665"/>
        <v>44.98728882672205</v>
      </c>
      <c r="CK26">
        <f t="shared" si="665"/>
        <v>45.195557437558271</v>
      </c>
      <c r="CL26">
        <f t="shared" si="665"/>
        <v>45.403558701429226</v>
      </c>
      <c r="CM26">
        <f t="shared" si="665"/>
        <v>45.6112558564651</v>
      </c>
      <c r="CN26">
        <f t="shared" si="665"/>
        <v>45.818612335482612</v>
      </c>
      <c r="CO26">
        <f t="shared" si="665"/>
        <v>46.025591767586285</v>
      </c>
      <c r="CP26">
        <f t="shared" si="665"/>
        <v>46.232157979829047</v>
      </c>
      <c r="CQ26">
        <f t="shared" si="665"/>
        <v>46.438274998925849</v>
      </c>
      <c r="CR26">
        <f t="shared" si="665"/>
        <v>46.643907053014573</v>
      </c>
      <c r="CS26">
        <f t="shared" si="665"/>
        <v>46.849018573459077</v>
      </c>
      <c r="CT26">
        <f t="shared" si="665"/>
        <v>47.053574196689688</v>
      </c>
      <c r="CU26">
        <f t="shared" si="665"/>
        <v>47.257538766076884</v>
      </c>
      <c r="CV26">
        <f t="shared" si="665"/>
        <v>47.460877333834347</v>
      </c>
      <c r="CW26">
        <f t="shared" si="665"/>
        <v>47.663555162947752</v>
      </c>
      <c r="CX26">
        <f t="shared" si="665"/>
        <v>47.86553772912621</v>
      </c>
      <c r="CY26">
        <f t="shared" si="665"/>
        <v>48.066790722773383</v>
      </c>
      <c r="CZ26">
        <f t="shared" si="665"/>
        <v>48.267280050975522</v>
      </c>
      <c r="DA26">
        <f t="shared" si="665"/>
        <v>48.466971839504076</v>
      </c>
      <c r="DB26">
        <f t="shared" si="665"/>
        <v>48.66583243483052</v>
      </c>
      <c r="DC26">
        <f t="shared" si="665"/>
        <v>48.863828406151349</v>
      </c>
      <c r="DD26">
        <f t="shared" si="665"/>
        <v>49.060926547421332</v>
      </c>
      <c r="DE26">
        <f t="shared" si="665"/>
        <v>49.257093879393189</v>
      </c>
      <c r="DF26">
        <f t="shared" si="665"/>
        <v>49.4522976516621</v>
      </c>
      <c r="DG26">
        <f t="shared" si="665"/>
        <v>49.646505344713489</v>
      </c>
      <c r="DH26">
        <f t="shared" si="665"/>
        <v>49.83968467197267</v>
      </c>
      <c r="DI26">
        <f t="shared" si="665"/>
        <v>50.031803581854952</v>
      </c>
      <c r="DJ26">
        <f t="shared" si="665"/>
        <v>50.222830259815105</v>
      </c>
      <c r="DK26">
        <f t="shared" si="665"/>
        <v>50.412733130394862</v>
      </c>
      <c r="DL26">
        <f t="shared" si="665"/>
        <v>50.601480859267447</v>
      </c>
      <c r="DM26">
        <f t="shared" si="665"/>
        <v>50.789042355278106</v>
      </c>
      <c r="DN26">
        <f t="shared" si="665"/>
        <v>50.975386772479581</v>
      </c>
      <c r="DO26">
        <f t="shared" si="665"/>
        <v>51.160483512161747</v>
      </c>
      <c r="DP26">
        <f t="shared" si="665"/>
        <v>51.344302224874362</v>
      </c>
      <c r="DQ26">
        <f t="shared" si="665"/>
        <v>51.526812812442259</v>
      </c>
      <c r="DR26">
        <f t="shared" si="665"/>
        <v>51.707985429972091</v>
      </c>
      <c r="DS26">
        <f t="shared" si="665"/>
        <v>51.887790487849927</v>
      </c>
      <c r="DT26">
        <f t="shared" si="665"/>
        <v>52.066198653728932</v>
      </c>
      <c r="DU26">
        <f t="shared" si="665"/>
        <v>52.243180854506498</v>
      </c>
      <c r="DV26">
        <f t="shared" si="665"/>
        <v>52.418708278290126</v>
      </c>
      <c r="DW26">
        <f t="shared" si="665"/>
        <v>52.59275237635142</v>
      </c>
      <c r="DX26">
        <f t="shared" si="665"/>
        <v>52.765284865067613</v>
      </c>
      <c r="DY26">
        <f t="shared" si="665"/>
        <v>52.936277727850005</v>
      </c>
      <c r="DZ26">
        <f t="shared" si="665"/>
        <v>53.105703217058768</v>
      </c>
      <c r="EA26">
        <f t="shared" ref="EA26:GL26" si="666">(-DZ41)*$K10*dt+DZ26</f>
        <v>53.273533855903537</v>
      </c>
      <c r="EB26">
        <f t="shared" si="666"/>
        <v>53.439742440329312</v>
      </c>
      <c r="EC26">
        <f t="shared" si="666"/>
        <v>53.604302040887077</v>
      </c>
      <c r="ED26">
        <f t="shared" si="666"/>
        <v>53.767186004588723</v>
      </c>
      <c r="EE26">
        <f t="shared" si="666"/>
        <v>53.928367956745674</v>
      </c>
      <c r="EF26">
        <f t="shared" si="666"/>
        <v>54.087821802790906</v>
      </c>
      <c r="EG26">
        <f t="shared" si="666"/>
        <v>54.24552173008373</v>
      </c>
      <c r="EH26">
        <f t="shared" si="666"/>
        <v>54.401442209697002</v>
      </c>
      <c r="EI26">
        <f t="shared" si="666"/>
        <v>54.555557998186309</v>
      </c>
      <c r="EJ26">
        <f t="shared" si="666"/>
        <v>54.707844139340637</v>
      </c>
      <c r="EK26">
        <f t="shared" si="666"/>
        <v>54.85827596591421</v>
      </c>
      <c r="EL26">
        <f t="shared" si="666"/>
        <v>55.006829101339008</v>
      </c>
      <c r="EM26">
        <f t="shared" si="666"/>
        <v>55.153479461417618</v>
      </c>
      <c r="EN26">
        <f t="shared" si="666"/>
        <v>55.298203255996</v>
      </c>
      <c r="EO26">
        <f t="shared" si="666"/>
        <v>55.44097699061583</v>
      </c>
      <c r="EP26">
        <f t="shared" si="666"/>
        <v>55.581777468145987</v>
      </c>
      <c r="EQ26">
        <f t="shared" si="666"/>
        <v>55.720581790392899</v>
      </c>
      <c r="ER26">
        <f t="shared" si="666"/>
        <v>55.85736735968932</v>
      </c>
      <c r="ES26">
        <f t="shared" si="666"/>
        <v>55.992111880461245</v>
      </c>
      <c r="ET26">
        <f t="shared" si="666"/>
        <v>56.124793360772578</v>
      </c>
      <c r="EU26">
        <f t="shared" si="666"/>
        <v>56.255390113847284</v>
      </c>
      <c r="EV26">
        <f t="shared" si="666"/>
        <v>56.383880759568584</v>
      </c>
      <c r="EW26">
        <f t="shared" si="666"/>
        <v>56.510244225955041</v>
      </c>
      <c r="EX26">
        <f t="shared" si="666"/>
        <v>56.634459750613047</v>
      </c>
      <c r="EY26">
        <f t="shared" si="666"/>
        <v>56.756506882165503</v>
      </c>
      <c r="EZ26">
        <f t="shared" si="666"/>
        <v>56.876365481656428</v>
      </c>
      <c r="FA26">
        <f t="shared" si="666"/>
        <v>56.994015723931049</v>
      </c>
      <c r="FB26">
        <f t="shared" si="666"/>
        <v>57.109438098991269</v>
      </c>
      <c r="FC26">
        <f t="shared" si="666"/>
        <v>57.22261341332608</v>
      </c>
      <c r="FD26">
        <f t="shared" si="666"/>
        <v>57.333522791216723</v>
      </c>
      <c r="FE26">
        <f t="shared" si="666"/>
        <v>57.442147676016297</v>
      </c>
      <c r="FF26">
        <f t="shared" si="666"/>
        <v>57.54846983140358</v>
      </c>
      <c r="FG26">
        <f t="shared" si="666"/>
        <v>57.65247134261071</v>
      </c>
      <c r="FH26">
        <f t="shared" si="666"/>
        <v>57.754134617624608</v>
      </c>
      <c r="FI26">
        <f t="shared" si="666"/>
        <v>57.853442388361763</v>
      </c>
      <c r="FJ26">
        <f t="shared" si="666"/>
        <v>57.950377711816238</v>
      </c>
      <c r="FK26">
        <f t="shared" si="666"/>
        <v>58.044923971180538</v>
      </c>
      <c r="FL26">
        <f t="shared" si="666"/>
        <v>58.137064876939235</v>
      </c>
      <c r="FM26">
        <f t="shared" si="666"/>
        <v>58.22678446793504</v>
      </c>
      <c r="FN26">
        <f t="shared" si="666"/>
        <v>58.314067112407102</v>
      </c>
      <c r="FO26">
        <f t="shared" si="666"/>
        <v>58.398897509001337</v>
      </c>
      <c r="FP26">
        <f t="shared" si="666"/>
        <v>58.481260687752538</v>
      </c>
      <c r="FQ26">
        <f t="shared" si="666"/>
        <v>58.561142011038115</v>
      </c>
      <c r="FR26">
        <f t="shared" si="666"/>
        <v>58.638527174503203</v>
      </c>
      <c r="FS26">
        <f t="shared" si="666"/>
        <v>58.713402207956953</v>
      </c>
      <c r="FT26">
        <f t="shared" si="666"/>
        <v>58.785753476239812</v>
      </c>
      <c r="FU26">
        <f t="shared" si="666"/>
        <v>58.855567680061604</v>
      </c>
      <c r="FV26">
        <f t="shared" si="666"/>
        <v>58.922831856810255</v>
      </c>
      <c r="FW26">
        <f t="shared" si="666"/>
        <v>58.987533381330891</v>
      </c>
      <c r="FX26">
        <f t="shared" si="666"/>
        <v>59.049659966675222</v>
      </c>
      <c r="FY26">
        <f t="shared" si="666"/>
        <v>59.109199664821041</v>
      </c>
      <c r="FZ26">
        <f t="shared" si="666"/>
        <v>59.166140867361577</v>
      </c>
      <c r="GA26">
        <f t="shared" si="666"/>
        <v>59.220472306164638</v>
      </c>
      <c r="GB26">
        <f t="shared" si="666"/>
        <v>59.272183054001353</v>
      </c>
      <c r="GC26">
        <f t="shared" si="666"/>
        <v>59.32126252514432</v>
      </c>
      <c r="GD26">
        <f t="shared" si="666"/>
        <v>59.367700475935088</v>
      </c>
      <c r="GE26">
        <f t="shared" si="666"/>
        <v>59.411487005320772</v>
      </c>
      <c r="GF26">
        <f t="shared" si="666"/>
        <v>59.452612555359664</v>
      </c>
      <c r="GG26">
        <f t="shared" si="666"/>
        <v>59.49106791169573</v>
      </c>
      <c r="GH26">
        <f t="shared" si="666"/>
        <v>59.526844204001861</v>
      </c>
      <c r="GI26">
        <f t="shared" si="666"/>
        <v>59.55993290639173</v>
      </c>
      <c r="GJ26">
        <f t="shared" si="666"/>
        <v>59.59032583780013</v>
      </c>
      <c r="GK26">
        <f t="shared" si="666"/>
        <v>59.618015162331751</v>
      </c>
      <c r="GL26">
        <f t="shared" si="666"/>
        <v>59.642993389578137</v>
      </c>
      <c r="GM26">
        <f t="shared" ref="GM26:IX26" si="667">(-GL41)*$K10*dt+GL26</f>
        <v>59.665253374902896</v>
      </c>
      <c r="GN26">
        <f t="shared" si="667"/>
        <v>59.684788319694896</v>
      </c>
      <c r="GO26">
        <f t="shared" si="667"/>
        <v>59.70159177158947</v>
      </c>
      <c r="GP26">
        <f t="shared" si="667"/>
        <v>59.71565762465746</v>
      </c>
      <c r="GQ26">
        <f t="shared" si="667"/>
        <v>59.726980119562043</v>
      </c>
      <c r="GR26">
        <f t="shared" si="667"/>
        <v>59.735553843683256</v>
      </c>
      <c r="GS26">
        <f t="shared" si="667"/>
        <v>59.741373731210118</v>
      </c>
      <c r="GT26">
        <f t="shared" si="667"/>
        <v>59.744435063200314</v>
      </c>
      <c r="GU26">
        <f t="shared" si="667"/>
        <v>59.744733467607304</v>
      </c>
      <c r="GV26">
        <f t="shared" si="667"/>
        <v>59.742264919274866</v>
      </c>
      <c r="GW26">
        <f t="shared" si="667"/>
        <v>59.737025739898932</v>
      </c>
      <c r="GX26">
        <f t="shared" si="667"/>
        <v>59.729012597956761</v>
      </c>
      <c r="GY26">
        <f t="shared" si="667"/>
        <v>59.718222508603247</v>
      </c>
      <c r="GZ26">
        <f t="shared" si="667"/>
        <v>59.704652833534489</v>
      </c>
      <c r="HA26">
        <f t="shared" si="667"/>
        <v>59.688301280818429</v>
      </c>
      <c r="HB26">
        <f t="shared" si="667"/>
        <v>59.669165904692598</v>
      </c>
      <c r="HC26">
        <f t="shared" si="667"/>
        <v>59.647245105328906</v>
      </c>
      <c r="HD26">
        <f t="shared" si="667"/>
        <v>59.622537628565468</v>
      </c>
      <c r="HE26">
        <f t="shared" si="667"/>
        <v>59.595042565605375</v>
      </c>
      <c r="HF26">
        <f t="shared" si="667"/>
        <v>59.564759352682508</v>
      </c>
      <c r="HG26">
        <f t="shared" si="667"/>
        <v>59.531687770694212</v>
      </c>
      <c r="HH26">
        <f t="shared" si="667"/>
        <v>59.495827944800993</v>
      </c>
      <c r="HI26">
        <f t="shared" si="667"/>
        <v>59.457180343993066</v>
      </c>
      <c r="HJ26">
        <f t="shared" si="667"/>
        <v>59.415745780623872</v>
      </c>
      <c r="HK26">
        <f t="shared" si="667"/>
        <v>59.371525409910483</v>
      </c>
      <c r="HL26">
        <f t="shared" si="667"/>
        <v>59.32452072940093</v>
      </c>
      <c r="HM26">
        <f t="shared" si="667"/>
        <v>59.274733578408487</v>
      </c>
      <c r="HN26">
        <f t="shared" si="667"/>
        <v>59.222166137412849</v>
      </c>
      <c r="HO26">
        <f t="shared" si="667"/>
        <v>59.166820927428311</v>
      </c>
      <c r="HP26">
        <f t="shared" si="667"/>
        <v>59.108700809338863</v>
      </c>
      <c r="HQ26">
        <f t="shared" si="667"/>
        <v>59.047808983200348</v>
      </c>
      <c r="HR26">
        <f t="shared" si="667"/>
        <v>58.984148987509592</v>
      </c>
      <c r="HS26">
        <f t="shared" si="667"/>
        <v>58.917724698440637</v>
      </c>
      <c r="HT26">
        <f t="shared" si="667"/>
        <v>58.848540329048014</v>
      </c>
      <c r="HU26">
        <f t="shared" si="667"/>
        <v>58.776600428437213</v>
      </c>
      <c r="HV26">
        <f t="shared" si="667"/>
        <v>58.701909880902313</v>
      </c>
      <c r="HW26">
        <f t="shared" si="667"/>
        <v>58.624473905030804</v>
      </c>
      <c r="HX26">
        <f t="shared" si="667"/>
        <v>58.544298052775751</v>
      </c>
      <c r="HY26">
        <f t="shared" si="667"/>
        <v>58.461388208495272</v>
      </c>
      <c r="HZ26">
        <f t="shared" si="667"/>
        <v>58.375750587959402</v>
      </c>
      <c r="IA26">
        <f t="shared" si="667"/>
        <v>58.287391737324469</v>
      </c>
      <c r="IB26">
        <f t="shared" si="667"/>
        <v>58.196318532074962</v>
      </c>
      <c r="IC26">
        <f t="shared" si="667"/>
        <v>58.102538175933049</v>
      </c>
      <c r="ID26">
        <f t="shared" si="667"/>
        <v>58.006058199735762</v>
      </c>
      <c r="IE26">
        <f t="shared" si="667"/>
        <v>57.906886460279956</v>
      </c>
      <c r="IF26">
        <f t="shared" si="667"/>
        <v>57.805031139135153</v>
      </c>
      <c r="IG26">
        <f t="shared" si="667"/>
        <v>57.700500741424278</v>
      </c>
      <c r="IH26">
        <f t="shared" si="667"/>
        <v>57.593304094572503</v>
      </c>
      <c r="II26">
        <f t="shared" si="667"/>
        <v>57.483450347024196</v>
      </c>
      <c r="IJ26">
        <f t="shared" si="667"/>
        <v>57.370948966928097</v>
      </c>
      <c r="IK26">
        <f t="shared" si="667"/>
        <v>57.255809740790873</v>
      </c>
      <c r="IL26">
        <f t="shared" si="667"/>
        <v>57.138042772099126</v>
      </c>
      <c r="IM26">
        <f t="shared" si="667"/>
        <v>57.017658479909961</v>
      </c>
      <c r="IN26">
        <f t="shared" si="667"/>
        <v>56.894667597410233</v>
      </c>
      <c r="IO26">
        <f t="shared" si="667"/>
        <v>56.769081170444636</v>
      </c>
      <c r="IP26">
        <f t="shared" si="667"/>
        <v>56.640910556012706</v>
      </c>
      <c r="IQ26">
        <f t="shared" si="667"/>
        <v>56.510167420734881</v>
      </c>
      <c r="IR26">
        <f t="shared" si="667"/>
        <v>56.376863739287792</v>
      </c>
      <c r="IS26">
        <f t="shared" si="667"/>
        <v>56.241011792808848</v>
      </c>
      <c r="IT26">
        <f t="shared" si="667"/>
        <v>56.102624167270321</v>
      </c>
      <c r="IU26">
        <f t="shared" si="667"/>
        <v>55.961713751823034</v>
      </c>
      <c r="IV26">
        <f t="shared" si="667"/>
        <v>55.81829373710984</v>
      </c>
      <c r="IW26">
        <f t="shared" si="667"/>
        <v>55.672377613549003</v>
      </c>
      <c r="IX26">
        <f t="shared" si="667"/>
        <v>55.523979169587655</v>
      </c>
      <c r="IY26">
        <f t="shared" ref="IY26:LJ26" si="668">(-IX41)*$K10*dt+IX26</f>
        <v>55.373112489925461</v>
      </c>
      <c r="IZ26">
        <f t="shared" si="668"/>
        <v>55.219791953708743</v>
      </c>
      <c r="JA26">
        <f t="shared" si="668"/>
        <v>55.064032232695098</v>
      </c>
      <c r="JB26">
        <f t="shared" si="668"/>
        <v>54.905848289388786</v>
      </c>
      <c r="JC26">
        <f t="shared" si="668"/>
        <v>54.745255375147018</v>
      </c>
      <c r="JD26">
        <f t="shared" si="668"/>
        <v>54.582269028257315</v>
      </c>
      <c r="JE26">
        <f t="shared" si="668"/>
        <v>54.416905071986136</v>
      </c>
      <c r="JF26">
        <f t="shared" si="668"/>
        <v>54.249179612598951</v>
      </c>
      <c r="JG26">
        <f t="shared" si="668"/>
        <v>54.079109037351948</v>
      </c>
      <c r="JH26">
        <f t="shared" si="668"/>
        <v>53.906710012455576</v>
      </c>
      <c r="JI26">
        <f t="shared" si="668"/>
        <v>53.731999481010071</v>
      </c>
      <c r="JJ26">
        <f t="shared" si="668"/>
        <v>53.554994660913259</v>
      </c>
      <c r="JK26">
        <f t="shared" si="668"/>
        <v>53.375713042740699</v>
      </c>
      <c r="JL26">
        <f t="shared" si="668"/>
        <v>53.194172387598528</v>
      </c>
      <c r="JM26">
        <f t="shared" si="668"/>
        <v>53.010390724949083</v>
      </c>
      <c r="JN26">
        <f t="shared" si="668"/>
        <v>52.824386350409569</v>
      </c>
      <c r="JO26">
        <f t="shared" si="668"/>
        <v>52.636177823524008</v>
      </c>
      <c r="JP26">
        <f t="shared" si="668"/>
        <v>52.445783965508639</v>
      </c>
      <c r="JQ26">
        <f t="shared" si="668"/>
        <v>52.253223856971019</v>
      </c>
      <c r="JR26">
        <f t="shared" si="668"/>
        <v>52.058516835603022</v>
      </c>
      <c r="JS26">
        <f t="shared" si="668"/>
        <v>51.861682493848036</v>
      </c>
      <c r="JT26">
        <f t="shared" si="668"/>
        <v>51.662740676542462</v>
      </c>
      <c r="JU26">
        <f t="shared" si="668"/>
        <v>51.461711478531889</v>
      </c>
      <c r="JV26">
        <f t="shared" si="668"/>
        <v>51.258615242262046</v>
      </c>
      <c r="JW26">
        <f t="shared" si="668"/>
        <v>51.053472555344911</v>
      </c>
      <c r="JX26">
        <f t="shared" si="668"/>
        <v>50.846304248100076</v>
      </c>
      <c r="JY26">
        <f t="shared" si="668"/>
        <v>50.637131391071748</v>
      </c>
      <c r="JZ26">
        <f t="shared" si="668"/>
        <v>50.425975292521507</v>
      </c>
      <c r="KA26">
        <f t="shared" si="668"/>
        <v>50.21285749589719</v>
      </c>
      <c r="KB26">
        <f t="shared" si="668"/>
        <v>49.997799777278054</v>
      </c>
      <c r="KC26">
        <f t="shared" si="668"/>
        <v>49.780824142796575</v>
      </c>
      <c r="KD26">
        <f t="shared" si="668"/>
        <v>49.561952826037022</v>
      </c>
      <c r="KE26">
        <f t="shared" si="668"/>
        <v>49.341208285411206</v>
      </c>
      <c r="KF26">
        <f t="shared" si="668"/>
        <v>49.118613201511536</v>
      </c>
      <c r="KG26">
        <f t="shared" si="668"/>
        <v>48.894190474441757</v>
      </c>
      <c r="KH26">
        <f t="shared" si="668"/>
        <v>48.667963221125582</v>
      </c>
      <c r="KI26">
        <f t="shared" si="668"/>
        <v>48.439954772593509</v>
      </c>
      <c r="KJ26">
        <f t="shared" si="668"/>
        <v>48.210188671248076</v>
      </c>
      <c r="KK26">
        <f t="shared" si="668"/>
        <v>47.978688668107893</v>
      </c>
      <c r="KL26">
        <f t="shared" si="668"/>
        <v>47.745478720030668</v>
      </c>
      <c r="KM26">
        <f t="shared" si="668"/>
        <v>47.510582986915544</v>
      </c>
      <c r="KN26">
        <f t="shared" si="668"/>
        <v>47.274025828885001</v>
      </c>
      <c r="KO26">
        <f t="shared" si="668"/>
        <v>47.035831803446669</v>
      </c>
      <c r="KP26">
        <f t="shared" si="668"/>
        <v>46.796025662635294</v>
      </c>
      <c r="KQ26">
        <f t="shared" si="668"/>
        <v>46.554632350135172</v>
      </c>
      <c r="KR26">
        <f t="shared" si="668"/>
        <v>46.320131575146874</v>
      </c>
      <c r="KS26">
        <f t="shared" si="668"/>
        <v>46.094811205895041</v>
      </c>
      <c r="KT26">
        <f t="shared" si="668"/>
        <v>45.878754326592059</v>
      </c>
      <c r="KU26">
        <f t="shared" si="668"/>
        <v>45.671333483996229</v>
      </c>
      <c r="KV26">
        <f t="shared" si="668"/>
        <v>45.471756393173074</v>
      </c>
      <c r="KW26">
        <f t="shared" si="668"/>
        <v>45.279253721230624</v>
      </c>
      <c r="KX26">
        <f t="shared" si="668"/>
        <v>45.093134335081047</v>
      </c>
      <c r="KY26">
        <f t="shared" si="668"/>
        <v>44.912793475275343</v>
      </c>
      <c r="KZ26">
        <f t="shared" si="668"/>
        <v>44.737705787181334</v>
      </c>
      <c r="LA26">
        <f t="shared" si="668"/>
        <v>44.567414762358418</v>
      </c>
      <c r="LB26">
        <f t="shared" si="668"/>
        <v>44.401522477346617</v>
      </c>
      <c r="LC26">
        <f t="shared" si="668"/>
        <v>44.239680708074069</v>
      </c>
      <c r="LD26">
        <f t="shared" si="668"/>
        <v>44.081583526345028</v>
      </c>
      <c r="LE26">
        <f t="shared" si="668"/>
        <v>43.926961193139896</v>
      </c>
      <c r="LF26">
        <f t="shared" si="668"/>
        <v>43.775575111716847</v>
      </c>
      <c r="LG26">
        <f t="shared" si="668"/>
        <v>43.627213627497248</v>
      </c>
      <c r="LH26">
        <f t="shared" si="668"/>
        <v>43.481688502540422</v>
      </c>
      <c r="LI26">
        <f t="shared" si="668"/>
        <v>43.338831930790967</v>
      </c>
      <c r="LJ26">
        <f t="shared" si="668"/>
        <v>43.198493991343994</v>
      </c>
      <c r="LK26">
        <f t="shared" ref="LK26:NV26" si="669">(-LJ41)*$K10*dt+LJ26</f>
        <v>43.06054046070301</v>
      </c>
      <c r="LL26">
        <f t="shared" si="669"/>
        <v>42.924850922722435</v>
      </c>
      <c r="LM26">
        <f t="shared" si="669"/>
        <v>42.791317128075832</v>
      </c>
      <c r="LN26">
        <f t="shared" si="669"/>
        <v>42.659841564883642</v>
      </c>
      <c r="LO26">
        <f t="shared" si="669"/>
        <v>42.530336209494614</v>
      </c>
      <c r="LP26">
        <f t="shared" si="669"/>
        <v>42.402721432017891</v>
      </c>
      <c r="LQ26">
        <f t="shared" si="669"/>
        <v>42.276925035531114</v>
      </c>
      <c r="LR26">
        <f t="shared" si="669"/>
        <v>42.152881411286749</v>
      </c>
      <c r="LS26">
        <f t="shared" si="669"/>
        <v>42.030530794946401</v>
      </c>
      <c r="LT26">
        <f t="shared" si="669"/>
        <v>41.909818611064296</v>
      </c>
      <c r="LU26">
        <f t="shared" si="669"/>
        <v>41.790694894839156</v>
      </c>
      <c r="LV26">
        <f t="shared" si="669"/>
        <v>41.673113781647437</v>
      </c>
      <c r="LW26">
        <f t="shared" si="669"/>
        <v>41.557033056125647</v>
      </c>
      <c r="LX26">
        <f t="shared" si="669"/>
        <v>41.442413753632955</v>
      </c>
      <c r="LY26">
        <f t="shared" si="669"/>
        <v>41.329219807833638</v>
      </c>
      <c r="LZ26">
        <f t="shared" si="669"/>
        <v>41.217417738920027</v>
      </c>
      <c r="MA26">
        <f t="shared" si="669"/>
        <v>41.106976377671351</v>
      </c>
      <c r="MB26">
        <f t="shared" si="669"/>
        <v>40.997866621129724</v>
      </c>
      <c r="MC26">
        <f t="shared" si="669"/>
        <v>40.8900612161843</v>
      </c>
      <c r="MD26">
        <f t="shared" si="669"/>
        <v>40.783534567800125</v>
      </c>
      <c r="ME26">
        <f t="shared" si="669"/>
        <v>40.678262569017626</v>
      </c>
      <c r="MF26">
        <f t="shared" si="669"/>
        <v>40.574222450190312</v>
      </c>
      <c r="MG26">
        <f t="shared" si="669"/>
        <v>40.471392645228008</v>
      </c>
      <c r="MH26">
        <f t="shared" si="669"/>
        <v>40.369752672876324</v>
      </c>
      <c r="MI26">
        <f t="shared" si="669"/>
        <v>40.269283031294783</v>
      </c>
      <c r="MJ26">
        <f t="shared" si="669"/>
        <v>40.169965104399935</v>
      </c>
      <c r="MK26">
        <f t="shared" si="669"/>
        <v>40.071781078619331</v>
      </c>
      <c r="ML26">
        <f t="shared" si="669"/>
        <v>39.974713868860519</v>
      </c>
      <c r="MM26">
        <f t="shared" si="669"/>
        <v>39.878747052638765</v>
      </c>
      <c r="MN26">
        <f t="shared" si="669"/>
        <v>39.783864811430028</v>
      </c>
      <c r="MO26">
        <f t="shared" si="669"/>
        <v>39.690051878424441</v>
      </c>
      <c r="MP26">
        <f t="shared" si="669"/>
        <v>39.597293491951113</v>
      </c>
      <c r="MQ26">
        <f t="shared" si="669"/>
        <v>39.505575353929679</v>
      </c>
      <c r="MR26">
        <f t="shared" si="669"/>
        <v>39.414883592778487</v>
      </c>
      <c r="MS26">
        <f t="shared" si="669"/>
        <v>39.325204730275281</v>
      </c>
      <c r="MT26">
        <f t="shared" si="669"/>
        <v>39.236525651924289</v>
      </c>
      <c r="MU26">
        <f t="shared" si="669"/>
        <v>39.148833580435067</v>
      </c>
      <c r="MV26">
        <f t="shared" si="669"/>
        <v>39.06211605196377</v>
      </c>
      <c r="MW26">
        <f t="shared" si="669"/>
        <v>38.976360894807627</v>
      </c>
      <c r="MX26">
        <f t="shared" si="669"/>
        <v>38.891556210278836</v>
      </c>
      <c r="MY26">
        <f t="shared" si="669"/>
        <v>38.807690355515405</v>
      </c>
      <c r="MZ26">
        <f t="shared" si="669"/>
        <v>38.72475192801415</v>
      </c>
      <c r="NA26">
        <f t="shared" si="669"/>
        <v>38.642729751695512</v>
      </c>
      <c r="NB26">
        <f t="shared" si="669"/>
        <v>38.561612864331551</v>
      </c>
      <c r="NC26">
        <f t="shared" si="669"/>
        <v>38.481390506187587</v>
      </c>
      <c r="ND26">
        <f t="shared" si="669"/>
        <v>38.402052109744886</v>
      </c>
      <c r="NE26">
        <f t="shared" si="669"/>
        <v>38.323587290386833</v>
      </c>
      <c r="NF26">
        <f t="shared" si="669"/>
        <v>38.245985837944168</v>
      </c>
      <c r="NG26">
        <f t="shared" si="669"/>
        <v>38.169237709006829</v>
      </c>
      <c r="NH26">
        <f t="shared" si="669"/>
        <v>38.093333019920081</v>
      </c>
      <c r="NI26">
        <f t="shared" si="669"/>
        <v>38.018262040391967</v>
      </c>
      <c r="NJ26">
        <f t="shared" si="669"/>
        <v>37.944015187647302</v>
      </c>
      <c r="NK26">
        <f t="shared" si="669"/>
        <v>37.870583021070502</v>
      </c>
      <c r="NL26">
        <f t="shared" si="669"/>
        <v>37.797956237286094</v>
      </c>
      <c r="NM26">
        <f t="shared" si="669"/>
        <v>37.726125665631329</v>
      </c>
      <c r="NN26">
        <f t="shared" si="669"/>
        <v>37.655082263980425</v>
      </c>
      <c r="NO26">
        <f t="shared" si="669"/>
        <v>37.584817114884309</v>
      </c>
      <c r="NP26">
        <f t="shared" si="669"/>
        <v>37.515321421993853</v>
      </c>
      <c r="NQ26">
        <f t="shared" si="669"/>
        <v>37.446586506737951</v>
      </c>
      <c r="NR26">
        <f t="shared" si="669"/>
        <v>37.378603805230981</v>
      </c>
      <c r="NS26">
        <f t="shared" si="669"/>
        <v>37.311364865386956</v>
      </c>
      <c r="NT26">
        <f t="shared" si="669"/>
        <v>37.244861344220112</v>
      </c>
      <c r="NU26">
        <f t="shared" si="669"/>
        <v>37.179085005313816</v>
      </c>
      <c r="NV26">
        <f t="shared" si="669"/>
        <v>37.114027716441761</v>
      </c>
      <c r="NW26">
        <f t="shared" ref="NW26:QH26" si="670">(-NV41)*$K10*dt+NV26</f>
        <v>37.049681447326918</v>
      </c>
      <c r="NX26">
        <f t="shared" si="670"/>
        <v>36.986038267525451</v>
      </c>
      <c r="NY26">
        <f t="shared" si="670"/>
        <v>36.923090344424054</v>
      </c>
      <c r="NZ26">
        <f t="shared" si="670"/>
        <v>36.860829941340391</v>
      </c>
      <c r="OA26">
        <f t="shared" si="670"/>
        <v>36.799249415717419</v>
      </c>
      <c r="OB26">
        <f t="shared" si="670"/>
        <v>36.738341217403352</v>
      </c>
      <c r="OC26">
        <f t="shared" si="670"/>
        <v>36.678097887009827</v>
      </c>
      <c r="OD26">
        <f t="shared" si="670"/>
        <v>36.618512054341615</v>
      </c>
      <c r="OE26">
        <f t="shared" si="670"/>
        <v>36.559576436891952</v>
      </c>
      <c r="OF26">
        <f t="shared" si="670"/>
        <v>36.501283838398074</v>
      </c>
      <c r="OG26">
        <f t="shared" si="670"/>
        <v>36.443627147452169</v>
      </c>
      <c r="OH26">
        <f t="shared" si="670"/>
        <v>36.386599336163385</v>
      </c>
      <c r="OI26">
        <f t="shared" si="670"/>
        <v>36.330193458867008</v>
      </c>
      <c r="OJ26">
        <f t="shared" si="670"/>
        <v>36.274402650877256</v>
      </c>
      <c r="OK26">
        <f t="shared" si="670"/>
        <v>36.219220127280508</v>
      </c>
      <c r="OL26">
        <f t="shared" si="670"/>
        <v>36.16463918176612</v>
      </c>
      <c r="OM26">
        <f t="shared" si="670"/>
        <v>36.110653185492218</v>
      </c>
      <c r="ON26">
        <f t="shared" si="670"/>
        <v>36.057255585984102</v>
      </c>
      <c r="OO26">
        <f t="shared" si="670"/>
        <v>36.004439906063148</v>
      </c>
      <c r="OP26">
        <f t="shared" si="670"/>
        <v>35.952199742804247</v>
      </c>
      <c r="OQ26">
        <f t="shared" si="670"/>
        <v>35.900528766520068</v>
      </c>
      <c r="OR26">
        <f t="shared" si="670"/>
        <v>35.849420719770507</v>
      </c>
      <c r="OS26">
        <f t="shared" si="670"/>
        <v>35.798869416395881</v>
      </c>
      <c r="OT26">
        <f t="shared" si="670"/>
        <v>35.748868740572554</v>
      </c>
      <c r="OU26">
        <f t="shared" si="670"/>
        <v>35.699412645889751</v>
      </c>
      <c r="OV26">
        <f t="shared" si="670"/>
        <v>35.650495154446489</v>
      </c>
      <c r="OW26">
        <f t="shared" si="670"/>
        <v>35.602110355967596</v>
      </c>
      <c r="OX26">
        <f t="shared" si="670"/>
        <v>35.554252406937898</v>
      </c>
      <c r="OY26">
        <f t="shared" si="670"/>
        <v>35.506915529753677</v>
      </c>
      <c r="OZ26">
        <f t="shared" si="670"/>
        <v>35.460094011890689</v>
      </c>
      <c r="PA26">
        <f t="shared" si="670"/>
        <v>35.413782205087948</v>
      </c>
      <c r="PB26">
        <f t="shared" si="670"/>
        <v>35.367974524546668</v>
      </c>
      <c r="PC26">
        <f t="shared" si="670"/>
        <v>35.322665448143702</v>
      </c>
      <c r="PD26">
        <f t="shared" si="670"/>
        <v>35.277849515658929</v>
      </c>
      <c r="PE26">
        <f t="shared" si="670"/>
        <v>35.233521328016046</v>
      </c>
      <c r="PF26">
        <f t="shared" si="670"/>
        <v>35.189675546536321</v>
      </c>
      <c r="PG26">
        <f t="shared" si="670"/>
        <v>35.146306892204741</v>
      </c>
      <c r="PH26">
        <f t="shared" si="670"/>
        <v>35.103410144948292</v>
      </c>
      <c r="PI26">
        <f t="shared" si="670"/>
        <v>35.060980142925793</v>
      </c>
      <c r="PJ26">
        <f t="shared" si="670"/>
        <v>35.019011781829064</v>
      </c>
      <c r="PK26">
        <f t="shared" si="670"/>
        <v>34.977500014195009</v>
      </c>
      <c r="PL26">
        <f t="shared" si="670"/>
        <v>34.936439848728249</v>
      </c>
      <c r="PM26">
        <f t="shared" si="670"/>
        <v>34.895826349634106</v>
      </c>
      <c r="PN26">
        <f t="shared" si="670"/>
        <v>34.855654635961557</v>
      </c>
      <c r="PO26">
        <f t="shared" si="670"/>
        <v>34.815919880955896</v>
      </c>
      <c r="PP26">
        <f t="shared" si="670"/>
        <v>34.776617311420921</v>
      </c>
      <c r="PQ26">
        <f t="shared" si="670"/>
        <v>34.737742207090292</v>
      </c>
      <c r="PR26">
        <f t="shared" si="670"/>
        <v>34.69928990000794</v>
      </c>
      <c r="PS26">
        <f t="shared" si="670"/>
        <v>34.661255773917198</v>
      </c>
      <c r="PT26">
        <f t="shared" si="670"/>
        <v>34.623635263658528</v>
      </c>
      <c r="PU26">
        <f t="shared" si="670"/>
        <v>34.586423854575642</v>
      </c>
      <c r="PV26">
        <f t="shared" si="670"/>
        <v>34.549617081929753</v>
      </c>
      <c r="PW26">
        <f t="shared" si="670"/>
        <v>34.513210530321878</v>
      </c>
      <c r="PX26">
        <f t="shared" si="670"/>
        <v>34.477199833122945</v>
      </c>
      <c r="PY26">
        <f t="shared" si="670"/>
        <v>34.441580671911566</v>
      </c>
      <c r="PZ26">
        <f t="shared" si="670"/>
        <v>34.406348775919334</v>
      </c>
      <c r="QA26">
        <f t="shared" si="670"/>
        <v>34.371499921483455</v>
      </c>
      <c r="QB26">
        <f t="shared" si="670"/>
        <v>34.337029931506592</v>
      </c>
      <c r="QC26">
        <f t="shared" si="670"/>
        <v>34.302934674923797</v>
      </c>
      <c r="QD26">
        <f t="shared" si="670"/>
        <v>34.269210066176363</v>
      </c>
      <c r="QE26">
        <f t="shared" si="670"/>
        <v>34.235852064692494</v>
      </c>
      <c r="QF26">
        <f t="shared" si="670"/>
        <v>34.202856674374623</v>
      </c>
      <c r="QG26">
        <f t="shared" si="670"/>
        <v>34.170219943093336</v>
      </c>
      <c r="QH26">
        <f t="shared" si="670"/>
        <v>34.137937962187706</v>
      </c>
      <c r="QI26">
        <f t="shared" ref="QI26:ST26" si="671">(-QH41)*$K10*dt+QH26</f>
        <v>34.106006865971956</v>
      </c>
      <c r="QJ26">
        <f t="shared" si="671"/>
        <v>34.074422831248356</v>
      </c>
      <c r="QK26">
        <f t="shared" si="671"/>
        <v>34.04318207682622</v>
      </c>
      <c r="QL26">
        <f t="shared" si="671"/>
        <v>34.012280863046946</v>
      </c>
      <c r="QM26">
        <f t="shared" si="671"/>
        <v>33.981715491314894</v>
      </c>
      <c r="QN26">
        <f t="shared" si="671"/>
        <v>33.951482303634165</v>
      </c>
      <c r="QO26">
        <f t="shared" si="671"/>
        <v>33.921577682151018</v>
      </c>
      <c r="QP26">
        <f t="shared" si="671"/>
        <v>33.891998048701993</v>
      </c>
      <c r="QQ26">
        <f t="shared" si="671"/>
        <v>33.862739864367491</v>
      </c>
      <c r="QR26">
        <f t="shared" si="671"/>
        <v>33.833799629030878</v>
      </c>
      <c r="QS26">
        <f t="shared" si="671"/>
        <v>33.80517388094291</v>
      </c>
      <c r="QT26">
        <f t="shared" si="671"/>
        <v>33.776859196291447</v>
      </c>
      <c r="QU26">
        <f t="shared" si="671"/>
        <v>33.748852188776382</v>
      </c>
      <c r="QV26">
        <f t="shared" si="671"/>
        <v>33.721149509189708</v>
      </c>
      <c r="QW26">
        <f t="shared" si="671"/>
        <v>33.693747845000594</v>
      </c>
      <c r="QX26">
        <f t="shared" si="671"/>
        <v>33.666643919945471</v>
      </c>
      <c r="QY26">
        <f t="shared" si="671"/>
        <v>33.639834493622999</v>
      </c>
      <c r="QZ26">
        <f t="shared" si="671"/>
        <v>33.613316361093872</v>
      </c>
      <c r="RA26">
        <f t="shared" si="671"/>
        <v>33.587086352485379</v>
      </c>
      <c r="RB26">
        <f t="shared" si="671"/>
        <v>33.561141332600648</v>
      </c>
      <c r="RC26">
        <f t="shared" si="671"/>
        <v>33.535478200532538</v>
      </c>
      <c r="RD26">
        <f t="shared" si="671"/>
        <v>33.510093889282068</v>
      </c>
      <c r="RE26">
        <f t="shared" si="671"/>
        <v>33.484985365381341</v>
      </c>
      <c r="RF26">
        <f t="shared" si="671"/>
        <v>33.460149628520917</v>
      </c>
      <c r="RG26">
        <f t="shared" si="671"/>
        <v>33.435583711181529</v>
      </c>
      <c r="RH26">
        <f t="shared" si="671"/>
        <v>33.41128467827015</v>
      </c>
      <c r="RI26">
        <f t="shared" si="671"/>
        <v>33.387249626760266</v>
      </c>
      <c r="RJ26">
        <f t="shared" si="671"/>
        <v>33.363475685336383</v>
      </c>
      <c r="RK26">
        <f t="shared" si="671"/>
        <v>33.339960014042639</v>
      </c>
      <c r="RL26">
        <f t="shared" si="671"/>
        <v>33.316699803935506</v>
      </c>
      <c r="RM26">
        <f t="shared" si="671"/>
        <v>33.293692276740551</v>
      </c>
      <c r="RN26">
        <f t="shared" si="671"/>
        <v>33.270934684513101</v>
      </c>
      <c r="RO26">
        <f t="shared" si="671"/>
        <v>33.248424309302912</v>
      </c>
      <c r="RP26">
        <f t="shared" si="671"/>
        <v>33.226158462822632</v>
      </c>
      <c r="RQ26">
        <f t="shared" si="671"/>
        <v>33.204134486120132</v>
      </c>
      <c r="RR26">
        <f t="shared" si="671"/>
        <v>33.182349749254584</v>
      </c>
      <c r="RS26">
        <f t="shared" si="671"/>
        <v>33.160801650976239</v>
      </c>
      <c r="RT26">
        <f t="shared" si="671"/>
        <v>33.139487618409945</v>
      </c>
      <c r="RU26">
        <f t="shared" si="671"/>
        <v>33.118405106742202</v>
      </c>
      <c r="RV26">
        <f t="shared" si="671"/>
        <v>33.097551598911856</v>
      </c>
      <c r="RW26">
        <f t="shared" si="671"/>
        <v>33.076924605304292</v>
      </c>
      <c r="RX26">
        <f t="shared" si="671"/>
        <v>33.056521663449132</v>
      </c>
      <c r="RY26">
        <f t="shared" si="671"/>
        <v>33.03634033772137</v>
      </c>
      <c r="RZ26">
        <f t="shared" si="671"/>
        <v>33.016378219045912</v>
      </c>
      <c r="SA26">
        <f t="shared" si="671"/>
        <v>32.996632924605429</v>
      </c>
      <c r="SB26">
        <f t="shared" si="671"/>
        <v>32.977102097551622</v>
      </c>
      <c r="SC26">
        <f t="shared" si="671"/>
        <v>32.957783406719649</v>
      </c>
      <c r="SD26">
        <f t="shared" si="671"/>
        <v>32.938674546345851</v>
      </c>
      <c r="SE26">
        <f t="shared" si="671"/>
        <v>32.919773235788661</v>
      </c>
      <c r="SF26">
        <f t="shared" si="671"/>
        <v>32.901077219252656</v>
      </c>
      <c r="SG26">
        <f t="shared" si="671"/>
        <v>32.882584265515717</v>
      </c>
      <c r="SH26">
        <f t="shared" si="671"/>
        <v>32.864292167659279</v>
      </c>
      <c r="SI26">
        <f t="shared" si="671"/>
        <v>32.846198742801619</v>
      </c>
      <c r="SJ26">
        <f t="shared" si="671"/>
        <v>32.828301831834125</v>
      </c>
      <c r="SK26">
        <f t="shared" si="671"/>
        <v>32.810599299160558</v>
      </c>
      <c r="SL26">
        <f t="shared" si="671"/>
        <v>32.793089032439234</v>
      </c>
      <c r="SM26">
        <f t="shared" si="671"/>
        <v>32.775768942328064</v>
      </c>
      <c r="SN26">
        <f t="shared" si="671"/>
        <v>32.758636962232515</v>
      </c>
      <c r="SO26">
        <f t="shared" si="671"/>
        <v>32.741691048056353</v>
      </c>
      <c r="SP26">
        <f t="shared" si="671"/>
        <v>32.724929177955168</v>
      </c>
      <c r="SQ26">
        <f t="shared" si="671"/>
        <v>32.708349352092696</v>
      </c>
      <c r="SR26">
        <f t="shared" si="671"/>
        <v>32.691949592399823</v>
      </c>
      <c r="SS26">
        <f t="shared" si="671"/>
        <v>32.675727942336302</v>
      </c>
      <c r="ST26">
        <f t="shared" si="671"/>
        <v>32.659682466655134</v>
      </c>
      <c r="SU26">
        <f t="shared" ref="SU26:VF26" si="672">(-ST41)*$K10*dt+ST26</f>
        <v>32.643811251169552</v>
      </c>
      <c r="SV26">
        <f t="shared" si="672"/>
        <v>32.628112402522639</v>
      </c>
      <c r="SW26">
        <f t="shared" si="672"/>
        <v>32.612584047959459</v>
      </c>
      <c r="SX26">
        <f t="shared" si="672"/>
        <v>32.597224335101778</v>
      </c>
      <c r="SY26">
        <f t="shared" si="672"/>
        <v>32.582031431725269</v>
      </c>
      <c r="SZ26">
        <f t="shared" si="672"/>
        <v>32.567003525539178</v>
      </c>
      <c r="TA26">
        <f t="shared" si="672"/>
        <v>32.552138823968441</v>
      </c>
      <c r="TB26">
        <f t="shared" si="672"/>
        <v>32.537435553938266</v>
      </c>
      <c r="TC26">
        <f t="shared" si="672"/>
        <v>32.522891961661024</v>
      </c>
      <c r="TD26">
        <f t="shared" si="672"/>
        <v>32.508506312425581</v>
      </c>
      <c r="TE26">
        <f t="shared" si="672"/>
        <v>32.494276890388917</v>
      </c>
      <c r="TF26">
        <f t="shared" si="672"/>
        <v>32.48020199837007</v>
      </c>
      <c r="TG26">
        <f t="shared" si="672"/>
        <v>32.466279957646357</v>
      </c>
      <c r="TH26">
        <f t="shared" si="672"/>
        <v>32.452509107751858</v>
      </c>
      <c r="TI26">
        <f t="shared" si="672"/>
        <v>32.438887806278103</v>
      </c>
      <c r="TJ26">
        <f t="shared" si="672"/>
        <v>32.425414428676994</v>
      </c>
      <c r="TK26">
        <f t="shared" si="672"/>
        <v>32.412087368065912</v>
      </c>
      <c r="TL26">
        <f t="shared" si="672"/>
        <v>32.398905035034922</v>
      </c>
      <c r="TM26">
        <f t="shared" si="672"/>
        <v>32.38586585745616</v>
      </c>
      <c r="TN26">
        <f t="shared" si="672"/>
        <v>32.372968280295304</v>
      </c>
      <c r="TO26">
        <f t="shared" si="672"/>
        <v>32.360210765425109</v>
      </c>
      <c r="TP26">
        <f t="shared" si="672"/>
        <v>32.347591791441033</v>
      </c>
      <c r="TQ26">
        <f t="shared" si="672"/>
        <v>32.335109853478862</v>
      </c>
      <c r="TR26">
        <f t="shared" si="672"/>
        <v>32.322763463034377</v>
      </c>
      <c r="TS26">
        <f t="shared" si="672"/>
        <v>32.310551147784956</v>
      </c>
      <c r="TT26">
        <f t="shared" si="672"/>
        <v>32.298471451413199</v>
      </c>
      <c r="TU26">
        <f t="shared" si="672"/>
        <v>32.286522933432458</v>
      </c>
      <c r="TV26">
        <f t="shared" si="672"/>
        <v>32.274704169014278</v>
      </c>
      <c r="TW26">
        <f t="shared" si="672"/>
        <v>32.263013748817784</v>
      </c>
      <c r="TX26">
        <f t="shared" si="672"/>
        <v>32.251450278820897</v>
      </c>
      <c r="TY26">
        <f t="shared" si="672"/>
        <v>32.240012380153402</v>
      </c>
      <c r="TZ26">
        <f t="shared" si="672"/>
        <v>32.228698688931892</v>
      </c>
      <c r="UA26">
        <f t="shared" si="672"/>
        <v>32.217507856096489</v>
      </c>
      <c r="UB26">
        <f t="shared" si="672"/>
        <v>32.206438547249377</v>
      </c>
      <c r="UC26">
        <f t="shared" si="672"/>
        <v>32.195489442495095</v>
      </c>
      <c r="UD26">
        <f t="shared" si="672"/>
        <v>32.184659236282592</v>
      </c>
      <c r="UE26">
        <f t="shared" si="672"/>
        <v>32.173946637248982</v>
      </c>
      <c r="UF26">
        <f t="shared" si="672"/>
        <v>32.163350368065096</v>
      </c>
      <c r="UG26">
        <f t="shared" si="672"/>
        <v>32.15286916528261</v>
      </c>
      <c r="UH26">
        <f t="shared" si="672"/>
        <v>32.142501779182957</v>
      </c>
      <c r="UI26">
        <f t="shared" si="672"/>
        <v>32.132246973627829</v>
      </c>
      <c r="UJ26">
        <f t="shared" si="672"/>
        <v>32.122103525911335</v>
      </c>
      <c r="UK26">
        <f t="shared" si="672"/>
        <v>32.112070226613781</v>
      </c>
      <c r="UL26">
        <f t="shared" si="672"/>
        <v>32.102145879457055</v>
      </c>
      <c r="UM26">
        <f t="shared" si="672"/>
        <v>32.092329301161591</v>
      </c>
      <c r="UN26">
        <f t="shared" si="672"/>
        <v>32.08261932130489</v>
      </c>
      <c r="UO26">
        <f t="shared" si="672"/>
        <v>32.073014782181595</v>
      </c>
      <c r="UP26">
        <f t="shared" si="672"/>
        <v>32.063514538665125</v>
      </c>
      <c r="UQ26">
        <f t="shared" si="672"/>
        <v>32.054117458070756</v>
      </c>
      <c r="UR26">
        <f t="shared" si="672"/>
        <v>32.044822420020282</v>
      </c>
      <c r="US26">
        <f t="shared" si="672"/>
        <v>32.035628316308085</v>
      </c>
      <c r="UT26">
        <f t="shared" si="672"/>
        <v>32.02653405076871</v>
      </c>
      <c r="UU26">
        <f t="shared" si="672"/>
        <v>32.017538539145889</v>
      </c>
      <c r="UV26">
        <f t="shared" si="672"/>
        <v>32.00864070896295</v>
      </c>
      <c r="UW26">
        <f t="shared" si="672"/>
        <v>31.999839499394707</v>
      </c>
      <c r="UX26">
        <f t="shared" si="672"/>
        <v>31.991133861140714</v>
      </c>
      <c r="UY26">
        <f t="shared" si="672"/>
        <v>31.982522756299904</v>
      </c>
      <c r="UZ26">
        <f t="shared" si="672"/>
        <v>31.974005158246591</v>
      </c>
      <c r="VA26">
        <f t="shared" si="672"/>
        <v>31.965580051507853</v>
      </c>
      <c r="VB26">
        <f t="shared" si="672"/>
        <v>31.957246431642233</v>
      </c>
      <c r="VC26">
        <f t="shared" si="672"/>
        <v>31.949003305119767</v>
      </c>
      <c r="VD26">
        <f t="shared" si="672"/>
        <v>31.940849689203318</v>
      </c>
      <c r="VE26">
        <f t="shared" si="672"/>
        <v>31.932784611831224</v>
      </c>
      <c r="VF26">
        <f t="shared" si="672"/>
        <v>31.924807111501199</v>
      </c>
      <c r="VG26">
        <f t="shared" ref="VG26:XR26" si="673">(-VF41)*$K10*dt+VF26</f>
        <v>31.916916237155526</v>
      </c>
      <c r="VH26">
        <f t="shared" si="673"/>
        <v>31.909111048067484</v>
      </c>
      <c r="VI26">
        <f t="shared" si="673"/>
        <v>31.901390613729021</v>
      </c>
      <c r="VJ26">
        <f t="shared" si="673"/>
        <v>31.893754013739667</v>
      </c>
      <c r="VK26">
        <f t="shared" si="673"/>
        <v>31.886200337696625</v>
      </c>
      <c r="VL26">
        <f t="shared" si="673"/>
        <v>31.878728685086092</v>
      </c>
      <c r="VM26">
        <f t="shared" si="673"/>
        <v>31.871338165175743</v>
      </c>
      <c r="VN26">
        <f t="shared" si="673"/>
        <v>31.864027896908407</v>
      </c>
      <c r="VO26">
        <f t="shared" si="673"/>
        <v>31.856797008796885</v>
      </c>
      <c r="VP26">
        <f t="shared" si="673"/>
        <v>31.849644638819928</v>
      </c>
      <c r="VQ26">
        <f t="shared" si="673"/>
        <v>31.842569934319332</v>
      </c>
      <c r="VR26">
        <f t="shared" si="673"/>
        <v>31.835572051898168</v>
      </c>
      <c r="VS26">
        <f t="shared" si="673"/>
        <v>31.82865015732013</v>
      </c>
      <c r="VT26">
        <f t="shared" si="673"/>
        <v>31.82180342540995</v>
      </c>
      <c r="VU26">
        <f t="shared" si="673"/>
        <v>31.815031039954921</v>
      </c>
      <c r="VV26">
        <f t="shared" si="673"/>
        <v>31.808332193607487</v>
      </c>
      <c r="VW26">
        <f t="shared" si="673"/>
        <v>31.801706087788904</v>
      </c>
      <c r="VX26">
        <f t="shared" si="673"/>
        <v>31.795151932593921</v>
      </c>
      <c r="VY26">
        <f t="shared" si="673"/>
        <v>31.788668946696532</v>
      </c>
      <c r="VZ26">
        <f t="shared" si="673"/>
        <v>31.782256357256742</v>
      </c>
      <c r="WA26">
        <f t="shared" si="673"/>
        <v>31.775913399828337</v>
      </c>
      <c r="WB26">
        <f t="shared" si="673"/>
        <v>31.769639318267672</v>
      </c>
      <c r="WC26">
        <f t="shared" si="673"/>
        <v>31.763433364643461</v>
      </c>
      <c r="WD26">
        <f t="shared" si="673"/>
        <v>31.757294799147516</v>
      </c>
      <c r="WE26">
        <f t="shared" si="673"/>
        <v>31.751222890006488</v>
      </c>
      <c r="WF26">
        <f t="shared" si="673"/>
        <v>31.753671490158052</v>
      </c>
      <c r="WG26">
        <f t="shared" si="673"/>
        <v>31.766902433588246</v>
      </c>
      <c r="WH26">
        <f t="shared" si="673"/>
        <v>31.790972595143995</v>
      </c>
      <c r="WI26">
        <f t="shared" si="673"/>
        <v>31.825228139959538</v>
      </c>
      <c r="WJ26">
        <f t="shared" si="673"/>
        <v>31.868850232104982</v>
      </c>
      <c r="WK26">
        <f t="shared" si="673"/>
        <v>31.921042821227395</v>
      </c>
      <c r="WL26">
        <f t="shared" si="673"/>
        <v>31.981087893236584</v>
      </c>
      <c r="WM26">
        <f t="shared" si="673"/>
        <v>32.048353647081981</v>
      </c>
      <c r="WN26">
        <f t="shared" si="673"/>
        <v>32.122287528890453</v>
      </c>
      <c r="WO26">
        <f t="shared" si="673"/>
        <v>32.2024056763182</v>
      </c>
      <c r="WP26">
        <f t="shared" si="673"/>
        <v>32.288282660334019</v>
      </c>
      <c r="WQ26">
        <f t="shared" si="673"/>
        <v>32.379542602637684</v>
      </c>
      <c r="WR26">
        <f t="shared" si="673"/>
        <v>32.475851775175194</v>
      </c>
      <c r="WS26">
        <f t="shared" si="673"/>
        <v>32.576912496482073</v>
      </c>
      <c r="WT26">
        <f t="shared" si="673"/>
        <v>32.682458087843948</v>
      </c>
      <c r="WU26">
        <f t="shared" si="673"/>
        <v>32.792248676256328</v>
      </c>
      <c r="WV26">
        <f t="shared" si="673"/>
        <v>32.906067671988694</v>
      </c>
      <c r="WW26">
        <f t="shared" si="673"/>
        <v>33.023718786935852</v>
      </c>
      <c r="WX26">
        <f t="shared" si="673"/>
        <v>33.145023491001524</v>
      </c>
      <c r="WY26">
        <f t="shared" si="673"/>
        <v>33.269818827488606</v>
      </c>
      <c r="WZ26">
        <f t="shared" si="673"/>
        <v>33.397955526187694</v>
      </c>
      <c r="XA26">
        <f t="shared" si="673"/>
        <v>33.529296366004651</v>
      </c>
      <c r="XB26">
        <f t="shared" si="673"/>
        <v>33.663714748760604</v>
      </c>
      <c r="XC26">
        <f t="shared" si="673"/>
        <v>33.801093453158288</v>
      </c>
      <c r="XD26">
        <f t="shared" si="673"/>
        <v>33.941323543511274</v>
      </c>
      <c r="XE26">
        <f t="shared" si="673"/>
        <v>34.084303412161155</v>
      </c>
      <c r="XF26">
        <f t="shared" si="673"/>
        <v>34.229937937904481</v>
      </c>
      <c r="XG26">
        <f t="shared" si="673"/>
        <v>34.378137745458922</v>
      </c>
      <c r="XH26">
        <f t="shared" si="673"/>
        <v>34.528818553189424</v>
      </c>
      <c r="XI26">
        <f t="shared" si="673"/>
        <v>34.681900598113259</v>
      </c>
      <c r="XJ26">
        <f t="shared" si="673"/>
        <v>34.837308128696556</v>
      </c>
      <c r="XK26">
        <f t="shared" si="673"/>
        <v>34.994968957209736</v>
      </c>
      <c r="XL26">
        <f t="shared" si="673"/>
        <v>35.15481406447261</v>
      </c>
      <c r="XM26">
        <f t="shared" si="673"/>
        <v>35.316777250728393</v>
      </c>
      <c r="XN26">
        <f t="shared" si="673"/>
        <v>35.48079482716691</v>
      </c>
      <c r="XO26">
        <f t="shared" si="673"/>
        <v>35.646805343292044</v>
      </c>
      <c r="XP26">
        <f t="shared" si="673"/>
        <v>35.814749345914258</v>
      </c>
      <c r="XQ26">
        <f t="shared" si="673"/>
        <v>35.984569166058961</v>
      </c>
      <c r="XR26">
        <f t="shared" si="673"/>
        <v>36.156208730526771</v>
      </c>
      <c r="XS26">
        <f t="shared" ref="XS26:AAD26" si="674">(-XR41)*$K10*dt+XR26</f>
        <v>36.329613395231256</v>
      </c>
      <c r="XT26">
        <f t="shared" si="674"/>
        <v>36.504729797781465</v>
      </c>
      <c r="XU26">
        <f t="shared" si="674"/>
        <v>36.681505727076093</v>
      </c>
      <c r="XV26">
        <f t="shared" si="674"/>
        <v>36.859890007939676</v>
      </c>
      <c r="XW26">
        <f t="shared" si="674"/>
        <v>37.039832399062817</v>
      </c>
      <c r="XX26">
        <f t="shared" si="674"/>
        <v>37.221283502712474</v>
      </c>
      <c r="XY26">
        <f t="shared" si="674"/>
        <v>37.404194684857735</v>
      </c>
      <c r="XZ26">
        <f t="shared" si="674"/>
        <v>37.588518004514981</v>
      </c>
      <c r="YA26">
        <f t="shared" si="674"/>
        <v>37.774206151255584</v>
      </c>
      <c r="YB26">
        <f t="shared" si="674"/>
        <v>37.961212389942538</v>
      </c>
      <c r="YC26">
        <f t="shared" si="674"/>
        <v>38.149490511870688</v>
      </c>
      <c r="YD26">
        <f t="shared" si="674"/>
        <v>38.338994791581143</v>
      </c>
      <c r="YE26">
        <f t="shared" si="674"/>
        <v>38.52967994870486</v>
      </c>
      <c r="YF26">
        <f t="shared" si="674"/>
        <v>38.72150111426491</v>
      </c>
      <c r="YG26">
        <f t="shared" si="674"/>
        <v>38.914413800932977</v>
      </c>
      <c r="YH26">
        <f t="shared" si="674"/>
        <v>39.10837387679355</v>
      </c>
      <c r="YI26">
        <f t="shared" si="674"/>
        <v>39.303337542220838</v>
      </c>
      <c r="YJ26">
        <f t="shared" si="674"/>
        <v>39.49926130951868</v>
      </c>
      <c r="YK26">
        <f t="shared" si="674"/>
        <v>39.69610198501384</v>
      </c>
      <c r="YL26">
        <f t="shared" si="674"/>
        <v>39.893816653328599</v>
      </c>
      <c r="YM26">
        <f t="shared" si="674"/>
        <v>40.092362663589718</v>
      </c>
      <c r="YN26">
        <f t="shared" si="674"/>
        <v>40.291697617358622</v>
      </c>
      <c r="YO26">
        <f t="shared" si="674"/>
        <v>40.491779358092167</v>
      </c>
      <c r="YP26">
        <f t="shared" si="674"/>
        <v>40.692565961964867</v>
      </c>
      <c r="YQ26">
        <f t="shared" si="674"/>
        <v>40.894015729902783</v>
      </c>
      <c r="YR26">
        <f t="shared" si="674"/>
        <v>41.09608718069601</v>
      </c>
      <c r="YS26">
        <f t="shared" si="674"/>
        <v>41.298739045071855</v>
      </c>
      <c r="YT26">
        <f t="shared" si="674"/>
        <v>41.501930260624015</v>
      </c>
      <c r="YU26">
        <f t="shared" si="674"/>
        <v>41.705619967504738</v>
      </c>
      <c r="YV26">
        <f t="shared" si="674"/>
        <v>41.909767504797408</v>
      </c>
      <c r="YW26">
        <f t="shared" si="674"/>
        <v>42.114332407496256</v>
      </c>
      <c r="YX26">
        <f t="shared" si="674"/>
        <v>42.319274404027851</v>
      </c>
      <c r="YY26">
        <f t="shared" si="674"/>
        <v>42.524553414256545</v>
      </c>
      <c r="YZ26">
        <f t="shared" si="674"/>
        <v>42.730129547922147</v>
      </c>
      <c r="ZA26">
        <f t="shared" si="674"/>
        <v>42.93596310346399</v>
      </c>
      <c r="ZB26">
        <f t="shared" si="674"/>
        <v>43.1420145671905</v>
      </c>
      <c r="ZC26">
        <f t="shared" si="674"/>
        <v>43.348244612757817</v>
      </c>
      <c r="ZD26">
        <f t="shared" si="674"/>
        <v>43.554614100925036</v>
      </c>
      <c r="ZE26">
        <f t="shared" si="674"/>
        <v>43.761084079557101</v>
      </c>
      <c r="ZF26">
        <f t="shared" si="674"/>
        <v>43.967615783849503</v>
      </c>
      <c r="ZG26">
        <f t="shared" si="674"/>
        <v>44.174170636751704</v>
      </c>
      <c r="ZH26">
        <f t="shared" si="674"/>
        <v>44.380710249568743</v>
      </c>
      <c r="ZI26">
        <f t="shared" si="674"/>
        <v>44.587196422722485</v>
      </c>
      <c r="ZJ26">
        <f t="shared" si="674"/>
        <v>44.793591146656077</v>
      </c>
      <c r="ZK26">
        <f t="shared" si="674"/>
        <v>44.999856602866885</v>
      </c>
      <c r="ZL26">
        <f t="shared" si="674"/>
        <v>45.205955165054533</v>
      </c>
      <c r="ZM26">
        <f t="shared" si="674"/>
        <v>45.411849400372326</v>
      </c>
      <c r="ZN26">
        <f t="shared" si="674"/>
        <v>45.617502070771323</v>
      </c>
      <c r="ZO26">
        <f t="shared" si="674"/>
        <v>45.822876134427446</v>
      </c>
      <c r="ZP26">
        <f t="shared" si="674"/>
        <v>46.027934747243059</v>
      </c>
      <c r="ZQ26">
        <f t="shared" si="674"/>
        <v>46.23264126441525</v>
      </c>
      <c r="ZR26">
        <f t="shared" si="674"/>
        <v>46.436959242063779</v>
      </c>
      <c r="ZS26">
        <f t="shared" si="674"/>
        <v>46.640852438912368</v>
      </c>
      <c r="ZT26">
        <f t="shared" si="674"/>
        <v>46.844284818017712</v>
      </c>
      <c r="ZU26">
        <f t="shared" si="674"/>
        <v>47.047220548540885</v>
      </c>
      <c r="ZV26">
        <f t="shared" si="674"/>
        <v>47.249624007556591</v>
      </c>
      <c r="ZW26">
        <f t="shared" si="674"/>
        <v>47.451459781895942</v>
      </c>
      <c r="ZX26">
        <f t="shared" si="674"/>
        <v>47.65269267001888</v>
      </c>
      <c r="ZY26">
        <f t="shared" si="674"/>
        <v>47.853287683912768</v>
      </c>
      <c r="ZZ26">
        <f t="shared" si="674"/>
        <v>48.053210051013906</v>
      </c>
      <c r="AAA26">
        <f t="shared" si="674"/>
        <v>48.252425216149014</v>
      </c>
      <c r="AAB26">
        <f t="shared" si="674"/>
        <v>48.450898843494038</v>
      </c>
      <c r="AAC26">
        <f t="shared" si="674"/>
        <v>48.648596818547773</v>
      </c>
      <c r="AAD26">
        <f t="shared" si="674"/>
        <v>48.845485250118074</v>
      </c>
      <c r="AAE26">
        <f t="shared" ref="AAE26:AAO26" si="675">(-AAD41)*$K10*dt+AAD26</f>
        <v>49.041530472318492</v>
      </c>
      <c r="AAF26">
        <f t="shared" si="675"/>
        <v>49.236699046573513</v>
      </c>
      <c r="AAG26">
        <f t="shared" si="675"/>
        <v>49.430957763630531</v>
      </c>
      <c r="AAH26">
        <f t="shared" si="675"/>
        <v>49.624273645576928</v>
      </c>
      <c r="AAI26">
        <f t="shared" si="675"/>
        <v>49.816613947860731</v>
      </c>
      <c r="AAJ26">
        <f t="shared" si="675"/>
        <v>50.007946161313427</v>
      </c>
      <c r="AAK26">
        <f t="shared" si="675"/>
        <v>50.198238014173576</v>
      </c>
      <c r="AAL26">
        <f t="shared" si="675"/>
        <v>50.387457474109979</v>
      </c>
      <c r="AAM26">
        <f t="shared" si="675"/>
        <v>50.575572750243232</v>
      </c>
      <c r="AAN26">
        <f t="shared" si="675"/>
        <v>50.762552295164603</v>
      </c>
      <c r="AAO26">
        <f t="shared" si="675"/>
        <v>50.948364806951119</v>
      </c>
    </row>
    <row r="27" spans="1:717">
      <c r="A27">
        <f t="shared" ref="A27:A34" si="676">A26+1</f>
        <v>3</v>
      </c>
      <c r="B27">
        <f>B$24+SUM(G$8:G10)*(B$35-B$24)/G$20</f>
        <v>31.601649693873707</v>
      </c>
      <c r="C27">
        <f t="shared" ref="C27:BN27" si="677">(-B42)*$K11*dt+B27</f>
        <v>31.601649693873707</v>
      </c>
      <c r="D27">
        <f t="shared" si="677"/>
        <v>31.601649693873707</v>
      </c>
      <c r="E27">
        <f t="shared" si="677"/>
        <v>31.602884026482968</v>
      </c>
      <c r="F27">
        <f t="shared" si="677"/>
        <v>31.606556932349491</v>
      </c>
      <c r="G27">
        <f t="shared" si="677"/>
        <v>31.613555740390151</v>
      </c>
      <c r="H27">
        <f t="shared" si="677"/>
        <v>31.62445762755484</v>
      </c>
      <c r="I27">
        <f t="shared" si="677"/>
        <v>31.639603133966734</v>
      </c>
      <c r="J27">
        <f t="shared" si="677"/>
        <v>31.659168443947941</v>
      </c>
      <c r="K27">
        <f t="shared" si="677"/>
        <v>31.683220964387502</v>
      </c>
      <c r="L27">
        <f t="shared" si="677"/>
        <v>31.711758424531567</v>
      </c>
      <c r="M27">
        <f t="shared" si="677"/>
        <v>31.744735280132506</v>
      </c>
      <c r="N27">
        <f t="shared" si="677"/>
        <v>31.782080155717775</v>
      </c>
      <c r="O27">
        <f t="shared" si="677"/>
        <v>31.823707197872743</v>
      </c>
      <c r="P27">
        <f t="shared" si="677"/>
        <v>31.869523365880418</v>
      </c>
      <c r="Q27">
        <f t="shared" si="677"/>
        <v>31.919433037110572</v>
      </c>
      <c r="R27">
        <f t="shared" si="677"/>
        <v>31.973340848277996</v>
      </c>
      <c r="S27">
        <f t="shared" si="677"/>
        <v>32.031153384256605</v>
      </c>
      <c r="T27">
        <f t="shared" si="677"/>
        <v>32.092780119448392</v>
      </c>
      <c r="U27">
        <f t="shared" si="677"/>
        <v>32.158133879424689</v>
      </c>
      <c r="V27">
        <f t="shared" si="677"/>
        <v>32.227130999497383</v>
      </c>
      <c r="W27">
        <f t="shared" si="677"/>
        <v>32.299691296457823</v>
      </c>
      <c r="X27">
        <f t="shared" si="677"/>
        <v>32.375737929606409</v>
      </c>
      <c r="Y27">
        <f t="shared" si="677"/>
        <v>32.455197200558239</v>
      </c>
      <c r="Z27">
        <f t="shared" si="677"/>
        <v>32.537998323633758</v>
      </c>
      <c r="AA27">
        <f t="shared" si="677"/>
        <v>32.624073186936272</v>
      </c>
      <c r="AB27">
        <f t="shared" si="677"/>
        <v>32.713356116491276</v>
      </c>
      <c r="AC27">
        <f t="shared" si="677"/>
        <v>32.805783650750641</v>
      </c>
      <c r="AD27">
        <f t="shared" si="677"/>
        <v>32.901294329463127</v>
      </c>
      <c r="AE27">
        <f t="shared" si="677"/>
        <v>32.999828498789469</v>
      </c>
      <c r="AF27">
        <f t="shared" si="677"/>
        <v>33.101328133199644</v>
      </c>
      <c r="AG27">
        <f t="shared" si="677"/>
        <v>33.205736673866788</v>
      </c>
      <c r="AH27">
        <f t="shared" si="677"/>
        <v>33.31299888278884</v>
      </c>
      <c r="AI27">
        <f t="shared" si="677"/>
        <v>33.42306071160727</v>
      </c>
      <c r="AJ27">
        <f t="shared" si="677"/>
        <v>33.535869183972743</v>
      </c>
      <c r="AK27">
        <f t="shared" si="677"/>
        <v>33.651372290277671</v>
      </c>
      <c r="AL27">
        <f t="shared" si="677"/>
        <v>33.769518893601031</v>
      </c>
      <c r="AM27">
        <f t="shared" si="677"/>
        <v>33.890258645767766</v>
      </c>
      <c r="AN27">
        <f t="shared" si="677"/>
        <v>34.013541912499669</v>
      </c>
      <c r="AO27">
        <f t="shared" si="677"/>
        <v>34.139319706716464</v>
      </c>
      <c r="AP27">
        <f t="shared" si="677"/>
        <v>34.267543629129349</v>
      </c>
      <c r="AQ27">
        <f t="shared" si="677"/>
        <v>34.398165815350609</v>
      </c>
      <c r="AR27">
        <f t="shared" si="677"/>
        <v>34.531138888820024</v>
      </c>
      <c r="AS27">
        <f t="shared" si="677"/>
        <v>34.666415918920563</v>
      </c>
      <c r="AT27">
        <f t="shared" si="677"/>
        <v>34.803950383721663</v>
      </c>
      <c r="AU27">
        <f t="shared" si="677"/>
        <v>34.943696136848402</v>
      </c>
      <c r="AV27">
        <f t="shared" si="677"/>
        <v>35.085607378029096</v>
      </c>
      <c r="AW27">
        <f t="shared" si="677"/>
        <v>35.229638626922444</v>
      </c>
      <c r="AX27">
        <f t="shared" si="677"/>
        <v>35.375744699869273</v>
      </c>
      <c r="AY27">
        <f t="shared" si="677"/>
        <v>35.523880689252742</v>
      </c>
      <c r="AZ27">
        <f t="shared" si="677"/>
        <v>35.674001945185985</v>
      </c>
      <c r="BA27">
        <f t="shared" si="677"/>
        <v>35.826064059276938</v>
      </c>
      <c r="BB27">
        <f t="shared" si="677"/>
        <v>35.980022850248027</v>
      </c>
      <c r="BC27">
        <f t="shared" si="677"/>
        <v>36.135834351212679</v>
      </c>
      <c r="BD27">
        <f t="shared" si="677"/>
        <v>36.293454798432698</v>
      </c>
      <c r="BE27">
        <f t="shared" si="677"/>
        <v>36.452840621399766</v>
      </c>
      <c r="BF27">
        <f t="shared" si="677"/>
        <v>36.613948434101673</v>
      </c>
      <c r="BG27">
        <f t="shared" si="677"/>
        <v>36.776735027349197</v>
      </c>
      <c r="BH27">
        <f t="shared" si="677"/>
        <v>36.941157362052998</v>
      </c>
      <c r="BI27">
        <f t="shared" si="677"/>
        <v>37.107172563352151</v>
      </c>
      <c r="BJ27">
        <f t="shared" si="677"/>
        <v>37.274737915506577</v>
      </c>
      <c r="BK27">
        <f t="shared" si="677"/>
        <v>37.443810857475064</v>
      </c>
      <c r="BL27">
        <f t="shared" si="677"/>
        <v>37.614348979109231</v>
      </c>
      <c r="BM27">
        <f t="shared" si="677"/>
        <v>37.786310017901151</v>
      </c>
      <c r="BN27">
        <f t="shared" si="677"/>
        <v>37.959651856229009</v>
      </c>
      <c r="BO27">
        <f t="shared" ref="BO27:DZ27" si="678">(-BN42)*$K11*dt+BN27</f>
        <v>38.134332519051291</v>
      </c>
      <c r="BP27">
        <f t="shared" si="678"/>
        <v>38.31031017200506</v>
      </c>
      <c r="BQ27">
        <f t="shared" si="678"/>
        <v>38.487543119868739</v>
      </c>
      <c r="BR27">
        <f t="shared" si="678"/>
        <v>38.66598980535391</v>
      </c>
      <c r="BS27">
        <f t="shared" si="678"/>
        <v>38.845608808194392</v>
      </c>
      <c r="BT27">
        <f t="shared" si="678"/>
        <v>39.026358844504152</v>
      </c>
      <c r="BU27">
        <f t="shared" si="678"/>
        <v>39.208198766378565</v>
      </c>
      <c r="BV27">
        <f t="shared" si="678"/>
        <v>39.391087561716219</v>
      </c>
      <c r="BW27">
        <f t="shared" si="678"/>
        <v>39.574984354240641</v>
      </c>
      <c r="BX27">
        <f t="shared" si="678"/>
        <v>39.7598484037036</v>
      </c>
      <c r="BY27">
        <f t="shared" si="678"/>
        <v>39.945639106253402</v>
      </c>
      <c r="BZ27">
        <f t="shared" si="678"/>
        <v>40.132315994953224</v>
      </c>
      <c r="CA27">
        <f t="shared" si="678"/>
        <v>40.319838740436111</v>
      </c>
      <c r="CB27">
        <f t="shared" si="678"/>
        <v>40.508167151684532</v>
      </c>
      <c r="CC27">
        <f t="shared" si="678"/>
        <v>40.69726117692349</v>
      </c>
      <c r="CD27">
        <f t="shared" si="678"/>
        <v>40.887080904617434</v>
      </c>
      <c r="CE27">
        <f t="shared" si="678"/>
        <v>41.077586564561976</v>
      </c>
      <c r="CF27">
        <f t="shared" si="678"/>
        <v>41.268738529062375</v>
      </c>
      <c r="CG27">
        <f t="shared" si="678"/>
        <v>41.460497314191414</v>
      </c>
      <c r="CH27">
        <f t="shared" si="678"/>
        <v>41.65282358112011</v>
      </c>
      <c r="CI27">
        <f t="shared" si="678"/>
        <v>41.845678137515122</v>
      </c>
      <c r="CJ27">
        <f t="shared" si="678"/>
        <v>42.039021938997436</v>
      </c>
      <c r="CK27">
        <f t="shared" si="678"/>
        <v>42.23281609065728</v>
      </c>
      <c r="CL27">
        <f t="shared" si="678"/>
        <v>42.427021848620711</v>
      </c>
      <c r="CM27">
        <f t="shared" si="678"/>
        <v>42.621600621663703</v>
      </c>
      <c r="CN27">
        <f t="shared" si="678"/>
        <v>42.816513972869892</v>
      </c>
      <c r="CO27">
        <f t="shared" si="678"/>
        <v>43.011723621328493</v>
      </c>
      <c r="CP27">
        <f t="shared" si="678"/>
        <v>43.207191443869114</v>
      </c>
      <c r="CQ27">
        <f t="shared" si="678"/>
        <v>43.402879476830591</v>
      </c>
      <c r="CR27">
        <f t="shared" si="678"/>
        <v>43.598749917860999</v>
      </c>
      <c r="CS27">
        <f t="shared" si="678"/>
        <v>43.794765127746388</v>
      </c>
      <c r="CT27">
        <f t="shared" si="678"/>
        <v>43.990887632265881</v>
      </c>
      <c r="CU27">
        <f t="shared" si="678"/>
        <v>44.187080124070981</v>
      </c>
      <c r="CV27">
        <f t="shared" si="678"/>
        <v>44.383305464586975</v>
      </c>
      <c r="CW27">
        <f t="shared" si="678"/>
        <v>44.579526685934709</v>
      </c>
      <c r="CX27">
        <f t="shared" si="678"/>
        <v>44.775706992870866</v>
      </c>
      <c r="CY27">
        <f t="shared" si="678"/>
        <v>44.971809764745117</v>
      </c>
      <c r="CZ27">
        <f t="shared" si="678"/>
        <v>45.167798557472672</v>
      </c>
      <c r="DA27">
        <f t="shared" si="678"/>
        <v>45.363637105520688</v>
      </c>
      <c r="DB27">
        <f t="shared" si="678"/>
        <v>45.559289323907286</v>
      </c>
      <c r="DC27">
        <f t="shared" si="678"/>
        <v>45.754719310211776</v>
      </c>
      <c r="DD27">
        <f t="shared" si="678"/>
        <v>45.94989134659496</v>
      </c>
      <c r="DE27">
        <f t="shared" si="678"/>
        <v>46.144769901828347</v>
      </c>
      <c r="DF27">
        <f t="shared" si="678"/>
        <v>46.339319633331151</v>
      </c>
      <c r="DG27">
        <f t="shared" si="678"/>
        <v>46.533505389214064</v>
      </c>
      <c r="DH27">
        <f t="shared" si="678"/>
        <v>46.727292210328827</v>
      </c>
      <c r="DI27">
        <f t="shared" si="678"/>
        <v>46.920645332322628</v>
      </c>
      <c r="DJ27">
        <f t="shared" si="678"/>
        <v>47.113530187696419</v>
      </c>
      <c r="DK27">
        <f t="shared" si="678"/>
        <v>47.305912407866288</v>
      </c>
      <c r="DL27">
        <f t="shared" si="678"/>
        <v>47.49775782522709</v>
      </c>
      <c r="DM27">
        <f t="shared" si="678"/>
        <v>47.689032475217481</v>
      </c>
      <c r="DN27">
        <f t="shared" si="678"/>
        <v>47.879702598385613</v>
      </c>
      <c r="DO27">
        <f t="shared" si="678"/>
        <v>48.06973464245474</v>
      </c>
      <c r="DP27">
        <f t="shared" si="678"/>
        <v>48.259095264388023</v>
      </c>
      <c r="DQ27">
        <f t="shared" si="678"/>
        <v>48.447751332451794</v>
      </c>
      <c r="DR27">
        <f t="shared" si="678"/>
        <v>48.635669928276698</v>
      </c>
      <c r="DS27">
        <f t="shared" si="678"/>
        <v>48.822818348915924</v>
      </c>
      <c r="DT27">
        <f t="shared" si="678"/>
        <v>49.00916410890003</v>
      </c>
      <c r="DU27">
        <f t="shared" si="678"/>
        <v>49.194674942287627</v>
      </c>
      <c r="DV27">
        <f t="shared" si="678"/>
        <v>49.379318804711367</v>
      </c>
      <c r="DW27">
        <f t="shared" si="678"/>
        <v>49.563063875418685</v>
      </c>
      <c r="DX27">
        <f t="shared" si="678"/>
        <v>49.745878559306639</v>
      </c>
      <c r="DY27">
        <f t="shared" si="678"/>
        <v>49.927731488950343</v>
      </c>
      <c r="DZ27">
        <f t="shared" si="678"/>
        <v>50.108591526624458</v>
      </c>
      <c r="EA27">
        <f t="shared" ref="EA27:GL27" si="679">(-DZ42)*$K11*dt+DZ27</f>
        <v>50.288427766317128</v>
      </c>
      <c r="EB27">
        <f t="shared" si="679"/>
        <v>50.467209535735954</v>
      </c>
      <c r="EC27">
        <f t="shared" si="679"/>
        <v>50.644906398305366</v>
      </c>
      <c r="ED27">
        <f t="shared" si="679"/>
        <v>50.821488155154988</v>
      </c>
      <c r="EE27">
        <f t="shared" si="679"/>
        <v>50.996924847098484</v>
      </c>
      <c r="EF27">
        <f t="shared" si="679"/>
        <v>51.171186756602324</v>
      </c>
      <c r="EG27">
        <f t="shared" si="679"/>
        <v>51.344244409744107</v>
      </c>
      <c r="EH27">
        <f t="shared" si="679"/>
        <v>51.51606857815991</v>
      </c>
      <c r="EI27">
        <f t="shared" si="679"/>
        <v>51.686630280980197</v>
      </c>
      <c r="EJ27">
        <f t="shared" si="679"/>
        <v>51.855900786753878</v>
      </c>
      <c r="EK27">
        <f t="shared" si="679"/>
        <v>52.023851615360051</v>
      </c>
      <c r="EL27">
        <f t="shared" si="679"/>
        <v>52.19045453990698</v>
      </c>
      <c r="EM27">
        <f t="shared" si="679"/>
        <v>52.355681588617927</v>
      </c>
      <c r="EN27">
        <f t="shared" si="679"/>
        <v>52.51950504670333</v>
      </c>
      <c r="EO27">
        <f t="shared" si="679"/>
        <v>52.681897458219034</v>
      </c>
      <c r="EP27">
        <f t="shared" si="679"/>
        <v>52.842831627910051</v>
      </c>
      <c r="EQ27">
        <f t="shared" si="679"/>
        <v>53.002280623039503</v>
      </c>
      <c r="ER27">
        <f t="shared" si="679"/>
        <v>53.160217775202355</v>
      </c>
      <c r="ES27">
        <f t="shared" si="679"/>
        <v>53.316616682123531</v>
      </c>
      <c r="ET27">
        <f t="shared" si="679"/>
        <v>53.471451209440048</v>
      </c>
      <c r="EU27">
        <f t="shared" si="679"/>
        <v>53.624695492466742</v>
      </c>
      <c r="EV27">
        <f t="shared" si="679"/>
        <v>53.776323937945286</v>
      </c>
      <c r="EW27">
        <f t="shared" si="679"/>
        <v>53.926311225776082</v>
      </c>
      <c r="EX27">
        <f t="shared" si="679"/>
        <v>54.074632310732653</v>
      </c>
      <c r="EY27">
        <f t="shared" si="679"/>
        <v>54.221262424158255</v>
      </c>
      <c r="EZ27">
        <f t="shared" si="679"/>
        <v>54.366177075644238</v>
      </c>
      <c r="FA27">
        <f t="shared" si="679"/>
        <v>54.50935205468997</v>
      </c>
      <c r="FB27">
        <f t="shared" si="679"/>
        <v>54.650763432343794</v>
      </c>
      <c r="FC27">
        <f t="shared" si="679"/>
        <v>54.790387562824819</v>
      </c>
      <c r="FD27">
        <f t="shared" si="679"/>
        <v>54.928201085125231</v>
      </c>
      <c r="FE27">
        <f t="shared" si="679"/>
        <v>55.064180924592634</v>
      </c>
      <c r="FF27">
        <f t="shared" si="679"/>
        <v>55.198304294492296</v>
      </c>
      <c r="FG27">
        <f t="shared" si="679"/>
        <v>55.330548697548863</v>
      </c>
      <c r="FH27">
        <f t="shared" si="679"/>
        <v>55.460891927467252</v>
      </c>
      <c r="FI27">
        <f t="shared" si="679"/>
        <v>55.589312070432456</v>
      </c>
      <c r="FJ27">
        <f t="shared" si="679"/>
        <v>55.715787506587894</v>
      </c>
      <c r="FK27">
        <f t="shared" si="679"/>
        <v>55.840296911492089</v>
      </c>
      <c r="FL27">
        <f t="shared" si="679"/>
        <v>55.962819257553285</v>
      </c>
      <c r="FM27">
        <f t="shared" si="679"/>
        <v>56.083333815441826</v>
      </c>
      <c r="FN27">
        <f t="shared" si="679"/>
        <v>56.201820155479894</v>
      </c>
      <c r="FO27">
        <f t="shared" si="679"/>
        <v>56.31825814900845</v>
      </c>
      <c r="FP27">
        <f t="shared" si="679"/>
        <v>56.43262796973098</v>
      </c>
      <c r="FQ27">
        <f t="shared" si="679"/>
        <v>56.544910095033899</v>
      </c>
      <c r="FR27">
        <f t="shared" si="679"/>
        <v>56.65508530728323</v>
      </c>
      <c r="FS27">
        <f t="shared" si="679"/>
        <v>56.76313469509742</v>
      </c>
      <c r="FT27">
        <f t="shared" si="679"/>
        <v>56.869039654595888</v>
      </c>
      <c r="FU27">
        <f t="shared" si="679"/>
        <v>56.972781890623232</v>
      </c>
      <c r="FV27">
        <f t="shared" si="679"/>
        <v>57.074343417948647</v>
      </c>
      <c r="FW27">
        <f t="shared" si="679"/>
        <v>57.173706562440522</v>
      </c>
      <c r="FX27">
        <f t="shared" si="679"/>
        <v>57.270853962215796</v>
      </c>
      <c r="FY27">
        <f t="shared" si="679"/>
        <v>57.365768568763954</v>
      </c>
      <c r="FZ27">
        <f t="shared" si="679"/>
        <v>57.45843364804535</v>
      </c>
      <c r="GA27">
        <f t="shared" si="679"/>
        <v>57.548832781563746</v>
      </c>
      <c r="GB27">
        <f t="shared" si="679"/>
        <v>57.636949867412717</v>
      </c>
      <c r="GC27">
        <f t="shared" si="679"/>
        <v>57.722769121295762</v>
      </c>
      <c r="GD27">
        <f t="shared" si="679"/>
        <v>57.806275077519956</v>
      </c>
      <c r="GE27">
        <f t="shared" si="679"/>
        <v>57.887452589962855</v>
      </c>
      <c r="GF27">
        <f t="shared" si="679"/>
        <v>57.966286833012497</v>
      </c>
      <c r="GG27">
        <f t="shared" si="679"/>
        <v>58.042763302480267</v>
      </c>
      <c r="GH27">
        <f t="shared" si="679"/>
        <v>58.11686781648649</v>
      </c>
      <c r="GI27">
        <f t="shared" si="679"/>
        <v>58.188586516318473</v>
      </c>
      <c r="GJ27">
        <f t="shared" si="679"/>
        <v>58.257905867260924</v>
      </c>
      <c r="GK27">
        <f t="shared" si="679"/>
        <v>58.32481265939844</v>
      </c>
      <c r="GL27">
        <f t="shared" si="679"/>
        <v>58.38929400838996</v>
      </c>
      <c r="GM27">
        <f t="shared" ref="GM27:IX27" si="680">(-GL42)*$K11*dt+GL27</f>
        <v>58.451337356215056</v>
      </c>
      <c r="GN27">
        <f t="shared" si="680"/>
        <v>58.510930471891733</v>
      </c>
      <c r="GO27">
        <f t="shared" si="680"/>
        <v>58.568061452165772</v>
      </c>
      <c r="GP27">
        <f t="shared" si="680"/>
        <v>58.622718722171292</v>
      </c>
      <c r="GQ27">
        <f t="shared" si="680"/>
        <v>58.674891036062469</v>
      </c>
      <c r="GR27">
        <f t="shared" si="680"/>
        <v>58.724567477616233</v>
      </c>
      <c r="GS27">
        <f t="shared" si="680"/>
        <v>58.771737460805774</v>
      </c>
      <c r="GT27">
        <f t="shared" si="680"/>
        <v>58.81639073034475</v>
      </c>
      <c r="GU27">
        <f t="shared" si="680"/>
        <v>58.858517362202051</v>
      </c>
      <c r="GV27">
        <f t="shared" si="680"/>
        <v>58.898107764086937</v>
      </c>
      <c r="GW27">
        <f t="shared" si="680"/>
        <v>58.935152675904511</v>
      </c>
      <c r="GX27">
        <f t="shared" si="680"/>
        <v>58.969643170181278</v>
      </c>
      <c r="GY27">
        <f t="shared" si="680"/>
        <v>59.001570652460806</v>
      </c>
      <c r="GZ27">
        <f t="shared" si="680"/>
        <v>59.030926861669251</v>
      </c>
      <c r="HA27">
        <f t="shared" si="680"/>
        <v>59.057703870450695</v>
      </c>
      <c r="HB27">
        <f t="shared" si="680"/>
        <v>59.081894085472207</v>
      </c>
      <c r="HC27">
        <f t="shared" si="680"/>
        <v>59.103490247698439</v>
      </c>
      <c r="HD27">
        <f t="shared" si="680"/>
        <v>59.122485432635727</v>
      </c>
      <c r="HE27">
        <f t="shared" si="680"/>
        <v>59.138873050545619</v>
      </c>
      <c r="HF27">
        <f t="shared" si="680"/>
        <v>59.152646846627633</v>
      </c>
      <c r="HG27">
        <f t="shared" si="680"/>
        <v>59.163800901171271</v>
      </c>
      <c r="HH27">
        <f t="shared" si="680"/>
        <v>59.17232962967713</v>
      </c>
      <c r="HI27">
        <f t="shared" si="680"/>
        <v>59.17822778294709</v>
      </c>
      <c r="HJ27">
        <f t="shared" si="680"/>
        <v>59.181490447143418</v>
      </c>
      <c r="HK27">
        <f t="shared" si="680"/>
        <v>59.182113043816834</v>
      </c>
      <c r="HL27">
        <f t="shared" si="680"/>
        <v>59.180091329903355</v>
      </c>
      <c r="HM27">
        <f t="shared" si="680"/>
        <v>59.175421397689924</v>
      </c>
      <c r="HN27">
        <f t="shared" si="680"/>
        <v>59.16809967474876</v>
      </c>
      <c r="HO27">
        <f t="shared" si="680"/>
        <v>59.158122923840352</v>
      </c>
      <c r="HP27">
        <f t="shared" si="680"/>
        <v>59.145488242785042</v>
      </c>
      <c r="HQ27">
        <f t="shared" si="680"/>
        <v>59.130193064303207</v>
      </c>
      <c r="HR27">
        <f t="shared" si="680"/>
        <v>59.112235155823903</v>
      </c>
      <c r="HS27">
        <f t="shared" si="680"/>
        <v>59.09161261926203</v>
      </c>
      <c r="HT27">
        <f t="shared" si="680"/>
        <v>59.068323890763921</v>
      </c>
      <c r="HU27">
        <f t="shared" si="680"/>
        <v>59.042367740421362</v>
      </c>
      <c r="HV27">
        <f t="shared" si="680"/>
        <v>59.013743271953956</v>
      </c>
      <c r="HW27">
        <f t="shared" si="680"/>
        <v>58.982449922359947</v>
      </c>
      <c r="HX27">
        <f t="shared" si="680"/>
        <v>58.948487461535279</v>
      </c>
      <c r="HY27">
        <f t="shared" si="680"/>
        <v>58.911855991861103</v>
      </c>
      <c r="HZ27">
        <f t="shared" si="680"/>
        <v>58.87255594775953</v>
      </c>
      <c r="IA27">
        <f t="shared" si="680"/>
        <v>58.830588095217756</v>
      </c>
      <c r="IB27">
        <f t="shared" si="680"/>
        <v>58.785953531280505</v>
      </c>
      <c r="IC27">
        <f t="shared" si="680"/>
        <v>58.738653683510776</v>
      </c>
      <c r="ID27">
        <f t="shared" si="680"/>
        <v>58.688690309418959</v>
      </c>
      <c r="IE27">
        <f t="shared" si="680"/>
        <v>58.636065495860286</v>
      </c>
      <c r="IF27">
        <f t="shared" si="680"/>
        <v>58.580781658400618</v>
      </c>
      <c r="IG27">
        <f t="shared" si="680"/>
        <v>58.52284154065066</v>
      </c>
      <c r="IH27">
        <f t="shared" si="680"/>
        <v>58.462248213568557</v>
      </c>
      <c r="II27">
        <f t="shared" si="680"/>
        <v>58.39900507473093</v>
      </c>
      <c r="IJ27">
        <f t="shared" si="680"/>
        <v>58.333115847572365</v>
      </c>
      <c r="IK27">
        <f t="shared" si="680"/>
        <v>58.264584580593443</v>
      </c>
      <c r="IL27">
        <f t="shared" si="680"/>
        <v>58.193415646537254</v>
      </c>
      <c r="IM27">
        <f t="shared" si="680"/>
        <v>58.119613741534558</v>
      </c>
      <c r="IN27">
        <f t="shared" si="680"/>
        <v>58.043183884217541</v>
      </c>
      <c r="IO27">
        <f t="shared" si="680"/>
        <v>57.964131414802267</v>
      </c>
      <c r="IP27">
        <f t="shared" si="680"/>
        <v>57.882461994139881</v>
      </c>
      <c r="IQ27">
        <f t="shared" si="680"/>
        <v>57.798181602736591</v>
      </c>
      <c r="IR27">
        <f t="shared" si="680"/>
        <v>57.711296539742563</v>
      </c>
      <c r="IS27">
        <f t="shared" si="680"/>
        <v>57.621813421909671</v>
      </c>
      <c r="IT27">
        <f t="shared" si="680"/>
        <v>57.529739182518348</v>
      </c>
      <c r="IU27">
        <f t="shared" si="680"/>
        <v>57.435081070273434</v>
      </c>
      <c r="IV27">
        <f t="shared" si="680"/>
        <v>57.337846648169226</v>
      </c>
      <c r="IW27">
        <f t="shared" si="680"/>
        <v>57.238043792323772</v>
      </c>
      <c r="IX27">
        <f t="shared" si="680"/>
        <v>57.135680690782451</v>
      </c>
      <c r="IY27">
        <f t="shared" ref="IY27:LJ27" si="681">(-IX42)*$K11*dt+IX27</f>
        <v>57.030765842291061</v>
      </c>
      <c r="IZ27">
        <f t="shared" si="681"/>
        <v>56.923308055038312</v>
      </c>
      <c r="JA27">
        <f t="shared" si="681"/>
        <v>56.813316445368024</v>
      </c>
      <c r="JB27">
        <f t="shared" si="681"/>
        <v>56.700800436460995</v>
      </c>
      <c r="JC27">
        <f t="shared" si="681"/>
        <v>56.585769756986686</v>
      </c>
      <c r="JD27">
        <f t="shared" si="681"/>
        <v>56.468234439724881</v>
      </c>
      <c r="JE27">
        <f t="shared" si="681"/>
        <v>56.348204820157349</v>
      </c>
      <c r="JF27">
        <f t="shared" si="681"/>
        <v>56.225691535029661</v>
      </c>
      <c r="JG27">
        <f t="shared" si="681"/>
        <v>56.100705520883338</v>
      </c>
      <c r="JH27">
        <f t="shared" si="681"/>
        <v>55.973258012558375</v>
      </c>
      <c r="JI27">
        <f t="shared" si="681"/>
        <v>55.8433605416663</v>
      </c>
      <c r="JJ27">
        <f t="shared" si="681"/>
        <v>55.711024935033898</v>
      </c>
      <c r="JK27">
        <f t="shared" si="681"/>
        <v>55.576263313117757</v>
      </c>
      <c r="JL27">
        <f t="shared" si="681"/>
        <v>55.439088088389745</v>
      </c>
      <c r="JM27">
        <f t="shared" si="681"/>
        <v>55.299511963693554</v>
      </c>
      <c r="JN27">
        <f t="shared" si="681"/>
        <v>55.157547930572505</v>
      </c>
      <c r="JO27">
        <f t="shared" si="681"/>
        <v>55.013209267568719</v>
      </c>
      <c r="JP27">
        <f t="shared" si="681"/>
        <v>54.866509538493816</v>
      </c>
      <c r="JQ27">
        <f t="shared" si="681"/>
        <v>54.717462590671303</v>
      </c>
      <c r="JR27">
        <f t="shared" si="681"/>
        <v>54.566082553150849</v>
      </c>
      <c r="JS27">
        <f t="shared" si="681"/>
        <v>54.412383834894513</v>
      </c>
      <c r="JT27">
        <f t="shared" si="681"/>
        <v>54.256381122935203</v>
      </c>
      <c r="JU27">
        <f t="shared" si="681"/>
        <v>54.098089380507453</v>
      </c>
      <c r="JV27">
        <f t="shared" si="681"/>
        <v>53.937523845150757</v>
      </c>
      <c r="JW27">
        <f t="shared" si="681"/>
        <v>53.774700026785588</v>
      </c>
      <c r="JX27">
        <f t="shared" si="681"/>
        <v>53.609633705762292</v>
      </c>
      <c r="JY27">
        <f t="shared" si="681"/>
        <v>53.44234093088307</v>
      </c>
      <c r="JZ27">
        <f t="shared" si="681"/>
        <v>53.272838017397191</v>
      </c>
      <c r="KA27">
        <f t="shared" si="681"/>
        <v>53.101141544969678</v>
      </c>
      <c r="KB27">
        <f t="shared" si="681"/>
        <v>52.927268355623596</v>
      </c>
      <c r="KC27">
        <f t="shared" si="681"/>
        <v>52.751235551656222</v>
      </c>
      <c r="KD27">
        <f t="shared" si="681"/>
        <v>52.573060493529205</v>
      </c>
      <c r="KE27">
        <f t="shared" si="681"/>
        <v>52.39276079773299</v>
      </c>
      <c r="KF27">
        <f t="shared" si="681"/>
        <v>52.21035433462567</v>
      </c>
      <c r="KG27">
        <f t="shared" si="681"/>
        <v>52.025859226246517</v>
      </c>
      <c r="KH27">
        <f t="shared" si="681"/>
        <v>51.839293844104354</v>
      </c>
      <c r="KI27">
        <f t="shared" si="681"/>
        <v>51.650676806941043</v>
      </c>
      <c r="KJ27">
        <f t="shared" si="681"/>
        <v>51.460026978470218</v>
      </c>
      <c r="KK27">
        <f t="shared" si="681"/>
        <v>51.267363465091591</v>
      </c>
      <c r="KL27">
        <f t="shared" si="681"/>
        <v>51.072705613581</v>
      </c>
      <c r="KM27">
        <f t="shared" si="681"/>
        <v>50.876073008756407</v>
      </c>
      <c r="KN27">
        <f t="shared" si="681"/>
        <v>50.677485471120107</v>
      </c>
      <c r="KO27">
        <f t="shared" si="681"/>
        <v>50.476963054477409</v>
      </c>
      <c r="KP27">
        <f t="shared" si="681"/>
        <v>50.274526043531949</v>
      </c>
      <c r="KQ27">
        <f t="shared" si="681"/>
        <v>50.070194951457935</v>
      </c>
      <c r="KR27">
        <f t="shared" si="681"/>
        <v>49.863990517449551</v>
      </c>
      <c r="KS27">
        <f t="shared" si="681"/>
        <v>49.657168036857016</v>
      </c>
      <c r="KT27">
        <f t="shared" si="681"/>
        <v>49.450952934120515</v>
      </c>
      <c r="KU27">
        <f t="shared" si="681"/>
        <v>49.246253940482688</v>
      </c>
      <c r="KV27">
        <f t="shared" si="681"/>
        <v>49.043669851213266</v>
      </c>
      <c r="KW27">
        <f t="shared" si="681"/>
        <v>48.843563038188229</v>
      </c>
      <c r="KX27">
        <f t="shared" si="681"/>
        <v>48.646131728333032</v>
      </c>
      <c r="KY27">
        <f t="shared" si="681"/>
        <v>48.451465579387104</v>
      </c>
      <c r="KZ27">
        <f t="shared" si="681"/>
        <v>48.259584777069698</v>
      </c>
      <c r="LA27">
        <f t="shared" si="681"/>
        <v>48.070466436584141</v>
      </c>
      <c r="LB27">
        <f t="shared" si="681"/>
        <v>47.884062042221558</v>
      </c>
      <c r="LC27">
        <f t="shared" si="681"/>
        <v>47.700308797958542</v>
      </c>
      <c r="LD27">
        <f t="shared" si="681"/>
        <v>47.519136915392004</v>
      </c>
      <c r="LE27">
        <f t="shared" si="681"/>
        <v>47.34047421640394</v>
      </c>
      <c r="LF27">
        <f t="shared" si="681"/>
        <v>47.164248971676194</v>
      </c>
      <c r="LG27">
        <f t="shared" si="681"/>
        <v>46.990391586742099</v>
      </c>
      <c r="LH27">
        <f t="shared" si="681"/>
        <v>46.818835540574419</v>
      </c>
      <c r="LI27">
        <f t="shared" si="681"/>
        <v>46.649517844427223</v>
      </c>
      <c r="LJ27">
        <f t="shared" si="681"/>
        <v>46.482379197589687</v>
      </c>
      <c r="LK27">
        <f t="shared" ref="LK27:NV27" si="682">(-LJ42)*$K11*dt+LJ27</f>
        <v>46.317363956289796</v>
      </c>
      <c r="LL27">
        <f t="shared" si="682"/>
        <v>46.154419991871322</v>
      </c>
      <c r="LM27">
        <f t="shared" si="682"/>
        <v>45.993498487729632</v>
      </c>
      <c r="LN27">
        <f t="shared" si="682"/>
        <v>45.834553706815662</v>
      </c>
      <c r="LO27">
        <f t="shared" si="682"/>
        <v>45.677542749810144</v>
      </c>
      <c r="LP27">
        <f t="shared" si="682"/>
        <v>45.522425316343387</v>
      </c>
      <c r="LQ27">
        <f t="shared" si="682"/>
        <v>45.369163476563948</v>
      </c>
      <c r="LR27">
        <f t="shared" si="682"/>
        <v>45.21772145705792</v>
      </c>
      <c r="LS27">
        <f t="shared" si="682"/>
        <v>45.068065442997444</v>
      </c>
      <c r="LT27">
        <f t="shared" si="682"/>
        <v>44.920163397056392</v>
      </c>
      <c r="LU27">
        <f t="shared" si="682"/>
        <v>44.773984894807832</v>
      </c>
      <c r="LV27">
        <f t="shared" si="682"/>
        <v>44.629500975834894</v>
      </c>
      <c r="LW27">
        <f t="shared" si="682"/>
        <v>44.486684009524552</v>
      </c>
      <c r="LX27">
        <f t="shared" si="682"/>
        <v>44.345507574394475</v>
      </c>
      <c r="LY27">
        <f t="shared" si="682"/>
        <v>44.205946349773356</v>
      </c>
      <c r="LZ27">
        <f t="shared" si="682"/>
        <v>44.067976018680284</v>
      </c>
      <c r="MA27">
        <f t="shared" si="682"/>
        <v>43.931573180805835</v>
      </c>
      <c r="MB27">
        <f t="shared" si="682"/>
        <v>43.796715274572129</v>
      </c>
      <c r="MC27">
        <f t="shared" si="682"/>
        <v>43.663380507330835</v>
      </c>
      <c r="MD27">
        <f t="shared" si="682"/>
        <v>43.531547792841806</v>
      </c>
      <c r="ME27">
        <f t="shared" si="682"/>
        <v>43.401196695256139</v>
      </c>
      <c r="MF27">
        <f t="shared" si="682"/>
        <v>43.27230737890487</v>
      </c>
      <c r="MG27">
        <f t="shared" si="682"/>
        <v>43.144860563265993</v>
      </c>
      <c r="MH27">
        <f t="shared" si="682"/>
        <v>43.018837482548491</v>
      </c>
      <c r="MI27">
        <f t="shared" si="682"/>
        <v>42.894219849392059</v>
      </c>
      <c r="MJ27">
        <f t="shared" si="682"/>
        <v>42.770989822235258</v>
      </c>
      <c r="MK27">
        <f t="shared" si="682"/>
        <v>42.649129975953699</v>
      </c>
      <c r="ML27">
        <f t="shared" si="682"/>
        <v>42.528623275413544</v>
      </c>
      <c r="MM27">
        <f t="shared" si="682"/>
        <v>42.409453051624595</v>
      </c>
      <c r="MN27">
        <f t="shared" si="682"/>
        <v>42.291602980212168</v>
      </c>
      <c r="MO27">
        <f t="shared" si="682"/>
        <v>42.175057061958029</v>
      </c>
      <c r="MP27">
        <f t="shared" si="682"/>
        <v>42.059799605188203</v>
      </c>
      <c r="MQ27">
        <f t="shared" si="682"/>
        <v>41.9458152098101</v>
      </c>
      <c r="MR27">
        <f t="shared" si="682"/>
        <v>41.833088752823244</v>
      </c>
      <c r="MS27">
        <f t="shared" si="682"/>
        <v>41.72160537514732</v>
      </c>
      <c r="MT27">
        <f t="shared" si="682"/>
        <v>41.611350469628398</v>
      </c>
      <c r="MU27">
        <f t="shared" si="682"/>
        <v>41.502309670099578</v>
      </c>
      <c r="MV27">
        <f t="shared" si="682"/>
        <v>41.394468841385866</v>
      </c>
      <c r="MW27">
        <f t="shared" si="682"/>
        <v>41.287814070155193</v>
      </c>
      <c r="MX27">
        <f t="shared" si="682"/>
        <v>41.182331656528149</v>
      </c>
      <c r="MY27">
        <f t="shared" si="682"/>
        <v>41.07800810636855</v>
      </c>
      <c r="MZ27">
        <f t="shared" si="682"/>
        <v>40.974830124185459</v>
      </c>
      <c r="NA27">
        <f t="shared" si="682"/>
        <v>40.872784606584787</v>
      </c>
      <c r="NB27">
        <f t="shared" si="682"/>
        <v>40.771858636215171</v>
      </c>
      <c r="NC27">
        <f t="shared" si="682"/>
        <v>40.672039476158972</v>
      </c>
      <c r="ND27">
        <f t="shared" si="682"/>
        <v>40.573314564724321</v>
      </c>
      <c r="NE27">
        <f t="shared" si="682"/>
        <v>40.475671510598964</v>
      </c>
      <c r="NF27">
        <f t="shared" si="682"/>
        <v>40.379098088330757</v>
      </c>
      <c r="NG27">
        <f t="shared" si="682"/>
        <v>40.283582234103442</v>
      </c>
      <c r="NH27">
        <f t="shared" si="682"/>
        <v>40.18911204177963</v>
      </c>
      <c r="NI27">
        <f t="shared" si="682"/>
        <v>40.095675759185831</v>
      </c>
      <c r="NJ27">
        <f t="shared" si="682"/>
        <v>40.003261784617052</v>
      </c>
      <c r="NK27">
        <f t="shared" si="682"/>
        <v>39.911858663540755</v>
      </c>
      <c r="NL27">
        <f t="shared" si="682"/>
        <v>39.821455085482157</v>
      </c>
      <c r="NM27">
        <f t="shared" si="682"/>
        <v>39.732039881074613</v>
      </c>
      <c r="NN27">
        <f t="shared" si="682"/>
        <v>39.64360201926052</v>
      </c>
      <c r="NO27">
        <f t="shared" si="682"/>
        <v>39.556130604629722</v>
      </c>
      <c r="NP27">
        <f t="shared" si="682"/>
        <v>39.469614874883582</v>
      </c>
      <c r="NQ27">
        <f t="shared" si="682"/>
        <v>39.38404419841423</v>
      </c>
      <c r="NR27">
        <f t="shared" si="682"/>
        <v>39.299408071989404</v>
      </c>
      <c r="NS27">
        <f t="shared" si="682"/>
        <v>39.215696118534396</v>
      </c>
      <c r="NT27">
        <f t="shared" si="682"/>
        <v>39.132898085003291</v>
      </c>
      <c r="NU27">
        <f t="shared" si="682"/>
        <v>39.051003840332605</v>
      </c>
      <c r="NV27">
        <f t="shared" si="682"/>
        <v>38.970003373470973</v>
      </c>
      <c r="NW27">
        <f t="shared" ref="NW27:QH27" si="683">(-NV42)*$K11*dt+NV27</f>
        <v>38.889886791479228</v>
      </c>
      <c r="NX27">
        <f t="shared" si="683"/>
        <v>38.81064431769574</v>
      </c>
      <c r="NY27">
        <f t="shared" si="683"/>
        <v>38.732266289962332</v>
      </c>
      <c r="NZ27">
        <f t="shared" si="683"/>
        <v>38.654743158906548</v>
      </c>
      <c r="OA27">
        <f t="shared" si="683"/>
        <v>38.578065486276508</v>
      </c>
      <c r="OB27">
        <f t="shared" si="683"/>
        <v>38.502223943324765</v>
      </c>
      <c r="OC27">
        <f t="shared" si="683"/>
        <v>38.427209309238116</v>
      </c>
      <c r="OD27">
        <f t="shared" si="683"/>
        <v>38.353012469610441</v>
      </c>
      <c r="OE27">
        <f t="shared" si="683"/>
        <v>38.279624414955919</v>
      </c>
      <c r="OF27">
        <f t="shared" si="683"/>
        <v>38.207036239260297</v>
      </c>
      <c r="OG27">
        <f t="shared" si="683"/>
        <v>38.135239138568011</v>
      </c>
      <c r="OH27">
        <f t="shared" si="683"/>
        <v>38.064224409603113</v>
      </c>
      <c r="OI27">
        <f t="shared" si="683"/>
        <v>37.993983448422263</v>
      </c>
      <c r="OJ27">
        <f t="shared" si="683"/>
        <v>37.924507749098055</v>
      </c>
      <c r="OK27">
        <f t="shared" si="683"/>
        <v>37.855788902431151</v>
      </c>
      <c r="OL27">
        <f t="shared" si="683"/>
        <v>37.787818594689845</v>
      </c>
      <c r="OM27">
        <f t="shared" si="683"/>
        <v>37.720588606375692</v>
      </c>
      <c r="ON27">
        <f t="shared" si="683"/>
        <v>37.654090811014079</v>
      </c>
      <c r="OO27">
        <f t="shared" si="683"/>
        <v>37.588317173968569</v>
      </c>
      <c r="OP27">
        <f t="shared" si="683"/>
        <v>37.523259751278061</v>
      </c>
      <c r="OQ27">
        <f t="shared" si="683"/>
        <v>37.458910688515779</v>
      </c>
      <c r="OR27">
        <f t="shared" si="683"/>
        <v>37.395262219669192</v>
      </c>
      <c r="OS27">
        <f t="shared" si="683"/>
        <v>37.332306666040111</v>
      </c>
      <c r="OT27">
        <f t="shared" si="683"/>
        <v>37.270036435164187</v>
      </c>
      <c r="OU27">
        <f t="shared" si="683"/>
        <v>37.208444019749052</v>
      </c>
      <c r="OV27">
        <f t="shared" si="683"/>
        <v>37.147521996630552</v>
      </c>
      <c r="OW27">
        <f t="shared" si="683"/>
        <v>37.087263025746324</v>
      </c>
      <c r="OX27">
        <f t="shared" si="683"/>
        <v>37.02765984912628</v>
      </c>
      <c r="OY27">
        <f t="shared" si="683"/>
        <v>36.968705289899361</v>
      </c>
      <c r="OZ27">
        <f t="shared" si="683"/>
        <v>36.910392251316075</v>
      </c>
      <c r="PA27">
        <f t="shared" si="683"/>
        <v>36.852713715786422</v>
      </c>
      <c r="PB27">
        <f t="shared" si="683"/>
        <v>36.795662743932596</v>
      </c>
      <c r="PC27">
        <f t="shared" si="683"/>
        <v>36.739232473656244</v>
      </c>
      <c r="PD27">
        <f t="shared" si="683"/>
        <v>36.683416119219707</v>
      </c>
      <c r="PE27">
        <f t="shared" si="683"/>
        <v>36.628206970340983</v>
      </c>
      <c r="PF27">
        <f t="shared" si="683"/>
        <v>36.573598391301985</v>
      </c>
      <c r="PG27">
        <f t="shared" si="683"/>
        <v>36.519583820069812</v>
      </c>
      <c r="PH27">
        <f t="shared" si="683"/>
        <v>36.466156767430654</v>
      </c>
      <c r="PI27">
        <f t="shared" si="683"/>
        <v>36.413310816136082</v>
      </c>
      <c r="PJ27">
        <f t="shared" si="683"/>
        <v>36.361039620061383</v>
      </c>
      <c r="PK27">
        <f t="shared" si="683"/>
        <v>36.309336903375694</v>
      </c>
      <c r="PL27">
        <f t="shared" si="683"/>
        <v>36.258196459723656</v>
      </c>
      <c r="PM27">
        <f t="shared" si="683"/>
        <v>36.207612151418367</v>
      </c>
      <c r="PN27">
        <f t="shared" si="683"/>
        <v>36.157577908645294</v>
      </c>
      <c r="PO27">
        <f t="shared" si="683"/>
        <v>36.108087728677056</v>
      </c>
      <c r="PP27">
        <f t="shared" si="683"/>
        <v>36.059135675098737</v>
      </c>
      <c r="PQ27">
        <f t="shared" si="683"/>
        <v>36.010715877043573</v>
      </c>
      <c r="PR27">
        <f t="shared" si="683"/>
        <v>35.962822528438764</v>
      </c>
      <c r="PS27">
        <f t="shared" si="683"/>
        <v>35.915449887261275</v>
      </c>
      <c r="PT27">
        <f t="shared" si="683"/>
        <v>35.868592274803397</v>
      </c>
      <c r="PU27">
        <f t="shared" si="683"/>
        <v>35.822244074947839</v>
      </c>
      <c r="PV27">
        <f t="shared" si="683"/>
        <v>35.776399733452287</v>
      </c>
      <c r="PW27">
        <f t="shared" si="683"/>
        <v>35.731053757243124</v>
      </c>
      <c r="PX27">
        <f t="shared" si="683"/>
        <v>35.686200713718272</v>
      </c>
      <c r="PY27">
        <f t="shared" si="683"/>
        <v>35.641835230058888</v>
      </c>
      <c r="PZ27">
        <f t="shared" si="683"/>
        <v>35.597951992549852</v>
      </c>
      <c r="QA27">
        <f t="shared" si="683"/>
        <v>35.554545745908783</v>
      </c>
      <c r="QB27">
        <f t="shared" si="683"/>
        <v>35.51161129262357</v>
      </c>
      <c r="QC27">
        <f t="shared" si="683"/>
        <v>35.469143492298166</v>
      </c>
      <c r="QD27">
        <f t="shared" si="683"/>
        <v>35.427137261006571</v>
      </c>
      <c r="QE27">
        <f t="shared" si="683"/>
        <v>35.385587570654828</v>
      </c>
      <c r="QF27">
        <f t="shared" si="683"/>
        <v>35.344489448350934</v>
      </c>
      <c r="QG27">
        <f t="shared" si="683"/>
        <v>35.303837975782542</v>
      </c>
      <c r="QH27">
        <f t="shared" si="683"/>
        <v>35.263628288602284</v>
      </c>
      <c r="QI27">
        <f t="shared" ref="QI27:ST27" si="684">(-QH42)*$K11*dt+QH27</f>
        <v>35.223855575820629</v>
      </c>
      <c r="QJ27">
        <f t="shared" si="684"/>
        <v>35.184515079206193</v>
      </c>
      <c r="QK27">
        <f t="shared" si="684"/>
        <v>35.145602092693295</v>
      </c>
      <c r="QL27">
        <f t="shared" si="684"/>
        <v>35.107111961796747</v>
      </c>
      <c r="QM27">
        <f t="shared" si="684"/>
        <v>35.069040083033691</v>
      </c>
      <c r="QN27">
        <f t="shared" si="684"/>
        <v>35.031381903352447</v>
      </c>
      <c r="QO27">
        <f t="shared" si="684"/>
        <v>34.994132919568159</v>
      </c>
      <c r="QP27">
        <f t="shared" si="684"/>
        <v>34.957288677805309</v>
      </c>
      <c r="QQ27">
        <f t="shared" si="684"/>
        <v>34.920844772946808</v>
      </c>
      <c r="QR27">
        <f t="shared" si="684"/>
        <v>34.884796848089707</v>
      </c>
      <c r="QS27">
        <f t="shared" si="684"/>
        <v>34.849140594007388</v>
      </c>
      <c r="QT27">
        <f t="shared" si="684"/>
        <v>34.813871748618105</v>
      </c>
      <c r="QU27">
        <f t="shared" si="684"/>
        <v>34.77898609645986</v>
      </c>
      <c r="QV27">
        <f t="shared" si="684"/>
        <v>34.744479468171441</v>
      </c>
      <c r="QW27">
        <f t="shared" si="684"/>
        <v>34.710347739979618</v>
      </c>
      <c r="QX27">
        <f t="shared" si="684"/>
        <v>34.676586833192331</v>
      </c>
      <c r="QY27">
        <f t="shared" si="684"/>
        <v>34.643192713697879</v>
      </c>
      <c r="QZ27">
        <f t="shared" si="684"/>
        <v>34.610161391469909</v>
      </c>
      <c r="RA27">
        <f t="shared" si="684"/>
        <v>34.577488920078238</v>
      </c>
      <c r="RB27">
        <f t="shared" si="684"/>
        <v>34.54517139620539</v>
      </c>
      <c r="RC27">
        <f t="shared" si="684"/>
        <v>34.513204959168711</v>
      </c>
      <c r="RD27">
        <f t="shared" si="684"/>
        <v>34.481585790448086</v>
      </c>
      <c r="RE27">
        <f t="shared" si="684"/>
        <v>34.450310113219132</v>
      </c>
      <c r="RF27">
        <f t="shared" si="684"/>
        <v>34.419374191891769</v>
      </c>
      <c r="RG27">
        <f t="shared" si="684"/>
        <v>34.388774331654162</v>
      </c>
      <c r="RH27">
        <f t="shared" si="684"/>
        <v>34.358506878021878</v>
      </c>
      <c r="RI27">
        <f t="shared" si="684"/>
        <v>34.328568216392306</v>
      </c>
      <c r="RJ27">
        <f t="shared" si="684"/>
        <v>34.298954771604151</v>
      </c>
      <c r="RK27">
        <f t="shared" si="684"/>
        <v>34.269663007502025</v>
      </c>
      <c r="RL27">
        <f t="shared" si="684"/>
        <v>34.240689426505995</v>
      </c>
      <c r="RM27">
        <f t="shared" si="684"/>
        <v>34.212030569186098</v>
      </c>
      <c r="RN27">
        <f t="shared" si="684"/>
        <v>34.183683013841701</v>
      </c>
      <c r="RO27">
        <f t="shared" si="684"/>
        <v>34.155643376085692</v>
      </c>
      <c r="RP27">
        <f t="shared" si="684"/>
        <v>34.127908308433383</v>
      </c>
      <c r="RQ27">
        <f t="shared" si="684"/>
        <v>34.100474499896123</v>
      </c>
      <c r="RR27">
        <f t="shared" si="684"/>
        <v>34.073338675579521</v>
      </c>
      <c r="RS27">
        <f t="shared" si="684"/>
        <v>34.046497596286258</v>
      </c>
      <c r="RT27">
        <f t="shared" si="684"/>
        <v>34.019948058123376</v>
      </c>
      <c r="RU27">
        <f t="shared" si="684"/>
        <v>33.993686892114042</v>
      </c>
      <c r="RV27">
        <f t="shared" si="684"/>
        <v>33.967710963813708</v>
      </c>
      <c r="RW27">
        <f t="shared" si="684"/>
        <v>33.942017172930605</v>
      </c>
      <c r="RX27">
        <f t="shared" si="684"/>
        <v>33.916602452950549</v>
      </c>
      <c r="RY27">
        <f t="shared" si="684"/>
        <v>33.891463770765952</v>
      </c>
      <c r="RZ27">
        <f t="shared" si="684"/>
        <v>33.866598126309029</v>
      </c>
      <c r="SA27">
        <f t="shared" si="684"/>
        <v>33.842002552189172</v>
      </c>
      <c r="SB27">
        <f t="shared" si="684"/>
        <v>33.817674113334334</v>
      </c>
      <c r="SC27">
        <f t="shared" si="684"/>
        <v>33.793609906636519</v>
      </c>
      <c r="SD27">
        <f t="shared" si="684"/>
        <v>33.769807060601231</v>
      </c>
      <c r="SE27">
        <f t="shared" si="684"/>
        <v>33.746262735000819</v>
      </c>
      <c r="SF27">
        <f t="shared" si="684"/>
        <v>33.722974120531788</v>
      </c>
      <c r="SG27">
        <f t="shared" si="684"/>
        <v>33.699938438475883</v>
      </c>
      <c r="SH27">
        <f t="shared" si="684"/>
        <v>33.677152940364984</v>
      </c>
      <c r="SI27">
        <f t="shared" si="684"/>
        <v>33.654614907649787</v>
      </c>
      <c r="SJ27">
        <f t="shared" si="684"/>
        <v>33.632321651372138</v>
      </c>
      <c r="SK27">
        <f t="shared" si="684"/>
        <v>33.610270511841073</v>
      </c>
      <c r="SL27">
        <f t="shared" si="684"/>
        <v>33.588458858312443</v>
      </c>
      <c r="SM27">
        <f t="shared" si="684"/>
        <v>33.566884088672118</v>
      </c>
      <c r="SN27">
        <f t="shared" si="684"/>
        <v>33.54554362912274</v>
      </c>
      <c r="SO27">
        <f t="shared" si="684"/>
        <v>33.524434933873941</v>
      </c>
      <c r="SP27">
        <f t="shared" si="684"/>
        <v>33.503555484836042</v>
      </c>
      <c r="SQ27">
        <f t="shared" si="684"/>
        <v>33.482902791317123</v>
      </c>
      <c r="SR27">
        <f t="shared" si="684"/>
        <v>33.462474389723496</v>
      </c>
      <c r="SS27">
        <f t="shared" si="684"/>
        <v>33.442267843263465</v>
      </c>
      <c r="ST27">
        <f t="shared" si="684"/>
        <v>33.422280741654426</v>
      </c>
      <c r="SU27">
        <f t="shared" ref="SU27:VF27" si="685">(-ST42)*$K11*dt+ST27</f>
        <v>33.402510700833183</v>
      </c>
      <c r="SV27">
        <f t="shared" si="685"/>
        <v>33.382955362669477</v>
      </c>
      <c r="SW27">
        <f t="shared" si="685"/>
        <v>33.363612394682711</v>
      </c>
      <c r="SX27">
        <f t="shared" si="685"/>
        <v>33.344479489761802</v>
      </c>
      <c r="SY27">
        <f t="shared" si="685"/>
        <v>33.325554365888131</v>
      </c>
      <c r="SZ27">
        <f t="shared" si="685"/>
        <v>33.306834765861566</v>
      </c>
      <c r="TA27">
        <f t="shared" si="685"/>
        <v>33.288318457029533</v>
      </c>
      <c r="TB27">
        <f t="shared" si="685"/>
        <v>33.270003231019025</v>
      </c>
      <c r="TC27">
        <f t="shared" si="685"/>
        <v>33.251886903471657</v>
      </c>
      <c r="TD27">
        <f t="shared" si="685"/>
        <v>33.233967313781577</v>
      </c>
      <c r="TE27">
        <f t="shared" si="685"/>
        <v>33.216242324836301</v>
      </c>
      <c r="TF27">
        <f t="shared" si="685"/>
        <v>33.198709822760421</v>
      </c>
      <c r="TG27">
        <f t="shared" si="685"/>
        <v>33.181367716662102</v>
      </c>
      <c r="TH27">
        <f t="shared" si="685"/>
        <v>33.16421393838241</v>
      </c>
      <c r="TI27">
        <f t="shared" si="685"/>
        <v>33.147246442247393</v>
      </c>
      <c r="TJ27">
        <f t="shared" si="685"/>
        <v>33.130463204822895</v>
      </c>
      <c r="TK27">
        <f t="shared" si="685"/>
        <v>33.113862224672062</v>
      </c>
      <c r="TL27">
        <f t="shared" si="685"/>
        <v>33.09744152211551</v>
      </c>
      <c r="TM27">
        <f t="shared" si="685"/>
        <v>33.081199138994172</v>
      </c>
      <c r="TN27">
        <f t="shared" si="685"/>
        <v>33.065133138434724</v>
      </c>
      <c r="TO27">
        <f t="shared" si="685"/>
        <v>33.049241604617578</v>
      </c>
      <c r="TP27">
        <f t="shared" si="685"/>
        <v>33.03352264254746</v>
      </c>
      <c r="TQ27">
        <f t="shared" si="685"/>
        <v>33.017974377826498</v>
      </c>
      <c r="TR27">
        <f t="shared" si="685"/>
        <v>33.002594956429782</v>
      </c>
      <c r="TS27">
        <f t="shared" si="685"/>
        <v>32.987382544483431</v>
      </c>
      <c r="TT27">
        <f t="shared" si="685"/>
        <v>32.972335328045048</v>
      </c>
      <c r="TU27">
        <f t="shared" si="685"/>
        <v>32.957451512886621</v>
      </c>
      <c r="TV27">
        <f t="shared" si="685"/>
        <v>32.942729324279803</v>
      </c>
      <c r="TW27">
        <f t="shared" si="685"/>
        <v>32.928167006783539</v>
      </c>
      <c r="TX27">
        <f t="shared" si="685"/>
        <v>32.913762824034016</v>
      </c>
      <c r="TY27">
        <f t="shared" si="685"/>
        <v>32.899515058536927</v>
      </c>
      <c r="TZ27">
        <f t="shared" si="685"/>
        <v>32.885422011462019</v>
      </c>
      <c r="UA27">
        <f t="shared" si="685"/>
        <v>32.871482002439883</v>
      </c>
      <c r="UB27">
        <f t="shared" si="685"/>
        <v>32.857693369360966</v>
      </c>
      <c r="UC27">
        <f t="shared" si="685"/>
        <v>32.844054468176786</v>
      </c>
      <c r="UD27">
        <f t="shared" si="685"/>
        <v>32.830563672703342</v>
      </c>
      <c r="UE27">
        <f t="shared" si="685"/>
        <v>32.817219374426664</v>
      </c>
      <c r="UF27">
        <f t="shared" si="685"/>
        <v>32.804019982310486</v>
      </c>
      <c r="UG27">
        <f t="shared" si="685"/>
        <v>32.790963922606032</v>
      </c>
      <c r="UH27">
        <f t="shared" si="685"/>
        <v>32.77804963866388</v>
      </c>
      <c r="UI27">
        <f t="shared" si="685"/>
        <v>32.765275590747883</v>
      </c>
      <c r="UJ27">
        <f t="shared" si="685"/>
        <v>32.752640255851141</v>
      </c>
      <c r="UK27">
        <f t="shared" si="685"/>
        <v>32.740142127513955</v>
      </c>
      <c r="UL27">
        <f t="shared" si="685"/>
        <v>32.727779715643806</v>
      </c>
      <c r="UM27">
        <f t="shared" si="685"/>
        <v>32.715551546337274</v>
      </c>
      <c r="UN27">
        <f t="shared" si="685"/>
        <v>32.703456161703933</v>
      </c>
      <c r="UO27">
        <f t="shared" si="685"/>
        <v>32.691492119692128</v>
      </c>
      <c r="UP27">
        <f t="shared" si="685"/>
        <v>32.679657993916699</v>
      </c>
      <c r="UQ27">
        <f t="shared" si="685"/>
        <v>32.667952373488561</v>
      </c>
      <c r="UR27">
        <f t="shared" si="685"/>
        <v>32.656373862846152</v>
      </c>
      <c r="US27">
        <f t="shared" si="685"/>
        <v>32.644921081588741</v>
      </c>
      <c r="UT27">
        <f t="shared" si="685"/>
        <v>32.633592664311507</v>
      </c>
      <c r="UU27">
        <f t="shared" si="685"/>
        <v>32.622387260442473</v>
      </c>
      <c r="UV27">
        <f t="shared" si="685"/>
        <v>32.611303534081195</v>
      </c>
      <c r="UW27">
        <f t="shared" si="685"/>
        <v>32.600340163839213</v>
      </c>
      <c r="UX27">
        <f t="shared" si="685"/>
        <v>32.589495842682233</v>
      </c>
      <c r="UY27">
        <f t="shared" si="685"/>
        <v>32.578769277774057</v>
      </c>
      <c r="UZ27">
        <f t="shared" si="685"/>
        <v>32.568159190322199</v>
      </c>
      <c r="VA27">
        <f t="shared" si="685"/>
        <v>32.557664315425171</v>
      </c>
      <c r="VB27">
        <f t="shared" si="685"/>
        <v>32.547283401921483</v>
      </c>
      <c r="VC27">
        <f t="shared" si="685"/>
        <v>32.537015212240227</v>
      </c>
      <c r="VD27">
        <f t="shared" si="685"/>
        <v>32.526858522253335</v>
      </c>
      <c r="VE27">
        <f t="shared" si="685"/>
        <v>32.516812121129441</v>
      </c>
      <c r="VF27">
        <f t="shared" si="685"/>
        <v>32.506874811189313</v>
      </c>
      <c r="VG27">
        <f t="shared" ref="VG27:XR27" si="686">(-VF42)*$K11*dt+VF27</f>
        <v>32.497045407762897</v>
      </c>
      <c r="VH27">
        <f t="shared" si="686"/>
        <v>32.48732273904789</v>
      </c>
      <c r="VI27">
        <f t="shared" si="686"/>
        <v>32.47770564596987</v>
      </c>
      <c r="VJ27">
        <f t="shared" si="686"/>
        <v>32.468192982043931</v>
      </c>
      <c r="VK27">
        <f t="shared" si="686"/>
        <v>32.458783613237863</v>
      </c>
      <c r="VL27">
        <f t="shared" si="686"/>
        <v>32.449476417836784</v>
      </c>
      <c r="VM27">
        <f t="shared" si="686"/>
        <v>32.440270286309264</v>
      </c>
      <c r="VN27">
        <f t="shared" si="686"/>
        <v>32.431164121174916</v>
      </c>
      <c r="VO27">
        <f t="shared" si="686"/>
        <v>32.422156836873413</v>
      </c>
      <c r="VP27">
        <f t="shared" si="686"/>
        <v>32.41324735963493</v>
      </c>
      <c r="VQ27">
        <f t="shared" si="686"/>
        <v>32.404434627352025</v>
      </c>
      <c r="VR27">
        <f t="shared" si="686"/>
        <v>32.395717589452886</v>
      </c>
      <c r="VS27">
        <f t="shared" si="686"/>
        <v>32.387095206775953</v>
      </c>
      <c r="VT27">
        <f t="shared" si="686"/>
        <v>32.378566451445948</v>
      </c>
      <c r="VU27">
        <f t="shared" si="686"/>
        <v>32.370130306751214</v>
      </c>
      <c r="VV27">
        <f t="shared" si="686"/>
        <v>32.361785767022404</v>
      </c>
      <c r="VW27">
        <f t="shared" si="686"/>
        <v>32.353531837512492</v>
      </c>
      <c r="VX27">
        <f t="shared" si="686"/>
        <v>32.345367534278068</v>
      </c>
      <c r="VY27">
        <f t="shared" si="686"/>
        <v>32.337291884061976</v>
      </c>
      <c r="VZ27">
        <f t="shared" si="686"/>
        <v>32.329303924177189</v>
      </c>
      <c r="WA27">
        <f t="shared" si="686"/>
        <v>32.321402702391936</v>
      </c>
      <c r="WB27">
        <f t="shared" si="686"/>
        <v>32.313587276816129</v>
      </c>
      <c r="WC27">
        <f t="shared" si="686"/>
        <v>32.305856715788977</v>
      </c>
      <c r="WD27">
        <f t="shared" si="686"/>
        <v>32.298210097767857</v>
      </c>
      <c r="WE27">
        <f t="shared" si="686"/>
        <v>32.290646511218377</v>
      </c>
      <c r="WF27">
        <f t="shared" si="686"/>
        <v>32.283165054505623</v>
      </c>
      <c r="WG27">
        <f t="shared" si="686"/>
        <v>32.276999168395882</v>
      </c>
      <c r="WH27">
        <f t="shared" si="686"/>
        <v>32.273352211379738</v>
      </c>
      <c r="WI27">
        <f t="shared" si="686"/>
        <v>32.273110639796975</v>
      </c>
      <c r="WJ27">
        <f t="shared" si="686"/>
        <v>32.276850767496647</v>
      </c>
      <c r="WK27">
        <f t="shared" si="686"/>
        <v>32.28491228087438</v>
      </c>
      <c r="WL27">
        <f t="shared" si="686"/>
        <v>32.2974705197962</v>
      </c>
      <c r="WM27">
        <f t="shared" si="686"/>
        <v>32.314592055865795</v>
      </c>
      <c r="WN27">
        <f t="shared" si="686"/>
        <v>32.336273792115101</v>
      </c>
      <c r="WO27">
        <f t="shared" si="686"/>
        <v>32.362469367054814</v>
      </c>
      <c r="WP27">
        <f t="shared" si="686"/>
        <v>32.39310659684584</v>
      </c>
      <c r="WQ27">
        <f t="shared" si="686"/>
        <v>32.42809882848568</v>
      </c>
      <c r="WR27">
        <f t="shared" si="686"/>
        <v>32.467352230352802</v>
      </c>
      <c r="WS27">
        <f t="shared" si="686"/>
        <v>32.510770397501418</v>
      </c>
      <c r="WT27">
        <f t="shared" si="686"/>
        <v>32.558257192826481</v>
      </c>
      <c r="WU27">
        <f t="shared" si="686"/>
        <v>32.609718435785467</v>
      </c>
      <c r="WV27">
        <f t="shared" si="686"/>
        <v>32.665062843676068</v>
      </c>
      <c r="WW27">
        <f t="shared" si="686"/>
        <v>32.724202493187143</v>
      </c>
      <c r="WX27">
        <f t="shared" si="686"/>
        <v>32.787052978880645</v>
      </c>
      <c r="WY27">
        <f t="shared" si="686"/>
        <v>32.85353338484218</v>
      </c>
      <c r="WZ27">
        <f t="shared" si="686"/>
        <v>32.923566145623219</v>
      </c>
      <c r="XA27">
        <f t="shared" si="686"/>
        <v>32.997076845960322</v>
      </c>
      <c r="XB27">
        <f t="shared" si="686"/>
        <v>33.073993991080293</v>
      </c>
      <c r="XC27">
        <f t="shared" si="686"/>
        <v>33.154248767693147</v>
      </c>
      <c r="XD27">
        <f t="shared" si="686"/>
        <v>33.237774808047774</v>
      </c>
      <c r="XE27">
        <f t="shared" si="686"/>
        <v>33.324507964353437</v>
      </c>
      <c r="XF27">
        <f t="shared" si="686"/>
        <v>33.414386097568411</v>
      </c>
      <c r="XG27">
        <f t="shared" si="686"/>
        <v>33.507348882434151</v>
      </c>
      <c r="XH27">
        <f t="shared" si="686"/>
        <v>33.60333762929249</v>
      </c>
      <c r="XI27">
        <f t="shared" si="686"/>
        <v>33.702295122400372</v>
      </c>
      <c r="XJ27">
        <f t="shared" si="686"/>
        <v>33.80416547397315</v>
      </c>
      <c r="XK27">
        <f t="shared" si="686"/>
        <v>33.908893992925861</v>
      </c>
      <c r="XL27">
        <f t="shared" si="686"/>
        <v>34.016427067162205</v>
      </c>
      <c r="XM27">
        <f t="shared" si="686"/>
        <v>34.126712058231362</v>
      </c>
      <c r="XN27">
        <f t="shared" si="686"/>
        <v>34.239697207197757</v>
      </c>
      <c r="XO27">
        <f t="shared" si="686"/>
        <v>34.355331550626346</v>
      </c>
      <c r="XP27">
        <f t="shared" si="686"/>
        <v>34.473564845660114</v>
      </c>
      <c r="XQ27">
        <f t="shared" si="686"/>
        <v>34.594347503248599</v>
      </c>
      <c r="XR27">
        <f t="shared" si="686"/>
        <v>34.717630528669666</v>
      </c>
      <c r="XS27">
        <f t="shared" ref="XS27:AAD27" si="687">(-XR42)*$K11*dt+XR27</f>
        <v>34.843365468568116</v>
      </c>
      <c r="XT27">
        <f t="shared" si="687"/>
        <v>34.971504363811889</v>
      </c>
      <c r="XU27">
        <f t="shared" si="687"/>
        <v>35.101999707538269</v>
      </c>
      <c r="XV27">
        <f t="shared" si="687"/>
        <v>35.234804407828477</v>
      </c>
      <c r="XW27">
        <f t="shared" si="687"/>
        <v>35.369871754508893</v>
      </c>
      <c r="XX27">
        <f t="shared" si="687"/>
        <v>35.507155389631407</v>
      </c>
      <c r="XY27">
        <f t="shared" si="687"/>
        <v>35.646609281234106</v>
      </c>
      <c r="XZ27">
        <f t="shared" si="687"/>
        <v>35.788187700027208</v>
      </c>
      <c r="YA27">
        <f t="shared" si="687"/>
        <v>35.931845198688265</v>
      </c>
      <c r="YB27">
        <f t="shared" si="687"/>
        <v>36.077536593485412</v>
      </c>
      <c r="YC27">
        <f t="shared" si="687"/>
        <v>36.225216947978581</v>
      </c>
      <c r="YD27">
        <f t="shared" si="687"/>
        <v>36.374841558576222</v>
      </c>
      <c r="YE27">
        <f t="shared" si="687"/>
        <v>36.526365941749532</v>
      </c>
      <c r="YF27">
        <f t="shared" si="687"/>
        <v>36.679745822728243</v>
      </c>
      <c r="YG27">
        <f t="shared" si="687"/>
        <v>36.834937125521201</v>
      </c>
      <c r="YH27">
        <f t="shared" si="687"/>
        <v>36.991895964122335</v>
      </c>
      <c r="YI27">
        <f t="shared" si="687"/>
        <v>37.150578634777908</v>
      </c>
      <c r="YJ27">
        <f t="shared" si="687"/>
        <v>37.31094160920447</v>
      </c>
      <c r="YK27">
        <f t="shared" si="687"/>
        <v>37.472941528659064</v>
      </c>
      <c r="YL27">
        <f t="shared" si="687"/>
        <v>37.636535198773949</v>
      </c>
      <c r="YM27">
        <f t="shared" si="687"/>
        <v>37.801679585077608</v>
      </c>
      <c r="YN27">
        <f t="shared" si="687"/>
        <v>37.968331809132216</v>
      </c>
      <c r="YO27">
        <f t="shared" si="687"/>
        <v>38.136449145225463</v>
      </c>
      <c r="YP27">
        <f t="shared" si="687"/>
        <v>38.305989017560989</v>
      </c>
      <c r="YQ27">
        <f t="shared" si="687"/>
        <v>38.476908997897937</v>
      </c>
      <c r="YR27">
        <f t="shared" si="687"/>
        <v>38.649166803595229</v>
      </c>
      <c r="YS27">
        <f t="shared" si="687"/>
        <v>38.822720296020876</v>
      </c>
      <c r="YT27">
        <f t="shared" si="687"/>
        <v>38.997527479290937</v>
      </c>
      <c r="YU27">
        <f t="shared" si="687"/>
        <v>39.173546499306283</v>
      </c>
      <c r="YV27">
        <f t="shared" si="687"/>
        <v>39.350735643058826</v>
      </c>
      <c r="YW27">
        <f t="shared" si="687"/>
        <v>39.529053338181598</v>
      </c>
      <c r="YX27">
        <f t="shared" si="687"/>
        <v>39.708458152719956</v>
      </c>
      <c r="YY27">
        <f t="shared" si="687"/>
        <v>39.888908795103255</v>
      </c>
      <c r="YZ27">
        <f t="shared" si="687"/>
        <v>40.070364114298663</v>
      </c>
      <c r="ZA27">
        <f t="shared" si="687"/>
        <v>40.252783100130451</v>
      </c>
      <c r="ZB27">
        <f t="shared" si="687"/>
        <v>40.436124883749912</v>
      </c>
      <c r="ZC27">
        <f t="shared" si="687"/>
        <v>40.620348738242448</v>
      </c>
      <c r="ZD27">
        <f t="shared" si="687"/>
        <v>40.805414079359707</v>
      </c>
      <c r="ZE27">
        <f t="shared" si="687"/>
        <v>40.991280466365843</v>
      </c>
      <c r="ZF27">
        <f t="shared" si="687"/>
        <v>41.177907602988043</v>
      </c>
      <c r="ZG27">
        <f t="shared" si="687"/>
        <v>41.365255338462397</v>
      </c>
      <c r="ZH27">
        <f t="shared" si="687"/>
        <v>41.553283668667</v>
      </c>
      <c r="ZI27">
        <f t="shared" si="687"/>
        <v>41.741952737334955</v>
      </c>
      <c r="ZJ27">
        <f t="shared" si="687"/>
        <v>41.931222837340705</v>
      </c>
      <c r="ZK27">
        <f t="shared" si="687"/>
        <v>42.121054412053525</v>
      </c>
      <c r="ZL27">
        <f t="shared" si="687"/>
        <v>42.311408056752789</v>
      </c>
      <c r="ZM27">
        <f t="shared" si="687"/>
        <v>42.502244520099929</v>
      </c>
      <c r="ZN27">
        <f t="shared" si="687"/>
        <v>42.693524705662533</v>
      </c>
      <c r="ZO27">
        <f t="shared" si="687"/>
        <v>42.885209673486393</v>
      </c>
      <c r="ZP27">
        <f t="shared" si="687"/>
        <v>43.077260641711696</v>
      </c>
      <c r="ZQ27">
        <f t="shared" si="687"/>
        <v>43.269638988229801</v>
      </c>
      <c r="ZR27">
        <f t="shared" si="687"/>
        <v>43.462306252377402</v>
      </c>
      <c r="ZS27">
        <f t="shared" si="687"/>
        <v>43.655224136665105</v>
      </c>
      <c r="ZT27">
        <f t="shared" si="687"/>
        <v>43.848354508537668</v>
      </c>
      <c r="ZU27">
        <f t="shared" si="687"/>
        <v>44.041659402163376</v>
      </c>
      <c r="ZV27">
        <f t="shared" si="687"/>
        <v>44.235101020250177</v>
      </c>
      <c r="ZW27">
        <f t="shared" si="687"/>
        <v>44.428641735886487</v>
      </c>
      <c r="ZX27">
        <f t="shared" si="687"/>
        <v>44.622244094404529</v>
      </c>
      <c r="ZY27">
        <f t="shared" si="687"/>
        <v>44.815870815264383</v>
      </c>
      <c r="ZZ27">
        <f t="shared" si="687"/>
        <v>45.009484793957022</v>
      </c>
      <c r="AAA27">
        <f t="shared" si="687"/>
        <v>45.203049103924585</v>
      </c>
      <c r="AAB27">
        <f t="shared" si="687"/>
        <v>45.396526998496469</v>
      </c>
      <c r="AAC27">
        <f t="shared" si="687"/>
        <v>45.589881912839665</v>
      </c>
      <c r="AAD27">
        <f t="shared" si="687"/>
        <v>45.783077465922084</v>
      </c>
      <c r="AAE27">
        <f t="shared" ref="AAE27:AAO27" si="688">(-AAD42)*$K11*dt+AAD27</f>
        <v>45.97607746248751</v>
      </c>
      <c r="AAF27">
        <f t="shared" si="688"/>
        <v>46.168845895040995</v>
      </c>
      <c r="AAG27">
        <f t="shared" si="688"/>
        <v>46.361346945843522</v>
      </c>
      <c r="AAH27">
        <f t="shared" si="688"/>
        <v>46.553544988914872</v>
      </c>
      <c r="AAI27">
        <f t="shared" si="688"/>
        <v>46.745404592043613</v>
      </c>
      <c r="AAJ27">
        <f t="shared" si="688"/>
        <v>46.936890518803253</v>
      </c>
      <c r="AAK27">
        <f t="shared" si="688"/>
        <v>47.127967730573566</v>
      </c>
      <c r="AAL27">
        <f t="shared" si="688"/>
        <v>47.318601388566236</v>
      </c>
      <c r="AAM27">
        <f t="shared" si="688"/>
        <v>47.508756855853896</v>
      </c>
      <c r="AAN27">
        <f t="shared" si="688"/>
        <v>47.698399699401755</v>
      </c>
      <c r="AAO27">
        <f t="shared" si="688"/>
        <v>47.887495692100991</v>
      </c>
    </row>
    <row r="28" spans="1:717">
      <c r="A28">
        <f t="shared" si="676"/>
        <v>4</v>
      </c>
      <c r="B28">
        <f>B$24+SUM(G$8:G11)*(B$35-B$24)/G$20</f>
        <v>32.005190070860515</v>
      </c>
      <c r="C28">
        <f t="shared" ref="C28:BN28" si="689">(-B43)*$K12*dt+B28</f>
        <v>32.005190070860515</v>
      </c>
      <c r="D28">
        <f t="shared" si="689"/>
        <v>32.005190070860515</v>
      </c>
      <c r="E28">
        <f t="shared" si="689"/>
        <v>32.005190070860515</v>
      </c>
      <c r="F28">
        <f t="shared" si="689"/>
        <v>32.005370278224277</v>
      </c>
      <c r="G28">
        <f t="shared" si="689"/>
        <v>32.006034095347005</v>
      </c>
      <c r="H28">
        <f t="shared" si="689"/>
        <v>32.007533172241509</v>
      </c>
      <c r="I28">
        <f t="shared" si="689"/>
        <v>32.010218197011362</v>
      </c>
      <c r="J28">
        <f t="shared" si="689"/>
        <v>32.014413802070663</v>
      </c>
      <c r="K28">
        <f t="shared" si="689"/>
        <v>32.020408673795757</v>
      </c>
      <c r="L28">
        <f t="shared" si="689"/>
        <v>32.028453758934241</v>
      </c>
      <c r="M28">
        <f t="shared" si="689"/>
        <v>32.038764243960614</v>
      </c>
      <c r="N28">
        <f t="shared" si="689"/>
        <v>32.051522991165783</v>
      </c>
      <c r="O28">
        <f t="shared" si="689"/>
        <v>32.066884300601799</v>
      </c>
      <c r="P28">
        <f t="shared" si="689"/>
        <v>32.08497749911168</v>
      </c>
      <c r="Q28">
        <f t="shared" si="689"/>
        <v>32.105910171252077</v>
      </c>
      <c r="R28">
        <f t="shared" si="689"/>
        <v>32.12977099189343</v>
      </c>
      <c r="S28">
        <f t="shared" si="689"/>
        <v>32.15663218117939</v>
      </c>
      <c r="T28">
        <f t="shared" si="689"/>
        <v>32.186551623726473</v>
      </c>
      <c r="U28">
        <f t="shared" si="689"/>
        <v>32.219574697600748</v>
      </c>
      <c r="V28">
        <f t="shared" si="689"/>
        <v>32.255735855294425</v>
      </c>
      <c r="W28">
        <f t="shared" si="689"/>
        <v>32.295059993437953</v>
      </c>
      <c r="X28">
        <f t="shared" si="689"/>
        <v>32.33756364234614</v>
      </c>
      <c r="Y28">
        <f t="shared" si="689"/>
        <v>32.383256001454185</v>
      </c>
      <c r="Z28">
        <f t="shared" si="689"/>
        <v>32.432139842439888</v>
      </c>
      <c r="AA28">
        <f t="shared" si="689"/>
        <v>32.484212298316329</v>
      </c>
      <c r="AB28">
        <f t="shared" si="689"/>
        <v>32.539465553908542</v>
      </c>
      <c r="AC28">
        <f t="shared" si="689"/>
        <v>32.597887450780405</v>
      </c>
      <c r="AD28">
        <f t="shared" si="689"/>
        <v>32.659462017750485</v>
      </c>
      <c r="AE28">
        <f t="shared" si="689"/>
        <v>32.724169936540996</v>
      </c>
      <c r="AF28">
        <f t="shared" si="689"/>
        <v>32.791988950775668</v>
      </c>
      <c r="AG28">
        <f t="shared" si="689"/>
        <v>32.862894225426416</v>
      </c>
      <c r="AH28">
        <f t="shared" si="689"/>
        <v>32.936858662865028</v>
      </c>
      <c r="AI28">
        <f t="shared" si="689"/>
        <v>33.013853180872658</v>
      </c>
      <c r="AJ28">
        <f t="shared" si="689"/>
        <v>33.09384695727212</v>
      </c>
      <c r="AK28">
        <f t="shared" si="689"/>
        <v>33.176807645256247</v>
      </c>
      <c r="AL28">
        <f t="shared" si="689"/>
        <v>33.262701562974378</v>
      </c>
      <c r="AM28">
        <f t="shared" si="689"/>
        <v>33.351493860496262</v>
      </c>
      <c r="AN28">
        <f t="shared" si="689"/>
        <v>33.443148666887318</v>
      </c>
      <c r="AO28">
        <f t="shared" si="689"/>
        <v>33.53762921979397</v>
      </c>
      <c r="AP28">
        <f t="shared" si="689"/>
        <v>33.634897979644784</v>
      </c>
      <c r="AQ28">
        <f t="shared" si="689"/>
        <v>33.734916730317153</v>
      </c>
      <c r="AR28">
        <f t="shared" si="689"/>
        <v>33.8376466678952</v>
      </c>
      <c r="AS28">
        <f t="shared" si="689"/>
        <v>33.943048478948064</v>
      </c>
      <c r="AT28">
        <f t="shared" si="689"/>
        <v>34.051082409585526</v>
      </c>
      <c r="AU28">
        <f t="shared" si="689"/>
        <v>34.161708326396678</v>
      </c>
      <c r="AV28">
        <f t="shared" si="689"/>
        <v>34.274885770244559</v>
      </c>
      <c r="AW28">
        <f t="shared" si="689"/>
        <v>34.390574003772983</v>
      </c>
      <c r="AX28">
        <f t="shared" si="689"/>
        <v>34.508732053379134</v>
      </c>
      <c r="AY28">
        <f t="shared" si="689"/>
        <v>34.629318746315462</v>
      </c>
      <c r="AZ28">
        <f t="shared" si="689"/>
        <v>34.752292743504825</v>
      </c>
      <c r="BA28">
        <f t="shared" si="689"/>
        <v>34.877612568583288</v>
      </c>
      <c r="BB28">
        <f t="shared" si="689"/>
        <v>35.005236633623284</v>
      </c>
      <c r="BC28">
        <f t="shared" si="689"/>
        <v>35.135123261936045</v>
      </c>
      <c r="BD28">
        <f t="shared" si="689"/>
        <v>35.267230708304375</v>
      </c>
      <c r="BE28">
        <f t="shared" si="689"/>
        <v>35.401517176955124</v>
      </c>
      <c r="BF28">
        <f t="shared" si="689"/>
        <v>35.537940837543722</v>
      </c>
      <c r="BG28">
        <f t="shared" si="689"/>
        <v>35.676459839390631</v>
      </c>
      <c r="BH28">
        <f t="shared" si="689"/>
        <v>35.817032324181085</v>
      </c>
      <c r="BI28">
        <f t="shared" si="689"/>
        <v>35.959616437314168</v>
      </c>
      <c r="BJ28">
        <f t="shared" si="689"/>
        <v>36.10417033806511</v>
      </c>
      <c r="BK28">
        <f t="shared" si="689"/>
        <v>36.250652208705219</v>
      </c>
      <c r="BL28">
        <f t="shared" si="689"/>
        <v>36.399020262706479</v>
      </c>
      <c r="BM28">
        <f t="shared" si="689"/>
        <v>36.549232752142906</v>
      </c>
      <c r="BN28">
        <f t="shared" si="689"/>
        <v>36.701247974387122</v>
      </c>
      <c r="BO28">
        <f t="shared" ref="BO28:DZ28" si="690">(-BN43)*$K12*dt+BN28</f>
        <v>36.855024278189077</v>
      </c>
      <c r="BP28">
        <f t="shared" si="690"/>
        <v>37.010520069213278</v>
      </c>
      <c r="BQ28">
        <f t="shared" si="690"/>
        <v>37.167693815101913</v>
      </c>
      <c r="BR28">
        <f t="shared" si="690"/>
        <v>37.326504050123027</v>
      </c>
      <c r="BS28">
        <f t="shared" si="690"/>
        <v>37.486909379455973</v>
      </c>
      <c r="BT28">
        <f t="shared" si="690"/>
        <v>37.648868483160008</v>
      </c>
      <c r="BU28">
        <f t="shared" si="690"/>
        <v>37.812340119866377</v>
      </c>
      <c r="BV28">
        <f t="shared" si="690"/>
        <v>37.977283130229502</v>
      </c>
      <c r="BW28">
        <f t="shared" si="690"/>
        <v>38.143656440168378</v>
      </c>
      <c r="BX28">
        <f t="shared" si="690"/>
        <v>38.311419063925811</v>
      </c>
      <c r="BY28">
        <f t="shared" si="690"/>
        <v>38.480530106969468</v>
      </c>
      <c r="BZ28">
        <f t="shared" si="690"/>
        <v>38.650948768756081</v>
      </c>
      <c r="CA28">
        <f t="shared" si="690"/>
        <v>38.822634345377367</v>
      </c>
      <c r="CB28">
        <f t="shared" si="690"/>
        <v>38.995546232103997</v>
      </c>
      <c r="CC28">
        <f t="shared" si="690"/>
        <v>39.169643925842031</v>
      </c>
      <c r="CD28">
        <f t="shared" si="690"/>
        <v>39.344887027514261</v>
      </c>
      <c r="CE28">
        <f t="shared" si="690"/>
        <v>39.5212352443776</v>
      </c>
      <c r="CF28">
        <f t="shared" si="690"/>
        <v>39.698648392286081</v>
      </c>
      <c r="CG28">
        <f t="shared" si="690"/>
        <v>39.877086397907881</v>
      </c>
      <c r="CH28">
        <f t="shared" si="690"/>
        <v>40.056509300903762</v>
      </c>
      <c r="CI28">
        <f t="shared" si="690"/>
        <v>40.236877256073321</v>
      </c>
      <c r="CJ28">
        <f t="shared" si="690"/>
        <v>40.418150535474609</v>
      </c>
      <c r="CK28">
        <f t="shared" si="690"/>
        <v>40.600289530522005</v>
      </c>
      <c r="CL28">
        <f t="shared" si="690"/>
        <v>40.783254754066519</v>
      </c>
      <c r="CM28">
        <f t="shared" si="690"/>
        <v>40.967006842462197</v>
      </c>
      <c r="CN28">
        <f t="shared" si="690"/>
        <v>41.151506557621708</v>
      </c>
      <c r="CO28">
        <f t="shared" si="690"/>
        <v>41.336714789063855</v>
      </c>
      <c r="CP28">
        <f t="shared" si="690"/>
        <v>41.522592555955306</v>
      </c>
      <c r="CQ28">
        <f t="shared" si="690"/>
        <v>41.709101009148476</v>
      </c>
      <c r="CR28">
        <f t="shared" si="690"/>
        <v>41.8962014332173</v>
      </c>
      <c r="CS28">
        <f t="shared" si="690"/>
        <v>42.083855248492164</v>
      </c>
      <c r="CT28">
        <f t="shared" si="690"/>
        <v>42.272024013095326</v>
      </c>
      <c r="CU28">
        <f t="shared" si="690"/>
        <v>42.460669424977596</v>
      </c>
      <c r="CV28">
        <f t="shared" si="690"/>
        <v>42.649753323957221</v>
      </c>
      <c r="CW28">
        <f t="shared" si="690"/>
        <v>42.839237693761518</v>
      </c>
      <c r="CX28">
        <f t="shared" si="690"/>
        <v>43.029084664071675</v>
      </c>
      <c r="CY28">
        <f t="shared" si="690"/>
        <v>43.219256512571192</v>
      </c>
      <c r="CZ28">
        <f t="shared" si="690"/>
        <v>43.409715666998146</v>
      </c>
      <c r="DA28">
        <f t="shared" si="690"/>
        <v>43.600424707201398</v>
      </c>
      <c r="DB28">
        <f t="shared" si="690"/>
        <v>43.79134636720093</v>
      </c>
      <c r="DC28">
        <f t="shared" si="690"/>
        <v>43.982443537252145</v>
      </c>
      <c r="DD28">
        <f t="shared" si="690"/>
        <v>44.173679265914217</v>
      </c>
      <c r="DE28">
        <f t="shared" si="690"/>
        <v>44.365016762122281</v>
      </c>
      <c r="DF28">
        <f t="shared" si="690"/>
        <v>44.556419397263312</v>
      </c>
      <c r="DG28">
        <f t="shared" si="690"/>
        <v>44.747850707255516</v>
      </c>
      <c r="DH28">
        <f t="shared" si="690"/>
        <v>44.939274394630885</v>
      </c>
      <c r="DI28">
        <f t="shared" si="690"/>
        <v>45.130654330620807</v>
      </c>
      <c r="DJ28">
        <f t="shared" si="690"/>
        <v>45.321954557244212</v>
      </c>
      <c r="DK28">
        <f t="shared" si="690"/>
        <v>45.513139289398111</v>
      </c>
      <c r="DL28">
        <f t="shared" si="690"/>
        <v>45.704172916950057</v>
      </c>
      <c r="DM28">
        <f t="shared" si="690"/>
        <v>45.895020006832212</v>
      </c>
      <c r="DN28">
        <f t="shared" si="690"/>
        <v>46.085645305136602</v>
      </c>
      <c r="DO28">
        <f t="shared" si="690"/>
        <v>46.276013739211194</v>
      </c>
      <c r="DP28">
        <f t="shared" si="690"/>
        <v>46.466090419756391</v>
      </c>
      <c r="DQ28">
        <f t="shared" si="690"/>
        <v>46.655840642921454</v>
      </c>
      <c r="DR28">
        <f t="shared" si="690"/>
        <v>46.84522989240056</v>
      </c>
      <c r="DS28">
        <f t="shared" si="690"/>
        <v>47.034223841527925</v>
      </c>
      <c r="DT28">
        <f t="shared" si="690"/>
        <v>47.222788355371648</v>
      </c>
      <c r="DU28">
        <f t="shared" si="690"/>
        <v>47.410889492825831</v>
      </c>
      <c r="DV28">
        <f t="shared" si="690"/>
        <v>47.598493508700479</v>
      </c>
      <c r="DW28">
        <f t="shared" si="690"/>
        <v>47.78556685580881</v>
      </c>
      <c r="DX28">
        <f t="shared" si="690"/>
        <v>47.972076187051471</v>
      </c>
      <c r="DY28">
        <f t="shared" si="690"/>
        <v>48.157988357497238</v>
      </c>
      <c r="DZ28">
        <f t="shared" si="690"/>
        <v>48.343270426459789</v>
      </c>
      <c r="EA28">
        <f t="shared" ref="EA28:GL28" si="691">(-DZ43)*$K12*dt+DZ28</f>
        <v>48.527889659570043</v>
      </c>
      <c r="EB28">
        <f t="shared" si="691"/>
        <v>48.711813530843649</v>
      </c>
      <c r="EC28">
        <f t="shared" si="691"/>
        <v>48.895009724743254</v>
      </c>
      <c r="ED28">
        <f t="shared" si="691"/>
        <v>49.077446138234954</v>
      </c>
      <c r="EE28">
        <f t="shared" si="691"/>
        <v>49.25909088283867</v>
      </c>
      <c r="EF28">
        <f t="shared" si="691"/>
        <v>49.439912286671856</v>
      </c>
      <c r="EG28">
        <f t="shared" si="691"/>
        <v>49.619878896486256</v>
      </c>
      <c r="EH28">
        <f t="shared" si="691"/>
        <v>49.79895947969711</v>
      </c>
      <c r="EI28">
        <f t="shared" si="691"/>
        <v>49.977123026404563</v>
      </c>
      <c r="EJ28">
        <f t="shared" si="691"/>
        <v>50.154338751406712</v>
      </c>
      <c r="EK28">
        <f t="shared" si="691"/>
        <v>50.330576096203941</v>
      </c>
      <c r="EL28">
        <f t="shared" si="691"/>
        <v>50.505804730994107</v>
      </c>
      <c r="EM28">
        <f t="shared" si="691"/>
        <v>50.679994556658158</v>
      </c>
      <c r="EN28">
        <f t="shared" si="691"/>
        <v>50.853115706735807</v>
      </c>
      <c r="EO28">
        <f t="shared" si="691"/>
        <v>51.025138549390803</v>
      </c>
      <c r="EP28">
        <f t="shared" si="691"/>
        <v>51.196033689365422</v>
      </c>
      <c r="EQ28">
        <f t="shared" si="691"/>
        <v>51.36577196992377</v>
      </c>
      <c r="ER28">
        <f t="shared" si="691"/>
        <v>51.534324474783553</v>
      </c>
      <c r="ES28">
        <f t="shared" si="691"/>
        <v>51.701662530035811</v>
      </c>
      <c r="ET28">
        <f t="shared" si="691"/>
        <v>51.867757706052359</v>
      </c>
      <c r="EU28">
        <f t="shared" si="691"/>
        <v>52.032581819380439</v>
      </c>
      <c r="EV28">
        <f t="shared" si="691"/>
        <v>52.196106934624268</v>
      </c>
      <c r="EW28">
        <f t="shared" si="691"/>
        <v>52.35830536631309</v>
      </c>
      <c r="EX28">
        <f t="shared" si="691"/>
        <v>52.519149680755341</v>
      </c>
      <c r="EY28">
        <f t="shared" si="691"/>
        <v>52.678612697878584</v>
      </c>
      <c r="EZ28">
        <f t="shared" si="691"/>
        <v>52.83666749305484</v>
      </c>
      <c r="FA28">
        <f t="shared" si="691"/>
        <v>52.993287398910915</v>
      </c>
      <c r="FB28">
        <f t="shared" si="691"/>
        <v>53.148446007123447</v>
      </c>
      <c r="FC28">
        <f t="shared" si="691"/>
        <v>53.302117170198258</v>
      </c>
      <c r="FD28">
        <f t="shared" si="691"/>
        <v>53.454275003233654</v>
      </c>
      <c r="FE28">
        <f t="shared" si="691"/>
        <v>53.604893885667373</v>
      </c>
      <c r="FF28">
        <f t="shared" si="691"/>
        <v>53.753948463006815</v>
      </c>
      <c r="FG28">
        <f t="shared" si="691"/>
        <v>53.901413648542203</v>
      </c>
      <c r="FH28">
        <f t="shared" si="691"/>
        <v>54.047264625042367</v>
      </c>
      <c r="FI28">
        <f t="shared" si="691"/>
        <v>54.191476846432799</v>
      </c>
      <c r="FJ28">
        <f t="shared" si="691"/>
        <v>54.334026039455701</v>
      </c>
      <c r="FK28">
        <f t="shared" si="691"/>
        <v>54.474888205311586</v>
      </c>
      <c r="FL28">
        <f t="shared" si="691"/>
        <v>54.614039621282295</v>
      </c>
      <c r="FM28">
        <f t="shared" si="691"/>
        <v>54.751456842334939</v>
      </c>
      <c r="FN28">
        <f t="shared" si="691"/>
        <v>54.887116702706557</v>
      </c>
      <c r="FO28">
        <f t="shared" si="691"/>
        <v>55.020996317469184</v>
      </c>
      <c r="FP28">
        <f t="shared" si="691"/>
        <v>55.153073084074961</v>
      </c>
      <c r="FQ28">
        <f t="shared" si="691"/>
        <v>55.283324683881069</v>
      </c>
      <c r="FR28">
        <f t="shared" si="691"/>
        <v>55.41172908365413</v>
      </c>
      <c r="FS28">
        <f t="shared" si="691"/>
        <v>55.538264537053806</v>
      </c>
      <c r="FT28">
        <f t="shared" si="691"/>
        <v>55.662909586095338</v>
      </c>
      <c r="FU28">
        <f t="shared" si="691"/>
        <v>55.785643062590701</v>
      </c>
      <c r="FV28">
        <f t="shared" si="691"/>
        <v>55.906444089568105</v>
      </c>
      <c r="FW28">
        <f t="shared" si="691"/>
        <v>56.025292082669615</v>
      </c>
      <c r="FX28">
        <f t="shared" si="691"/>
        <v>56.142166751526538</v>
      </c>
      <c r="FY28">
        <f t="shared" si="691"/>
        <v>56.25704810111236</v>
      </c>
      <c r="FZ28">
        <f t="shared" si="691"/>
        <v>56.369916433073008</v>
      </c>
      <c r="GA28">
        <f t="shared" si="691"/>
        <v>56.480752347034084</v>
      </c>
      <c r="GB28">
        <f t="shared" si="691"/>
        <v>56.589536741884892</v>
      </c>
      <c r="GC28">
        <f t="shared" si="691"/>
        <v>56.696250817039001</v>
      </c>
      <c r="GD28">
        <f t="shared" si="691"/>
        <v>56.800876073671034</v>
      </c>
      <c r="GE28">
        <f t="shared" si="691"/>
        <v>56.903394315929546</v>
      </c>
      <c r="GF28">
        <f t="shared" si="691"/>
        <v>57.003787652125652</v>
      </c>
      <c r="GG28">
        <f t="shared" si="691"/>
        <v>57.102038495897233</v>
      </c>
      <c r="GH28">
        <f t="shared" si="691"/>
        <v>57.198129567348467</v>
      </c>
      <c r="GI28">
        <f t="shared" si="691"/>
        <v>57.292043894164472</v>
      </c>
      <c r="GJ28">
        <f t="shared" si="691"/>
        <v>57.383764812700811</v>
      </c>
      <c r="GK28">
        <f t="shared" si="691"/>
        <v>57.473275969047663</v>
      </c>
      <c r="GL28">
        <f t="shared" si="691"/>
        <v>57.56056132006848</v>
      </c>
      <c r="GM28">
        <f t="shared" ref="GM28:IX28" si="692">(-GL43)*$K12*dt+GL28</f>
        <v>57.645605134412818</v>
      </c>
      <c r="GN28">
        <f t="shared" si="692"/>
        <v>57.728391993503251</v>
      </c>
      <c r="GO28">
        <f t="shared" si="692"/>
        <v>57.80890679249611</v>
      </c>
      <c r="GP28">
        <f t="shared" si="692"/>
        <v>57.887134741215817</v>
      </c>
      <c r="GQ28">
        <f t="shared" si="692"/>
        <v>57.963061365062721</v>
      </c>
      <c r="GR28">
        <f t="shared" si="692"/>
        <v>58.036672505894124</v>
      </c>
      <c r="GS28">
        <f t="shared" si="692"/>
        <v>58.107954322878413</v>
      </c>
      <c r="GT28">
        <f t="shared" si="692"/>
        <v>58.176893293322046</v>
      </c>
      <c r="GU28">
        <f t="shared" si="692"/>
        <v>58.243476213469272</v>
      </c>
      <c r="GV28">
        <f t="shared" si="692"/>
        <v>58.307690199274333</v>
      </c>
      <c r="GW28">
        <f t="shared" si="692"/>
        <v>58.36952268714608</v>
      </c>
      <c r="GX28">
        <f t="shared" si="692"/>
        <v>58.428961434664785</v>
      </c>
      <c r="GY28">
        <f t="shared" si="692"/>
        <v>58.485994521270932</v>
      </c>
      <c r="GZ28">
        <f t="shared" si="692"/>
        <v>58.540610348925938</v>
      </c>
      <c r="HA28">
        <f t="shared" si="692"/>
        <v>58.592797642744586</v>
      </c>
      <c r="HB28">
        <f t="shared" si="692"/>
        <v>58.642545451599027</v>
      </c>
      <c r="HC28">
        <f t="shared" si="692"/>
        <v>58.689843148694216</v>
      </c>
      <c r="HD28">
        <f t="shared" si="692"/>
        <v>58.734680432114644</v>
      </c>
      <c r="HE28">
        <f t="shared" si="692"/>
        <v>58.777047325342203</v>
      </c>
      <c r="HF28">
        <f t="shared" si="692"/>
        <v>58.816934177745111</v>
      </c>
      <c r="HG28">
        <f t="shared" si="692"/>
        <v>58.854331665037677</v>
      </c>
      <c r="HH28">
        <f t="shared" si="692"/>
        <v>58.889230789710879</v>
      </c>
      <c r="HI28">
        <f t="shared" si="692"/>
        <v>58.921622881433564</v>
      </c>
      <c r="HJ28">
        <f t="shared" si="692"/>
        <v>58.951499597424174</v>
      </c>
      <c r="HK28">
        <f t="shared" si="692"/>
        <v>58.978852922792917</v>
      </c>
      <c r="HL28">
        <f t="shared" si="692"/>
        <v>59.003675170854223</v>
      </c>
      <c r="HM28">
        <f t="shared" si="692"/>
        <v>59.025958983409417</v>
      </c>
      <c r="HN28">
        <f t="shared" si="692"/>
        <v>59.045697330999488</v>
      </c>
      <c r="HO28">
        <f t="shared" si="692"/>
        <v>59.062883513127879</v>
      </c>
      <c r="HP28">
        <f t="shared" si="692"/>
        <v>59.077511158453191</v>
      </c>
      <c r="HQ28">
        <f t="shared" si="692"/>
        <v>59.089574224951718</v>
      </c>
      <c r="HR28">
        <f t="shared" si="692"/>
        <v>59.099067000049729</v>
      </c>
      <c r="HS28">
        <f t="shared" si="692"/>
        <v>59.105984100725408</v>
      </c>
      <c r="HT28">
        <f t="shared" si="692"/>
        <v>59.110320473580416</v>
      </c>
      <c r="HU28">
        <f t="shared" si="692"/>
        <v>59.112071394880914</v>
      </c>
      <c r="HV28">
        <f t="shared" si="692"/>
        <v>59.111232470568112</v>
      </c>
      <c r="HW28">
        <f t="shared" si="692"/>
        <v>59.107799636238148</v>
      </c>
      <c r="HX28">
        <f t="shared" si="692"/>
        <v>59.101769157091347</v>
      </c>
      <c r="HY28">
        <f t="shared" si="692"/>
        <v>59.093137627850695</v>
      </c>
      <c r="HZ28">
        <f t="shared" si="692"/>
        <v>59.081901972649604</v>
      </c>
      <c r="IA28">
        <f t="shared" si="692"/>
        <v>59.06805944488881</v>
      </c>
      <c r="IB28">
        <f t="shared" si="692"/>
        <v>59.051607627062424</v>
      </c>
      <c r="IC28">
        <f t="shared" si="692"/>
        <v>59.03254443055306</v>
      </c>
      <c r="ID28">
        <f t="shared" si="692"/>
        <v>59.010868095396056</v>
      </c>
      <c r="IE28">
        <f t="shared" si="692"/>
        <v>58.986577190012703</v>
      </c>
      <c r="IF28">
        <f t="shared" si="692"/>
        <v>58.959670610912468</v>
      </c>
      <c r="IG28">
        <f t="shared" si="692"/>
        <v>58.930147582364235</v>
      </c>
      <c r="IH28">
        <f t="shared" si="692"/>
        <v>58.898007656036476</v>
      </c>
      <c r="II28">
        <f t="shared" si="692"/>
        <v>58.863250710606366</v>
      </c>
      <c r="IJ28">
        <f t="shared" si="692"/>
        <v>58.825876951337868</v>
      </c>
      <c r="IK28">
        <f t="shared" si="692"/>
        <v>58.785886909628729</v>
      </c>
      <c r="IL28">
        <f t="shared" si="692"/>
        <v>58.743281442526396</v>
      </c>
      <c r="IM28">
        <f t="shared" si="692"/>
        <v>58.698061732212871</v>
      </c>
      <c r="IN28">
        <f t="shared" si="692"/>
        <v>58.650229285458501</v>
      </c>
      <c r="IO28">
        <f t="shared" si="692"/>
        <v>58.599785933044728</v>
      </c>
      <c r="IP28">
        <f t="shared" si="692"/>
        <v>58.546733829155762</v>
      </c>
      <c r="IQ28">
        <f t="shared" si="692"/>
        <v>58.49107545073926</v>
      </c>
      <c r="IR28">
        <f t="shared" si="692"/>
        <v>58.432813596835985</v>
      </c>
      <c r="IS28">
        <f t="shared" si="692"/>
        <v>58.371951387878497</v>
      </c>
      <c r="IT28">
        <f t="shared" si="692"/>
        <v>58.308492264958893</v>
      </c>
      <c r="IU28">
        <f t="shared" si="692"/>
        <v>58.24243998906563</v>
      </c>
      <c r="IV28">
        <f t="shared" si="692"/>
        <v>58.173798640289462</v>
      </c>
      <c r="IW28">
        <f t="shared" si="692"/>
        <v>58.102572616998557</v>
      </c>
      <c r="IX28">
        <f t="shared" si="692"/>
        <v>58.028766634982802</v>
      </c>
      <c r="IY28">
        <f t="shared" ref="IY28:LJ28" si="693">(-IX43)*$K12*dt+IX28</f>
        <v>57.952385726567378</v>
      </c>
      <c r="IZ28">
        <f t="shared" si="693"/>
        <v>57.873435239695645</v>
      </c>
      <c r="JA28">
        <f t="shared" si="693"/>
        <v>57.791920836981369</v>
      </c>
      <c r="JB28">
        <f t="shared" si="693"/>
        <v>57.70784849473042</v>
      </c>
      <c r="JC28">
        <f t="shared" si="693"/>
        <v>57.621224501931913</v>
      </c>
      <c r="JD28">
        <f t="shared" si="693"/>
        <v>57.532055459218931</v>
      </c>
      <c r="JE28">
        <f t="shared" si="693"/>
        <v>57.440348277798861</v>
      </c>
      <c r="JF28">
        <f t="shared" si="693"/>
        <v>57.346110178353491</v>
      </c>
      <c r="JG28">
        <f t="shared" si="693"/>
        <v>57.249348689908793</v>
      </c>
      <c r="JH28">
        <f t="shared" si="693"/>
        <v>57.150071648674661</v>
      </c>
      <c r="JI28">
        <f t="shared" si="693"/>
        <v>57.048287196854581</v>
      </c>
      <c r="JJ28">
        <f t="shared" si="693"/>
        <v>56.944003781425323</v>
      </c>
      <c r="JK28">
        <f t="shared" si="693"/>
        <v>56.837230152886782</v>
      </c>
      <c r="JL28">
        <f t="shared" si="693"/>
        <v>56.727975363982097</v>
      </c>
      <c r="JM28">
        <f t="shared" si="693"/>
        <v>56.616248768388047</v>
      </c>
      <c r="JN28">
        <f t="shared" si="693"/>
        <v>56.502060019375939</v>
      </c>
      <c r="JO28">
        <f t="shared" si="693"/>
        <v>56.385419068443035</v>
      </c>
      <c r="JP28">
        <f t="shared" si="693"/>
        <v>56.266336163914652</v>
      </c>
      <c r="JQ28">
        <f t="shared" si="693"/>
        <v>56.144821849517022</v>
      </c>
      <c r="JR28">
        <f t="shared" si="693"/>
        <v>56.020886962921111</v>
      </c>
      <c r="JS28">
        <f t="shared" si="693"/>
        <v>55.894542634257412</v>
      </c>
      <c r="JT28">
        <f t="shared" si="693"/>
        <v>55.765800284601909</v>
      </c>
      <c r="JU28">
        <f t="shared" si="693"/>
        <v>55.634671624433338</v>
      </c>
      <c r="JV28">
        <f t="shared" si="693"/>
        <v>55.501168652061871</v>
      </c>
      <c r="JW28">
        <f t="shared" si="693"/>
        <v>55.36530365202934</v>
      </c>
      <c r="JX28">
        <f t="shared" si="693"/>
        <v>55.22708919348117</v>
      </c>
      <c r="JY28">
        <f t="shared" si="693"/>
        <v>55.086538128510156</v>
      </c>
      <c r="JZ28">
        <f t="shared" si="693"/>
        <v>54.943663590472248</v>
      </c>
      <c r="KA28">
        <f t="shared" si="693"/>
        <v>54.798478992274447</v>
      </c>
      <c r="KB28">
        <f t="shared" si="693"/>
        <v>54.65099802463503</v>
      </c>
      <c r="KC28">
        <f t="shared" si="693"/>
        <v>54.501234654316228</v>
      </c>
      <c r="KD28">
        <f t="shared" si="693"/>
        <v>54.349203122329513</v>
      </c>
      <c r="KE28">
        <f t="shared" si="693"/>
        <v>54.194917942113683</v>
      </c>
      <c r="KF28">
        <f t="shared" si="693"/>
        <v>54.038393897685886</v>
      </c>
      <c r="KG28">
        <f t="shared" si="693"/>
        <v>53.879646041765788</v>
      </c>
      <c r="KH28">
        <f t="shared" si="693"/>
        <v>53.718689693873031</v>
      </c>
      <c r="KI28">
        <f t="shared" si="693"/>
        <v>53.555540438398182</v>
      </c>
      <c r="KJ28">
        <f t="shared" si="693"/>
        <v>53.390214122647329</v>
      </c>
      <c r="KK28">
        <f t="shared" si="693"/>
        <v>53.222726854860518</v>
      </c>
      <c r="KL28">
        <f t="shared" si="693"/>
        <v>53.053095002204259</v>
      </c>
      <c r="KM28">
        <f t="shared" si="693"/>
        <v>52.88133518873822</v>
      </c>
      <c r="KN28">
        <f t="shared" si="693"/>
        <v>52.70746429335636</v>
      </c>
      <c r="KO28">
        <f t="shared" si="693"/>
        <v>52.531499447702679</v>
      </c>
      <c r="KP28">
        <f t="shared" si="693"/>
        <v>52.353458034061788</v>
      </c>
      <c r="KQ28">
        <f t="shared" si="693"/>
        <v>52.173357683224481</v>
      </c>
      <c r="KR28">
        <f t="shared" si="693"/>
        <v>51.991216272328565</v>
      </c>
      <c r="KS28">
        <f t="shared" si="693"/>
        <v>51.807051922675122</v>
      </c>
      <c r="KT28">
        <f t="shared" si="693"/>
        <v>51.621063204884152</v>
      </c>
      <c r="KU28">
        <f t="shared" si="693"/>
        <v>51.433572124330055</v>
      </c>
      <c r="KV28">
        <f t="shared" si="693"/>
        <v>51.244949171471653</v>
      </c>
      <c r="KW28">
        <f t="shared" si="693"/>
        <v>51.055564110045488</v>
      </c>
      <c r="KX28">
        <f t="shared" si="693"/>
        <v>50.865760880982307</v>
      </c>
      <c r="KY28">
        <f t="shared" si="693"/>
        <v>50.675847709732253</v>
      </c>
      <c r="KZ28">
        <f t="shared" si="693"/>
        <v>50.486095310324281</v>
      </c>
      <c r="LA28">
        <f t="shared" si="693"/>
        <v>50.296738862349514</v>
      </c>
      <c r="LB28">
        <f t="shared" si="693"/>
        <v>50.107981444655856</v>
      </c>
      <c r="LC28">
        <f t="shared" si="693"/>
        <v>49.919997794875556</v>
      </c>
      <c r="LD28">
        <f t="shared" si="693"/>
        <v>49.732937896015798</v>
      </c>
      <c r="LE28">
        <f t="shared" si="693"/>
        <v>49.546930204920322</v>
      </c>
      <c r="LF28">
        <f t="shared" si="693"/>
        <v>49.362084482386912</v>
      </c>
      <c r="LG28">
        <f t="shared" si="693"/>
        <v>49.1784942456229</v>
      </c>
      <c r="LH28">
        <f t="shared" si="693"/>
        <v>48.996238884919805</v>
      </c>
      <c r="LI28">
        <f t="shared" si="693"/>
        <v>48.815385490084147</v>
      </c>
      <c r="LJ28">
        <f t="shared" si="693"/>
        <v>48.635990428847641</v>
      </c>
      <c r="LK28">
        <f t="shared" ref="LK28:NV28" si="694">(-LJ43)*$K12*dt+LJ28</f>
        <v>48.458100713992621</v>
      </c>
      <c r="LL28">
        <f t="shared" si="694"/>
        <v>48.281755190291385</v>
      </c>
      <c r="LM28">
        <f t="shared" si="694"/>
        <v>48.106985567315725</v>
      </c>
      <c r="LN28">
        <f t="shared" si="694"/>
        <v>47.933817319913111</v>
      </c>
      <c r="LO28">
        <f t="shared" si="694"/>
        <v>47.762270474634114</v>
      </c>
      <c r="LP28">
        <f t="shared" si="694"/>
        <v>47.59236029752482</v>
      </c>
      <c r="LQ28">
        <f t="shared" si="694"/>
        <v>47.424097896350823</v>
      </c>
      <c r="LR28">
        <f t="shared" si="694"/>
        <v>47.257490748391696</v>
      </c>
      <c r="LS28">
        <f t="shared" si="694"/>
        <v>47.092543163350499</v>
      </c>
      <c r="LT28">
        <f t="shared" si="694"/>
        <v>46.929256689594233</v>
      </c>
      <c r="LU28">
        <f t="shared" si="694"/>
        <v>46.767630470825658</v>
      </c>
      <c r="LV28">
        <f t="shared" si="694"/>
        <v>46.607661559342709</v>
      </c>
      <c r="LW28">
        <f t="shared" si="694"/>
        <v>46.449345191238798</v>
      </c>
      <c r="LX28">
        <f t="shared" si="694"/>
        <v>46.292675028209146</v>
      </c>
      <c r="LY28">
        <f t="shared" si="694"/>
        <v>46.137643370036763</v>
      </c>
      <c r="LZ28">
        <f t="shared" si="694"/>
        <v>45.98424134132047</v>
      </c>
      <c r="MA28">
        <f t="shared" si="694"/>
        <v>45.832459055564414</v>
      </c>
      <c r="MB28">
        <f t="shared" si="694"/>
        <v>45.682285759363467</v>
      </c>
      <c r="MC28">
        <f t="shared" si="694"/>
        <v>45.533709959083438</v>
      </c>
      <c r="MD28">
        <f t="shared" si="694"/>
        <v>45.386719532142124</v>
      </c>
      <c r="ME28">
        <f t="shared" si="694"/>
        <v>45.241301824741299</v>
      </c>
      <c r="MF28">
        <f t="shared" si="694"/>
        <v>45.097443737675569</v>
      </c>
      <c r="MG28">
        <f t="shared" si="694"/>
        <v>44.955131801647575</v>
      </c>
      <c r="MH28">
        <f t="shared" si="694"/>
        <v>44.814352243346804</v>
      </c>
      <c r="MI28">
        <f t="shared" si="694"/>
        <v>44.675091043398069</v>
      </c>
      <c r="MJ28">
        <f t="shared" si="694"/>
        <v>44.537333987152834</v>
      </c>
      <c r="MK28">
        <f t="shared" si="694"/>
        <v>44.401066709179915</v>
      </c>
      <c r="ML28">
        <f t="shared" si="694"/>
        <v>44.266274732209524</v>
      </c>
      <c r="MM28">
        <f t="shared" si="694"/>
        <v>44.13294350119439</v>
      </c>
      <c r="MN28">
        <f t="shared" si="694"/>
        <v>44.001058413072371</v>
      </c>
      <c r="MO28">
        <f t="shared" si="694"/>
        <v>43.870604842745095</v>
      </c>
      <c r="MP28">
        <f t="shared" si="694"/>
        <v>43.741568165725866</v>
      </c>
      <c r="MQ28">
        <f t="shared" si="694"/>
        <v>43.613933777855877</v>
      </c>
      <c r="MR28">
        <f t="shared" si="694"/>
        <v>43.487687112440256</v>
      </c>
      <c r="MS28">
        <f t="shared" si="694"/>
        <v>43.362813655113555</v>
      </c>
      <c r="MT28">
        <f t="shared" si="694"/>
        <v>43.23929895670738</v>
      </c>
      <c r="MU28">
        <f t="shared" si="694"/>
        <v>43.117128644360413</v>
      </c>
      <c r="MV28">
        <f t="shared" si="694"/>
        <v>42.996288431082405</v>
      </c>
      <c r="MW28">
        <f t="shared" si="694"/>
        <v>42.876764123958601</v>
      </c>
      <c r="MX28">
        <f t="shared" si="694"/>
        <v>42.75854163115882</v>
      </c>
      <c r="MY28">
        <f t="shared" si="694"/>
        <v>42.641606967895882</v>
      </c>
      <c r="MZ28">
        <f t="shared" si="694"/>
        <v>42.525946261460767</v>
      </c>
      <c r="NA28">
        <f t="shared" si="694"/>
        <v>42.411545755446944</v>
      </c>
      <c r="NB28">
        <f t="shared" si="694"/>
        <v>42.298391813262668</v>
      </c>
      <c r="NC28">
        <f t="shared" si="694"/>
        <v>42.186470921018476</v>
      </c>
      <c r="ND28">
        <f t="shared" si="694"/>
        <v>42.07576968986664</v>
      </c>
      <c r="NE28">
        <f t="shared" si="694"/>
        <v>41.966274857860192</v>
      </c>
      <c r="NF28">
        <f t="shared" si="694"/>
        <v>41.857973291391176</v>
      </c>
      <c r="NG28">
        <f t="shared" si="694"/>
        <v>41.750851986260514</v>
      </c>
      <c r="NH28">
        <f t="shared" si="694"/>
        <v>41.644898068425853</v>
      </c>
      <c r="NI28">
        <f t="shared" si="694"/>
        <v>41.540098794467973</v>
      </c>
      <c r="NJ28">
        <f t="shared" si="694"/>
        <v>41.436441551811718</v>
      </c>
      <c r="NK28">
        <f t="shared" si="694"/>
        <v>41.333913858733005</v>
      </c>
      <c r="NL28">
        <f t="shared" si="694"/>
        <v>41.232503364179671</v>
      </c>
      <c r="NM28">
        <f t="shared" si="694"/>
        <v>41.132197847430774</v>
      </c>
      <c r="NN28">
        <f t="shared" si="694"/>
        <v>41.032985217615717</v>
      </c>
      <c r="NO28">
        <f t="shared" si="694"/>
        <v>40.934853513112316</v>
      </c>
      <c r="NP28">
        <f t="shared" si="694"/>
        <v>40.837790900840425</v>
      </c>
      <c r="NQ28">
        <f t="shared" si="694"/>
        <v>40.741785675465842</v>
      </c>
      <c r="NR28">
        <f t="shared" si="694"/>
        <v>40.646826258527362</v>
      </c>
      <c r="NS28">
        <f t="shared" si="694"/>
        <v>40.552901197498386</v>
      </c>
      <c r="NT28">
        <f t="shared" si="694"/>
        <v>40.459999164793004</v>
      </c>
      <c r="NU28">
        <f t="shared" si="694"/>
        <v>40.368108956725393</v>
      </c>
      <c r="NV28">
        <f t="shared" si="694"/>
        <v>40.27721949243017</v>
      </c>
      <c r="NW28">
        <f t="shared" ref="NW28:QH28" si="695">(-NV43)*$K12*dt+NV28</f>
        <v>40.187319812750459</v>
      </c>
      <c r="NX28">
        <f t="shared" si="695"/>
        <v>40.098399079099657</v>
      </c>
      <c r="NY28">
        <f t="shared" si="695"/>
        <v>40.010446572302001</v>
      </c>
      <c r="NZ28">
        <f t="shared" si="695"/>
        <v>39.923451691416609</v>
      </c>
      <c r="OA28">
        <f t="shared" si="695"/>
        <v>39.837403952548826</v>
      </c>
      <c r="OB28">
        <f t="shared" si="695"/>
        <v>39.752292987652524</v>
      </c>
      <c r="OC28">
        <f t="shared" si="695"/>
        <v>39.668108543326227</v>
      </c>
      <c r="OD28">
        <f t="shared" si="695"/>
        <v>39.584840479605894</v>
      </c>
      <c r="OE28">
        <f t="shared" si="695"/>
        <v>39.502478768756475</v>
      </c>
      <c r="OF28">
        <f t="shared" si="695"/>
        <v>39.421013494064432</v>
      </c>
      <c r="OG28">
        <f t="shared" si="695"/>
        <v>39.34043484863281</v>
      </c>
      <c r="OH28">
        <f t="shared" si="695"/>
        <v>39.260733134180505</v>
      </c>
      <c r="OI28">
        <f t="shared" si="695"/>
        <v>39.181898759846923</v>
      </c>
      <c r="OJ28">
        <f t="shared" si="695"/>
        <v>39.10392224100319</v>
      </c>
      <c r="OK28">
        <f t="shared" si="695"/>
        <v>39.026794198070931</v>
      </c>
      <c r="OL28">
        <f t="shared" si="695"/>
        <v>38.950505355349321</v>
      </c>
      <c r="OM28">
        <f t="shared" si="695"/>
        <v>38.875046539851205</v>
      </c>
      <c r="ON28">
        <f t="shared" si="695"/>
        <v>38.800408680148884</v>
      </c>
      <c r="OO28">
        <f t="shared" si="695"/>
        <v>38.72658280522996</v>
      </c>
      <c r="OP28">
        <f t="shared" si="695"/>
        <v>38.653560043363747</v>
      </c>
      <c r="OQ28">
        <f t="shared" si="695"/>
        <v>38.58133162097856</v>
      </c>
      <c r="OR28">
        <f t="shared" si="695"/>
        <v>38.509888861550152</v>
      </c>
      <c r="OS28">
        <f t="shared" si="695"/>
        <v>38.439223184501536</v>
      </c>
      <c r="OT28">
        <f t="shared" si="695"/>
        <v>38.369326104114307</v>
      </c>
      <c r="OU28">
        <f t="shared" si="695"/>
        <v>38.300189228451643</v>
      </c>
      <c r="OV28">
        <f t="shared" si="695"/>
        <v>38.231804258293081</v>
      </c>
      <c r="OW28">
        <f t="shared" si="695"/>
        <v>38.164162986081088</v>
      </c>
      <c r="OX28">
        <f t="shared" si="695"/>
        <v>38.097257294879469</v>
      </c>
      <c r="OY28">
        <f t="shared" si="695"/>
        <v>38.031079157343612</v>
      </c>
      <c r="OZ28">
        <f t="shared" si="695"/>
        <v>37.965620634702546</v>
      </c>
      <c r="PA28">
        <f t="shared" si="695"/>
        <v>37.900873875752829</v>
      </c>
      <c r="PB28">
        <f t="shared" si="695"/>
        <v>37.836831115864122</v>
      </c>
      <c r="PC28">
        <f t="shared" si="695"/>
        <v>37.77348467599645</v>
      </c>
      <c r="PD28">
        <f t="shared" si="695"/>
        <v>37.710826961729055</v>
      </c>
      <c r="PE28">
        <f t="shared" si="695"/>
        <v>37.64885046230075</v>
      </c>
      <c r="PF28">
        <f t="shared" si="695"/>
        <v>37.587547749661667</v>
      </c>
      <c r="PG28">
        <f t="shared" si="695"/>
        <v>37.526911477536324</v>
      </c>
      <c r="PH28">
        <f t="shared" si="695"/>
        <v>37.466934380497875</v>
      </c>
      <c r="PI28">
        <f t="shared" si="695"/>
        <v>37.407609273053438</v>
      </c>
      <c r="PJ28">
        <f t="shared" si="695"/>
        <v>37.348929048740388</v>
      </c>
      <c r="PK28">
        <f t="shared" si="695"/>
        <v>37.290886679233481</v>
      </c>
      <c r="PL28">
        <f t="shared" si="695"/>
        <v>37.233475213462711</v>
      </c>
      <c r="PM28">
        <f t="shared" si="695"/>
        <v>37.17668777674173</v>
      </c>
      <c r="PN28">
        <f t="shared" si="695"/>
        <v>37.120517569906745</v>
      </c>
      <c r="PO28">
        <f t="shared" si="695"/>
        <v>37.064957868465754</v>
      </c>
      <c r="PP28">
        <f t="shared" si="695"/>
        <v>37.010002021757977</v>
      </c>
      <c r="PQ28">
        <f t="shared" si="695"/>
        <v>36.955643452123375</v>
      </c>
      <c r="PR28">
        <f t="shared" si="695"/>
        <v>36.901875654082104</v>
      </c>
      <c r="PS28">
        <f t="shared" si="695"/>
        <v>36.848692193523789</v>
      </c>
      <c r="PT28">
        <f t="shared" si="695"/>
        <v>36.796086706906486</v>
      </c>
      <c r="PU28">
        <f t="shared" si="695"/>
        <v>36.744052900465263</v>
      </c>
      <c r="PV28">
        <f t="shared" si="695"/>
        <v>36.69258454943013</v>
      </c>
      <c r="PW28">
        <f t="shared" si="695"/>
        <v>36.641675497253338</v>
      </c>
      <c r="PX28">
        <f t="shared" si="695"/>
        <v>36.591319654845897</v>
      </c>
      <c r="PY28">
        <f t="shared" si="695"/>
        <v>36.541510999823082</v>
      </c>
      <c r="PZ28">
        <f t="shared" si="695"/>
        <v>36.492243575758955</v>
      </c>
      <c r="QA28">
        <f t="shared" si="695"/>
        <v>36.443511491449691</v>
      </c>
      <c r="QB28">
        <f t="shared" si="695"/>
        <v>36.39530892018562</v>
      </c>
      <c r="QC28">
        <f t="shared" si="695"/>
        <v>36.347630099031868</v>
      </c>
      <c r="QD28">
        <f t="shared" si="695"/>
        <v>36.300469328117451</v>
      </c>
      <c r="QE28">
        <f t="shared" si="695"/>
        <v>36.253820969932768</v>
      </c>
      <c r="QF28">
        <f t="shared" si="695"/>
        <v>36.207679448635346</v>
      </c>
      <c r="QG28">
        <f t="shared" si="695"/>
        <v>36.162039249363708</v>
      </c>
      <c r="QH28">
        <f t="shared" si="695"/>
        <v>36.116894917559307</v>
      </c>
      <c r="QI28">
        <f t="shared" ref="QI28:ST28" si="696">(-QH43)*$K12*dt+QH28</f>
        <v>36.072241058296363</v>
      </c>
      <c r="QJ28">
        <f t="shared" si="696"/>
        <v>36.028072335619548</v>
      </c>
      <c r="QK28">
        <f t="shared" si="696"/>
        <v>35.984383471889366</v>
      </c>
      <c r="QL28">
        <f t="shared" si="696"/>
        <v>35.941169247135207</v>
      </c>
      <c r="QM28">
        <f t="shared" si="696"/>
        <v>35.898424498415864</v>
      </c>
      <c r="QN28">
        <f t="shared" si="696"/>
        <v>35.856144119187483</v>
      </c>
      <c r="QO28">
        <f t="shared" si="696"/>
        <v>35.814323058678873</v>
      </c>
      <c r="QP28">
        <f t="shared" si="696"/>
        <v>35.772956321274016</v>
      </c>
      <c r="QQ28">
        <f t="shared" si="696"/>
        <v>35.732038965901701</v>
      </c>
      <c r="QR28">
        <f t="shared" si="696"/>
        <v>35.691566105432237</v>
      </c>
      <c r="QS28">
        <f t="shared" si="696"/>
        <v>35.651532906081087</v>
      </c>
      <c r="QT28">
        <f t="shared" si="696"/>
        <v>35.611934586819388</v>
      </c>
      <c r="QU28">
        <f t="shared" si="696"/>
        <v>35.572766418791218</v>
      </c>
      <c r="QV28">
        <f t="shared" si="696"/>
        <v>35.53402372473758</v>
      </c>
      <c r="QW28">
        <f t="shared" si="696"/>
        <v>35.495701878426956</v>
      </c>
      <c r="QX28">
        <f t="shared" si="696"/>
        <v>35.457796304092412</v>
      </c>
      <c r="QY28">
        <f t="shared" si="696"/>
        <v>35.420302475875111</v>
      </c>
      <c r="QZ28">
        <f t="shared" si="696"/>
        <v>35.383215917274192</v>
      </c>
      <c r="RA28">
        <f t="shared" si="696"/>
        <v>35.34653220060293</v>
      </c>
      <c r="RB28">
        <f t="shared" si="696"/>
        <v>35.31024694645108</v>
      </c>
      <c r="RC28">
        <f t="shared" si="696"/>
        <v>35.274355823153329</v>
      </c>
      <c r="RD28">
        <f t="shared" si="696"/>
        <v>35.238854546263809</v>
      </c>
      <c r="RE28">
        <f t="shared" si="696"/>
        <v>35.20373887803656</v>
      </c>
      <c r="RF28">
        <f t="shared" si="696"/>
        <v>35.169004626911907</v>
      </c>
      <c r="RG28">
        <f t="shared" si="696"/>
        <v>35.134647647008606</v>
      </c>
      <c r="RH28">
        <f t="shared" si="696"/>
        <v>35.100663837621802</v>
      </c>
      <c r="RI28">
        <f t="shared" si="696"/>
        <v>35.067049142726603</v>
      </c>
      <c r="RJ28">
        <f t="shared" si="696"/>
        <v>35.033799550487295</v>
      </c>
      <c r="RK28">
        <f t="shared" si="696"/>
        <v>35.000911092772078</v>
      </c>
      <c r="RL28">
        <f t="shared" si="696"/>
        <v>34.968379844673301</v>
      </c>
      <c r="RM28">
        <f t="shared" si="696"/>
        <v>34.936201924033035</v>
      </c>
      <c r="RN28">
        <f t="shared" si="696"/>
        <v>34.904373490974052</v>
      </c>
      <c r="RO28">
        <f t="shared" si="696"/>
        <v>34.872890747436038</v>
      </c>
      <c r="RP28">
        <f t="shared" si="696"/>
        <v>34.841749936717022</v>
      </c>
      <c r="RQ28">
        <f t="shared" si="696"/>
        <v>34.810947343019954</v>
      </c>
      <c r="RR28">
        <f t="shared" si="696"/>
        <v>34.780479291004362</v>
      </c>
      <c r="RS28">
        <f t="shared" si="696"/>
        <v>34.750342145343041</v>
      </c>
      <c r="RT28">
        <f t="shared" si="696"/>
        <v>34.72053231028368</v>
      </c>
      <c r="RU28">
        <f t="shared" si="696"/>
        <v>34.691046229215424</v>
      </c>
      <c r="RV28">
        <f t="shared" si="696"/>
        <v>34.661880384240263</v>
      </c>
      <c r="RW28">
        <f t="shared" si="696"/>
        <v>34.633031295749191</v>
      </c>
      <c r="RX28">
        <f t="shared" si="696"/>
        <v>34.604495522003148</v>
      </c>
      <c r="RY28">
        <f t="shared" si="696"/>
        <v>34.576269658718573</v>
      </c>
      <c r="RZ28">
        <f t="shared" si="696"/>
        <v>34.548350338657606</v>
      </c>
      <c r="SA28">
        <f t="shared" si="696"/>
        <v>34.52073423122286</v>
      </c>
      <c r="SB28">
        <f t="shared" si="696"/>
        <v>34.493418042056696</v>
      </c>
      <c r="SC28">
        <f t="shared" si="696"/>
        <v>34.466398512644943</v>
      </c>
      <c r="SD28">
        <f t="shared" si="696"/>
        <v>34.439672419925046</v>
      </c>
      <c r="SE28">
        <f t="shared" si="696"/>
        <v>34.413236575898551</v>
      </c>
      <c r="SF28">
        <f t="shared" si="696"/>
        <v>34.387087827247896</v>
      </c>
      <c r="SG28">
        <f t="shared" si="696"/>
        <v>34.361223054957449</v>
      </c>
      <c r="SH28">
        <f t="shared" si="696"/>
        <v>34.335639173938773</v>
      </c>
      <c r="SI28">
        <f t="shared" si="696"/>
        <v>34.310333132659999</v>
      </c>
      <c r="SJ28">
        <f t="shared" si="696"/>
        <v>34.285301912779353</v>
      </c>
      <c r="SK28">
        <f t="shared" si="696"/>
        <v>34.260542528782722</v>
      </c>
      <c r="SL28">
        <f t="shared" si="696"/>
        <v>34.236052027625206</v>
      </c>
      <c r="SM28">
        <f t="shared" si="696"/>
        <v>34.211827488376684</v>
      </c>
      <c r="SN28">
        <f t="shared" si="696"/>
        <v>34.187866021871258</v>
      </c>
      <c r="SO28">
        <f t="shared" si="696"/>
        <v>34.164164770360593</v>
      </c>
      <c r="SP28">
        <f t="shared" si="696"/>
        <v>34.140720907171065</v>
      </c>
      <c r="SQ28">
        <f t="shared" si="696"/>
        <v>34.117531636364731</v>
      </c>
      <c r="SR28">
        <f t="shared" si="696"/>
        <v>34.094594192403996</v>
      </c>
      <c r="SS28">
        <f t="shared" si="696"/>
        <v>34.071905839820019</v>
      </c>
      <c r="ST28">
        <f t="shared" si="696"/>
        <v>34.049463872884736</v>
      </c>
      <c r="SU28">
        <f t="shared" ref="SU28:VF28" si="697">(-ST43)*$K12*dt+ST28</f>
        <v>34.027265615286552</v>
      </c>
      <c r="SV28">
        <f t="shared" si="697"/>
        <v>34.005308419809531</v>
      </c>
      <c r="SW28">
        <f t="shared" si="697"/>
        <v>33.983589668016208</v>
      </c>
      <c r="SX28">
        <f t="shared" si="697"/>
        <v>33.962106769933811</v>
      </c>
      <c r="SY28">
        <f t="shared" si="697"/>
        <v>33.940857163743999</v>
      </c>
      <c r="SZ28">
        <f t="shared" si="697"/>
        <v>33.919838315475971</v>
      </c>
      <c r="TA28">
        <f t="shared" si="697"/>
        <v>33.899047718702974</v>
      </c>
      <c r="TB28">
        <f t="shared" si="697"/>
        <v>33.878482894242147</v>
      </c>
      <c r="TC28">
        <f t="shared" si="697"/>
        <v>33.85814138985765</v>
      </c>
      <c r="TD28">
        <f t="shared" si="697"/>
        <v>33.83802077996706</v>
      </c>
      <c r="TE28">
        <f t="shared" si="697"/>
        <v>33.818118665351001</v>
      </c>
      <c r="TF28">
        <f t="shared" si="697"/>
        <v>33.798432672865957</v>
      </c>
      <c r="TG28">
        <f t="shared" si="697"/>
        <v>33.778960455160245</v>
      </c>
      <c r="TH28">
        <f t="shared" si="697"/>
        <v>33.75969969039307</v>
      </c>
      <c r="TI28">
        <f t="shared" si="697"/>
        <v>33.740648081956728</v>
      </c>
      <c r="TJ28">
        <f t="shared" si="697"/>
        <v>33.721803358201775</v>
      </c>
      <c r="TK28">
        <f t="shared" si="697"/>
        <v>33.703163272165291</v>
      </c>
      <c r="TL28">
        <f t="shared" si="697"/>
        <v>33.68472560130207</v>
      </c>
      <c r="TM28">
        <f t="shared" si="697"/>
        <v>33.666488147218764</v>
      </c>
      <c r="TN28">
        <f t="shared" si="697"/>
        <v>33.648448735410952</v>
      </c>
      <c r="TO28">
        <f t="shared" si="697"/>
        <v>33.630605215003087</v>
      </c>
      <c r="TP28">
        <f t="shared" si="697"/>
        <v>33.612955458491278</v>
      </c>
      <c r="TQ28">
        <f t="shared" si="697"/>
        <v>33.595497361488917</v>
      </c>
      <c r="TR28">
        <f t="shared" si="697"/>
        <v>33.578228842475056</v>
      </c>
      <c r="TS28">
        <f t="shared" si="697"/>
        <v>33.561147842545559</v>
      </c>
      <c r="TT28">
        <f t="shared" si="697"/>
        <v>33.544252325166987</v>
      </c>
      <c r="TU28">
        <f t="shared" si="697"/>
        <v>33.527540275933134</v>
      </c>
      <c r="TV28">
        <f t="shared" si="697"/>
        <v>33.511009702324273</v>
      </c>
      <c r="TW28">
        <f t="shared" si="697"/>
        <v>33.494658633469015</v>
      </c>
      <c r="TX28">
        <f t="shared" si="697"/>
        <v>33.478485119908768</v>
      </c>
      <c r="TY28">
        <f t="shared" si="697"/>
        <v>33.462487233364762</v>
      </c>
      <c r="TZ28">
        <f t="shared" si="697"/>
        <v>33.446663066507661</v>
      </c>
      <c r="UA28">
        <f t="shared" si="697"/>
        <v>33.431010732729646</v>
      </c>
      <c r="UB28">
        <f t="shared" si="697"/>
        <v>33.415528365919016</v>
      </c>
      <c r="UC28">
        <f t="shared" si="697"/>
        <v>33.400214120237237</v>
      </c>
      <c r="UD28">
        <f t="shared" si="697"/>
        <v>33.385066169898437</v>
      </c>
      <c r="UE28">
        <f t="shared" si="697"/>
        <v>33.370082708951301</v>
      </c>
      <c r="UF28">
        <f t="shared" si="697"/>
        <v>33.355261951063362</v>
      </c>
      <c r="UG28">
        <f t="shared" si="697"/>
        <v>33.340602129307626</v>
      </c>
      <c r="UH28">
        <f t="shared" si="697"/>
        <v>33.326101495951541</v>
      </c>
      <c r="UI28">
        <f t="shared" si="697"/>
        <v>33.311758322248252</v>
      </c>
      <c r="UJ28">
        <f t="shared" si="697"/>
        <v>33.297570898230177</v>
      </c>
      <c r="UK28">
        <f t="shared" si="697"/>
        <v>33.283537532504774</v>
      </c>
      <c r="UL28">
        <f t="shared" si="697"/>
        <v>33.269656552052595</v>
      </c>
      <c r="UM28">
        <f t="shared" si="697"/>
        <v>33.255926302027497</v>
      </c>
      <c r="UN28">
        <f t="shared" si="697"/>
        <v>33.242345145559057</v>
      </c>
      <c r="UO28">
        <f t="shared" si="697"/>
        <v>33.228911463557139</v>
      </c>
      <c r="UP28">
        <f t="shared" si="697"/>
        <v>33.215623654518588</v>
      </c>
      <c r="UQ28">
        <f t="shared" si="697"/>
        <v>33.202480134336035</v>
      </c>
      <c r="UR28">
        <f t="shared" si="697"/>
        <v>33.189479336108782</v>
      </c>
      <c r="US28">
        <f t="shared" si="697"/>
        <v>33.176619709955752</v>
      </c>
      <c r="UT28">
        <f t="shared" si="697"/>
        <v>33.163899722830486</v>
      </c>
      <c r="UU28">
        <f t="shared" si="697"/>
        <v>33.151317858338146</v>
      </c>
      <c r="UV28">
        <f t="shared" si="697"/>
        <v>33.138872616554494</v>
      </c>
      <c r="UW28">
        <f t="shared" si="697"/>
        <v>33.126562513846892</v>
      </c>
      <c r="UX28">
        <f t="shared" si="697"/>
        <v>33.114386082697209</v>
      </c>
      <c r="UY28">
        <f t="shared" si="697"/>
        <v>33.102341871526676</v>
      </c>
      <c r="UZ28">
        <f t="shared" si="697"/>
        <v>33.090428444522651</v>
      </c>
      <c r="VA28">
        <f t="shared" si="697"/>
        <v>33.078644381467257</v>
      </c>
      <c r="VB28">
        <f t="shared" si="697"/>
        <v>33.066988277567908</v>
      </c>
      <c r="VC28">
        <f t="shared" si="697"/>
        <v>33.055458743289655</v>
      </c>
      <c r="VD28">
        <f t="shared" si="697"/>
        <v>33.044054404189389</v>
      </c>
      <c r="VE28">
        <f t="shared" si="697"/>
        <v>33.032773900751806</v>
      </c>
      <c r="VF28">
        <f t="shared" si="697"/>
        <v>33.02161588822721</v>
      </c>
      <c r="VG28">
        <f t="shared" ref="VG28:XR28" si="698">(-VF43)*$K12*dt+VF28</f>
        <v>33.010579036471043</v>
      </c>
      <c r="VH28">
        <f t="shared" si="698"/>
        <v>32.999662029785171</v>
      </c>
      <c r="VI28">
        <f t="shared" si="698"/>
        <v>32.988863566760919</v>
      </c>
      <c r="VJ28">
        <f t="shared" si="698"/>
        <v>32.978182360123789</v>
      </c>
      <c r="VK28">
        <f t="shared" si="698"/>
        <v>32.967617136579868</v>
      </c>
      <c r="VL28">
        <f t="shared" si="698"/>
        <v>32.957166636663921</v>
      </c>
      <c r="VM28">
        <f t="shared" si="698"/>
        <v>32.946829614589149</v>
      </c>
      <c r="VN28">
        <f t="shared" si="698"/>
        <v>32.936604838098546</v>
      </c>
      <c r="VO28">
        <f t="shared" si="698"/>
        <v>32.92649108831791</v>
      </c>
      <c r="VP28">
        <f t="shared" si="698"/>
        <v>32.916487159610412</v>
      </c>
      <c r="VQ28">
        <f t="shared" si="698"/>
        <v>32.906591859432815</v>
      </c>
      <c r="VR28">
        <f t="shared" si="698"/>
        <v>32.896804008193172</v>
      </c>
      <c r="VS28">
        <f t="shared" si="698"/>
        <v>32.887122439110136</v>
      </c>
      <c r="VT28">
        <f t="shared" si="698"/>
        <v>32.877545998073785</v>
      </c>
      <c r="VU28">
        <f t="shared" si="698"/>
        <v>32.86807354350794</v>
      </c>
      <c r="VV28">
        <f t="shared" si="698"/>
        <v>32.858703946234023</v>
      </c>
      <c r="VW28">
        <f t="shared" si="698"/>
        <v>32.849436089336329</v>
      </c>
      <c r="VX28">
        <f t="shared" si="698"/>
        <v>32.840268868028851</v>
      </c>
      <c r="VY28">
        <f t="shared" si="698"/>
        <v>32.831201189523469</v>
      </c>
      <c r="VZ28">
        <f t="shared" si="698"/>
        <v>32.82223197289963</v>
      </c>
      <c r="WA28">
        <f t="shared" si="698"/>
        <v>32.81336014897542</v>
      </c>
      <c r="WB28">
        <f t="shared" si="698"/>
        <v>32.804584660180055</v>
      </c>
      <c r="WC28">
        <f t="shared" si="698"/>
        <v>32.795904460427728</v>
      </c>
      <c r="WD28">
        <f t="shared" si="698"/>
        <v>32.787318514992855</v>
      </c>
      <c r="WE28">
        <f t="shared" si="698"/>
        <v>32.778825800386684</v>
      </c>
      <c r="WF28">
        <f t="shared" si="698"/>
        <v>32.770425304235211</v>
      </c>
      <c r="WG28">
        <f t="shared" si="698"/>
        <v>32.762116025158456</v>
      </c>
      <c r="WH28">
        <f t="shared" si="698"/>
        <v>32.754077180014797</v>
      </c>
      <c r="WI28">
        <f t="shared" si="698"/>
        <v>32.746611191450533</v>
      </c>
      <c r="WJ28">
        <f t="shared" si="698"/>
        <v>32.740068740369196</v>
      </c>
      <c r="WK28">
        <f t="shared" si="698"/>
        <v>32.734799556289147</v>
      </c>
      <c r="WL28">
        <f t="shared" si="698"/>
        <v>32.731127323449016</v>
      </c>
      <c r="WM28">
        <f t="shared" si="698"/>
        <v>32.729339790346373</v>
      </c>
      <c r="WN28">
        <f t="shared" si="698"/>
        <v>32.729686976034856</v>
      </c>
      <c r="WO28">
        <f t="shared" si="698"/>
        <v>32.732383149369234</v>
      </c>
      <c r="WP28">
        <f t="shared" si="698"/>
        <v>32.737610264985456</v>
      </c>
      <c r="WQ28">
        <f t="shared" si="698"/>
        <v>32.745521725137174</v>
      </c>
      <c r="WR28">
        <f t="shared" si="698"/>
        <v>32.756245968618494</v>
      </c>
      <c r="WS28">
        <f t="shared" si="698"/>
        <v>32.769889701580766</v>
      </c>
      <c r="WT28">
        <f t="shared" si="698"/>
        <v>32.786540730027973</v>
      </c>
      <c r="WU28">
        <f t="shared" si="698"/>
        <v>32.806270414672568</v>
      </c>
      <c r="WV28">
        <f t="shared" si="698"/>
        <v>32.829135790032637</v>
      </c>
      <c r="WW28">
        <f t="shared" si="698"/>
        <v>32.855181393307248</v>
      </c>
      <c r="WX28">
        <f t="shared" si="698"/>
        <v>32.884440845252712</v>
      </c>
      <c r="WY28">
        <f t="shared" si="698"/>
        <v>32.916938219795597</v>
      </c>
      <c r="WZ28">
        <f t="shared" si="698"/>
        <v>32.952689233480676</v>
      </c>
      <c r="XA28">
        <f t="shared" si="698"/>
        <v>32.991702280809967</v>
      </c>
      <c r="XB28">
        <f t="shared" si="698"/>
        <v>33.033979337268953</v>
      </c>
      <c r="XC28">
        <f t="shared" si="698"/>
        <v>33.079516748324345</v>
      </c>
      <c r="XD28">
        <f t="shared" si="698"/>
        <v>33.12830591980682</v>
      </c>
      <c r="XE28">
        <f t="shared" si="698"/>
        <v>33.180333922745085</v>
      </c>
      <c r="XF28">
        <f t="shared" si="698"/>
        <v>33.235584023789791</v>
      </c>
      <c r="XG28">
        <f t="shared" si="698"/>
        <v>33.294036150771667</v>
      </c>
      <c r="XH28">
        <f t="shared" si="698"/>
        <v>33.355667301609472</v>
      </c>
      <c r="XI28">
        <f t="shared" si="698"/>
        <v>33.420451903667768</v>
      </c>
      <c r="XJ28">
        <f t="shared" si="698"/>
        <v>33.488362129720649</v>
      </c>
      <c r="XK28">
        <f t="shared" si="698"/>
        <v>33.559368175874276</v>
      </c>
      <c r="XL28">
        <f t="shared" si="698"/>
        <v>33.633438506113116</v>
      </c>
      <c r="XM28">
        <f t="shared" si="698"/>
        <v>33.710540067543164</v>
      </c>
      <c r="XN28">
        <f t="shared" si="698"/>
        <v>33.790638479894291</v>
      </c>
      <c r="XO28">
        <f t="shared" si="698"/>
        <v>33.873698202400853</v>
      </c>
      <c r="XP28">
        <f t="shared" si="698"/>
        <v>33.9596826807946</v>
      </c>
      <c r="XQ28">
        <f t="shared" si="698"/>
        <v>34.048554476808526</v>
      </c>
      <c r="XR28">
        <f t="shared" si="698"/>
        <v>34.140275382297439</v>
      </c>
      <c r="XS28">
        <f t="shared" ref="XS28:AAD28" si="699">(-XR43)*$K12*dt+XR28</f>
        <v>34.234806519824936</v>
      </c>
      <c r="XT28">
        <f t="shared" si="699"/>
        <v>34.332108431342455</v>
      </c>
      <c r="XU28">
        <f t="shared" si="699"/>
        <v>34.432141156389577</v>
      </c>
      <c r="XV28">
        <f t="shared" si="699"/>
        <v>34.534864301072503</v>
      </c>
      <c r="XW28">
        <f t="shared" si="699"/>
        <v>34.640237098926455</v>
      </c>
      <c r="XX28">
        <f t="shared" si="699"/>
        <v>34.748218464634803</v>
      </c>
      <c r="XY28">
        <f t="shared" si="699"/>
        <v>34.858767041461256</v>
      </c>
      <c r="XZ28">
        <f t="shared" si="699"/>
        <v>34.971841243148631</v>
      </c>
      <c r="YA28">
        <f t="shared" si="699"/>
        <v>35.08739929094768</v>
      </c>
      <c r="YB28">
        <f t="shared" si="699"/>
        <v>35.20539924636001</v>
      </c>
      <c r="YC28">
        <f t="shared" si="699"/>
        <v>35.325799040109402</v>
      </c>
      <c r="YD28">
        <f t="shared" si="699"/>
        <v>35.448556497794307</v>
      </c>
      <c r="YE28">
        <f t="shared" si="699"/>
        <v>35.573629362620338</v>
      </c>
      <c r="YF28">
        <f t="shared" si="699"/>
        <v>35.700975315563923</v>
      </c>
      <c r="YG28">
        <f t="shared" si="699"/>
        <v>35.830551993276323</v>
      </c>
      <c r="YH28">
        <f t="shared" si="699"/>
        <v>35.962317004000539</v>
      </c>
      <c r="YI28">
        <f t="shared" si="699"/>
        <v>36.096227941740814</v>
      </c>
      <c r="YJ28">
        <f t="shared" si="699"/>
        <v>36.232242398896204</v>
      </c>
      <c r="YK28">
        <f t="shared" si="699"/>
        <v>36.370317977544126</v>
      </c>
      <c r="YL28">
        <f t="shared" si="699"/>
        <v>36.510412299537933</v>
      </c>
      <c r="YM28">
        <f t="shared" si="699"/>
        <v>36.652483015562723</v>
      </c>
      <c r="YN28">
        <f t="shared" si="699"/>
        <v>36.796487813276627</v>
      </c>
      <c r="YO28">
        <f t="shared" si="699"/>
        <v>36.94238442464944</v>
      </c>
      <c r="YP28">
        <f t="shared" si="699"/>
        <v>37.090130632597202</v>
      </c>
      <c r="YQ28">
        <f t="shared" si="699"/>
        <v>37.23968427699959</v>
      </c>
      <c r="YR28">
        <f t="shared" si="699"/>
        <v>37.391003260176497</v>
      </c>
      <c r="YS28">
        <f t="shared" si="699"/>
        <v>37.544045551891131</v>
      </c>
      <c r="YT28">
        <f t="shared" si="699"/>
        <v>37.698769193938851</v>
      </c>
      <c r="YU28">
        <f t="shared" si="699"/>
        <v>37.85513230437391</v>
      </c>
      <c r="YV28">
        <f t="shared" si="699"/>
        <v>38.013093081419981</v>
      </c>
      <c r="YW28">
        <f t="shared" si="699"/>
        <v>38.172609807104813</v>
      </c>
      <c r="YX28">
        <f t="shared" si="699"/>
        <v>38.333640850654554</v>
      </c>
      <c r="YY28">
        <f t="shared" si="699"/>
        <v>38.496144671679026</v>
      </c>
      <c r="YZ28">
        <f t="shared" si="699"/>
        <v>38.660079823175309</v>
      </c>
      <c r="ZA28">
        <f t="shared" si="699"/>
        <v>38.825404954373838</v>
      </c>
      <c r="ZB28">
        <f t="shared" si="699"/>
        <v>38.992078813448217</v>
      </c>
      <c r="ZC28">
        <f t="shared" si="699"/>
        <v>39.160060250107335</v>
      </c>
      <c r="ZD28">
        <f t="shared" si="699"/>
        <v>39.32930821808614</v>
      </c>
      <c r="ZE28">
        <f t="shared" si="699"/>
        <v>39.499781777549401</v>
      </c>
      <c r="ZF28">
        <f t="shared" si="699"/>
        <v>39.671440097421026</v>
      </c>
      <c r="ZG28">
        <f t="shared" si="699"/>
        <v>39.844242457649948</v>
      </c>
      <c r="ZH28">
        <f t="shared" si="699"/>
        <v>40.018148251422168</v>
      </c>
      <c r="ZI28">
        <f t="shared" si="699"/>
        <v>40.193116987327407</v>
      </c>
      <c r="ZJ28">
        <f t="shared" si="699"/>
        <v>40.369108291487713</v>
      </c>
      <c r="ZK28">
        <f t="shared" si="699"/>
        <v>40.546081909654397</v>
      </c>
      <c r="ZL28">
        <f t="shared" si="699"/>
        <v>40.723997709278912</v>
      </c>
      <c r="ZM28">
        <f t="shared" si="699"/>
        <v>40.90281568156248</v>
      </c>
      <c r="ZN28">
        <f t="shared" si="699"/>
        <v>41.082495943488688</v>
      </c>
      <c r="ZO28">
        <f t="shared" si="699"/>
        <v>41.262998739842715</v>
      </c>
      <c r="ZP28">
        <f t="shared" si="699"/>
        <v>41.444284445220234</v>
      </c>
      <c r="ZQ28">
        <f t="shared" si="699"/>
        <v>41.626313566028749</v>
      </c>
      <c r="ZR28">
        <f t="shared" si="699"/>
        <v>41.809046742483659</v>
      </c>
      <c r="ZS28">
        <f t="shared" si="699"/>
        <v>41.992444750600981</v>
      </c>
      <c r="ZT28">
        <f t="shared" si="699"/>
        <v>42.176468504188414</v>
      </c>
      <c r="ZU28">
        <f t="shared" si="699"/>
        <v>42.361079056836097</v>
      </c>
      <c r="ZV28">
        <f t="shared" si="699"/>
        <v>42.546237603908295</v>
      </c>
      <c r="ZW28">
        <f t="shared" si="699"/>
        <v>42.731905484536853</v>
      </c>
      <c r="ZX28">
        <f t="shared" si="699"/>
        <v>42.918044183617305</v>
      </c>
      <c r="ZY28">
        <f t="shared" si="699"/>
        <v>43.104615333808169</v>
      </c>
      <c r="ZZ28">
        <f t="shared" si="699"/>
        <v>43.29158071753394</v>
      </c>
      <c r="AAA28">
        <f t="shared" si="699"/>
        <v>43.478902268992123</v>
      </c>
      <c r="AAB28">
        <f t="shared" si="699"/>
        <v>43.666542076164539</v>
      </c>
      <c r="AAC28">
        <f t="shared" si="699"/>
        <v>43.854462382833063</v>
      </c>
      <c r="AAD28">
        <f t="shared" si="699"/>
        <v>44.042625590599847</v>
      </c>
      <c r="AAE28">
        <f t="shared" ref="AAE28:AAO28" si="700">(-AAD43)*$K12*dt+AAD28</f>
        <v>44.230994260912055</v>
      </c>
      <c r="AAF28">
        <f t="shared" si="700"/>
        <v>44.419531117090983</v>
      </c>
      <c r="AAG28">
        <f t="shared" si="700"/>
        <v>44.608199046365485</v>
      </c>
      <c r="AAH28">
        <f t="shared" si="700"/>
        <v>44.796961101909503</v>
      </c>
      <c r="AAI28">
        <f t="shared" si="700"/>
        <v>44.985780504883529</v>
      </c>
      <c r="AAJ28">
        <f t="shared" si="700"/>
        <v>45.174620646479653</v>
      </c>
      <c r="AAK28">
        <f t="shared" si="700"/>
        <v>45.363445089970014</v>
      </c>
      <c r="AAL28">
        <f t="shared" si="700"/>
        <v>45.552217572758302</v>
      </c>
      <c r="AAM28">
        <f t="shared" si="700"/>
        <v>45.740902008433935</v>
      </c>
      <c r="AAN28">
        <f t="shared" si="700"/>
        <v>45.929462488828619</v>
      </c>
      <c r="AAO28">
        <f t="shared" si="700"/>
        <v>46.1178632860749</v>
      </c>
    </row>
    <row r="29" spans="1:717">
      <c r="A29">
        <f t="shared" si="676"/>
        <v>5</v>
      </c>
      <c r="B29">
        <f>B$24+SUM(G$8:G12)*(B$35-B$24)/G$20</f>
        <v>32.408730447847326</v>
      </c>
      <c r="C29">
        <f t="shared" ref="C29:BN29" si="701">(-B44)*$K13*dt+B29</f>
        <v>32.408730447847326</v>
      </c>
      <c r="D29">
        <f t="shared" si="701"/>
        <v>32.408730447847326</v>
      </c>
      <c r="E29">
        <f t="shared" si="701"/>
        <v>32.408730447847326</v>
      </c>
      <c r="F29">
        <f t="shared" si="701"/>
        <v>32.408730447847326</v>
      </c>
      <c r="G29">
        <f t="shared" si="701"/>
        <v>32.408780396385779</v>
      </c>
      <c r="H29">
        <f t="shared" si="701"/>
        <v>32.408999827928916</v>
      </c>
      <c r="I29">
        <f t="shared" si="701"/>
        <v>32.409571109787301</v>
      </c>
      <c r="J29">
        <f t="shared" si="701"/>
        <v>32.410721109628405</v>
      </c>
      <c r="K29">
        <f t="shared" si="701"/>
        <v>32.412701295253086</v>
      </c>
      <c r="L29">
        <f t="shared" si="701"/>
        <v>32.41577089046914</v>
      </c>
      <c r="M29">
        <f t="shared" si="701"/>
        <v>32.420184407570325</v>
      </c>
      <c r="N29">
        <f t="shared" si="701"/>
        <v>32.426183309195935</v>
      </c>
      <c r="O29">
        <f t="shared" si="701"/>
        <v>32.433990994554719</v>
      </c>
      <c r="P29">
        <f t="shared" si="701"/>
        <v>32.443810233985239</v>
      </c>
      <c r="Q29">
        <f t="shared" si="701"/>
        <v>32.455822297096923</v>
      </c>
      <c r="R29">
        <f t="shared" si="701"/>
        <v>32.470187190057366</v>
      </c>
      <c r="S29">
        <f t="shared" si="701"/>
        <v>32.487044576906221</v>
      </c>
      <c r="T29">
        <f t="shared" si="701"/>
        <v>32.506515088699622</v>
      </c>
      <c r="U29">
        <f t="shared" si="701"/>
        <v>32.528701821142427</v>
      </c>
      <c r="V29">
        <f t="shared" si="701"/>
        <v>32.553691890911736</v>
      </c>
      <c r="W29">
        <f t="shared" si="701"/>
        <v>32.581557969292597</v>
      </c>
      <c r="X29">
        <f t="shared" si="701"/>
        <v>32.612359744661958</v>
      </c>
      <c r="Y29">
        <f t="shared" si="701"/>
        <v>32.646145287269789</v>
      </c>
      <c r="Z29">
        <f t="shared" si="701"/>
        <v>32.68295230404626</v>
      </c>
      <c r="AA29">
        <f t="shared" si="701"/>
        <v>32.722809280237712</v>
      </c>
      <c r="AB29">
        <f t="shared" si="701"/>
        <v>32.765736510246825</v>
      </c>
      <c r="AC29">
        <f t="shared" si="701"/>
        <v>32.811747023302338</v>
      </c>
      <c r="AD29">
        <f t="shared" si="701"/>
        <v>32.860847411314019</v>
      </c>
      <c r="AE29">
        <f t="shared" si="701"/>
        <v>32.913038567022959</v>
      </c>
      <c r="AF29">
        <f t="shared" si="701"/>
        <v>32.968316340698507</v>
      </c>
      <c r="AG29">
        <f t="shared" si="701"/>
        <v>33.026672123403252</v>
      </c>
      <c r="AH29">
        <f t="shared" si="701"/>
        <v>33.088093364404315</v>
      </c>
      <c r="AI29">
        <f t="shared" si="701"/>
        <v>33.152564029755993</v>
      </c>
      <c r="AJ29">
        <f t="shared" si="701"/>
        <v>33.220065008480873</v>
      </c>
      <c r="AK29">
        <f t="shared" si="701"/>
        <v>33.290574472175088</v>
      </c>
      <c r="AL29">
        <f t="shared" si="701"/>
        <v>33.364068193282371</v>
      </c>
      <c r="AM29">
        <f t="shared" si="701"/>
        <v>33.44051982673529</v>
      </c>
      <c r="AN29">
        <f t="shared" si="701"/>
        <v>33.51990115915725</v>
      </c>
      <c r="AO29">
        <f t="shared" si="701"/>
        <v>33.602182329357824</v>
      </c>
      <c r="AP29">
        <f t="shared" si="701"/>
        <v>33.687332023437222</v>
      </c>
      <c r="AQ29">
        <f t="shared" si="701"/>
        <v>33.775317647440524</v>
      </c>
      <c r="AR29">
        <f t="shared" si="701"/>
        <v>33.86610548016688</v>
      </c>
      <c r="AS29">
        <f t="shared" si="701"/>
        <v>33.959660808439651</v>
      </c>
      <c r="AT29">
        <f t="shared" si="701"/>
        <v>34.055948046877234</v>
      </c>
      <c r="AU29">
        <f t="shared" si="701"/>
        <v>34.154930843968039</v>
      </c>
      <c r="AV29">
        <f t="shared" si="701"/>
        <v>34.256572176043683</v>
      </c>
      <c r="AW29">
        <f t="shared" si="701"/>
        <v>34.360834430558938</v>
      </c>
      <c r="AX29">
        <f t="shared" si="701"/>
        <v>34.467679479922893</v>
      </c>
      <c r="AY29">
        <f t="shared" si="701"/>
        <v>34.577068746980721</v>
      </c>
      <c r="AZ29">
        <f t="shared" si="701"/>
        <v>34.688963263117287</v>
      </c>
      <c r="BA29">
        <f t="shared" si="701"/>
        <v>34.803323719840364</v>
      </c>
      <c r="BB29">
        <f t="shared" si="701"/>
        <v>34.920110514601362</v>
      </c>
      <c r="BC29">
        <f t="shared" si="701"/>
        <v>35.039283791523047</v>
      </c>
      <c r="BD29">
        <f t="shared" si="701"/>
        <v>35.160803477625592</v>
      </c>
      <c r="BE29">
        <f t="shared" si="701"/>
        <v>35.284629315073552</v>
      </c>
      <c r="BF29">
        <f t="shared" si="701"/>
        <v>35.410720889905434</v>
      </c>
      <c r="BG29">
        <f t="shared" si="701"/>
        <v>35.539037657653815</v>
      </c>
      <c r="BH29">
        <f t="shared" si="701"/>
        <v>35.669538966216514</v>
      </c>
      <c r="BI29">
        <f t="shared" si="701"/>
        <v>35.802184076297507</v>
      </c>
      <c r="BJ29">
        <f t="shared" si="701"/>
        <v>35.936932179699184</v>
      </c>
      <c r="BK29">
        <f t="shared" si="701"/>
        <v>36.073742415714904</v>
      </c>
      <c r="BL29">
        <f t="shared" si="701"/>
        <v>36.212573885842026</v>
      </c>
      <c r="BM29">
        <f t="shared" si="701"/>
        <v>36.353385667009945</v>
      </c>
      <c r="BN29">
        <f t="shared" si="701"/>
        <v>36.496136823495327</v>
      </c>
      <c r="BO29">
        <f t="shared" ref="BO29:DZ29" si="702">(-BN44)*$K13*dt+BN29</f>
        <v>36.64078641767663</v>
      </c>
      <c r="BP29">
        <f t="shared" si="702"/>
        <v>36.787293519762635</v>
      </c>
      <c r="BQ29">
        <f t="shared" si="702"/>
        <v>36.935617216613977</v>
      </c>
      <c r="BR29">
        <f t="shared" si="702"/>
        <v>37.085716619763076</v>
      </c>
      <c r="BS29">
        <f t="shared" si="702"/>
        <v>37.237550872725613</v>
      </c>
      <c r="BT29">
        <f t="shared" si="702"/>
        <v>37.391079157686057</v>
      </c>
      <c r="BU29">
        <f t="shared" si="702"/>
        <v>37.546260701630167</v>
      </c>
      <c r="BV29">
        <f t="shared" si="702"/>
        <v>37.703054781989117</v>
      </c>
      <c r="BW29">
        <f t="shared" si="702"/>
        <v>37.861420731852299</v>
      </c>
      <c r="BX29">
        <f t="shared" si="702"/>
        <v>38.021317944799463</v>
      </c>
      <c r="BY29">
        <f t="shared" si="702"/>
        <v>38.18270587939692</v>
      </c>
      <c r="BZ29">
        <f t="shared" si="702"/>
        <v>38.345544063397469</v>
      </c>
      <c r="CA29">
        <f t="shared" si="702"/>
        <v>38.50979209767906</v>
      </c>
      <c r="CB29">
        <f t="shared" si="702"/>
        <v>38.675409659953331</v>
      </c>
      <c r="CC29">
        <f t="shared" si="702"/>
        <v>38.842356508271401</v>
      </c>
      <c r="CD29">
        <f t="shared" si="702"/>
        <v>39.010592484351307</v>
      </c>
      <c r="CE29">
        <f t="shared" si="702"/>
        <v>39.180077516748561</v>
      </c>
      <c r="CF29">
        <f t="shared" si="702"/>
        <v>39.350771623888889</v>
      </c>
      <c r="CG29">
        <f t="shared" si="702"/>
        <v>39.522634916979996</v>
      </c>
      <c r="CH29">
        <f t="shared" si="702"/>
        <v>39.695627602817254</v>
      </c>
      <c r="CI29">
        <f t="shared" si="702"/>
        <v>39.869709986496474</v>
      </c>
      <c r="CJ29">
        <f t="shared" si="702"/>
        <v>40.044842474045446</v>
      </c>
      <c r="CK29">
        <f t="shared" si="702"/>
        <v>40.220985574984475</v>
      </c>
      <c r="CL29">
        <f t="shared" si="702"/>
        <v>40.39809990482506</v>
      </c>
      <c r="CM29">
        <f t="shared" si="702"/>
        <v>40.576146187514709</v>
      </c>
      <c r="CN29">
        <f t="shared" si="702"/>
        <v>40.755085257834956</v>
      </c>
      <c r="CO29">
        <f t="shared" si="702"/>
        <v>40.934878063758859</v>
      </c>
      <c r="CP29">
        <f t="shared" si="702"/>
        <v>41.115485668773402</v>
      </c>
      <c r="CQ29">
        <f t="shared" si="702"/>
        <v>41.296869254171703</v>
      </c>
      <c r="CR29">
        <f t="shared" si="702"/>
        <v>41.478990121319207</v>
      </c>
      <c r="CS29">
        <f t="shared" si="702"/>
        <v>41.661809693897638</v>
      </c>
      <c r="CT29">
        <f t="shared" si="702"/>
        <v>41.845289520129946</v>
      </c>
      <c r="CU29">
        <f t="shared" si="702"/>
        <v>42.029391274989074</v>
      </c>
      <c r="CV29">
        <f t="shared" si="702"/>
        <v>42.214076762393077</v>
      </c>
      <c r="CW29">
        <f t="shared" si="702"/>
        <v>42.399307917388704</v>
      </c>
      <c r="CX29">
        <f t="shared" si="702"/>
        <v>42.585046808325373</v>
      </c>
      <c r="CY29">
        <f t="shared" si="702"/>
        <v>42.771255639021049</v>
      </c>
      <c r="CZ29">
        <f t="shared" si="702"/>
        <v>42.957896750921535</v>
      </c>
      <c r="DA29">
        <f t="shared" si="702"/>
        <v>43.144932625254278</v>
      </c>
      <c r="DB29">
        <f t="shared" si="702"/>
        <v>43.332325885177703</v>
      </c>
      <c r="DC29">
        <f t="shared" si="702"/>
        <v>43.520039297926978</v>
      </c>
      <c r="DD29">
        <f t="shared" si="702"/>
        <v>43.708035776956798</v>
      </c>
      <c r="DE29">
        <f t="shared" si="702"/>
        <v>43.896278384081882</v>
      </c>
      <c r="DF29">
        <f t="shared" si="702"/>
        <v>44.08473033161561</v>
      </c>
      <c r="DG29">
        <f t="shared" si="702"/>
        <v>44.273354984507073</v>
      </c>
      <c r="DH29">
        <f t="shared" si="702"/>
        <v>44.462115862476985</v>
      </c>
      <c r="DI29">
        <f t="shared" si="702"/>
        <v>44.650976642152479</v>
      </c>
      <c r="DJ29">
        <f t="shared" si="702"/>
        <v>44.839901159201027</v>
      </c>
      <c r="DK29">
        <f t="shared" si="702"/>
        <v>45.028853410463498</v>
      </c>
      <c r="DL29">
        <f t="shared" si="702"/>
        <v>45.217797556086389</v>
      </c>
      <c r="DM29">
        <f t="shared" si="702"/>
        <v>45.406697921653148</v>
      </c>
      <c r="DN29">
        <f t="shared" si="702"/>
        <v>45.595519000314546</v>
      </c>
      <c r="DO29">
        <f t="shared" si="702"/>
        <v>45.784225454917987</v>
      </c>
      <c r="DP29">
        <f t="shared" si="702"/>
        <v>45.972782120135534</v>
      </c>
      <c r="DQ29">
        <f t="shared" si="702"/>
        <v>46.161154004590522</v>
      </c>
      <c r="DR29">
        <f t="shared" si="702"/>
        <v>46.34930629298254</v>
      </c>
      <c r="DS29">
        <f t="shared" si="702"/>
        <v>46.537204348210523</v>
      </c>
      <c r="DT29">
        <f t="shared" si="702"/>
        <v>46.72481371349371</v>
      </c>
      <c r="DU29">
        <f t="shared" si="702"/>
        <v>46.912100114490201</v>
      </c>
      <c r="DV29">
        <f t="shared" si="702"/>
        <v>47.099029461412805</v>
      </c>
      <c r="DW29">
        <f t="shared" si="702"/>
        <v>47.285567851141884</v>
      </c>
      <c r="DX29">
        <f t="shared" si="702"/>
        <v>47.471681569334876</v>
      </c>
      <c r="DY29">
        <f t="shared" si="702"/>
        <v>47.657337092532181</v>
      </c>
      <c r="DZ29">
        <f t="shared" si="702"/>
        <v>47.842501090259027</v>
      </c>
      <c r="EA29">
        <f t="shared" ref="EA29:GL29" si="703">(-DZ44)*$K13*dt+DZ29</f>
        <v>48.027140427123065</v>
      </c>
      <c r="EB29">
        <f t="shared" si="703"/>
        <v>48.211222164907205</v>
      </c>
      <c r="EC29">
        <f t="shared" si="703"/>
        <v>48.394713564657486</v>
      </c>
      <c r="ED29">
        <f t="shared" si="703"/>
        <v>48.57758208876551</v>
      </c>
      <c r="EE29">
        <f t="shared" si="703"/>
        <v>48.759795403045096</v>
      </c>
      <c r="EF29">
        <f t="shared" si="703"/>
        <v>48.941321378802861</v>
      </c>
      <c r="EG29">
        <f t="shared" si="703"/>
        <v>49.122128094902223</v>
      </c>
      <c r="EH29">
        <f t="shared" si="703"/>
        <v>49.302183839820579</v>
      </c>
      <c r="EI29">
        <f t="shared" si="703"/>
        <v>49.481457113699221</v>
      </c>
      <c r="EJ29">
        <f t="shared" si="703"/>
        <v>49.659916630385602</v>
      </c>
      <c r="EK29">
        <f t="shared" si="703"/>
        <v>49.837531319467615</v>
      </c>
      <c r="EL29">
        <f t="shared" si="703"/>
        <v>50.014270328299496</v>
      </c>
      <c r="EM29">
        <f t="shared" si="703"/>
        <v>50.190103024018988</v>
      </c>
      <c r="EN29">
        <f t="shared" si="703"/>
        <v>50.364998995555339</v>
      </c>
      <c r="EO29">
        <f t="shared" si="703"/>
        <v>50.538928055627792</v>
      </c>
      <c r="EP29">
        <f t="shared" si="703"/>
        <v>50.711860242734268</v>
      </c>
      <c r="EQ29">
        <f t="shared" si="703"/>
        <v>50.883765823129707</v>
      </c>
      <c r="ER29">
        <f t="shared" si="703"/>
        <v>51.054615292793862</v>
      </c>
      <c r="ES29">
        <f t="shared" si="703"/>
        <v>51.224379379388061</v>
      </c>
      <c r="ET29">
        <f t="shared" si="703"/>
        <v>51.393029044200638</v>
      </c>
      <c r="EU29">
        <f t="shared" si="703"/>
        <v>51.560535484080631</v>
      </c>
      <c r="EV29">
        <f t="shared" si="703"/>
        <v>51.726870133359398</v>
      </c>
      <c r="EW29">
        <f t="shared" si="703"/>
        <v>51.892004665759792</v>
      </c>
      <c r="EX29">
        <f t="shared" si="703"/>
        <v>52.055910996292567</v>
      </c>
      <c r="EY29">
        <f t="shared" si="703"/>
        <v>52.218561283139564</v>
      </c>
      <c r="EZ29">
        <f t="shared" si="703"/>
        <v>52.379927929523447</v>
      </c>
      <c r="FA29">
        <f t="shared" si="703"/>
        <v>52.539983585563554</v>
      </c>
      <c r="FB29">
        <f t="shared" si="703"/>
        <v>52.69870115011755</v>
      </c>
      <c r="FC29">
        <f t="shared" si="703"/>
        <v>52.856053772608512</v>
      </c>
      <c r="FD29">
        <f t="shared" si="703"/>
        <v>53.012014854837162</v>
      </c>
      <c r="FE29">
        <f t="shared" si="703"/>
        <v>53.166558052778839</v>
      </c>
      <c r="FF29">
        <f t="shared" si="703"/>
        <v>53.319657278364915</v>
      </c>
      <c r="FG29">
        <f t="shared" si="703"/>
        <v>53.471286701248303</v>
      </c>
      <c r="FH29">
        <f t="shared" si="703"/>
        <v>53.621420750552772</v>
      </c>
      <c r="FI29">
        <f t="shared" si="703"/>
        <v>53.770034116605679</v>
      </c>
      <c r="FJ29">
        <f t="shared" si="703"/>
        <v>53.917101752653814</v>
      </c>
      <c r="FK29">
        <f t="shared" si="703"/>
        <v>54.062598876562106</v>
      </c>
      <c r="FL29">
        <f t="shared" si="703"/>
        <v>54.206500972494773</v>
      </c>
      <c r="FM29">
        <f t="shared" si="703"/>
        <v>54.348783792578651</v>
      </c>
      <c r="FN29">
        <f t="shared" si="703"/>
        <v>54.489423358548407</v>
      </c>
      <c r="FO29">
        <f t="shared" si="703"/>
        <v>54.628395963373308</v>
      </c>
      <c r="FP29">
        <f t="shared" si="703"/>
        <v>54.765678172865243</v>
      </c>
      <c r="FQ29">
        <f t="shared" si="703"/>
        <v>54.901246827267713</v>
      </c>
      <c r="FR29">
        <f t="shared" si="703"/>
        <v>55.035079042825473</v>
      </c>
      <c r="FS29">
        <f t="shared" si="703"/>
        <v>55.167152213334568</v>
      </c>
      <c r="FT29">
        <f t="shared" si="703"/>
        <v>55.297444011672411</v>
      </c>
      <c r="FU29">
        <f t="shared" si="703"/>
        <v>55.425932391307711</v>
      </c>
      <c r="FV29">
        <f t="shared" si="703"/>
        <v>55.552595587789888</v>
      </c>
      <c r="FW29">
        <f t="shared" si="703"/>
        <v>55.677412120217696</v>
      </c>
      <c r="FX29">
        <f t="shared" si="703"/>
        <v>55.800360792686881</v>
      </c>
      <c r="FY29">
        <f t="shared" si="703"/>
        <v>55.921420695716471</v>
      </c>
      <c r="FZ29">
        <f t="shared" si="703"/>
        <v>56.040571207653521</v>
      </c>
      <c r="GA29">
        <f t="shared" si="703"/>
        <v>56.157791996056012</v>
      </c>
      <c r="GB29">
        <f t="shared" si="703"/>
        <v>56.273063019053637</v>
      </c>
      <c r="GC29">
        <f t="shared" si="703"/>
        <v>56.386364526686265</v>
      </c>
      <c r="GD29">
        <f t="shared" si="703"/>
        <v>56.497677062219772</v>
      </c>
      <c r="GE29">
        <f t="shared" si="703"/>
        <v>56.606981463439027</v>
      </c>
      <c r="GF29">
        <f t="shared" si="703"/>
        <v>56.714258863917756</v>
      </c>
      <c r="GG29">
        <f t="shared" si="703"/>
        <v>56.819490694265113</v>
      </c>
      <c r="GH29">
        <f t="shared" si="703"/>
        <v>56.922658683348622</v>
      </c>
      <c r="GI29">
        <f t="shared" si="703"/>
        <v>57.023744859493306</v>
      </c>
      <c r="GJ29">
        <f t="shared" si="703"/>
        <v>57.12273155165682</v>
      </c>
      <c r="GK29">
        <f t="shared" si="703"/>
        <v>57.219601390580259</v>
      </c>
      <c r="GL29">
        <f t="shared" si="703"/>
        <v>57.314337309914507</v>
      </c>
      <c r="GM29">
        <f t="shared" ref="GM29:IX29" si="704">(-GL44)*$K13*dt+GL29</f>
        <v>57.406922547321841</v>
      </c>
      <c r="GN29">
        <f t="shared" si="704"/>
        <v>57.497340645552647</v>
      </c>
      <c r="GO29">
        <f t="shared" si="704"/>
        <v>57.585575453496979</v>
      </c>
      <c r="GP29">
        <f t="shared" si="704"/>
        <v>57.671611127210767</v>
      </c>
      <c r="GQ29">
        <f t="shared" si="704"/>
        <v>57.755432130916468</v>
      </c>
      <c r="GR29">
        <f t="shared" si="704"/>
        <v>57.837023237978002</v>
      </c>
      <c r="GS29">
        <f t="shared" si="704"/>
        <v>57.916369531849703</v>
      </c>
      <c r="GT29">
        <f t="shared" si="704"/>
        <v>57.993456406999165</v>
      </c>
      <c r="GU29">
        <f t="shared" si="704"/>
        <v>58.068269569803725</v>
      </c>
      <c r="GV29">
        <f t="shared" si="704"/>
        <v>58.14079503942051</v>
      </c>
      <c r="GW29">
        <f t="shared" si="704"/>
        <v>58.211019148629696</v>
      </c>
      <c r="GX29">
        <f t="shared" si="704"/>
        <v>58.278928544650974</v>
      </c>
      <c r="GY29">
        <f t="shared" si="704"/>
        <v>58.34451018993294</v>
      </c>
      <c r="GZ29">
        <f t="shared" si="704"/>
        <v>58.407751362915313</v>
      </c>
      <c r="HA29">
        <f t="shared" si="704"/>
        <v>58.468639658763742</v>
      </c>
      <c r="HB29">
        <f t="shared" si="704"/>
        <v>58.527162990077109</v>
      </c>
      <c r="HC29">
        <f t="shared" si="704"/>
        <v>58.583309587567115</v>
      </c>
      <c r="HD29">
        <f t="shared" si="704"/>
        <v>58.637068000710066</v>
      </c>
      <c r="HE29">
        <f t="shared" si="704"/>
        <v>58.688427098370617</v>
      </c>
      <c r="HF29">
        <f t="shared" si="704"/>
        <v>58.737376069397413</v>
      </c>
      <c r="HG29">
        <f t="shared" si="704"/>
        <v>58.783904423190457</v>
      </c>
      <c r="HH29">
        <f t="shared" si="704"/>
        <v>58.828001990240018</v>
      </c>
      <c r="HI29">
        <f t="shared" si="704"/>
        <v>58.869658922637058</v>
      </c>
      <c r="HJ29">
        <f t="shared" si="704"/>
        <v>58.908865694554933</v>
      </c>
      <c r="HK29">
        <f t="shared" si="704"/>
        <v>58.945613102702296</v>
      </c>
      <c r="HL29">
        <f t="shared" si="704"/>
        <v>58.979892266747107</v>
      </c>
      <c r="HM29">
        <f t="shared" si="704"/>
        <v>59.011694629711549</v>
      </c>
      <c r="HN29">
        <f t="shared" si="704"/>
        <v>59.041011958337869</v>
      </c>
      <c r="HO29">
        <f t="shared" si="704"/>
        <v>59.067836343424865</v>
      </c>
      <c r="HP29">
        <f t="shared" si="704"/>
        <v>59.092160200135083</v>
      </c>
      <c r="HQ29">
        <f t="shared" si="704"/>
        <v>59.113976268272481</v>
      </c>
      <c r="HR29">
        <f t="shared" si="704"/>
        <v>59.133277612530577</v>
      </c>
      <c r="HS29">
        <f t="shared" si="704"/>
        <v>59.150057622710897</v>
      </c>
      <c r="HT29">
        <f t="shared" si="704"/>
        <v>59.164310013911702</v>
      </c>
      <c r="HU29">
        <f t="shared" si="704"/>
        <v>59.17602882668686</v>
      </c>
      <c r="HV29">
        <f t="shared" si="704"/>
        <v>59.185208427174821</v>
      </c>
      <c r="HW29">
        <f t="shared" si="704"/>
        <v>59.191843507197561</v>
      </c>
      <c r="HX29">
        <f t="shared" si="704"/>
        <v>59.195929084329507</v>
      </c>
      <c r="HY29">
        <f t="shared" si="704"/>
        <v>59.197460501936291</v>
      </c>
      <c r="HZ29">
        <f t="shared" si="704"/>
        <v>59.196433429183323</v>
      </c>
      <c r="IA29">
        <f t="shared" si="704"/>
        <v>59.192843861014055</v>
      </c>
      <c r="IB29">
        <f t="shared" si="704"/>
        <v>59.186688118098012</v>
      </c>
      <c r="IC29">
        <f t="shared" si="704"/>
        <v>59.177962846748351</v>
      </c>
      <c r="ID29">
        <f t="shared" si="704"/>
        <v>59.166665018809063</v>
      </c>
      <c r="IE29">
        <f t="shared" si="704"/>
        <v>59.152791931511665</v>
      </c>
      <c r="IF29">
        <f t="shared" si="704"/>
        <v>59.136341207301427</v>
      </c>
      <c r="IG29">
        <f t="shared" si="704"/>
        <v>59.117310793632996</v>
      </c>
      <c r="IH29">
        <f t="shared" si="704"/>
        <v>59.095698962735476</v>
      </c>
      <c r="II29">
        <f t="shared" si="704"/>
        <v>59.071504311346892</v>
      </c>
      <c r="IJ29">
        <f t="shared" si="704"/>
        <v>59.044725760418011</v>
      </c>
      <c r="IK29">
        <f t="shared" si="704"/>
        <v>59.015362554785483</v>
      </c>
      <c r="IL29">
        <f t="shared" si="704"/>
        <v>58.983414262814357</v>
      </c>
      <c r="IM29">
        <f t="shared" si="704"/>
        <v>58.948880776009872</v>
      </c>
      <c r="IN29">
        <f t="shared" si="704"/>
        <v>58.91176230859854</v>
      </c>
      <c r="IO29">
        <f t="shared" si="704"/>
        <v>58.872059397078566</v>
      </c>
      <c r="IP29">
        <f t="shared" si="704"/>
        <v>58.829772899739503</v>
      </c>
      <c r="IQ29">
        <f t="shared" si="704"/>
        <v>58.784903996151264</v>
      </c>
      <c r="IR29">
        <f t="shared" si="704"/>
        <v>58.737454186622379</v>
      </c>
      <c r="IS29">
        <f t="shared" si="704"/>
        <v>58.687425291627619</v>
      </c>
      <c r="IT29">
        <f t="shared" si="704"/>
        <v>58.634819451204883</v>
      </c>
      <c r="IU29">
        <f t="shared" si="704"/>
        <v>58.579639124321467</v>
      </c>
      <c r="IV29">
        <f t="shared" si="704"/>
        <v>58.521887088209716</v>
      </c>
      <c r="IW29">
        <f t="shared" si="704"/>
        <v>58.461566437672019</v>
      </c>
      <c r="IX29">
        <f t="shared" si="704"/>
        <v>58.398680584355233</v>
      </c>
      <c r="IY29">
        <f t="shared" ref="IY29:LJ29" si="705">(-IX44)*$K13*dt+IX29</f>
        <v>58.333233255994614</v>
      </c>
      <c r="IZ29">
        <f t="shared" si="705"/>
        <v>58.265228495627134</v>
      </c>
      <c r="JA29">
        <f t="shared" si="705"/>
        <v>58.194670660774456</v>
      </c>
      <c r="JB29">
        <f t="shared" si="705"/>
        <v>58.121564422595362</v>
      </c>
      <c r="JC29">
        <f t="shared" si="705"/>
        <v>58.045914765007907</v>
      </c>
      <c r="JD29">
        <f t="shared" si="705"/>
        <v>57.967726983781176</v>
      </c>
      <c r="JE29">
        <f t="shared" si="705"/>
        <v>57.887006685596816</v>
      </c>
      <c r="JF29">
        <f t="shared" si="705"/>
        <v>57.803759787080331</v>
      </c>
      <c r="JG29">
        <f t="shared" si="705"/>
        <v>57.717992513802287</v>
      </c>
      <c r="JH29">
        <f t="shared" si="705"/>
        <v>57.629711399249373</v>
      </c>
      <c r="JI29">
        <f t="shared" si="705"/>
        <v>57.538923283765499</v>
      </c>
      <c r="JJ29">
        <f t="shared" si="705"/>
        <v>57.445635313462972</v>
      </c>
      <c r="JK29">
        <f t="shared" si="705"/>
        <v>57.349854939103793</v>
      </c>
      <c r="JL29">
        <f t="shared" si="705"/>
        <v>57.25158991495119</v>
      </c>
      <c r="JM29">
        <f t="shared" si="705"/>
        <v>57.150848297591523</v>
      </c>
      <c r="JN29">
        <f t="shared" si="705"/>
        <v>57.047638444726516</v>
      </c>
      <c r="JO29">
        <f t="shared" si="705"/>
        <v>56.941969013936038</v>
      </c>
      <c r="JP29">
        <f t="shared" si="705"/>
        <v>56.833848961411498</v>
      </c>
      <c r="JQ29">
        <f t="shared" si="705"/>
        <v>56.723287540659904</v>
      </c>
      <c r="JR29">
        <f t="shared" si="705"/>
        <v>56.610294301178747</v>
      </c>
      <c r="JS29">
        <f t="shared" si="705"/>
        <v>56.494879087101808</v>
      </c>
      <c r="JT29">
        <f t="shared" si="705"/>
        <v>56.37705203581595</v>
      </c>
      <c r="JU29">
        <f t="shared" si="705"/>
        <v>56.256823576549124</v>
      </c>
      <c r="JV29">
        <f t="shared" si="705"/>
        <v>56.134204428929536</v>
      </c>
      <c r="JW29">
        <f t="shared" si="705"/>
        <v>56.009205601516292</v>
      </c>
      <c r="JX29">
        <f t="shared" si="705"/>
        <v>55.881838390301503</v>
      </c>
      <c r="JY29">
        <f t="shared" si="705"/>
        <v>55.752114377184022</v>
      </c>
      <c r="JZ29">
        <f t="shared" si="705"/>
        <v>55.620045428414976</v>
      </c>
      <c r="KA29">
        <f t="shared" si="705"/>
        <v>55.485643693015177</v>
      </c>
      <c r="KB29">
        <f t="shared" si="705"/>
        <v>55.348921601164626</v>
      </c>
      <c r="KC29">
        <f t="shared" si="705"/>
        <v>55.209891862564156</v>
      </c>
      <c r="KD29">
        <f t="shared" si="705"/>
        <v>55.068567464769437</v>
      </c>
      <c r="KE29">
        <f t="shared" si="705"/>
        <v>54.924961671497485</v>
      </c>
      <c r="KF29">
        <f t="shared" si="705"/>
        <v>54.779088020905775</v>
      </c>
      <c r="KG29">
        <f t="shared" si="705"/>
        <v>54.630960323844178</v>
      </c>
      <c r="KH29">
        <f t="shared" si="705"/>
        <v>54.480592662079843</v>
      </c>
      <c r="KI29">
        <f t="shared" si="705"/>
        <v>54.327999386495222</v>
      </c>
      <c r="KJ29">
        <f t="shared" si="705"/>
        <v>54.173195115259361</v>
      </c>
      <c r="KK29">
        <f t="shared" si="705"/>
        <v>54.016194731972647</v>
      </c>
      <c r="KL29">
        <f t="shared" si="705"/>
        <v>53.857013383785223</v>
      </c>
      <c r="KM29">
        <f t="shared" si="705"/>
        <v>53.695666479489148</v>
      </c>
      <c r="KN29">
        <f t="shared" si="705"/>
        <v>53.532169687584634</v>
      </c>
      <c r="KO29">
        <f t="shared" si="705"/>
        <v>53.366538934320353</v>
      </c>
      <c r="KP29">
        <f t="shared" si="705"/>
        <v>53.198790401708187</v>
      </c>
      <c r="KQ29">
        <f t="shared" si="705"/>
        <v>53.028940525512475</v>
      </c>
      <c r="KR29">
        <f t="shared" si="705"/>
        <v>52.85700599321401</v>
      </c>
      <c r="KS29">
        <f t="shared" si="705"/>
        <v>52.683003741948994</v>
      </c>
      <c r="KT29">
        <f t="shared" si="705"/>
        <v>52.506950956423083</v>
      </c>
      <c r="KU29">
        <f t="shared" si="705"/>
        <v>52.328915015339248</v>
      </c>
      <c r="KV29">
        <f t="shared" si="705"/>
        <v>52.149033126652043</v>
      </c>
      <c r="KW29">
        <f t="shared" si="705"/>
        <v>51.967505572324839</v>
      </c>
      <c r="KX29">
        <f t="shared" si="705"/>
        <v>51.784577373659054</v>
      </c>
      <c r="KY29">
        <f t="shared" si="705"/>
        <v>51.600518388863442</v>
      </c>
      <c r="KZ29">
        <f t="shared" si="705"/>
        <v>51.415606466696836</v>
      </c>
      <c r="LA29">
        <f t="shared" si="705"/>
        <v>51.230114976692953</v>
      </c>
      <c r="LB29">
        <f t="shared" si="705"/>
        <v>51.044304468742645</v>
      </c>
      <c r="LC29">
        <f t="shared" si="705"/>
        <v>50.858417657017469</v>
      </c>
      <c r="LD29">
        <f t="shared" si="705"/>
        <v>50.672676852207005</v>
      </c>
      <c r="LE29">
        <f t="shared" si="705"/>
        <v>50.487283087314395</v>
      </c>
      <c r="LF29">
        <f t="shared" si="705"/>
        <v>50.302416352575854</v>
      </c>
      <c r="LG29">
        <f t="shared" si="705"/>
        <v>50.118236514384726</v>
      </c>
      <c r="LH29">
        <f t="shared" si="705"/>
        <v>49.934884622024349</v>
      </c>
      <c r="LI29">
        <f t="shared" si="705"/>
        <v>49.75248440286714</v>
      </c>
      <c r="LJ29">
        <f t="shared" si="705"/>
        <v>49.571143816243691</v>
      </c>
      <c r="LK29">
        <f t="shared" ref="LK29:NV29" si="706">(-LJ44)*$K13*dt+LJ29</f>
        <v>49.390956584602996</v>
      </c>
      <c r="LL29">
        <f t="shared" si="706"/>
        <v>49.212003653500091</v>
      </c>
      <c r="LM29">
        <f t="shared" si="706"/>
        <v>49.034354553860339</v>
      </c>
      <c r="LN29">
        <f t="shared" si="706"/>
        <v>48.858068654249507</v>
      </c>
      <c r="LO29">
        <f t="shared" si="706"/>
        <v>48.683196299952492</v>
      </c>
      <c r="LP29">
        <f t="shared" si="706"/>
        <v>48.509779841236572</v>
      </c>
      <c r="LQ29">
        <f t="shared" si="706"/>
        <v>48.337854556424617</v>
      </c>
      <c r="LR29">
        <f t="shared" si="706"/>
        <v>48.167449477134326</v>
      </c>
      <c r="LS29">
        <f t="shared" si="706"/>
        <v>47.998588123793752</v>
      </c>
      <c r="LT29">
        <f t="shared" si="706"/>
        <v>47.831289159684815</v>
      </c>
      <c r="LU29">
        <f t="shared" si="706"/>
        <v>47.665566971536336</v>
      </c>
      <c r="LV29">
        <f t="shared" si="706"/>
        <v>47.501432184245253</v>
      </c>
      <c r="LW29">
        <f t="shared" si="706"/>
        <v>47.338892116751218</v>
      </c>
      <c r="LX29">
        <f t="shared" si="706"/>
        <v>47.17795118549212</v>
      </c>
      <c r="LY29">
        <f t="shared" si="706"/>
        <v>47.018611261266336</v>
      </c>
      <c r="LZ29">
        <f t="shared" si="706"/>
        <v>46.86087198474673</v>
      </c>
      <c r="MA29">
        <f t="shared" si="706"/>
        <v>46.704731045345056</v>
      </c>
      <c r="MB29">
        <f t="shared" si="706"/>
        <v>46.5501844276206</v>
      </c>
      <c r="MC29">
        <f t="shared" si="706"/>
        <v>46.397226628965981</v>
      </c>
      <c r="MD29">
        <f t="shared" si="706"/>
        <v>46.245850851886139</v>
      </c>
      <c r="ME29">
        <f t="shared" si="706"/>
        <v>46.096049173811451</v>
      </c>
      <c r="MF29">
        <f t="shared" si="706"/>
        <v>45.947812697050502</v>
      </c>
      <c r="MG29">
        <f t="shared" si="706"/>
        <v>45.801131681188728</v>
      </c>
      <c r="MH29">
        <f t="shared" si="706"/>
        <v>45.655995659973009</v>
      </c>
      <c r="MI29">
        <f t="shared" si="706"/>
        <v>45.512393544485967</v>
      </c>
      <c r="MJ29">
        <f t="shared" si="706"/>
        <v>45.370313714204336</v>
      </c>
      <c r="MK29">
        <f t="shared" si="706"/>
        <v>45.22974409735022</v>
      </c>
      <c r="ML29">
        <f t="shared" si="706"/>
        <v>45.090672241780076</v>
      </c>
      <c r="MM29">
        <f t="shared" si="706"/>
        <v>44.95308537751103</v>
      </c>
      <c r="MN29">
        <f t="shared" si="706"/>
        <v>44.816970471856088</v>
      </c>
      <c r="MO29">
        <f t="shared" si="706"/>
        <v>44.682314278026396</v>
      </c>
      <c r="MP29">
        <f t="shared" si="706"/>
        <v>44.549103377958673</v>
      </c>
      <c r="MQ29">
        <f t="shared" si="706"/>
        <v>44.417324220037607</v>
      </c>
      <c r="MR29">
        <f t="shared" si="706"/>
        <v>44.286963152304963</v>
      </c>
      <c r="MS29">
        <f t="shared" si="706"/>
        <v>44.158006451678219</v>
      </c>
      <c r="MT29">
        <f t="shared" si="706"/>
        <v>44.030440349640756</v>
      </c>
      <c r="MU29">
        <f t="shared" si="706"/>
        <v>43.90425105481183</v>
      </c>
      <c r="MV29">
        <f t="shared" si="706"/>
        <v>43.779424772757253</v>
      </c>
      <c r="MW29">
        <f t="shared" si="706"/>
        <v>43.655947723359652</v>
      </c>
      <c r="MX29">
        <f t="shared" si="706"/>
        <v>43.533806156030344</v>
      </c>
      <c r="MY29">
        <f t="shared" si="706"/>
        <v>43.41298636301206</v>
      </c>
      <c r="MZ29">
        <f t="shared" si="706"/>
        <v>43.293474690992987</v>
      </c>
      <c r="NA29">
        <f t="shared" si="706"/>
        <v>43.175257551227084</v>
      </c>
      <c r="NB29">
        <f t="shared" si="706"/>
        <v>43.058321428333038</v>
      </c>
      <c r="NC29">
        <f t="shared" si="706"/>
        <v>42.942652887924453</v>
      </c>
      <c r="ND29">
        <f t="shared" si="706"/>
        <v>42.828238583206144</v>
      </c>
      <c r="NE29">
        <f t="shared" si="706"/>
        <v>42.715065260656047</v>
      </c>
      <c r="NF29">
        <f t="shared" si="706"/>
        <v>42.60311976489826</v>
      </c>
      <c r="NG29">
        <f t="shared" si="706"/>
        <v>42.492389042860914</v>
      </c>
      <c r="NH29">
        <f t="shared" si="706"/>
        <v>42.382860147301521</v>
      </c>
      <c r="NI29">
        <f t="shared" si="706"/>
        <v>42.274520239773189</v>
      </c>
      <c r="NJ29">
        <f t="shared" si="706"/>
        <v>42.167356593096621</v>
      </c>
      <c r="NK29">
        <f t="shared" si="706"/>
        <v>42.061356593395296</v>
      </c>
      <c r="NL29">
        <f t="shared" si="706"/>
        <v>41.956507741744851</v>
      </c>
      <c r="NM29">
        <f t="shared" si="706"/>
        <v>41.852797655481687</v>
      </c>
      <c r="NN29">
        <f t="shared" si="706"/>
        <v>41.750214069210848</v>
      </c>
      <c r="NO29">
        <f t="shared" si="706"/>
        <v>41.648744835548463</v>
      </c>
      <c r="NP29">
        <f t="shared" si="706"/>
        <v>41.548377925630284</v>
      </c>
      <c r="NQ29">
        <f t="shared" si="706"/>
        <v>41.449101429414007</v>
      </c>
      <c r="NR29">
        <f t="shared" si="706"/>
        <v>41.350903555800095</v>
      </c>
      <c r="NS29">
        <f t="shared" si="706"/>
        <v>41.253772632592955</v>
      </c>
      <c r="NT29">
        <f t="shared" si="706"/>
        <v>41.157697106321862</v>
      </c>
      <c r="NU29">
        <f t="shared" si="706"/>
        <v>41.062665541938763</v>
      </c>
      <c r="NV29">
        <f t="shared" si="706"/>
        <v>40.968666622408271</v>
      </c>
      <c r="NW29">
        <f t="shared" ref="NW29:QH29" si="707">(-NV44)*$K13*dt+NV29</f>
        <v>40.875689148203335</v>
      </c>
      <c r="NX29">
        <f t="shared" si="707"/>
        <v>40.783722036718537</v>
      </c>
      <c r="NY29">
        <f t="shared" si="707"/>
        <v>40.692754321611709</v>
      </c>
      <c r="NZ29">
        <f t="shared" si="707"/>
        <v>40.602775152083261</v>
      </c>
      <c r="OA29">
        <f t="shared" si="707"/>
        <v>40.513773792101617</v>
      </c>
      <c r="OB29">
        <f t="shared" si="707"/>
        <v>40.425739619582082</v>
      </c>
      <c r="OC29">
        <f t="shared" si="707"/>
        <v>40.338662125525907</v>
      </c>
      <c r="OD29">
        <f t="shared" si="707"/>
        <v>40.252530913125121</v>
      </c>
      <c r="OE29">
        <f t="shared" si="707"/>
        <v>40.167335696838599</v>
      </c>
      <c r="OF29">
        <f t="shared" si="707"/>
        <v>40.083066301443687</v>
      </c>
      <c r="OG29">
        <f t="shared" si="707"/>
        <v>39.999712661067619</v>
      </c>
      <c r="OH29">
        <f t="shared" si="707"/>
        <v>39.917264818202256</v>
      </c>
      <c r="OI29">
        <f t="shared" si="707"/>
        <v>39.835712922705341</v>
      </c>
      <c r="OJ29">
        <f t="shared" si="707"/>
        <v>39.755047230791135</v>
      </c>
      <c r="OK29">
        <f t="shared" si="707"/>
        <v>39.675258104012855</v>
      </c>
      <c r="OL29">
        <f t="shared" si="707"/>
        <v>39.596336008239234</v>
      </c>
      <c r="OM29">
        <f t="shared" si="707"/>
        <v>39.518271512627052</v>
      </c>
      <c r="ON29">
        <f t="shared" si="707"/>
        <v>39.441055288591407</v>
      </c>
      <c r="OO29">
        <f t="shared" si="707"/>
        <v>39.364678108775308</v>
      </c>
      <c r="OP29">
        <f t="shared" si="707"/>
        <v>39.289130846019816</v>
      </c>
      <c r="OQ29">
        <f t="shared" si="707"/>
        <v>39.214404472336014</v>
      </c>
      <c r="OR29">
        <f t="shared" si="707"/>
        <v>39.140490057879816</v>
      </c>
      <c r="OS29">
        <f t="shared" si="707"/>
        <v>39.0673787699305</v>
      </c>
      <c r="OT29">
        <f t="shared" si="707"/>
        <v>38.995061871873808</v>
      </c>
      <c r="OU29">
        <f t="shared" si="707"/>
        <v>38.923530722190321</v>
      </c>
      <c r="OV29">
        <f t="shared" si="707"/>
        <v>38.852776773449655</v>
      </c>
      <c r="OW29">
        <f t="shared" si="707"/>
        <v>38.782791571311058</v>
      </c>
      <c r="OX29">
        <f t="shared" si="707"/>
        <v>38.713566753530898</v>
      </c>
      <c r="OY29">
        <f t="shared" si="707"/>
        <v>38.645094048977377</v>
      </c>
      <c r="OZ29">
        <f t="shared" si="707"/>
        <v>38.577365276652856</v>
      </c>
      <c r="PA29">
        <f t="shared" si="707"/>
        <v>38.510372344724033</v>
      </c>
      <c r="PB29">
        <f t="shared" si="707"/>
        <v>38.444107249560318</v>
      </c>
      <c r="PC29">
        <f t="shared" si="707"/>
        <v>38.378562074780511</v>
      </c>
      <c r="PD29">
        <f t="shared" si="707"/>
        <v>38.313728990308014</v>
      </c>
      <c r="PE29">
        <f t="shared" si="707"/>
        <v>38.249600251434707</v>
      </c>
      <c r="PF29">
        <f t="shared" si="707"/>
        <v>38.186168197893615</v>
      </c>
      <c r="PG29">
        <f t="shared" si="707"/>
        <v>38.123425252940436</v>
      </c>
      <c r="PH29">
        <f t="shared" si="707"/>
        <v>38.061363922443967</v>
      </c>
      <c r="PI29">
        <f t="shared" si="707"/>
        <v>37.999976793985624</v>
      </c>
      <c r="PJ29">
        <f t="shared" si="707"/>
        <v>37.939256535967871</v>
      </c>
      <c r="PK29">
        <f t="shared" si="707"/>
        <v>37.879195896731751</v>
      </c>
      <c r="PL29">
        <f t="shared" si="707"/>
        <v>37.81978770368346</v>
      </c>
      <c r="PM29">
        <f t="shared" si="707"/>
        <v>37.761024862429927</v>
      </c>
      <c r="PN29">
        <f t="shared" si="707"/>
        <v>37.702900355923461</v>
      </c>
      <c r="PO29">
        <f t="shared" si="707"/>
        <v>37.645407243615338</v>
      </c>
      <c r="PP29">
        <f t="shared" si="707"/>
        <v>37.588538660618369</v>
      </c>
      <c r="PQ29">
        <f t="shared" si="707"/>
        <v>37.532287816878387</v>
      </c>
      <c r="PR29">
        <f t="shared" si="707"/>
        <v>37.476647996354593</v>
      </c>
      <c r="PS29">
        <f t="shared" si="707"/>
        <v>37.421612556208729</v>
      </c>
      <c r="PT29">
        <f t="shared" si="707"/>
        <v>37.367174926002981</v>
      </c>
      <c r="PU29">
        <f t="shared" si="707"/>
        <v>37.313328606906573</v>
      </c>
      <c r="PV29">
        <f t="shared" si="707"/>
        <v>37.260067170911022</v>
      </c>
      <c r="PW29">
        <f t="shared" si="707"/>
        <v>37.2073842600539</v>
      </c>
      <c r="PX29">
        <f t="shared" si="707"/>
        <v>37.155273585651116</v>
      </c>
      <c r="PY29">
        <f t="shared" si="707"/>
        <v>37.103728927537588</v>
      </c>
      <c r="PZ29">
        <f t="shared" si="707"/>
        <v>37.052744133316267</v>
      </c>
      <c r="QA29">
        <f t="shared" si="707"/>
        <v>37.002313117615387</v>
      </c>
      <c r="QB29">
        <f t="shared" si="707"/>
        <v>36.952429861353941</v>
      </c>
      <c r="QC29">
        <f t="shared" si="707"/>
        <v>36.903088411015197</v>
      </c>
      <c r="QD29">
        <f t="shared" si="707"/>
        <v>36.854282877928277</v>
      </c>
      <c r="QE29">
        <f t="shared" si="707"/>
        <v>36.806007437557668</v>
      </c>
      <c r="QF29">
        <f t="shared" si="707"/>
        <v>36.758256328800556</v>
      </c>
      <c r="QG29">
        <f t="shared" si="707"/>
        <v>36.711023853291969</v>
      </c>
      <c r="QH29">
        <f t="shared" si="707"/>
        <v>36.664304374717602</v>
      </c>
      <c r="QI29">
        <f t="shared" ref="QI29:ST29" si="708">(-QH44)*$K13*dt+QH29</f>
        <v>36.618092318134252</v>
      </c>
      <c r="QJ29">
        <f t="shared" si="708"/>
        <v>36.572382169297775</v>
      </c>
      <c r="QK29">
        <f t="shared" si="708"/>
        <v>36.527168473998508</v>
      </c>
      <c r="QL29">
        <f t="shared" si="708"/>
        <v>36.482445837404036</v>
      </c>
      <c r="QM29">
        <f t="shared" si="708"/>
        <v>36.438208923409256</v>
      </c>
      <c r="QN29">
        <f t="shared" si="708"/>
        <v>36.394452453993665</v>
      </c>
      <c r="QO29">
        <f t="shared" si="708"/>
        <v>36.35117120858574</v>
      </c>
      <c r="QP29">
        <f t="shared" si="708"/>
        <v>36.308360023434382</v>
      </c>
      <c r="QQ29">
        <f t="shared" si="708"/>
        <v>36.266013790987351</v>
      </c>
      <c r="QR29">
        <f t="shared" si="708"/>
        <v>36.224127459276531</v>
      </c>
      <c r="QS29">
        <f t="shared" si="708"/>
        <v>36.182696031310087</v>
      </c>
      <c r="QT29">
        <f t="shared" si="708"/>
        <v>36.141714564471286</v>
      </c>
      <c r="QU29">
        <f t="shared" si="708"/>
        <v>36.101178169924026</v>
      </c>
      <c r="QV29">
        <f t="shared" si="708"/>
        <v>36.061082012024933</v>
      </c>
      <c r="QW29">
        <f t="shared" si="708"/>
        <v>36.021421307741974</v>
      </c>
      <c r="QX29">
        <f t="shared" si="708"/>
        <v>35.982191326079487</v>
      </c>
      <c r="QY29">
        <f t="shared" si="708"/>
        <v>35.943387387509624</v>
      </c>
      <c r="QZ29">
        <f t="shared" si="708"/>
        <v>35.905004863410014</v>
      </c>
      <c r="RA29">
        <f t="shared" si="708"/>
        <v>35.86703917550772</v>
      </c>
      <c r="RB29">
        <f t="shared" si="708"/>
        <v>35.829485795329283</v>
      </c>
      <c r="RC29">
        <f t="shared" si="708"/>
        <v>35.792340243656916</v>
      </c>
      <c r="RD29">
        <f t="shared" si="708"/>
        <v>35.755598089990613</v>
      </c>
      <c r="RE29">
        <f t="shared" si="708"/>
        <v>35.719254952016307</v>
      </c>
      <c r="RF29">
        <f t="shared" si="708"/>
        <v>35.683306495079819</v>
      </c>
      <c r="RG29">
        <f t="shared" si="708"/>
        <v>35.647748431666663</v>
      </c>
      <c r="RH29">
        <f t="shared" si="708"/>
        <v>35.612576520887572</v>
      </c>
      <c r="RI29">
        <f t="shared" si="708"/>
        <v>35.577786567969696</v>
      </c>
      <c r="RJ29">
        <f t="shared" si="708"/>
        <v>35.543374423753455</v>
      </c>
      <c r="RK29">
        <f t="shared" si="708"/>
        <v>35.50933598419487</v>
      </c>
      <c r="RL29">
        <f t="shared" si="708"/>
        <v>35.475667189873441</v>
      </c>
      <c r="RM29">
        <f t="shared" si="708"/>
        <v>35.442364025505434</v>
      </c>
      <c r="RN29">
        <f t="shared" si="708"/>
        <v>35.409422519462495</v>
      </c>
      <c r="RO29">
        <f t="shared" si="708"/>
        <v>35.376838743295622</v>
      </c>
      <c r="RP29">
        <f t="shared" si="708"/>
        <v>35.344608811264315</v>
      </c>
      <c r="RQ29">
        <f t="shared" si="708"/>
        <v>35.312728879870988</v>
      </c>
      <c r="RR29">
        <f t="shared" si="708"/>
        <v>35.28119514740041</v>
      </c>
      <c r="RS29">
        <f t="shared" si="708"/>
        <v>35.250003853464293</v>
      </c>
      <c r="RT29">
        <f t="shared" si="708"/>
        <v>35.219151278550839</v>
      </c>
      <c r="RU29">
        <f t="shared" si="708"/>
        <v>35.188633743579267</v>
      </c>
      <c r="RV29">
        <f t="shared" si="708"/>
        <v>35.158447609459202</v>
      </c>
      <c r="RW29">
        <f t="shared" si="708"/>
        <v>35.128589276654964</v>
      </c>
      <c r="RX29">
        <f t="shared" si="708"/>
        <v>35.099055184754569</v>
      </c>
      <c r="RY29">
        <f t="shared" si="708"/>
        <v>35.069841812043514</v>
      </c>
      <c r="RZ29">
        <f t="shared" si="708"/>
        <v>35.040945675083222</v>
      </c>
      <c r="SA29">
        <f t="shared" si="708"/>
        <v>35.012363328294128</v>
      </c>
      <c r="SB29">
        <f t="shared" si="708"/>
        <v>34.984091363543328</v>
      </c>
      <c r="SC29">
        <f t="shared" si="708"/>
        <v>34.956126409736726</v>
      </c>
      <c r="SD29">
        <f t="shared" si="708"/>
        <v>34.928465132415717</v>
      </c>
      <c r="SE29">
        <f t="shared" si="708"/>
        <v>34.90110423335824</v>
      </c>
      <c r="SF29">
        <f t="shared" si="708"/>
        <v>34.874040450184204</v>
      </c>
      <c r="SG29">
        <f t="shared" si="708"/>
        <v>34.847270555965281</v>
      </c>
      <c r="SH29">
        <f t="shared" si="708"/>
        <v>34.820791358838939</v>
      </c>
      <c r="SI29">
        <f t="shared" si="708"/>
        <v>34.79459970162668</v>
      </c>
      <c r="SJ29">
        <f t="shared" si="708"/>
        <v>34.768692461456546</v>
      </c>
      <c r="SK29">
        <f t="shared" si="708"/>
        <v>34.743066549389638</v>
      </c>
      <c r="SL29">
        <f t="shared" si="708"/>
        <v>34.717718910050834</v>
      </c>
      <c r="SM29">
        <f t="shared" si="708"/>
        <v>34.692646521263491</v>
      </c>
      <c r="SN29">
        <f t="shared" si="708"/>
        <v>34.667846393688137</v>
      </c>
      <c r="SO29">
        <f t="shared" si="708"/>
        <v>34.643315570465148</v>
      </c>
      <c r="SP29">
        <f t="shared" si="708"/>
        <v>34.619051126861329</v>
      </c>
      <c r="SQ29">
        <f t="shared" si="708"/>
        <v>34.595050169920327</v>
      </c>
      <c r="SR29">
        <f t="shared" si="708"/>
        <v>34.571309838116896</v>
      </c>
      <c r="SS29">
        <f t="shared" si="708"/>
        <v>34.547827301014955</v>
      </c>
      <c r="ST29">
        <f t="shared" si="708"/>
        <v>34.524599758929334</v>
      </c>
      <c r="SU29">
        <f t="shared" ref="SU29:VF29" si="709">(-ST44)*$K13*dt+ST29</f>
        <v>34.501624442591272</v>
      </c>
      <c r="SV29">
        <f t="shared" si="709"/>
        <v>34.478898612817531</v>
      </c>
      <c r="SW29">
        <f t="shared" si="709"/>
        <v>34.456419560183143</v>
      </c>
      <c r="SX29">
        <f t="shared" si="709"/>
        <v>34.434184604697712</v>
      </c>
      <c r="SY29">
        <f t="shared" si="709"/>
        <v>34.412191095485284</v>
      </c>
      <c r="SZ29">
        <f t="shared" si="709"/>
        <v>34.3904364104677</v>
      </c>
      <c r="TA29">
        <f t="shared" si="709"/>
        <v>34.368917956051384</v>
      </c>
      <c r="TB29">
        <f t="shared" si="709"/>
        <v>34.347633166817566</v>
      </c>
      <c r="TC29">
        <f t="shared" si="709"/>
        <v>34.326579505215911</v>
      </c>
      <c r="TD29">
        <f t="shared" si="709"/>
        <v>34.305754461261444</v>
      </c>
      <c r="TE29">
        <f t="shared" si="709"/>
        <v>34.285155552234819</v>
      </c>
      <c r="TF29">
        <f t="shared" si="709"/>
        <v>34.264780322385846</v>
      </c>
      <c r="TG29">
        <f t="shared" si="709"/>
        <v>34.244626342640238</v>
      </c>
      <c r="TH29">
        <f t="shared" si="709"/>
        <v>34.224691210309601</v>
      </c>
      <c r="TI29">
        <f t="shared" si="709"/>
        <v>34.20497254880452</v>
      </c>
      <c r="TJ29">
        <f t="shared" si="709"/>
        <v>34.185468007350849</v>
      </c>
      <c r="TK29">
        <f t="shared" si="709"/>
        <v>34.166175260709032</v>
      </c>
      <c r="TL29">
        <f t="shared" si="709"/>
        <v>34.147092008896514</v>
      </c>
      <c r="TM29">
        <f t="shared" si="709"/>
        <v>34.128215976913168</v>
      </c>
      <c r="TN29">
        <f t="shared" si="709"/>
        <v>34.109544914469751</v>
      </c>
      <c r="TO29">
        <f t="shared" si="709"/>
        <v>34.091076595719244</v>
      </c>
      <c r="TP29">
        <f t="shared" si="709"/>
        <v>34.072808818991206</v>
      </c>
      <c r="TQ29">
        <f t="shared" si="709"/>
        <v>34.054739406528952</v>
      </c>
      <c r="TR29">
        <f t="shared" si="709"/>
        <v>34.036866204229646</v>
      </c>
      <c r="TS29">
        <f t="shared" si="709"/>
        <v>34.019187081387201</v>
      </c>
      <c r="TT29">
        <f t="shared" si="709"/>
        <v>34.001699930437972</v>
      </c>
      <c r="TU29">
        <f t="shared" si="709"/>
        <v>33.984402666709251</v>
      </c>
      <c r="TV29">
        <f t="shared" si="709"/>
        <v>33.967293228170462</v>
      </c>
      <c r="TW29">
        <f t="shared" si="709"/>
        <v>33.950369575187104</v>
      </c>
      <c r="TX29">
        <f t="shared" si="709"/>
        <v>33.933629690277343</v>
      </c>
      <c r="TY29">
        <f t="shared" si="709"/>
        <v>33.917071577871283</v>
      </c>
      <c r="TZ29">
        <f t="shared" si="709"/>
        <v>33.900693264072821</v>
      </c>
      <c r="UA29">
        <f t="shared" si="709"/>
        <v>33.884492796424126</v>
      </c>
      <c r="UB29">
        <f t="shared" si="709"/>
        <v>33.868468243672694</v>
      </c>
      <c r="UC29">
        <f t="shared" si="709"/>
        <v>33.852617695540886</v>
      </c>
      <c r="UD29">
        <f t="shared" si="709"/>
        <v>33.836939262498028</v>
      </c>
      <c r="UE29">
        <f t="shared" si="709"/>
        <v>33.821431075534967</v>
      </c>
      <c r="UF29">
        <f t="shared" si="709"/>
        <v>33.806091285941079</v>
      </c>
      <c r="UG29">
        <f t="shared" si="709"/>
        <v>33.790918065083709</v>
      </c>
      <c r="UH29">
        <f t="shared" si="709"/>
        <v>33.775909604190026</v>
      </c>
      <c r="UI29">
        <f t="shared" si="709"/>
        <v>33.761064114131237</v>
      </c>
      <c r="UJ29">
        <f t="shared" si="709"/>
        <v>33.746379825209125</v>
      </c>
      <c r="UK29">
        <f t="shared" si="709"/>
        <v>33.731854986944974</v>
      </c>
      <c r="UL29">
        <f t="shared" si="709"/>
        <v>33.717487867870716</v>
      </c>
      <c r="UM29">
        <f t="shared" si="709"/>
        <v>33.703276755322413</v>
      </c>
      <c r="UN29">
        <f t="shared" si="709"/>
        <v>33.689219955235949</v>
      </c>
      <c r="UO29">
        <f t="shared" si="709"/>
        <v>33.675315791944946</v>
      </c>
      <c r="UP29">
        <f t="shared" si="709"/>
        <v>33.661562607980919</v>
      </c>
      <c r="UQ29">
        <f t="shared" si="709"/>
        <v>33.647958763875522</v>
      </c>
      <c r="UR29">
        <f t="shared" si="709"/>
        <v>33.634502637965049</v>
      </c>
      <c r="US29">
        <f t="shared" si="709"/>
        <v>33.621192626196972</v>
      </c>
      <c r="UT29">
        <f t="shared" si="709"/>
        <v>33.608027141938642</v>
      </c>
      <c r="UU29">
        <f t="shared" si="709"/>
        <v>33.595004615788028</v>
      </c>
      <c r="UV29">
        <f t="shared" si="709"/>
        <v>33.582123495386568</v>
      </c>
      <c r="UW29">
        <f t="shared" si="709"/>
        <v>33.569382245233982</v>
      </c>
      <c r="UX29">
        <f t="shared" si="709"/>
        <v>33.556779346505174</v>
      </c>
      <c r="UY29">
        <f t="shared" si="709"/>
        <v>33.544313296869063</v>
      </c>
      <c r="UZ29">
        <f t="shared" si="709"/>
        <v>33.531982610309427</v>
      </c>
      <c r="VA29">
        <f t="shared" si="709"/>
        <v>33.519785816947675</v>
      </c>
      <c r="VB29">
        <f t="shared" si="709"/>
        <v>33.507721462867551</v>
      </c>
      <c r="VC29">
        <f t="shared" si="709"/>
        <v>33.495788109941735</v>
      </c>
      <c r="VD29">
        <f t="shared" si="709"/>
        <v>33.483984335660367</v>
      </c>
      <c r="VE29">
        <f t="shared" si="709"/>
        <v>33.472308732961359</v>
      </c>
      <c r="VF29">
        <f t="shared" si="709"/>
        <v>33.460759910062642</v>
      </c>
      <c r="VG29">
        <f t="shared" ref="VG29:XR29" si="710">(-VF44)*$K13*dt+VF29</f>
        <v>33.449336490296155</v>
      </c>
      <c r="VH29">
        <f t="shared" si="710"/>
        <v>33.438037111943707</v>
      </c>
      <c r="VI29">
        <f t="shared" si="710"/>
        <v>33.42686042807459</v>
      </c>
      <c r="VJ29">
        <f t="shared" si="710"/>
        <v>33.415805106384937</v>
      </c>
      <c r="VK29">
        <f t="shared" si="710"/>
        <v>33.404869829038866</v>
      </c>
      <c r="VL29">
        <f t="shared" si="710"/>
        <v>33.394053292511352</v>
      </c>
      <c r="VM29">
        <f t="shared" si="710"/>
        <v>33.383354207432745</v>
      </c>
      <c r="VN29">
        <f t="shared" si="710"/>
        <v>33.372771298435055</v>
      </c>
      <c r="VO29">
        <f t="shared" si="710"/>
        <v>33.362303303999873</v>
      </c>
      <c r="VP29">
        <f t="shared" si="710"/>
        <v>33.351948976307938</v>
      </c>
      <c r="VQ29">
        <f t="shared" si="710"/>
        <v>33.341707081090348</v>
      </c>
      <c r="VR29">
        <f t="shared" si="710"/>
        <v>33.331576397481385</v>
      </c>
      <c r="VS29">
        <f t="shared" si="710"/>
        <v>33.321555717872947</v>
      </c>
      <c r="VT29">
        <f t="shared" si="710"/>
        <v>33.311643847770561</v>
      </c>
      <c r="VU29">
        <f t="shared" si="710"/>
        <v>33.301839605650947</v>
      </c>
      <c r="VV29">
        <f t="shared" si="710"/>
        <v>33.292141822821137</v>
      </c>
      <c r="VW29">
        <f t="shared" si="710"/>
        <v>33.282549343279143</v>
      </c>
      <c r="VX29">
        <f t="shared" si="710"/>
        <v>33.273061023576112</v>
      </c>
      <c r="VY29">
        <f t="shared" si="710"/>
        <v>33.263675732679999</v>
      </c>
      <c r="VZ29">
        <f t="shared" si="710"/>
        <v>33.254392351840693</v>
      </c>
      <c r="WA29">
        <f t="shared" si="710"/>
        <v>33.245209774456654</v>
      </c>
      <c r="WB29">
        <f t="shared" si="710"/>
        <v>33.236126905942946</v>
      </c>
      <c r="WC29">
        <f t="shared" si="710"/>
        <v>33.227142663600766</v>
      </c>
      <c r="WD29">
        <f t="shared" si="710"/>
        <v>33.218255976488322</v>
      </c>
      <c r="WE29">
        <f t="shared" si="710"/>
        <v>33.209465785293155</v>
      </c>
      <c r="WF29">
        <f t="shared" si="710"/>
        <v>33.200771042205865</v>
      </c>
      <c r="WG29">
        <f t="shared" si="710"/>
        <v>33.19217071079516</v>
      </c>
      <c r="WH29">
        <f t="shared" si="710"/>
        <v>33.18366376588429</v>
      </c>
      <c r="WI29">
        <f t="shared" si="710"/>
        <v>33.17529914196728</v>
      </c>
      <c r="WJ29">
        <f t="shared" si="710"/>
        <v>33.167195370477366</v>
      </c>
      <c r="WK29">
        <f t="shared" si="710"/>
        <v>33.159533826583925</v>
      </c>
      <c r="WL29">
        <f t="shared" si="710"/>
        <v>33.152540396586822</v>
      </c>
      <c r="WM29">
        <f t="shared" si="710"/>
        <v>33.146465577575853</v>
      </c>
      <c r="WN29">
        <f t="shared" si="710"/>
        <v>33.141567633188579</v>
      </c>
      <c r="WO29">
        <f t="shared" si="710"/>
        <v>33.138100125974859</v>
      </c>
      <c r="WP29">
        <f t="shared" si="710"/>
        <v>33.136303579143203</v>
      </c>
      <c r="WQ29">
        <f t="shared" si="710"/>
        <v>33.136400462672725</v>
      </c>
      <c r="WR29">
        <f t="shared" si="710"/>
        <v>33.138592627762662</v>
      </c>
      <c r="WS29">
        <f t="shared" si="710"/>
        <v>33.143060434863898</v>
      </c>
      <c r="WT29">
        <f t="shared" si="710"/>
        <v>33.149962990857851</v>
      </c>
      <c r="WU29">
        <f t="shared" si="710"/>
        <v>33.159439070263154</v>
      </c>
      <c r="WV29">
        <f t="shared" si="710"/>
        <v>33.171608424274055</v>
      </c>
      <c r="WW29">
        <f t="shared" si="710"/>
        <v>33.186573278287717</v>
      </c>
      <c r="WX29">
        <f t="shared" si="710"/>
        <v>33.204419888124043</v>
      </c>
      <c r="WY29">
        <f t="shared" si="710"/>
        <v>33.225220073558695</v>
      </c>
      <c r="WZ29">
        <f t="shared" si="710"/>
        <v>33.249032680705582</v>
      </c>
      <c r="XA29">
        <f t="shared" si="710"/>
        <v>33.275904946697537</v>
      </c>
      <c r="XB29">
        <f t="shared" si="710"/>
        <v>33.305873754394199</v>
      </c>
      <c r="XC29">
        <f t="shared" si="710"/>
        <v>33.338966773919722</v>
      </c>
      <c r="XD29">
        <f t="shared" si="710"/>
        <v>33.375203493405785</v>
      </c>
      <c r="XE29">
        <f t="shared" si="710"/>
        <v>33.414596144565174</v>
      </c>
      <c r="XF29">
        <f t="shared" si="710"/>
        <v>33.45715053045172</v>
      </c>
      <c r="XG29">
        <f t="shared" si="710"/>
        <v>33.502866763516501</v>
      </c>
      <c r="XH29">
        <f t="shared" si="710"/>
        <v>33.551739922211773</v>
      </c>
      <c r="XI29">
        <f t="shared" si="710"/>
        <v>33.603760634163976</v>
      </c>
      <c r="XJ29">
        <f t="shared" si="710"/>
        <v>33.658915593493965</v>
      </c>
      <c r="XK29">
        <f t="shared" si="710"/>
        <v>33.717188019309646</v>
      </c>
      <c r="XL29">
        <f t="shared" si="710"/>
        <v>33.778558061798066</v>
      </c>
      <c r="XM29">
        <f t="shared" si="710"/>
        <v>33.84300316174258</v>
      </c>
      <c r="XN29">
        <f t="shared" si="710"/>
        <v>33.910498368709781</v>
      </c>
      <c r="XO29">
        <f t="shared" si="710"/>
        <v>33.981016622604571</v>
      </c>
      <c r="XP29">
        <f t="shared" si="710"/>
        <v>34.0545290027869</v>
      </c>
      <c r="XQ29">
        <f t="shared" si="710"/>
        <v>34.131004948482804</v>
      </c>
      <c r="XR29">
        <f t="shared" si="710"/>
        <v>34.210412453805489</v>
      </c>
      <c r="XS29">
        <f t="shared" ref="XS29:AAD29" si="711">(-XR44)*$K13*dt+XR29</f>
        <v>34.292718240327027</v>
      </c>
      <c r="XT29">
        <f t="shared" si="711"/>
        <v>34.37788790980602</v>
      </c>
      <c r="XU29">
        <f t="shared" si="711"/>
        <v>34.465886079377</v>
      </c>
      <c r="XV29">
        <f t="shared" si="711"/>
        <v>34.556676501241412</v>
      </c>
      <c r="XW29">
        <f t="shared" si="711"/>
        <v>34.650222168663646</v>
      </c>
      <c r="XX29">
        <f t="shared" si="711"/>
        <v>34.746485409866111</v>
      </c>
      <c r="XY29">
        <f t="shared" si="711"/>
        <v>34.845427971231921</v>
      </c>
      <c r="XZ29">
        <f t="shared" si="711"/>
        <v>34.947011091059636</v>
      </c>
      <c r="YA29">
        <f t="shared" si="711"/>
        <v>35.051195564969476</v>
      </c>
      <c r="YB29">
        <f t="shared" si="711"/>
        <v>35.157941803932097</v>
      </c>
      <c r="YC29">
        <f t="shared" si="711"/>
        <v>35.267209885777881</v>
      </c>
      <c r="YD29">
        <f t="shared" si="711"/>
        <v>35.378959600944533</v>
      </c>
      <c r="YE29">
        <f t="shared" si="711"/>
        <v>35.493150493132397</v>
      </c>
      <c r="YF29">
        <f t="shared" si="711"/>
        <v>35.609741895458946</v>
      </c>
      <c r="YG29">
        <f t="shared" si="711"/>
        <v>35.72869296263498</v>
      </c>
      <c r="YH29">
        <f t="shared" si="711"/>
        <v>35.84996269962415</v>
      </c>
      <c r="YI29">
        <f t="shared" si="711"/>
        <v>35.973509987193808</v>
      </c>
      <c r="YJ29">
        <f t="shared" si="711"/>
        <v>36.099293604717666</v>
      </c>
      <c r="YK29">
        <f t="shared" si="711"/>
        <v>36.227272250548957</v>
      </c>
      <c r="YL29">
        <f t="shared" si="711"/>
        <v>36.357404560245612</v>
      </c>
      <c r="YM29">
        <f t="shared" si="711"/>
        <v>36.489649122896573</v>
      </c>
      <c r="YN29">
        <f t="shared" si="711"/>
        <v>36.623964495769165</v>
      </c>
      <c r="YO29">
        <f t="shared" si="711"/>
        <v>36.760309217472319</v>
      </c>
      <c r="YP29">
        <f t="shared" si="711"/>
        <v>36.898641819807587</v>
      </c>
      <c r="YQ29">
        <f t="shared" si="711"/>
        <v>37.038920838460228</v>
      </c>
      <c r="YR29">
        <f t="shared" si="711"/>
        <v>37.181104822664935</v>
      </c>
      <c r="YS29">
        <f t="shared" si="711"/>
        <v>37.325152343965264</v>
      </c>
      <c r="YT29">
        <f t="shared" si="711"/>
        <v>37.471022004172148</v>
      </c>
      <c r="YU29">
        <f t="shared" si="711"/>
        <v>37.618672442614603</v>
      </c>
      <c r="YV29">
        <f t="shared" si="711"/>
        <v>37.768062342765141</v>
      </c>
      <c r="YW29">
        <f t="shared" si="711"/>
        <v>37.919150438312855</v>
      </c>
      <c r="YX29">
        <f t="shared" si="711"/>
        <v>38.071895518748711</v>
      </c>
      <c r="YY29">
        <f t="shared" si="711"/>
        <v>38.226256434520202</v>
      </c>
      <c r="YZ29">
        <f t="shared" si="711"/>
        <v>38.382192101805963</v>
      </c>
      <c r="ZA29">
        <f t="shared" si="711"/>
        <v>38.539661506955042</v>
      </c>
      <c r="ZB29">
        <f t="shared" si="711"/>
        <v>38.69862371063055</v>
      </c>
      <c r="ZC29">
        <f t="shared" si="711"/>
        <v>38.859037851692655</v>
      </c>
      <c r="ZD29">
        <f t="shared" si="711"/>
        <v>39.02086315085203</v>
      </c>
      <c r="ZE29">
        <f t="shared" si="711"/>
        <v>39.184058914121188</v>
      </c>
      <c r="ZF29">
        <f t="shared" si="711"/>
        <v>39.348584536087998</v>
      </c>
      <c r="ZG29">
        <f t="shared" si="711"/>
        <v>39.514399503032983</v>
      </c>
      <c r="ZH29">
        <f t="shared" si="711"/>
        <v>39.681463395909319</v>
      </c>
      <c r="ZI29">
        <f t="shared" si="711"/>
        <v>39.84973589320245</v>
      </c>
      <c r="ZJ29">
        <f t="shared" si="711"/>
        <v>40.019176773684215</v>
      </c>
      <c r="ZK29">
        <f t="shared" si="711"/>
        <v>40.189745919074568</v>
      </c>
      <c r="ZL29">
        <f t="shared" si="711"/>
        <v>40.36140331662267</v>
      </c>
      <c r="ZM29">
        <f t="shared" si="711"/>
        <v>40.534109061617492</v>
      </c>
      <c r="ZN29">
        <f t="shared" si="711"/>
        <v>40.707823359837143</v>
      </c>
      <c r="ZO29">
        <f t="shared" si="711"/>
        <v>40.882506529944806</v>
      </c>
      <c r="ZP29">
        <f t="shared" si="711"/>
        <v>41.058119005838485</v>
      </c>
      <c r="ZQ29">
        <f t="shared" si="711"/>
        <v>41.234621338960679</v>
      </c>
      <c r="ZR29">
        <f t="shared" si="711"/>
        <v>41.411974200573546</v>
      </c>
      <c r="ZS29">
        <f t="shared" si="711"/>
        <v>41.590138384004327</v>
      </c>
      <c r="ZT29">
        <f t="shared" si="711"/>
        <v>41.769074806865333</v>
      </c>
      <c r="ZU29">
        <f t="shared" si="711"/>
        <v>41.948744513252116</v>
      </c>
      <c r="ZV29">
        <f t="shared" si="711"/>
        <v>42.129108675923177</v>
      </c>
      <c r="ZW29">
        <f t="shared" si="711"/>
        <v>42.31012859846399</v>
      </c>
      <c r="ZX29">
        <f t="shared" si="711"/>
        <v>42.491765717437843</v>
      </c>
      <c r="ZY29">
        <f t="shared" si="711"/>
        <v>42.673981604525636</v>
      </c>
      <c r="ZZ29">
        <f t="shared" si="711"/>
        <v>42.856737968656525</v>
      </c>
      <c r="AAA29">
        <f t="shared" si="711"/>
        <v>43.039996658130974</v>
      </c>
      <c r="AAB29">
        <f t="shared" si="711"/>
        <v>43.223719662737665</v>
      </c>
      <c r="AAC29">
        <f t="shared" si="711"/>
        <v>43.407869115865374</v>
      </c>
      <c r="AAD29">
        <f t="shared" si="711"/>
        <v>43.592407296610865</v>
      </c>
      <c r="AAE29">
        <f t="shared" ref="AAE29:AAO29" si="712">(-AAD44)*$K13*dt+AAD29</f>
        <v>43.777296631883608</v>
      </c>
      <c r="AAF29">
        <f t="shared" si="712"/>
        <v>43.962499698508033</v>
      </c>
      <c r="AAG29">
        <f t="shared" si="712"/>
        <v>44.147979225323887</v>
      </c>
      <c r="AAH29">
        <f t="shared" si="712"/>
        <v>44.33369809528515</v>
      </c>
      <c r="AAI29">
        <f t="shared" si="712"/>
        <v>44.519619347557878</v>
      </c>
      <c r="AAJ29">
        <f t="shared" si="712"/>
        <v>44.705706179617231</v>
      </c>
      <c r="AAK29">
        <f t="shared" si="712"/>
        <v>44.891921949343903</v>
      </c>
      <c r="AAL29">
        <f t="shared" si="712"/>
        <v>45.078230177120005</v>
      </c>
      <c r="AAM29">
        <f t="shared" si="712"/>
        <v>45.264594547924574</v>
      </c>
      <c r="AAN29">
        <f t="shared" si="712"/>
        <v>45.450978913428592</v>
      </c>
      <c r="AAO29">
        <f t="shared" si="712"/>
        <v>45.637347294089587</v>
      </c>
    </row>
    <row r="30" spans="1:717">
      <c r="A30">
        <f t="shared" si="676"/>
        <v>6</v>
      </c>
      <c r="B30">
        <f>B$24+SUM(G$8:G13)*(B$35-B$24)/G$20</f>
        <v>40.815821635072496</v>
      </c>
      <c r="C30">
        <f t="shared" ref="C30:BN30" si="713">(-B45)*$K14*dt+B30</f>
        <v>40.815821635072496</v>
      </c>
      <c r="D30">
        <f t="shared" si="713"/>
        <v>40.815821635072496</v>
      </c>
      <c r="E30">
        <f t="shared" si="713"/>
        <v>40.815821635072496</v>
      </c>
      <c r="F30">
        <f t="shared" si="713"/>
        <v>40.815821635072496</v>
      </c>
      <c r="G30">
        <f t="shared" si="713"/>
        <v>40.815821635072496</v>
      </c>
      <c r="H30">
        <f t="shared" si="713"/>
        <v>40.815828181969287</v>
      </c>
      <c r="I30">
        <f t="shared" si="713"/>
        <v>40.81586177414092</v>
      </c>
      <c r="J30">
        <f t="shared" si="713"/>
        <v>40.815961552281784</v>
      </c>
      <c r="K30">
        <f t="shared" si="713"/>
        <v>40.816186567866879</v>
      </c>
      <c r="L30">
        <f t="shared" si="713"/>
        <v>40.816614348335001</v>
      </c>
      <c r="M30">
        <f t="shared" si="713"/>
        <v>40.817337832753942</v>
      </c>
      <c r="N30">
        <f t="shared" si="713"/>
        <v>40.81846160895234</v>
      </c>
      <c r="O30">
        <f t="shared" si="713"/>
        <v>40.820098098404969</v>
      </c>
      <c r="P30">
        <f t="shared" si="713"/>
        <v>40.822364068577599</v>
      </c>
      <c r="Q30">
        <f t="shared" si="713"/>
        <v>40.825377654055892</v>
      </c>
      <c r="R30">
        <f t="shared" si="713"/>
        <v>40.82925593882559</v>
      </c>
      <c r="S30">
        <f t="shared" si="713"/>
        <v>40.834113077441799</v>
      </c>
      <c r="T30">
        <f t="shared" si="713"/>
        <v>40.84005889547506</v>
      </c>
      <c r="U30">
        <f t="shared" si="713"/>
        <v>40.847197895591755</v>
      </c>
      <c r="V30">
        <f t="shared" si="713"/>
        <v>40.855628594971577</v>
      </c>
      <c r="W30">
        <f t="shared" si="713"/>
        <v>40.865443125983212</v>
      </c>
      <c r="X30">
        <f t="shared" si="713"/>
        <v>40.876727041161935</v>
      </c>
      <c r="Y30">
        <f t="shared" si="713"/>
        <v>40.889559273292043</v>
      </c>
      <c r="Z30">
        <f t="shared" si="713"/>
        <v>40.904012210608201</v>
      </c>
      <c r="AA30">
        <f t="shared" si="713"/>
        <v>40.920151855256343</v>
      </c>
      <c r="AB30">
        <f t="shared" si="713"/>
        <v>40.938038040031529</v>
      </c>
      <c r="AC30">
        <f t="shared" si="713"/>
        <v>40.957724684067259</v>
      </c>
      <c r="AD30">
        <f t="shared" si="713"/>
        <v>40.979260072712101</v>
      </c>
      <c r="AE30">
        <f t="shared" si="713"/>
        <v>41.002687150452452</v>
      </c>
      <c r="AF30">
        <f t="shared" si="713"/>
        <v>41.028043818584216</v>
      </c>
      <c r="AG30">
        <f t="shared" si="713"/>
        <v>41.055363231547936</v>
      </c>
      <c r="AH30">
        <f t="shared" si="713"/>
        <v>41.084674087547874</v>
      </c>
      <c r="AI30">
        <f t="shared" si="713"/>
        <v>41.116000910382255</v>
      </c>
      <c r="AJ30">
        <f t="shared" si="713"/>
        <v>41.149364320405667</v>
      </c>
      <c r="AK30">
        <f t="shared" si="713"/>
        <v>41.184781293295437</v>
      </c>
      <c r="AL30">
        <f t="shared" si="713"/>
        <v>41.222265405856255</v>
      </c>
      <c r="AM30">
        <f t="shared" si="713"/>
        <v>41.261827068515416</v>
      </c>
      <c r="AN30">
        <f t="shared" si="713"/>
        <v>41.303473744468072</v>
      </c>
      <c r="AO30">
        <f t="shared" si="713"/>
        <v>41.347210155654146</v>
      </c>
      <c r="AP30">
        <f t="shared" si="713"/>
        <v>41.393038475906508</v>
      </c>
      <c r="AQ30">
        <f t="shared" si="713"/>
        <v>41.440958511718911</v>
      </c>
      <c r="AR30">
        <f t="shared" si="713"/>
        <v>41.490967871154346</v>
      </c>
      <c r="AS30">
        <f t="shared" si="713"/>
        <v>41.543062121458647</v>
      </c>
      <c r="AT30">
        <f t="shared" si="713"/>
        <v>41.597234935967876</v>
      </c>
      <c r="AU30">
        <f t="shared" si="713"/>
        <v>41.653478230906067</v>
      </c>
      <c r="AV30">
        <f t="shared" si="713"/>
        <v>41.711782292667053</v>
      </c>
      <c r="AW30">
        <f t="shared" si="713"/>
        <v>41.772135896162524</v>
      </c>
      <c r="AX30">
        <f t="shared" si="713"/>
        <v>41.834526414801879</v>
      </c>
      <c r="AY30">
        <f t="shared" si="713"/>
        <v>41.898939922648026</v>
      </c>
      <c r="AZ30">
        <f t="shared" si="713"/>
        <v>41.965361289270014</v>
      </c>
      <c r="BA30">
        <f t="shared" si="713"/>
        <v>42.033774267788012</v>
      </c>
      <c r="BB30">
        <f t="shared" si="713"/>
        <v>42.10416157658031</v>
      </c>
      <c r="BC30">
        <f t="shared" si="713"/>
        <v>42.176504975095867</v>
      </c>
      <c r="BD30">
        <f t="shared" si="713"/>
        <v>42.250785334189843</v>
      </c>
      <c r="BE30">
        <f t="shared" si="713"/>
        <v>42.326982701374305</v>
      </c>
      <c r="BF30">
        <f t="shared" si="713"/>
        <v>42.405076361351583</v>
      </c>
      <c r="BG30">
        <f t="shared" si="713"/>
        <v>42.485044892173896</v>
      </c>
      <c r="BH30">
        <f t="shared" si="713"/>
        <v>42.566866217350352</v>
      </c>
      <c r="BI30">
        <f t="shared" si="713"/>
        <v>42.650517654200584</v>
      </c>
      <c r="BJ30">
        <f t="shared" si="713"/>
        <v>42.735975958733817</v>
      </c>
      <c r="BK30">
        <f t="shared" si="713"/>
        <v>42.823217367312779</v>
      </c>
      <c r="BL30">
        <f t="shared" si="713"/>
        <v>42.912217635343467</v>
      </c>
      <c r="BM30">
        <f t="shared" si="713"/>
        <v>43.002952073214665</v>
      </c>
      <c r="BN30">
        <f t="shared" si="713"/>
        <v>43.095395579694909</v>
      </c>
      <c r="BO30">
        <f t="shared" ref="BO30:DZ30" si="714">(-BN45)*$K14*dt+BN30</f>
        <v>43.189522672979479</v>
      </c>
      <c r="BP30">
        <f t="shared" si="714"/>
        <v>43.285307519565841</v>
      </c>
      <c r="BQ30">
        <f t="shared" si="714"/>
        <v>43.382723961122807</v>
      </c>
      <c r="BR30">
        <f t="shared" si="714"/>
        <v>43.481745539506313</v>
      </c>
      <c r="BS30">
        <f t="shared" si="714"/>
        <v>43.582345520063377</v>
      </c>
      <c r="BT30">
        <f t="shared" si="714"/>
        <v>43.684496913354941</v>
      </c>
      <c r="BU30">
        <f t="shared" si="714"/>
        <v>43.788172495418571</v>
      </c>
      <c r="BV30">
        <f t="shared" si="714"/>
        <v>43.893344826682799</v>
      </c>
      <c r="BW30">
        <f t="shared" si="714"/>
        <v>43.999986269636167</v>
      </c>
      <c r="BX30">
        <f t="shared" si="714"/>
        <v>44.108069005346366</v>
      </c>
      <c r="BY30">
        <f t="shared" si="714"/>
        <v>44.217565048917365</v>
      </c>
      <c r="BZ30">
        <f t="shared" si="714"/>
        <v>44.328446263965766</v>
      </c>
      <c r="CA30">
        <f t="shared" si="714"/>
        <v>44.4406843761912</v>
      </c>
      <c r="CB30">
        <f t="shared" si="714"/>
        <v>44.554250986109956</v>
      </c>
      <c r="CC30">
        <f t="shared" si="714"/>
        <v>44.669117581015527</v>
      </c>
      <c r="CD30">
        <f t="shared" si="714"/>
        <v>44.785255546224839</v>
      </c>
      <c r="CE30">
        <f t="shared" si="714"/>
        <v>44.902636175664377</v>
      </c>
      <c r="CF30">
        <f t="shared" si="714"/>
        <v>45.021230681846248</v>
      </c>
      <c r="CG30">
        <f t="shared" si="714"/>
        <v>45.141010205280111</v>
      </c>
      <c r="CH30">
        <f t="shared" si="714"/>
        <v>45.261945823363611</v>
      </c>
      <c r="CI30">
        <f t="shared" si="714"/>
        <v>45.38400855879032</v>
      </c>
      <c r="CJ30">
        <f t="shared" si="714"/>
        <v>45.507169387511418</v>
      </c>
      <c r="CK30">
        <f t="shared" si="714"/>
        <v>45.631399246284303</v>
      </c>
      <c r="CL30">
        <f t="shared" si="714"/>
        <v>45.756669039838791</v>
      </c>
      <c r="CM30">
        <f t="shared" si="714"/>
        <v>45.88294964768928</v>
      </c>
      <c r="CN30">
        <f t="shared" si="714"/>
        <v>46.010211930618816</v>
      </c>
      <c r="CO30">
        <f t="shared" si="714"/>
        <v>46.138426736859174</v>
      </c>
      <c r="CP30">
        <f t="shared" si="714"/>
        <v>46.267564907989104</v>
      </c>
      <c r="CQ30">
        <f t="shared" si="714"/>
        <v>46.397597284571141</v>
      </c>
      <c r="CR30">
        <f t="shared" si="714"/>
        <v>46.528494711545825</v>
      </c>
      <c r="CS30">
        <f t="shared" si="714"/>
        <v>46.660228043400743</v>
      </c>
      <c r="CT30">
        <f t="shared" si="714"/>
        <v>46.792768149130382</v>
      </c>
      <c r="CU30">
        <f t="shared" si="714"/>
        <v>46.926085917001544</v>
      </c>
      <c r="CV30">
        <f t="shared" si="714"/>
        <v>47.060152259138079</v>
      </c>
      <c r="CW30">
        <f t="shared" si="714"/>
        <v>47.194938115937362</v>
      </c>
      <c r="CX30">
        <f t="shared" si="714"/>
        <v>47.33041446033026</v>
      </c>
      <c r="CY30">
        <f t="shared" si="714"/>
        <v>47.466552301895277</v>
      </c>
      <c r="CZ30">
        <f t="shared" si="714"/>
        <v>47.603322690836684</v>
      </c>
      <c r="DA30">
        <f t="shared" si="714"/>
        <v>47.740696721835938</v>
      </c>
      <c r="DB30">
        <f t="shared" si="714"/>
        <v>47.878645537784678</v>
      </c>
      <c r="DC30">
        <f t="shared" si="714"/>
        <v>48.017140333407191</v>
      </c>
      <c r="DD30">
        <f t="shared" si="714"/>
        <v>48.156152358779487</v>
      </c>
      <c r="DE30">
        <f t="shared" si="714"/>
        <v>48.295652922751714</v>
      </c>
      <c r="DF30">
        <f t="shared" si="714"/>
        <v>48.435613396279976</v>
      </c>
      <c r="DG30">
        <f t="shared" si="714"/>
        <v>48.576005215673334</v>
      </c>
      <c r="DH30">
        <f t="shared" si="714"/>
        <v>48.716799885761169</v>
      </c>
      <c r="DI30">
        <f t="shared" si="714"/>
        <v>48.857968982985817</v>
      </c>
      <c r="DJ30">
        <f t="shared" si="714"/>
        <v>48.999484158424991</v>
      </c>
      <c r="DK30">
        <f t="shared" si="714"/>
        <v>49.141317140748093</v>
      </c>
      <c r="DL30">
        <f t="shared" si="714"/>
        <v>49.283439739110307</v>
      </c>
      <c r="DM30">
        <f t="shared" si="714"/>
        <v>49.425823845988056</v>
      </c>
      <c r="DN30">
        <f t="shared" si="714"/>
        <v>49.568441439959102</v>
      </c>
      <c r="DO30">
        <f t="shared" si="714"/>
        <v>49.711264588430296</v>
      </c>
      <c r="DP30">
        <f t="shared" si="714"/>
        <v>49.85426545031595</v>
      </c>
      <c r="DQ30">
        <f t="shared" si="714"/>
        <v>49.997416278669249</v>
      </c>
      <c r="DR30">
        <f t="shared" si="714"/>
        <v>50.140689423269336</v>
      </c>
      <c r="DS30">
        <f t="shared" si="714"/>
        <v>50.284057333166153</v>
      </c>
      <c r="DT30">
        <f t="shared" si="714"/>
        <v>50.427492559185247</v>
      </c>
      <c r="DU30">
        <f t="shared" si="714"/>
        <v>50.570967756394332</v>
      </c>
      <c r="DV30">
        <f t="shared" si="714"/>
        <v>50.714455686533569</v>
      </c>
      <c r="DW30">
        <f t="shared" si="714"/>
        <v>50.857929220411066</v>
      </c>
      <c r="DX30">
        <f t="shared" si="714"/>
        <v>51.001361340265184</v>
      </c>
      <c r="DY30">
        <f t="shared" si="714"/>
        <v>51.144725142095112</v>
      </c>
      <c r="DZ30">
        <f t="shared" si="714"/>
        <v>51.287993837960961</v>
      </c>
      <c r="EA30">
        <f t="shared" ref="EA30:GL30" si="715">(-DZ45)*$K14*dt+DZ30</f>
        <v>51.431140758254642</v>
      </c>
      <c r="EB30">
        <f t="shared" si="715"/>
        <v>51.574139353942606</v>
      </c>
      <c r="EC30">
        <f t="shared" si="715"/>
        <v>51.716963198781542</v>
      </c>
      <c r="ED30">
        <f t="shared" si="715"/>
        <v>51.85958599150797</v>
      </c>
      <c r="EE30">
        <f t="shared" si="715"/>
        <v>52.001981558002612</v>
      </c>
      <c r="EF30">
        <f t="shared" si="715"/>
        <v>52.144123853430393</v>
      </c>
      <c r="EG30">
        <f t="shared" si="715"/>
        <v>52.285986964356795</v>
      </c>
      <c r="EH30">
        <f t="shared" si="715"/>
        <v>52.427545110841301</v>
      </c>
      <c r="EI30">
        <f t="shared" si="715"/>
        <v>52.56877264850857</v>
      </c>
      <c r="EJ30">
        <f t="shared" si="715"/>
        <v>52.709644070597925</v>
      </c>
      <c r="EK30">
        <f t="shared" si="715"/>
        <v>52.850134009991699</v>
      </c>
      <c r="EL30">
        <f t="shared" si="715"/>
        <v>52.990217241222958</v>
      </c>
      <c r="EM30">
        <f t="shared" si="715"/>
        <v>53.129868682463076</v>
      </c>
      <c r="EN30">
        <f t="shared" si="715"/>
        <v>53.269063397489568</v>
      </c>
      <c r="EO30">
        <f t="shared" si="715"/>
        <v>53.407776597634545</v>
      </c>
      <c r="EP30">
        <f t="shared" si="715"/>
        <v>53.545983643714194</v>
      </c>
      <c r="EQ30">
        <f t="shared" si="715"/>
        <v>53.683660047939597</v>
      </c>
      <c r="ER30">
        <f t="shared" si="715"/>
        <v>53.82078147580912</v>
      </c>
      <c r="ES30">
        <f t="shared" si="715"/>
        <v>53.957323747982741</v>
      </c>
      <c r="ET30">
        <f t="shared" si="715"/>
        <v>54.093262842138444</v>
      </c>
      <c r="EU30">
        <f t="shared" si="715"/>
        <v>54.228574894810997</v>
      </c>
      <c r="EV30">
        <f t="shared" si="715"/>
        <v>54.363236203213241</v>
      </c>
      <c r="EW30">
        <f t="shared" si="715"/>
        <v>54.497223227040067</v>
      </c>
      <c r="EX30">
        <f t="shared" si="715"/>
        <v>54.63051259025525</v>
      </c>
      <c r="EY30">
        <f t="shared" si="715"/>
        <v>54.763081082861284</v>
      </c>
      <c r="EZ30">
        <f t="shared" si="715"/>
        <v>54.894905662652278</v>
      </c>
      <c r="FA30">
        <f t="shared" si="715"/>
        <v>55.025963456950073</v>
      </c>
      <c r="FB30">
        <f t="shared" si="715"/>
        <v>55.156231764323643</v>
      </c>
      <c r="FC30">
        <f t="shared" si="715"/>
        <v>55.285688056291804</v>
      </c>
      <c r="FD30">
        <f t="shared" si="715"/>
        <v>55.414309979009346</v>
      </c>
      <c r="FE30">
        <f t="shared" si="715"/>
        <v>55.5420753549366</v>
      </c>
      <c r="FF30">
        <f t="shared" si="715"/>
        <v>55.6689621844925</v>
      </c>
      <c r="FG30">
        <f t="shared" si="715"/>
        <v>55.794948647691065</v>
      </c>
      <c r="FH30">
        <f t="shared" si="715"/>
        <v>55.920013105761463</v>
      </c>
      <c r="FI30">
        <f t="shared" si="715"/>
        <v>56.044134102751492</v>
      </c>
      <c r="FJ30">
        <f t="shared" si="715"/>
        <v>56.167290367114589</v>
      </c>
      <c r="FK30">
        <f t="shared" si="715"/>
        <v>56.289460813280279</v>
      </c>
      <c r="FL30">
        <f t="shared" si="715"/>
        <v>56.410624543208073</v>
      </c>
      <c r="FM30">
        <f t="shared" si="715"/>
        <v>56.530760847924739</v>
      </c>
      <c r="FN30">
        <f t="shared" si="715"/>
        <v>56.649849209044952</v>
      </c>
      <c r="FO30">
        <f t="shared" si="715"/>
        <v>56.767869300275208</v>
      </c>
      <c r="FP30">
        <f t="shared" si="715"/>
        <v>56.884800988901048</v>
      </c>
      <c r="FQ30">
        <f t="shared" si="715"/>
        <v>57.00062433725742</v>
      </c>
      <c r="FR30">
        <f t="shared" si="715"/>
        <v>57.115319604182162</v>
      </c>
      <c r="FS30">
        <f t="shared" si="715"/>
        <v>57.228867246452538</v>
      </c>
      <c r="FT30">
        <f t="shared" si="715"/>
        <v>57.341247920204765</v>
      </c>
      <c r="FU30">
        <f t="shared" si="715"/>
        <v>57.452442482336387</v>
      </c>
      <c r="FV30">
        <f t="shared" si="715"/>
        <v>57.562431991891479</v>
      </c>
      <c r="FW30">
        <f t="shared" si="715"/>
        <v>57.671197711428576</v>
      </c>
      <c r="FX30">
        <f t="shared" si="715"/>
        <v>57.778721108371172</v>
      </c>
      <c r="FY30">
        <f t="shared" si="715"/>
        <v>57.88498385634081</v>
      </c>
      <c r="FZ30">
        <f t="shared" si="715"/>
        <v>57.98996783647253</v>
      </c>
      <c r="GA30">
        <f t="shared" si="715"/>
        <v>58.093655138712705</v>
      </c>
      <c r="GB30">
        <f t="shared" si="715"/>
        <v>58.196028063099064</v>
      </c>
      <c r="GC30">
        <f t="shared" si="715"/>
        <v>58.297069121022815</v>
      </c>
      <c r="GD30">
        <f t="shared" si="715"/>
        <v>58.396761036472832</v>
      </c>
      <c r="GE30">
        <f t="shared" si="715"/>
        <v>58.495086747261674</v>
      </c>
      <c r="GF30">
        <f t="shared" si="715"/>
        <v>58.592029406233436</v>
      </c>
      <c r="GG30">
        <f t="shared" si="715"/>
        <v>58.687572382453276</v>
      </c>
      <c r="GH30">
        <f t="shared" si="715"/>
        <v>58.781699262378453</v>
      </c>
      <c r="GI30">
        <f t="shared" si="715"/>
        <v>58.874393851010858</v>
      </c>
      <c r="GJ30">
        <f t="shared" si="715"/>
        <v>58.965640173030884</v>
      </c>
      <c r="GK30">
        <f t="shared" si="715"/>
        <v>59.055422473912444</v>
      </c>
      <c r="GL30">
        <f t="shared" si="715"/>
        <v>59.143725221019167</v>
      </c>
      <c r="GM30">
        <f t="shared" ref="GM30:IX30" si="716">(-GL45)*$K14*dt+GL30</f>
        <v>59.230533104681513</v>
      </c>
      <c r="GN30">
        <f t="shared" si="716"/>
        <v>59.315831039254775</v>
      </c>
      <c r="GO30">
        <f t="shared" si="716"/>
        <v>59.399604164157822</v>
      </c>
      <c r="GP30">
        <f t="shared" si="716"/>
        <v>59.481837844892461</v>
      </c>
      <c r="GQ30">
        <f t="shared" si="716"/>
        <v>59.562517674043335</v>
      </c>
      <c r="GR30">
        <f t="shared" si="716"/>
        <v>59.641629472258153</v>
      </c>
      <c r="GS30">
        <f t="shared" si="716"/>
        <v>59.719159289208271</v>
      </c>
      <c r="GT30">
        <f t="shared" si="716"/>
        <v>59.795093404529361</v>
      </c>
      <c r="GU30">
        <f t="shared" si="716"/>
        <v>59.869418328742142</v>
      </c>
      <c r="GV30">
        <f t="shared" si="716"/>
        <v>59.942120804153092</v>
      </c>
      <c r="GW30">
        <f t="shared" si="716"/>
        <v>60.013187805734859</v>
      </c>
      <c r="GX30">
        <f t="shared" si="716"/>
        <v>60.082606541986486</v>
      </c>
      <c r="GY30">
        <f t="shared" si="716"/>
        <v>60.150364455773122</v>
      </c>
      <c r="GZ30">
        <f t="shared" si="716"/>
        <v>60.21644922514529</v>
      </c>
      <c r="HA30">
        <f t="shared" si="716"/>
        <v>60.280848764137438</v>
      </c>
      <c r="HB30">
        <f t="shared" si="716"/>
        <v>60.343551223545802</v>
      </c>
      <c r="HC30">
        <f t="shared" si="716"/>
        <v>60.40454499168537</v>
      </c>
      <c r="HD30">
        <f t="shared" si="716"/>
        <v>60.463818695125916</v>
      </c>
      <c r="HE30">
        <f t="shared" si="716"/>
        <v>60.521361199406925</v>
      </c>
      <c r="HF30">
        <f t="shared" si="716"/>
        <v>60.577161609731377</v>
      </c>
      <c r="HG30">
        <f t="shared" si="716"/>
        <v>60.631209271638248</v>
      </c>
      <c r="HH30">
        <f t="shared" si="716"/>
        <v>60.683493771653616</v>
      </c>
      <c r="HI30">
        <f t="shared" si="716"/>
        <v>60.734004937920282</v>
      </c>
      <c r="HJ30">
        <f t="shared" si="716"/>
        <v>60.782732840805863</v>
      </c>
      <c r="HK30">
        <f t="shared" si="716"/>
        <v>60.829667793489158</v>
      </c>
      <c r="HL30">
        <f t="shared" si="716"/>
        <v>60.874800352524773</v>
      </c>
      <c r="HM30">
        <f t="shared" si="716"/>
        <v>60.918121318385886</v>
      </c>
      <c r="HN30">
        <f t="shared" si="716"/>
        <v>60.959621735985053</v>
      </c>
      <c r="HO30">
        <f t="shared" si="716"/>
        <v>60.999292895172985</v>
      </c>
      <c r="HP30">
        <f t="shared" si="716"/>
        <v>61.037126331215198</v>
      </c>
      <c r="HQ30">
        <f t="shared" si="716"/>
        <v>61.073113825246445</v>
      </c>
      <c r="HR30">
        <f t="shared" si="716"/>
        <v>61.107247404702861</v>
      </c>
      <c r="HS30">
        <f t="shared" si="716"/>
        <v>61.139519343731756</v>
      </c>
      <c r="HT30">
        <f t="shared" si="716"/>
        <v>61.169922163578896</v>
      </c>
      <c r="HU30">
        <f t="shared" si="716"/>
        <v>61.19844863295333</v>
      </c>
      <c r="HV30">
        <f t="shared" si="716"/>
        <v>61.225091768369573</v>
      </c>
      <c r="HW30">
        <f t="shared" si="716"/>
        <v>61.249844834467112</v>
      </c>
      <c r="HX30">
        <f t="shared" si="716"/>
        <v>61.272701344307208</v>
      </c>
      <c r="HY30">
        <f t="shared" si="716"/>
        <v>61.293655059646845</v>
      </c>
      <c r="HZ30">
        <f t="shared" si="716"/>
        <v>61.312699991189831</v>
      </c>
      <c r="IA30">
        <f t="shared" si="716"/>
        <v>61.329830398814956</v>
      </c>
      <c r="IB30">
        <f t="shared" si="716"/>
        <v>61.345040791781145</v>
      </c>
      <c r="IC30">
        <f t="shared" si="716"/>
        <v>61.358325928909579</v>
      </c>
      <c r="ID30">
        <f t="shared" si="716"/>
        <v>61.369680818742687</v>
      </c>
      <c r="IE30">
        <f t="shared" si="716"/>
        <v>61.379100719679997</v>
      </c>
      <c r="IF30">
        <f t="shared" si="716"/>
        <v>61.386581140090748</v>
      </c>
      <c r="IG30">
        <f t="shared" si="716"/>
        <v>61.392117838403259</v>
      </c>
      <c r="IH30">
        <f t="shared" si="716"/>
        <v>61.395706823171025</v>
      </c>
      <c r="II30">
        <f t="shared" si="716"/>
        <v>61.3973443531154</v>
      </c>
      <c r="IJ30">
        <f t="shared" si="716"/>
        <v>61.39702693714495</v>
      </c>
      <c r="IK30">
        <f t="shared" si="716"/>
        <v>61.394751334351369</v>
      </c>
      <c r="IL30">
        <f t="shared" si="716"/>
        <v>61.39051455398193</v>
      </c>
      <c r="IM30">
        <f t="shared" si="716"/>
        <v>61.384313855388463</v>
      </c>
      <c r="IN30">
        <f t="shared" si="716"/>
        <v>61.376146747952781</v>
      </c>
      <c r="IO30">
        <f t="shared" si="716"/>
        <v>61.366010990988592</v>
      </c>
      <c r="IP30">
        <f t="shared" si="716"/>
        <v>61.353904593619859</v>
      </c>
      <c r="IQ30">
        <f t="shared" si="716"/>
        <v>61.339825814635518</v>
      </c>
      <c r="IR30">
        <f t="shared" si="716"/>
        <v>61.323773162320606</v>
      </c>
      <c r="IS30">
        <f t="shared" si="716"/>
        <v>61.305745394263816</v>
      </c>
      <c r="IT30">
        <f t="shared" si="716"/>
        <v>61.285741517141318</v>
      </c>
      <c r="IU30">
        <f t="shared" si="716"/>
        <v>61.263760786477036</v>
      </c>
      <c r="IV30">
        <f t="shared" si="716"/>
        <v>61.23980270637918</v>
      </c>
      <c r="IW30">
        <f t="shared" si="716"/>
        <v>61.213867029253173</v>
      </c>
      <c r="IX30">
        <f t="shared" si="716"/>
        <v>61.185953755490907</v>
      </c>
      <c r="IY30">
        <f t="shared" ref="IY30:LJ30" si="717">(-IX45)*$K14*dt+IX30</f>
        <v>61.156063133136314</v>
      </c>
      <c r="IZ30">
        <f t="shared" si="717"/>
        <v>61.124195657527309</v>
      </c>
      <c r="JA30">
        <f t="shared" si="717"/>
        <v>61.090352070914051</v>
      </c>
      <c r="JB30">
        <f t="shared" si="717"/>
        <v>61.054533362053583</v>
      </c>
      <c r="JC30">
        <f t="shared" si="717"/>
        <v>61.016740765780824</v>
      </c>
      <c r="JD30">
        <f t="shared" si="717"/>
        <v>60.976975762555973</v>
      </c>
      <c r="JE30">
        <f t="shared" si="717"/>
        <v>60.935240077988261</v>
      </c>
      <c r="JF30">
        <f t="shared" si="717"/>
        <v>60.891535682336176</v>
      </c>
      <c r="JG30">
        <f t="shared" si="717"/>
        <v>60.845864789984091</v>
      </c>
      <c r="JH30">
        <f t="shared" si="717"/>
        <v>60.798229858895397</v>
      </c>
      <c r="JI30">
        <f t="shared" si="717"/>
        <v>60.748633590042104</v>
      </c>
      <c r="JJ30">
        <f t="shared" si="717"/>
        <v>60.697078926810967</v>
      </c>
      <c r="JK30">
        <f t="shared" si="717"/>
        <v>60.643569054386212</v>
      </c>
      <c r="JL30">
        <f t="shared" si="717"/>
        <v>60.588107399108807</v>
      </c>
      <c r="JM30">
        <f t="shared" si="717"/>
        <v>60.530697627812422</v>
      </c>
      <c r="JN30">
        <f t="shared" si="717"/>
        <v>60.471343647136024</v>
      </c>
      <c r="JO30">
        <f t="shared" si="717"/>
        <v>60.410049602813245</v>
      </c>
      <c r="JP30">
        <f t="shared" si="717"/>
        <v>60.346819878938476</v>
      </c>
      <c r="JQ30">
        <f t="shared" si="717"/>
        <v>60.281659097209825</v>
      </c>
      <c r="JR30">
        <f t="shared" si="717"/>
        <v>60.214572116148922</v>
      </c>
      <c r="JS30">
        <f t="shared" si="717"/>
        <v>60.145564030297678</v>
      </c>
      <c r="JT30">
        <f t="shared" si="717"/>
        <v>60.074640169392019</v>
      </c>
      <c r="JU30">
        <f t="shared" si="717"/>
        <v>60.001806097512713</v>
      </c>
      <c r="JV30">
        <f t="shared" si="717"/>
        <v>59.92706761221325</v>
      </c>
      <c r="JW30">
        <f t="shared" si="717"/>
        <v>59.850430743624969</v>
      </c>
      <c r="JX30">
        <f t="shared" si="717"/>
        <v>59.771901753539417</v>
      </c>
      <c r="JY30">
        <f t="shared" si="717"/>
        <v>59.691487134468019</v>
      </c>
      <c r="JZ30">
        <f t="shared" si="717"/>
        <v>59.609193608679199</v>
      </c>
      <c r="KA30">
        <f t="shared" si="717"/>
        <v>59.525028127212913</v>
      </c>
      <c r="KB30">
        <f t="shared" si="717"/>
        <v>59.438997868872832</v>
      </c>
      <c r="KC30">
        <f t="shared" si="717"/>
        <v>59.351110239196082</v>
      </c>
      <c r="KD30">
        <f t="shared" si="717"/>
        <v>59.261372869400788</v>
      </c>
      <c r="KE30">
        <f t="shared" si="717"/>
        <v>59.169793615311377</v>
      </c>
      <c r="KF30">
        <f t="shared" si="717"/>
        <v>59.07638055626186</v>
      </c>
      <c r="KG30">
        <f t="shared" si="717"/>
        <v>58.981141993977076</v>
      </c>
      <c r="KH30">
        <f t="shared" si="717"/>
        <v>58.884086451432026</v>
      </c>
      <c r="KI30">
        <f t="shared" si="717"/>
        <v>58.785222671689453</v>
      </c>
      <c r="KJ30">
        <f t="shared" si="717"/>
        <v>58.68455961671571</v>
      </c>
      <c r="KK30">
        <f t="shared" si="717"/>
        <v>58.582106466175027</v>
      </c>
      <c r="KL30">
        <f t="shared" si="717"/>
        <v>58.477872616202298</v>
      </c>
      <c r="KM30">
        <f t="shared" si="717"/>
        <v>58.371867678154494</v>
      </c>
      <c r="KN30">
        <f t="shared" si="717"/>
        <v>58.26410147734083</v>
      </c>
      <c r="KO30">
        <f t="shared" si="717"/>
        <v>58.15458405173176</v>
      </c>
      <c r="KP30">
        <f t="shared" si="717"/>
        <v>58.043325650646977</v>
      </c>
      <c r="KQ30">
        <f t="shared" si="717"/>
        <v>57.930336733422457</v>
      </c>
      <c r="KR30">
        <f t="shared" si="717"/>
        <v>57.815627968056759</v>
      </c>
      <c r="KS30">
        <f t="shared" si="717"/>
        <v>57.699210229836652</v>
      </c>
      <c r="KT30">
        <f t="shared" si="717"/>
        <v>57.581094599942176</v>
      </c>
      <c r="KU30">
        <f t="shared" si="717"/>
        <v>57.46129236403138</v>
      </c>
      <c r="KV30">
        <f t="shared" si="717"/>
        <v>57.339821557701455</v>
      </c>
      <c r="KW30">
        <f t="shared" si="717"/>
        <v>57.216714369617534</v>
      </c>
      <c r="KX30">
        <f t="shared" si="717"/>
        <v>57.092021830872035</v>
      </c>
      <c r="KY30">
        <f t="shared" si="717"/>
        <v>56.965815081953338</v>
      </c>
      <c r="KZ30">
        <f t="shared" si="717"/>
        <v>56.838183936413671</v>
      </c>
      <c r="LA30">
        <f t="shared" si="717"/>
        <v>56.709233814999436</v>
      </c>
      <c r="LB30">
        <f t="shared" si="717"/>
        <v>56.579081981228782</v>
      </c>
      <c r="LC30">
        <f t="shared" si="717"/>
        <v>56.447853724703286</v>
      </c>
      <c r="LD30">
        <f t="shared" si="717"/>
        <v>56.315678871860122</v>
      </c>
      <c r="LE30">
        <f t="shared" si="717"/>
        <v>56.182688805489278</v>
      </c>
      <c r="LF30">
        <f t="shared" si="717"/>
        <v>56.049014045383267</v>
      </c>
      <c r="LG30">
        <f t="shared" si="717"/>
        <v>55.914782367857242</v>
      </c>
      <c r="LH30">
        <f t="shared" si="717"/>
        <v>55.780117404527417</v>
      </c>
      <c r="LI30">
        <f t="shared" si="717"/>
        <v>55.645137646705543</v>
      </c>
      <c r="LJ30">
        <f t="shared" si="717"/>
        <v>55.509955781112147</v>
      </c>
      <c r="LK30">
        <f t="shared" ref="LK30:NV30" si="718">(-LJ45)*$K14*dt+LJ30</f>
        <v>55.374678288830125</v>
      </c>
      <c r="LL30">
        <f t="shared" si="718"/>
        <v>55.239405248542333</v>
      </c>
      <c r="LM30">
        <f t="shared" si="718"/>
        <v>55.104230294856379</v>
      </c>
      <c r="LN30">
        <f t="shared" si="718"/>
        <v>54.969240691730818</v>
      </c>
      <c r="LO30">
        <f t="shared" si="718"/>
        <v>54.834517489143636</v>
      </c>
      <c r="LP30">
        <f t="shared" si="718"/>
        <v>54.700135738020521</v>
      </c>
      <c r="LQ30">
        <f t="shared" si="718"/>
        <v>54.56616474409762</v>
      </c>
      <c r="LR30">
        <f t="shared" si="718"/>
        <v>54.432668345954895</v>
      </c>
      <c r="LS30">
        <f t="shared" si="718"/>
        <v>54.299705206078976</v>
      </c>
      <c r="LT30">
        <f t="shared" si="718"/>
        <v>54.167329106658549</v>
      </c>
      <c r="LU30">
        <f t="shared" si="718"/>
        <v>54.035589244026973</v>
      </c>
      <c r="LV30">
        <f t="shared" si="718"/>
        <v>53.904530517372841</v>
      </c>
      <c r="LW30">
        <f t="shared" si="718"/>
        <v>53.774193808645848</v>
      </c>
      <c r="LX30">
        <f t="shared" si="718"/>
        <v>53.644616251579194</v>
      </c>
      <c r="LY30">
        <f t="shared" si="718"/>
        <v>53.51583148850051</v>
      </c>
      <c r="LZ30">
        <f t="shared" si="718"/>
        <v>53.387869914165798</v>
      </c>
      <c r="MA30">
        <f t="shared" si="718"/>
        <v>53.260758906268933</v>
      </c>
      <c r="MB30">
        <f t="shared" si="718"/>
        <v>53.134523042586331</v>
      </c>
      <c r="MC30">
        <f t="shared" si="718"/>
        <v>53.009184304938657</v>
      </c>
      <c r="MD30">
        <f t="shared" si="718"/>
        <v>52.884762270309309</v>
      </c>
      <c r="ME30">
        <f t="shared" si="718"/>
        <v>52.761274289568505</v>
      </c>
      <c r="MF30">
        <f t="shared" si="718"/>
        <v>52.638735654323696</v>
      </c>
      <c r="MG30">
        <f t="shared" si="718"/>
        <v>52.517159752461474</v>
      </c>
      <c r="MH30">
        <f t="shared" si="718"/>
        <v>52.396558212969602</v>
      </c>
      <c r="MI30">
        <f t="shared" si="718"/>
        <v>52.276941040636089</v>
      </c>
      <c r="MJ30">
        <f t="shared" si="718"/>
        <v>52.158316741219075</v>
      </c>
      <c r="MK30">
        <f t="shared" si="718"/>
        <v>52.040692437670124</v>
      </c>
      <c r="ML30">
        <f t="shared" si="718"/>
        <v>51.924073977976448</v>
      </c>
      <c r="MM30">
        <f t="shared" si="718"/>
        <v>51.808466035166639</v>
      </c>
      <c r="MN30">
        <f t="shared" si="718"/>
        <v>51.693872200000889</v>
      </c>
      <c r="MO30">
        <f t="shared" si="718"/>
        <v>51.580295066841522</v>
      </c>
      <c r="MP30">
        <f t="shared" si="718"/>
        <v>51.467736313173702</v>
      </c>
      <c r="MQ30">
        <f t="shared" si="718"/>
        <v>51.356196773219992</v>
      </c>
      <c r="MR30">
        <f t="shared" si="718"/>
        <v>51.245676506066602</v>
      </c>
      <c r="MS30">
        <f t="shared" si="718"/>
        <v>51.136174858693572</v>
      </c>
      <c r="MT30">
        <f t="shared" si="718"/>
        <v>51.027690524276657</v>
      </c>
      <c r="MU30">
        <f t="shared" si="718"/>
        <v>50.920221596104859</v>
      </c>
      <c r="MV30">
        <f t="shared" si="718"/>
        <v>50.813765617434775</v>
      </c>
      <c r="MW30">
        <f t="shared" si="718"/>
        <v>50.708319627581368</v>
      </c>
      <c r="MX30">
        <f t="shared" si="718"/>
        <v>50.603880204524145</v>
      </c>
      <c r="MY30">
        <f t="shared" si="718"/>
        <v>50.500443504288448</v>
      </c>
      <c r="MZ30">
        <f t="shared" si="718"/>
        <v>50.398005297343033</v>
      </c>
      <c r="NA30">
        <f t="shared" si="718"/>
        <v>50.296561002238143</v>
      </c>
      <c r="NB30">
        <f t="shared" si="718"/>
        <v>50.19610571669191</v>
      </c>
      <c r="NC30">
        <f t="shared" si="718"/>
        <v>50.096634246318033</v>
      </c>
      <c r="ND30">
        <f t="shared" si="718"/>
        <v>49.998141131173305</v>
      </c>
      <c r="NE30">
        <f t="shared" si="718"/>
        <v>49.900620670290536</v>
      </c>
      <c r="NF30">
        <f t="shared" si="718"/>
        <v>49.804066944350019</v>
      </c>
      <c r="NG30">
        <f t="shared" si="718"/>
        <v>49.70847383663132</v>
      </c>
      <c r="NH30">
        <f t="shared" si="718"/>
        <v>49.613835052376352</v>
      </c>
      <c r="NI30">
        <f t="shared" si="718"/>
        <v>49.520144136685019</v>
      </c>
      <c r="NJ30">
        <f t="shared" si="718"/>
        <v>49.427394491055317</v>
      </c>
      <c r="NK30">
        <f t="shared" si="718"/>
        <v>49.335579388671349</v>
      </c>
      <c r="NL30">
        <f t="shared" si="718"/>
        <v>49.244691988534825</v>
      </c>
      <c r="NM30">
        <f t="shared" si="718"/>
        <v>49.154725348528196</v>
      </c>
      <c r="NN30">
        <f t="shared" si="718"/>
        <v>49.065672437490917</v>
      </c>
      <c r="NO30">
        <f t="shared" si="718"/>
        <v>48.977526146383916</v>
      </c>
      <c r="NP30">
        <f t="shared" si="718"/>
        <v>48.890279298611681</v>
      </c>
      <c r="NQ30">
        <f t="shared" si="718"/>
        <v>48.803924659565958</v>
      </c>
      <c r="NR30">
        <f t="shared" si="718"/>
        <v>48.718454945450013</v>
      </c>
      <c r="NS30">
        <f t="shared" si="718"/>
        <v>48.633862831438023</v>
      </c>
      <c r="NT30">
        <f t="shared" si="718"/>
        <v>48.550140959219739</v>
      </c>
      <c r="NU30">
        <f t="shared" si="718"/>
        <v>48.467281943976801</v>
      </c>
      <c r="NV30">
        <f t="shared" si="718"/>
        <v>48.385278380833384</v>
      </c>
      <c r="NW30">
        <f t="shared" ref="NW30:QH30" si="719">(-NV45)*$K14*dt+NV30</f>
        <v>48.304122850820697</v>
      </c>
      <c r="NX30">
        <f t="shared" si="719"/>
        <v>48.223807926391522</v>
      </c>
      <c r="NY30">
        <f t="shared" si="719"/>
        <v>48.14432617651849</v>
      </c>
      <c r="NZ30">
        <f t="shared" si="719"/>
        <v>48.065670171406936</v>
      </c>
      <c r="OA30">
        <f t="shared" si="719"/>
        <v>47.987832486850849</v>
      </c>
      <c r="OB30">
        <f t="shared" si="719"/>
        <v>47.91080570825833</v>
      </c>
      <c r="OC30">
        <f t="shared" si="719"/>
        <v>47.834582434370766</v>
      </c>
      <c r="OD30">
        <f t="shared" si="719"/>
        <v>47.759155280698174</v>
      </c>
      <c r="OE30">
        <f t="shared" si="719"/>
        <v>47.684516882691398</v>
      </c>
      <c r="OF30">
        <f t="shared" si="719"/>
        <v>47.610659898670249</v>
      </c>
      <c r="OG30">
        <f t="shared" si="719"/>
        <v>47.537577012525283</v>
      </c>
      <c r="OH30">
        <f t="shared" si="719"/>
        <v>47.46526093620939</v>
      </c>
      <c r="OI30">
        <f t="shared" si="719"/>
        <v>47.393704412034367</v>
      </c>
      <c r="OJ30">
        <f t="shared" si="719"/>
        <v>47.322900214786259</v>
      </c>
      <c r="OK30">
        <f t="shared" si="719"/>
        <v>47.252841153672414</v>
      </c>
      <c r="OL30">
        <f t="shared" si="719"/>
        <v>47.183520074112081</v>
      </c>
      <c r="OM30">
        <f t="shared" si="719"/>
        <v>47.114929859381505</v>
      </c>
      <c r="ON30">
        <f t="shared" si="719"/>
        <v>47.04706343212375</v>
      </c>
      <c r="OO30">
        <f t="shared" si="719"/>
        <v>46.979913755732603</v>
      </c>
      <c r="OP30">
        <f t="shared" si="719"/>
        <v>46.913473835619271</v>
      </c>
      <c r="OQ30">
        <f t="shared" si="719"/>
        <v>46.84773672036993</v>
      </c>
      <c r="OR30">
        <f t="shared" si="719"/>
        <v>46.782695502801616</v>
      </c>
      <c r="OS30">
        <f t="shared" si="719"/>
        <v>46.718343320923331</v>
      </c>
      <c r="OT30">
        <f t="shared" si="719"/>
        <v>46.654673358808822</v>
      </c>
      <c r="OU30">
        <f t="shared" si="719"/>
        <v>46.591678847386937</v>
      </c>
      <c r="OV30">
        <f t="shared" si="719"/>
        <v>46.529353065155156</v>
      </c>
      <c r="OW30">
        <f t="shared" si="719"/>
        <v>46.467689338821344</v>
      </c>
      <c r="OX30">
        <f t="shared" si="719"/>
        <v>46.406681043878507</v>
      </c>
      <c r="OY30">
        <f t="shared" si="719"/>
        <v>46.346321605116998</v>
      </c>
      <c r="OZ30">
        <f t="shared" si="719"/>
        <v>46.286604497078301</v>
      </c>
      <c r="PA30">
        <f t="shared" si="719"/>
        <v>46.22752324445414</v>
      </c>
      <c r="PB30">
        <f t="shared" si="719"/>
        <v>46.169071422434556</v>
      </c>
      <c r="PC30">
        <f t="shared" si="719"/>
        <v>46.111242657008233</v>
      </c>
      <c r="PD30">
        <f t="shared" si="719"/>
        <v>46.054030625218175</v>
      </c>
      <c r="PE30">
        <f t="shared" si="719"/>
        <v>45.997429055375569</v>
      </c>
      <c r="PF30">
        <f t="shared" si="719"/>
        <v>45.941431727234594</v>
      </c>
      <c r="PG30">
        <f t="shared" si="719"/>
        <v>45.88603247213063</v>
      </c>
      <c r="PH30">
        <f t="shared" si="719"/>
        <v>45.831225173084192</v>
      </c>
      <c r="PI30">
        <f t="shared" si="719"/>
        <v>45.777003764872852</v>
      </c>
      <c r="PJ30">
        <f t="shared" si="719"/>
        <v>45.723362234073079</v>
      </c>
      <c r="PK30">
        <f t="shared" si="719"/>
        <v>45.670294619074021</v>
      </c>
      <c r="PL30">
        <f t="shared" si="719"/>
        <v>45.617795010064953</v>
      </c>
      <c r="PM30">
        <f t="shared" si="719"/>
        <v>45.565857548998054</v>
      </c>
      <c r="PN30">
        <f t="shared" si="719"/>
        <v>45.514476429528131</v>
      </c>
      <c r="PO30">
        <f t="shared" si="719"/>
        <v>45.463645896930736</v>
      </c>
      <c r="PP30">
        <f t="shared" si="719"/>
        <v>45.413360248000011</v>
      </c>
      <c r="PQ30">
        <f t="shared" si="719"/>
        <v>45.363613830927669</v>
      </c>
      <c r="PR30">
        <f t="shared" si="719"/>
        <v>45.314401045164182</v>
      </c>
      <c r="PS30">
        <f t="shared" si="719"/>
        <v>45.265716341263435</v>
      </c>
      <c r="PT30">
        <f t="shared" si="719"/>
        <v>45.217554220711826</v>
      </c>
      <c r="PU30">
        <f t="shared" si="719"/>
        <v>45.169909235742935</v>
      </c>
      <c r="PV30">
        <f t="shared" si="719"/>
        <v>45.122775989138567</v>
      </c>
      <c r="PW30">
        <f t="shared" si="719"/>
        <v>45.076149134017193</v>
      </c>
      <c r="PX30">
        <f t="shared" si="719"/>
        <v>45.030023373610526</v>
      </c>
      <c r="PY30">
        <f t="shared" si="719"/>
        <v>44.984393461029136</v>
      </c>
      <c r="PZ30">
        <f t="shared" si="719"/>
        <v>44.939254199017697</v>
      </c>
      <c r="QA30">
        <f t="shared" si="719"/>
        <v>44.89460043970076</v>
      </c>
      <c r="QB30">
        <f t="shared" si="719"/>
        <v>44.850427084319527</v>
      </c>
      <c r="QC30">
        <f t="shared" si="719"/>
        <v>44.806729082960423</v>
      </c>
      <c r="QD30">
        <f t="shared" si="719"/>
        <v>44.763501434275909</v>
      </c>
      <c r="QE30">
        <f t="shared" si="719"/>
        <v>44.720739185198205</v>
      </c>
      <c r="QF30">
        <f t="shared" si="719"/>
        <v>44.678437430646412</v>
      </c>
      <c r="QG30">
        <f t="shared" si="719"/>
        <v>44.63659131322752</v>
      </c>
      <c r="QH30">
        <f t="shared" si="719"/>
        <v>44.595196022931759</v>
      </c>
      <c r="QI30">
        <f t="shared" ref="QI30:ST30" si="720">(-QH45)*$K14*dt+QH30</f>
        <v>44.554246796822845</v>
      </c>
      <c r="QJ30">
        <f t="shared" si="720"/>
        <v>44.513738918723377</v>
      </c>
      <c r="QK30">
        <f t="shared" si="720"/>
        <v>44.473667718895932</v>
      </c>
      <c r="QL30">
        <f t="shared" si="720"/>
        <v>44.434028573720155</v>
      </c>
      <c r="QM30">
        <f t="shared" si="720"/>
        <v>44.394816905366248</v>
      </c>
      <c r="QN30">
        <f t="shared" si="720"/>
        <v>44.35602818146512</v>
      </c>
      <c r="QO30">
        <f t="shared" si="720"/>
        <v>44.317657914775666</v>
      </c>
      <c r="QP30">
        <f t="shared" si="720"/>
        <v>44.279701662849277</v>
      </c>
      <c r="QQ30">
        <f t="shared" si="720"/>
        <v>44.2421550276921</v>
      </c>
      <c r="QR30">
        <f t="shared" si="720"/>
        <v>44.205013655425098</v>
      </c>
      <c r="QS30">
        <f t="shared" si="720"/>
        <v>44.168273235942337</v>
      </c>
      <c r="QT30">
        <f t="shared" si="720"/>
        <v>44.131929502567658</v>
      </c>
      <c r="QU30">
        <f t="shared" si="720"/>
        <v>44.095978231710006</v>
      </c>
      <c r="QV30">
        <f t="shared" si="720"/>
        <v>44.060415242517593</v>
      </c>
      <c r="QW30">
        <f t="shared" si="720"/>
        <v>44.02523639653117</v>
      </c>
      <c r="QX30">
        <f t="shared" si="720"/>
        <v>43.99043759733653</v>
      </c>
      <c r="QY30">
        <f t="shared" si="720"/>
        <v>43.956014790216507</v>
      </c>
      <c r="QZ30">
        <f t="shared" si="720"/>
        <v>43.921963961802568</v>
      </c>
      <c r="RA30">
        <f t="shared" si="720"/>
        <v>43.888281139726232</v>
      </c>
      <c r="RB30">
        <f t="shared" si="720"/>
        <v>43.854962392270473</v>
      </c>
      <c r="RC30">
        <f t="shared" si="720"/>
        <v>43.822003828021174</v>
      </c>
      <c r="RD30">
        <f t="shared" si="720"/>
        <v>43.78940159551891</v>
      </c>
      <c r="RE30">
        <f t="shared" si="720"/>
        <v>43.757151882911074</v>
      </c>
      <c r="RF30">
        <f t="shared" si="720"/>
        <v>43.725250917604534</v>
      </c>
      <c r="RG30">
        <f t="shared" si="720"/>
        <v>43.693694965918958</v>
      </c>
      <c r="RH30">
        <f t="shared" si="720"/>
        <v>43.662480332740856</v>
      </c>
      <c r="RI30">
        <f t="shared" si="720"/>
        <v>43.631603361178513</v>
      </c>
      <c r="RJ30">
        <f t="shared" si="720"/>
        <v>43.601060432217885</v>
      </c>
      <c r="RK30">
        <f t="shared" si="720"/>
        <v>43.570847964379546</v>
      </c>
      <c r="RL30">
        <f t="shared" si="720"/>
        <v>43.540962413376811</v>
      </c>
      <c r="RM30">
        <f t="shared" si="720"/>
        <v>43.511400271775102</v>
      </c>
      <c r="RN30">
        <f t="shared" si="720"/>
        <v>43.482158068652609</v>
      </c>
      <c r="RO30">
        <f t="shared" si="720"/>
        <v>43.453232369262373</v>
      </c>
      <c r="RP30">
        <f t="shared" si="720"/>
        <v>43.424619774695863</v>
      </c>
      <c r="RQ30">
        <f t="shared" si="720"/>
        <v>43.396316921548021</v>
      </c>
      <c r="RR30">
        <f t="shared" si="720"/>
        <v>43.368320481584</v>
      </c>
      <c r="RS30">
        <f t="shared" si="720"/>
        <v>43.340627161407511</v>
      </c>
      <c r="RT30">
        <f t="shared" si="720"/>
        <v>43.313233702130887</v>
      </c>
      <c r="RU30">
        <f t="shared" si="720"/>
        <v>43.286136879046971</v>
      </c>
      <c r="RV30">
        <f t="shared" si="720"/>
        <v>43.259333501302763</v>
      </c>
      <c r="RW30">
        <f t="shared" si="720"/>
        <v>43.23282041157497</v>
      </c>
      <c r="RX30">
        <f t="shared" si="720"/>
        <v>43.206594485747466</v>
      </c>
      <c r="RY30">
        <f t="shared" si="720"/>
        <v>43.1806526325907</v>
      </c>
      <c r="RZ30">
        <f t="shared" si="720"/>
        <v>43.154991793443095</v>
      </c>
      <c r="SA30">
        <f t="shared" si="720"/>
        <v>43.12960894189446</v>
      </c>
      <c r="SB30">
        <f t="shared" si="720"/>
        <v>43.104501083471469</v>
      </c>
      <c r="SC30">
        <f t="shared" si="720"/>
        <v>43.079665255325239</v>
      </c>
      <c r="SD30">
        <f t="shared" si="720"/>
        <v>43.055098525920968</v>
      </c>
      <c r="SE30">
        <f t="shared" si="720"/>
        <v>43.030797994729788</v>
      </c>
      <c r="SF30">
        <f t="shared" si="720"/>
        <v>43.006760791922709</v>
      </c>
      <c r="SG30">
        <f t="shared" si="720"/>
        <v>42.982984078066799</v>
      </c>
      <c r="SH30">
        <f t="shared" si="720"/>
        <v>42.959465043823521</v>
      </c>
      <c r="SI30">
        <f t="shared" si="720"/>
        <v>42.936200909649308</v>
      </c>
      <c r="SJ30">
        <f t="shared" si="720"/>
        <v>42.913188925498396</v>
      </c>
      <c r="SK30">
        <f t="shared" si="720"/>
        <v>42.890426370527855</v>
      </c>
      <c r="SL30">
        <f t="shared" si="720"/>
        <v>42.867910552804922</v>
      </c>
      <c r="SM30">
        <f t="shared" si="720"/>
        <v>42.845638809016577</v>
      </c>
      <c r="SN30">
        <f t="shared" si="720"/>
        <v>42.823608504181422</v>
      </c>
      <c r="SO30">
        <f t="shared" si="720"/>
        <v>42.801817031363825</v>
      </c>
      <c r="SP30">
        <f t="shared" si="720"/>
        <v>42.780261811390368</v>
      </c>
      <c r="SQ30">
        <f t="shared" si="720"/>
        <v>42.758940292568624</v>
      </c>
      <c r="SR30">
        <f t="shared" si="720"/>
        <v>42.737849950408169</v>
      </c>
      <c r="SS30">
        <f t="shared" si="720"/>
        <v>42.716988287343973</v>
      </c>
      <c r="ST30">
        <f t="shared" si="720"/>
        <v>42.696352832462054</v>
      </c>
      <c r="SU30">
        <f t="shared" ref="SU30:VF30" si="721">(-ST45)*$K14*dt+ST30</f>
        <v>42.675941141227462</v>
      </c>
      <c r="SV30">
        <f t="shared" si="721"/>
        <v>42.655750795214551</v>
      </c>
      <c r="SW30">
        <f t="shared" si="721"/>
        <v>42.635779401839599</v>
      </c>
      <c r="SX30">
        <f t="shared" si="721"/>
        <v>42.616024594095684</v>
      </c>
      <c r="SY30">
        <f t="shared" si="721"/>
        <v>42.596484030289908</v>
      </c>
      <c r="SZ30">
        <f t="shared" si="721"/>
        <v>42.577155393782881</v>
      </c>
      <c r="TA30">
        <f t="shared" si="721"/>
        <v>42.55803639273055</v>
      </c>
      <c r="TB30">
        <f t="shared" si="721"/>
        <v>42.539124759828255</v>
      </c>
      <c r="TC30">
        <f t="shared" si="721"/>
        <v>42.520418252057134</v>
      </c>
      <c r="TD30">
        <f t="shared" si="721"/>
        <v>42.501914650432745</v>
      </c>
      <c r="TE30">
        <f t="shared" si="721"/>
        <v>42.48361175975603</v>
      </c>
      <c r="TF30">
        <f t="shared" si="721"/>
        <v>42.465507408366456</v>
      </c>
      <c r="TG30">
        <f t="shared" si="721"/>
        <v>42.447599447897488</v>
      </c>
      <c r="TH30">
        <f t="shared" si="721"/>
        <v>42.429885753034277</v>
      </c>
      <c r="TI30">
        <f t="shared" si="721"/>
        <v>42.412364221273563</v>
      </c>
      <c r="TJ30">
        <f t="shared" si="721"/>
        <v>42.395032772685852</v>
      </c>
      <c r="TK30">
        <f t="shared" si="721"/>
        <v>42.377889349679783</v>
      </c>
      <c r="TL30">
        <f t="shared" si="721"/>
        <v>42.360931916768699</v>
      </c>
      <c r="TM30">
        <f t="shared" si="721"/>
        <v>42.344158460339415</v>
      </c>
      <c r="TN30">
        <f t="shared" si="721"/>
        <v>42.3275669884232</v>
      </c>
      <c r="TO30">
        <f t="shared" si="721"/>
        <v>42.311155530468888</v>
      </c>
      <c r="TP30">
        <f t="shared" si="721"/>
        <v>42.294922137118185</v>
      </c>
      <c r="TQ30">
        <f t="shared" si="721"/>
        <v>42.278864879983097</v>
      </c>
      <c r="TR30">
        <f t="shared" si="721"/>
        <v>42.262981851425515</v>
      </c>
      <c r="TS30">
        <f t="shared" si="721"/>
        <v>42.247271164338926</v>
      </c>
      <c r="TT30">
        <f t="shared" si="721"/>
        <v>42.231730951932214</v>
      </c>
      <c r="TU30">
        <f t="shared" si="721"/>
        <v>42.216359367515572</v>
      </c>
      <c r="TV30">
        <f t="shared" si="721"/>
        <v>42.201154584288517</v>
      </c>
      <c r="TW30">
        <f t="shared" si="721"/>
        <v>42.18611479512991</v>
      </c>
      <c r="TX30">
        <f t="shared" si="721"/>
        <v>42.171238212390115</v>
      </c>
      <c r="TY30">
        <f t="shared" si="721"/>
        <v>42.156523067685143</v>
      </c>
      <c r="TZ30">
        <f t="shared" si="721"/>
        <v>42.141967611692841</v>
      </c>
      <c r="UA30">
        <f t="shared" si="721"/>
        <v>42.127570113951116</v>
      </c>
      <c r="UB30">
        <f t="shared" si="721"/>
        <v>42.113328862658122</v>
      </c>
      <c r="UC30">
        <f t="shared" si="721"/>
        <v>42.099242164474433</v>
      </c>
      <c r="UD30">
        <f t="shared" si="721"/>
        <v>42.085308344327231</v>
      </c>
      <c r="UE30">
        <f t="shared" si="721"/>
        <v>42.071525745216391</v>
      </c>
      <c r="UF30">
        <f t="shared" si="721"/>
        <v>42.057892728022559</v>
      </c>
      <c r="UG30">
        <f t="shared" si="721"/>
        <v>42.04440767131711</v>
      </c>
      <c r="UH30">
        <f t="shared" si="721"/>
        <v>42.031068971174044</v>
      </c>
      <c r="UI30">
        <f t="shared" si="721"/>
        <v>42.017875040983768</v>
      </c>
      <c r="UJ30">
        <f t="shared" si="721"/>
        <v>42.004824311268756</v>
      </c>
      <c r="UK30">
        <f t="shared" si="721"/>
        <v>41.991915229501075</v>
      </c>
      <c r="UL30">
        <f t="shared" si="721"/>
        <v>41.979146259921784</v>
      </c>
      <c r="UM30">
        <f t="shared" si="721"/>
        <v>41.966515883362121</v>
      </c>
      <c r="UN30">
        <f t="shared" si="721"/>
        <v>41.954022597066533</v>
      </c>
      <c r="UO30">
        <f t="shared" si="721"/>
        <v>41.941664914517546</v>
      </c>
      <c r="UP30">
        <f t="shared" si="721"/>
        <v>41.929441365262335</v>
      </c>
      <c r="UQ30">
        <f t="shared" si="721"/>
        <v>41.917350494741179</v>
      </c>
      <c r="UR30">
        <f t="shared" si="721"/>
        <v>41.905390864117578</v>
      </c>
      <c r="US30">
        <f t="shared" si="721"/>
        <v>41.893561050110165</v>
      </c>
      <c r="UT30">
        <f t="shared" si="721"/>
        <v>41.881859644826328</v>
      </c>
      <c r="UU30">
        <f t="shared" si="721"/>
        <v>41.870285255597572</v>
      </c>
      <c r="UV30">
        <f t="shared" si="721"/>
        <v>41.858836504816516</v>
      </c>
      <c r="UW30">
        <f t="shared" si="721"/>
        <v>41.847512029775658</v>
      </c>
      <c r="UX30">
        <f t="shared" si="721"/>
        <v>41.836310482507734</v>
      </c>
      <c r="UY30">
        <f t="shared" si="721"/>
        <v>41.825230529627767</v>
      </c>
      <c r="UZ30">
        <f t="shared" si="721"/>
        <v>41.814270852176747</v>
      </c>
      <c r="VA30">
        <f t="shared" si="721"/>
        <v>41.803430145466926</v>
      </c>
      <c r="VB30">
        <f t="shared" si="721"/>
        <v>41.792707118928732</v>
      </c>
      <c r="VC30">
        <f t="shared" si="721"/>
        <v>41.78210049595927</v>
      </c>
      <c r="VD30">
        <f t="shared" si="721"/>
        <v>41.771609013772391</v>
      </c>
      <c r="VE30">
        <f t="shared" si="721"/>
        <v>41.761231423250358</v>
      </c>
      <c r="VF30">
        <f t="shared" si="721"/>
        <v>41.750966488797019</v>
      </c>
      <c r="VG30">
        <f t="shared" ref="VG30:XR30" si="722">(-VF45)*$K14*dt+VF30</f>
        <v>41.740812988192545</v>
      </c>
      <c r="VH30">
        <f t="shared" si="722"/>
        <v>41.730769712449657</v>
      </c>
      <c r="VI30">
        <f t="shared" si="722"/>
        <v>41.720835465671414</v>
      </c>
      <c r="VJ30">
        <f t="shared" si="722"/>
        <v>41.711009064910421</v>
      </c>
      <c r="VK30">
        <f t="shared" si="722"/>
        <v>41.701289340029575</v>
      </c>
      <c r="VL30">
        <f t="shared" si="722"/>
        <v>41.691675133564239</v>
      </c>
      <c r="VM30">
        <f t="shared" si="722"/>
        <v>41.682165300585872</v>
      </c>
      <c r="VN30">
        <f t="shared" si="722"/>
        <v>41.672758708567102</v>
      </c>
      <c r="VO30">
        <f t="shared" si="722"/>
        <v>41.663454237248217</v>
      </c>
      <c r="VP30">
        <f t="shared" si="722"/>
        <v>41.654250778505059</v>
      </c>
      <c r="VQ30">
        <f t="shared" si="722"/>
        <v>41.645147236218307</v>
      </c>
      <c r="VR30">
        <f t="shared" si="722"/>
        <v>41.636142526144162</v>
      </c>
      <c r="VS30">
        <f t="shared" si="722"/>
        <v>41.627235575786372</v>
      </c>
      <c r="VT30">
        <f t="shared" si="722"/>
        <v>41.618425324269623</v>
      </c>
      <c r="VU30">
        <f t="shared" si="722"/>
        <v>41.609710722214274</v>
      </c>
      <c r="VV30">
        <f t="shared" si="722"/>
        <v>41.601090731612395</v>
      </c>
      <c r="VW30">
        <f t="shared" si="722"/>
        <v>41.592564325705155</v>
      </c>
      <c r="VX30">
        <f t="shared" si="722"/>
        <v>41.58413048886149</v>
      </c>
      <c r="VY30">
        <f t="shared" si="722"/>
        <v>41.575788216458044</v>
      </c>
      <c r="VZ30">
        <f t="shared" si="722"/>
        <v>41.567536514760413</v>
      </c>
      <c r="WA30">
        <f t="shared" si="722"/>
        <v>41.559374400805631</v>
      </c>
      <c r="WB30">
        <f t="shared" si="722"/>
        <v>41.551300902285917</v>
      </c>
      <c r="WC30">
        <f t="shared" si="722"/>
        <v>41.543315057433631</v>
      </c>
      <c r="WD30">
        <f t="shared" si="722"/>
        <v>41.535415914907517</v>
      </c>
      <c r="WE30">
        <f t="shared" si="722"/>
        <v>41.527602533680074</v>
      </c>
      <c r="WF30">
        <f t="shared" si="722"/>
        <v>41.519873982926185</v>
      </c>
      <c r="WG30">
        <f t="shared" si="722"/>
        <v>41.512229341912928</v>
      </c>
      <c r="WH30">
        <f t="shared" si="722"/>
        <v>41.504667699890533</v>
      </c>
      <c r="WI30">
        <f t="shared" si="722"/>
        <v>41.497188155984524</v>
      </c>
      <c r="WJ30">
        <f t="shared" si="722"/>
        <v>41.489796365985804</v>
      </c>
      <c r="WK30">
        <f t="shared" si="722"/>
        <v>41.48251194682954</v>
      </c>
      <c r="WL30">
        <f t="shared" si="722"/>
        <v>41.475373167325813</v>
      </c>
      <c r="WM30">
        <f t="shared" si="722"/>
        <v>41.468438216520568</v>
      </c>
      <c r="WN30">
        <f t="shared" si="722"/>
        <v>41.461783768776549</v>
      </c>
      <c r="WO30">
        <f t="shared" si="722"/>
        <v>41.455501919337387</v>
      </c>
      <c r="WP30">
        <f t="shared" si="722"/>
        <v>41.449696421359405</v>
      </c>
      <c r="WQ30">
        <f t="shared" si="722"/>
        <v>41.444478870697935</v>
      </c>
      <c r="WR30">
        <f t="shared" si="722"/>
        <v>41.439965218154249</v>
      </c>
      <c r="WS30">
        <f t="shared" si="722"/>
        <v>41.43627279050758</v>
      </c>
      <c r="WT30">
        <f t="shared" si="722"/>
        <v>41.433517872699525</v>
      </c>
      <c r="WU30">
        <f t="shared" si="722"/>
        <v>41.431813828908481</v>
      </c>
      <c r="WV30">
        <f t="shared" si="722"/>
        <v>41.431269702901943</v>
      </c>
      <c r="WW30">
        <f t="shared" si="722"/>
        <v>41.431989224024157</v>
      </c>
      <c r="WX30">
        <f t="shared" si="722"/>
        <v>41.434070144521755</v>
      </c>
      <c r="WY30">
        <f t="shared" si="722"/>
        <v>41.437603840128695</v>
      </c>
      <c r="WZ30">
        <f t="shared" si="722"/>
        <v>41.442675114954007</v>
      </c>
      <c r="XA30">
        <f t="shared" si="722"/>
        <v>41.449362161475371</v>
      </c>
      <c r="XB30">
        <f t="shared" si="722"/>
        <v>41.457736635652537</v>
      </c>
      <c r="XC30">
        <f t="shared" si="722"/>
        <v>41.467863815301321</v>
      </c>
      <c r="XD30">
        <f t="shared" si="722"/>
        <v>41.479802816745391</v>
      </c>
      <c r="XE30">
        <f t="shared" si="722"/>
        <v>41.493606850420498</v>
      </c>
      <c r="XF30">
        <f t="shared" si="722"/>
        <v>41.50932350066693</v>
      </c>
      <c r="XG30">
        <f t="shared" si="722"/>
        <v>41.526995018568975</v>
      </c>
      <c r="XH30">
        <f t="shared" si="722"/>
        <v>41.546658619544246</v>
      </c>
      <c r="XI30">
        <f t="shared" si="722"/>
        <v>41.568346779597292</v>
      </c>
      <c r="XJ30">
        <f t="shared" si="722"/>
        <v>41.592087525858069</v>
      </c>
      <c r="XK30">
        <f t="shared" si="722"/>
        <v>41.61790471833244</v>
      </c>
      <c r="XL30">
        <f t="shared" si="722"/>
        <v>41.645818320785686</v>
      </c>
      <c r="XM30">
        <f t="shared" si="722"/>
        <v>41.675844659430837</v>
      </c>
      <c r="XN30">
        <f t="shared" si="722"/>
        <v>41.707996668656094</v>
      </c>
      <c r="XO30">
        <f t="shared" si="722"/>
        <v>41.74228412344371</v>
      </c>
      <c r="XP30">
        <f t="shared" si="722"/>
        <v>41.778713858439694</v>
      </c>
      <c r="XQ30">
        <f t="shared" si="722"/>
        <v>41.817289973855999</v>
      </c>
      <c r="XR30">
        <f t="shared" si="722"/>
        <v>41.858014028544773</v>
      </c>
      <c r="XS30">
        <f t="shared" ref="XS30:AAD30" si="723">(-XR45)*$K14*dt+XR30</f>
        <v>41.900885220693176</v>
      </c>
      <c r="XT30">
        <f t="shared" si="723"/>
        <v>41.945900556659389</v>
      </c>
      <c r="XU30">
        <f t="shared" si="723"/>
        <v>41.993055008514659</v>
      </c>
      <c r="XV30">
        <f t="shared" si="723"/>
        <v>42.042341660879906</v>
      </c>
      <c r="XW30">
        <f t="shared" si="723"/>
        <v>42.093751847653465</v>
      </c>
      <c r="XX30">
        <f t="shared" si="723"/>
        <v>42.147275279223599</v>
      </c>
      <c r="XY30">
        <f t="shared" si="723"/>
        <v>42.202900160748101</v>
      </c>
      <c r="XZ30">
        <f t="shared" si="723"/>
        <v>42.260613302066325</v>
      </c>
      <c r="YA30">
        <f t="shared" si="723"/>
        <v>42.32040021978797</v>
      </c>
      <c r="YB30">
        <f t="shared" si="723"/>
        <v>42.382245232079356</v>
      </c>
      <c r="YC30">
        <f t="shared" si="723"/>
        <v>42.446131546642825</v>
      </c>
      <c r="YD30">
        <f t="shared" si="723"/>
        <v>42.51204134235887</v>
      </c>
      <c r="YE30">
        <f t="shared" si="723"/>
        <v>42.579955845034434</v>
      </c>
      <c r="YF30">
        <f t="shared" si="723"/>
        <v>42.649855397674983</v>
      </c>
      <c r="YG30">
        <f t="shared" si="723"/>
        <v>42.721719525672391</v>
      </c>
      <c r="YH30">
        <f t="shared" si="723"/>
        <v>42.795526997276127</v>
      </c>
      <c r="YI30">
        <f t="shared" si="723"/>
        <v>42.871255879691482</v>
      </c>
      <c r="YJ30">
        <f t="shared" si="723"/>
        <v>42.948883591125728</v>
      </c>
      <c r="YK30">
        <f t="shared" si="723"/>
        <v>43.0283869490816</v>
      </c>
      <c r="YL30">
        <f t="shared" si="723"/>
        <v>43.109742215176922</v>
      </c>
      <c r="YM30">
        <f t="shared" si="723"/>
        <v>43.192925136749615</v>
      </c>
      <c r="YN30">
        <f t="shared" si="723"/>
        <v>43.277910985489299</v>
      </c>
      <c r="YO30">
        <f t="shared" si="723"/>
        <v>43.364674593319215</v>
      </c>
      <c r="YP30">
        <f t="shared" si="723"/>
        <v>43.453190385736214</v>
      </c>
      <c r="YQ30">
        <f t="shared" si="723"/>
        <v>43.543432412801437</v>
      </c>
      <c r="YR30">
        <f t="shared" si="723"/>
        <v>43.635374377960005</v>
      </c>
      <c r="YS30">
        <f t="shared" si="723"/>
        <v>43.728989664855042</v>
      </c>
      <c r="YT30">
        <f t="shared" si="723"/>
        <v>43.824251362288969</v>
      </c>
      <c r="YU30">
        <f t="shared" si="723"/>
        <v>43.921132287473462</v>
      </c>
      <c r="YV30">
        <f t="shared" si="723"/>
        <v>44.019605007698964</v>
      </c>
      <c r="YW30">
        <f t="shared" si="723"/>
        <v>44.119641860544618</v>
      </c>
      <c r="YX30">
        <f t="shared" si="723"/>
        <v>44.221214972740377</v>
      </c>
      <c r="YY30">
        <f t="shared" si="723"/>
        <v>44.324296277784413</v>
      </c>
      <c r="YZ30">
        <f t="shared" si="723"/>
        <v>44.428857532411165</v>
      </c>
      <c r="ZA30">
        <f t="shared" si="723"/>
        <v>44.534870331997972</v>
      </c>
      <c r="ZB30">
        <f t="shared" si="723"/>
        <v>44.642306124991386</v>
      </c>
      <c r="ZC30">
        <f t="shared" si="723"/>
        <v>44.751136226428173</v>
      </c>
      <c r="ZD30">
        <f t="shared" si="723"/>
        <v>44.861331830620024</v>
      </c>
      <c r="ZE30">
        <f t="shared" si="723"/>
        <v>44.972864023065718</v>
      </c>
      <c r="ZF30">
        <f t="shared" si="723"/>
        <v>45.085703791649486</v>
      </c>
      <c r="ZG30">
        <f t="shared" si="723"/>
        <v>45.199822037179842</v>
      </c>
      <c r="ZH30">
        <f t="shared" si="723"/>
        <v>45.315189583318791</v>
      </c>
      <c r="ZI30">
        <f t="shared" si="723"/>
        <v>45.431777185947453</v>
      </c>
      <c r="ZJ30">
        <f t="shared" si="723"/>
        <v>45.54955554201068</v>
      </c>
      <c r="ZK30">
        <f t="shared" si="723"/>
        <v>45.668495297879694</v>
      </c>
      <c r="ZL30">
        <f t="shared" si="723"/>
        <v>45.788567057268942</v>
      </c>
      <c r="ZM30">
        <f t="shared" si="723"/>
        <v>45.90974138874035</v>
      </c>
      <c r="ZN30">
        <f t="shared" si="723"/>
        <v>46.031988832825689</v>
      </c>
      <c r="ZO30">
        <f t="shared" si="723"/>
        <v>46.155279908795336</v>
      </c>
      <c r="ZP30">
        <f t="shared" si="723"/>
        <v>46.27958512109943</v>
      </c>
      <c r="ZQ30">
        <f t="shared" si="723"/>
        <v>46.404874965505513</v>
      </c>
      <c r="ZR30">
        <f t="shared" si="723"/>
        <v>46.531119934954795</v>
      </c>
      <c r="ZS30">
        <f t="shared" si="723"/>
        <v>46.658290525157412</v>
      </c>
      <c r="ZT30">
        <f t="shared" si="723"/>
        <v>46.78635723994558</v>
      </c>
      <c r="ZU30">
        <f t="shared" si="723"/>
        <v>46.915290596401995</v>
      </c>
      <c r="ZV30">
        <f t="shared" si="723"/>
        <v>47.045061129779484</v>
      </c>
      <c r="ZW30">
        <f t="shared" si="723"/>
        <v>47.175639398226679</v>
      </c>
      <c r="ZX30">
        <f t="shared" si="723"/>
        <v>47.30699598733338</v>
      </c>
      <c r="ZY30">
        <f t="shared" si="723"/>
        <v>47.439101514508174</v>
      </c>
      <c r="ZZ30">
        <f t="shared" si="723"/>
        <v>47.571926633199915</v>
      </c>
      <c r="AAA30">
        <f t="shared" si="723"/>
        <v>47.705442036973764</v>
      </c>
      <c r="AAB30">
        <f t="shared" si="723"/>
        <v>47.839618463451735</v>
      </c>
      <c r="AAC30">
        <f t="shared" si="723"/>
        <v>47.974426698126805</v>
      </c>
      <c r="AAD30">
        <f t="shared" si="723"/>
        <v>48.109837578059114</v>
      </c>
      <c r="AAE30">
        <f t="shared" ref="AAE30:AAO30" si="724">(-AAD45)*$K14*dt+AAD30</f>
        <v>48.245821995461974</v>
      </c>
      <c r="AAF30">
        <f t="shared" si="724"/>
        <v>48.382350901184907</v>
      </c>
      <c r="AAG30">
        <f t="shared" si="724"/>
        <v>48.519395308100407</v>
      </c>
      <c r="AAH30">
        <f t="shared" si="724"/>
        <v>48.656926294400499</v>
      </c>
      <c r="AAI30">
        <f t="shared" si="724"/>
        <v>48.794915006808836</v>
      </c>
      <c r="AAJ30">
        <f t="shared" si="724"/>
        <v>48.933332663713564</v>
      </c>
      <c r="AAK30">
        <f t="shared" si="724"/>
        <v>49.07215055822585</v>
      </c>
      <c r="AAL30">
        <f t="shared" si="724"/>
        <v>49.211340061168507</v>
      </c>
      <c r="AAM30">
        <f t="shared" si="724"/>
        <v>49.350872623998931</v>
      </c>
      <c r="AAN30">
        <f t="shared" si="724"/>
        <v>49.490719781670158</v>
      </c>
      <c r="AAO30">
        <f t="shared" si="724"/>
        <v>49.630853155433662</v>
      </c>
    </row>
    <row r="31" spans="1:717">
      <c r="A31">
        <f t="shared" si="676"/>
        <v>7</v>
      </c>
      <c r="B31">
        <f>B$24+SUM(G$8:G14)*(B$35-B$24)/G$20</f>
        <v>49.222912822297673</v>
      </c>
      <c r="C31">
        <f t="shared" ref="C31:BN31" si="725">(-B46)*$K15*dt+B31</f>
        <v>49.222912822297673</v>
      </c>
      <c r="D31">
        <f t="shared" si="725"/>
        <v>49.222912822297673</v>
      </c>
      <c r="E31">
        <f t="shared" si="725"/>
        <v>49.222912822297673</v>
      </c>
      <c r="F31">
        <f t="shared" si="725"/>
        <v>49.222912822297673</v>
      </c>
      <c r="G31">
        <f t="shared" si="725"/>
        <v>49.222912822297673</v>
      </c>
      <c r="H31">
        <f t="shared" si="725"/>
        <v>49.222912822297673</v>
      </c>
      <c r="I31">
        <f t="shared" si="725"/>
        <v>49.222913680418024</v>
      </c>
      <c r="J31">
        <f t="shared" si="725"/>
        <v>49.222918716607175</v>
      </c>
      <c r="K31">
        <f t="shared" si="725"/>
        <v>49.222935525527973</v>
      </c>
      <c r="L31">
        <f t="shared" si="725"/>
        <v>49.222977518894652</v>
      </c>
      <c r="M31">
        <f t="shared" si="725"/>
        <v>49.223064934971774</v>
      </c>
      <c r="N31">
        <f t="shared" si="725"/>
        <v>49.223225252371236</v>
      </c>
      <c r="O31">
        <f t="shared" si="725"/>
        <v>49.223493071901331</v>
      </c>
      <c r="P31">
        <f t="shared" si="725"/>
        <v>49.223909588385133</v>
      </c>
      <c r="Q31">
        <f t="shared" si="725"/>
        <v>49.224521785994675</v>
      </c>
      <c r="R31">
        <f t="shared" si="725"/>
        <v>49.225381476895059</v>
      </c>
      <c r="S31">
        <f t="shared" si="725"/>
        <v>49.22654427883721</v>
      </c>
      <c r="T31">
        <f t="shared" si="725"/>
        <v>49.228068601630646</v>
      </c>
      <c r="U31">
        <f t="shared" si="725"/>
        <v>49.230014689556356</v>
      </c>
      <c r="V31">
        <f t="shared" si="725"/>
        <v>49.232443748366734</v>
      </c>
      <c r="W31">
        <f t="shared" si="725"/>
        <v>49.235417171690777</v>
      </c>
      <c r="X31">
        <f t="shared" si="725"/>
        <v>49.238995871853881</v>
      </c>
      <c r="Y31">
        <f t="shared" si="725"/>
        <v>49.243239713543417</v>
      </c>
      <c r="Z31">
        <f t="shared" si="725"/>
        <v>49.248207044620415</v>
      </c>
      <c r="AA31">
        <f t="shared" si="725"/>
        <v>49.253954316020263</v>
      </c>
      <c r="AB31">
        <f t="shared" si="725"/>
        <v>49.260535781562339</v>
      </c>
      <c r="AC31">
        <f t="shared" si="725"/>
        <v>49.268003268192459</v>
      </c>
      <c r="AD31">
        <f t="shared" si="725"/>
        <v>49.276406007414444</v>
      </c>
      <c r="AE31">
        <f t="shared" si="725"/>
        <v>49.285790519216697</v>
      </c>
      <c r="AF31">
        <f t="shared" si="725"/>
        <v>49.296200540521411</v>
      </c>
      <c r="AG31">
        <f t="shared" si="725"/>
        <v>49.307676990980269</v>
      </c>
      <c r="AH31">
        <f t="shared" si="725"/>
        <v>49.320257969748134</v>
      </c>
      <c r="AI31">
        <f t="shared" si="725"/>
        <v>49.333978777646614</v>
      </c>
      <c r="AJ31">
        <f t="shared" si="725"/>
        <v>49.348871959859665</v>
      </c>
      <c r="AK31">
        <f t="shared" si="725"/>
        <v>49.364967364971669</v>
      </c>
      <c r="AL31">
        <f t="shared" si="725"/>
        <v>49.382292216760781</v>
      </c>
      <c r="AM31">
        <f t="shared" si="725"/>
        <v>49.40087119569629</v>
      </c>
      <c r="AN31">
        <f t="shared" si="725"/>
        <v>49.420726527561499</v>
      </c>
      <c r="AO31">
        <f t="shared" si="725"/>
        <v>49.441878077037209</v>
      </c>
      <c r="AP31">
        <f t="shared" si="725"/>
        <v>49.464343444440651</v>
      </c>
      <c r="AQ31">
        <f t="shared" si="725"/>
        <v>49.488138064126083</v>
      </c>
      <c r="AR31">
        <f t="shared" si="725"/>
        <v>49.51327530332091</v>
      </c>
      <c r="AS31">
        <f t="shared" si="725"/>
        <v>49.539766560401091</v>
      </c>
      <c r="AT31">
        <f t="shared" si="725"/>
        <v>49.567621361805529</v>
      </c>
      <c r="AU31">
        <f t="shared" si="725"/>
        <v>49.596847456955736</v>
      </c>
      <c r="AV31">
        <f t="shared" si="725"/>
        <v>49.627450910688275</v>
      </c>
      <c r="AW31">
        <f t="shared" si="725"/>
        <v>49.659436192826263</v>
      </c>
      <c r="AX31">
        <f t="shared" si="725"/>
        <v>49.692806264615989</v>
      </c>
      <c r="AY31">
        <f t="shared" si="725"/>
        <v>49.72756266183805</v>
      </c>
      <c r="AZ31">
        <f t="shared" si="725"/>
        <v>49.763705574471288</v>
      </c>
      <c r="BA31">
        <f t="shared" si="725"/>
        <v>49.801233922844943</v>
      </c>
      <c r="BB31">
        <f t="shared" si="725"/>
        <v>49.840145430260769</v>
      </c>
      <c r="BC31">
        <f t="shared" si="725"/>
        <v>49.88043669210473</v>
      </c>
      <c r="BD31">
        <f t="shared" si="725"/>
        <v>49.922103241498007</v>
      </c>
      <c r="BE31">
        <f t="shared" si="725"/>
        <v>49.965139611560907</v>
      </c>
      <c r="BF31">
        <f t="shared" si="725"/>
        <v>50.00953939438174</v>
      </c>
      <c r="BG31">
        <f t="shared" si="725"/>
        <v>50.055295296796736</v>
      </c>
      <c r="BH31">
        <f t="shared" si="725"/>
        <v>50.102399193097227</v>
      </c>
      <c r="BI31">
        <f t="shared" si="725"/>
        <v>50.150842174787442</v>
      </c>
      <c r="BJ31">
        <f t="shared" si="725"/>
        <v>50.200614597520648</v>
      </c>
      <c r="BK31">
        <f t="shared" si="725"/>
        <v>50.251706125343816</v>
      </c>
      <c r="BL31">
        <f t="shared" si="725"/>
        <v>50.30410577238149</v>
      </c>
      <c r="BM31">
        <f t="shared" si="725"/>
        <v>50.357801942088699</v>
      </c>
      <c r="BN31">
        <f t="shared" si="725"/>
        <v>50.412782464200909</v>
      </c>
      <c r="BO31">
        <f t="shared" ref="BO31:DZ31" si="726">(-BN46)*$K15*dt+BN31</f>
        <v>50.469034629506041</v>
      </c>
      <c r="BP31">
        <f t="shared" si="726"/>
        <v>50.526545222560145</v>
      </c>
      <c r="BQ31">
        <f t="shared" si="726"/>
        <v>50.585300552464275</v>
      </c>
      <c r="BR31">
        <f t="shared" si="726"/>
        <v>50.645286481815646</v>
      </c>
      <c r="BS31">
        <f t="shared" si="726"/>
        <v>50.706488453941567</v>
      </c>
      <c r="BT31">
        <f t="shared" si="726"/>
        <v>50.768891518519695</v>
      </c>
      <c r="BU31">
        <f t="shared" si="726"/>
        <v>50.832480355683437</v>
      </c>
      <c r="BV31">
        <f t="shared" si="726"/>
        <v>50.897239298706133</v>
      </c>
      <c r="BW31">
        <f t="shared" si="726"/>
        <v>50.963152355353074</v>
      </c>
      <c r="BX31">
        <f t="shared" si="726"/>
        <v>51.030203227985353</v>
      </c>
      <c r="BY31">
        <f t="shared" si="726"/>
        <v>51.09837533249501</v>
      </c>
      <c r="BZ31">
        <f t="shared" si="726"/>
        <v>51.167651816146311</v>
      </c>
      <c r="CA31">
        <f t="shared" si="726"/>
        <v>51.238015574393557</v>
      </c>
      <c r="CB31">
        <f t="shared" si="726"/>
        <v>51.309449266741794</v>
      </c>
      <c r="CC31">
        <f t="shared" si="726"/>
        <v>51.381935331712405</v>
      </c>
      <c r="CD31">
        <f t="shared" si="726"/>
        <v>51.455456000972077</v>
      </c>
      <c r="CE31">
        <f t="shared" si="726"/>
        <v>51.529993312679693</v>
      </c>
      <c r="CF31">
        <f t="shared" si="726"/>
        <v>51.60552912410229</v>
      </c>
      <c r="CG31">
        <f t="shared" si="726"/>
        <v>51.682045123547979</v>
      </c>
      <c r="CH31">
        <f t="shared" si="726"/>
        <v>51.75952284166052</v>
      </c>
      <c r="CI31">
        <f t="shared" si="726"/>
        <v>51.83794366211734</v>
      </c>
      <c r="CJ31">
        <f t="shared" si="726"/>
        <v>51.917288831770044</v>
      </c>
      <c r="CK31">
        <f t="shared" si="726"/>
        <v>51.99753947026376</v>
      </c>
      <c r="CL31">
        <f t="shared" si="726"/>
        <v>52.078676579169368</v>
      </c>
      <c r="CM31">
        <f t="shared" si="726"/>
        <v>52.160681050660209</v>
      </c>
      <c r="CN31">
        <f t="shared" si="726"/>
        <v>52.243533675762905</v>
      </c>
      <c r="CO31">
        <f t="shared" si="726"/>
        <v>52.327215152209689</v>
      </c>
      <c r="CP31">
        <f t="shared" si="726"/>
        <v>52.411706091917992</v>
      </c>
      <c r="CQ31">
        <f t="shared" si="726"/>
        <v>52.496987028121154</v>
      </c>
      <c r="CR31">
        <f t="shared" si="726"/>
        <v>52.583038422172521</v>
      </c>
      <c r="CS31">
        <f t="shared" si="726"/>
        <v>52.669840670043598</v>
      </c>
      <c r="CT31">
        <f t="shared" si="726"/>
        <v>52.757374108535714</v>
      </c>
      <c r="CU31">
        <f t="shared" si="726"/>
        <v>52.845619021223044</v>
      </c>
      <c r="CV31">
        <f t="shared" si="726"/>
        <v>52.934555644143821</v>
      </c>
      <c r="CW31">
        <f t="shared" si="726"/>
        <v>53.024164171255322</v>
      </c>
      <c r="CX31">
        <f t="shared" si="726"/>
        <v>53.114424759667223</v>
      </c>
      <c r="CY31">
        <f t="shared" si="726"/>
        <v>53.20531753466674</v>
      </c>
      <c r="CZ31">
        <f t="shared" si="726"/>
        <v>53.296822594548338</v>
      </c>
      <c r="DA31">
        <f t="shared" si="726"/>
        <v>53.388920015259671</v>
      </c>
      <c r="DB31">
        <f t="shared" si="726"/>
        <v>53.481589854874713</v>
      </c>
      <c r="DC31">
        <f t="shared" si="726"/>
        <v>53.574812157904383</v>
      </c>
      <c r="DD31">
        <f t="shared" si="726"/>
        <v>53.668566959454154</v>
      </c>
      <c r="DE31">
        <f t="shared" si="726"/>
        <v>53.762834289237468</v>
      </c>
      <c r="DF31">
        <f t="shared" si="726"/>
        <v>53.857594175453393</v>
      </c>
      <c r="DG31">
        <f t="shared" si="726"/>
        <v>53.952826648536188</v>
      </c>
      <c r="DH31">
        <f t="shared" si="726"/>
        <v>54.048511744783937</v>
      </c>
      <c r="DI31">
        <f t="shared" si="726"/>
        <v>54.144629509873191</v>
      </c>
      <c r="DJ31">
        <f t="shared" si="726"/>
        <v>54.241160002265708</v>
      </c>
      <c r="DK31">
        <f t="shared" si="726"/>
        <v>54.338083296513325</v>
      </c>
      <c r="DL31">
        <f t="shared" si="726"/>
        <v>54.435379486466452</v>
      </c>
      <c r="DM31">
        <f t="shared" si="726"/>
        <v>54.533028688391269</v>
      </c>
      <c r="DN31">
        <f t="shared" si="726"/>
        <v>54.631011044000509</v>
      </c>
      <c r="DO31">
        <f t="shared" si="726"/>
        <v>54.729306723402338</v>
      </c>
      <c r="DP31">
        <f t="shared" si="726"/>
        <v>54.827895927971483</v>
      </c>
      <c r="DQ31">
        <f t="shared" si="726"/>
        <v>54.926758893146634</v>
      </c>
      <c r="DR31">
        <f t="shared" si="726"/>
        <v>55.025875891157803</v>
      </c>
      <c r="DS31">
        <f t="shared" si="726"/>
        <v>55.12522723368707</v>
      </c>
      <c r="DT31">
        <f t="shared" si="726"/>
        <v>55.224793274465988</v>
      </c>
      <c r="DU31">
        <f t="shared" si="726"/>
        <v>55.324554411812763</v>
      </c>
      <c r="DV31">
        <f t="shared" si="726"/>
        <v>55.424491091111925</v>
      </c>
      <c r="DW31">
        <f t="shared" si="726"/>
        <v>55.524583807239338</v>
      </c>
      <c r="DX31">
        <f t="shared" si="726"/>
        <v>55.624813106934923</v>
      </c>
      <c r="DY31">
        <f t="shared" si="726"/>
        <v>55.725159591125575</v>
      </c>
      <c r="DZ31">
        <f t="shared" si="726"/>
        <v>55.825603917200411</v>
      </c>
      <c r="EA31">
        <f t="shared" ref="EA31:GL31" si="727">(-DZ46)*$K15*dt+DZ31</f>
        <v>55.926126801240507</v>
      </c>
      <c r="EB31">
        <f t="shared" si="727"/>
        <v>56.026709020205026</v>
      </c>
      <c r="EC31">
        <f t="shared" si="727"/>
        <v>56.127331414075599</v>
      </c>
      <c r="ED31">
        <f t="shared" si="727"/>
        <v>56.227974887960762</v>
      </c>
      <c r="EE31">
        <f t="shared" si="727"/>
        <v>56.328620414161961</v>
      </c>
      <c r="EF31">
        <f t="shared" si="727"/>
        <v>56.429249034202726</v>
      </c>
      <c r="EG31">
        <f t="shared" si="727"/>
        <v>56.529841860822508</v>
      </c>
      <c r="EH31">
        <f t="shared" si="727"/>
        <v>56.630380079936437</v>
      </c>
      <c r="EI31">
        <f t="shared" si="727"/>
        <v>56.730844952562336</v>
      </c>
      <c r="EJ31">
        <f t="shared" si="727"/>
        <v>56.83121781671619</v>
      </c>
      <c r="EK31">
        <f t="shared" si="727"/>
        <v>56.93148008927723</v>
      </c>
      <c r="EL31">
        <f t="shared" si="727"/>
        <v>57.031613267823644</v>
      </c>
      <c r="EM31">
        <f t="shared" si="727"/>
        <v>57.13159893243995</v>
      </c>
      <c r="EN31">
        <f t="shared" si="727"/>
        <v>57.231418747497003</v>
      </c>
      <c r="EO31">
        <f t="shared" si="727"/>
        <v>57.331054463405486</v>
      </c>
      <c r="EP31">
        <f t="shared" si="727"/>
        <v>57.430487918343744</v>
      </c>
      <c r="EQ31">
        <f t="shared" si="727"/>
        <v>57.529701039960749</v>
      </c>
      <c r="ER31">
        <f t="shared" si="727"/>
        <v>57.628675847054964</v>
      </c>
      <c r="ES31">
        <f t="shared" si="727"/>
        <v>57.727394451229749</v>
      </c>
      <c r="ET31">
        <f t="shared" si="727"/>
        <v>57.825839058526029</v>
      </c>
      <c r="EU31">
        <f t="shared" si="727"/>
        <v>57.923991971032812</v>
      </c>
      <c r="EV31">
        <f t="shared" si="727"/>
        <v>58.021835588476151</v>
      </c>
      <c r="EW31">
        <f t="shared" si="727"/>
        <v>58.119352409787112</v>
      </c>
      <c r="EX31">
        <f t="shared" si="727"/>
        <v>58.216525034649216</v>
      </c>
      <c r="EY31">
        <f t="shared" si="727"/>
        <v>58.313336165025881</v>
      </c>
      <c r="EZ31">
        <f t="shared" si="727"/>
        <v>58.409768606668337</v>
      </c>
      <c r="FA31">
        <f t="shared" si="727"/>
        <v>58.505805270604412</v>
      </c>
      <c r="FB31">
        <f t="shared" si="727"/>
        <v>58.601429174608548</v>
      </c>
      <c r="FC31">
        <f t="shared" si="727"/>
        <v>58.696623444653525</v>
      </c>
      <c r="FD31">
        <f t="shared" si="727"/>
        <v>58.791371316344154</v>
      </c>
      <c r="FE31">
        <f t="shared" si="727"/>
        <v>58.885656136333317</v>
      </c>
      <c r="FF31">
        <f t="shared" si="727"/>
        <v>58.979461363720645</v>
      </c>
      <c r="FG31">
        <f t="shared" si="727"/>
        <v>59.072770571434141</v>
      </c>
      <c r="FH31">
        <f t="shared" si="727"/>
        <v>59.16556744759496</v>
      </c>
      <c r="FI31">
        <f t="shared" si="727"/>
        <v>59.257835796865677</v>
      </c>
      <c r="FJ31">
        <f t="shared" si="727"/>
        <v>59.349559541782256</v>
      </c>
      <c r="FK31">
        <f t="shared" si="727"/>
        <v>59.440722724069843</v>
      </c>
      <c r="FL31">
        <f t="shared" si="727"/>
        <v>59.53130950594273</v>
      </c>
      <c r="FM31">
        <f t="shared" si="727"/>
        <v>59.62130417138858</v>
      </c>
      <c r="FN31">
        <f t="shared" si="727"/>
        <v>59.710691127437109</v>
      </c>
      <c r="FO31">
        <f t="shared" si="727"/>
        <v>59.799454905413391</v>
      </c>
      <c r="FP31">
        <f t="shared" si="727"/>
        <v>59.887580162175922</v>
      </c>
      <c r="FQ31">
        <f t="shared" si="727"/>
        <v>59.975051681339593</v>
      </c>
      <c r="FR31">
        <f t="shared" si="727"/>
        <v>60.061854374483673</v>
      </c>
      <c r="FS31">
        <f t="shared" si="727"/>
        <v>60.147973282344928</v>
      </c>
      <c r="FT31">
        <f t="shared" si="727"/>
        <v>60.233393575995983</v>
      </c>
      <c r="FU31">
        <f t="shared" si="727"/>
        <v>60.318100558009</v>
      </c>
      <c r="FV31">
        <f t="shared" si="727"/>
        <v>60.402079663604781</v>
      </c>
      <c r="FW31">
        <f t="shared" si="727"/>
        <v>60.485316461787313</v>
      </c>
      <c r="FX31">
        <f t="shared" si="727"/>
        <v>60.567796656463912</v>
      </c>
      <c r="FY31">
        <f t="shared" si="727"/>
        <v>60.64950608755094</v>
      </c>
      <c r="FZ31">
        <f t="shared" si="727"/>
        <v>60.730430732065194</v>
      </c>
      <c r="GA31">
        <f t="shared" si="727"/>
        <v>60.81055670520098</v>
      </c>
      <c r="GB31">
        <f t="shared" si="727"/>
        <v>60.8898702613929</v>
      </c>
      <c r="GC31">
        <f t="shared" si="727"/>
        <v>60.968357795364476</v>
      </c>
      <c r="GD31">
        <f t="shared" si="727"/>
        <v>61.046005843162462</v>
      </c>
      <c r="GE31">
        <f t="shared" si="727"/>
        <v>61.122801083177016</v>
      </c>
      <c r="GF31">
        <f t="shared" si="727"/>
        <v>61.198730337147708</v>
      </c>
      <c r="GG31">
        <f t="shared" si="727"/>
        <v>61.273780571155278</v>
      </c>
      <c r="GH31">
        <f t="shared" si="727"/>
        <v>61.347938896599302</v>
      </c>
      <c r="GI31">
        <f t="shared" si="727"/>
        <v>61.421192571161605</v>
      </c>
      <c r="GJ31">
        <f t="shared" si="727"/>
        <v>61.493528999755547</v>
      </c>
      <c r="GK31">
        <f t="shared" si="727"/>
        <v>61.564935735461098</v>
      </c>
      <c r="GL31">
        <f t="shared" si="727"/>
        <v>61.635400480445682</v>
      </c>
      <c r="GM31">
        <f t="shared" ref="GM31:IX31" si="728">(-GL46)*$K15*dt+GL31</f>
        <v>61.704911086870823</v>
      </c>
      <c r="GN31">
        <f t="shared" si="728"/>
        <v>61.77345555778453</v>
      </c>
      <c r="GO31">
        <f t="shared" si="728"/>
        <v>61.841022047999417</v>
      </c>
      <c r="GP31">
        <f t="shared" si="728"/>
        <v>61.907598864956505</v>
      </c>
      <c r="GQ31">
        <f t="shared" si="728"/>
        <v>61.973174469574701</v>
      </c>
      <c r="GR31">
        <f t="shared" si="728"/>
        <v>62.037737477085948</v>
      </c>
      <c r="GS31">
        <f t="shared" si="728"/>
        <v>62.101276657855912</v>
      </c>
      <c r="GT31">
        <f t="shared" si="728"/>
        <v>62.163780938190293</v>
      </c>
      <c r="GU31">
        <f t="shared" si="728"/>
        <v>62.225239401126629</v>
      </c>
      <c r="GV31">
        <f t="shared" si="728"/>
        <v>62.285641287211583</v>
      </c>
      <c r="GW31">
        <f t="shared" si="728"/>
        <v>62.344975995263717</v>
      </c>
      <c r="GX31">
        <f t="shared" si="728"/>
        <v>62.403233083121584</v>
      </c>
      <c r="GY31">
        <f t="shared" si="728"/>
        <v>62.460402268377258</v>
      </c>
      <c r="GZ31">
        <f t="shared" si="728"/>
        <v>62.516473429095086</v>
      </c>
      <c r="HA31">
        <f t="shared" si="728"/>
        <v>62.571436604515782</v>
      </c>
      <c r="HB31">
        <f t="shared" si="728"/>
        <v>62.625281995745631</v>
      </c>
      <c r="HC31">
        <f t="shared" si="728"/>
        <v>62.677999966430953</v>
      </c>
      <c r="HD31">
        <f t="shared" si="728"/>
        <v>62.729581043417589</v>
      </c>
      <c r="HE31">
        <f t="shared" si="728"/>
        <v>62.780015917395488</v>
      </c>
      <c r="HF31">
        <f t="shared" si="728"/>
        <v>62.829295443528288</v>
      </c>
      <c r="HG31">
        <f t="shared" si="728"/>
        <v>62.877410642067829</v>
      </c>
      <c r="HH31">
        <f t="shared" si="728"/>
        <v>62.924352698953598</v>
      </c>
      <c r="HI31">
        <f t="shared" si="728"/>
        <v>62.970112966396961</v>
      </c>
      <c r="HJ31">
        <f t="shared" si="728"/>
        <v>63.014682963450269</v>
      </c>
      <c r="HK31">
        <f t="shared" si="728"/>
        <v>63.058054376560619</v>
      </c>
      <c r="HL31">
        <f t="shared" si="728"/>
        <v>63.100219060108351</v>
      </c>
      <c r="HM31">
        <f t="shared" si="728"/>
        <v>63.141169036930144</v>
      </c>
      <c r="HN31">
        <f t="shared" si="728"/>
        <v>63.180896498826719</v>
      </c>
      <c r="HO31">
        <f t="shared" si="728"/>
        <v>63.219393807055042</v>
      </c>
      <c r="HP31">
        <f t="shared" si="728"/>
        <v>63.256653492805022</v>
      </c>
      <c r="HQ31">
        <f t="shared" si="728"/>
        <v>63.292668257660608</v>
      </c>
      <c r="HR31">
        <f t="shared" si="728"/>
        <v>63.327430974045249</v>
      </c>
      <c r="HS31">
        <f t="shared" si="728"/>
        <v>63.360934685651706</v>
      </c>
      <c r="HT31">
        <f t="shared" si="728"/>
        <v>63.393172607856108</v>
      </c>
      <c r="HU31">
        <f t="shared" si="728"/>
        <v>63.424138128116212</v>
      </c>
      <c r="HV31">
        <f t="shared" si="728"/>
        <v>63.453824806353857</v>
      </c>
      <c r="HW31">
        <f t="shared" si="728"/>
        <v>63.482226375321531</v>
      </c>
      <c r="HX31">
        <f t="shared" si="728"/>
        <v>63.509336740952989</v>
      </c>
      <c r="HY31">
        <f t="shared" si="728"/>
        <v>63.535149982697916</v>
      </c>
      <c r="HZ31">
        <f t="shared" si="728"/>
        <v>63.559660353840584</v>
      </c>
      <c r="IA31">
        <f t="shared" si="728"/>
        <v>63.582862281802392</v>
      </c>
      <c r="IB31">
        <f t="shared" si="728"/>
        <v>63.604750368428363</v>
      </c>
      <c r="IC31">
        <f t="shared" si="728"/>
        <v>63.625319390257431</v>
      </c>
      <c r="ID31">
        <f t="shared" si="728"/>
        <v>63.644564298776572</v>
      </c>
      <c r="IE31">
        <f t="shared" si="728"/>
        <v>63.662480220658679</v>
      </c>
      <c r="IF31">
        <f t="shared" si="728"/>
        <v>63.67906245798418</v>
      </c>
      <c r="IG31">
        <f t="shared" si="728"/>
        <v>63.694306488446344</v>
      </c>
      <c r="IH31">
        <f t="shared" si="728"/>
        <v>63.708207965540211</v>
      </c>
      <c r="II31">
        <f t="shared" si="728"/>
        <v>63.720762718735195</v>
      </c>
      <c r="IJ31">
        <f t="shared" si="728"/>
        <v>63.731966753631191</v>
      </c>
      <c r="IK31">
        <f t="shared" si="728"/>
        <v>63.741816252098324</v>
      </c>
      <c r="IL31">
        <f t="shared" si="728"/>
        <v>63.750307572400118</v>
      </c>
      <c r="IM31">
        <f t="shared" si="728"/>
        <v>63.757437249300246</v>
      </c>
      <c r="IN31">
        <f t="shared" si="728"/>
        <v>63.763201994152681</v>
      </c>
      <c r="IO31">
        <f t="shared" si="728"/>
        <v>63.767598694975277</v>
      </c>
      <c r="IP31">
        <f t="shared" si="728"/>
        <v>63.770624416506813</v>
      </c>
      <c r="IQ31">
        <f t="shared" si="728"/>
        <v>63.772276400247357</v>
      </c>
      <c r="IR31">
        <f t="shared" si="728"/>
        <v>63.772552064482028</v>
      </c>
      <c r="IS31">
        <f t="shared" si="728"/>
        <v>63.771449004288073</v>
      </c>
      <c r="IT31">
        <f t="shared" si="728"/>
        <v>63.768964991525309</v>
      </c>
      <c r="IU31">
        <f t="shared" si="728"/>
        <v>63.765097974809805</v>
      </c>
      <c r="IV31">
        <f t="shared" si="728"/>
        <v>63.759846079470918</v>
      </c>
      <c r="IW31">
        <f t="shared" si="728"/>
        <v>63.753207607491532</v>
      </c>
      <c r="IX31">
        <f t="shared" si="728"/>
        <v>63.745181037431628</v>
      </c>
      <c r="IY31">
        <f t="shared" ref="IY31:LJ31" si="729">(-IX46)*$K15*dt+IX31</f>
        <v>63.735765024335038</v>
      </c>
      <c r="IZ31">
        <f t="shared" si="729"/>
        <v>63.724958399619496</v>
      </c>
      <c r="JA31">
        <f t="shared" si="729"/>
        <v>63.712760170949878</v>
      </c>
      <c r="JB31">
        <f t="shared" si="729"/>
        <v>63.699169522094685</v>
      </c>
      <c r="JC31">
        <f t="shared" si="729"/>
        <v>63.684185812765769</v>
      </c>
      <c r="JD31">
        <f t="shared" si="729"/>
        <v>63.667808578441232</v>
      </c>
      <c r="JE31">
        <f t="shared" si="729"/>
        <v>63.650037530171581</v>
      </c>
      <c r="JF31">
        <f t="shared" si="729"/>
        <v>63.630872554369105</v>
      </c>
      <c r="JG31">
        <f t="shared" si="729"/>
        <v>63.610313712580449</v>
      </c>
      <c r="JH31">
        <f t="shared" si="729"/>
        <v>63.588361241242431</v>
      </c>
      <c r="JI31">
        <f t="shared" si="729"/>
        <v>63.565015551421112</v>
      </c>
      <c r="JJ31">
        <f t="shared" si="729"/>
        <v>63.54027722853408</v>
      </c>
      <c r="JK31">
        <f t="shared" si="729"/>
        <v>63.514147032056009</v>
      </c>
      <c r="JL31">
        <f t="shared" si="729"/>
        <v>63.486625895207474</v>
      </c>
      <c r="JM31">
        <f t="shared" si="729"/>
        <v>63.457714924627048</v>
      </c>
      <c r="JN31">
        <f t="shared" si="729"/>
        <v>63.427415400026689</v>
      </c>
      <c r="JO31">
        <f t="shared" si="729"/>
        <v>63.395728773830463</v>
      </c>
      <c r="JP31">
        <f t="shared" si="729"/>
        <v>63.362656670796582</v>
      </c>
      <c r="JQ31">
        <f t="shared" si="729"/>
        <v>63.328200887622785</v>
      </c>
      <c r="JR31">
        <f t="shared" si="729"/>
        <v>63.29236339253513</v>
      </c>
      <c r="JS31">
        <f t="shared" si="729"/>
        <v>63.255146324860164</v>
      </c>
      <c r="JT31">
        <f t="shared" si="729"/>
        <v>63.216551994580527</v>
      </c>
      <c r="JU31">
        <f t="shared" si="729"/>
        <v>63.176582881874026</v>
      </c>
      <c r="JV31">
        <f t="shared" si="729"/>
        <v>63.135241636636188</v>
      </c>
      <c r="JW31">
        <f t="shared" si="729"/>
        <v>63.092531077986337</v>
      </c>
      <c r="JX31">
        <f t="shared" si="729"/>
        <v>63.048454193757244</v>
      </c>
      <c r="JY31">
        <f t="shared" si="729"/>
        <v>63.003014139968343</v>
      </c>
      <c r="JZ31">
        <f t="shared" si="729"/>
        <v>62.956214240282605</v>
      </c>
      <c r="KA31">
        <f t="shared" si="729"/>
        <v>62.908057985447066</v>
      </c>
      <c r="KB31">
        <f t="shared" si="729"/>
        <v>62.858549032717072</v>
      </c>
      <c r="KC31">
        <f t="shared" si="729"/>
        <v>62.807691205264298</v>
      </c>
      <c r="KD31">
        <f t="shared" si="729"/>
        <v>62.755488491568563</v>
      </c>
      <c r="KE31">
        <f t="shared" si="729"/>
        <v>62.701945044793483</v>
      </c>
      <c r="KF31">
        <f t="shared" si="729"/>
        <v>62.647065182146051</v>
      </c>
      <c r="KG31">
        <f t="shared" si="729"/>
        <v>62.590853384220139</v>
      </c>
      <c r="KH31">
        <f t="shared" si="729"/>
        <v>62.533314294324043</v>
      </c>
      <c r="KI31">
        <f t="shared" si="729"/>
        <v>62.474452717792047</v>
      </c>
      <c r="KJ31">
        <f t="shared" si="729"/>
        <v>62.414273621280159</v>
      </c>
      <c r="KK31">
        <f t="shared" si="729"/>
        <v>62.352782132045967</v>
      </c>
      <c r="KL31">
        <f t="shared" si="729"/>
        <v>62.289983537212784</v>
      </c>
      <c r="KM31">
        <f t="shared" si="729"/>
        <v>62.225883283018049</v>
      </c>
      <c r="KN31">
        <f t="shared" si="729"/>
        <v>62.160486974046151</v>
      </c>
      <c r="KO31">
        <f t="shared" si="729"/>
        <v>62.093800372445614</v>
      </c>
      <c r="KP31">
        <f t="shared" si="729"/>
        <v>62.025829397130842</v>
      </c>
      <c r="KQ31">
        <f t="shared" si="729"/>
        <v>61.956580122968397</v>
      </c>
      <c r="KR31">
        <f t="shared" si="729"/>
        <v>61.886058779947938</v>
      </c>
      <c r="KS31">
        <f t="shared" si="729"/>
        <v>61.814271752337881</v>
      </c>
      <c r="KT31">
        <f t="shared" si="729"/>
        <v>61.741225577825823</v>
      </c>
      <c r="KU31">
        <f t="shared" si="729"/>
        <v>61.666926946643862</v>
      </c>
      <c r="KV31">
        <f t="shared" si="729"/>
        <v>61.591382700678842</v>
      </c>
      <c r="KW31">
        <f t="shared" si="729"/>
        <v>61.514600690687992</v>
      </c>
      <c r="KX31">
        <f t="shared" si="729"/>
        <v>61.436591379087069</v>
      </c>
      <c r="KY31">
        <f t="shared" si="729"/>
        <v>61.357369651902253</v>
      </c>
      <c r="KZ31">
        <f t="shared" si="729"/>
        <v>61.276956360157975</v>
      </c>
      <c r="LA31">
        <f t="shared" si="729"/>
        <v>61.195379328412152</v>
      </c>
      <c r="LB31">
        <f t="shared" si="729"/>
        <v>61.112673767574826</v>
      </c>
      <c r="LC31">
        <f t="shared" si="729"/>
        <v>61.028882155764521</v>
      </c>
      <c r="LD31">
        <f t="shared" si="729"/>
        <v>60.94405370911948</v>
      </c>
      <c r="LE31">
        <f t="shared" si="729"/>
        <v>60.858243576110503</v>
      </c>
      <c r="LF31">
        <f t="shared" si="729"/>
        <v>60.771511875149486</v>
      </c>
      <c r="LG31">
        <f t="shared" si="729"/>
        <v>60.683922671132571</v>
      </c>
      <c r="LH31">
        <f t="shared" si="729"/>
        <v>60.595542960849357</v>
      </c>
      <c r="LI31">
        <f t="shared" si="729"/>
        <v>60.506441714318299</v>
      </c>
      <c r="LJ31">
        <f t="shared" si="729"/>
        <v>60.416689000695477</v>
      </c>
      <c r="LK31">
        <f t="shared" ref="LK31:NV31" si="730">(-LJ46)*$K15*dt+LJ31</f>
        <v>60.326355213574885</v>
      </c>
      <c r="LL31">
        <f t="shared" si="730"/>
        <v>60.235510400689819</v>
      </c>
      <c r="LM31">
        <f t="shared" si="730"/>
        <v>60.144223696446595</v>
      </c>
      <c r="LN31">
        <f t="shared" si="730"/>
        <v>60.05256285159102</v>
      </c>
      <c r="LO31">
        <f t="shared" si="730"/>
        <v>59.960593851950662</v>
      </c>
      <c r="LP31">
        <f t="shared" si="730"/>
        <v>59.868380617072951</v>
      </c>
      <c r="LQ31">
        <f t="shared" si="730"/>
        <v>59.775984769283092</v>
      </c>
      <c r="LR31">
        <f t="shared" si="730"/>
        <v>59.683465463918211</v>
      </c>
      <c r="LS31">
        <f t="shared" si="730"/>
        <v>59.590879272043743</v>
      </c>
      <c r="LT31">
        <f t="shared" si="730"/>
        <v>59.49828010767984</v>
      </c>
      <c r="LU31">
        <f t="shared" si="730"/>
        <v>59.405719192361673</v>
      </c>
      <c r="LV31">
        <f t="shared" si="730"/>
        <v>59.313245050665415</v>
      </c>
      <c r="LW31">
        <f t="shared" si="730"/>
        <v>59.220903531111752</v>
      </c>
      <c r="LX31">
        <f t="shared" si="730"/>
        <v>59.128737847589306</v>
      </c>
      <c r="LY31">
        <f t="shared" si="730"/>
        <v>59.036788637108486</v>
      </c>
      <c r="LZ31">
        <f t="shared" si="730"/>
        <v>58.945094030298726</v>
      </c>
      <c r="MA31">
        <f t="shared" si="730"/>
        <v>58.853689731597974</v>
      </c>
      <c r="MB31">
        <f t="shared" si="730"/>
        <v>58.76260910655602</v>
      </c>
      <c r="MC31">
        <f t="shared" si="730"/>
        <v>58.671883274086959</v>
      </c>
      <c r="MD31">
        <f t="shared" si="730"/>
        <v>58.581541201865726</v>
      </c>
      <c r="ME31">
        <f t="shared" si="730"/>
        <v>58.491609803375006</v>
      </c>
      <c r="MF31">
        <f t="shared" si="730"/>
        <v>58.402114035376641</v>
      </c>
      <c r="MG31">
        <f t="shared" si="730"/>
        <v>58.313076994811311</v>
      </c>
      <c r="MH31">
        <f t="shared" si="730"/>
        <v>58.224520014326345</v>
      </c>
      <c r="MI31">
        <f t="shared" si="730"/>
        <v>58.136462755798185</v>
      </c>
      <c r="MJ31">
        <f t="shared" si="730"/>
        <v>58.04892330135705</v>
      </c>
      <c r="MK31">
        <f t="shared" si="730"/>
        <v>57.961918241540218</v>
      </c>
      <c r="ML31">
        <f t="shared" si="730"/>
        <v>57.875462760300245</v>
      </c>
      <c r="MM31">
        <f t="shared" si="730"/>
        <v>57.789570716677517</v>
      </c>
      <c r="MN31">
        <f t="shared" si="730"/>
        <v>57.704254723015687</v>
      </c>
      <c r="MO31">
        <f t="shared" si="730"/>
        <v>57.619526219655448</v>
      </c>
      <c r="MP31">
        <f t="shared" si="730"/>
        <v>57.535395546088665</v>
      </c>
      <c r="MQ31">
        <f t="shared" si="730"/>
        <v>57.45187200859251</v>
      </c>
      <c r="MR31">
        <f t="shared" si="730"/>
        <v>57.368963944393585</v>
      </c>
      <c r="MS31">
        <f t="shared" si="730"/>
        <v>57.286678782435679</v>
      </c>
      <c r="MT31">
        <f t="shared" si="730"/>
        <v>57.205023100843498</v>
      </c>
      <c r="MU31">
        <f t="shared" si="730"/>
        <v>57.124002681188429</v>
      </c>
      <c r="MV31">
        <f t="shared" si="730"/>
        <v>57.043622559672912</v>
      </c>
      <c r="MW31">
        <f t="shared" si="730"/>
        <v>56.963887075356737</v>
      </c>
      <c r="MX31">
        <f t="shared" si="730"/>
        <v>56.884799915553344</v>
      </c>
      <c r="MY31">
        <f t="shared" si="730"/>
        <v>56.806364158526286</v>
      </c>
      <c r="MZ31">
        <f t="shared" si="730"/>
        <v>56.728582313616791</v>
      </c>
      <c r="NA31">
        <f t="shared" si="730"/>
        <v>56.65145635893245</v>
      </c>
      <c r="NB31">
        <f t="shared" si="730"/>
        <v>56.574987776725102</v>
      </c>
      <c r="NC31">
        <f t="shared" si="730"/>
        <v>56.49917758658313</v>
      </c>
      <c r="ND31">
        <f t="shared" si="730"/>
        <v>56.424026376560015</v>
      </c>
      <c r="NE31">
        <f t="shared" si="730"/>
        <v>56.349534332356704</v>
      </c>
      <c r="NF31">
        <f t="shared" si="730"/>
        <v>56.27570126467117</v>
      </c>
      <c r="NG31">
        <f t="shared" si="730"/>
        <v>56.202526634823727</v>
      </c>
      <c r="NH31">
        <f t="shared" si="730"/>
        <v>56.130009578761921</v>
      </c>
      <c r="NI31">
        <f t="shared" si="730"/>
        <v>56.058148929543826</v>
      </c>
      <c r="NJ31">
        <f t="shared" si="730"/>
        <v>55.986943238393764</v>
      </c>
      <c r="NK31">
        <f t="shared" si="730"/>
        <v>55.916390794419463</v>
      </c>
      <c r="NL31">
        <f t="shared" si="730"/>
        <v>55.846489643074996</v>
      </c>
      <c r="NM31">
        <f t="shared" si="730"/>
        <v>55.777237603448974</v>
      </c>
      <c r="NN31">
        <f t="shared" si="730"/>
        <v>55.70863228445311</v>
      </c>
      <c r="NO31">
        <f t="shared" si="730"/>
        <v>55.640671099981738</v>
      </c>
      <c r="NP31">
        <f t="shared" si="730"/>
        <v>55.573351283108728</v>
      </c>
      <c r="NQ31">
        <f t="shared" si="730"/>
        <v>55.506669899384065</v>
      </c>
      <c r="NR31">
        <f t="shared" si="730"/>
        <v>55.440623859288671</v>
      </c>
      <c r="NS31">
        <f t="shared" si="730"/>
        <v>55.37520992990224</v>
      </c>
      <c r="NT31">
        <f t="shared" si="730"/>
        <v>55.310424745835405</v>
      </c>
      <c r="NU31">
        <f t="shared" si="730"/>
        <v>55.246264819474298</v>
      </c>
      <c r="NV31">
        <f t="shared" si="730"/>
        <v>55.182726550582366</v>
      </c>
      <c r="NW31">
        <f t="shared" ref="NW31:QH31" si="731">(-NV46)*$K15*dt+NV31</f>
        <v>55.119806235301432</v>
      </c>
      <c r="NX31">
        <f t="shared" si="731"/>
        <v>55.057500074591182</v>
      </c>
      <c r="NY31">
        <f t="shared" si="731"/>
        <v>54.995804182143701</v>
      </c>
      <c r="NZ31">
        <f t="shared" si="731"/>
        <v>54.934714591807115</v>
      </c>
      <c r="OA31">
        <f t="shared" si="731"/>
        <v>54.874227264550342</v>
      </c>
      <c r="OB31">
        <f t="shared" si="731"/>
        <v>54.814338094998483</v>
      </c>
      <c r="OC31">
        <f t="shared" si="731"/>
        <v>54.755042917566733</v>
      </c>
      <c r="OD31">
        <f t="shared" si="731"/>
        <v>54.696337512218541</v>
      </c>
      <c r="OE31">
        <f t="shared" si="731"/>
        <v>54.638217609872086</v>
      </c>
      <c r="OF31">
        <f t="shared" si="731"/>
        <v>54.580678897477569</v>
      </c>
      <c r="OG31">
        <f t="shared" si="731"/>
        <v>54.523717022786201</v>
      </c>
      <c r="OH31">
        <f t="shared" si="731"/>
        <v>54.467327598830408</v>
      </c>
      <c r="OI31">
        <f t="shared" si="731"/>
        <v>54.411506208133396</v>
      </c>
      <c r="OJ31">
        <f t="shared" si="731"/>
        <v>54.35624840666501</v>
      </c>
      <c r="OK31">
        <f t="shared" si="731"/>
        <v>54.301549727559738</v>
      </c>
      <c r="OL31">
        <f t="shared" si="731"/>
        <v>54.247405684611529</v>
      </c>
      <c r="OM31">
        <f t="shared" si="731"/>
        <v>54.193811775559162</v>
      </c>
      <c r="ON31">
        <f t="shared" si="731"/>
        <v>54.140763485174986</v>
      </c>
      <c r="OO31">
        <f t="shared" si="731"/>
        <v>54.088256288168992</v>
      </c>
      <c r="OP31">
        <f t="shared" si="731"/>
        <v>54.036285651919343</v>
      </c>
      <c r="OQ31">
        <f t="shared" si="731"/>
        <v>53.984847039039771</v>
      </c>
      <c r="OR31">
        <f t="shared" si="731"/>
        <v>53.933935909793576</v>
      </c>
      <c r="OS31">
        <f t="shared" si="731"/>
        <v>53.883547724363304</v>
      </c>
      <c r="OT31">
        <f t="shared" si="731"/>
        <v>53.833677944984565</v>
      </c>
      <c r="OU31">
        <f t="shared" si="731"/>
        <v>53.784322037951966</v>
      </c>
      <c r="OV31">
        <f t="shared" si="731"/>
        <v>53.735475475504501</v>
      </c>
      <c r="OW31">
        <f t="shared" si="731"/>
        <v>53.687133737597378</v>
      </c>
      <c r="OX31">
        <f t="shared" si="731"/>
        <v>53.639292313566806</v>
      </c>
      <c r="OY31">
        <f t="shared" si="731"/>
        <v>53.59194670369375</v>
      </c>
      <c r="OZ31">
        <f t="shared" si="731"/>
        <v>53.545092420672383</v>
      </c>
      <c r="PA31">
        <f t="shared" si="731"/>
        <v>53.498724990988578</v>
      </c>
      <c r="PB31">
        <f t="shared" si="731"/>
        <v>53.452839956213431</v>
      </c>
      <c r="PC31">
        <f t="shared" si="731"/>
        <v>53.407432874216489</v>
      </c>
      <c r="PD31">
        <f t="shared" si="731"/>
        <v>53.362499320303137</v>
      </c>
      <c r="PE31">
        <f t="shared" si="731"/>
        <v>53.318034888280209</v>
      </c>
      <c r="PF31">
        <f t="shared" si="731"/>
        <v>53.274035191453791</v>
      </c>
      <c r="PG31">
        <f t="shared" si="731"/>
        <v>53.230495863562801</v>
      </c>
      <c r="PH31">
        <f t="shared" si="731"/>
        <v>53.187412559651825</v>
      </c>
      <c r="PI31">
        <f t="shared" si="731"/>
        <v>53.144780956886386</v>
      </c>
      <c r="PJ31">
        <f t="shared" si="731"/>
        <v>53.10259675531379</v>
      </c>
      <c r="PK31">
        <f t="shared" si="731"/>
        <v>53.060855678572288</v>
      </c>
      <c r="PL31">
        <f t="shared" si="731"/>
        <v>53.019553474551387</v>
      </c>
      <c r="PM31">
        <f t="shared" si="731"/>
        <v>52.978685916005716</v>
      </c>
      <c r="PN31">
        <f t="shared" si="731"/>
        <v>52.938248801125027</v>
      </c>
      <c r="PO31">
        <f t="shared" si="731"/>
        <v>52.898237954062417</v>
      </c>
      <c r="PP31">
        <f t="shared" si="731"/>
        <v>52.858649225423065</v>
      </c>
      <c r="PQ31">
        <f t="shared" si="731"/>
        <v>52.819478492715398</v>
      </c>
      <c r="PR31">
        <f t="shared" si="731"/>
        <v>52.780721660766694</v>
      </c>
      <c r="PS31">
        <f t="shared" si="731"/>
        <v>52.742374662104872</v>
      </c>
      <c r="PT31">
        <f t="shared" si="731"/>
        <v>52.704433457308212</v>
      </c>
      <c r="PU31">
        <f t="shared" si="731"/>
        <v>52.666894035324596</v>
      </c>
      <c r="PV31">
        <f t="shared" si="731"/>
        <v>52.629752413761885</v>
      </c>
      <c r="PW31">
        <f t="shared" si="731"/>
        <v>52.593004639150784</v>
      </c>
      <c r="PX31">
        <f t="shared" si="731"/>
        <v>52.556646787181698</v>
      </c>
      <c r="PY31">
        <f t="shared" si="731"/>
        <v>52.52067496291675</v>
      </c>
      <c r="PZ31">
        <f t="shared" si="731"/>
        <v>52.485085300978355</v>
      </c>
      <c r="QA31">
        <f t="shared" si="731"/>
        <v>52.449873965715398</v>
      </c>
      <c r="QB31">
        <f t="shared" si="731"/>
        <v>52.415037151348272</v>
      </c>
      <c r="QC31">
        <f t="shared" si="731"/>
        <v>52.380571082093695</v>
      </c>
      <c r="QD31">
        <f t="shared" si="731"/>
        <v>52.346472012270453</v>
      </c>
      <c r="QE31">
        <f t="shared" si="731"/>
        <v>52.312736226386967</v>
      </c>
      <c r="QF31">
        <f t="shared" si="731"/>
        <v>52.279360039211582</v>
      </c>
      <c r="QG31">
        <f t="shared" si="731"/>
        <v>52.246339795826522</v>
      </c>
      <c r="QH31">
        <f t="shared" si="731"/>
        <v>52.213671871666293</v>
      </c>
      <c r="QI31">
        <f t="shared" ref="QI31:ST31" si="732">(-QH46)*$K15*dt+QH31</f>
        <v>52.181352672541294</v>
      </c>
      <c r="QJ31">
        <f t="shared" si="732"/>
        <v>52.149378634647498</v>
      </c>
      <c r="QK31">
        <f t="shared" si="732"/>
        <v>52.117746224562786</v>
      </c>
      <c r="QL31">
        <f t="shared" si="732"/>
        <v>52.086451939230756</v>
      </c>
      <c r="QM31">
        <f t="shared" si="732"/>
        <v>52.055492305932511</v>
      </c>
      <c r="QN31">
        <f t="shared" si="732"/>
        <v>52.024863882247203</v>
      </c>
      <c r="QO31">
        <f t="shared" si="732"/>
        <v>51.994563256001776</v>
      </c>
      <c r="QP31">
        <f t="shared" si="732"/>
        <v>51.964587045210628</v>
      </c>
      <c r="QQ31">
        <f t="shared" si="732"/>
        <v>51.934931898005573</v>
      </c>
      <c r="QR31">
        <f t="shared" si="732"/>
        <v>51.905594492556759</v>
      </c>
      <c r="QS31">
        <f t="shared" si="732"/>
        <v>51.876571536984947</v>
      </c>
      <c r="QT31">
        <f t="shared" si="732"/>
        <v>51.847859769265639</v>
      </c>
      <c r="QU31">
        <f t="shared" si="732"/>
        <v>51.819455957125541</v>
      </c>
      <c r="QV31">
        <f t="shared" si="732"/>
        <v>51.79135689793172</v>
      </c>
      <c r="QW31">
        <f t="shared" si="732"/>
        <v>51.763559418573927</v>
      </c>
      <c r="QX31">
        <f t="shared" si="732"/>
        <v>51.736060375340465</v>
      </c>
      <c r="QY31">
        <f t="shared" si="732"/>
        <v>51.708856653787919</v>
      </c>
      <c r="QZ31">
        <f t="shared" si="732"/>
        <v>51.681945168605203</v>
      </c>
      <c r="RA31">
        <f t="shared" si="732"/>
        <v>51.655322863472179</v>
      </c>
      <c r="RB31">
        <f t="shared" si="732"/>
        <v>51.628986710913203</v>
      </c>
      <c r="RC31">
        <f t="shared" si="732"/>
        <v>51.602933712145912</v>
      </c>
      <c r="RD31">
        <f t="shared" si="732"/>
        <v>51.577160896925555</v>
      </c>
      <c r="RE31">
        <f t="shared" si="732"/>
        <v>51.551665323385166</v>
      </c>
      <c r="RF31">
        <f t="shared" si="732"/>
        <v>51.526444077871766</v>
      </c>
      <c r="RG31">
        <f t="shared" si="732"/>
        <v>51.501494274778985</v>
      </c>
      <c r="RH31">
        <f t="shared" si="732"/>
        <v>51.476813056376244</v>
      </c>
      <c r="RI31">
        <f t="shared" si="732"/>
        <v>51.452397592634767</v>
      </c>
      <c r="RJ31">
        <f t="shared" si="732"/>
        <v>51.428245081050697</v>
      </c>
      <c r="RK31">
        <f t="shared" si="732"/>
        <v>51.404352746465428</v>
      </c>
      <c r="RL31">
        <f t="shared" si="732"/>
        <v>51.380717840883477</v>
      </c>
      <c r="RM31">
        <f t="shared" si="732"/>
        <v>51.357337643288005</v>
      </c>
      <c r="RN31">
        <f t="shared" si="732"/>
        <v>51.334209459454222</v>
      </c>
      <c r="RO31">
        <f t="shared" si="732"/>
        <v>51.311330621760824</v>
      </c>
      <c r="RP31">
        <f t="shared" si="732"/>
        <v>51.288698488999685</v>
      </c>
      <c r="RQ31">
        <f t="shared" si="732"/>
        <v>51.266310446183901</v>
      </c>
      <c r="RR31">
        <f t="shared" si="732"/>
        <v>51.244163904354373</v>
      </c>
      <c r="RS31">
        <f t="shared" si="732"/>
        <v>51.222256300385119</v>
      </c>
      <c r="RT31">
        <f t="shared" si="732"/>
        <v>51.2005850967874</v>
      </c>
      <c r="RU31">
        <f t="shared" si="732"/>
        <v>51.179147781512796</v>
      </c>
      <c r="RV31">
        <f t="shared" si="732"/>
        <v>51.157941867755426</v>
      </c>
      <c r="RW31">
        <f t="shared" si="732"/>
        <v>51.136964893753344</v>
      </c>
      <c r="RX31">
        <f t="shared" si="732"/>
        <v>51.116214422589323</v>
      </c>
      <c r="RY31">
        <f t="shared" si="732"/>
        <v>51.09568804199106</v>
      </c>
      <c r="RZ31">
        <f t="shared" si="732"/>
        <v>51.075383364130985</v>
      </c>
      <c r="SA31">
        <f t="shared" si="732"/>
        <v>51.055298025425678</v>
      </c>
      <c r="SB31">
        <f t="shared" si="732"/>
        <v>51.035429686335107</v>
      </c>
      <c r="SC31">
        <f t="shared" si="732"/>
        <v>51.015776031161685</v>
      </c>
      <c r="SD31">
        <f t="shared" si="732"/>
        <v>50.996334767849291</v>
      </c>
      <c r="SE31">
        <f t="shared" si="732"/>
        <v>50.977103627782313</v>
      </c>
      <c r="SF31">
        <f t="shared" si="732"/>
        <v>50.958080365584799</v>
      </c>
      <c r="SG31">
        <f t="shared" si="732"/>
        <v>50.939262758919796</v>
      </c>
      <c r="SH31">
        <f t="shared" si="732"/>
        <v>50.920648608288964</v>
      </c>
      <c r="SI31">
        <f t="shared" si="732"/>
        <v>50.90223573683248</v>
      </c>
      <c r="SJ31">
        <f t="shared" si="732"/>
        <v>50.884021990129369</v>
      </c>
      <c r="SK31">
        <f t="shared" si="732"/>
        <v>50.866005235998266</v>
      </c>
      <c r="SL31">
        <f t="shared" si="732"/>
        <v>50.84818336429872</v>
      </c>
      <c r="SM31">
        <f t="shared" si="732"/>
        <v>50.83055428673304</v>
      </c>
      <c r="SN31">
        <f t="shared" si="732"/>
        <v>50.813115936648771</v>
      </c>
      <c r="SO31">
        <f t="shared" si="732"/>
        <v>50.795866268841856</v>
      </c>
      <c r="SP31">
        <f t="shared" si="732"/>
        <v>50.778803259360501</v>
      </c>
      <c r="SQ31">
        <f t="shared" si="732"/>
        <v>50.761924905309812</v>
      </c>
      <c r="SR31">
        <f t="shared" si="732"/>
        <v>50.745229224657244</v>
      </c>
      <c r="SS31">
        <f t="shared" si="732"/>
        <v>50.728714256038906</v>
      </c>
      <c r="ST31">
        <f t="shared" si="732"/>
        <v>50.712378058566713</v>
      </c>
      <c r="SU31">
        <f t="shared" ref="SU31:VF31" si="733">(-ST46)*$K15*dt+ST31</f>
        <v>50.696218711636519</v>
      </c>
      <c r="SV31">
        <f t="shared" si="733"/>
        <v>50.680234314737149</v>
      </c>
      <c r="SW31">
        <f t="shared" si="733"/>
        <v>50.664422987260444</v>
      </c>
      <c r="SX31">
        <f t="shared" si="733"/>
        <v>50.648782868312338</v>
      </c>
      <c r="SY31">
        <f t="shared" si="733"/>
        <v>50.633312116524934</v>
      </c>
      <c r="SZ31">
        <f t="shared" si="733"/>
        <v>50.618008909869708</v>
      </c>
      <c r="TA31">
        <f t="shared" si="733"/>
        <v>50.602871445471742</v>
      </c>
      <c r="TB31">
        <f t="shared" si="733"/>
        <v>50.58789793942514</v>
      </c>
      <c r="TC31">
        <f t="shared" si="733"/>
        <v>50.57308662660953</v>
      </c>
      <c r="TD31">
        <f t="shared" si="733"/>
        <v>50.558435760507756</v>
      </c>
      <c r="TE31">
        <f t="shared" si="733"/>
        <v>50.54394361302473</v>
      </c>
      <c r="TF31">
        <f t="shared" si="733"/>
        <v>50.529608474307501</v>
      </c>
      <c r="TG31">
        <f t="shared" si="733"/>
        <v>50.515428652566492</v>
      </c>
      <c r="TH31">
        <f t="shared" si="733"/>
        <v>50.501402473898011</v>
      </c>
      <c r="TI31">
        <f t="shared" si="733"/>
        <v>50.487528282107959</v>
      </c>
      <c r="TJ31">
        <f t="shared" si="733"/>
        <v>50.47380443853681</v>
      </c>
      <c r="TK31">
        <f t="shared" si="733"/>
        <v>50.460229321885834</v>
      </c>
      <c r="TL31">
        <f t="shared" si="733"/>
        <v>50.446801328044621</v>
      </c>
      <c r="TM31">
        <f t="shared" si="733"/>
        <v>50.433518869919851</v>
      </c>
      <c r="TN31">
        <f t="shared" si="733"/>
        <v>50.420380377265367</v>
      </c>
      <c r="TO31">
        <f t="shared" si="733"/>
        <v>50.407384296513555</v>
      </c>
      <c r="TP31">
        <f t="shared" si="733"/>
        <v>50.394529090607982</v>
      </c>
      <c r="TQ31">
        <f t="shared" si="733"/>
        <v>50.381813238837402</v>
      </c>
      <c r="TR31">
        <f t="shared" si="733"/>
        <v>50.369235236671024</v>
      </c>
      <c r="TS31">
        <f t="shared" si="733"/>
        <v>50.356793595595136</v>
      </c>
      <c r="TT31">
        <f t="shared" si="733"/>
        <v>50.344486842951</v>
      </c>
      <c r="TU31">
        <f t="shared" si="733"/>
        <v>50.332313521774111</v>
      </c>
      <c r="TV31">
        <f t="shared" si="733"/>
        <v>50.320272190634746</v>
      </c>
      <c r="TW31">
        <f t="shared" si="733"/>
        <v>50.30836142347988</v>
      </c>
      <c r="TX31">
        <f t="shared" si="733"/>
        <v>50.296579809476377</v>
      </c>
      <c r="TY31">
        <f t="shared" si="733"/>
        <v>50.284925952855545</v>
      </c>
      <c r="TZ31">
        <f t="shared" si="733"/>
        <v>50.273398472758998</v>
      </c>
      <c r="UA31">
        <f t="shared" si="733"/>
        <v>50.261996003085841</v>
      </c>
      <c r="UB31">
        <f t="shared" si="733"/>
        <v>50.250717192341192</v>
      </c>
      <c r="UC31">
        <f t="shared" si="733"/>
        <v>50.239560703485992</v>
      </c>
      <c r="UD31">
        <f t="shared" si="733"/>
        <v>50.228525213788195</v>
      </c>
      <c r="UE31">
        <f t="shared" si="733"/>
        <v>50.217609414675209</v>
      </c>
      <c r="UF31">
        <f t="shared" si="733"/>
        <v>50.206812011587665</v>
      </c>
      <c r="UG31">
        <f t="shared" si="733"/>
        <v>50.196131723834533</v>
      </c>
      <c r="UH31">
        <f t="shared" si="733"/>
        <v>50.18556728444949</v>
      </c>
      <c r="UI31">
        <f t="shared" si="733"/>
        <v>50.175117440048638</v>
      </c>
      <c r="UJ31">
        <f t="shared" si="733"/>
        <v>50.164780950689476</v>
      </c>
      <c r="UK31">
        <f t="shared" si="733"/>
        <v>50.154556589731186</v>
      </c>
      <c r="UL31">
        <f t="shared" si="733"/>
        <v>50.144443143696208</v>
      </c>
      <c r="UM31">
        <f t="shared" si="733"/>
        <v>50.134439412133084</v>
      </c>
      <c r="UN31">
        <f t="shared" si="733"/>
        <v>50.124544207480568</v>
      </c>
      <c r="UO31">
        <f t="shared" si="733"/>
        <v>50.11475635493305</v>
      </c>
      <c r="UP31">
        <f t="shared" si="733"/>
        <v>50.105074692307191</v>
      </c>
      <c r="UQ31">
        <f t="shared" si="733"/>
        <v>50.095498069909837</v>
      </c>
      <c r="UR31">
        <f t="shared" si="733"/>
        <v>50.086025350407191</v>
      </c>
      <c r="US31">
        <f t="shared" si="733"/>
        <v>50.07665540869521</v>
      </c>
      <c r="UT31">
        <f t="shared" si="733"/>
        <v>50.067387131771262</v>
      </c>
      <c r="UU31">
        <f t="shared" si="733"/>
        <v>50.058219418606981</v>
      </c>
      <c r="UV31">
        <f t="shared" si="733"/>
        <v>50.049151180022371</v>
      </c>
      <c r="UW31">
        <f t="shared" si="733"/>
        <v>50.040181338561119</v>
      </c>
      <c r="UX31">
        <f t="shared" si="733"/>
        <v>50.031308828367109</v>
      </c>
      <c r="UY31">
        <f t="shared" si="733"/>
        <v>50.022532595062138</v>
      </c>
      <c r="UZ31">
        <f t="shared" si="733"/>
        <v>50.013851595624821</v>
      </c>
      <c r="VA31">
        <f t="shared" si="733"/>
        <v>50.00526479827068</v>
      </c>
      <c r="VB31">
        <f t="shared" si="733"/>
        <v>49.996771182333426</v>
      </c>
      <c r="VC31">
        <f t="shared" si="733"/>
        <v>49.988369738147377</v>
      </c>
      <c r="VD31">
        <f t="shared" si="733"/>
        <v>49.980059466931067</v>
      </c>
      <c r="VE31">
        <f t="shared" si="733"/>
        <v>49.97183938067198</v>
      </c>
      <c r="VF31">
        <f t="shared" si="733"/>
        <v>49.963708502012445</v>
      </c>
      <c r="VG31">
        <f t="shared" ref="VG31:XR31" si="734">(-VF46)*$K15*dt+VF31</f>
        <v>49.955665864136655</v>
      </c>
      <c r="VH31">
        <f t="shared" si="734"/>
        <v>49.94771051065883</v>
      </c>
      <c r="VI31">
        <f t="shared" si="734"/>
        <v>49.939841495512461</v>
      </c>
      <c r="VJ31">
        <f t="shared" si="734"/>
        <v>49.932057882840709</v>
      </c>
      <c r="VK31">
        <f t="shared" si="734"/>
        <v>49.924358746887876</v>
      </c>
      <c r="VL31">
        <f t="shared" si="734"/>
        <v>49.916743171891959</v>
      </c>
      <c r="VM31">
        <f t="shared" si="734"/>
        <v>49.909210251978323</v>
      </c>
      <c r="VN31">
        <f t="shared" si="734"/>
        <v>49.901759091054402</v>
      </c>
      <c r="VO31">
        <f t="shared" si="734"/>
        <v>49.894388802705521</v>
      </c>
      <c r="VP31">
        <f t="shared" si="734"/>
        <v>49.887098510091732</v>
      </c>
      <c r="VQ31">
        <f t="shared" si="734"/>
        <v>49.879887345845695</v>
      </c>
      <c r="VR31">
        <f t="shared" si="734"/>
        <v>49.872754451971637</v>
      </c>
      <c r="VS31">
        <f t="shared" si="734"/>
        <v>49.865698979745318</v>
      </c>
      <c r="VT31">
        <f t="shared" si="734"/>
        <v>49.858720089615012</v>
      </c>
      <c r="VU31">
        <f t="shared" si="734"/>
        <v>49.851816951103515</v>
      </c>
      <c r="VV31">
        <f t="shared" si="734"/>
        <v>49.844988742711159</v>
      </c>
      <c r="VW31">
        <f t="shared" si="734"/>
        <v>49.838234651819803</v>
      </c>
      <c r="VX31">
        <f t="shared" si="734"/>
        <v>49.831553874597837</v>
      </c>
      <c r="VY31">
        <f t="shared" si="734"/>
        <v>49.824945615906152</v>
      </c>
      <c r="VZ31">
        <f t="shared" si="734"/>
        <v>49.818409089205069</v>
      </c>
      <c r="WA31">
        <f t="shared" si="734"/>
        <v>49.811943516462264</v>
      </c>
      <c r="WB31">
        <f t="shared" si="734"/>
        <v>49.805548128061595</v>
      </c>
      <c r="WC31">
        <f t="shared" si="734"/>
        <v>49.799222162712923</v>
      </c>
      <c r="WD31">
        <f t="shared" si="734"/>
        <v>49.792964867362826</v>
      </c>
      <c r="WE31">
        <f t="shared" si="734"/>
        <v>49.786775497106277</v>
      </c>
      <c r="WF31">
        <f t="shared" si="734"/>
        <v>49.780653315099222</v>
      </c>
      <c r="WG31">
        <f t="shared" si="734"/>
        <v>49.774597592472063</v>
      </c>
      <c r="WH31">
        <f t="shared" si="734"/>
        <v>49.768607608244047</v>
      </c>
      <c r="WI31">
        <f t="shared" si="734"/>
        <v>49.762682649238556</v>
      </c>
      <c r="WJ31">
        <f t="shared" si="734"/>
        <v>49.75682200999929</v>
      </c>
      <c r="WK31">
        <f t="shared" si="734"/>
        <v>49.751025850827645</v>
      </c>
      <c r="WL31">
        <f t="shared" si="734"/>
        <v>49.745296801408365</v>
      </c>
      <c r="WM31">
        <f t="shared" si="734"/>
        <v>49.73964177361465</v>
      </c>
      <c r="WN31">
        <f t="shared" si="734"/>
        <v>49.734073503764741</v>
      </c>
      <c r="WO31">
        <f t="shared" si="734"/>
        <v>49.728611562041351</v>
      </c>
      <c r="WP31">
        <f t="shared" si="734"/>
        <v>49.723282766209977</v>
      </c>
      <c r="WQ31">
        <f t="shared" si="734"/>
        <v>49.718121063390065</v>
      </c>
      <c r="WR31">
        <f t="shared" si="734"/>
        <v>49.713167001796393</v>
      </c>
      <c r="WS31">
        <f t="shared" si="734"/>
        <v>49.708466925996987</v>
      </c>
      <c r="WT31">
        <f t="shared" si="734"/>
        <v>49.704072015481792</v>
      </c>
      <c r="WU31">
        <f t="shared" si="734"/>
        <v>49.700037262180814</v>
      </c>
      <c r="WV31">
        <f t="shared" si="734"/>
        <v>49.696420456863031</v>
      </c>
      <c r="WW31">
        <f t="shared" si="734"/>
        <v>49.693281231476192</v>
      </c>
      <c r="WX31">
        <f t="shared" si="734"/>
        <v>49.690680186074488</v>
      </c>
      <c r="WY31">
        <f t="shared" si="734"/>
        <v>49.688678115152179</v>
      </c>
      <c r="WZ31">
        <f t="shared" si="734"/>
        <v>49.687335338392678</v>
      </c>
      <c r="XA31">
        <f t="shared" si="734"/>
        <v>49.686711134264023</v>
      </c>
      <c r="XB31">
        <f t="shared" si="734"/>
        <v>49.686863270761371</v>
      </c>
      <c r="XC31">
        <f t="shared" si="734"/>
        <v>49.687847625239087</v>
      </c>
      <c r="XD31">
        <f t="shared" si="734"/>
        <v>49.689717884152579</v>
      </c>
      <c r="XE31">
        <f t="shared" si="734"/>
        <v>49.692525313233681</v>
      </c>
      <c r="XF31">
        <f t="shared" si="734"/>
        <v>49.696318588855789</v>
      </c>
      <c r="XG31">
        <f t="shared" si="734"/>
        <v>49.701143681894798</v>
      </c>
      <c r="XH31">
        <f t="shared" si="734"/>
        <v>49.707043786113324</v>
      </c>
      <c r="XI31">
        <f t="shared" si="734"/>
        <v>49.714059283892105</v>
      </c>
      <c r="XJ31">
        <f t="shared" si="734"/>
        <v>49.722227742940099</v>
      </c>
      <c r="XK31">
        <f t="shared" si="734"/>
        <v>49.73158393839514</v>
      </c>
      <c r="XL31">
        <f t="shared" si="734"/>
        <v>49.742159895457284</v>
      </c>
      <c r="XM31">
        <f t="shared" si="734"/>
        <v>49.753984948365286</v>
      </c>
      <c r="XN31">
        <f t="shared" si="734"/>
        <v>49.767085812129025</v>
      </c>
      <c r="XO31">
        <f t="shared" si="734"/>
        <v>49.781486663966604</v>
      </c>
      <c r="XP31">
        <f t="shared" si="734"/>
        <v>49.797209231867569</v>
      </c>
      <c r="XQ31">
        <f t="shared" si="734"/>
        <v>49.814272888117401</v>
      </c>
      <c r="XR31">
        <f t="shared" si="734"/>
        <v>49.832694745978102</v>
      </c>
      <c r="XS31">
        <f t="shared" ref="XS31:AAD31" si="735">(-XR46)*$K15*dt+XR31</f>
        <v>49.85248975803102</v>
      </c>
      <c r="XT31">
        <f t="shared" si="735"/>
        <v>49.873670814955872</v>
      </c>
      <c r="XU31">
        <f t="shared" si="735"/>
        <v>49.896248843749632</v>
      </c>
      <c r="XV31">
        <f t="shared" si="735"/>
        <v>49.920232904585006</v>
      </c>
      <c r="XW31">
        <f t="shared" si="735"/>
        <v>49.945630285674781</v>
      </c>
      <c r="XX31">
        <f t="shared" si="735"/>
        <v>49.972446595649586</v>
      </c>
      <c r="XY31">
        <f t="shared" si="735"/>
        <v>50.000685853075225</v>
      </c>
      <c r="XZ31">
        <f t="shared" si="735"/>
        <v>50.030350572835786</v>
      </c>
      <c r="YA31">
        <f t="shared" si="735"/>
        <v>50.061441849191759</v>
      </c>
      <c r="YB31">
        <f t="shared" si="735"/>
        <v>50.093959435391618</v>
      </c>
      <c r="YC31">
        <f t="shared" si="735"/>
        <v>50.127901819772106</v>
      </c>
      <c r="YD31">
        <f t="shared" si="735"/>
        <v>50.163266298329049</v>
      </c>
      <c r="YE31">
        <f t="shared" si="735"/>
        <v>50.200049043778343</v>
      </c>
      <c r="YF31">
        <f t="shared" si="735"/>
        <v>50.238245171156784</v>
      </c>
      <c r="YG31">
        <f t="shared" si="735"/>
        <v>50.277848800036281</v>
      </c>
      <c r="YH31">
        <f t="shared" si="735"/>
        <v>50.318853113443659</v>
      </c>
      <c r="YI31">
        <f t="shared" si="735"/>
        <v>50.361250413591968</v>
      </c>
      <c r="YJ31">
        <f t="shared" si="735"/>
        <v>50.405032174539613</v>
      </c>
      <c r="YK31">
        <f t="shared" si="735"/>
        <v>50.450189091900583</v>
      </c>
      <c r="YL31">
        <f t="shared" si="735"/>
        <v>50.496711129733569</v>
      </c>
      <c r="YM31">
        <f t="shared" si="735"/>
        <v>50.544587564740098</v>
      </c>
      <c r="YN31">
        <f t="shared" si="735"/>
        <v>50.593807027902372</v>
      </c>
      <c r="YO31">
        <f t="shared" si="735"/>
        <v>50.644357543690653</v>
      </c>
      <c r="YP31">
        <f t="shared" si="735"/>
        <v>50.696226566968157</v>
      </c>
      <c r="YQ31">
        <f t="shared" si="735"/>
        <v>50.749401017718526</v>
      </c>
      <c r="YR31">
        <f t="shared" si="735"/>
        <v>50.803867313717433</v>
      </c>
      <c r="YS31">
        <f t="shared" si="735"/>
        <v>50.85961140126583</v>
      </c>
      <c r="YT31">
        <f t="shared" si="735"/>
        <v>50.916618784098006</v>
      </c>
      <c r="YU31">
        <f t="shared" si="735"/>
        <v>50.974874550572814</v>
      </c>
      <c r="YV31">
        <f t="shared" si="735"/>
        <v>51.034363399251767</v>
      </c>
      <c r="YW31">
        <f t="shared" si="735"/>
        <v>51.095069662962629</v>
      </c>
      <c r="YX31">
        <f t="shared" si="735"/>
        <v>51.156977331442349</v>
      </c>
      <c r="YY31">
        <f t="shared" si="735"/>
        <v>51.220070072648198</v>
      </c>
      <c r="YZ31">
        <f t="shared" si="735"/>
        <v>51.284331252821225</v>
      </c>
      <c r="ZA31">
        <f t="shared" si="735"/>
        <v>51.349743955381392</v>
      </c>
      <c r="ZB31">
        <f t="shared" si="735"/>
        <v>51.41629099872933</v>
      </c>
      <c r="ZC31">
        <f t="shared" si="735"/>
        <v>51.483954953025041</v>
      </c>
      <c r="ZD31">
        <f t="shared" si="735"/>
        <v>51.552718156009867</v>
      </c>
      <c r="ZE31">
        <f t="shared" si="735"/>
        <v>51.62256272793384</v>
      </c>
      <c r="ZF31">
        <f t="shared" si="735"/>
        <v>51.693470585646786</v>
      </c>
      <c r="ZG31">
        <f t="shared" si="735"/>
        <v>51.765423455907722</v>
      </c>
      <c r="ZH31">
        <f t="shared" si="735"/>
        <v>51.838402887963817</v>
      </c>
      <c r="ZI31">
        <f t="shared" si="735"/>
        <v>51.912390265446604</v>
      </c>
      <c r="ZJ31">
        <f t="shared" si="735"/>
        <v>51.987366817630345</v>
      </c>
      <c r="ZK31">
        <f t="shared" si="735"/>
        <v>52.063313630094164</v>
      </c>
      <c r="ZL31">
        <f t="shared" si="735"/>
        <v>52.140211654827084</v>
      </c>
      <c r="ZM31">
        <f t="shared" si="735"/>
        <v>52.218041719812284</v>
      </c>
      <c r="ZN31">
        <f t="shared" si="735"/>
        <v>52.296784538124612</v>
      </c>
      <c r="ZO31">
        <f t="shared" si="735"/>
        <v>52.376420716572959</v>
      </c>
      <c r="ZP31">
        <f t="shared" si="735"/>
        <v>52.456930763917114</v>
      </c>
      <c r="ZQ31">
        <f t="shared" si="735"/>
        <v>52.538295098686497</v>
      </c>
      <c r="ZR31">
        <f t="shared" si="735"/>
        <v>52.620494056626498</v>
      </c>
      <c r="ZS31">
        <f t="shared" si="735"/>
        <v>52.703507897796342</v>
      </c>
      <c r="ZT31">
        <f t="shared" si="735"/>
        <v>52.787316813340631</v>
      </c>
      <c r="ZU31">
        <f t="shared" si="735"/>
        <v>52.871900931955352</v>
      </c>
      <c r="ZV31">
        <f t="shared" si="735"/>
        <v>52.957240326067712</v>
      </c>
      <c r="ZW31">
        <f t="shared" si="735"/>
        <v>53.043315017747695</v>
      </c>
      <c r="ZX31">
        <f t="shared" si="735"/>
        <v>53.130104984368124</v>
      </c>
      <c r="ZY31">
        <f t="shared" si="735"/>
        <v>53.217590164028877</v>
      </c>
      <c r="ZZ31">
        <f t="shared" si="735"/>
        <v>53.305750460759725</v>
      </c>
      <c r="AAA31">
        <f t="shared" si="735"/>
        <v>53.394565749515415</v>
      </c>
      <c r="AAB31">
        <f t="shared" si="735"/>
        <v>53.484015880975505</v>
      </c>
      <c r="AAC31">
        <f t="shared" si="735"/>
        <v>53.574080686160841</v>
      </c>
      <c r="AAD31">
        <f t="shared" si="735"/>
        <v>53.664739980877528</v>
      </c>
      <c r="AAE31">
        <f t="shared" ref="AAE31:AAO31" si="736">(-AAD46)*$K15*dt+AAD31</f>
        <v>53.755973569998709</v>
      </c>
      <c r="AAF31">
        <f t="shared" si="736"/>
        <v>53.84776125159361</v>
      </c>
      <c r="AAG31">
        <f t="shared" si="736"/>
        <v>53.940082820912771</v>
      </c>
      <c r="AAH31">
        <f t="shared" si="736"/>
        <v>54.032918074237735</v>
      </c>
      <c r="AAI31">
        <f t="shared" si="736"/>
        <v>54.126246812603</v>
      </c>
      <c r="AAJ31">
        <f t="shared" si="736"/>
        <v>54.220048845397379</v>
      </c>
      <c r="AAK31">
        <f t="shared" si="736"/>
        <v>54.314303993851546</v>
      </c>
      <c r="AAL31">
        <f t="shared" si="736"/>
        <v>54.408992094418089</v>
      </c>
      <c r="AAM31">
        <f t="shared" si="736"/>
        <v>54.504093002049942</v>
      </c>
      <c r="AAN31">
        <f t="shared" si="736"/>
        <v>54.599586593382696</v>
      </c>
      <c r="AAO31">
        <f t="shared" si="736"/>
        <v>54.695452769825934</v>
      </c>
    </row>
    <row r="32" spans="1:717">
      <c r="A32">
        <f t="shared" si="676"/>
        <v>8</v>
      </c>
      <c r="B32">
        <f>B$24+SUM(G$8:G15)*(B$35-B$24)/G$20</f>
        <v>57.630004009522835</v>
      </c>
      <c r="C32">
        <f t="shared" ref="C32:BN32" si="737">(-B47)*$K16*dt+B32</f>
        <v>57.630004009522835</v>
      </c>
      <c r="D32">
        <f t="shared" si="737"/>
        <v>57.630004009522835</v>
      </c>
      <c r="E32">
        <f t="shared" si="737"/>
        <v>57.630004009522835</v>
      </c>
      <c r="F32">
        <f t="shared" si="737"/>
        <v>57.630004009522835</v>
      </c>
      <c r="G32">
        <f t="shared" si="737"/>
        <v>57.630004009522835</v>
      </c>
      <c r="H32">
        <f t="shared" si="737"/>
        <v>57.630004009522835</v>
      </c>
      <c r="I32">
        <f t="shared" si="737"/>
        <v>57.630004009522835</v>
      </c>
      <c r="J32">
        <f t="shared" si="737"/>
        <v>57.630004121999107</v>
      </c>
      <c r="K32">
        <f t="shared" si="737"/>
        <v>57.630004865097831</v>
      </c>
      <c r="L32">
        <f t="shared" si="737"/>
        <v>57.630007616920736</v>
      </c>
      <c r="M32">
        <f t="shared" si="737"/>
        <v>57.630015154041452</v>
      </c>
      <c r="N32">
        <f t="shared" si="737"/>
        <v>57.630032183553062</v>
      </c>
      <c r="O32">
        <f t="shared" si="737"/>
        <v>57.630065793615366</v>
      </c>
      <c r="P32">
        <f t="shared" si="737"/>
        <v>57.630125775352916</v>
      </c>
      <c r="Q32">
        <f t="shared" si="737"/>
        <v>57.630224796951971</v>
      </c>
      <c r="R32">
        <f t="shared" si="737"/>
        <v>57.630378432886488</v>
      </c>
      <c r="S32">
        <f t="shared" si="737"/>
        <v>57.630605065683405</v>
      </c>
      <c r="T32">
        <f t="shared" si="737"/>
        <v>57.630925685207991</v>
      </c>
      <c r="U32">
        <f t="shared" si="737"/>
        <v>57.631363612753596</v>
      </c>
      <c r="V32">
        <f t="shared" si="737"/>
        <v>57.631944176020824</v>
      </c>
      <c r="W32">
        <f t="shared" si="737"/>
        <v>57.632694357867493</v>
      </c>
      <c r="X32">
        <f t="shared" si="737"/>
        <v>57.633642437616437</v>
      </c>
      <c r="Y32">
        <f t="shared" si="737"/>
        <v>57.634817639465773</v>
      </c>
      <c r="Z32">
        <f t="shared" si="737"/>
        <v>57.636249798601483</v>
      </c>
      <c r="AA32">
        <f t="shared" si="737"/>
        <v>57.637969052190932</v>
      </c>
      <c r="AB32">
        <f t="shared" si="737"/>
        <v>57.640005559620697</v>
      </c>
      <c r="AC32">
        <f t="shared" si="737"/>
        <v>57.642389254124787</v>
      </c>
      <c r="AD32">
        <f t="shared" si="737"/>
        <v>57.645149626273927</v>
      </c>
      <c r="AE32">
        <f t="shared" si="737"/>
        <v>57.64831553858459</v>
      </c>
      <c r="AF32">
        <f t="shared" si="737"/>
        <v>57.651915069674722</v>
      </c>
      <c r="AG32">
        <f t="shared" si="737"/>
        <v>57.655975385861971</v>
      </c>
      <c r="AH32">
        <f t="shared" si="737"/>
        <v>57.66052263780032</v>
      </c>
      <c r="AI32">
        <f t="shared" si="737"/>
        <v>57.665581879622621</v>
      </c>
      <c r="AJ32">
        <f t="shared" si="737"/>
        <v>57.671177008052013</v>
      </c>
      <c r="AK32">
        <f t="shared" si="737"/>
        <v>57.677330719025953</v>
      </c>
      <c r="AL32">
        <f t="shared" si="737"/>
        <v>57.684064479513751</v>
      </c>
      <c r="AM32">
        <f t="shared" si="737"/>
        <v>57.691398512378832</v>
      </c>
      <c r="AN32">
        <f t="shared" si="737"/>
        <v>57.699351792325508</v>
      </c>
      <c r="AO32">
        <f t="shared" si="737"/>
        <v>57.7079420511633</v>
      </c>
      <c r="AP32">
        <f t="shared" si="737"/>
        <v>57.717185790813531</v>
      </c>
      <c r="AQ32">
        <f t="shared" si="737"/>
        <v>57.727098302665745</v>
      </c>
      <c r="AR32">
        <f t="shared" si="737"/>
        <v>57.737693692063615</v>
      </c>
      <c r="AS32">
        <f t="shared" si="737"/>
        <v>57.748984906858347</v>
      </c>
      <c r="AT32">
        <f t="shared" si="737"/>
        <v>57.760983769111888</v>
      </c>
      <c r="AU32">
        <f t="shared" si="737"/>
        <v>57.77370100916238</v>
      </c>
      <c r="AV32">
        <f t="shared" si="737"/>
        <v>57.787146301380183</v>
      </c>
      <c r="AW32">
        <f t="shared" si="737"/>
        <v>57.801328301045878</v>
      </c>
      <c r="AX32">
        <f t="shared" si="737"/>
        <v>57.816254681872117</v>
      </c>
      <c r="AY32">
        <f t="shared" si="737"/>
        <v>57.831932173770539</v>
      </c>
      <c r="AZ32">
        <f t="shared" si="737"/>
        <v>57.84836660053405</v>
      </c>
      <c r="BA32">
        <f t="shared" si="737"/>
        <v>57.865562917164567</v>
      </c>
      <c r="BB32">
        <f t="shared" si="737"/>
        <v>57.88352524662789</v>
      </c>
      <c r="BC32">
        <f t="shared" si="737"/>
        <v>57.902256915861798</v>
      </c>
      <c r="BD32">
        <f t="shared" si="737"/>
        <v>57.921760490901178</v>
      </c>
      <c r="BE32">
        <f t="shared" si="737"/>
        <v>57.942037811016249</v>
      </c>
      <c r="BF32">
        <f t="shared" si="737"/>
        <v>57.96309002178721</v>
      </c>
      <c r="BG32">
        <f t="shared" si="737"/>
        <v>57.984917607061533</v>
      </c>
      <c r="BH32">
        <f t="shared" si="737"/>
        <v>58.007520419759317</v>
      </c>
      <c r="BI32">
        <f t="shared" si="737"/>
        <v>58.030897711508125</v>
      </c>
      <c r="BJ32">
        <f t="shared" si="737"/>
        <v>58.055048161101809</v>
      </c>
      <c r="BK32">
        <f t="shared" si="737"/>
        <v>58.079969901788694</v>
      </c>
      <c r="BL32">
        <f t="shared" si="737"/>
        <v>58.105660547403154</v>
      </c>
      <c r="BM32">
        <f t="shared" si="737"/>
        <v>58.132117217361561</v>
      </c>
      <c r="BN32">
        <f t="shared" si="737"/>
        <v>58.1593365605492</v>
      </c>
      <c r="BO32">
        <f t="shared" ref="BO32:DZ32" si="738">(-BN47)*$K16*dt+BN32</f>
        <v>58.187314778128744</v>
      </c>
      <c r="BP32">
        <f t="shared" si="738"/>
        <v>58.216047645304315</v>
      </c>
      <c r="BQ32">
        <f t="shared" si="738"/>
        <v>58.24553053207714</v>
      </c>
      <c r="BR32">
        <f t="shared" si="738"/>
        <v>58.275758423030602</v>
      </c>
      <c r="BS32">
        <f t="shared" si="738"/>
        <v>58.30672593618317</v>
      </c>
      <c r="BT32">
        <f t="shared" si="738"/>
        <v>58.338427340948257</v>
      </c>
      <c r="BU32">
        <f t="shared" si="738"/>
        <v>58.370856575239856</v>
      </c>
      <c r="BV32">
        <f t="shared" si="738"/>
        <v>58.404007261762672</v>
      </c>
      <c r="BW32">
        <f t="shared" si="738"/>
        <v>58.437872723524613</v>
      </c>
      <c r="BX32">
        <f t="shared" si="738"/>
        <v>58.472445998608748</v>
      </c>
      <c r="BY32">
        <f t="shared" si="738"/>
        <v>58.507719854240953</v>
      </c>
      <c r="BZ32">
        <f t="shared" si="738"/>
        <v>58.54368680018807</v>
      </c>
      <c r="CA32">
        <f t="shared" si="738"/>
        <v>58.580339101520458</v>
      </c>
      <c r="CB32">
        <f t="shared" si="738"/>
        <v>58.61766879077129</v>
      </c>
      <c r="CC32">
        <f t="shared" si="738"/>
        <v>58.655667679523887</v>
      </c>
      <c r="CD32">
        <f t="shared" si="738"/>
        <v>58.694327369456715</v>
      </c>
      <c r="CE32">
        <f t="shared" si="738"/>
        <v>58.733639262874661</v>
      </c>
      <c r="CF32">
        <f t="shared" si="738"/>
        <v>58.773594572753652</v>
      </c>
      <c r="CG32">
        <f t="shared" si="738"/>
        <v>58.814184332324402</v>
      </c>
      <c r="CH32">
        <f t="shared" si="738"/>
        <v>58.855399404219909</v>
      </c>
      <c r="CI32">
        <f t="shared" si="738"/>
        <v>58.897230489209868</v>
      </c>
      <c r="CJ32">
        <f t="shared" si="738"/>
        <v>58.939668134544185</v>
      </c>
      <c r="CK32">
        <f t="shared" si="738"/>
        <v>58.982702741926424</v>
      </c>
      <c r="CL32">
        <f t="shared" si="738"/>
        <v>59.026324575136989</v>
      </c>
      <c r="CM32">
        <f t="shared" si="738"/>
        <v>59.070523767324758</v>
      </c>
      <c r="CN32">
        <f t="shared" si="738"/>
        <v>59.115290327984845</v>
      </c>
      <c r="CO32">
        <f t="shared" si="738"/>
        <v>59.160614149639201</v>
      </c>
      <c r="CP32">
        <f t="shared" si="738"/>
        <v>59.20648501423581</v>
      </c>
      <c r="CQ32">
        <f t="shared" si="738"/>
        <v>59.252892599281381</v>
      </c>
      <c r="CR32">
        <f t="shared" si="738"/>
        <v>59.29982648372156</v>
      </c>
      <c r="CS32">
        <f t="shared" si="738"/>
        <v>59.347276153581937</v>
      </c>
      <c r="CT32">
        <f t="shared" si="738"/>
        <v>59.395231007382343</v>
      </c>
      <c r="CU32">
        <f t="shared" si="738"/>
        <v>59.443680361336192</v>
      </c>
      <c r="CV32">
        <f t="shared" si="738"/>
        <v>59.492613454346049</v>
      </c>
      <c r="CW32">
        <f t="shared" si="738"/>
        <v>59.542019452805839</v>
      </c>
      <c r="CX32">
        <f t="shared" si="738"/>
        <v>59.591887455219627</v>
      </c>
      <c r="CY32">
        <f t="shared" si="738"/>
        <v>59.642206496646288</v>
      </c>
      <c r="CZ32">
        <f t="shared" si="738"/>
        <v>59.692965552978841</v>
      </c>
      <c r="DA32">
        <f t="shared" si="738"/>
        <v>59.744153545066773</v>
      </c>
      <c r="DB32">
        <f t="shared" si="738"/>
        <v>59.795759342689173</v>
      </c>
      <c r="DC32">
        <f t="shared" si="738"/>
        <v>59.847771768386046</v>
      </c>
      <c r="DD32">
        <f t="shared" si="738"/>
        <v>59.900179601154797</v>
      </c>
      <c r="DE32">
        <f t="shared" si="738"/>
        <v>59.952971580018485</v>
      </c>
      <c r="DF32">
        <f t="shared" si="738"/>
        <v>60.006136407472034</v>
      </c>
      <c r="DG32">
        <f t="shared" si="738"/>
        <v>60.059662752812265</v>
      </c>
      <c r="DH32">
        <f t="shared" si="738"/>
        <v>60.113539255357352</v>
      </c>
      <c r="DI32">
        <f t="shared" si="738"/>
        <v>60.167754527560867</v>
      </c>
      <c r="DJ32">
        <f t="shared" si="738"/>
        <v>60.222297158025462</v>
      </c>
      <c r="DK32">
        <f t="shared" si="738"/>
        <v>60.277155714420807</v>
      </c>
      <c r="DL32">
        <f t="shared" si="738"/>
        <v>60.332318746310222</v>
      </c>
      <c r="DM32">
        <f t="shared" si="738"/>
        <v>60.387774787890237</v>
      </c>
      <c r="DN32">
        <f t="shared" si="738"/>
        <v>60.443512360647055</v>
      </c>
      <c r="DO32">
        <f t="shared" si="738"/>
        <v>60.499519975933595</v>
      </c>
      <c r="DP32">
        <f t="shared" si="738"/>
        <v>60.555786137470797</v>
      </c>
      <c r="DQ32">
        <f t="shared" si="738"/>
        <v>60.612299343776485</v>
      </c>
      <c r="DR32">
        <f t="shared" si="738"/>
        <v>60.669048090524981</v>
      </c>
      <c r="DS32">
        <f t="shared" si="738"/>
        <v>60.7260208728406</v>
      </c>
      <c r="DT32">
        <f t="shared" si="738"/>
        <v>60.783206187527746</v>
      </c>
      <c r="DU32">
        <f t="shared" si="738"/>
        <v>60.840592535240482</v>
      </c>
      <c r="DV32">
        <f t="shared" si="738"/>
        <v>60.898168422594097</v>
      </c>
      <c r="DW32">
        <f t="shared" si="738"/>
        <v>60.955922364221109</v>
      </c>
      <c r="DX32">
        <f t="shared" si="738"/>
        <v>61.013842884774107</v>
      </c>
      <c r="DY32">
        <f t="shared" si="738"/>
        <v>61.071918520877553</v>
      </c>
      <c r="DZ32">
        <f t="shared" si="738"/>
        <v>61.130137823030736</v>
      </c>
      <c r="EA32">
        <f t="shared" ref="EA32:GL32" si="739">(-DZ47)*$K16*dt+DZ32</f>
        <v>61.188489357463865</v>
      </c>
      <c r="EB32">
        <f t="shared" si="739"/>
        <v>61.246961707949133</v>
      </c>
      <c r="EC32">
        <f t="shared" si="739"/>
        <v>61.305543477568648</v>
      </c>
      <c r="ED32">
        <f t="shared" si="739"/>
        <v>61.36422329044089</v>
      </c>
      <c r="EE32">
        <f t="shared" si="739"/>
        <v>61.422989793407361</v>
      </c>
      <c r="EF32">
        <f t="shared" si="739"/>
        <v>61.481831657680985</v>
      </c>
      <c r="EG32">
        <f t="shared" si="739"/>
        <v>61.540737580457709</v>
      </c>
      <c r="EH32">
        <f t="shared" si="739"/>
        <v>61.599696286492716</v>
      </c>
      <c r="EI32">
        <f t="shared" si="739"/>
        <v>61.658696529642654</v>
      </c>
      <c r="EJ32">
        <f t="shared" si="739"/>
        <v>61.717727094375086</v>
      </c>
      <c r="EK32">
        <f t="shared" si="739"/>
        <v>61.776776797246349</v>
      </c>
      <c r="EL32">
        <f t="shared" si="739"/>
        <v>61.835834488349128</v>
      </c>
      <c r="EM32">
        <f t="shared" si="739"/>
        <v>61.89488905273064</v>
      </c>
      <c r="EN32">
        <f t="shared" si="739"/>
        <v>61.953929411782667</v>
      </c>
      <c r="EO32">
        <f t="shared" si="739"/>
        <v>62.012944524604293</v>
      </c>
      <c r="EP32">
        <f t="shared" si="739"/>
        <v>62.071923389338394</v>
      </c>
      <c r="EQ32">
        <f t="shared" si="739"/>
        <v>62.130855044482736</v>
      </c>
      <c r="ER32">
        <f t="shared" si="739"/>
        <v>62.189728570176541</v>
      </c>
      <c r="ES32">
        <f t="shared" si="739"/>
        <v>62.248533089463386</v>
      </c>
      <c r="ET32">
        <f t="shared" si="739"/>
        <v>62.307257769531184</v>
      </c>
      <c r="EU32">
        <f t="shared" si="739"/>
        <v>62.365891822929953</v>
      </c>
      <c r="EV32">
        <f t="shared" si="739"/>
        <v>62.424424508768212</v>
      </c>
      <c r="EW32">
        <f t="shared" si="739"/>
        <v>62.482845133888517</v>
      </c>
      <c r="EX32">
        <f t="shared" si="739"/>
        <v>62.541143054022903</v>
      </c>
      <c r="EY32">
        <f t="shared" si="739"/>
        <v>62.599307674928809</v>
      </c>
      <c r="EZ32">
        <f t="shared" si="739"/>
        <v>62.657328453506018</v>
      </c>
      <c r="FA32">
        <f t="shared" si="739"/>
        <v>62.715194898895248</v>
      </c>
      <c r="FB32">
        <f t="shared" si="739"/>
        <v>62.772896573558889</v>
      </c>
      <c r="FC32">
        <f t="shared" si="739"/>
        <v>62.830423094344361</v>
      </c>
      <c r="FD32">
        <f t="shared" si="739"/>
        <v>62.887764133530624</v>
      </c>
      <c r="FE32">
        <f t="shared" si="739"/>
        <v>62.94490941985822</v>
      </c>
      <c r="FF32">
        <f t="shared" si="739"/>
        <v>63.001848739543398</v>
      </c>
      <c r="FG32">
        <f t="shared" si="739"/>
        <v>63.058571937276611</v>
      </c>
      <c r="FH32">
        <f t="shared" si="739"/>
        <v>63.115068917205818</v>
      </c>
      <c r="FI32">
        <f t="shared" si="739"/>
        <v>63.171329643905032</v>
      </c>
      <c r="FJ32">
        <f t="shared" si="739"/>
        <v>63.227344143328331</v>
      </c>
      <c r="FK32">
        <f t="shared" si="739"/>
        <v>63.283102503749795</v>
      </c>
      <c r="FL32">
        <f t="shared" si="739"/>
        <v>63.338594876689626</v>
      </c>
      <c r="FM32">
        <f t="shared" si="739"/>
        <v>63.393811477826731</v>
      </c>
      <c r="FN32">
        <f t="shared" si="739"/>
        <v>63.44874258789811</v>
      </c>
      <c r="FO32">
        <f t="shared" si="739"/>
        <v>63.503378553585293</v>
      </c>
      <c r="FP32">
        <f t="shared" si="739"/>
        <v>63.55770978838806</v>
      </c>
      <c r="FQ32">
        <f t="shared" si="739"/>
        <v>63.611726773485728</v>
      </c>
      <c r="FR32">
        <f t="shared" si="739"/>
        <v>63.665420058586207</v>
      </c>
      <c r="FS32">
        <f t="shared" si="739"/>
        <v>63.718780262763062</v>
      </c>
      <c r="FT32">
        <f t="shared" si="739"/>
        <v>63.771798075280756</v>
      </c>
      <c r="FU32">
        <f t="shared" si="739"/>
        <v>63.824464256408312</v>
      </c>
      <c r="FV32">
        <f t="shared" si="739"/>
        <v>63.876769638221511</v>
      </c>
      <c r="FW32">
        <f t="shared" si="739"/>
        <v>63.928705125393897</v>
      </c>
      <c r="FX32">
        <f t="shared" si="739"/>
        <v>63.980261695976637</v>
      </c>
      <c r="FY32">
        <f t="shared" si="739"/>
        <v>64.031430402167487</v>
      </c>
      <c r="FZ32">
        <f t="shared" si="739"/>
        <v>64.082202371068945</v>
      </c>
      <c r="GA32">
        <f t="shared" si="739"/>
        <v>64.132568805435739</v>
      </c>
      <c r="GB32">
        <f t="shared" si="739"/>
        <v>64.182520984411823</v>
      </c>
      <c r="GC32">
        <f t="shared" si="739"/>
        <v>64.232050264256898</v>
      </c>
      <c r="GD32">
        <f t="shared" si="739"/>
        <v>64.281148079062689</v>
      </c>
      <c r="GE32">
        <f t="shared" si="739"/>
        <v>64.329805941459028</v>
      </c>
      <c r="GF32">
        <f t="shared" si="739"/>
        <v>64.378015443309764</v>
      </c>
      <c r="GG32">
        <f t="shared" si="739"/>
        <v>64.425768256398726</v>
      </c>
      <c r="GH32">
        <f t="shared" si="739"/>
        <v>64.473056133105743</v>
      </c>
      <c r="GI32">
        <f t="shared" si="739"/>
        <v>64.519870907072828</v>
      </c>
      <c r="GJ32">
        <f t="shared" si="739"/>
        <v>64.566204493860525</v>
      </c>
      <c r="GK32">
        <f t="shared" si="739"/>
        <v>64.61204889159464</v>
      </c>
      <c r="GL32">
        <f t="shared" si="739"/>
        <v>64.657396181603218</v>
      </c>
      <c r="GM32">
        <f t="shared" ref="GM32:IX32" si="740">(-GL47)*$K16*dt+GL32</f>
        <v>64.702238529043981</v>
      </c>
      <c r="GN32">
        <f t="shared" si="740"/>
        <v>64.746568183522257</v>
      </c>
      <c r="GO32">
        <f t="shared" si="740"/>
        <v>64.790377479699288</v>
      </c>
      <c r="GP32">
        <f t="shared" si="740"/>
        <v>64.833658837891207</v>
      </c>
      <c r="GQ32">
        <f t="shared" si="740"/>
        <v>64.87640476465856</v>
      </c>
      <c r="GR32">
        <f t="shared" si="740"/>
        <v>64.918607853386405</v>
      </c>
      <c r="GS32">
        <f t="shared" si="740"/>
        <v>64.960260784855109</v>
      </c>
      <c r="GT32">
        <f t="shared" si="740"/>
        <v>65.001356327801744</v>
      </c>
      <c r="GU32">
        <f t="shared" si="740"/>
        <v>65.041887339472311</v>
      </c>
      <c r="GV32">
        <f t="shared" si="740"/>
        <v>65.081846766164546</v>
      </c>
      <c r="GW32">
        <f t="shared" si="740"/>
        <v>65.121227643761529</v>
      </c>
      <c r="GX32">
        <f t="shared" si="740"/>
        <v>65.160023098256033</v>
      </c>
      <c r="GY32">
        <f t="shared" si="740"/>
        <v>65.198226346265599</v>
      </c>
      <c r="GZ32">
        <f t="shared" si="740"/>
        <v>65.235830695538468</v>
      </c>
      <c r="HA32">
        <f t="shared" si="740"/>
        <v>65.272829545450193</v>
      </c>
      <c r="HB32">
        <f t="shared" si="740"/>
        <v>65.309216387491077</v>
      </c>
      <c r="HC32">
        <f t="shared" si="740"/>
        <v>65.344984805744375</v>
      </c>
      <c r="HD32">
        <f t="shared" si="740"/>
        <v>65.380128477355342</v>
      </c>
      <c r="HE32">
        <f t="shared" si="740"/>
        <v>65.414641172990954</v>
      </c>
      <c r="HF32">
        <f t="shared" si="740"/>
        <v>65.44851675729052</v>
      </c>
      <c r="HG32">
        <f t="shared" si="740"/>
        <v>65.481749189306981</v>
      </c>
      <c r="HH32">
        <f t="shared" si="740"/>
        <v>65.514332522939029</v>
      </c>
      <c r="HI32">
        <f t="shared" si="740"/>
        <v>65.546260907353982</v>
      </c>
      <c r="HJ32">
        <f t="shared" si="740"/>
        <v>65.577528587401375</v>
      </c>
      <c r="HK32">
        <f t="shared" si="740"/>
        <v>65.608129904017304</v>
      </c>
      <c r="HL32">
        <f t="shared" si="740"/>
        <v>65.638059294619538</v>
      </c>
      <c r="HM32">
        <f t="shared" si="740"/>
        <v>65.667311293493313</v>
      </c>
      <c r="HN32">
        <f t="shared" si="740"/>
        <v>65.695880532167806</v>
      </c>
      <c r="HO32">
        <f t="shared" si="740"/>
        <v>65.723761739783328</v>
      </c>
      <c r="HP32">
        <f t="shared" si="740"/>
        <v>65.750949743449198</v>
      </c>
      <c r="HQ32">
        <f t="shared" si="740"/>
        <v>65.777439468592249</v>
      </c>
      <c r="HR32">
        <f t="shared" si="740"/>
        <v>65.80322593929597</v>
      </c>
      <c r="HS32">
        <f t="shared" si="740"/>
        <v>65.828304278630299</v>
      </c>
      <c r="HT32">
        <f t="shared" si="740"/>
        <v>65.852669708972002</v>
      </c>
      <c r="HU32">
        <f t="shared" si="740"/>
        <v>65.876317552315612</v>
      </c>
      <c r="HV32">
        <f t="shared" si="740"/>
        <v>65.89924323057501</v>
      </c>
      <c r="HW32">
        <f t="shared" si="740"/>
        <v>65.92144226587547</v>
      </c>
      <c r="HX32">
        <f t="shared" si="740"/>
        <v>65.942910280836273</v>
      </c>
      <c r="HY32">
        <f t="shared" si="740"/>
        <v>65.963642998843866</v>
      </c>
      <c r="HZ32">
        <f t="shared" si="740"/>
        <v>65.98363624431542</v>
      </c>
      <c r="IA32">
        <f t="shared" si="740"/>
        <v>66.002885942952958</v>
      </c>
      <c r="IB32">
        <f t="shared" si="740"/>
        <v>66.021388121987897</v>
      </c>
      <c r="IC32">
        <f t="shared" si="740"/>
        <v>66.039138910415957</v>
      </c>
      <c r="ID32">
        <f t="shared" si="740"/>
        <v>66.056134539222612</v>
      </c>
      <c r="IE32">
        <f t="shared" si="740"/>
        <v>66.072371341598839</v>
      </c>
      <c r="IF32">
        <f t="shared" si="740"/>
        <v>66.087845753147249</v>
      </c>
      <c r="IG32">
        <f t="shared" si="740"/>
        <v>66.102554312078638</v>
      </c>
      <c r="IH32">
        <f t="shared" si="740"/>
        <v>66.116493659398785</v>
      </c>
      <c r="II32">
        <f t="shared" si="740"/>
        <v>66.12966053908562</v>
      </c>
      <c r="IJ32">
        <f t="shared" si="740"/>
        <v>66.14205179825673</v>
      </c>
      <c r="IK32">
        <f t="shared" si="740"/>
        <v>66.153664387327026</v>
      </c>
      <c r="IL32">
        <f t="shared" si="740"/>
        <v>66.164495360156835</v>
      </c>
      <c r="IM32">
        <f t="shared" si="740"/>
        <v>66.174541874190083</v>
      </c>
      <c r="IN32">
        <f t="shared" si="740"/>
        <v>66.183801190582827</v>
      </c>
      <c r="IO32">
        <f t="shared" si="740"/>
        <v>66.192270674321975</v>
      </c>
      <c r="IP32">
        <f t="shared" si="740"/>
        <v>66.199947794334136</v>
      </c>
      <c r="IQ32">
        <f t="shared" si="740"/>
        <v>66.206830123584737</v>
      </c>
      <c r="IR32">
        <f t="shared" si="740"/>
        <v>66.21291533916731</v>
      </c>
      <c r="IS32">
        <f t="shared" si="740"/>
        <v>66.218201222382888</v>
      </c>
      <c r="IT32">
        <f t="shared" si="740"/>
        <v>66.222685658809567</v>
      </c>
      <c r="IU32">
        <f t="shared" si="740"/>
        <v>66.226366638362194</v>
      </c>
      <c r="IV32">
        <f t="shared" si="740"/>
        <v>66.229242255342214</v>
      </c>
      <c r="IW32">
        <f t="shared" si="740"/>
        <v>66.231310708477565</v>
      </c>
      <c r="IX32">
        <f t="shared" si="740"/>
        <v>66.232570300952716</v>
      </c>
      <c r="IY32">
        <f t="shared" ref="IY32:LJ32" si="741">(-IX47)*$K16*dt+IX32</f>
        <v>66.233019440428791</v>
      </c>
      <c r="IZ32">
        <f t="shared" si="741"/>
        <v>66.232656639053729</v>
      </c>
      <c r="JA32">
        <f t="shared" si="741"/>
        <v>66.231480513462586</v>
      </c>
      <c r="JB32">
        <f t="shared" si="741"/>
        <v>66.229489784767864</v>
      </c>
      <c r="JC32">
        <f t="shared" si="741"/>
        <v>66.22668327853988</v>
      </c>
      <c r="JD32">
        <f t="shared" si="741"/>
        <v>66.223059924777218</v>
      </c>
      <c r="JE32">
        <f t="shared" si="741"/>
        <v>66.218618757867233</v>
      </c>
      <c r="JF32">
        <f t="shared" si="741"/>
        <v>66.213358916536592</v>
      </c>
      <c r="JG32">
        <f t="shared" si="741"/>
        <v>66.207279643791836</v>
      </c>
      <c r="JH32">
        <f t="shared" si="741"/>
        <v>66.200380286850006</v>
      </c>
      <c r="JI32">
        <f t="shared" si="741"/>
        <v>66.192660297059319</v>
      </c>
      <c r="JJ32">
        <f t="shared" si="741"/>
        <v>66.184119229809824</v>
      </c>
      <c r="JK32">
        <f t="shared" si="741"/>
        <v>66.174756744434191</v>
      </c>
      <c r="JL32">
        <f t="shared" si="741"/>
        <v>66.164572604098424</v>
      </c>
      <c r="JM32">
        <f t="shared" si="741"/>
        <v>66.15356667568274</v>
      </c>
      <c r="JN32">
        <f t="shared" si="741"/>
        <v>66.141738929652405</v>
      </c>
      <c r="JO32">
        <f t="shared" si="741"/>
        <v>66.129089439918658</v>
      </c>
      <c r="JP32">
        <f t="shared" si="741"/>
        <v>66.115618383689664</v>
      </c>
      <c r="JQ32">
        <f t="shared" si="741"/>
        <v>66.101326041311594</v>
      </c>
      <c r="JR32">
        <f t="shared" si="741"/>
        <v>66.086212796099701</v>
      </c>
      <c r="JS32">
        <f t="shared" si="741"/>
        <v>66.07027913415952</v>
      </c>
      <c r="JT32">
        <f t="shared" si="741"/>
        <v>66.053525644198132</v>
      </c>
      <c r="JU32">
        <f t="shared" si="741"/>
        <v>66.035953017325539</v>
      </c>
      <c r="JV32">
        <f t="shared" si="741"/>
        <v>66.017562046846166</v>
      </c>
      <c r="JW32">
        <f t="shared" si="741"/>
        <v>65.998353628040462</v>
      </c>
      <c r="JX32">
        <f t="shared" si="741"/>
        <v>65.978328757936652</v>
      </c>
      <c r="JY32">
        <f t="shared" si="741"/>
        <v>65.957488535072628</v>
      </c>
      <c r="JZ32">
        <f t="shared" si="741"/>
        <v>65.935834159248003</v>
      </c>
      <c r="KA32">
        <f t="shared" si="741"/>
        <v>65.913366931266381</v>
      </c>
      <c r="KB32">
        <f t="shared" si="741"/>
        <v>65.890088252667795</v>
      </c>
      <c r="KC32">
        <f t="shared" si="741"/>
        <v>65.865999625451408</v>
      </c>
      <c r="KD32">
        <f t="shared" si="741"/>
        <v>65.841102651788376</v>
      </c>
      <c r="KE32">
        <f t="shared" si="741"/>
        <v>65.815399033725043</v>
      </c>
      <c r="KF32">
        <f t="shared" si="741"/>
        <v>65.78889057287644</v>
      </c>
      <c r="KG32">
        <f t="shared" si="741"/>
        <v>65.761579170109982</v>
      </c>
      <c r="KH32">
        <f t="shared" si="741"/>
        <v>65.733466825219622</v>
      </c>
      <c r="KI32">
        <f t="shared" si="741"/>
        <v>65.704555636590271</v>
      </c>
      <c r="KJ32">
        <f t="shared" si="741"/>
        <v>65.674847800852646</v>
      </c>
      <c r="KK32">
        <f t="shared" si="741"/>
        <v>65.644345612528497</v>
      </c>
      <c r="KL32">
        <f t="shared" si="741"/>
        <v>65.613051463666309</v>
      </c>
      <c r="KM32">
        <f t="shared" si="741"/>
        <v>65.580967843467477</v>
      </c>
      <c r="KN32">
        <f t="shared" si="741"/>
        <v>65.548097337902888</v>
      </c>
      <c r="KO32">
        <f t="shared" si="741"/>
        <v>65.514442629320172</v>
      </c>
      <c r="KP32">
        <f t="shared" si="741"/>
        <v>65.480006496041412</v>
      </c>
      <c r="KQ32">
        <f t="shared" si="741"/>
        <v>65.444791811951475</v>
      </c>
      <c r="KR32">
        <f t="shared" si="741"/>
        <v>65.408801546077044</v>
      </c>
      <c r="KS32">
        <f t="shared" si="741"/>
        <v>65.372038762156166</v>
      </c>
      <c r="KT32">
        <f t="shared" si="741"/>
        <v>65.334506618198674</v>
      </c>
      <c r="KU32">
        <f t="shared" si="741"/>
        <v>65.296208366037249</v>
      </c>
      <c r="KV32">
        <f t="shared" si="741"/>
        <v>65.257147350869275</v>
      </c>
      <c r="KW32">
        <f t="shared" si="741"/>
        <v>65.21732701078956</v>
      </c>
      <c r="KX32">
        <f t="shared" si="741"/>
        <v>65.176750988790161</v>
      </c>
      <c r="KY32">
        <f t="shared" si="741"/>
        <v>65.135423425468446</v>
      </c>
      <c r="KZ32">
        <f t="shared" si="741"/>
        <v>65.093349412818213</v>
      </c>
      <c r="LA32">
        <f t="shared" si="741"/>
        <v>65.050535532242364</v>
      </c>
      <c r="LB32">
        <f t="shared" si="741"/>
        <v>65.006990386087992</v>
      </c>
      <c r="LC32">
        <f t="shared" si="741"/>
        <v>64.962725047672095</v>
      </c>
      <c r="LD32">
        <f t="shared" si="741"/>
        <v>64.917753382649323</v>
      </c>
      <c r="LE32">
        <f t="shared" si="741"/>
        <v>64.872092222569762</v>
      </c>
      <c r="LF32">
        <f t="shared" si="741"/>
        <v>64.825761393557002</v>
      </c>
      <c r="LG32">
        <f t="shared" si="741"/>
        <v>64.778783617516794</v>
      </c>
      <c r="LH32">
        <f t="shared" si="741"/>
        <v>64.731184310857074</v>
      </c>
      <c r="LI32">
        <f t="shared" si="741"/>
        <v>64.682991308003778</v>
      </c>
      <c r="LJ32">
        <f t="shared" si="741"/>
        <v>64.63423453579756</v>
      </c>
      <c r="LK32">
        <f t="shared" ref="LK32:NV32" si="742">(-LJ47)*$K16*dt+LJ32</f>
        <v>64.584945661652768</v>
      </c>
      <c r="LL32">
        <f t="shared" si="742"/>
        <v>64.535157734265795</v>
      </c>
      <c r="LM32">
        <f t="shared" si="742"/>
        <v>64.484904831417509</v>
      </c>
      <c r="LN32">
        <f t="shared" si="742"/>
        <v>64.434221725469683</v>
      </c>
      <c r="LO32">
        <f t="shared" si="742"/>
        <v>64.38314357373406</v>
      </c>
      <c r="LP32">
        <f t="shared" si="742"/>
        <v>64.331705638077551</v>
      </c>
      <c r="LQ32">
        <f t="shared" si="742"/>
        <v>64.279943035909611</v>
      </c>
      <c r="LR32">
        <f t="shared" si="742"/>
        <v>64.227890523022594</v>
      </c>
      <c r="LS32">
        <f t="shared" si="742"/>
        <v>64.175582307543891</v>
      </c>
      <c r="LT32">
        <f t="shared" si="742"/>
        <v>64.123051893426691</v>
      </c>
      <c r="LU32">
        <f t="shared" si="742"/>
        <v>64.070331951375465</v>
      </c>
      <c r="LV32">
        <f t="shared" si="742"/>
        <v>64.01745421480183</v>
      </c>
      <c r="LW32">
        <f t="shared" si="742"/>
        <v>63.964449398278767</v>
      </c>
      <c r="LX32">
        <f t="shared" si="742"/>
        <v>63.911347135955815</v>
      </c>
      <c r="LY32">
        <f t="shared" si="742"/>
        <v>63.85817593747938</v>
      </c>
      <c r="LZ32">
        <f t="shared" si="742"/>
        <v>63.804963159098889</v>
      </c>
      <c r="MA32">
        <f t="shared" si="742"/>
        <v>63.751734987810259</v>
      </c>
      <c r="MB32">
        <f t="shared" si="742"/>
        <v>63.698516436576327</v>
      </c>
      <c r="MC32">
        <f t="shared" si="742"/>
        <v>63.645331348857603</v>
      </c>
      <c r="MD32">
        <f t="shared" si="742"/>
        <v>63.59220241087791</v>
      </c>
      <c r="ME32">
        <f t="shared" si="742"/>
        <v>63.539151170232707</v>
      </c>
      <c r="MF32">
        <f t="shared" si="742"/>
        <v>63.486198059619724</v>
      </c>
      <c r="MG32">
        <f t="shared" si="742"/>
        <v>63.43336242463004</v>
      </c>
      <c r="MH32">
        <f t="shared" si="742"/>
        <v>63.380662554681997</v>
      </c>
      <c r="MI32">
        <f t="shared" si="742"/>
        <v>63.328115716310414</v>
      </c>
      <c r="MJ32">
        <f t="shared" si="742"/>
        <v>63.275738188139577</v>
      </c>
      <c r="MK32">
        <f t="shared" si="742"/>
        <v>63.223545296971452</v>
      </c>
      <c r="ML32">
        <f t="shared" si="742"/>
        <v>63.171551454511025</v>
      </c>
      <c r="MM32">
        <f t="shared" si="742"/>
        <v>63.119770194330208</v>
      </c>
      <c r="MN32">
        <f t="shared" si="742"/>
        <v>63.068214208740478</v>
      </c>
      <c r="MO32">
        <f t="shared" si="742"/>
        <v>63.016895385304643</v>
      </c>
      <c r="MP32">
        <f t="shared" si="742"/>
        <v>62.965824842769344</v>
      </c>
      <c r="MQ32">
        <f t="shared" si="742"/>
        <v>62.915012966244547</v>
      </c>
      <c r="MR32">
        <f t="shared" si="742"/>
        <v>62.864469441493824</v>
      </c>
      <c r="MS32">
        <f t="shared" si="742"/>
        <v>62.81420328823171</v>
      </c>
      <c r="MT32">
        <f t="shared" si="742"/>
        <v>62.764222892351412</v>
      </c>
      <c r="MU32">
        <f t="shared" si="742"/>
        <v>62.714536037029269</v>
      </c>
      <c r="MV32">
        <f t="shared" si="742"/>
        <v>62.66514993267144</v>
      </c>
      <c r="MW32">
        <f t="shared" si="742"/>
        <v>62.616071245684282</v>
      </c>
      <c r="MX32">
        <f t="shared" si="742"/>
        <v>62.567306126063094</v>
      </c>
      <c r="MY32">
        <f t="shared" si="742"/>
        <v>62.518860233804638</v>
      </c>
      <c r="MZ32">
        <f t="shared" si="742"/>
        <v>62.470738764157559</v>
      </c>
      <c r="NA32">
        <f t="shared" si="742"/>
        <v>62.422946471731791</v>
      </c>
      <c r="NB32">
        <f t="shared" si="742"/>
        <v>62.375487693493596</v>
      </c>
      <c r="NC32">
        <f t="shared" si="742"/>
        <v>62.328366370677017</v>
      </c>
      <c r="ND32">
        <f t="shared" si="742"/>
        <v>62.281586069645726</v>
      </c>
      <c r="NE32">
        <f t="shared" si="742"/>
        <v>62.235150001741481</v>
      </c>
      <c r="NF32">
        <f t="shared" si="742"/>
        <v>62.189061042157043</v>
      </c>
      <c r="NG32">
        <f t="shared" si="742"/>
        <v>62.143321747872115</v>
      </c>
      <c r="NH32">
        <f t="shared" si="742"/>
        <v>62.097934374691455</v>
      </c>
      <c r="NI32">
        <f t="shared" si="742"/>
        <v>62.05290089342418</v>
      </c>
      <c r="NJ32">
        <f t="shared" si="742"/>
        <v>62.008223005242925</v>
      </c>
      <c r="NK32">
        <f t="shared" si="742"/>
        <v>61.963902156260957</v>
      </c>
      <c r="NL32">
        <f t="shared" si="742"/>
        <v>61.919939551364408</v>
      </c>
      <c r="NM32">
        <f t="shared" si="742"/>
        <v>61.876336167335865</v>
      </c>
      <c r="NN32">
        <f t="shared" si="742"/>
        <v>61.833092765304386</v>
      </c>
      <c r="NO32">
        <f t="shared" si="742"/>
        <v>61.79020990255578</v>
      </c>
      <c r="NP32">
        <f t="shared" si="742"/>
        <v>61.747687943735727</v>
      </c>
      <c r="NQ32">
        <f t="shared" si="742"/>
        <v>61.705527071476965</v>
      </c>
      <c r="NR32">
        <f t="shared" si="742"/>
        <v>61.663727296480509</v>
      </c>
      <c r="NS32">
        <f t="shared" si="742"/>
        <v>61.622288467079365</v>
      </c>
      <c r="NT32">
        <f t="shared" si="742"/>
        <v>61.581210278312042</v>
      </c>
      <c r="NU32">
        <f t="shared" si="742"/>
        <v>61.540492280531801</v>
      </c>
      <c r="NV32">
        <f t="shared" si="742"/>
        <v>61.500133887576176</v>
      </c>
      <c r="NW32">
        <f t="shared" ref="NW32:QH32" si="743">(-NV47)*$K16*dt+NV32</f>
        <v>61.460134384520238</v>
      </c>
      <c r="NX32">
        <f t="shared" si="743"/>
        <v>61.42049293503576</v>
      </c>
      <c r="NY32">
        <f t="shared" si="743"/>
        <v>61.381208588377255</v>
      </c>
      <c r="NZ32">
        <f t="shared" si="743"/>
        <v>61.342280286014805</v>
      </c>
      <c r="OA32">
        <f t="shared" si="743"/>
        <v>61.303706867932497</v>
      </c>
      <c r="OB32">
        <f t="shared" si="743"/>
        <v>61.265487078610242</v>
      </c>
      <c r="OC32">
        <f t="shared" si="743"/>
        <v>61.227619572705756</v>
      </c>
      <c r="OD32">
        <f t="shared" si="743"/>
        <v>61.190102920452652</v>
      </c>
      <c r="OE32">
        <f t="shared" si="743"/>
        <v>61.152935612789562</v>
      </c>
      <c r="OF32">
        <f t="shared" si="743"/>
        <v>61.116116066234454</v>
      </c>
      <c r="OG32">
        <f t="shared" si="743"/>
        <v>61.079642627517543</v>
      </c>
      <c r="OH32">
        <f t="shared" si="743"/>
        <v>61.043513577985351</v>
      </c>
      <c r="OI32">
        <f t="shared" si="743"/>
        <v>61.007727137787818</v>
      </c>
      <c r="OJ32">
        <f t="shared" si="743"/>
        <v>60.972281469859745</v>
      </c>
      <c r="OK32">
        <f t="shared" si="743"/>
        <v>60.937174683707063</v>
      </c>
      <c r="OL32">
        <f t="shared" si="743"/>
        <v>60.902404839007993</v>
      </c>
      <c r="OM32">
        <f t="shared" si="743"/>
        <v>60.86796994903851</v>
      </c>
      <c r="ON32">
        <f t="shared" si="743"/>
        <v>60.833867983931015</v>
      </c>
      <c r="OO32">
        <f t="shared" si="743"/>
        <v>60.800096873774613</v>
      </c>
      <c r="OP32">
        <f t="shared" si="743"/>
        <v>60.766654511564958</v>
      </c>
      <c r="OQ32">
        <f t="shared" si="743"/>
        <v>60.7335387560111</v>
      </c>
      <c r="OR32">
        <f t="shared" si="743"/>
        <v>60.700747434206491</v>
      </c>
      <c r="OS32">
        <f t="shared" si="743"/>
        <v>60.668278344170815</v>
      </c>
      <c r="OT32">
        <f t="shared" si="743"/>
        <v>60.636129257268948</v>
      </c>
      <c r="OU32">
        <f t="shared" si="743"/>
        <v>60.604297920513012</v>
      </c>
      <c r="OV32">
        <f t="shared" si="743"/>
        <v>60.572782058753283</v>
      </c>
      <c r="OW32">
        <f t="shared" si="743"/>
        <v>60.54157937676316</v>
      </c>
      <c r="OX32">
        <f t="shared" si="743"/>
        <v>60.510687561223371</v>
      </c>
      <c r="OY32">
        <f t="shared" si="743"/>
        <v>60.480104282610164</v>
      </c>
      <c r="OZ32">
        <f t="shared" si="743"/>
        <v>60.449827196992068</v>
      </c>
      <c r="PA32">
        <f t="shared" si="743"/>
        <v>60.419853947739433</v>
      </c>
      <c r="PB32">
        <f t="shared" si="743"/>
        <v>60.390182167150968</v>
      </c>
      <c r="PC32">
        <f t="shared" si="743"/>
        <v>60.360809478001052</v>
      </c>
      <c r="PD32">
        <f t="shared" si="743"/>
        <v>60.331733495011498</v>
      </c>
      <c r="PE32">
        <f t="shared" si="743"/>
        <v>60.302951826251281</v>
      </c>
      <c r="PF32">
        <f t="shared" si="743"/>
        <v>60.274462074467536</v>
      </c>
      <c r="PG32">
        <f t="shared" si="743"/>
        <v>60.246261838350968</v>
      </c>
      <c r="PH32">
        <f t="shared" si="743"/>
        <v>60.218348713738614</v>
      </c>
      <c r="PI32">
        <f t="shared" si="743"/>
        <v>60.190720294756872</v>
      </c>
      <c r="PJ32">
        <f t="shared" si="743"/>
        <v>60.163374174907446</v>
      </c>
      <c r="PK32">
        <f t="shared" si="743"/>
        <v>60.136307948098775</v>
      </c>
      <c r="PL32">
        <f t="shared" si="743"/>
        <v>60.10951920962539</v>
      </c>
      <c r="PM32">
        <f t="shared" si="743"/>
        <v>60.083005557097572</v>
      </c>
      <c r="PN32">
        <f t="shared" si="743"/>
        <v>60.056764591323429</v>
      </c>
      <c r="PO32">
        <f t="shared" si="743"/>
        <v>60.030793917145608</v>
      </c>
      <c r="PP32">
        <f t="shared" si="743"/>
        <v>60.005091144234569</v>
      </c>
      <c r="PQ32">
        <f t="shared" si="743"/>
        <v>59.979653887840399</v>
      </c>
      <c r="PR32">
        <f t="shared" si="743"/>
        <v>59.954479769504928</v>
      </c>
      <c r="PS32">
        <f t="shared" si="743"/>
        <v>59.92956641773597</v>
      </c>
      <c r="PT32">
        <f t="shared" si="743"/>
        <v>59.904911468645274</v>
      </c>
      <c r="PU32">
        <f t="shared" si="743"/>
        <v>59.880512566551836</v>
      </c>
      <c r="PV32">
        <f t="shared" si="743"/>
        <v>59.856367364552042</v>
      </c>
      <c r="PW32">
        <f t="shared" si="743"/>
        <v>59.83247352505812</v>
      </c>
      <c r="PX32">
        <f t="shared" si="743"/>
        <v>59.808828720306259</v>
      </c>
      <c r="PY32">
        <f t="shared" si="743"/>
        <v>59.785430632835755</v>
      </c>
      <c r="PZ32">
        <f t="shared" si="743"/>
        <v>59.762276955940379</v>
      </c>
      <c r="QA32">
        <f t="shared" si="743"/>
        <v>59.739365394093291</v>
      </c>
      <c r="QB32">
        <f t="shared" si="743"/>
        <v>59.716693663346476</v>
      </c>
      <c r="QC32">
        <f t="shared" si="743"/>
        <v>59.694259491706035</v>
      </c>
      <c r="QD32">
        <f t="shared" si="743"/>
        <v>59.672060619484164</v>
      </c>
      <c r="QE32">
        <f t="shared" si="743"/>
        <v>59.650094799628981</v>
      </c>
      <c r="QF32">
        <f t="shared" si="743"/>
        <v>59.628359798033124</v>
      </c>
      <c r="QG32">
        <f t="shared" si="743"/>
        <v>59.606853393822021</v>
      </c>
      <c r="QH32">
        <f t="shared" si="743"/>
        <v>59.585573379622758</v>
      </c>
      <c r="QI32">
        <f t="shared" ref="QI32:ST32" si="744">(-QH47)*$K16*dt+QH32</f>
        <v>59.564517561814377</v>
      </c>
      <c r="QJ32">
        <f t="shared" si="744"/>
        <v>59.543683760760409</v>
      </c>
      <c r="QK32">
        <f t="shared" si="744"/>
        <v>59.523069811024449</v>
      </c>
      <c r="QL32">
        <f t="shared" si="744"/>
        <v>59.502673561569466</v>
      </c>
      <c r="QM32">
        <f t="shared" si="744"/>
        <v>59.482492875941652</v>
      </c>
      <c r="QN32">
        <f t="shared" si="744"/>
        <v>59.46252563243938</v>
      </c>
      <c r="QO32">
        <f t="shared" si="744"/>
        <v>59.442769724268047</v>
      </c>
      <c r="QP32">
        <f t="shared" si="744"/>
        <v>59.42322305968132</v>
      </c>
      <c r="QQ32">
        <f t="shared" si="744"/>
        <v>59.403883562109499</v>
      </c>
      <c r="QR32">
        <f t="shared" si="744"/>
        <v>59.38474917027547</v>
      </c>
      <c r="QS32">
        <f t="shared" si="744"/>
        <v>59.365817838298874</v>
      </c>
      <c r="QT32">
        <f t="shared" si="744"/>
        <v>59.347087535789008</v>
      </c>
      <c r="QU32">
        <f t="shared" si="744"/>
        <v>59.328556247926947</v>
      </c>
      <c r="QV32">
        <f t="shared" si="744"/>
        <v>59.310221975537395</v>
      </c>
      <c r="QW32">
        <f t="shared" si="744"/>
        <v>59.292082735150757</v>
      </c>
      <c r="QX32">
        <f t="shared" si="744"/>
        <v>59.274136559055776</v>
      </c>
      <c r="QY32">
        <f t="shared" si="744"/>
        <v>59.256381495343355</v>
      </c>
      <c r="QZ32">
        <f t="shared" si="744"/>
        <v>59.238815607941774</v>
      </c>
      <c r="RA32">
        <f t="shared" si="744"/>
        <v>59.221436976643851</v>
      </c>
      <c r="RB32">
        <f t="shared" si="744"/>
        <v>59.20424369712633</v>
      </c>
      <c r="RC32">
        <f t="shared" si="744"/>
        <v>59.187233880961948</v>
      </c>
      <c r="RD32">
        <f t="shared" si="744"/>
        <v>59.170405655624435</v>
      </c>
      <c r="RE32">
        <f t="shared" si="744"/>
        <v>59.153757164486841</v>
      </c>
      <c r="RF32">
        <f t="shared" si="744"/>
        <v>59.13728656681355</v>
      </c>
      <c r="RG32">
        <f t="shared" si="744"/>
        <v>59.120992037746184</v>
      </c>
      <c r="RH32">
        <f t="shared" si="744"/>
        <v>59.104871768283786</v>
      </c>
      <c r="RI32">
        <f t="shared" si="744"/>
        <v>59.088923965257521</v>
      </c>
      <c r="RJ32">
        <f t="shared" si="744"/>
        <v>59.073146851300201</v>
      </c>
      <c r="RK32">
        <f t="shared" si="744"/>
        <v>59.057538664810842</v>
      </c>
      <c r="RL32">
        <f t="shared" si="744"/>
        <v>59.042097659914582</v>
      </c>
      <c r="RM32">
        <f t="shared" si="744"/>
        <v>59.026822106418095</v>
      </c>
      <c r="RN32">
        <f t="shared" si="744"/>
        <v>59.011710289760863</v>
      </c>
      <c r="RO32">
        <f t="shared" si="744"/>
        <v>58.996760510962417</v>
      </c>
      <c r="RP32">
        <f t="shared" si="744"/>
        <v>58.981971086565807</v>
      </c>
      <c r="RQ32">
        <f t="shared" si="744"/>
        <v>58.96734034857748</v>
      </c>
      <c r="RR32">
        <f t="shared" si="744"/>
        <v>58.952866644403841</v>
      </c>
      <c r="RS32">
        <f t="shared" si="744"/>
        <v>58.93854833678455</v>
      </c>
      <c r="RT32">
        <f t="shared" si="744"/>
        <v>58.92438380372284</v>
      </c>
      <c r="RU32">
        <f t="shared" si="744"/>
        <v>58.910371438413001</v>
      </c>
      <c r="RV32">
        <f t="shared" si="744"/>
        <v>58.896509649165203</v>
      </c>
      <c r="RW32">
        <f t="shared" si="744"/>
        <v>58.882796859327748</v>
      </c>
      <c r="RX32">
        <f t="shared" si="744"/>
        <v>58.869231507207012</v>
      </c>
      <c r="RY32">
        <f t="shared" si="744"/>
        <v>58.855812045985139</v>
      </c>
      <c r="RZ32">
        <f t="shared" si="744"/>
        <v>58.842536943635672</v>
      </c>
      <c r="SA32">
        <f t="shared" si="744"/>
        <v>58.829404682837222</v>
      </c>
      <c r="SB32">
        <f t="shared" si="744"/>
        <v>58.816413760885318</v>
      </c>
      <c r="SC32">
        <f t="shared" si="744"/>
        <v>58.803562689602593</v>
      </c>
      <c r="SD32">
        <f t="shared" si="744"/>
        <v>58.790849995247335</v>
      </c>
      <c r="SE32">
        <f t="shared" si="744"/>
        <v>58.778274218420613</v>
      </c>
      <c r="SF32">
        <f t="shared" si="744"/>
        <v>58.765833913972017</v>
      </c>
      <c r="SG32">
        <f t="shared" si="744"/>
        <v>58.753527650904168</v>
      </c>
      <c r="SH32">
        <f t="shared" si="744"/>
        <v>58.741354012276048</v>
      </c>
      <c r="SI32">
        <f t="shared" si="744"/>
        <v>58.72931159510528</v>
      </c>
      <c r="SJ32">
        <f t="shared" si="744"/>
        <v>58.717399010269418</v>
      </c>
      <c r="SK32">
        <f t="shared" si="744"/>
        <v>58.705614882406337</v>
      </c>
      <c r="SL32">
        <f t="shared" si="744"/>
        <v>58.693957849813877</v>
      </c>
      <c r="SM32">
        <f t="shared" si="744"/>
        <v>58.682426564348688</v>
      </c>
      <c r="SN32">
        <f t="shared" si="744"/>
        <v>58.671019691324467</v>
      </c>
      <c r="SO32">
        <f t="shared" si="744"/>
        <v>58.659735909409605</v>
      </c>
      <c r="SP32">
        <f t="shared" si="744"/>
        <v>58.64857391052432</v>
      </c>
      <c r="SQ32">
        <f t="shared" si="744"/>
        <v>58.637532399737339</v>
      </c>
      <c r="SR32">
        <f t="shared" si="744"/>
        <v>58.626610095162214</v>
      </c>
      <c r="SS32">
        <f t="shared" si="744"/>
        <v>58.615805727853306</v>
      </c>
      <c r="ST32">
        <f t="shared" si="744"/>
        <v>58.605118041701502</v>
      </c>
      <c r="SU32">
        <f t="shared" ref="SU32:VF32" si="745">(-ST47)*$K16*dt+ST32</f>
        <v>58.594545793329743</v>
      </c>
      <c r="SV32">
        <f t="shared" si="745"/>
        <v>58.584087751988342</v>
      </c>
      <c r="SW32">
        <f t="shared" si="745"/>
        <v>58.57374269945025</v>
      </c>
      <c r="SX32">
        <f t="shared" si="745"/>
        <v>58.563509429906247</v>
      </c>
      <c r="SY32">
        <f t="shared" si="745"/>
        <v>58.553386749860081</v>
      </c>
      <c r="SZ32">
        <f t="shared" si="745"/>
        <v>58.543373478023675</v>
      </c>
      <c r="TA32">
        <f t="shared" si="745"/>
        <v>58.533468445212399</v>
      </c>
      <c r="TB32">
        <f t="shared" si="745"/>
        <v>58.523670494240413</v>
      </c>
      <c r="TC32">
        <f t="shared" si="745"/>
        <v>58.513978479816195</v>
      </c>
      <c r="TD32">
        <f t="shared" si="745"/>
        <v>58.504391268438226</v>
      </c>
      <c r="TE32">
        <f t="shared" si="745"/>
        <v>58.494907738290884</v>
      </c>
      <c r="TF32">
        <f t="shared" si="745"/>
        <v>58.485526779140621</v>
      </c>
      <c r="TG32">
        <f t="shared" si="745"/>
        <v>58.476247292232337</v>
      </c>
      <c r="TH32">
        <f t="shared" si="745"/>
        <v>58.467068190186133</v>
      </c>
      <c r="TI32">
        <f t="shared" si="745"/>
        <v>58.457988396894372</v>
      </c>
      <c r="TJ32">
        <f t="shared" si="745"/>
        <v>58.449006847419071</v>
      </c>
      <c r="TK32">
        <f t="shared" si="745"/>
        <v>58.440122487889703</v>
      </c>
      <c r="TL32">
        <f t="shared" si="745"/>
        <v>58.431334275401383</v>
      </c>
      <c r="TM32">
        <f t="shared" si="745"/>
        <v>58.422641177913491</v>
      </c>
      <c r="TN32">
        <f t="shared" si="745"/>
        <v>58.41404217414874</v>
      </c>
      <c r="TO32">
        <f t="shared" si="745"/>
        <v>58.405536253492699</v>
      </c>
      <c r="TP32">
        <f t="shared" si="745"/>
        <v>58.397122415893811</v>
      </c>
      <c r="TQ32">
        <f t="shared" si="745"/>
        <v>58.38879967176392</v>
      </c>
      <c r="TR32">
        <f t="shared" si="745"/>
        <v>58.380567041879274</v>
      </c>
      <c r="TS32">
        <f t="shared" si="745"/>
        <v>58.372423557282112</v>
      </c>
      <c r="TT32">
        <f t="shared" si="745"/>
        <v>58.364368259182761</v>
      </c>
      <c r="TU32">
        <f t="shared" si="745"/>
        <v>58.356400198862325</v>
      </c>
      <c r="TV32">
        <f t="shared" si="745"/>
        <v>58.348518437575898</v>
      </c>
      <c r="TW32">
        <f t="shared" si="745"/>
        <v>58.340722046456406</v>
      </c>
      <c r="TX32">
        <f t="shared" si="745"/>
        <v>58.333010106419046</v>
      </c>
      <c r="TY32">
        <f t="shared" si="745"/>
        <v>58.325381708066296</v>
      </c>
      <c r="TZ32">
        <f t="shared" si="745"/>
        <v>58.317835951593551</v>
      </c>
      <c r="UA32">
        <f t="shared" si="745"/>
        <v>58.310371946695398</v>
      </c>
      <c r="UB32">
        <f t="shared" si="745"/>
        <v>58.302988812472513</v>
      </c>
      <c r="UC32">
        <f t="shared" si="745"/>
        <v>58.295685677339208</v>
      </c>
      <c r="UD32">
        <f t="shared" si="745"/>
        <v>58.288461678931583</v>
      </c>
      <c r="UE32">
        <f t="shared" si="745"/>
        <v>58.281315964016393</v>
      </c>
      <c r="UF32">
        <f t="shared" si="745"/>
        <v>58.274247688400528</v>
      </c>
      <c r="UG32">
        <f t="shared" si="745"/>
        <v>58.267256016841166</v>
      </c>
      <c r="UH32">
        <f t="shared" si="745"/>
        <v>58.260340122956599</v>
      </c>
      <c r="UI32">
        <f t="shared" si="745"/>
        <v>58.253499189137713</v>
      </c>
      <c r="UJ32">
        <f t="shared" si="745"/>
        <v>58.24673240646019</v>
      </c>
      <c r="UK32">
        <f t="shared" si="745"/>
        <v>58.240038974597333</v>
      </c>
      <c r="UL32">
        <f t="shared" si="745"/>
        <v>58.233418101733591</v>
      </c>
      <c r="UM32">
        <f t="shared" si="745"/>
        <v>58.226869004478793</v>
      </c>
      <c r="UN32">
        <f t="shared" si="745"/>
        <v>58.220390907783049</v>
      </c>
      <c r="UO32">
        <f t="shared" si="745"/>
        <v>58.213983044852306</v>
      </c>
      <c r="UP32">
        <f t="shared" si="745"/>
        <v>58.20764465706467</v>
      </c>
      <c r="UQ32">
        <f t="shared" si="745"/>
        <v>58.201374993887335</v>
      </c>
      <c r="UR32">
        <f t="shared" si="745"/>
        <v>58.195173312794267</v>
      </c>
      <c r="US32">
        <f t="shared" si="745"/>
        <v>58.18903887918453</v>
      </c>
      <c r="UT32">
        <f t="shared" si="745"/>
        <v>58.182970966301333</v>
      </c>
      <c r="UU32">
        <f t="shared" si="745"/>
        <v>58.17696885515177</v>
      </c>
      <c r="UV32">
        <f t="shared" si="745"/>
        <v>58.171031834427225</v>
      </c>
      <c r="UW32">
        <f t="shared" si="745"/>
        <v>58.16515920042449</v>
      </c>
      <c r="UX32">
        <f t="shared" si="745"/>
        <v>58.159350256967549</v>
      </c>
      <c r="UY32">
        <f t="shared" si="745"/>
        <v>58.153604315330071</v>
      </c>
      <c r="UZ32">
        <f t="shared" si="745"/>
        <v>58.147920694158593</v>
      </c>
      <c r="VA32">
        <f t="shared" si="745"/>
        <v>58.142298719396337</v>
      </c>
      <c r="VB32">
        <f t="shared" si="745"/>
        <v>58.136737724207777</v>
      </c>
      <c r="VC32">
        <f t="shared" si="745"/>
        <v>58.131237048903856</v>
      </c>
      <c r="VD32">
        <f t="shared" si="745"/>
        <v>58.125796040867854</v>
      </c>
      <c r="VE32">
        <f t="shared" si="745"/>
        <v>58.120414054481969</v>
      </c>
      <c r="VF32">
        <f t="shared" si="745"/>
        <v>58.115090451054563</v>
      </c>
      <c r="VG32">
        <f t="shared" ref="VG32:XR32" si="746">(-VF47)*$K16*dt+VF32</f>
        <v>58.109824598748069</v>
      </c>
      <c r="VH32">
        <f t="shared" si="746"/>
        <v>58.104615872507573</v>
      </c>
      <c r="VI32">
        <f t="shared" si="746"/>
        <v>58.09946365399005</v>
      </c>
      <c r="VJ32">
        <f t="shared" si="746"/>
        <v>58.094367331494276</v>
      </c>
      <c r="VK32">
        <f t="shared" si="746"/>
        <v>58.089326299891383</v>
      </c>
      <c r="VL32">
        <f t="shared" si="746"/>
        <v>58.084339960556093</v>
      </c>
      <c r="VM32">
        <f t="shared" si="746"/>
        <v>58.079407721298551</v>
      </c>
      <c r="VN32">
        <f t="shared" si="746"/>
        <v>58.074528996296884</v>
      </c>
      <c r="VO32">
        <f t="shared" si="746"/>
        <v>58.069703206030333</v>
      </c>
      <c r="VP32">
        <f t="shared" si="746"/>
        <v>58.064929777213052</v>
      </c>
      <c r="VQ32">
        <f t="shared" si="746"/>
        <v>58.060208142728577</v>
      </c>
      <c r="VR32">
        <f t="shared" si="746"/>
        <v>58.055537741564848</v>
      </c>
      <c r="VS32">
        <f t="shared" si="746"/>
        <v>58.050918018749954</v>
      </c>
      <c r="VT32">
        <f t="shared" si="746"/>
        <v>58.046348425288414</v>
      </c>
      <c r="VU32">
        <f t="shared" si="746"/>
        <v>58.041828418098163</v>
      </c>
      <c r="VV32">
        <f t="shared" si="746"/>
        <v>58.037357459948076</v>
      </c>
      <c r="VW32">
        <f t="shared" si="746"/>
        <v>58.03293501939617</v>
      </c>
      <c r="VX32">
        <f t="shared" si="746"/>
        <v>58.028560570728366</v>
      </c>
      <c r="VY32">
        <f t="shared" si="746"/>
        <v>58.024233593897883</v>
      </c>
      <c r="VZ32">
        <f t="shared" si="746"/>
        <v>58.01995357446522</v>
      </c>
      <c r="WA32">
        <f t="shared" si="746"/>
        <v>58.015720003538732</v>
      </c>
      <c r="WB32">
        <f t="shared" si="746"/>
        <v>58.011532377715824</v>
      </c>
      <c r="WC32">
        <f t="shared" si="746"/>
        <v>58.00739019902467</v>
      </c>
      <c r="WD32">
        <f t="shared" si="746"/>
        <v>58.003292974866589</v>
      </c>
      <c r="WE32">
        <f t="shared" si="746"/>
        <v>57.999240217958942</v>
      </c>
      <c r="WF32">
        <f t="shared" si="746"/>
        <v>57.995231446278623</v>
      </c>
      <c r="WG32">
        <f t="shared" si="746"/>
        <v>57.991266183006132</v>
      </c>
      <c r="WH32">
        <f t="shared" si="746"/>
        <v>57.987343956470191</v>
      </c>
      <c r="WI32">
        <f t="shared" si="746"/>
        <v>57.983464300092912</v>
      </c>
      <c r="WJ32">
        <f t="shared" si="746"/>
        <v>57.979626752335548</v>
      </c>
      <c r="WK32">
        <f t="shared" si="746"/>
        <v>57.975830856644798</v>
      </c>
      <c r="WL32">
        <f t="shared" si="746"/>
        <v>57.972076273875892</v>
      </c>
      <c r="WM32">
        <f t="shared" si="746"/>
        <v>57.968363075433594</v>
      </c>
      <c r="WN32">
        <f t="shared" si="746"/>
        <v>57.964692197505791</v>
      </c>
      <c r="WO32">
        <f t="shared" si="746"/>
        <v>57.961065979528243</v>
      </c>
      <c r="WP32">
        <f t="shared" si="746"/>
        <v>57.957488696181159</v>
      </c>
      <c r="WQ32">
        <f t="shared" si="746"/>
        <v>57.953967007885922</v>
      </c>
      <c r="WR32">
        <f t="shared" si="746"/>
        <v>57.950510282653141</v>
      </c>
      <c r="WS32">
        <f t="shared" si="746"/>
        <v>57.947130770130151</v>
      </c>
      <c r="WT32">
        <f t="shared" si="746"/>
        <v>57.943843630778048</v>
      </c>
      <c r="WU32">
        <f t="shared" si="746"/>
        <v>57.940666837588481</v>
      </c>
      <c r="WV32">
        <f t="shared" si="746"/>
        <v>57.937620975321067</v>
      </c>
      <c r="WW32">
        <f t="shared" si="746"/>
        <v>57.934728964545712</v>
      </c>
      <c r="WX32">
        <f t="shared" si="746"/>
        <v>57.932015736574741</v>
      </c>
      <c r="WY32">
        <f t="shared" si="746"/>
        <v>57.929507882166469</v>
      </c>
      <c r="WZ32">
        <f t="shared" si="746"/>
        <v>57.92723329278693</v>
      </c>
      <c r="XA32">
        <f t="shared" si="746"/>
        <v>57.925220808974672</v>
      </c>
      <c r="XB32">
        <f t="shared" si="746"/>
        <v>57.923499886408258</v>
      </c>
      <c r="XC32">
        <f t="shared" si="746"/>
        <v>57.922100286855233</v>
      </c>
      <c r="XD32">
        <f t="shared" si="746"/>
        <v>57.921051798365838</v>
      </c>
      <c r="XE32">
        <f t="shared" si="746"/>
        <v>57.920383986857587</v>
      </c>
      <c r="XF32">
        <f t="shared" si="746"/>
        <v>57.92012597956132</v>
      </c>
      <c r="XG32">
        <f t="shared" si="746"/>
        <v>57.920306279587535</v>
      </c>
      <c r="XH32">
        <f t="shared" si="746"/>
        <v>57.920952610039805</v>
      </c>
      <c r="XI32">
        <f t="shared" si="746"/>
        <v>57.922091785571162</v>
      </c>
      <c r="XJ32">
        <f t="shared" si="746"/>
        <v>57.9237496089793</v>
      </c>
      <c r="XK32">
        <f t="shared" si="746"/>
        <v>57.925950790308164</v>
      </c>
      <c r="XL32">
        <f t="shared" si="746"/>
        <v>57.928718885918776</v>
      </c>
      <c r="XM32">
        <f t="shared" si="746"/>
        <v>57.932076255073227</v>
      </c>
      <c r="XN32">
        <f t="shared" si="746"/>
        <v>57.936044031712427</v>
      </c>
      <c r="XO32">
        <f t="shared" si="746"/>
        <v>57.940642109279153</v>
      </c>
      <c r="XP32">
        <f t="shared" si="746"/>
        <v>57.945889136625937</v>
      </c>
      <c r="XQ32">
        <f t="shared" si="746"/>
        <v>57.951802523240929</v>
      </c>
      <c r="XR32">
        <f t="shared" si="746"/>
        <v>57.958398452216457</v>
      </c>
      <c r="XS32">
        <f t="shared" ref="XS32:AAD32" si="747">(-XR47)*$K16*dt+XR32</f>
        <v>57.965691899567808</v>
      </c>
      <c r="XT32">
        <f t="shared" si="747"/>
        <v>57.973696658681888</v>
      </c>
      <c r="XU32">
        <f t="shared" si="747"/>
        <v>57.982425368833745</v>
      </c>
      <c r="XV32">
        <f t="shared" si="747"/>
        <v>57.991889546853379</v>
      </c>
      <c r="XW32">
        <f t="shared" si="747"/>
        <v>58.002099621155061</v>
      </c>
      <c r="XX32">
        <f t="shared" si="747"/>
        <v>58.013064967457701</v>
      </c>
      <c r="XY32">
        <f t="shared" si="747"/>
        <v>58.024793945627543</v>
      </c>
      <c r="XZ32">
        <f t="shared" si="747"/>
        <v>58.037293937165053</v>
      </c>
      <c r="YA32">
        <f t="shared" si="747"/>
        <v>58.050571382937299</v>
      </c>
      <c r="YB32">
        <f t="shared" si="747"/>
        <v>58.064631820826023</v>
      </c>
      <c r="YC32">
        <f t="shared" si="747"/>
        <v>58.079479923021545</v>
      </c>
      <c r="YD32">
        <f t="shared" si="747"/>
        <v>58.095119532744171</v>
      </c>
      <c r="YE32">
        <f t="shared" si="747"/>
        <v>58.111553700219176</v>
      </c>
      <c r="YF32">
        <f t="shared" si="747"/>
        <v>58.12878471776915</v>
      </c>
      <c r="YG32">
        <f t="shared" si="747"/>
        <v>58.146814153919841</v>
      </c>
      <c r="YH32">
        <f t="shared" si="747"/>
        <v>58.165642886442718</v>
      </c>
      <c r="YI32">
        <f t="shared" si="747"/>
        <v>58.185271134280534</v>
      </c>
      <c r="YJ32">
        <f t="shared" si="747"/>
        <v>58.20569848832131</v>
      </c>
      <c r="YK32">
        <f t="shared" si="747"/>
        <v>58.226923941002092</v>
      </c>
      <c r="YL32">
        <f t="shared" si="747"/>
        <v>58.248945914737085</v>
      </c>
      <c r="YM32">
        <f t="shared" si="747"/>
        <v>58.271762289175449</v>
      </c>
      <c r="YN32">
        <f t="shared" si="747"/>
        <v>58.295370427302778</v>
      </c>
      <c r="YO32">
        <f t="shared" si="747"/>
        <v>58.319767200407348</v>
      </c>
      <c r="YP32">
        <f t="shared" si="747"/>
        <v>58.344949011937565</v>
      </c>
      <c r="YQ32">
        <f t="shared" si="747"/>
        <v>58.370911820281364</v>
      </c>
      <c r="YR32">
        <f t="shared" si="747"/>
        <v>58.397651160501447</v>
      </c>
      <c r="YS32">
        <f t="shared" si="747"/>
        <v>58.425162165062474</v>
      </c>
      <c r="YT32">
        <f t="shared" si="747"/>
        <v>58.453439583587901</v>
      </c>
      <c r="YU32">
        <f t="shared" si="747"/>
        <v>58.482477801685064</v>
      </c>
      <c r="YV32">
        <f t="shared" si="747"/>
        <v>58.512270858877415</v>
      </c>
      <c r="YW32">
        <f t="shared" si="747"/>
        <v>58.542812465682907</v>
      </c>
      <c r="YX32">
        <f t="shared" si="747"/>
        <v>58.574096019877111</v>
      </c>
      <c r="YY32">
        <f t="shared" si="747"/>
        <v>58.606114621979003</v>
      </c>
      <c r="YZ32">
        <f t="shared" si="747"/>
        <v>58.638861089996531</v>
      </c>
      <c r="ZA32">
        <f t="shared" si="747"/>
        <v>58.672327973468093</v>
      </c>
      <c r="ZB32">
        <f t="shared" si="747"/>
        <v>58.706507566834873</v>
      </c>
      <c r="ZC32">
        <f t="shared" si="747"/>
        <v>58.741391922177797</v>
      </c>
      <c r="ZD32">
        <f t="shared" si="747"/>
        <v>58.77697286135156</v>
      </c>
      <c r="ZE32">
        <f t="shared" si="747"/>
        <v>58.813241987546881</v>
      </c>
      <c r="ZF32">
        <f t="shared" si="747"/>
        <v>58.850190696310804</v>
      </c>
      <c r="ZG32">
        <f t="shared" si="747"/>
        <v>58.887810186053443</v>
      </c>
      <c r="ZH32">
        <f t="shared" si="747"/>
        <v>58.926091468068378</v>
      </c>
      <c r="ZI32">
        <f t="shared" si="747"/>
        <v>58.96502537609247</v>
      </c>
      <c r="ZJ32">
        <f t="shared" si="747"/>
        <v>59.004602575429587</v>
      </c>
      <c r="ZK32">
        <f t="shared" si="747"/>
        <v>59.044813571661635</v>
      </c>
      <c r="ZL32">
        <f t="shared" si="747"/>
        <v>59.085648718968812</v>
      </c>
      <c r="ZM32">
        <f t="shared" si="747"/>
        <v>59.127098228080136</v>
      </c>
      <c r="ZN32">
        <f t="shared" si="747"/>
        <v>59.169152173873911</v>
      </c>
      <c r="ZO32">
        <f t="shared" si="747"/>
        <v>59.211800502646931</v>
      </c>
      <c r="ZP32">
        <f t="shared" si="747"/>
        <v>59.255033039069993</v>
      </c>
      <c r="ZQ32">
        <f t="shared" si="747"/>
        <v>59.298839492846525</v>
      </c>
      <c r="ZR32">
        <f t="shared" si="747"/>
        <v>59.343209465090077</v>
      </c>
      <c r="ZS32">
        <f t="shared" si="747"/>
        <v>59.38813245443545</v>
      </c>
      <c r="ZT32">
        <f t="shared" si="747"/>
        <v>59.433597862897692</v>
      </c>
      <c r="ZU32">
        <f t="shared" si="747"/>
        <v>59.479595001492029</v>
      </c>
      <c r="ZV32">
        <f t="shared" si="747"/>
        <v>59.526113095627359</v>
      </c>
      <c r="ZW32">
        <f t="shared" si="747"/>
        <v>59.573141290285001</v>
      </c>
      <c r="ZX32">
        <f t="shared" si="747"/>
        <v>59.620668654993892</v>
      </c>
      <c r="ZY32">
        <f t="shared" si="747"/>
        <v>59.668684188612644</v>
      </c>
      <c r="ZZ32">
        <f t="shared" si="747"/>
        <v>59.717176823928412</v>
      </c>
      <c r="AAA32">
        <f t="shared" si="747"/>
        <v>59.766135432081803</v>
      </c>
      <c r="AAB32">
        <f t="shared" si="747"/>
        <v>59.815548826826763</v>
      </c>
      <c r="AAC32">
        <f t="shared" si="747"/>
        <v>59.865405768633586</v>
      </c>
      <c r="AAD32">
        <f t="shared" si="747"/>
        <v>59.915694968642939</v>
      </c>
      <c r="AAE32">
        <f t="shared" ref="AAE32:AAO32" si="748">(-AAD47)*$K16*dt+AAD32</f>
        <v>59.966405092478333</v>
      </c>
      <c r="AAF32">
        <f t="shared" si="748"/>
        <v>60.017524763923937</v>
      </c>
      <c r="AAG32">
        <f t="shared" si="748"/>
        <v>60.069042568474323</v>
      </c>
      <c r="AAH32">
        <f t="shared" si="748"/>
        <v>60.120947056762439</v>
      </c>
      <c r="AAI32">
        <f t="shared" si="748"/>
        <v>60.173226747871553</v>
      </c>
      <c r="AAJ32">
        <f t="shared" si="748"/>
        <v>60.225870132536819</v>
      </c>
      <c r="AAK32">
        <f t="shared" si="748"/>
        <v>60.278865676241686</v>
      </c>
      <c r="AAL32">
        <f t="shared" si="748"/>
        <v>60.332201822214017</v>
      </c>
      <c r="AAM32">
        <f t="shared" si="748"/>
        <v>60.385866994326776</v>
      </c>
      <c r="AAN32">
        <f t="shared" si="748"/>
        <v>60.439849599907504</v>
      </c>
      <c r="AAO32">
        <f t="shared" si="748"/>
        <v>60.494138032460995</v>
      </c>
    </row>
    <row r="33" spans="1:719">
      <c r="A33">
        <f t="shared" si="676"/>
        <v>9</v>
      </c>
      <c r="B33">
        <f>B$24+SUM(G$8:G16)*(B$35-B$24)/G$20</f>
        <v>66.037095196748012</v>
      </c>
      <c r="C33">
        <f t="shared" ref="C33:BN33" si="749">(-B48)*$K17*dt+B33</f>
        <v>66.037095196748012</v>
      </c>
      <c r="D33">
        <f t="shared" si="749"/>
        <v>66.037095196748012</v>
      </c>
      <c r="E33">
        <f t="shared" si="749"/>
        <v>66.037095196748012</v>
      </c>
      <c r="F33">
        <f t="shared" si="749"/>
        <v>66.037095196748012</v>
      </c>
      <c r="G33">
        <f t="shared" si="749"/>
        <v>66.037095196748012</v>
      </c>
      <c r="H33">
        <f t="shared" si="749"/>
        <v>66.037095196748012</v>
      </c>
      <c r="I33">
        <f t="shared" si="749"/>
        <v>66.037095196748012</v>
      </c>
      <c r="J33">
        <f t="shared" si="749"/>
        <v>66.037095196748012</v>
      </c>
      <c r="K33">
        <f t="shared" si="749"/>
        <v>66.037095199275782</v>
      </c>
      <c r="L33">
        <f t="shared" si="749"/>
        <v>66.037095218245838</v>
      </c>
      <c r="M33">
        <f t="shared" si="749"/>
        <v>66.037095297141192</v>
      </c>
      <c r="N33">
        <f t="shared" si="749"/>
        <v>66.037095537517047</v>
      </c>
      <c r="O33">
        <f t="shared" si="749"/>
        <v>66.037096136736977</v>
      </c>
      <c r="P33">
        <f t="shared" si="749"/>
        <v>66.037097432325226</v>
      </c>
      <c r="Q33">
        <f t="shared" si="749"/>
        <v>66.037099949555682</v>
      </c>
      <c r="R33">
        <f t="shared" si="749"/>
        <v>66.037104448817871</v>
      </c>
      <c r="S33">
        <f t="shared" si="749"/>
        <v>66.037111969700064</v>
      </c>
      <c r="T33">
        <f t="shared" si="749"/>
        <v>66.037123869393966</v>
      </c>
      <c r="U33">
        <f t="shared" si="749"/>
        <v>66.037141853779602</v>
      </c>
      <c r="V33">
        <f t="shared" si="749"/>
        <v>66.037168000272416</v>
      </c>
      <c r="W33">
        <f t="shared" si="749"/>
        <v>66.037204772138637</v>
      </c>
      <c r="X33">
        <f t="shared" si="749"/>
        <v>66.037255024478739</v>
      </c>
      <c r="Y33">
        <f t="shared" si="749"/>
        <v>66.037322002439112</v>
      </c>
      <c r="Z33">
        <f t="shared" si="749"/>
        <v>66.037409332451048</v>
      </c>
      <c r="AA33">
        <f t="shared" si="749"/>
        <v>66.037521007431948</v>
      </c>
      <c r="AB33">
        <f t="shared" si="749"/>
        <v>66.037661366939531</v>
      </c>
      <c r="AC33">
        <f t="shared" si="749"/>
        <v>66.037835073264731</v>
      </c>
      <c r="AD33">
        <f t="shared" si="749"/>
        <v>66.038047084402265</v>
      </c>
      <c r="AE33">
        <f t="shared" si="749"/>
        <v>66.038302624763801</v>
      </c>
      <c r="AF33">
        <f t="shared" si="749"/>
        <v>66.038607154408808</v>
      </c>
      <c r="AG33">
        <f t="shared" si="749"/>
        <v>66.038966337471734</v>
      </c>
      <c r="AH33">
        <f t="shared" si="749"/>
        <v>66.039386010367011</v>
      </c>
      <c r="AI33">
        <f t="shared" si="749"/>
        <v>66.039872150259868</v>
      </c>
      <c r="AJ33">
        <f t="shared" si="749"/>
        <v>66.040430844203797</v>
      </c>
      <c r="AK33">
        <f t="shared" si="749"/>
        <v>66.041068259266382</v>
      </c>
      <c r="AL33">
        <f t="shared" si="749"/>
        <v>66.041790613894491</v>
      </c>
      <c r="AM33">
        <f t="shared" si="749"/>
        <v>66.0426041507082</v>
      </c>
      <c r="AN33">
        <f t="shared" si="749"/>
        <v>66.043515110859033</v>
      </c>
      <c r="AO33">
        <f t="shared" si="749"/>
        <v>66.044529710042966</v>
      </c>
      <c r="AP33">
        <f t="shared" si="749"/>
        <v>66.04565411622012</v>
      </c>
      <c r="AQ33">
        <f t="shared" si="749"/>
        <v>66.046894429061467</v>
      </c>
      <c r="AR33">
        <f t="shared" si="749"/>
        <v>66.048256661116781</v>
      </c>
      <c r="AS33">
        <f t="shared" si="749"/>
        <v>66.049746720677248</v>
      </c>
      <c r="AT33">
        <f t="shared" si="749"/>
        <v>66.051370396289499</v>
      </c>
      <c r="AU33">
        <f t="shared" si="749"/>
        <v>66.053133342865166</v>
      </c>
      <c r="AV33">
        <f t="shared" si="749"/>
        <v>66.055041069320239</v>
      </c>
      <c r="AW33">
        <f t="shared" si="749"/>
        <v>66.057098927671746</v>
      </c>
      <c r="AX33">
        <f t="shared" si="749"/>
        <v>66.059312103514614</v>
      </c>
      <c r="AY33">
        <f t="shared" si="749"/>
        <v>66.061685607798552</v>
      </c>
      <c r="AZ33">
        <f t="shared" si="749"/>
        <v>66.064224269823669</v>
      </c>
      <c r="BA33">
        <f t="shared" si="749"/>
        <v>66.066932731373527</v>
      </c>
      <c r="BB33">
        <f t="shared" si="749"/>
        <v>66.069815441905064</v>
      </c>
      <c r="BC33">
        <f t="shared" si="749"/>
        <v>66.07287665471668</v>
      </c>
      <c r="BD33">
        <f t="shared" si="749"/>
        <v>66.076120424018157</v>
      </c>
      <c r="BE33">
        <f t="shared" si="749"/>
        <v>66.079550602828704</v>
      </c>
      <c r="BF33">
        <f t="shared" si="749"/>
        <v>66.083170841632679</v>
      </c>
      <c r="BG33">
        <f t="shared" si="749"/>
        <v>66.086984587725837</v>
      </c>
      <c r="BH33">
        <f t="shared" si="749"/>
        <v>66.09099508518841</v>
      </c>
      <c r="BI33">
        <f t="shared" si="749"/>
        <v>66.095205375424953</v>
      </c>
      <c r="BJ33">
        <f t="shared" si="749"/>
        <v>66.099618298214523</v>
      </c>
      <c r="BK33">
        <f t="shared" si="749"/>
        <v>66.104236493218181</v>
      </c>
      <c r="BL33">
        <f t="shared" si="749"/>
        <v>66.10906240189442</v>
      </c>
      <c r="BM33">
        <f t="shared" si="749"/>
        <v>66.114098269776534</v>
      </c>
      <c r="BN33">
        <f t="shared" si="749"/>
        <v>66.119346149069187</v>
      </c>
      <c r="BO33">
        <f t="shared" ref="BO33:DZ33" si="750">(-BN48)*$K17*dt+BN33</f>
        <v>66.12480790152469</v>
      </c>
      <c r="BP33">
        <f t="shared" si="750"/>
        <v>66.130485201562365</v>
      </c>
      <c r="BQ33">
        <f t="shared" si="750"/>
        <v>66.136379539597641</v>
      </c>
      <c r="BR33">
        <f t="shared" si="750"/>
        <v>66.142492225549688</v>
      </c>
      <c r="BS33">
        <f t="shared" si="750"/>
        <v>66.148824392499563</v>
      </c>
      <c r="BT33">
        <f t="shared" si="750"/>
        <v>66.155377000472896</v>
      </c>
      <c r="BU33">
        <f t="shared" si="750"/>
        <v>66.162150840323633</v>
      </c>
      <c r="BV33">
        <f t="shared" si="750"/>
        <v>66.169146537697301</v>
      </c>
      <c r="BW33">
        <f t="shared" si="750"/>
        <v>66.176364557054498</v>
      </c>
      <c r="BX33">
        <f t="shared" si="750"/>
        <v>66.183805205737016</v>
      </c>
      <c r="BY33">
        <f t="shared" si="750"/>
        <v>66.19146863806067</v>
      </c>
      <c r="BZ33">
        <f t="shared" si="750"/>
        <v>66.199354859420765</v>
      </c>
      <c r="CA33">
        <f t="shared" si="750"/>
        <v>66.207463730397279</v>
      </c>
      <c r="CB33">
        <f t="shared" si="750"/>
        <v>66.215794970848563</v>
      </c>
      <c r="CC33">
        <f t="shared" si="750"/>
        <v>66.224348163983279</v>
      </c>
      <c r="CD33">
        <f t="shared" si="750"/>
        <v>66.233122760401741</v>
      </c>
      <c r="CE33">
        <f t="shared" si="750"/>
        <v>66.242118082098699</v>
      </c>
      <c r="CF33">
        <f t="shared" si="750"/>
        <v>66.251333326420706</v>
      </c>
      <c r="CG33">
        <f t="shared" si="750"/>
        <v>66.260767569972018</v>
      </c>
      <c r="CH33">
        <f t="shared" si="750"/>
        <v>66.270419772463896</v>
      </c>
      <c r="CI33">
        <f t="shared" si="750"/>
        <v>66.28028878050273</v>
      </c>
      <c r="CJ33">
        <f t="shared" si="750"/>
        <v>66.290373331313361</v>
      </c>
      <c r="CK33">
        <f t="shared" si="750"/>
        <v>66.300672056394333</v>
      </c>
      <c r="CL33">
        <f t="shared" si="750"/>
        <v>66.311183485102532</v>
      </c>
      <c r="CM33">
        <f t="shared" si="750"/>
        <v>66.321906048165062</v>
      </c>
      <c r="CN33">
        <f t="shared" si="750"/>
        <v>66.332838081116847</v>
      </c>
      <c r="CO33">
        <f t="shared" si="750"/>
        <v>66.343977827662556</v>
      </c>
      <c r="CP33">
        <f t="shared" si="750"/>
        <v>66.355323442962089</v>
      </c>
      <c r="CQ33">
        <f t="shared" si="750"/>
        <v>66.366872996839135</v>
      </c>
      <c r="CR33">
        <f t="shared" si="750"/>
        <v>66.378624476912435</v>
      </c>
      <c r="CS33">
        <f t="shared" si="750"/>
        <v>66.390575791649923</v>
      </c>
      <c r="CT33">
        <f t="shared" si="750"/>
        <v>66.402724773345909</v>
      </c>
      <c r="CU33">
        <f t="shared" si="750"/>
        <v>66.415069181021806</v>
      </c>
      <c r="CV33">
        <f t="shared" si="750"/>
        <v>66.427606703251058</v>
      </c>
      <c r="CW33">
        <f t="shared" si="750"/>
        <v>66.440334960909041</v>
      </c>
      <c r="CX33">
        <f t="shared" si="750"/>
        <v>66.453251509848883</v>
      </c>
      <c r="CY33">
        <f t="shared" si="750"/>
        <v>66.466353843504379</v>
      </c>
      <c r="CZ33">
        <f t="shared" si="750"/>
        <v>66.479639395420989</v>
      </c>
      <c r="DA33">
        <f t="shared" si="750"/>
        <v>66.493105541716275</v>
      </c>
      <c r="DB33">
        <f t="shared" si="750"/>
        <v>66.50674960347115</v>
      </c>
      <c r="DC33">
        <f t="shared" si="750"/>
        <v>66.520568849053205</v>
      </c>
      <c r="DD33">
        <f t="shared" si="750"/>
        <v>66.534560496373672</v>
      </c>
      <c r="DE33">
        <f t="shared" si="750"/>
        <v>66.548721715079381</v>
      </c>
      <c r="DF33">
        <f t="shared" si="750"/>
        <v>66.56304962868137</v>
      </c>
      <c r="DG33">
        <f t="shared" si="750"/>
        <v>66.577541316621506</v>
      </c>
      <c r="DH33">
        <f t="shared" si="750"/>
        <v>66.592193816278808</v>
      </c>
      <c r="DI33">
        <f t="shared" si="750"/>
        <v>66.607004124916926</v>
      </c>
      <c r="DJ33">
        <f t="shared" si="750"/>
        <v>66.621969201574402</v>
      </c>
      <c r="DK33">
        <f t="shared" si="750"/>
        <v>66.637085968899171</v>
      </c>
      <c r="DL33">
        <f t="shared" si="750"/>
        <v>66.652351314928978</v>
      </c>
      <c r="DM33">
        <f t="shared" si="750"/>
        <v>66.667762094819082</v>
      </c>
      <c r="DN33">
        <f t="shared" si="750"/>
        <v>66.683315132518942</v>
      </c>
      <c r="DO33">
        <f t="shared" si="750"/>
        <v>66.699007222399189</v>
      </c>
      <c r="DP33">
        <f t="shared" si="750"/>
        <v>66.714835130830565</v>
      </c>
      <c r="DQ33">
        <f t="shared" si="750"/>
        <v>66.730795597716096</v>
      </c>
      <c r="DR33">
        <f t="shared" si="750"/>
        <v>66.746885337978057</v>
      </c>
      <c r="DS33">
        <f t="shared" si="750"/>
        <v>66.763101043001072</v>
      </c>
      <c r="DT33">
        <f t="shared" si="750"/>
        <v>66.779439382032791</v>
      </c>
      <c r="DU33">
        <f t="shared" si="750"/>
        <v>66.795897003543331</v>
      </c>
      <c r="DV33">
        <f t="shared" si="750"/>
        <v>66.812470536545007</v>
      </c>
      <c r="DW33">
        <f t="shared" si="750"/>
        <v>66.82915659187347</v>
      </c>
      <c r="DX33">
        <f t="shared" si="750"/>
        <v>66.845951763431614</v>
      </c>
      <c r="DY33">
        <f t="shared" si="750"/>
        <v>66.862852629397381</v>
      </c>
      <c r="DZ33">
        <f t="shared" si="750"/>
        <v>66.87985575339674</v>
      </c>
      <c r="EA33">
        <f t="shared" ref="EA33:GL33" si="751">(-DZ48)*$K17*dt+DZ33</f>
        <v>66.89695768564296</v>
      </c>
      <c r="EB33">
        <f t="shared" si="751"/>
        <v>66.914154964043249</v>
      </c>
      <c r="EC33">
        <f t="shared" si="751"/>
        <v>66.931444115273948</v>
      </c>
      <c r="ED33">
        <f t="shared" si="751"/>
        <v>66.948821655825313</v>
      </c>
      <c r="EE33">
        <f t="shared" si="751"/>
        <v>66.966284093016853</v>
      </c>
      <c r="EF33">
        <f t="shared" si="751"/>
        <v>66.983827925984315</v>
      </c>
      <c r="EG33">
        <f t="shared" si="751"/>
        <v>67.001449646639188</v>
      </c>
      <c r="EH33">
        <f t="shared" si="751"/>
        <v>67.019145740601815</v>
      </c>
      <c r="EI33">
        <f t="shared" si="751"/>
        <v>67.036912688108799</v>
      </c>
      <c r="EJ33">
        <f t="shared" si="751"/>
        <v>67.054746964895813</v>
      </c>
      <c r="EK33">
        <f t="shared" si="751"/>
        <v>67.072645043056511</v>
      </c>
      <c r="EL33">
        <f t="shared" si="751"/>
        <v>67.090603391878417</v>
      </c>
      <c r="EM33">
        <f t="shared" si="751"/>
        <v>67.108618478656609</v>
      </c>
      <c r="EN33">
        <f t="shared" si="751"/>
        <v>67.1266867694859</v>
      </c>
      <c r="EO33">
        <f t="shared" si="751"/>
        <v>67.144804730032334</v>
      </c>
      <c r="EP33">
        <f t="shared" si="751"/>
        <v>67.162968826284697</v>
      </c>
      <c r="EQ33">
        <f t="shared" si="751"/>
        <v>67.181175525286662</v>
      </c>
      <c r="ER33">
        <f t="shared" si="751"/>
        <v>67.199421295850343</v>
      </c>
      <c r="ES33">
        <f t="shared" si="751"/>
        <v>67.217702609251845</v>
      </c>
      <c r="ET33">
        <f t="shared" si="751"/>
        <v>67.236015939909407</v>
      </c>
      <c r="EU33">
        <f t="shared" si="751"/>
        <v>67.254357766044805</v>
      </c>
      <c r="EV33">
        <f t="shared" si="751"/>
        <v>67.272724570328577</v>
      </c>
      <c r="EW33">
        <f t="shared" si="751"/>
        <v>67.291112840509513</v>
      </c>
      <c r="EX33">
        <f t="shared" si="751"/>
        <v>67.309519070029182</v>
      </c>
      <c r="EY33">
        <f t="shared" si="751"/>
        <v>67.32793975862171</v>
      </c>
      <c r="EZ33">
        <f t="shared" si="751"/>
        <v>67.346371412899614</v>
      </c>
      <c r="FA33">
        <f t="shared" si="751"/>
        <v>67.364810546925924</v>
      </c>
      <c r="FB33">
        <f t="shared" si="751"/>
        <v>67.383253682773187</v>
      </c>
      <c r="FC33">
        <f t="shared" si="751"/>
        <v>67.401697351069771</v>
      </c>
      <c r="FD33">
        <f t="shared" si="751"/>
        <v>67.420138091533843</v>
      </c>
      <c r="FE33">
        <f t="shared" si="751"/>
        <v>67.438572453495553</v>
      </c>
      <c r="FF33">
        <f t="shared" si="751"/>
        <v>67.456996996407639</v>
      </c>
      <c r="FG33">
        <f t="shared" si="751"/>
        <v>67.475408290345001</v>
      </c>
      <c r="FH33">
        <f t="shared" si="751"/>
        <v>67.493802916493507</v>
      </c>
      <c r="FI33">
        <f t="shared" si="751"/>
        <v>67.512177467628433</v>
      </c>
      <c r="FJ33">
        <f t="shared" si="751"/>
        <v>67.530528548582822</v>
      </c>
      <c r="FK33">
        <f t="shared" si="751"/>
        <v>67.548852776706127</v>
      </c>
      <c r="FL33">
        <f t="shared" si="751"/>
        <v>67.567146782313458</v>
      </c>
      <c r="FM33">
        <f t="shared" si="751"/>
        <v>67.585407209125648</v>
      </c>
      <c r="FN33">
        <f t="shared" si="751"/>
        <v>67.603630714700543</v>
      </c>
      <c r="FO33">
        <f t="shared" si="751"/>
        <v>67.621813970855683</v>
      </c>
      <c r="FP33">
        <f t="shared" si="751"/>
        <v>67.639953664082711</v>
      </c>
      <c r="FQ33">
        <f t="shared" si="751"/>
        <v>67.658046495953727</v>
      </c>
      <c r="FR33">
        <f t="shared" si="751"/>
        <v>67.676089183519778</v>
      </c>
      <c r="FS33">
        <f t="shared" si="751"/>
        <v>67.694078459701899</v>
      </c>
      <c r="FT33">
        <f t="shared" si="751"/>
        <v>67.712011073674645</v>
      </c>
      <c r="FU33">
        <f t="shared" si="751"/>
        <v>67.729883791242571</v>
      </c>
      <c r="FV33">
        <f t="shared" si="751"/>
        <v>67.747693395209794</v>
      </c>
      <c r="FW33">
        <f t="shared" si="751"/>
        <v>67.765436685742728</v>
      </c>
      <c r="FX33">
        <f t="shared" si="751"/>
        <v>67.783110480726293</v>
      </c>
      <c r="FY33">
        <f t="shared" si="751"/>
        <v>67.800711616113787</v>
      </c>
      <c r="FZ33">
        <f t="shared" si="751"/>
        <v>67.818236946270503</v>
      </c>
      <c r="GA33">
        <f t="shared" si="751"/>
        <v>67.835683344311278</v>
      </c>
      <c r="GB33">
        <f t="shared" si="751"/>
        <v>67.853047702432235</v>
      </c>
      <c r="GC33">
        <f t="shared" si="751"/>
        <v>67.870326932236679</v>
      </c>
      <c r="GD33">
        <f t="shared" si="751"/>
        <v>67.88751796505548</v>
      </c>
      <c r="GE33">
        <f t="shared" si="751"/>
        <v>67.904617752261956</v>
      </c>
      <c r="GF33">
        <f t="shared" si="751"/>
        <v>67.921623265581431</v>
      </c>
      <c r="GG33">
        <f t="shared" si="751"/>
        <v>67.938531497395573</v>
      </c>
      <c r="GH33">
        <f t="shared" si="751"/>
        <v>67.955339461041632</v>
      </c>
      <c r="GI33">
        <f t="shared" si="751"/>
        <v>67.972044191106775</v>
      </c>
      <c r="GJ33">
        <f t="shared" si="751"/>
        <v>67.988642743717463</v>
      </c>
      <c r="GK33">
        <f t="shared" si="751"/>
        <v>68.005132196824079</v>
      </c>
      <c r="GL33">
        <f t="shared" si="751"/>
        <v>68.021509650480937</v>
      </c>
      <c r="GM33">
        <f t="shared" ref="GM33:IX33" si="752">(-GL48)*$K17*dt+GL33</f>
        <v>68.037772227121678</v>
      </c>
      <c r="GN33">
        <f t="shared" si="752"/>
        <v>68.053917071830156</v>
      </c>
      <c r="GO33">
        <f t="shared" si="752"/>
        <v>68.069941352607017</v>
      </c>
      <c r="GP33">
        <f t="shared" si="752"/>
        <v>68.085842260631793</v>
      </c>
      <c r="GQ33">
        <f t="shared" si="752"/>
        <v>68.101617010520954</v>
      </c>
      <c r="GR33">
        <f t="shared" si="752"/>
        <v>68.117262840581603</v>
      </c>
      <c r="GS33">
        <f t="shared" si="752"/>
        <v>68.132777013061173</v>
      </c>
      <c r="GT33">
        <f t="shared" si="752"/>
        <v>68.148156814393062</v>
      </c>
      <c r="GU33">
        <f t="shared" si="752"/>
        <v>68.163399555438261</v>
      </c>
      <c r="GV33">
        <f t="shared" si="752"/>
        <v>68.178502571723143</v>
      </c>
      <c r="GW33">
        <f t="shared" si="752"/>
        <v>68.193463223673263</v>
      </c>
      <c r="GX33">
        <f t="shared" si="752"/>
        <v>68.208278896843467</v>
      </c>
      <c r="GY33">
        <f t="shared" si="752"/>
        <v>68.222947002144167</v>
      </c>
      <c r="GZ33">
        <f t="shared" si="752"/>
        <v>68.237464976063976</v>
      </c>
      <c r="HA33">
        <f t="shared" si="752"/>
        <v>68.251830280888569</v>
      </c>
      <c r="HB33">
        <f t="shared" si="752"/>
        <v>68.266040404916012</v>
      </c>
      <c r="HC33">
        <f t="shared" si="752"/>
        <v>68.280092862668454</v>
      </c>
      <c r="HD33">
        <f t="shared" si="752"/>
        <v>68.293985195100291</v>
      </c>
      <c r="HE33">
        <f t="shared" si="752"/>
        <v>68.307714969802774</v>
      </c>
      <c r="HF33">
        <f t="shared" si="752"/>
        <v>68.321279781205234</v>
      </c>
      <c r="HG33">
        <f t="shared" si="752"/>
        <v>68.334677250772714</v>
      </c>
      <c r="HH33">
        <f t="shared" si="752"/>
        <v>68.347905027200284</v>
      </c>
      <c r="HI33">
        <f t="shared" si="752"/>
        <v>68.360960786603954</v>
      </c>
      <c r="HJ33">
        <f t="shared" si="752"/>
        <v>68.373842232708157</v>
      </c>
      <c r="HK33">
        <f t="shared" si="752"/>
        <v>68.386547097029947</v>
      </c>
      <c r="HL33">
        <f t="shared" si="752"/>
        <v>68.399073139059809</v>
      </c>
      <c r="HM33">
        <f t="shared" si="752"/>
        <v>68.411418146439246</v>
      </c>
      <c r="HN33">
        <f t="shared" si="752"/>
        <v>68.423579935135024</v>
      </c>
      <c r="HO33">
        <f t="shared" si="752"/>
        <v>68.435556349610152</v>
      </c>
      <c r="HP33">
        <f t="shared" si="752"/>
        <v>68.447345262991647</v>
      </c>
      <c r="HQ33">
        <f t="shared" si="752"/>
        <v>68.45894457723503</v>
      </c>
      <c r="HR33">
        <f t="shared" si="752"/>
        <v>68.470352223285602</v>
      </c>
      <c r="HS33">
        <f t="shared" si="752"/>
        <v>68.481566161236557</v>
      </c>
      <c r="HT33">
        <f t="shared" si="752"/>
        <v>68.492584380483819</v>
      </c>
      <c r="HU33">
        <f t="shared" si="752"/>
        <v>68.503404899877779</v>
      </c>
      <c r="HV33">
        <f t="shared" si="752"/>
        <v>68.514025767871772</v>
      </c>
      <c r="HW33">
        <f t="shared" si="752"/>
        <v>68.524445062667453</v>
      </c>
      <c r="HX33">
        <f t="shared" si="752"/>
        <v>68.534660892356982</v>
      </c>
      <c r="HY33">
        <f t="shared" si="752"/>
        <v>68.544671395062082</v>
      </c>
      <c r="HZ33">
        <f t="shared" si="752"/>
        <v>68.554474739069875</v>
      </c>
      <c r="IA33">
        <f t="shared" si="752"/>
        <v>68.564069122965719</v>
      </c>
      <c r="IB33">
        <f t="shared" si="752"/>
        <v>68.573452775762732</v>
      </c>
      <c r="IC33">
        <f t="shared" si="752"/>
        <v>68.582623957028346</v>
      </c>
      <c r="ID33">
        <f t="shared" si="752"/>
        <v>68.591580957007608</v>
      </c>
      <c r="IE33">
        <f t="shared" si="752"/>
        <v>68.600322096743469</v>
      </c>
      <c r="IF33">
        <f t="shared" si="752"/>
        <v>68.608845728193856</v>
      </c>
      <c r="IG33">
        <f t="shared" si="752"/>
        <v>68.617150234345658</v>
      </c>
      <c r="IH33">
        <f t="shared" si="752"/>
        <v>68.625234029325583</v>
      </c>
      <c r="II33">
        <f t="shared" si="752"/>
        <v>68.633095558507961</v>
      </c>
      <c r="IJ33">
        <f t="shared" si="752"/>
        <v>68.640733298619324</v>
      </c>
      <c r="IK33">
        <f t="shared" si="752"/>
        <v>68.648145757839956</v>
      </c>
      <c r="IL33">
        <f t="shared" si="752"/>
        <v>68.655331475902258</v>
      </c>
      <c r="IM33">
        <f t="shared" si="752"/>
        <v>68.662289024186052</v>
      </c>
      <c r="IN33">
        <f t="shared" si="752"/>
        <v>68.669017005810773</v>
      </c>
      <c r="IO33">
        <f t="shared" si="752"/>
        <v>68.675514055724449</v>
      </c>
      <c r="IP33">
        <f t="shared" si="752"/>
        <v>68.681778840789676</v>
      </c>
      <c r="IQ33">
        <f t="shared" si="752"/>
        <v>68.687810059866422</v>
      </c>
      <c r="IR33">
        <f t="shared" si="752"/>
        <v>68.693606443891667</v>
      </c>
      <c r="IS33">
        <f t="shared" si="752"/>
        <v>68.699166755956</v>
      </c>
      <c r="IT33">
        <f t="shared" si="752"/>
        <v>68.704489791377028</v>
      </c>
      <c r="IU33">
        <f t="shared" si="752"/>
        <v>68.709574377769684</v>
      </c>
      <c r="IV33">
        <f t="shared" si="752"/>
        <v>68.71441937511338</v>
      </c>
      <c r="IW33">
        <f t="shared" si="752"/>
        <v>68.719023675816089</v>
      </c>
      <c r="IX33">
        <f t="shared" si="752"/>
        <v>68.723386204775196</v>
      </c>
      <c r="IY33">
        <f t="shared" ref="IY33:LJ33" si="753">(-IX48)*$K17*dt+IX33</f>
        <v>68.727505919435288</v>
      </c>
      <c r="IZ33">
        <f t="shared" si="753"/>
        <v>68.731381809842759</v>
      </c>
      <c r="JA33">
        <f t="shared" si="753"/>
        <v>68.735012898697335</v>
      </c>
      <c r="JB33">
        <f t="shared" si="753"/>
        <v>68.738398241400347</v>
      </c>
      <c r="JC33">
        <f t="shared" si="753"/>
        <v>68.741536926099968</v>
      </c>
      <c r="JD33">
        <f t="shared" si="753"/>
        <v>68.74442807373326</v>
      </c>
      <c r="JE33">
        <f t="shared" si="753"/>
        <v>68.747070838065028</v>
      </c>
      <c r="JF33">
        <f t="shared" si="753"/>
        <v>68.749464405723586</v>
      </c>
      <c r="JG33">
        <f t="shared" si="753"/>
        <v>68.751607996233304</v>
      </c>
      <c r="JH33">
        <f t="shared" si="753"/>
        <v>68.753500862044064</v>
      </c>
      <c r="JI33">
        <f t="shared" si="753"/>
        <v>68.755142288557508</v>
      </c>
      <c r="JJ33">
        <f t="shared" si="753"/>
        <v>68.756531594150132</v>
      </c>
      <c r="JK33">
        <f t="shared" si="753"/>
        <v>68.757668130193224</v>
      </c>
      <c r="JL33">
        <f t="shared" si="753"/>
        <v>68.758551281069643</v>
      </c>
      <c r="JM33">
        <f t="shared" si="753"/>
        <v>68.759180464187423</v>
      </c>
      <c r="JN33">
        <f t="shared" si="753"/>
        <v>68.759555129990176</v>
      </c>
      <c r="JO33">
        <f t="shared" si="753"/>
        <v>68.759674761964419</v>
      </c>
      <c r="JP33">
        <f t="shared" si="753"/>
        <v>68.759538876643603</v>
      </c>
      <c r="JQ33">
        <f t="shared" si="753"/>
        <v>68.759147023609103</v>
      </c>
      <c r="JR33">
        <f t="shared" si="753"/>
        <v>68.758498785487902</v>
      </c>
      <c r="JS33">
        <f t="shared" si="753"/>
        <v>68.757593777947235</v>
      </c>
      <c r="JT33">
        <f t="shared" si="753"/>
        <v>68.756431649685965</v>
      </c>
      <c r="JU33">
        <f t="shared" si="753"/>
        <v>68.755012082422809</v>
      </c>
      <c r="JV33">
        <f t="shared" si="753"/>
        <v>68.753334790881425</v>
      </c>
      <c r="JW33">
        <f t="shared" si="753"/>
        <v>68.751399522772289</v>
      </c>
      <c r="JX33">
        <f t="shared" si="753"/>
        <v>68.749206058771421</v>
      </c>
      <c r="JY33">
        <f t="shared" si="753"/>
        <v>68.746754212495915</v>
      </c>
      <c r="JZ33">
        <f t="shared" si="753"/>
        <v>68.744043830476343</v>
      </c>
      <c r="KA33">
        <f t="shared" si="753"/>
        <v>68.741074792125971</v>
      </c>
      <c r="KB33">
        <f t="shared" si="753"/>
        <v>68.737847009706755</v>
      </c>
      <c r="KC33">
        <f t="shared" si="753"/>
        <v>68.734360428292277</v>
      </c>
      <c r="KD33">
        <f t="shared" si="753"/>
        <v>68.730615025727417</v>
      </c>
      <c r="KE33">
        <f t="shared" si="753"/>
        <v>68.726610812584951</v>
      </c>
      <c r="KF33">
        <f t="shared" si="753"/>
        <v>68.722347832118913</v>
      </c>
      <c r="KG33">
        <f t="shared" si="753"/>
        <v>68.717826160214855</v>
      </c>
      <c r="KH33">
        <f t="shared" si="753"/>
        <v>68.713045905336926</v>
      </c>
      <c r="KI33">
        <f t="shared" si="753"/>
        <v>68.708007208471841</v>
      </c>
      <c r="KJ33">
        <f t="shared" si="753"/>
        <v>68.70271024306966</v>
      </c>
      <c r="KK33">
        <f t="shared" si="753"/>
        <v>68.69715521498145</v>
      </c>
      <c r="KL33">
        <f t="shared" si="753"/>
        <v>68.691342362393812</v>
      </c>
      <c r="KM33">
        <f t="shared" si="753"/>
        <v>68.685271955760257</v>
      </c>
      <c r="KN33">
        <f t="shared" si="753"/>
        <v>68.678944297729501</v>
      </c>
      <c r="KO33">
        <f t="shared" si="753"/>
        <v>68.672359723070585</v>
      </c>
      <c r="KP33">
        <f t="shared" si="753"/>
        <v>68.665518598594886</v>
      </c>
      <c r="KQ33">
        <f t="shared" si="753"/>
        <v>68.658421323075075</v>
      </c>
      <c r="KR33">
        <f t="shared" si="753"/>
        <v>68.651068327160914</v>
      </c>
      <c r="KS33">
        <f t="shared" si="753"/>
        <v>68.643460073291962</v>
      </c>
      <c r="KT33">
        <f t="shared" si="753"/>
        <v>68.635597055607221</v>
      </c>
      <c r="KU33">
        <f t="shared" si="753"/>
        <v>68.627479799851656</v>
      </c>
      <c r="KV33">
        <f t="shared" si="753"/>
        <v>68.619108863279664</v>
      </c>
      <c r="KW33">
        <f t="shared" si="753"/>
        <v>68.610484834555479</v>
      </c>
      <c r="KX33">
        <f t="shared" si="753"/>
        <v>68.601608333650532</v>
      </c>
      <c r="KY33">
        <f t="shared" si="753"/>
        <v>68.592480014265476</v>
      </c>
      <c r="KZ33">
        <f t="shared" si="753"/>
        <v>68.583100572580378</v>
      </c>
      <c r="LA33">
        <f t="shared" si="753"/>
        <v>68.573470765324757</v>
      </c>
      <c r="LB33">
        <f t="shared" si="753"/>
        <v>68.563591438166384</v>
      </c>
      <c r="LC33">
        <f t="shared" si="753"/>
        <v>68.553463563329686</v>
      </c>
      <c r="LD33">
        <f t="shared" si="753"/>
        <v>68.54308828382716</v>
      </c>
      <c r="LE33">
        <f t="shared" si="753"/>
        <v>68.532466960924523</v>
      </c>
      <c r="LF33">
        <f t="shared" si="753"/>
        <v>68.521601221379925</v>
      </c>
      <c r="LG33">
        <f t="shared" si="753"/>
        <v>68.510493001397222</v>
      </c>
      <c r="LH33">
        <f t="shared" si="753"/>
        <v>68.499144584897934</v>
      </c>
      <c r="LI33">
        <f t="shared" si="753"/>
        <v>68.487558634470403</v>
      </c>
      <c r="LJ33">
        <f t="shared" si="753"/>
        <v>68.475738214078262</v>
      </c>
      <c r="LK33">
        <f t="shared" ref="LK33:NV33" si="754">(-LJ48)*$K17*dt+LJ33</f>
        <v>68.463686803234253</v>
      </c>
      <c r="LL33">
        <f t="shared" si="754"/>
        <v>68.451408302839141</v>
      </c>
      <c r="LM33">
        <f t="shared" si="754"/>
        <v>68.438907033246068</v>
      </c>
      <c r="LN33">
        <f t="shared" si="754"/>
        <v>68.426187725349195</v>
      </c>
      <c r="LO33">
        <f t="shared" si="754"/>
        <v>68.413255505631838</v>
      </c>
      <c r="LP33">
        <f t="shared" si="754"/>
        <v>68.400115876164591</v>
      </c>
      <c r="LQ33">
        <f t="shared" si="754"/>
        <v>68.386774690539397</v>
      </c>
      <c r="LR33">
        <f t="shared" si="754"/>
        <v>68.373238126678459</v>
      </c>
      <c r="LS33">
        <f t="shared" si="754"/>
        <v>68.359512657382837</v>
      </c>
      <c r="LT33">
        <f t="shared" si="754"/>
        <v>68.345605019396018</v>
      </c>
      <c r="LU33">
        <f t="shared" si="754"/>
        <v>68.331522181661015</v>
      </c>
      <c r="LV33">
        <f t="shared" si="754"/>
        <v>68.317271313352492</v>
      </c>
      <c r="LW33">
        <f t="shared" si="754"/>
        <v>68.302859752171955</v>
      </c>
      <c r="LX33">
        <f t="shared" si="754"/>
        <v>68.288294973306833</v>
      </c>
      <c r="LY33">
        <f t="shared" si="754"/>
        <v>68.273584559375266</v>
      </c>
      <c r="LZ33">
        <f t="shared" si="754"/>
        <v>68.258736171607509</v>
      </c>
      <c r="MA33">
        <f t="shared" si="754"/>
        <v>68.243757522453308</v>
      </c>
      <c r="MB33">
        <f t="shared" si="754"/>
        <v>68.228656349751077</v>
      </c>
      <c r="MC33">
        <f t="shared" si="754"/>
        <v>68.213440392549089</v>
      </c>
      <c r="MD33">
        <f t="shared" si="754"/>
        <v>68.19811736863069</v>
      </c>
      <c r="ME33">
        <f t="shared" si="754"/>
        <v>68.182694953764027</v>
      </c>
      <c r="MF33">
        <f t="shared" si="754"/>
        <v>68.167180762670284</v>
      </c>
      <c r="MG33">
        <f t="shared" si="754"/>
        <v>68.151582331684111</v>
      </c>
      <c r="MH33">
        <f t="shared" si="754"/>
        <v>68.135907103062905</v>
      </c>
      <c r="MI33">
        <f t="shared" si="754"/>
        <v>68.12016241088898</v>
      </c>
      <c r="MJ33">
        <f t="shared" si="754"/>
        <v>68.104355468499136</v>
      </c>
      <c r="MK33">
        <f t="shared" si="754"/>
        <v>68.088493357369032</v>
      </c>
      <c r="ML33">
        <f t="shared" si="754"/>
        <v>68.072583017375166</v>
      </c>
      <c r="MM33">
        <f t="shared" si="754"/>
        <v>68.056631238354527</v>
      </c>
      <c r="MN33">
        <f t="shared" si="754"/>
        <v>68.04064465288053</v>
      </c>
      <c r="MO33">
        <f t="shared" si="754"/>
        <v>68.024629730173956</v>
      </c>
      <c r="MP33">
        <f t="shared" si="754"/>
        <v>68.008592771068308</v>
      </c>
      <c r="MQ33">
        <f t="shared" si="754"/>
        <v>67.992539903951112</v>
      </c>
      <c r="MR33">
        <f t="shared" si="754"/>
        <v>67.976477081604529</v>
      </c>
      <c r="MS33">
        <f t="shared" si="754"/>
        <v>67.960410078871902</v>
      </c>
      <c r="MT33">
        <f t="shared" si="754"/>
        <v>67.944344491079647</v>
      </c>
      <c r="MU33">
        <f t="shared" si="754"/>
        <v>67.928285733147291</v>
      </c>
      <c r="MV33">
        <f t="shared" si="754"/>
        <v>67.912239039322245</v>
      </c>
      <c r="MW33">
        <f t="shared" si="754"/>
        <v>67.896209463479025</v>
      </c>
      <c r="MX33">
        <f t="shared" si="754"/>
        <v>67.880201879926574</v>
      </c>
      <c r="MY33">
        <f t="shared" si="754"/>
        <v>67.864220984670766</v>
      </c>
      <c r="MZ33">
        <f t="shared" si="754"/>
        <v>67.848271297082704</v>
      </c>
      <c r="NA33">
        <f t="shared" si="754"/>
        <v>67.832357161926751</v>
      </c>
      <c r="NB33">
        <f t="shared" si="754"/>
        <v>67.81648275170572</v>
      </c>
      <c r="NC33">
        <f t="shared" si="754"/>
        <v>67.800652069283615</v>
      </c>
      <c r="ND33">
        <f t="shared" si="754"/>
        <v>67.784868950749512</v>
      </c>
      <c r="NE33">
        <f t="shared" si="754"/>
        <v>67.769137068488988</v>
      </c>
      <c r="NF33">
        <f t="shared" si="754"/>
        <v>67.753459934432243</v>
      </c>
      <c r="NG33">
        <f t="shared" si="754"/>
        <v>67.737840903450632</v>
      </c>
      <c r="NH33">
        <f t="shared" si="754"/>
        <v>67.722283176875834</v>
      </c>
      <c r="NI33">
        <f t="shared" si="754"/>
        <v>67.706789806118138</v>
      </c>
      <c r="NJ33">
        <f t="shared" si="754"/>
        <v>67.691363696362359</v>
      </c>
      <c r="NK33">
        <f t="shared" si="754"/>
        <v>67.676007610322131</v>
      </c>
      <c r="NL33">
        <f t="shared" si="754"/>
        <v>67.66072417203489</v>
      </c>
      <c r="NM33">
        <f t="shared" si="754"/>
        <v>67.645515870681891</v>
      </c>
      <c r="NN33">
        <f t="shared" si="754"/>
        <v>67.630385064418917</v>
      </c>
      <c r="NO33">
        <f t="shared" si="754"/>
        <v>67.615333984205108</v>
      </c>
      <c r="NP33">
        <f t="shared" si="754"/>
        <v>67.600364737618378</v>
      </c>
      <c r="NQ33">
        <f t="shared" si="754"/>
        <v>67.585479312647564</v>
      </c>
      <c r="NR33">
        <f t="shared" si="754"/>
        <v>67.570679581452154</v>
      </c>
      <c r="NS33">
        <f t="shared" si="754"/>
        <v>67.555967304081861</v>
      </c>
      <c r="NT33">
        <f t="shared" si="754"/>
        <v>67.541344132149177</v>
      </c>
      <c r="NU33">
        <f t="shared" si="754"/>
        <v>67.526811612448881</v>
      </c>
      <c r="NV33">
        <f t="shared" si="754"/>
        <v>67.512371190519289</v>
      </c>
      <c r="NW33">
        <f t="shared" ref="NW33:QH33" si="755">(-NV48)*$K17*dt+NV33</f>
        <v>67.498024214140941</v>
      </c>
      <c r="NX33">
        <f t="shared" si="755"/>
        <v>67.483771936768875</v>
      </c>
      <c r="NY33">
        <f t="shared" si="755"/>
        <v>67.469615520895402</v>
      </c>
      <c r="NZ33">
        <f t="shared" si="755"/>
        <v>67.455556041340799</v>
      </c>
      <c r="OA33">
        <f t="shared" si="755"/>
        <v>67.441594488469917</v>
      </c>
      <c r="OB33">
        <f t="shared" si="755"/>
        <v>67.427731771333001</v>
      </c>
      <c r="OC33">
        <f t="shared" si="755"/>
        <v>67.413968720729571</v>
      </c>
      <c r="OD33">
        <f t="shared" si="755"/>
        <v>67.400306092194555</v>
      </c>
      <c r="OE33">
        <f t="shared" si="755"/>
        <v>67.386744568906124</v>
      </c>
      <c r="OF33">
        <f t="shared" si="755"/>
        <v>67.373284764515091</v>
      </c>
      <c r="OG33">
        <f t="shared" si="755"/>
        <v>67.359927225895859</v>
      </c>
      <c r="OH33">
        <f t="shared" si="755"/>
        <v>67.346672435819272</v>
      </c>
      <c r="OI33">
        <f t="shared" si="755"/>
        <v>67.333520815547828</v>
      </c>
      <c r="OJ33">
        <f t="shared" si="755"/>
        <v>67.320472727353987</v>
      </c>
      <c r="OK33">
        <f t="shared" si="755"/>
        <v>67.307528476962318</v>
      </c>
      <c r="OL33">
        <f t="shared" si="755"/>
        <v>67.294688315916545</v>
      </c>
      <c r="OM33">
        <f t="shared" si="755"/>
        <v>67.281952443872626</v>
      </c>
      <c r="ON33">
        <f t="shared" si="755"/>
        <v>67.269321010818857</v>
      </c>
      <c r="OO33">
        <f t="shared" si="755"/>
        <v>67.256794119224622</v>
      </c>
      <c r="OP33">
        <f t="shared" si="755"/>
        <v>67.244371826118766</v>
      </c>
      <c r="OQ33">
        <f t="shared" si="755"/>
        <v>67.232054145099397</v>
      </c>
      <c r="OR33">
        <f t="shared" si="755"/>
        <v>67.219841048276237</v>
      </c>
      <c r="OS33">
        <f t="shared" si="755"/>
        <v>67.207732468147299</v>
      </c>
      <c r="OT33">
        <f t="shared" si="755"/>
        <v>67.195728299411286</v>
      </c>
      <c r="OU33">
        <f t="shared" si="755"/>
        <v>67.183828400717331</v>
      </c>
      <c r="OV33">
        <f t="shared" si="755"/>
        <v>67.172032596353617</v>
      </c>
      <c r="OW33">
        <f t="shared" si="755"/>
        <v>67.160340677876476</v>
      </c>
      <c r="OX33">
        <f t="shared" si="755"/>
        <v>67.148752405681634</v>
      </c>
      <c r="OY33">
        <f t="shared" si="755"/>
        <v>67.13726751051901</v>
      </c>
      <c r="OZ33">
        <f t="shared" si="755"/>
        <v>67.125885694952842</v>
      </c>
      <c r="PA33">
        <f t="shared" si="755"/>
        <v>67.114606634768549</v>
      </c>
      <c r="PB33">
        <f t="shared" si="755"/>
        <v>67.103429980327988</v>
      </c>
      <c r="PC33">
        <f t="shared" si="755"/>
        <v>67.092355357874567</v>
      </c>
      <c r="PD33">
        <f t="shared" si="755"/>
        <v>67.081382370789782</v>
      </c>
      <c r="PE33">
        <f t="shared" si="755"/>
        <v>67.070510600802606</v>
      </c>
      <c r="PF33">
        <f t="shared" si="755"/>
        <v>67.059739609153212</v>
      </c>
      <c r="PG33">
        <f t="shared" si="755"/>
        <v>67.049068937712562</v>
      </c>
      <c r="PH33">
        <f t="shared" si="755"/>
        <v>67.038498110059095</v>
      </c>
      <c r="PI33">
        <f t="shared" si="755"/>
        <v>67.028026632514013</v>
      </c>
      <c r="PJ33">
        <f t="shared" si="755"/>
        <v>67.017653995136541</v>
      </c>
      <c r="PK33">
        <f t="shared" si="755"/>
        <v>67.007379672680358</v>
      </c>
      <c r="PL33">
        <f t="shared" si="755"/>
        <v>66.997203125512584</v>
      </c>
      <c r="PM33">
        <f t="shared" si="755"/>
        <v>66.987123800496562</v>
      </c>
      <c r="PN33">
        <f t="shared" si="755"/>
        <v>66.977141131839588</v>
      </c>
      <c r="PO33">
        <f t="shared" si="755"/>
        <v>66.967254541906968</v>
      </c>
      <c r="PP33">
        <f t="shared" si="755"/>
        <v>66.957463442003274</v>
      </c>
      <c r="PQ33">
        <f t="shared" si="755"/>
        <v>66.947767233122207</v>
      </c>
      <c r="PR33">
        <f t="shared" si="755"/>
        <v>66.938165306665994</v>
      </c>
      <c r="PS33">
        <f t="shared" si="755"/>
        <v>66.928657045135438</v>
      </c>
      <c r="PT33">
        <f t="shared" si="755"/>
        <v>66.919241822791662</v>
      </c>
      <c r="PU33">
        <f t="shared" si="755"/>
        <v>66.909919006290508</v>
      </c>
      <c r="PV33">
        <f t="shared" si="755"/>
        <v>66.90068795529065</v>
      </c>
      <c r="PW33">
        <f t="shared" si="755"/>
        <v>66.891548023036279</v>
      </c>
      <c r="PX33">
        <f t="shared" si="755"/>
        <v>66.882498556915266</v>
      </c>
      <c r="PY33">
        <f t="shared" si="755"/>
        <v>66.8735388989938</v>
      </c>
      <c r="PZ33">
        <f t="shared" si="755"/>
        <v>66.864668386528265</v>
      </c>
      <c r="QA33">
        <f t="shared" si="755"/>
        <v>66.855886352455158</v>
      </c>
      <c r="QB33">
        <f t="shared" si="755"/>
        <v>66.847192125859962</v>
      </c>
      <c r="QC33">
        <f t="shared" si="755"/>
        <v>66.838585032425684</v>
      </c>
      <c r="QD33">
        <f t="shared" si="755"/>
        <v>66.830064394861765</v>
      </c>
      <c r="QE33">
        <f t="shared" si="755"/>
        <v>66.821629533314194</v>
      </c>
      <c r="QF33">
        <f t="shared" si="755"/>
        <v>66.813279765757457</v>
      </c>
      <c r="QG33">
        <f t="shared" si="755"/>
        <v>66.80501440836899</v>
      </c>
      <c r="QH33">
        <f t="shared" si="755"/>
        <v>66.796832775886898</v>
      </c>
      <c r="QI33">
        <f t="shared" ref="QI33:ST33" si="756">(-QH48)*$K17*dt+QH33</f>
        <v>66.788734181951384</v>
      </c>
      <c r="QJ33">
        <f t="shared" si="756"/>
        <v>66.780717939430659</v>
      </c>
      <c r="QK33">
        <f t="shared" si="756"/>
        <v>66.772783360731935</v>
      </c>
      <c r="QL33">
        <f t="shared" si="756"/>
        <v>66.764929758097907</v>
      </c>
      <c r="QM33">
        <f t="shared" si="756"/>
        <v>66.757156443889414</v>
      </c>
      <c r="QN33">
        <f t="shared" si="756"/>
        <v>66.749462730854816</v>
      </c>
      <c r="QO33">
        <f t="shared" si="756"/>
        <v>66.741847932386506</v>
      </c>
      <c r="QP33">
        <f t="shared" si="756"/>
        <v>66.734311362765126</v>
      </c>
      <c r="QQ33">
        <f t="shared" si="756"/>
        <v>66.726852337391904</v>
      </c>
      <c r="QR33">
        <f t="shared" si="756"/>
        <v>66.719470173009654</v>
      </c>
      <c r="QS33">
        <f t="shared" si="756"/>
        <v>66.712164187912819</v>
      </c>
      <c r="QT33">
        <f t="shared" si="756"/>
        <v>66.704933702146974</v>
      </c>
      <c r="QU33">
        <f t="shared" si="756"/>
        <v>66.697778037698257</v>
      </c>
      <c r="QV33">
        <f t="shared" si="756"/>
        <v>66.690696518673064</v>
      </c>
      <c r="QW33">
        <f t="shared" si="756"/>
        <v>66.683688471468486</v>
      </c>
      <c r="QX33">
        <f t="shared" si="756"/>
        <v>66.676753224933691</v>
      </c>
      <c r="QY33">
        <f t="shared" si="756"/>
        <v>66.669890110522786</v>
      </c>
      <c r="QZ33">
        <f t="shared" si="756"/>
        <v>66.663098462439436</v>
      </c>
      <c r="RA33">
        <f t="shared" si="756"/>
        <v>66.656377617773444</v>
      </c>
      <c r="RB33">
        <f t="shared" si="756"/>
        <v>66.649726916629874</v>
      </c>
      <c r="RC33">
        <f t="shared" si="756"/>
        <v>66.643145702250735</v>
      </c>
      <c r="RD33">
        <f t="shared" si="756"/>
        <v>66.63663332112975</v>
      </c>
      <c r="RE33">
        <f t="shared" si="756"/>
        <v>66.630189123120374</v>
      </c>
      <c r="RF33">
        <f t="shared" si="756"/>
        <v>66.623812461537298</v>
      </c>
      <c r="RG33">
        <f t="shared" si="756"/>
        <v>66.617502693251893</v>
      </c>
      <c r="RH33">
        <f t="shared" si="756"/>
        <v>66.611259178781594</v>
      </c>
      <c r="RI33">
        <f t="shared" si="756"/>
        <v>66.605081282373661</v>
      </c>
      <c r="RJ33">
        <f t="shared" si="756"/>
        <v>66.598968372083476</v>
      </c>
      <c r="RK33">
        <f t="shared" si="756"/>
        <v>66.59291981984758</v>
      </c>
      <c r="RL33">
        <f t="shared" si="756"/>
        <v>66.586935001551737</v>
      </c>
      <c r="RM33">
        <f t="shared" si="756"/>
        <v>66.581013297094145</v>
      </c>
      <c r="RN33">
        <f t="shared" si="756"/>
        <v>66.57515409044413</v>
      </c>
      <c r="RO33">
        <f t="shared" si="756"/>
        <v>66.569356769696327</v>
      </c>
      <c r="RP33">
        <f t="shared" si="756"/>
        <v>66.563620727120693</v>
      </c>
      <c r="RQ33">
        <f t="shared" si="756"/>
        <v>66.557945359208475</v>
      </c>
      <c r="RR33">
        <f t="shared" si="756"/>
        <v>66.552330066714333</v>
      </c>
      <c r="RS33">
        <f t="shared" si="756"/>
        <v>66.546774254694697</v>
      </c>
      <c r="RT33">
        <f t="shared" si="756"/>
        <v>66.541277332542606</v>
      </c>
      <c r="RU33">
        <f t="shared" si="756"/>
        <v>66.535838714019206</v>
      </c>
      <c r="RV33">
        <f t="shared" si="756"/>
        <v>66.530457817281928</v>
      </c>
      <c r="RW33">
        <f t="shared" si="756"/>
        <v>66.525134064909608</v>
      </c>
      <c r="RX33">
        <f t="shared" si="756"/>
        <v>66.519866883924621</v>
      </c>
      <c r="RY33">
        <f t="shared" si="756"/>
        <v>66.514655705812217</v>
      </c>
      <c r="RZ33">
        <f t="shared" si="756"/>
        <v>66.509499966537135</v>
      </c>
      <c r="SA33">
        <f t="shared" si="756"/>
        <v>66.504399106557571</v>
      </c>
      <c r="SB33">
        <f t="shared" si="756"/>
        <v>66.499352570836805</v>
      </c>
      <c r="SC33">
        <f t="shared" si="756"/>
        <v>66.494359808852352</v>
      </c>
      <c r="SD33">
        <f t="shared" si="756"/>
        <v>66.489420274602921</v>
      </c>
      <c r="SE33">
        <f t="shared" si="756"/>
        <v>66.484533426613211</v>
      </c>
      <c r="SF33">
        <f t="shared" si="756"/>
        <v>66.479698727936693</v>
      </c>
      <c r="SG33">
        <f t="shared" si="756"/>
        <v>66.474915646156404</v>
      </c>
      <c r="SH33">
        <f t="shared" si="756"/>
        <v>66.470183653383884</v>
      </c>
      <c r="SI33">
        <f t="shared" si="756"/>
        <v>66.465502226256405</v>
      </c>
      <c r="SJ33">
        <f t="shared" si="756"/>
        <v>66.460870845932433</v>
      </c>
      <c r="SK33">
        <f t="shared" si="756"/>
        <v>66.456288998085526</v>
      </c>
      <c r="SL33">
        <f t="shared" si="756"/>
        <v>66.451756172896737</v>
      </c>
      <c r="SM33">
        <f t="shared" si="756"/>
        <v>66.447271865045522</v>
      </c>
      <c r="SN33">
        <f t="shared" si="756"/>
        <v>66.44283557369927</v>
      </c>
      <c r="SO33">
        <f t="shared" si="756"/>
        <v>66.438446802501588</v>
      </c>
      <c r="SP33">
        <f t="shared" si="756"/>
        <v>66.434105059559258</v>
      </c>
      <c r="SQ33">
        <f t="shared" si="756"/>
        <v>66.429809857428097</v>
      </c>
      <c r="SR33">
        <f t="shared" si="756"/>
        <v>66.425560713097667</v>
      </c>
      <c r="SS33">
        <f t="shared" si="756"/>
        <v>66.421357147974888</v>
      </c>
      <c r="ST33">
        <f t="shared" si="756"/>
        <v>66.417198687866758</v>
      </c>
      <c r="SU33">
        <f t="shared" ref="SU33:VF33" si="757">(-ST48)*$K17*dt+ST33</f>
        <v>66.413084862962009</v>
      </c>
      <c r="SV33">
        <f t="shared" si="757"/>
        <v>66.409015207811962</v>
      </c>
      <c r="SW33">
        <f t="shared" si="757"/>
        <v>66.40498926131049</v>
      </c>
      <c r="SX33">
        <f t="shared" si="757"/>
        <v>66.401006566673217</v>
      </c>
      <c r="SY33">
        <f t="shared" si="757"/>
        <v>66.397066671415899</v>
      </c>
      <c r="SZ33">
        <f t="shared" si="757"/>
        <v>66.393169127332229</v>
      </c>
      <c r="TA33">
        <f t="shared" si="757"/>
        <v>66.38931349047084</v>
      </c>
      <c r="TB33">
        <f t="shared" si="757"/>
        <v>66.385499321111794</v>
      </c>
      <c r="TC33">
        <f t="shared" si="757"/>
        <v>66.381726183742416</v>
      </c>
      <c r="TD33">
        <f t="shared" si="757"/>
        <v>66.377993647032639</v>
      </c>
      <c r="TE33">
        <f t="shared" si="757"/>
        <v>66.374301283809785</v>
      </c>
      <c r="TF33">
        <f t="shared" si="757"/>
        <v>66.370648671032924</v>
      </c>
      <c r="TG33">
        <f t="shared" si="757"/>
        <v>66.367035389766741</v>
      </c>
      <c r="TH33">
        <f t="shared" si="757"/>
        <v>66.363461025155061</v>
      </c>
      <c r="TI33">
        <f t="shared" si="757"/>
        <v>66.359925166393893</v>
      </c>
      <c r="TJ33">
        <f t="shared" si="757"/>
        <v>66.356427406704228</v>
      </c>
      <c r="TK33">
        <f t="shared" si="757"/>
        <v>66.352967343304428</v>
      </c>
      <c r="TL33">
        <f t="shared" si="757"/>
        <v>66.34954457738236</v>
      </c>
      <c r="TM33">
        <f t="shared" si="757"/>
        <v>66.346158714067286</v>
      </c>
      <c r="TN33">
        <f t="shared" si="757"/>
        <v>66.342809362401425</v>
      </c>
      <c r="TO33">
        <f t="shared" si="757"/>
        <v>66.339496135311364</v>
      </c>
      <c r="TP33">
        <f t="shared" si="757"/>
        <v>66.336218649579223</v>
      </c>
      <c r="TQ33">
        <f t="shared" si="757"/>
        <v>66.332976525813663</v>
      </c>
      <c r="TR33">
        <f t="shared" si="757"/>
        <v>66.329769388420701</v>
      </c>
      <c r="TS33">
        <f t="shared" si="757"/>
        <v>66.326596865574444</v>
      </c>
      <c r="TT33">
        <f t="shared" si="757"/>
        <v>66.323458589187624</v>
      </c>
      <c r="TU33">
        <f t="shared" si="757"/>
        <v>66.320354194882071</v>
      </c>
      <c r="TV33">
        <f t="shared" si="757"/>
        <v>66.31728332195911</v>
      </c>
      <c r="TW33">
        <f t="shared" si="757"/>
        <v>66.314245613369849</v>
      </c>
      <c r="TX33">
        <f t="shared" si="757"/>
        <v>66.311240715685443</v>
      </c>
      <c r="TY33">
        <f t="shared" si="757"/>
        <v>66.308268279067264</v>
      </c>
      <c r="TZ33">
        <f t="shared" si="757"/>
        <v>66.305327957237111</v>
      </c>
      <c r="UA33">
        <f t="shared" si="757"/>
        <v>66.30241940744736</v>
      </c>
      <c r="UB33">
        <f t="shared" si="757"/>
        <v>66.299542290451114</v>
      </c>
      <c r="UC33">
        <f t="shared" si="757"/>
        <v>66.296696270472381</v>
      </c>
      <c r="UD33">
        <f t="shared" si="757"/>
        <v>66.293881015176268</v>
      </c>
      <c r="UE33">
        <f t="shared" si="757"/>
        <v>66.291096195639184</v>
      </c>
      <c r="UF33">
        <f t="shared" si="757"/>
        <v>66.288341486319112</v>
      </c>
      <c r="UG33">
        <f t="shared" si="757"/>
        <v>66.285616565025933</v>
      </c>
      <c r="UH33">
        <f t="shared" si="757"/>
        <v>66.282921112891799</v>
      </c>
      <c r="UI33">
        <f t="shared" si="757"/>
        <v>66.280254814341575</v>
      </c>
      <c r="UJ33">
        <f t="shared" si="757"/>
        <v>66.277617357063363</v>
      </c>
      <c r="UK33">
        <f t="shared" si="757"/>
        <v>66.275008431979145</v>
      </c>
      <c r="UL33">
        <f t="shared" si="757"/>
        <v>66.27242773321548</v>
      </c>
      <c r="UM33">
        <f t="shared" si="757"/>
        <v>66.269874958074283</v>
      </c>
      <c r="UN33">
        <f t="shared" si="757"/>
        <v>66.267349807003811</v>
      </c>
      <c r="UO33">
        <f t="shared" si="757"/>
        <v>66.264851983569642</v>
      </c>
      <c r="UP33">
        <f t="shared" si="757"/>
        <v>66.262381194425885</v>
      </c>
      <c r="UQ33">
        <f t="shared" si="757"/>
        <v>66.259937149286415</v>
      </c>
      <c r="UR33">
        <f t="shared" si="757"/>
        <v>66.257519560896341</v>
      </c>
      <c r="US33">
        <f t="shared" si="757"/>
        <v>66.255128145003553</v>
      </c>
      <c r="UT33">
        <f t="shared" si="757"/>
        <v>66.252762620330401</v>
      </c>
      <c r="UU33">
        <f t="shared" si="757"/>
        <v>66.250422708545571</v>
      </c>
      <c r="UV33">
        <f t="shared" si="757"/>
        <v>66.248108134236077</v>
      </c>
      <c r="UW33">
        <f t="shared" si="757"/>
        <v>66.245818624879419</v>
      </c>
      <c r="UX33">
        <f t="shared" si="757"/>
        <v>66.243553910815905</v>
      </c>
      <c r="UY33">
        <f t="shared" si="757"/>
        <v>66.241313725221133</v>
      </c>
      <c r="UZ33">
        <f t="shared" si="757"/>
        <v>66.239097804078639</v>
      </c>
      <c r="VA33">
        <f t="shared" si="757"/>
        <v>66.236905886152726</v>
      </c>
      <c r="VB33">
        <f t="shared" si="757"/>
        <v>66.234737712961419</v>
      </c>
      <c r="VC33">
        <f t="shared" si="757"/>
        <v>66.232593028749662</v>
      </c>
      <c r="VD33">
        <f t="shared" si="757"/>
        <v>66.230471580462677</v>
      </c>
      <c r="VE33">
        <f t="shared" si="757"/>
        <v>66.228373117719443</v>
      </c>
      <c r="VF33">
        <f t="shared" si="757"/>
        <v>66.226297392786435</v>
      </c>
      <c r="VG33">
        <f t="shared" ref="VG33:XR33" si="758">(-VF48)*$K17*dt+VF33</f>
        <v>66.224244160551507</v>
      </c>
      <c r="VH33">
        <f t="shared" si="758"/>
        <v>66.222213178497967</v>
      </c>
      <c r="VI33">
        <f t="shared" si="758"/>
        <v>66.220204206678844</v>
      </c>
      <c r="VJ33">
        <f t="shared" si="758"/>
        <v>66.218217007691337</v>
      </c>
      <c r="VK33">
        <f t="shared" si="758"/>
        <v>66.216251346651461</v>
      </c>
      <c r="VL33">
        <f t="shared" si="758"/>
        <v>66.214306991168868</v>
      </c>
      <c r="VM33">
        <f t="shared" si="758"/>
        <v>66.212383711321891</v>
      </c>
      <c r="VN33">
        <f t="shared" si="758"/>
        <v>66.210481279632774</v>
      </c>
      <c r="VO33">
        <f t="shared" si="758"/>
        <v>66.20859947104303</v>
      </c>
      <c r="VP33">
        <f t="shared" si="758"/>
        <v>66.20673806288913</v>
      </c>
      <c r="VQ33">
        <f t="shared" si="758"/>
        <v>66.204896834878255</v>
      </c>
      <c r="VR33">
        <f t="shared" si="758"/>
        <v>66.203075569064296</v>
      </c>
      <c r="VS33">
        <f t="shared" si="758"/>
        <v>66.201274049824065</v>
      </c>
      <c r="VT33">
        <f t="shared" si="758"/>
        <v>66.199492063833688</v>
      </c>
      <c r="VU33">
        <f t="shared" si="758"/>
        <v>66.197729400045191</v>
      </c>
      <c r="VV33">
        <f t="shared" si="758"/>
        <v>66.195985849663288</v>
      </c>
      <c r="VW33">
        <f t="shared" si="758"/>
        <v>66.194261206122334</v>
      </c>
      <c r="VX33">
        <f t="shared" si="758"/>
        <v>66.192555265063547</v>
      </c>
      <c r="VY33">
        <f t="shared" si="758"/>
        <v>66.190867824312363</v>
      </c>
      <c r="VZ33">
        <f t="shared" si="758"/>
        <v>66.189198683856006</v>
      </c>
      <c r="WA33">
        <f t="shared" si="758"/>
        <v>66.187547645821255</v>
      </c>
      <c r="WB33">
        <f t="shared" si="758"/>
        <v>66.185914514452421</v>
      </c>
      <c r="WC33">
        <f t="shared" si="758"/>
        <v>66.184299096089461</v>
      </c>
      <c r="WD33">
        <f t="shared" si="758"/>
        <v>66.182701199146393</v>
      </c>
      <c r="WE33">
        <f t="shared" si="758"/>
        <v>66.181120634089808</v>
      </c>
      <c r="WF33">
        <f t="shared" si="758"/>
        <v>66.179557213417581</v>
      </c>
      <c r="WG33">
        <f t="shared" si="758"/>
        <v>66.178010751637871</v>
      </c>
      <c r="WH33">
        <f t="shared" si="758"/>
        <v>66.176481065248183</v>
      </c>
      <c r="WI33">
        <f t="shared" si="758"/>
        <v>66.174967972714711</v>
      </c>
      <c r="WJ33">
        <f t="shared" si="758"/>
        <v>66.173471294451872</v>
      </c>
      <c r="WK33">
        <f t="shared" si="758"/>
        <v>66.171990852801926</v>
      </c>
      <c r="WL33">
        <f t="shared" si="758"/>
        <v>66.170526472014956</v>
      </c>
      <c r="WM33">
        <f t="shared" si="758"/>
        <v>66.169077980756626</v>
      </c>
      <c r="WN33">
        <f t="shared" si="758"/>
        <v>66.167645220947477</v>
      </c>
      <c r="WO33">
        <f t="shared" si="758"/>
        <v>66.166228065925111</v>
      </c>
      <c r="WP33">
        <f t="shared" si="758"/>
        <v>66.164826448928466</v>
      </c>
      <c r="WQ33">
        <f t="shared" si="758"/>
        <v>66.163440400814906</v>
      </c>
      <c r="WR33">
        <f t="shared" si="758"/>
        <v>66.162070094393471</v>
      </c>
      <c r="WS33">
        <f t="shared" si="758"/>
        <v>66.160715891994982</v>
      </c>
      <c r="WT33">
        <f t="shared" si="758"/>
        <v>66.159378392819463</v>
      </c>
      <c r="WU33">
        <f t="shared" si="758"/>
        <v>66.158058477000793</v>
      </c>
      <c r="WV33">
        <f t="shared" si="758"/>
        <v>66.156757343993121</v>
      </c>
      <c r="WW33">
        <f t="shared" si="758"/>
        <v>66.155476543637562</v>
      </c>
      <c r="WX33">
        <f t="shared" si="758"/>
        <v>66.15421799899147</v>
      </c>
      <c r="WY33">
        <f t="shared" si="758"/>
        <v>66.15298402062605</v>
      </c>
      <c r="WZ33">
        <f t="shared" si="758"/>
        <v>66.151777312592174</v>
      </c>
      <c r="XA33">
        <f t="shared" si="758"/>
        <v>66.150600970614704</v>
      </c>
      <c r="XB33">
        <f t="shared" si="758"/>
        <v>66.14945847331424</v>
      </c>
      <c r="XC33">
        <f t="shared" si="758"/>
        <v>66.148353667391262</v>
      </c>
      <c r="XD33">
        <f t="shared" si="758"/>
        <v>66.147290747763449</v>
      </c>
      <c r="XE33">
        <f t="shared" si="758"/>
        <v>66.146274233641847</v>
      </c>
      <c r="XF33">
        <f t="shared" si="758"/>
        <v>66.145308941484899</v>
      </c>
      <c r="XG33">
        <f t="shared" si="758"/>
        <v>66.144399955695221</v>
      </c>
      <c r="XH33">
        <f t="shared" si="758"/>
        <v>66.143552597834173</v>
      </c>
      <c r="XI33">
        <f t="shared" si="758"/>
        <v>66.142772395033063</v>
      </c>
      <c r="XJ33">
        <f t="shared" si="758"/>
        <v>66.142065048182189</v>
      </c>
      <c r="XK33">
        <f t="shared" si="758"/>
        <v>66.141436400385913</v>
      </c>
      <c r="XL33">
        <f t="shared" si="758"/>
        <v>66.140892406084603</v>
      </c>
      <c r="XM33">
        <f t="shared" si="758"/>
        <v>66.140439101164944</v>
      </c>
      <c r="XN33">
        <f t="shared" si="758"/>
        <v>66.140082574309957</v>
      </c>
      <c r="XO33">
        <f t="shared" si="758"/>
        <v>66.139828939777729</v>
      </c>
      <c r="XP33">
        <f t="shared" si="758"/>
        <v>66.139684311744759</v>
      </c>
      <c r="XQ33">
        <f t="shared" si="758"/>
        <v>66.139654780304127</v>
      </c>
      <c r="XR33">
        <f t="shared" si="758"/>
        <v>66.139746389170554</v>
      </c>
      <c r="XS33">
        <f t="shared" ref="XS33:AAD33" si="759">(-XR48)*$K17*dt+XR33</f>
        <v>66.139965115112545</v>
      </c>
      <c r="XT33">
        <f t="shared" si="759"/>
        <v>66.140316849106057</v>
      </c>
      <c r="XU33">
        <f t="shared" si="759"/>
        <v>66.14080737918286</v>
      </c>
      <c r="XV33">
        <f t="shared" si="759"/>
        <v>66.141442374930534</v>
      </c>
      <c r="XW33">
        <f t="shared" si="759"/>
        <v>66.142227373588057</v>
      </c>
      <c r="XX33">
        <f t="shared" si="759"/>
        <v>66.143167767671457</v>
      </c>
      <c r="XY33">
        <f t="shared" si="759"/>
        <v>66.144268794056813</v>
      </c>
      <c r="XZ33">
        <f t="shared" si="759"/>
        <v>66.145535524443659</v>
      </c>
      <c r="YA33">
        <f t="shared" si="759"/>
        <v>66.146972857118456</v>
      </c>
      <c r="YB33">
        <f t="shared" si="759"/>
        <v>66.148585509937107</v>
      </c>
      <c r="YC33">
        <f t="shared" si="759"/>
        <v>66.150378014444811</v>
      </c>
      <c r="YD33">
        <f t="shared" si="759"/>
        <v>66.152354711053135</v>
      </c>
      <c r="YE33">
        <f t="shared" si="759"/>
        <v>66.154519745195259</v>
      </c>
      <c r="YF33">
        <f t="shared" si="759"/>
        <v>66.156877064383238</v>
      </c>
      <c r="YG33">
        <f t="shared" si="759"/>
        <v>66.159430416093514</v>
      </c>
      <c r="YH33">
        <f t="shared" si="759"/>
        <v>66.162183346410217</v>
      </c>
      <c r="YI33">
        <f t="shared" si="759"/>
        <v>66.165139199359132</v>
      </c>
      <c r="YJ33">
        <f t="shared" si="759"/>
        <v>66.168301116868648</v>
      </c>
      <c r="YK33">
        <f t="shared" si="759"/>
        <v>66.171672039297576</v>
      </c>
      <c r="YL33">
        <f t="shared" si="759"/>
        <v>66.175254706473439</v>
      </c>
      <c r="YM33">
        <f t="shared" si="759"/>
        <v>66.179051659188175</v>
      </c>
      <c r="YN33">
        <f t="shared" si="759"/>
        <v>66.183065241101957</v>
      </c>
      <c r="YO33">
        <f t="shared" si="759"/>
        <v>66.187297601009007</v>
      </c>
      <c r="YP33">
        <f t="shared" si="759"/>
        <v>66.191750695422769</v>
      </c>
      <c r="YQ33">
        <f t="shared" si="759"/>
        <v>66.196426291440929</v>
      </c>
      <c r="YR33">
        <f t="shared" si="759"/>
        <v>66.201325969853599</v>
      </c>
      <c r="YS33">
        <f t="shared" si="759"/>
        <v>66.206451128461339</v>
      </c>
      <c r="YT33">
        <f t="shared" si="759"/>
        <v>66.211802985571907</v>
      </c>
      <c r="YU33">
        <f t="shared" si="759"/>
        <v>66.217382583647563</v>
      </c>
      <c r="YV33">
        <f t="shared" si="759"/>
        <v>66.22319079307708</v>
      </c>
      <c r="YW33">
        <f t="shared" si="759"/>
        <v>66.229228316048847</v>
      </c>
      <c r="YX33">
        <f t="shared" si="759"/>
        <v>66.235495690503726</v>
      </c>
      <c r="YY33">
        <f t="shared" si="759"/>
        <v>66.241993294148145</v>
      </c>
      <c r="YZ33">
        <f t="shared" si="759"/>
        <v>66.24872134850996</v>
      </c>
      <c r="ZA33">
        <f t="shared" si="759"/>
        <v>66.255679923021191</v>
      </c>
      <c r="ZB33">
        <f t="shared" si="759"/>
        <v>66.262868939113361</v>
      </c>
      <c r="ZC33">
        <f t="shared" si="759"/>
        <v>66.270288174312853</v>
      </c>
      <c r="ZD33">
        <f t="shared" si="759"/>
        <v>66.277937266324713</v>
      </c>
      <c r="ZE33">
        <f t="shared" si="759"/>
        <v>66.285815717094891</v>
      </c>
      <c r="ZF33">
        <f t="shared" si="759"/>
        <v>66.293922896841963</v>
      </c>
      <c r="ZG33">
        <f t="shared" si="759"/>
        <v>66.30225804805039</v>
      </c>
      <c r="ZH33">
        <f t="shared" si="759"/>
        <v>66.31082028941853</v>
      </c>
      <c r="ZI33">
        <f t="shared" si="759"/>
        <v>66.319608619755144</v>
      </c>
      <c r="ZJ33">
        <f t="shared" si="759"/>
        <v>66.328621921819547</v>
      </c>
      <c r="ZK33">
        <f t="shared" si="759"/>
        <v>66.337858966100583</v>
      </c>
      <c r="ZL33">
        <f t="shared" si="759"/>
        <v>66.347318414530932</v>
      </c>
      <c r="ZM33">
        <f t="shared" si="759"/>
        <v>66.356998824133456</v>
      </c>
      <c r="ZN33">
        <f t="shared" si="759"/>
        <v>66.366898650597008</v>
      </c>
      <c r="ZO33">
        <f t="shared" si="759"/>
        <v>66.377016251779594</v>
      </c>
      <c r="ZP33">
        <f t="shared" si="759"/>
        <v>66.387349891137276</v>
      </c>
      <c r="ZQ33">
        <f t="shared" si="759"/>
        <v>66.397897741077628</v>
      </c>
      <c r="ZR33">
        <f t="shared" si="759"/>
        <v>66.408657886236739</v>
      </c>
      <c r="ZS33">
        <f t="shared" si="759"/>
        <v>66.419628326679373</v>
      </c>
      <c r="ZT33">
        <f t="shared" si="759"/>
        <v>66.430806981022002</v>
      </c>
      <c r="ZU33">
        <f t="shared" si="759"/>
        <v>66.442191689478747</v>
      </c>
      <c r="ZV33">
        <f t="shared" si="759"/>
        <v>66.453780216830481</v>
      </c>
      <c r="ZW33">
        <f t="shared" si="759"/>
        <v>66.465570255317502</v>
      </c>
      <c r="ZX33">
        <f t="shared" si="759"/>
        <v>66.477559427456569</v>
      </c>
      <c r="ZY33">
        <f t="shared" si="759"/>
        <v>66.489745288782956</v>
      </c>
      <c r="ZZ33">
        <f t="shared" si="759"/>
        <v>66.502125330518538</v>
      </c>
      <c r="AAA33">
        <f t="shared" si="759"/>
        <v>66.514696982166981</v>
      </c>
      <c r="AAB33">
        <f t="shared" si="759"/>
        <v>66.527457614037203</v>
      </c>
      <c r="AAC33">
        <f t="shared" si="759"/>
        <v>66.540404539696297</v>
      </c>
      <c r="AAD33">
        <f t="shared" si="759"/>
        <v>66.553535018353301</v>
      </c>
      <c r="AAE33">
        <f t="shared" ref="AAE33:AAO33" si="760">(-AAD48)*$K17*dt+AAD33</f>
        <v>66.566846257175243</v>
      </c>
      <c r="AAF33">
        <f t="shared" si="760"/>
        <v>66.580335413536787</v>
      </c>
      <c r="AAG33">
        <f t="shared" si="760"/>
        <v>66.593999597205041</v>
      </c>
      <c r="AAH33">
        <f t="shared" si="760"/>
        <v>66.607835872460996</v>
      </c>
      <c r="AAI33">
        <f t="shared" si="760"/>
        <v>66.621841260159187</v>
      </c>
      <c r="AAJ33">
        <f t="shared" si="760"/>
        <v>66.636012739726979</v>
      </c>
      <c r="AAK33">
        <f t="shared" si="760"/>
        <v>66.650347251105217</v>
      </c>
      <c r="AAL33">
        <f t="shared" si="760"/>
        <v>66.66484169663164</v>
      </c>
      <c r="AAM33">
        <f t="shared" si="760"/>
        <v>66.679492942868663</v>
      </c>
      <c r="AAN33">
        <f t="shared" si="760"/>
        <v>66.694297822377109</v>
      </c>
      <c r="AAO33">
        <f t="shared" si="760"/>
        <v>66.709253135437365</v>
      </c>
    </row>
    <row r="34" spans="1:719">
      <c r="A34">
        <f t="shared" si="676"/>
        <v>10</v>
      </c>
      <c r="B34">
        <f>B$24+SUM(G$8:G17)*(B$35-B$24)/G$20</f>
        <v>68.410862120199823</v>
      </c>
      <c r="C34">
        <f t="shared" ref="C34:BN34" si="761">(-B49)*$K18*dt+B34</f>
        <v>68.410862120199823</v>
      </c>
      <c r="D34">
        <f t="shared" si="761"/>
        <v>68.410862120199823</v>
      </c>
      <c r="E34">
        <f t="shared" si="761"/>
        <v>68.410862120199823</v>
      </c>
      <c r="F34">
        <f t="shared" si="761"/>
        <v>68.410862120199823</v>
      </c>
      <c r="G34">
        <f t="shared" si="761"/>
        <v>68.410862120199823</v>
      </c>
      <c r="H34">
        <f t="shared" si="761"/>
        <v>68.410862120199823</v>
      </c>
      <c r="I34">
        <f t="shared" si="761"/>
        <v>68.410862120199823</v>
      </c>
      <c r="J34">
        <f t="shared" si="761"/>
        <v>68.410862120199823</v>
      </c>
      <c r="K34">
        <f t="shared" si="761"/>
        <v>68.410862120199823</v>
      </c>
      <c r="L34">
        <f t="shared" si="761"/>
        <v>68.410862120419893</v>
      </c>
      <c r="M34">
        <f t="shared" si="761"/>
        <v>68.410862122243685</v>
      </c>
      <c r="N34">
        <f t="shared" si="761"/>
        <v>68.410862130540025</v>
      </c>
      <c r="O34">
        <f t="shared" si="761"/>
        <v>68.410862157961958</v>
      </c>
      <c r="P34">
        <f t="shared" si="761"/>
        <v>68.41086223159769</v>
      </c>
      <c r="Q34">
        <f t="shared" si="761"/>
        <v>68.410862402038845</v>
      </c>
      <c r="R34">
        <f t="shared" si="761"/>
        <v>68.410862754623068</v>
      </c>
      <c r="S34">
        <f t="shared" si="761"/>
        <v>68.410863422359355</v>
      </c>
      <c r="T34">
        <f t="shared" si="761"/>
        <v>68.410864599885159</v>
      </c>
      <c r="U34">
        <f t="shared" si="761"/>
        <v>68.41086655773681</v>
      </c>
      <c r="V34">
        <f t="shared" si="761"/>
        <v>68.410869656228016</v>
      </c>
      <c r="W34">
        <f t="shared" si="761"/>
        <v>68.410874358304312</v>
      </c>
      <c r="X34">
        <f t="shared" si="761"/>
        <v>68.410881240853143</v>
      </c>
      <c r="Y34">
        <f t="shared" si="761"/>
        <v>68.410891004079318</v>
      </c>
      <c r="Z34">
        <f t="shared" si="761"/>
        <v>68.410904478689432</v>
      </c>
      <c r="AA34">
        <f t="shared" si="761"/>
        <v>68.410922630753817</v>
      </c>
      <c r="AB34">
        <f t="shared" si="761"/>
        <v>68.410946564224517</v>
      </c>
      <c r="AC34">
        <f t="shared" si="761"/>
        <v>68.410977521178964</v>
      </c>
      <c r="AD34">
        <f t="shared" si="761"/>
        <v>68.411016879929377</v>
      </c>
      <c r="AE34">
        <f t="shared" si="761"/>
        <v>68.411066151189488</v>
      </c>
      <c r="AF34">
        <f t="shared" si="761"/>
        <v>68.411126972523817</v>
      </c>
      <c r="AG34">
        <f t="shared" si="761"/>
        <v>68.411201101323272</v>
      </c>
      <c r="AH34">
        <f t="shared" si="761"/>
        <v>68.411290406557157</v>
      </c>
      <c r="AI34">
        <f t="shared" si="761"/>
        <v>68.411396859547722</v>
      </c>
      <c r="AJ34">
        <f t="shared" si="761"/>
        <v>68.411522524002734</v>
      </c>
      <c r="AK34">
        <f t="shared" si="761"/>
        <v>68.411669545525143</v>
      </c>
      <c r="AL34">
        <f t="shared" si="761"/>
        <v>68.411840140799427</v>
      </c>
      <c r="AM34">
        <f t="shared" si="761"/>
        <v>68.412036586632652</v>
      </c>
      <c r="AN34">
        <f t="shared" si="761"/>
        <v>68.412261209006289</v>
      </c>
      <c r="AO34">
        <f t="shared" si="761"/>
        <v>68.412516372272492</v>
      </c>
      <c r="AP34">
        <f t="shared" si="761"/>
        <v>68.412804468607689</v>
      </c>
      <c r="AQ34">
        <f t="shared" si="761"/>
        <v>68.413127907816047</v>
      </c>
      <c r="AR34">
        <f t="shared" si="761"/>
        <v>68.413489107557325</v>
      </c>
      <c r="AS34">
        <f t="shared" si="761"/>
        <v>68.413890484056793</v>
      </c>
      <c r="AT34">
        <f t="shared" si="761"/>
        <v>68.414334443340067</v>
      </c>
      <c r="AU34">
        <f t="shared" si="761"/>
        <v>68.414823373022685</v>
      </c>
      <c r="AV34">
        <f t="shared" si="761"/>
        <v>68.415359634672939</v>
      </c>
      <c r="AW34">
        <f t="shared" si="761"/>
        <v>68.415945556756597</v>
      </c>
      <c r="AX34">
        <f t="shared" si="761"/>
        <v>68.416583428164159</v>
      </c>
      <c r="AY34">
        <f t="shared" si="761"/>
        <v>68.417275492314246</v>
      </c>
      <c r="AZ34">
        <f t="shared" si="761"/>
        <v>68.418023941821261</v>
      </c>
      <c r="BA34">
        <f t="shared" si="761"/>
        <v>68.418830913710991</v>
      </c>
      <c r="BB34">
        <f t="shared" si="761"/>
        <v>68.41969848516402</v>
      </c>
      <c r="BC34">
        <f t="shared" si="761"/>
        <v>68.420628669764596</v>
      </c>
      <c r="BD34">
        <f t="shared" si="761"/>
        <v>68.42162341423024</v>
      </c>
      <c r="BE34">
        <f t="shared" si="761"/>
        <v>68.422684595596266</v>
      </c>
      <c r="BF34">
        <f t="shared" si="761"/>
        <v>68.423814018828566</v>
      </c>
      <c r="BG34">
        <f t="shared" si="761"/>
        <v>68.425013414837608</v>
      </c>
      <c r="BH34">
        <f t="shared" si="761"/>
        <v>68.42628443886673</v>
      </c>
      <c r="BI34">
        <f t="shared" si="761"/>
        <v>68.427628669227943</v>
      </c>
      <c r="BJ34">
        <f t="shared" si="761"/>
        <v>68.429047606359205</v>
      </c>
      <c r="BK34">
        <f t="shared" si="761"/>
        <v>68.43054267217785</v>
      </c>
      <c r="BL34">
        <f t="shared" si="761"/>
        <v>68.432115209705515</v>
      </c>
      <c r="BM34">
        <f t="shared" si="761"/>
        <v>68.433766482941337</v>
      </c>
      <c r="BN34">
        <f t="shared" si="761"/>
        <v>68.435497676960949</v>
      </c>
      <c r="BO34">
        <f t="shared" ref="BO34:DZ34" si="762">(-BN49)*$K18*dt+BN34</f>
        <v>68.437309898219951</v>
      </c>
      <c r="BP34">
        <f t="shared" si="762"/>
        <v>68.439204175042008</v>
      </c>
      <c r="BQ34">
        <f t="shared" si="762"/>
        <v>68.441181458272453</v>
      </c>
      <c r="BR34">
        <f t="shared" si="762"/>
        <v>68.443242622079893</v>
      </c>
      <c r="BS34">
        <f t="shared" si="762"/>
        <v>68.445388464889106</v>
      </c>
      <c r="BT34">
        <f t="shared" si="762"/>
        <v>68.447619710429919</v>
      </c>
      <c r="BU34">
        <f t="shared" si="762"/>
        <v>68.449937008887602</v>
      </c>
      <c r="BV34">
        <f t="shared" si="762"/>
        <v>68.452340938141774</v>
      </c>
      <c r="BW34">
        <f t="shared" si="762"/>
        <v>68.454832005081187</v>
      </c>
      <c r="BX34">
        <f t="shared" si="762"/>
        <v>68.457410646983533</v>
      </c>
      <c r="BY34">
        <f t="shared" si="762"/>
        <v>68.460077232949516</v>
      </c>
      <c r="BZ34">
        <f t="shared" si="762"/>
        <v>68.462832065382059</v>
      </c>
      <c r="CA34">
        <f t="shared" si="762"/>
        <v>68.465675381501626</v>
      </c>
      <c r="CB34">
        <f t="shared" si="762"/>
        <v>68.468607354890096</v>
      </c>
      <c r="CC34">
        <f t="shared" si="762"/>
        <v>68.471628097055799</v>
      </c>
      <c r="CD34">
        <f t="shared" si="762"/>
        <v>68.474737659013215</v>
      </c>
      <c r="CE34">
        <f t="shared" si="762"/>
        <v>68.477936032871654</v>
      </c>
      <c r="CF34">
        <f t="shared" si="762"/>
        <v>68.481223153427436</v>
      </c>
      <c r="CG34">
        <f t="shared" si="762"/>
        <v>68.484598899754985</v>
      </c>
      <c r="CH34">
        <f t="shared" si="762"/>
        <v>68.488063096792459</v>
      </c>
      <c r="CI34">
        <f t="shared" si="762"/>
        <v>68.491615516918316</v>
      </c>
      <c r="CJ34">
        <f t="shared" si="762"/>
        <v>68.495255881515391</v>
      </c>
      <c r="CK34">
        <f t="shared" si="762"/>
        <v>68.498983862519509</v>
      </c>
      <c r="CL34">
        <f t="shared" si="762"/>
        <v>68.502799083950151</v>
      </c>
      <c r="CM34">
        <f t="shared" si="762"/>
        <v>68.506701123420882</v>
      </c>
      <c r="CN34">
        <f t="shared" si="762"/>
        <v>68.510689513627568</v>
      </c>
      <c r="CO34">
        <f t="shared" si="762"/>
        <v>68.514763743812821</v>
      </c>
      <c r="CP34">
        <f t="shared" si="762"/>
        <v>68.518923261205174</v>
      </c>
      <c r="CQ34">
        <f t="shared" si="762"/>
        <v>68.523167472431794</v>
      </c>
      <c r="CR34">
        <f t="shared" si="762"/>
        <v>68.527495744903902</v>
      </c>
      <c r="CS34">
        <f t="shared" si="762"/>
        <v>68.531907408173964</v>
      </c>
      <c r="CT34">
        <f t="shared" si="762"/>
        <v>68.536401755264151</v>
      </c>
      <c r="CU34">
        <f t="shared" si="762"/>
        <v>68.540978043965538</v>
      </c>
      <c r="CV34">
        <f t="shared" si="762"/>
        <v>68.545635498107856</v>
      </c>
      <c r="CW34">
        <f t="shared" si="762"/>
        <v>68.550373308799394</v>
      </c>
      <c r="CX34">
        <f t="shared" si="762"/>
        <v>68.55519063563726</v>
      </c>
      <c r="CY34">
        <f t="shared" si="762"/>
        <v>68.560086607887712</v>
      </c>
      <c r="CZ34">
        <f t="shared" si="762"/>
        <v>68.565060325636935</v>
      </c>
      <c r="DA34">
        <f t="shared" si="762"/>
        <v>68.57011086091228</v>
      </c>
      <c r="DB34">
        <f t="shared" si="762"/>
        <v>68.575237258774294</v>
      </c>
      <c r="DC34">
        <f t="shared" si="762"/>
        <v>68.580438538379894</v>
      </c>
      <c r="DD34">
        <f t="shared" si="762"/>
        <v>68.585713694016874</v>
      </c>
      <c r="DE34">
        <f t="shared" si="762"/>
        <v>68.59106169611043</v>
      </c>
      <c r="DF34">
        <f t="shared" si="762"/>
        <v>68.596481492201917</v>
      </c>
      <c r="DG34">
        <f t="shared" si="762"/>
        <v>68.6019720079005</v>
      </c>
      <c r="DH34">
        <f t="shared" si="762"/>
        <v>68.607532147808001</v>
      </c>
      <c r="DI34">
        <f t="shared" si="762"/>
        <v>68.613160796417759</v>
      </c>
      <c r="DJ34">
        <f t="shared" si="762"/>
        <v>68.618856818987794</v>
      </c>
      <c r="DK34">
        <f t="shared" si="762"/>
        <v>68.624619062389044</v>
      </c>
      <c r="DL34">
        <f t="shared" si="762"/>
        <v>68.630446355929095</v>
      </c>
      <c r="DM34">
        <f t="shared" si="762"/>
        <v>68.636337512152096</v>
      </c>
      <c r="DN34">
        <f t="shared" si="762"/>
        <v>68.642291327615453</v>
      </c>
      <c r="DO34">
        <f t="shared" si="762"/>
        <v>68.648306583643816</v>
      </c>
      <c r="DP34">
        <f t="shared" si="762"/>
        <v>68.654382047061077</v>
      </c>
      <c r="DQ34">
        <f t="shared" si="762"/>
        <v>68.660516470900873</v>
      </c>
      <c r="DR34">
        <f t="shared" si="762"/>
        <v>68.666708595096225</v>
      </c>
      <c r="DS34">
        <f t="shared" si="762"/>
        <v>68.672957147148921</v>
      </c>
      <c r="DT34">
        <f t="shared" si="762"/>
        <v>68.679260842779186</v>
      </c>
      <c r="DU34">
        <f t="shared" si="762"/>
        <v>68.685618386556314</v>
      </c>
      <c r="DV34">
        <f t="shared" si="762"/>
        <v>68.692028472510643</v>
      </c>
      <c r="DW34">
        <f t="shared" si="762"/>
        <v>68.698489784727641</v>
      </c>
      <c r="DX34">
        <f t="shared" si="762"/>
        <v>68.705000997924515</v>
      </c>
      <c r="DY34">
        <f t="shared" si="762"/>
        <v>68.71156077800994</v>
      </c>
      <c r="DZ34">
        <f t="shared" si="762"/>
        <v>68.718167782627404</v>
      </c>
      <c r="EA34">
        <f t="shared" ref="EA34:GL34" si="763">(-DZ49)*$K18*dt+DZ34</f>
        <v>68.724820661682713</v>
      </c>
      <c r="EB34">
        <f t="shared" si="763"/>
        <v>68.731518057856192</v>
      </c>
      <c r="EC34">
        <f t="shared" si="763"/>
        <v>68.738258607099979</v>
      </c>
      <c r="ED34">
        <f t="shared" si="763"/>
        <v>68.745040939120997</v>
      </c>
      <c r="EE34">
        <f t="shared" si="763"/>
        <v>68.751863677850011</v>
      </c>
      <c r="EF34">
        <f t="shared" si="763"/>
        <v>68.758725441897241</v>
      </c>
      <c r="EG34">
        <f t="shared" si="763"/>
        <v>68.765624844995017</v>
      </c>
      <c r="EH34">
        <f t="shared" si="763"/>
        <v>68.772560496427801</v>
      </c>
      <c r="EI34">
        <f t="shared" si="763"/>
        <v>68.779531001450167</v>
      </c>
      <c r="EJ34">
        <f t="shared" si="763"/>
        <v>68.786534961693008</v>
      </c>
      <c r="EK34">
        <f t="shared" si="763"/>
        <v>68.793570975558353</v>
      </c>
      <c r="EL34">
        <f t="shared" si="763"/>
        <v>68.800637638603305</v>
      </c>
      <c r="EM34">
        <f t="shared" si="763"/>
        <v>68.807733543913415</v>
      </c>
      <c r="EN34">
        <f t="shared" si="763"/>
        <v>68.814857282465752</v>
      </c>
      <c r="EO34">
        <f t="shared" si="763"/>
        <v>68.822007443482192</v>
      </c>
      <c r="EP34">
        <f t="shared" si="763"/>
        <v>68.829182614773146</v>
      </c>
      <c r="EQ34">
        <f t="shared" si="763"/>
        <v>68.836381383072094</v>
      </c>
      <c r="ER34">
        <f t="shared" si="763"/>
        <v>68.843602334361179</v>
      </c>
      <c r="ES34">
        <f t="shared" si="763"/>
        <v>68.850844054188357</v>
      </c>
      <c r="ET34">
        <f t="shared" si="763"/>
        <v>68.858105127976089</v>
      </c>
      <c r="EU34">
        <f t="shared" si="763"/>
        <v>68.865384141322195</v>
      </c>
      <c r="EV34">
        <f t="shared" si="763"/>
        <v>68.872679680292904</v>
      </c>
      <c r="EW34">
        <f t="shared" si="763"/>
        <v>68.879990331708456</v>
      </c>
      <c r="EX34">
        <f t="shared" si="763"/>
        <v>68.887314683421479</v>
      </c>
      <c r="EY34">
        <f t="shared" si="763"/>
        <v>68.894651324588509</v>
      </c>
      <c r="EZ34">
        <f t="shared" si="763"/>
        <v>68.901998845934699</v>
      </c>
      <c r="FA34">
        <f t="shared" si="763"/>
        <v>68.909355840012111</v>
      </c>
      <c r="FB34">
        <f t="shared" si="763"/>
        <v>68.916720901451711</v>
      </c>
      <c r="FC34">
        <f t="shared" si="763"/>
        <v>68.924092627209347</v>
      </c>
      <c r="FD34">
        <f t="shared" si="763"/>
        <v>68.931469616805828</v>
      </c>
      <c r="FE34">
        <f t="shared" si="763"/>
        <v>68.938850472561455</v>
      </c>
      <c r="FF34">
        <f t="shared" si="763"/>
        <v>68.946233799825023</v>
      </c>
      <c r="FG34">
        <f t="shared" si="763"/>
        <v>68.953618207197621</v>
      </c>
      <c r="FH34">
        <f t="shared" si="763"/>
        <v>68.961002306751254</v>
      </c>
      <c r="FI34">
        <f t="shared" si="763"/>
        <v>68.968384714242646</v>
      </c>
      <c r="FJ34">
        <f t="shared" si="763"/>
        <v>68.975764049322223</v>
      </c>
      <c r="FK34">
        <f t="shared" si="763"/>
        <v>68.983138935738509</v>
      </c>
      <c r="FL34">
        <f t="shared" si="763"/>
        <v>68.990508001538089</v>
      </c>
      <c r="FM34">
        <f t="shared" si="763"/>
        <v>68.997869879261259</v>
      </c>
      <c r="FN34">
        <f t="shared" si="763"/>
        <v>69.005223206133536</v>
      </c>
      <c r="FO34">
        <f t="shared" si="763"/>
        <v>69.012566624253068</v>
      </c>
      <c r="FP34">
        <f t="shared" si="763"/>
        <v>69.019898780774255</v>
      </c>
      <c r="FQ34">
        <f t="shared" si="763"/>
        <v>69.027218328087514</v>
      </c>
      <c r="FR34">
        <f t="shared" si="763"/>
        <v>69.034523923995408</v>
      </c>
      <c r="FS34">
        <f t="shared" si="763"/>
        <v>69.04181423188524</v>
      </c>
      <c r="FT34">
        <f t="shared" si="763"/>
        <v>69.049087920898216</v>
      </c>
      <c r="FU34">
        <f t="shared" si="763"/>
        <v>69.056343666095273</v>
      </c>
      <c r="FV34">
        <f t="shared" si="763"/>
        <v>69.063580148619664</v>
      </c>
      <c r="FW34">
        <f t="shared" si="763"/>
        <v>69.07079605585642</v>
      </c>
      <c r="FX34">
        <f t="shared" si="763"/>
        <v>69.077990081588837</v>
      </c>
      <c r="FY34">
        <f t="shared" si="763"/>
        <v>69.085160926151914</v>
      </c>
      <c r="FZ34">
        <f t="shared" si="763"/>
        <v>69.092307296582945</v>
      </c>
      <c r="GA34">
        <f t="shared" si="763"/>
        <v>69.099427906769421</v>
      </c>
      <c r="GB34">
        <f t="shared" si="763"/>
        <v>69.1065214775941</v>
      </c>
      <c r="GC34">
        <f t="shared" si="763"/>
        <v>69.113586737077526</v>
      </c>
      <c r="GD34">
        <f t="shared" si="763"/>
        <v>69.120622420517975</v>
      </c>
      <c r="GE34">
        <f t="shared" si="763"/>
        <v>69.127627270628878</v>
      </c>
      <c r="GF34">
        <f t="shared" si="763"/>
        <v>69.134600037673863</v>
      </c>
      <c r="GG34">
        <f t="shared" si="763"/>
        <v>69.141539479599388</v>
      </c>
      <c r="GH34">
        <f t="shared" si="763"/>
        <v>69.148444362165122</v>
      </c>
      <c r="GI34">
        <f t="shared" si="763"/>
        <v>69.155313459072019</v>
      </c>
      <c r="GJ34">
        <f t="shared" si="763"/>
        <v>69.162145552088262</v>
      </c>
      <c r="GK34">
        <f t="shared" si="763"/>
        <v>69.168939431173015</v>
      </c>
      <c r="GL34">
        <f t="shared" si="763"/>
        <v>69.175693894598098</v>
      </c>
      <c r="GM34">
        <f t="shared" ref="GM34:IX34" si="764">(-GL49)*$K18*dt+GL34</f>
        <v>69.18240774906765</v>
      </c>
      <c r="GN34">
        <f t="shared" si="764"/>
        <v>69.189079809835761</v>
      </c>
      <c r="GO34">
        <f t="shared" si="764"/>
        <v>69.19570890082214</v>
      </c>
      <c r="GP34">
        <f t="shared" si="764"/>
        <v>69.202293854725937</v>
      </c>
      <c r="GQ34">
        <f t="shared" si="764"/>
        <v>69.208833513137591</v>
      </c>
      <c r="GR34">
        <f t="shared" si="764"/>
        <v>69.215326726648925</v>
      </c>
      <c r="GS34">
        <f t="shared" si="764"/>
        <v>69.221772354961359</v>
      </c>
      <c r="GT34">
        <f t="shared" si="764"/>
        <v>69.228169266992481</v>
      </c>
      <c r="GU34">
        <f t="shared" si="764"/>
        <v>69.234516340980733</v>
      </c>
      <c r="GV34">
        <f t="shared" si="764"/>
        <v>69.240812464588487</v>
      </c>
      <c r="GW34">
        <f t="shared" si="764"/>
        <v>69.247056535003438</v>
      </c>
      <c r="GX34">
        <f t="shared" si="764"/>
        <v>69.253247459038306</v>
      </c>
      <c r="GY34">
        <f t="shared" si="764"/>
        <v>69.25938415322895</v>
      </c>
      <c r="GZ34">
        <f t="shared" si="764"/>
        <v>69.265465543930901</v>
      </c>
      <c r="HA34">
        <f t="shared" si="764"/>
        <v>69.271490567414247</v>
      </c>
      <c r="HB34">
        <f t="shared" si="764"/>
        <v>69.277458169957058</v>
      </c>
      <c r="HC34">
        <f t="shared" si="764"/>
        <v>69.283367307937198</v>
      </c>
      <c r="HD34">
        <f t="shared" si="764"/>
        <v>69.289216947922739</v>
      </c>
      <c r="HE34">
        <f t="shared" si="764"/>
        <v>69.29500606676072</v>
      </c>
      <c r="HF34">
        <f t="shared" si="764"/>
        <v>69.300733651664586</v>
      </c>
      <c r="HG34">
        <f t="shared" si="764"/>
        <v>69.306398700300079</v>
      </c>
      <c r="HH34">
        <f t="shared" si="764"/>
        <v>69.31200022086972</v>
      </c>
      <c r="HI34">
        <f t="shared" si="764"/>
        <v>69.317537232195875</v>
      </c>
      <c r="HJ34">
        <f t="shared" si="764"/>
        <v>69.323008763802392</v>
      </c>
      <c r="HK34">
        <f t="shared" si="764"/>
        <v>69.328413855994825</v>
      </c>
      <c r="HL34">
        <f t="shared" si="764"/>
        <v>69.333751559939287</v>
      </c>
      <c r="HM34">
        <f t="shared" si="764"/>
        <v>69.33902093773996</v>
      </c>
      <c r="HN34">
        <f t="shared" si="764"/>
        <v>69.34422106251516</v>
      </c>
      <c r="HO34">
        <f t="shared" si="764"/>
        <v>69.349351018472149</v>
      </c>
      <c r="HP34">
        <f t="shared" si="764"/>
        <v>69.354409900980542</v>
      </c>
      <c r="HQ34">
        <f t="shared" si="764"/>
        <v>69.359396816644349</v>
      </c>
      <c r="HR34">
        <f t="shared" si="764"/>
        <v>69.364310883372752</v>
      </c>
      <c r="HS34">
        <f t="shared" si="764"/>
        <v>69.369151230449575</v>
      </c>
      <c r="HT34">
        <f t="shared" si="764"/>
        <v>69.373916998601345</v>
      </c>
      <c r="HU34">
        <f t="shared" si="764"/>
        <v>69.378607340064164</v>
      </c>
      <c r="HV34">
        <f t="shared" si="764"/>
        <v>69.383221418649185</v>
      </c>
      <c r="HW34">
        <f t="shared" si="764"/>
        <v>69.387758409806864</v>
      </c>
      <c r="HX34">
        <f t="shared" si="764"/>
        <v>69.392217500689867</v>
      </c>
      <c r="HY34">
        <f t="shared" si="764"/>
        <v>69.396597890214721</v>
      </c>
      <c r="HZ34">
        <f t="shared" si="764"/>
        <v>69.400898789122223</v>
      </c>
      <c r="IA34">
        <f t="shared" si="764"/>
        <v>69.405119420036513</v>
      </c>
      <c r="IB34">
        <f t="shared" si="764"/>
        <v>69.409259017522857</v>
      </c>
      <c r="IC34">
        <f t="shared" si="764"/>
        <v>69.413316828144247</v>
      </c>
      <c r="ID34">
        <f t="shared" si="764"/>
        <v>69.417292110516684</v>
      </c>
      <c r="IE34">
        <f t="shared" si="764"/>
        <v>69.421184135363191</v>
      </c>
      <c r="IF34">
        <f t="shared" si="764"/>
        <v>69.424992185566566</v>
      </c>
      <c r="IG34">
        <f t="shared" si="764"/>
        <v>69.428715556220894</v>
      </c>
      <c r="IH34">
        <f t="shared" si="764"/>
        <v>69.432353554681782</v>
      </c>
      <c r="II34">
        <f t="shared" si="764"/>
        <v>69.435905500615362</v>
      </c>
      <c r="IJ34">
        <f t="shared" si="764"/>
        <v>69.439370726046022</v>
      </c>
      <c r="IK34">
        <f t="shared" si="764"/>
        <v>69.442748575402874</v>
      </c>
      <c r="IL34">
        <f t="shared" si="764"/>
        <v>69.446038405565005</v>
      </c>
      <c r="IM34">
        <f t="shared" si="764"/>
        <v>69.449239585905417</v>
      </c>
      <c r="IN34">
        <f t="shared" si="764"/>
        <v>69.452351498333769</v>
      </c>
      <c r="IO34">
        <f t="shared" si="764"/>
        <v>69.455373537337849</v>
      </c>
      <c r="IP34">
        <f t="shared" si="764"/>
        <v>69.458305110023801</v>
      </c>
      <c r="IQ34">
        <f t="shared" si="764"/>
        <v>69.461145636155081</v>
      </c>
      <c r="IR34">
        <f t="shared" si="764"/>
        <v>69.463894548190154</v>
      </c>
      <c r="IS34">
        <f t="shared" si="764"/>
        <v>69.466551291319021</v>
      </c>
      <c r="IT34">
        <f t="shared" si="764"/>
        <v>69.469115323498357</v>
      </c>
      <c r="IU34">
        <f t="shared" si="764"/>
        <v>69.471586115485536</v>
      </c>
      <c r="IV34">
        <f t="shared" si="764"/>
        <v>69.473963150871299</v>
      </c>
      <c r="IW34">
        <f t="shared" si="764"/>
        <v>69.476245926111247</v>
      </c>
      <c r="IX34">
        <f t="shared" si="764"/>
        <v>69.478433950555981</v>
      </c>
      <c r="IY34">
        <f t="shared" ref="IY34:LJ34" si="765">(-IX49)*$K18*dt+IX34</f>
        <v>69.480526746480123</v>
      </c>
      <c r="IZ34">
        <f t="shared" si="765"/>
        <v>69.482523849109938</v>
      </c>
      <c r="JA34">
        <f t="shared" si="765"/>
        <v>69.484424806649827</v>
      </c>
      <c r="JB34">
        <f t="shared" si="765"/>
        <v>69.486229180307475</v>
      </c>
      <c r="JC34">
        <f t="shared" si="765"/>
        <v>69.487936544317762</v>
      </c>
      <c r="JD34">
        <f t="shared" si="765"/>
        <v>69.489546485965434</v>
      </c>
      <c r="JE34">
        <f t="shared" si="765"/>
        <v>69.491058605606526</v>
      </c>
      <c r="JF34">
        <f t="shared" si="765"/>
        <v>69.492472516688466</v>
      </c>
      <c r="JG34">
        <f t="shared" si="765"/>
        <v>69.493787845768978</v>
      </c>
      <c r="JH34">
        <f t="shared" si="765"/>
        <v>69.495004232533702</v>
      </c>
      <c r="JI34">
        <f t="shared" si="765"/>
        <v>69.496121329812524</v>
      </c>
      <c r="JJ34">
        <f t="shared" si="765"/>
        <v>69.49713880359468</v>
      </c>
      <c r="JK34">
        <f t="shared" si="765"/>
        <v>69.49805633304257</v>
      </c>
      <c r="JL34">
        <f t="shared" si="765"/>
        <v>69.498873610504361</v>
      </c>
      <c r="JM34">
        <f t="shared" si="765"/>
        <v>69.499590341525206</v>
      </c>
      <c r="JN34">
        <f t="shared" si="765"/>
        <v>69.500206244857338</v>
      </c>
      <c r="JO34">
        <f t="shared" si="765"/>
        <v>69.500721052468776</v>
      </c>
      <c r="JP34">
        <f t="shared" si="765"/>
        <v>69.501134509550837</v>
      </c>
      <c r="JQ34">
        <f t="shared" si="765"/>
        <v>69.501446374524363</v>
      </c>
      <c r="JR34">
        <f t="shared" si="765"/>
        <v>69.501656419044664</v>
      </c>
      <c r="JS34">
        <f t="shared" si="765"/>
        <v>69.501764428005174</v>
      </c>
      <c r="JT34">
        <f t="shared" si="765"/>
        <v>69.501770199539891</v>
      </c>
      <c r="JU34">
        <f t="shared" si="765"/>
        <v>69.501673545024488</v>
      </c>
      <c r="JV34">
        <f t="shared" si="765"/>
        <v>69.501474289076228</v>
      </c>
      <c r="JW34">
        <f t="shared" si="765"/>
        <v>69.501172269552512</v>
      </c>
      <c r="JX34">
        <f t="shared" si="765"/>
        <v>69.500767337548197</v>
      </c>
      <c r="JY34">
        <f t="shared" si="765"/>
        <v>69.500259357391684</v>
      </c>
      <c r="JZ34">
        <f t="shared" si="765"/>
        <v>69.499648206639677</v>
      </c>
      <c r="KA34">
        <f t="shared" si="765"/>
        <v>69.498933776070714</v>
      </c>
      <c r="KB34">
        <f t="shared" si="765"/>
        <v>69.498115969677357</v>
      </c>
      <c r="KC34">
        <f t="shared" si="765"/>
        <v>69.497194704657204</v>
      </c>
      <c r="KD34">
        <f t="shared" si="765"/>
        <v>69.496169911402575</v>
      </c>
      <c r="KE34">
        <f t="shared" si="765"/>
        <v>69.49504153348893</v>
      </c>
      <c r="KF34">
        <f t="shared" si="765"/>
        <v>69.493809527662037</v>
      </c>
      <c r="KG34">
        <f t="shared" si="765"/>
        <v>69.492473863823832</v>
      </c>
      <c r="KH34">
        <f t="shared" si="765"/>
        <v>69.491034525017071</v>
      </c>
      <c r="KI34">
        <f t="shared" si="765"/>
        <v>69.489491507408658</v>
      </c>
      <c r="KJ34">
        <f t="shared" si="765"/>
        <v>69.487844820271775</v>
      </c>
      <c r="KK34">
        <f t="shared" si="765"/>
        <v>69.486094485966632</v>
      </c>
      <c r="KL34">
        <f t="shared" si="765"/>
        <v>69.484240539920108</v>
      </c>
      <c r="KM34">
        <f t="shared" si="765"/>
        <v>69.48228303060398</v>
      </c>
      <c r="KN34">
        <f t="shared" si="765"/>
        <v>69.480222019511984</v>
      </c>
      <c r="KO34">
        <f t="shared" si="765"/>
        <v>69.478057581135602</v>
      </c>
      <c r="KP34">
        <f t="shared" si="765"/>
        <v>69.47578980293855</v>
      </c>
      <c r="KQ34">
        <f t="shared" si="765"/>
        <v>69.473418785330068</v>
      </c>
      <c r="KR34">
        <f t="shared" si="765"/>
        <v>69.470944641636919</v>
      </c>
      <c r="KS34">
        <f t="shared" si="765"/>
        <v>69.46836749807413</v>
      </c>
      <c r="KT34">
        <f t="shared" si="765"/>
        <v>69.465687493714526</v>
      </c>
      <c r="KU34">
        <f t="shared" si="765"/>
        <v>69.462904780456952</v>
      </c>
      <c r="KV34">
        <f t="shared" si="765"/>
        <v>69.460019522993321</v>
      </c>
      <c r="KW34">
        <f t="shared" si="765"/>
        <v>69.457031898774375</v>
      </c>
      <c r="KX34">
        <f t="shared" si="765"/>
        <v>69.453942097974206</v>
      </c>
      <c r="KY34">
        <f t="shared" si="765"/>
        <v>69.450750323453548</v>
      </c>
      <c r="KZ34">
        <f t="shared" si="765"/>
        <v>69.447456790941914</v>
      </c>
      <c r="LA34">
        <f t="shared" si="765"/>
        <v>69.444061729941936</v>
      </c>
      <c r="LB34">
        <f t="shared" si="765"/>
        <v>69.44056538601059</v>
      </c>
      <c r="LC34">
        <f t="shared" si="765"/>
        <v>69.436968025016526</v>
      </c>
      <c r="LD34">
        <f t="shared" si="765"/>
        <v>69.433269939748229</v>
      </c>
      <c r="LE34">
        <f t="shared" si="765"/>
        <v>69.429471458938252</v>
      </c>
      <c r="LF34">
        <f t="shared" si="765"/>
        <v>69.425572958460421</v>
      </c>
      <c r="LG34">
        <f t="shared" si="765"/>
        <v>69.421574874208787</v>
      </c>
      <c r="LH34">
        <f t="shared" si="765"/>
        <v>69.417477716006999</v>
      </c>
      <c r="LI34">
        <f t="shared" si="765"/>
        <v>69.413282081829806</v>
      </c>
      <c r="LJ34">
        <f t="shared" si="765"/>
        <v>69.408988671631448</v>
      </c>
      <c r="LK34">
        <f t="shared" ref="LK34:NV34" si="766">(-LJ49)*$K18*dt+LJ34</f>
        <v>69.404598300148876</v>
      </c>
      <c r="LL34">
        <f t="shared" si="766"/>
        <v>69.400111908159303</v>
      </c>
      <c r="LM34">
        <f t="shared" si="766"/>
        <v>69.395530571802027</v>
      </c>
      <c r="LN34">
        <f t="shared" si="766"/>
        <v>69.390855509707976</v>
      </c>
      <c r="LO34">
        <f t="shared" si="766"/>
        <v>69.386088087805632</v>
      </c>
      <c r="LP34">
        <f t="shared" si="766"/>
        <v>69.381229821781872</v>
      </c>
      <c r="LQ34">
        <f t="shared" si="766"/>
        <v>69.376282377267216</v>
      </c>
      <c r="LR34">
        <f t="shared" si="766"/>
        <v>69.37124756788576</v>
      </c>
      <c r="LS34">
        <f t="shared" si="766"/>
        <v>69.366127351361172</v>
      </c>
      <c r="LT34">
        <f t="shared" si="766"/>
        <v>69.360923823904201</v>
      </c>
      <c r="LU34">
        <f t="shared" si="766"/>
        <v>69.355639213125301</v>
      </c>
      <c r="LV34">
        <f t="shared" si="766"/>
        <v>69.350275869722509</v>
      </c>
      <c r="LW34">
        <f t="shared" si="766"/>
        <v>69.344836258190782</v>
      </c>
      <c r="LX34">
        <f t="shared" si="766"/>
        <v>69.339322946788172</v>
      </c>
      <c r="LY34">
        <f t="shared" si="766"/>
        <v>69.333738596978051</v>
      </c>
      <c r="LZ34">
        <f t="shared" si="766"/>
        <v>69.328085952546829</v>
      </c>
      <c r="MA34">
        <f t="shared" si="766"/>
        <v>69.322367828575324</v>
      </c>
      <c r="MB34">
        <f t="shared" si="766"/>
        <v>69.316587100419753</v>
      </c>
      <c r="MC34">
        <f t="shared" si="766"/>
        <v>69.310746692836162</v>
      </c>
      <c r="MD34">
        <f t="shared" si="766"/>
        <v>69.30484956936094</v>
      </c>
      <c r="ME34">
        <f t="shared" si="766"/>
        <v>69.298898722040278</v>
      </c>
      <c r="MF34">
        <f t="shared" si="766"/>
        <v>69.292897161582871</v>
      </c>
      <c r="MG34">
        <f t="shared" si="766"/>
        <v>69.286847907993618</v>
      </c>
      <c r="MH34">
        <f t="shared" si="766"/>
        <v>69.280753981731181</v>
      </c>
      <c r="MI34">
        <f t="shared" si="766"/>
        <v>69.274618395419253</v>
      </c>
      <c r="MJ34">
        <f t="shared" si="766"/>
        <v>69.268444146130008</v>
      </c>
      <c r="MK34">
        <f t="shared" si="766"/>
        <v>69.262234208248444</v>
      </c>
      <c r="ML34">
        <f t="shared" si="766"/>
        <v>69.255991526918166</v>
      </c>
      <c r="MM34">
        <f t="shared" si="766"/>
        <v>69.249719012062343</v>
      </c>
      <c r="MN34">
        <f t="shared" si="766"/>
        <v>69.24341953296792</v>
      </c>
      <c r="MO34">
        <f t="shared" si="766"/>
        <v>69.237095913416681</v>
      </c>
      <c r="MP34">
        <f t="shared" si="766"/>
        <v>69.23075092734328</v>
      </c>
      <c r="MQ34">
        <f t="shared" si="766"/>
        <v>69.224387294997584</v>
      </c>
      <c r="MR34">
        <f t="shared" si="766"/>
        <v>69.218007679586847</v>
      </c>
      <c r="MS34">
        <f t="shared" si="766"/>
        <v>69.211614684371824</v>
      </c>
      <c r="MT34">
        <f t="shared" si="766"/>
        <v>69.205210850190184</v>
      </c>
      <c r="MU34">
        <f t="shared" si="766"/>
        <v>69.19879865338018</v>
      </c>
      <c r="MV34">
        <f t="shared" si="766"/>
        <v>69.192380504077647</v>
      </c>
      <c r="MW34">
        <f t="shared" si="766"/>
        <v>69.185958744859605</v>
      </c>
      <c r="MX34">
        <f t="shared" si="766"/>
        <v>69.179535649708413</v>
      </c>
      <c r="MY34">
        <f t="shared" si="766"/>
        <v>69.173113423271047</v>
      </c>
      <c r="MZ34">
        <f t="shared" si="766"/>
        <v>69.166694200389188</v>
      </c>
      <c r="NA34">
        <f t="shared" si="766"/>
        <v>69.160280045876462</v>
      </c>
      <c r="NB34">
        <f t="shared" si="766"/>
        <v>69.153872954520679</v>
      </c>
      <c r="NC34">
        <f t="shared" si="766"/>
        <v>69.147474851289715</v>
      </c>
      <c r="ND34">
        <f t="shared" si="766"/>
        <v>69.141087591721018</v>
      </c>
      <c r="NE34">
        <f t="shared" si="766"/>
        <v>69.134712962475945</v>
      </c>
      <c r="NF34">
        <f t="shared" si="766"/>
        <v>69.128352682041069</v>
      </c>
      <c r="NG34">
        <f t="shared" si="766"/>
        <v>69.122008401560009</v>
      </c>
      <c r="NH34">
        <f t="shared" si="766"/>
        <v>69.115681705780446</v>
      </c>
      <c r="NI34">
        <f t="shared" si="766"/>
        <v>69.109374114101811</v>
      </c>
      <c r="NJ34">
        <f t="shared" si="766"/>
        <v>69.103087081710612</v>
      </c>
      <c r="NK34">
        <f t="shared" si="766"/>
        <v>69.096822000790965</v>
      </c>
      <c r="NL34">
        <f t="shared" si="766"/>
        <v>69.090580201799199</v>
      </c>
      <c r="NM34">
        <f t="shared" si="766"/>
        <v>69.084362954792127</v>
      </c>
      <c r="NN34">
        <f t="shared" si="766"/>
        <v>69.078171470799518</v>
      </c>
      <c r="NO34">
        <f t="shared" si="766"/>
        <v>69.072006903232065</v>
      </c>
      <c r="NP34">
        <f t="shared" si="766"/>
        <v>69.065870349317038</v>
      </c>
      <c r="NQ34">
        <f t="shared" si="766"/>
        <v>69.059762851554424</v>
      </c>
      <c r="NR34">
        <f t="shared" si="766"/>
        <v>69.053685399187074</v>
      </c>
      <c r="NS34">
        <f t="shared" si="766"/>
        <v>69.047638929678953</v>
      </c>
      <c r="NT34">
        <f t="shared" si="766"/>
        <v>69.041624330196342</v>
      </c>
      <c r="NU34">
        <f t="shared" si="766"/>
        <v>69.035642439087169</v>
      </c>
      <c r="NV34">
        <f t="shared" si="766"/>
        <v>69.029694047354269</v>
      </c>
      <c r="NW34">
        <f t="shared" ref="NW34:QH34" si="767">(-NV49)*$K18*dt+NV34</f>
        <v>69.023779900118868</v>
      </c>
      <c r="NX34">
        <f t="shared" si="767"/>
        <v>69.017900698070889</v>
      </c>
      <c r="NY34">
        <f t="shared" si="767"/>
        <v>69.012057098903242</v>
      </c>
      <c r="NZ34">
        <f t="shared" si="767"/>
        <v>69.006249718727446</v>
      </c>
      <c r="OA34">
        <f t="shared" si="767"/>
        <v>69.000479133468446</v>
      </c>
      <c r="OB34">
        <f t="shared" si="767"/>
        <v>68.994745880236621</v>
      </c>
      <c r="OC34">
        <f t="shared" si="767"/>
        <v>68.989050458675351</v>
      </c>
      <c r="OD34">
        <f t="shared" si="767"/>
        <v>68.983393332282787</v>
      </c>
      <c r="OE34">
        <f t="shared" si="767"/>
        <v>68.977774929706598</v>
      </c>
      <c r="OF34">
        <f t="shared" si="767"/>
        <v>68.972195646010832</v>
      </c>
      <c r="OG34">
        <f t="shared" si="767"/>
        <v>68.966655843914012</v>
      </c>
      <c r="OH34">
        <f t="shared" si="767"/>
        <v>68.961155854997926</v>
      </c>
      <c r="OI34">
        <f t="shared" si="767"/>
        <v>68.95569598088673</v>
      </c>
      <c r="OJ34">
        <f t="shared" si="767"/>
        <v>68.950276494395979</v>
      </c>
      <c r="OK34">
        <f t="shared" si="767"/>
        <v>68.944897640651433</v>
      </c>
      <c r="OL34">
        <f t="shared" si="767"/>
        <v>68.93955963817757</v>
      </c>
      <c r="OM34">
        <f t="shared" si="767"/>
        <v>68.934262679955879</v>
      </c>
      <c r="ON34">
        <f t="shared" si="767"/>
        <v>68.929006934453014</v>
      </c>
      <c r="OO34">
        <f t="shared" si="767"/>
        <v>68.923792546619012</v>
      </c>
      <c r="OP34">
        <f t="shared" si="767"/>
        <v>68.918619638855844</v>
      </c>
      <c r="OQ34">
        <f t="shared" si="767"/>
        <v>68.913488311956698</v>
      </c>
      <c r="OR34">
        <f t="shared" si="767"/>
        <v>68.908398646016238</v>
      </c>
      <c r="OS34">
        <f t="shared" si="767"/>
        <v>68.903350701312348</v>
      </c>
      <c r="OT34">
        <f t="shared" si="767"/>
        <v>68.898344519159906</v>
      </c>
      <c r="OU34">
        <f t="shared" si="767"/>
        <v>68.893380122736886</v>
      </c>
      <c r="OV34">
        <f t="shared" si="767"/>
        <v>68.888457517883509</v>
      </c>
      <c r="OW34">
        <f t="shared" si="767"/>
        <v>68.8835766938749</v>
      </c>
      <c r="OX34">
        <f t="shared" si="767"/>
        <v>68.878737624167783</v>
      </c>
      <c r="OY34">
        <f t="shared" si="767"/>
        <v>68.87394026712191</v>
      </c>
      <c r="OZ34">
        <f t="shared" si="767"/>
        <v>68.869184566696688</v>
      </c>
      <c r="PA34">
        <f t="shared" si="767"/>
        <v>68.864470453123744</v>
      </c>
      <c r="PB34">
        <f t="shared" si="767"/>
        <v>68.859797843555924</v>
      </c>
      <c r="PC34">
        <f t="shared" si="767"/>
        <v>68.855166642693362</v>
      </c>
      <c r="PD34">
        <f t="shared" si="767"/>
        <v>68.850576743387293</v>
      </c>
      <c r="PE34">
        <f t="shared" si="767"/>
        <v>68.846028027222104</v>
      </c>
      <c r="PF34">
        <f t="shared" si="767"/>
        <v>68.84152036507642</v>
      </c>
      <c r="PG34">
        <f t="shared" si="767"/>
        <v>68.837053617663528</v>
      </c>
      <c r="PH34">
        <f t="shared" si="767"/>
        <v>68.832627636052109</v>
      </c>
      <c r="PI34">
        <f t="shared" si="767"/>
        <v>68.828242262167549</v>
      </c>
      <c r="PJ34">
        <f t="shared" si="767"/>
        <v>68.823897329274573</v>
      </c>
      <c r="PK34">
        <f t="shared" si="767"/>
        <v>68.81959266244175</v>
      </c>
      <c r="PL34">
        <f t="shared" si="767"/>
        <v>68.815328078988401</v>
      </c>
      <c r="PM34">
        <f t="shared" si="767"/>
        <v>68.811103388914518</v>
      </c>
      <c r="PN34">
        <f t="shared" si="767"/>
        <v>68.806918395314185</v>
      </c>
      <c r="PO34">
        <f t="shared" si="767"/>
        <v>68.802772894773042</v>
      </c>
      <c r="PP34">
        <f t="shared" si="767"/>
        <v>68.798666677750319</v>
      </c>
      <c r="PQ34">
        <f t="shared" si="767"/>
        <v>68.794599528945966</v>
      </c>
      <c r="PR34">
        <f t="shared" si="767"/>
        <v>68.790571227653373</v>
      </c>
      <c r="PS34">
        <f t="shared" si="767"/>
        <v>68.786581548098098</v>
      </c>
      <c r="PT34">
        <f t="shared" si="767"/>
        <v>68.782630259763167</v>
      </c>
      <c r="PU34">
        <f t="shared" si="767"/>
        <v>68.778717127701356</v>
      </c>
      <c r="PV34">
        <f t="shared" si="767"/>
        <v>68.774841912834901</v>
      </c>
      <c r="PW34">
        <f t="shared" si="767"/>
        <v>68.771004372243056</v>
      </c>
      <c r="PX34">
        <f t="shared" si="767"/>
        <v>68.767204259438031</v>
      </c>
      <c r="PY34">
        <f t="shared" si="767"/>
        <v>68.763441324629483</v>
      </c>
      <c r="PZ34">
        <f t="shared" si="767"/>
        <v>68.759715314978294</v>
      </c>
      <c r="QA34">
        <f t="shared" si="767"/>
        <v>68.756025974839659</v>
      </c>
      <c r="QB34">
        <f t="shared" si="767"/>
        <v>68.752373045996166</v>
      </c>
      <c r="QC34">
        <f t="shared" si="767"/>
        <v>68.748756267881021</v>
      </c>
      <c r="QD34">
        <f t="shared" si="767"/>
        <v>68.745175377791924</v>
      </c>
      <c r="QE34">
        <f t="shared" si="767"/>
        <v>68.741630111095773</v>
      </c>
      <c r="QF34">
        <f t="shared" si="767"/>
        <v>68.738120201424707</v>
      </c>
      <c r="QG34">
        <f t="shared" si="767"/>
        <v>68.734645380863668</v>
      </c>
      <c r="QH34">
        <f t="shared" si="767"/>
        <v>68.73120538012985</v>
      </c>
      <c r="QI34">
        <f t="shared" ref="QI34:ST34" si="768">(-QH49)*$K18*dt+QH34</f>
        <v>68.727799928744318</v>
      </c>
      <c r="QJ34">
        <f t="shared" si="768"/>
        <v>68.724428755196143</v>
      </c>
      <c r="QK34">
        <f t="shared" si="768"/>
        <v>68.72109158709921</v>
      </c>
      <c r="QL34">
        <f t="shared" si="768"/>
        <v>68.717788151342091</v>
      </c>
      <c r="QM34">
        <f t="shared" si="768"/>
        <v>68.714518174231202</v>
      </c>
      <c r="QN34">
        <f t="shared" si="768"/>
        <v>68.711281381627472</v>
      </c>
      <c r="QO34">
        <f t="shared" si="768"/>
        <v>68.708077499076808</v>
      </c>
      <c r="QP34">
        <f t="shared" si="768"/>
        <v>68.704906251934517</v>
      </c>
      <c r="QQ34">
        <f t="shared" si="768"/>
        <v>68.701767365484059</v>
      </c>
      <c r="QR34">
        <f t="shared" si="768"/>
        <v>68.698660565050162</v>
      </c>
      <c r="QS34">
        <f t="shared" si="768"/>
        <v>68.695585576106694</v>
      </c>
      <c r="QT34">
        <f t="shared" si="768"/>
        <v>68.692542124379344</v>
      </c>
      <c r="QU34">
        <f t="shared" si="768"/>
        <v>68.689529935943412</v>
      </c>
      <c r="QV34">
        <f t="shared" si="768"/>
        <v>68.686548737316855</v>
      </c>
      <c r="QW34">
        <f t="shared" si="768"/>
        <v>68.683598255548759</v>
      </c>
      <c r="QX34">
        <f t="shared" si="768"/>
        <v>68.680678218303456</v>
      </c>
      <c r="QY34">
        <f t="shared" si="768"/>
        <v>68.677788353940443</v>
      </c>
      <c r="QZ34">
        <f t="shared" si="768"/>
        <v>68.674928391590214</v>
      </c>
      <c r="RA34">
        <f t="shared" si="768"/>
        <v>68.672098061226265</v>
      </c>
      <c r="RB34">
        <f t="shared" si="768"/>
        <v>68.669297093733363</v>
      </c>
      <c r="RC34">
        <f t="shared" si="768"/>
        <v>68.666525220972161</v>
      </c>
      <c r="RD34">
        <f t="shared" si="768"/>
        <v>68.663782175840467</v>
      </c>
      <c r="RE34">
        <f t="shared" si="768"/>
        <v>68.661067692331159</v>
      </c>
      <c r="RF34">
        <f t="shared" si="768"/>
        <v>68.658381505586917</v>
      </c>
      <c r="RG34">
        <f t="shared" si="768"/>
        <v>68.655723351951963</v>
      </c>
      <c r="RH34">
        <f t="shared" si="768"/>
        <v>68.653092969020804</v>
      </c>
      <c r="RI34">
        <f t="shared" si="768"/>
        <v>68.650490095684248</v>
      </c>
      <c r="RJ34">
        <f t="shared" si="768"/>
        <v>68.647914472172658</v>
      </c>
      <c r="RK34">
        <f t="shared" si="768"/>
        <v>68.645365840096687</v>
      </c>
      <c r="RL34">
        <f t="shared" si="768"/>
        <v>68.642843942485499</v>
      </c>
      <c r="RM34">
        <f t="shared" si="768"/>
        <v>68.640348523822595</v>
      </c>
      <c r="RN34">
        <f t="shared" si="768"/>
        <v>68.637879330079429</v>
      </c>
      <c r="RO34">
        <f t="shared" si="768"/>
        <v>68.635436108746774</v>
      </c>
      <c r="RP34">
        <f t="shared" si="768"/>
        <v>68.633018608864006</v>
      </c>
      <c r="RQ34">
        <f t="shared" si="768"/>
        <v>68.630626581046442</v>
      </c>
      <c r="RR34">
        <f t="shared" si="768"/>
        <v>68.62825977751065</v>
      </c>
      <c r="RS34">
        <f t="shared" si="768"/>
        <v>68.625917952098021</v>
      </c>
      <c r="RT34">
        <f t="shared" si="768"/>
        <v>68.623600860296477</v>
      </c>
      <c r="RU34">
        <f t="shared" si="768"/>
        <v>68.621308259260601</v>
      </c>
      <c r="RV34">
        <f t="shared" si="768"/>
        <v>68.619039907830029</v>
      </c>
      <c r="RW34">
        <f t="shared" si="768"/>
        <v>68.616795566546386</v>
      </c>
      <c r="RX34">
        <f t="shared" si="768"/>
        <v>68.614574997668711</v>
      </c>
      <c r="RY34">
        <f t="shared" si="768"/>
        <v>68.612377965187434</v>
      </c>
      <c r="RZ34">
        <f t="shared" si="768"/>
        <v>68.610204234837013</v>
      </c>
      <c r="SA34">
        <f t="shared" si="768"/>
        <v>68.608053574107288</v>
      </c>
      <c r="SB34">
        <f t="shared" si="768"/>
        <v>68.605925752253597</v>
      </c>
      <c r="SC34">
        <f t="shared" si="768"/>
        <v>68.603820540305648</v>
      </c>
      <c r="SD34">
        <f t="shared" si="768"/>
        <v>68.601737711075359</v>
      </c>
      <c r="SE34">
        <f t="shared" si="768"/>
        <v>68.599677039163481</v>
      </c>
      <c r="SF34">
        <f t="shared" si="768"/>
        <v>68.597638300965315</v>
      </c>
      <c r="SG34">
        <f t="shared" si="768"/>
        <v>68.595621274675352</v>
      </c>
      <c r="SH34">
        <f t="shared" si="768"/>
        <v>68.593625740291031</v>
      </c>
      <c r="SI34">
        <f t="shared" si="768"/>
        <v>68.591651479615535</v>
      </c>
      <c r="SJ34">
        <f t="shared" si="768"/>
        <v>68.589698276259767</v>
      </c>
      <c r="SK34">
        <f t="shared" si="768"/>
        <v>68.587765915643502</v>
      </c>
      <c r="SL34">
        <f t="shared" si="768"/>
        <v>68.585854184995767</v>
      </c>
      <c r="SM34">
        <f t="shared" si="768"/>
        <v>68.583962873354466</v>
      </c>
      <c r="SN34">
        <f t="shared" si="768"/>
        <v>68.58209177156526</v>
      </c>
      <c r="SO34">
        <f t="shared" si="768"/>
        <v>68.580240672279857</v>
      </c>
      <c r="SP34">
        <f t="shared" si="768"/>
        <v>68.578409369953576</v>
      </c>
      <c r="SQ34">
        <f t="shared" si="768"/>
        <v>68.576597660842353</v>
      </c>
      <c r="SR34">
        <f t="shared" si="768"/>
        <v>68.574805342999156</v>
      </c>
      <c r="SS34">
        <f t="shared" si="768"/>
        <v>68.573032216269823</v>
      </c>
      <c r="ST34">
        <f t="shared" si="768"/>
        <v>68.571278082288401</v>
      </c>
      <c r="SU34">
        <f t="shared" ref="SU34:VF34" si="769">(-ST49)*$K18*dt+ST34</f>
        <v>68.569542744471988</v>
      </c>
      <c r="SV34">
        <f t="shared" si="769"/>
        <v>68.567826008015118</v>
      </c>
      <c r="SW34">
        <f t="shared" si="769"/>
        <v>68.56612767988365</v>
      </c>
      <c r="SX34">
        <f t="shared" si="769"/>
        <v>68.564447568808276</v>
      </c>
      <c r="SY34">
        <f t="shared" si="769"/>
        <v>68.562785485277615</v>
      </c>
      <c r="SZ34">
        <f t="shared" si="769"/>
        <v>68.561141241530919</v>
      </c>
      <c r="TA34">
        <f t="shared" si="769"/>
        <v>68.559514651550472</v>
      </c>
      <c r="TB34">
        <f t="shared" si="769"/>
        <v>68.557905531053564</v>
      </c>
      <c r="TC34">
        <f t="shared" si="769"/>
        <v>68.556313697484214</v>
      </c>
      <c r="TD34">
        <f t="shared" si="769"/>
        <v>68.554738970004578</v>
      </c>
      <c r="TE34">
        <f t="shared" si="769"/>
        <v>68.553181169486066</v>
      </c>
      <c r="TF34">
        <f t="shared" si="769"/>
        <v>68.551640118500202</v>
      </c>
      <c r="TG34">
        <f t="shared" si="769"/>
        <v>68.550115641309219</v>
      </c>
      <c r="TH34">
        <f t="shared" si="769"/>
        <v>68.54860756385645</v>
      </c>
      <c r="TI34">
        <f t="shared" si="769"/>
        <v>68.54711571375644</v>
      </c>
      <c r="TJ34">
        <f t="shared" si="769"/>
        <v>68.54563992028497</v>
      </c>
      <c r="TK34">
        <f t="shared" si="769"/>
        <v>68.544180014368735</v>
      </c>
      <c r="TL34">
        <f t="shared" si="769"/>
        <v>68.542735828574976</v>
      </c>
      <c r="TM34">
        <f t="shared" si="769"/>
        <v>68.541307197100892</v>
      </c>
      <c r="TN34">
        <f t="shared" si="769"/>
        <v>68.539893955762892</v>
      </c>
      <c r="TO34">
        <f t="shared" si="769"/>
        <v>68.53849594198573</v>
      </c>
      <c r="TP34">
        <f t="shared" si="769"/>
        <v>68.537112994791471</v>
      </c>
      <c r="TQ34">
        <f t="shared" si="769"/>
        <v>68.535744954788413</v>
      </c>
      <c r="TR34">
        <f t="shared" si="769"/>
        <v>68.534391664159813</v>
      </c>
      <c r="TS34">
        <f t="shared" si="769"/>
        <v>68.533052966652562</v>
      </c>
      <c r="TT34">
        <f t="shared" si="769"/>
        <v>68.531728707565762</v>
      </c>
      <c r="TU34">
        <f t="shared" si="769"/>
        <v>68.530418733739211</v>
      </c>
      <c r="TV34">
        <f t="shared" si="769"/>
        <v>68.529122893541839</v>
      </c>
      <c r="TW34">
        <f t="shared" si="769"/>
        <v>68.527841036860053</v>
      </c>
      <c r="TX34">
        <f t="shared" si="769"/>
        <v>68.526573015086029</v>
      </c>
      <c r="TY34">
        <f t="shared" si="769"/>
        <v>68.525318681105972</v>
      </c>
      <c r="TZ34">
        <f t="shared" si="769"/>
        <v>68.524077889288307</v>
      </c>
      <c r="UA34">
        <f t="shared" si="769"/>
        <v>68.522850495471886</v>
      </c>
      <c r="UB34">
        <f t="shared" si="769"/>
        <v>68.521636356954062</v>
      </c>
      <c r="UC34">
        <f t="shared" si="769"/>
        <v>68.520435332478868</v>
      </c>
      <c r="UD34">
        <f t="shared" si="769"/>
        <v>68.519247282225109</v>
      </c>
      <c r="UE34">
        <f t="shared" si="769"/>
        <v>68.518072067794392</v>
      </c>
      <c r="UF34">
        <f t="shared" si="769"/>
        <v>68.516909552199294</v>
      </c>
      <c r="UG34">
        <f t="shared" si="769"/>
        <v>68.515759599851364</v>
      </c>
      <c r="UH34">
        <f t="shared" si="769"/>
        <v>68.514622076549273</v>
      </c>
      <c r="UI34">
        <f t="shared" si="769"/>
        <v>68.513496849466847</v>
      </c>
      <c r="UJ34">
        <f t="shared" si="769"/>
        <v>68.512383787141218</v>
      </c>
      <c r="UK34">
        <f t="shared" si="769"/>
        <v>68.511282759460926</v>
      </c>
      <c r="UL34">
        <f t="shared" si="769"/>
        <v>68.510193637654041</v>
      </c>
      <c r="UM34">
        <f t="shared" si="769"/>
        <v>68.509116294276382</v>
      </c>
      <c r="UN34">
        <f t="shared" si="769"/>
        <v>68.508050603199649</v>
      </c>
      <c r="UO34">
        <f t="shared" si="769"/>
        <v>68.506996439599703</v>
      </c>
      <c r="UP34">
        <f t="shared" si="769"/>
        <v>68.505953679944795</v>
      </c>
      <c r="UQ34">
        <f t="shared" si="769"/>
        <v>68.504922201983874</v>
      </c>
      <c r="UR34">
        <f t="shared" si="769"/>
        <v>68.50390188473493</v>
      </c>
      <c r="US34">
        <f t="shared" si="769"/>
        <v>68.50289260847336</v>
      </c>
      <c r="UT34">
        <f t="shared" si="769"/>
        <v>68.501894254720426</v>
      </c>
      <c r="UU34">
        <f t="shared" si="769"/>
        <v>68.500906706231717</v>
      </c>
      <c r="UV34">
        <f t="shared" si="769"/>
        <v>68.499929846985665</v>
      </c>
      <c r="UW34">
        <f t="shared" si="769"/>
        <v>68.49896356217215</v>
      </c>
      <c r="UX34">
        <f t="shared" si="769"/>
        <v>68.498007738181116</v>
      </c>
      <c r="UY34">
        <f t="shared" si="769"/>
        <v>68.497062262591285</v>
      </c>
      <c r="UZ34">
        <f t="shared" si="769"/>
        <v>68.496127024158881</v>
      </c>
      <c r="VA34">
        <f t="shared" si="769"/>
        <v>68.495201912806465</v>
      </c>
      <c r="VB34">
        <f t="shared" si="769"/>
        <v>68.49428681961183</v>
      </c>
      <c r="VC34">
        <f t="shared" si="769"/>
        <v>68.493381636796883</v>
      </c>
      <c r="VD34">
        <f t="shared" si="769"/>
        <v>68.49248625771672</v>
      </c>
      <c r="VE34">
        <f t="shared" si="769"/>
        <v>68.491600576848626</v>
      </c>
      <c r="VF34">
        <f t="shared" si="769"/>
        <v>68.490724489781272</v>
      </c>
      <c r="VG34">
        <f t="shared" ref="VG34:XR34" si="770">(-VF49)*$K18*dt+VF34</f>
        <v>68.489857893203876</v>
      </c>
      <c r="VH34">
        <f t="shared" si="770"/>
        <v>68.48900068489553</v>
      </c>
      <c r="VI34">
        <f t="shared" si="770"/>
        <v>68.488152763714496</v>
      </c>
      <c r="VJ34">
        <f t="shared" si="770"/>
        <v>68.487314029587665</v>
      </c>
      <c r="VK34">
        <f t="shared" si="770"/>
        <v>68.486484383500056</v>
      </c>
      <c r="VL34">
        <f t="shared" si="770"/>
        <v>68.485663727484322</v>
      </c>
      <c r="VM34">
        <f t="shared" si="770"/>
        <v>68.484851964610485</v>
      </c>
      <c r="VN34">
        <f t="shared" si="770"/>
        <v>68.484048998975553</v>
      </c>
      <c r="VO34">
        <f t="shared" si="770"/>
        <v>68.483254735693393</v>
      </c>
      <c r="VP34">
        <f t="shared" si="770"/>
        <v>68.482469080884542</v>
      </c>
      <c r="VQ34">
        <f t="shared" si="770"/>
        <v>68.48169194166617</v>
      </c>
      <c r="VR34">
        <f t="shared" si="770"/>
        <v>68.480923226142124</v>
      </c>
      <c r="VS34">
        <f t="shared" si="770"/>
        <v>68.480162843392989</v>
      </c>
      <c r="VT34">
        <f t="shared" si="770"/>
        <v>68.479410703466286</v>
      </c>
      <c r="VU34">
        <f t="shared" si="770"/>
        <v>68.478666717366707</v>
      </c>
      <c r="VV34">
        <f t="shared" si="770"/>
        <v>68.47793079704644</v>
      </c>
      <c r="VW34">
        <f t="shared" si="770"/>
        <v>68.477202855395632</v>
      </c>
      <c r="VX34">
        <f t="shared" si="770"/>
        <v>68.476482806232823</v>
      </c>
      <c r="VY34">
        <f t="shared" si="770"/>
        <v>68.475770564295516</v>
      </c>
      <c r="VZ34">
        <f t="shared" si="770"/>
        <v>68.475066045230818</v>
      </c>
      <c r="WA34">
        <f t="shared" si="770"/>
        <v>68.474369165586211</v>
      </c>
      <c r="WB34">
        <f t="shared" si="770"/>
        <v>68.473679842800294</v>
      </c>
      <c r="WC34">
        <f t="shared" si="770"/>
        <v>68.472997995193708</v>
      </c>
      <c r="WD34">
        <f t="shared" si="770"/>
        <v>68.472323541960051</v>
      </c>
      <c r="WE34">
        <f t="shared" si="770"/>
        <v>68.471656403156942</v>
      </c>
      <c r="WF34">
        <f t="shared" si="770"/>
        <v>68.470996499697137</v>
      </c>
      <c r="WG34">
        <f t="shared" si="770"/>
        <v>68.470343753339705</v>
      </c>
      <c r="WH34">
        <f t="shared" si="770"/>
        <v>68.469698086681333</v>
      </c>
      <c r="WI34">
        <f t="shared" si="770"/>
        <v>68.469059423147627</v>
      </c>
      <c r="WJ34">
        <f t="shared" si="770"/>
        <v>68.468427686984555</v>
      </c>
      <c r="WK34">
        <f t="shared" si="770"/>
        <v>68.467802803249995</v>
      </c>
      <c r="WL34">
        <f t="shared" si="770"/>
        <v>68.467184697805237</v>
      </c>
      <c r="WM34">
        <f t="shared" si="770"/>
        <v>68.466573297306724</v>
      </c>
      <c r="WN34">
        <f t="shared" si="770"/>
        <v>68.465968529417751</v>
      </c>
      <c r="WO34">
        <f t="shared" si="770"/>
        <v>68.465370323743912</v>
      </c>
      <c r="WP34">
        <f t="shared" si="770"/>
        <v>68.464778614146496</v>
      </c>
      <c r="WQ34">
        <f t="shared" si="770"/>
        <v>68.464193343033472</v>
      </c>
      <c r="WR34">
        <f t="shared" si="770"/>
        <v>68.463614468002547</v>
      </c>
      <c r="WS34">
        <f t="shared" si="770"/>
        <v>68.463041970901486</v>
      </c>
      <c r="WT34">
        <f t="shared" si="770"/>
        <v>68.462475869062885</v>
      </c>
      <c r="WU34">
        <f t="shared" si="770"/>
        <v>68.461916228221824</v>
      </c>
      <c r="WV34">
        <f t="shared" si="770"/>
        <v>68.461363176465241</v>
      </c>
      <c r="WW34">
        <f t="shared" si="770"/>
        <v>68.460816918494785</v>
      </c>
      <c r="WX34">
        <f t="shared" si="770"/>
        <v>68.460277749497777</v>
      </c>
      <c r="WY34">
        <f t="shared" si="770"/>
        <v>68.45974606799426</v>
      </c>
      <c r="WZ34">
        <f t="shared" si="770"/>
        <v>68.459222387139633</v>
      </c>
      <c r="XA34">
        <f t="shared" si="770"/>
        <v>68.458707344092886</v>
      </c>
      <c r="XB34">
        <f t="shared" si="770"/>
        <v>68.458201707193709</v>
      </c>
      <c r="XC34">
        <f t="shared" si="770"/>
        <v>68.457706380817314</v>
      </c>
      <c r="XD34">
        <f t="shared" si="770"/>
        <v>68.457222407885325</v>
      </c>
      <c r="XE34">
        <f t="shared" si="770"/>
        <v>68.456750970102405</v>
      </c>
      <c r="XF34">
        <f t="shared" si="770"/>
        <v>68.456293386058732</v>
      </c>
      <c r="XG34">
        <f t="shared" si="770"/>
        <v>68.45585110738979</v>
      </c>
      <c r="XH34">
        <f t="shared" si="770"/>
        <v>68.455425713218872</v>
      </c>
      <c r="XI34">
        <f t="shared" si="770"/>
        <v>68.455018903125932</v>
      </c>
      <c r="XJ34">
        <f t="shared" si="770"/>
        <v>68.454632488892855</v>
      </c>
      <c r="XK34">
        <f t="shared" si="770"/>
        <v>68.454268385271448</v>
      </c>
      <c r="XL34">
        <f t="shared" si="770"/>
        <v>68.453928600009448</v>
      </c>
      <c r="XM34">
        <f t="shared" si="770"/>
        <v>68.453615223353665</v>
      </c>
      <c r="XN34">
        <f t="shared" si="770"/>
        <v>68.453330417229949</v>
      </c>
      <c r="XO34">
        <f t="shared" si="770"/>
        <v>68.453076404277894</v>
      </c>
      <c r="XP34">
        <f t="shared" si="770"/>
        <v>68.45285545689633</v>
      </c>
      <c r="XQ34">
        <f t="shared" si="770"/>
        <v>68.452669886433412</v>
      </c>
      <c r="XR34">
        <f t="shared" si="770"/>
        <v>68.452522032634022</v>
      </c>
      <c r="XS34">
        <f t="shared" ref="XS34:AAD34" si="771">(-XR49)*$K18*dt+XR34</f>
        <v>68.452414253437126</v>
      </c>
      <c r="XT34">
        <f t="shared" si="771"/>
        <v>68.452348915197632</v>
      </c>
      <c r="XU34">
        <f t="shared" si="771"/>
        <v>68.452328383390267</v>
      </c>
      <c r="XV34">
        <f t="shared" si="771"/>
        <v>68.452355013838527</v>
      </c>
      <c r="XW34">
        <f t="shared" si="771"/>
        <v>68.452431144498433</v>
      </c>
      <c r="XX34">
        <f t="shared" si="771"/>
        <v>68.452559087815487</v>
      </c>
      <c r="XY34">
        <f t="shared" si="771"/>
        <v>68.452741123663714</v>
      </c>
      <c r="XZ34">
        <f t="shared" si="771"/>
        <v>68.452979492867215</v>
      </c>
      <c r="YA34">
        <f t="shared" si="771"/>
        <v>68.453276391297948</v>
      </c>
      <c r="YB34">
        <f t="shared" si="771"/>
        <v>68.453633964537843</v>
      </c>
      <c r="YC34">
        <f t="shared" si="771"/>
        <v>68.454054303088839</v>
      </c>
      <c r="YD34">
        <f t="shared" si="771"/>
        <v>68.454539438110928</v>
      </c>
      <c r="YE34">
        <f t="shared" si="771"/>
        <v>68.455091337665579</v>
      </c>
      <c r="YF34">
        <f t="shared" si="771"/>
        <v>68.455711903440019</v>
      </c>
      <c r="YG34">
        <f t="shared" si="771"/>
        <v>68.456402967926465</v>
      </c>
      <c r="YH34">
        <f t="shared" si="771"/>
        <v>68.457166292029711</v>
      </c>
      <c r="YI34">
        <f t="shared" si="771"/>
        <v>68.458003563075948</v>
      </c>
      <c r="YJ34">
        <f t="shared" si="771"/>
        <v>68.458916393195906</v>
      </c>
      <c r="YK34">
        <f t="shared" si="771"/>
        <v>68.45990631805563</v>
      </c>
      <c r="YL34">
        <f t="shared" si="771"/>
        <v>68.460974795908754</v>
      </c>
      <c r="YM34">
        <f t="shared" si="771"/>
        <v>68.462123206944909</v>
      </c>
      <c r="YN34">
        <f t="shared" si="771"/>
        <v>68.463352852909821</v>
      </c>
      <c r="YO34">
        <f t="shared" si="771"/>
        <v>68.464664956973607</v>
      </c>
      <c r="YP34">
        <f t="shared" si="771"/>
        <v>68.466060663824933</v>
      </c>
      <c r="YQ34">
        <f t="shared" si="771"/>
        <v>68.467541039969831</v>
      </c>
      <c r="YR34">
        <f t="shared" si="771"/>
        <v>68.469107074214975</v>
      </c>
      <c r="YS34">
        <f t="shared" si="771"/>
        <v>68.470759678316739</v>
      </c>
      <c r="YT34">
        <f t="shared" si="771"/>
        <v>68.472499687778125</v>
      </c>
      <c r="YU34">
        <f t="shared" si="771"/>
        <v>68.474327862777116</v>
      </c>
      <c r="YV34">
        <f t="shared" si="771"/>
        <v>68.476244889211031</v>
      </c>
      <c r="YW34">
        <f t="shared" si="771"/>
        <v>68.478251379842533</v>
      </c>
      <c r="YX34">
        <f t="shared" si="771"/>
        <v>68.480347875533994</v>
      </c>
      <c r="YY34">
        <f t="shared" si="771"/>
        <v>68.482534846558053</v>
      </c>
      <c r="YZ34">
        <f t="shared" si="771"/>
        <v>68.48481269397297</v>
      </c>
      <c r="ZA34">
        <f t="shared" si="771"/>
        <v>68.487181751052532</v>
      </c>
      <c r="ZB34">
        <f t="shared" si="771"/>
        <v>68.489642284760919</v>
      </c>
      <c r="ZC34">
        <f t="shared" si="771"/>
        <v>68.492194497263952</v>
      </c>
      <c r="ZD34">
        <f t="shared" si="771"/>
        <v>68.494838527468744</v>
      </c>
      <c r="ZE34">
        <f t="shared" si="771"/>
        <v>68.497574452584658</v>
      </c>
      <c r="ZF34">
        <f t="shared" si="771"/>
        <v>68.500402289698982</v>
      </c>
      <c r="ZG34">
        <f t="shared" si="771"/>
        <v>68.503321997361553</v>
      </c>
      <c r="ZH34">
        <f t="shared" si="771"/>
        <v>68.506333477173015</v>
      </c>
      <c r="ZI34">
        <f t="shared" si="771"/>
        <v>68.509436575371922</v>
      </c>
      <c r="ZJ34">
        <f t="shared" si="771"/>
        <v>68.512631084416554</v>
      </c>
      <c r="ZK34">
        <f t="shared" si="771"/>
        <v>68.515916744557614</v>
      </c>
      <c r="ZL34">
        <f t="shared" si="771"/>
        <v>68.519293245398472</v>
      </c>
      <c r="ZM34">
        <f t="shared" si="771"/>
        <v>68.522760227440045</v>
      </c>
      <c r="ZN34">
        <f t="shared" si="771"/>
        <v>68.526317283607739</v>
      </c>
      <c r="ZO34">
        <f t="shared" si="771"/>
        <v>68.529963960758181</v>
      </c>
      <c r="ZP34">
        <f t="shared" si="771"/>
        <v>68.533699761163845</v>
      </c>
      <c r="ZQ34">
        <f t="shared" si="771"/>
        <v>68.537524143973812</v>
      </c>
      <c r="ZR34">
        <f t="shared" si="771"/>
        <v>68.541436526649406</v>
      </c>
      <c r="ZS34">
        <f t="shared" si="771"/>
        <v>68.545436286373445</v>
      </c>
      <c r="ZT34">
        <f t="shared" si="771"/>
        <v>68.549522761432073</v>
      </c>
      <c r="ZU34">
        <f t="shared" si="771"/>
        <v>68.553695252568573</v>
      </c>
      <c r="ZV34">
        <f t="shared" si="771"/>
        <v>68.557953024308375</v>
      </c>
      <c r="ZW34">
        <f t="shared" si="771"/>
        <v>68.562295306254882</v>
      </c>
      <c r="ZX34">
        <f t="shared" si="771"/>
        <v>68.566721294355872</v>
      </c>
      <c r="ZY34">
        <f t="shared" si="771"/>
        <v>68.571230152140132</v>
      </c>
      <c r="ZZ34">
        <f t="shared" si="771"/>
        <v>68.575821011924376</v>
      </c>
      <c r="AAA34">
        <f t="shared" si="771"/>
        <v>68.58049297599041</v>
      </c>
      <c r="AAB34">
        <f t="shared" si="771"/>
        <v>68.585245117732683</v>
      </c>
      <c r="AAC34">
        <f t="shared" si="771"/>
        <v>68.590076482776325</v>
      </c>
      <c r="AAD34">
        <f t="shared" si="771"/>
        <v>68.594986090066129</v>
      </c>
      <c r="AAE34">
        <f t="shared" ref="AAE34:AAO34" si="772">(-AAD49)*$K18*dt+AAD34</f>
        <v>68.599972932926491</v>
      </c>
      <c r="AAF34">
        <f t="shared" si="772"/>
        <v>68.605035980093007</v>
      </c>
      <c r="AAG34">
        <f t="shared" si="772"/>
        <v>68.61017417671583</v>
      </c>
      <c r="AAH34">
        <f t="shared" si="772"/>
        <v>68.615386445335517</v>
      </c>
      <c r="AAI34">
        <f t="shared" si="772"/>
        <v>68.620671686831628</v>
      </c>
      <c r="AAJ34">
        <f t="shared" si="772"/>
        <v>68.626028781344743</v>
      </c>
      <c r="AAK34">
        <f t="shared" si="772"/>
        <v>68.631456589172345</v>
      </c>
      <c r="AAL34">
        <f t="shared" si="772"/>
        <v>68.636953951639114</v>
      </c>
      <c r="AAM34">
        <f t="shared" si="772"/>
        <v>68.642519691942312</v>
      </c>
      <c r="AAN34">
        <f t="shared" si="772"/>
        <v>68.648152615972734</v>
      </c>
      <c r="AAO34">
        <f t="shared" si="772"/>
        <v>68.653851513111846</v>
      </c>
    </row>
    <row r="35" spans="1:719">
      <c r="A35" t="s">
        <v>0</v>
      </c>
      <c r="B35">
        <f>B3</f>
        <v>70</v>
      </c>
      <c r="C35">
        <f>B35</f>
        <v>70</v>
      </c>
      <c r="D35">
        <f>C35</f>
        <v>70</v>
      </c>
      <c r="E35">
        <f t="shared" ref="E35:BP35" si="773">D35</f>
        <v>70</v>
      </c>
      <c r="F35">
        <f t="shared" si="773"/>
        <v>70</v>
      </c>
      <c r="G35">
        <f t="shared" si="773"/>
        <v>70</v>
      </c>
      <c r="H35">
        <f t="shared" si="773"/>
        <v>70</v>
      </c>
      <c r="I35">
        <f t="shared" si="773"/>
        <v>70</v>
      </c>
      <c r="J35">
        <f t="shared" si="773"/>
        <v>70</v>
      </c>
      <c r="K35">
        <f t="shared" si="773"/>
        <v>70</v>
      </c>
      <c r="L35">
        <f t="shared" si="773"/>
        <v>70</v>
      </c>
      <c r="M35">
        <f t="shared" si="773"/>
        <v>70</v>
      </c>
      <c r="N35">
        <f t="shared" si="773"/>
        <v>70</v>
      </c>
      <c r="O35">
        <f t="shared" si="773"/>
        <v>70</v>
      </c>
      <c r="P35">
        <f t="shared" si="773"/>
        <v>70</v>
      </c>
      <c r="Q35">
        <f t="shared" si="773"/>
        <v>70</v>
      </c>
      <c r="R35">
        <f t="shared" si="773"/>
        <v>70</v>
      </c>
      <c r="S35">
        <f t="shared" si="773"/>
        <v>70</v>
      </c>
      <c r="T35">
        <f t="shared" si="773"/>
        <v>70</v>
      </c>
      <c r="U35">
        <f t="shared" si="773"/>
        <v>70</v>
      </c>
      <c r="V35">
        <f t="shared" si="773"/>
        <v>70</v>
      </c>
      <c r="W35">
        <f t="shared" si="773"/>
        <v>70</v>
      </c>
      <c r="X35">
        <f t="shared" si="773"/>
        <v>70</v>
      </c>
      <c r="Y35">
        <f t="shared" si="773"/>
        <v>70</v>
      </c>
      <c r="Z35">
        <f t="shared" si="773"/>
        <v>70</v>
      </c>
      <c r="AA35">
        <f t="shared" si="773"/>
        <v>70</v>
      </c>
      <c r="AB35">
        <f t="shared" si="773"/>
        <v>70</v>
      </c>
      <c r="AC35">
        <f t="shared" si="773"/>
        <v>70</v>
      </c>
      <c r="AD35">
        <f t="shared" si="773"/>
        <v>70</v>
      </c>
      <c r="AE35">
        <f t="shared" si="773"/>
        <v>70</v>
      </c>
      <c r="AF35">
        <f t="shared" si="773"/>
        <v>70</v>
      </c>
      <c r="AG35">
        <f t="shared" si="773"/>
        <v>70</v>
      </c>
      <c r="AH35">
        <f t="shared" si="773"/>
        <v>70</v>
      </c>
      <c r="AI35">
        <f t="shared" si="773"/>
        <v>70</v>
      </c>
      <c r="AJ35">
        <f t="shared" si="773"/>
        <v>70</v>
      </c>
      <c r="AK35">
        <f t="shared" si="773"/>
        <v>70</v>
      </c>
      <c r="AL35">
        <f t="shared" si="773"/>
        <v>70</v>
      </c>
      <c r="AM35">
        <f t="shared" si="773"/>
        <v>70</v>
      </c>
      <c r="AN35">
        <f t="shared" si="773"/>
        <v>70</v>
      </c>
      <c r="AO35">
        <f t="shared" si="773"/>
        <v>70</v>
      </c>
      <c r="AP35">
        <f t="shared" si="773"/>
        <v>70</v>
      </c>
      <c r="AQ35">
        <f t="shared" si="773"/>
        <v>70</v>
      </c>
      <c r="AR35">
        <f t="shared" si="773"/>
        <v>70</v>
      </c>
      <c r="AS35">
        <f t="shared" si="773"/>
        <v>70</v>
      </c>
      <c r="AT35">
        <f t="shared" si="773"/>
        <v>70</v>
      </c>
      <c r="AU35">
        <f t="shared" si="773"/>
        <v>70</v>
      </c>
      <c r="AV35">
        <f t="shared" si="773"/>
        <v>70</v>
      </c>
      <c r="AW35">
        <f t="shared" si="773"/>
        <v>70</v>
      </c>
      <c r="AX35">
        <f t="shared" si="773"/>
        <v>70</v>
      </c>
      <c r="AY35">
        <f t="shared" si="773"/>
        <v>70</v>
      </c>
      <c r="AZ35">
        <f t="shared" si="773"/>
        <v>70</v>
      </c>
      <c r="BA35">
        <f t="shared" si="773"/>
        <v>70</v>
      </c>
      <c r="BB35">
        <f t="shared" si="773"/>
        <v>70</v>
      </c>
      <c r="BC35">
        <f t="shared" si="773"/>
        <v>70</v>
      </c>
      <c r="BD35">
        <f t="shared" si="773"/>
        <v>70</v>
      </c>
      <c r="BE35">
        <f t="shared" si="773"/>
        <v>70</v>
      </c>
      <c r="BF35">
        <f t="shared" si="773"/>
        <v>70</v>
      </c>
      <c r="BG35">
        <f t="shared" si="773"/>
        <v>70</v>
      </c>
      <c r="BH35">
        <f t="shared" si="773"/>
        <v>70</v>
      </c>
      <c r="BI35">
        <f t="shared" si="773"/>
        <v>70</v>
      </c>
      <c r="BJ35">
        <f t="shared" si="773"/>
        <v>70</v>
      </c>
      <c r="BK35">
        <f t="shared" si="773"/>
        <v>70</v>
      </c>
      <c r="BL35">
        <f t="shared" si="773"/>
        <v>70</v>
      </c>
      <c r="BM35">
        <f t="shared" si="773"/>
        <v>70</v>
      </c>
      <c r="BN35">
        <f t="shared" si="773"/>
        <v>70</v>
      </c>
      <c r="BO35">
        <f t="shared" si="773"/>
        <v>70</v>
      </c>
      <c r="BP35">
        <f t="shared" si="773"/>
        <v>70</v>
      </c>
      <c r="BQ35">
        <f t="shared" ref="BQ35:CU35" si="774">BP35</f>
        <v>70</v>
      </c>
      <c r="BR35">
        <f t="shared" si="774"/>
        <v>70</v>
      </c>
      <c r="BS35">
        <f t="shared" si="774"/>
        <v>70</v>
      </c>
      <c r="BT35">
        <f t="shared" si="774"/>
        <v>70</v>
      </c>
      <c r="BU35">
        <f t="shared" si="774"/>
        <v>70</v>
      </c>
      <c r="BV35">
        <f t="shared" si="774"/>
        <v>70</v>
      </c>
      <c r="BW35">
        <f t="shared" si="774"/>
        <v>70</v>
      </c>
      <c r="BX35">
        <f t="shared" si="774"/>
        <v>70</v>
      </c>
      <c r="BY35">
        <f t="shared" si="774"/>
        <v>70</v>
      </c>
      <c r="BZ35">
        <f t="shared" si="774"/>
        <v>70</v>
      </c>
      <c r="CA35">
        <f t="shared" si="774"/>
        <v>70</v>
      </c>
      <c r="CB35">
        <f t="shared" si="774"/>
        <v>70</v>
      </c>
      <c r="CC35">
        <f t="shared" si="774"/>
        <v>70</v>
      </c>
      <c r="CD35">
        <f t="shared" si="774"/>
        <v>70</v>
      </c>
      <c r="CE35">
        <f t="shared" si="774"/>
        <v>70</v>
      </c>
      <c r="CF35">
        <f t="shared" si="774"/>
        <v>70</v>
      </c>
      <c r="CG35">
        <f t="shared" si="774"/>
        <v>70</v>
      </c>
      <c r="CH35">
        <f t="shared" si="774"/>
        <v>70</v>
      </c>
      <c r="CI35">
        <f t="shared" si="774"/>
        <v>70</v>
      </c>
      <c r="CJ35">
        <f t="shared" si="774"/>
        <v>70</v>
      </c>
      <c r="CK35">
        <f t="shared" si="774"/>
        <v>70</v>
      </c>
      <c r="CL35">
        <f t="shared" si="774"/>
        <v>70</v>
      </c>
      <c r="CM35">
        <f t="shared" si="774"/>
        <v>70</v>
      </c>
      <c r="CN35">
        <f t="shared" si="774"/>
        <v>70</v>
      </c>
      <c r="CO35">
        <f t="shared" si="774"/>
        <v>70</v>
      </c>
      <c r="CP35">
        <f t="shared" si="774"/>
        <v>70</v>
      </c>
      <c r="CQ35">
        <f t="shared" si="774"/>
        <v>70</v>
      </c>
      <c r="CR35">
        <f t="shared" si="774"/>
        <v>70</v>
      </c>
      <c r="CS35">
        <f t="shared" si="774"/>
        <v>70</v>
      </c>
      <c r="CT35">
        <f t="shared" si="774"/>
        <v>70</v>
      </c>
      <c r="CU35">
        <f t="shared" si="774"/>
        <v>70</v>
      </c>
      <c r="CV35">
        <f t="shared" ref="CV35" si="775">CU35</f>
        <v>70</v>
      </c>
      <c r="CW35">
        <f t="shared" ref="CW35" si="776">CV35</f>
        <v>70</v>
      </c>
      <c r="CX35">
        <f t="shared" ref="CX35" si="777">CW35</f>
        <v>70</v>
      </c>
      <c r="CY35">
        <f t="shared" ref="CY35" si="778">CX35</f>
        <v>70</v>
      </c>
      <c r="CZ35">
        <f t="shared" ref="CZ35" si="779">CY35</f>
        <v>70</v>
      </c>
      <c r="DA35">
        <f t="shared" ref="DA35" si="780">CZ35</f>
        <v>70</v>
      </c>
      <c r="DB35">
        <f t="shared" ref="DB35" si="781">DA35</f>
        <v>70</v>
      </c>
      <c r="DC35">
        <f t="shared" ref="DC35" si="782">DB35</f>
        <v>70</v>
      </c>
      <c r="DD35">
        <f t="shared" ref="DD35" si="783">DC35</f>
        <v>70</v>
      </c>
      <c r="DE35">
        <f t="shared" ref="DE35" si="784">DD35</f>
        <v>70</v>
      </c>
      <c r="DF35">
        <f t="shared" ref="DF35" si="785">DE35</f>
        <v>70</v>
      </c>
      <c r="DG35">
        <f t="shared" ref="DG35" si="786">DF35</f>
        <v>70</v>
      </c>
      <c r="DH35">
        <f t="shared" ref="DH35" si="787">DG35</f>
        <v>70</v>
      </c>
      <c r="DI35">
        <f t="shared" ref="DI35" si="788">DH35</f>
        <v>70</v>
      </c>
      <c r="DJ35">
        <f t="shared" ref="DJ35" si="789">DI35</f>
        <v>70</v>
      </c>
      <c r="DK35">
        <f t="shared" ref="DK35" si="790">DJ35</f>
        <v>70</v>
      </c>
      <c r="DL35">
        <f t="shared" ref="DL35" si="791">DK35</f>
        <v>70</v>
      </c>
      <c r="DM35">
        <f t="shared" ref="DM35" si="792">DL35</f>
        <v>70</v>
      </c>
      <c r="DN35">
        <f t="shared" ref="DN35" si="793">DM35</f>
        <v>70</v>
      </c>
      <c r="DO35">
        <f t="shared" ref="DO35" si="794">DN35</f>
        <v>70</v>
      </c>
      <c r="DP35">
        <f t="shared" ref="DP35" si="795">DO35</f>
        <v>70</v>
      </c>
      <c r="DQ35">
        <f t="shared" ref="DQ35" si="796">DP35</f>
        <v>70</v>
      </c>
      <c r="DR35">
        <f t="shared" ref="DR35" si="797">DQ35</f>
        <v>70</v>
      </c>
      <c r="DS35">
        <f t="shared" ref="DS35" si="798">DR35</f>
        <v>70</v>
      </c>
      <c r="DT35">
        <f t="shared" ref="DT35" si="799">DS35</f>
        <v>70</v>
      </c>
      <c r="DU35">
        <f t="shared" ref="DU35" si="800">DT35</f>
        <v>70</v>
      </c>
      <c r="DV35">
        <f t="shared" ref="DV35" si="801">DU35</f>
        <v>70</v>
      </c>
      <c r="DW35">
        <f t="shared" ref="DW35" si="802">DV35</f>
        <v>70</v>
      </c>
      <c r="DX35">
        <f t="shared" ref="DX35" si="803">DW35</f>
        <v>70</v>
      </c>
      <c r="DY35">
        <f t="shared" ref="DY35" si="804">DX35</f>
        <v>70</v>
      </c>
      <c r="DZ35">
        <f t="shared" ref="DZ35" si="805">DY35</f>
        <v>70</v>
      </c>
      <c r="EA35">
        <f t="shared" ref="EA35" si="806">DZ35</f>
        <v>70</v>
      </c>
      <c r="EB35">
        <f t="shared" ref="EB35" si="807">EA35</f>
        <v>70</v>
      </c>
      <c r="EC35">
        <f t="shared" ref="EC35" si="808">EB35</f>
        <v>70</v>
      </c>
      <c r="ED35">
        <f t="shared" ref="ED35" si="809">EC35</f>
        <v>70</v>
      </c>
      <c r="EE35">
        <f t="shared" ref="EE35" si="810">ED35</f>
        <v>70</v>
      </c>
      <c r="EF35">
        <f t="shared" ref="EF35" si="811">EE35</f>
        <v>70</v>
      </c>
      <c r="EG35">
        <f t="shared" ref="EG35" si="812">EF35</f>
        <v>70</v>
      </c>
      <c r="EH35">
        <f t="shared" ref="EH35" si="813">EG35</f>
        <v>70</v>
      </c>
      <c r="EI35">
        <f t="shared" ref="EI35" si="814">EH35</f>
        <v>70</v>
      </c>
      <c r="EJ35">
        <f t="shared" ref="EJ35" si="815">EI35</f>
        <v>70</v>
      </c>
      <c r="EK35">
        <f t="shared" ref="EK35" si="816">EJ35</f>
        <v>70</v>
      </c>
      <c r="EL35">
        <f t="shared" ref="EL35" si="817">EK35</f>
        <v>70</v>
      </c>
      <c r="EM35">
        <f t="shared" ref="EM35" si="818">EL35</f>
        <v>70</v>
      </c>
      <c r="EN35">
        <f t="shared" ref="EN35" si="819">EM35</f>
        <v>70</v>
      </c>
      <c r="EO35">
        <f t="shared" ref="EO35" si="820">EN35</f>
        <v>70</v>
      </c>
      <c r="EP35">
        <f t="shared" ref="EP35" si="821">EO35</f>
        <v>70</v>
      </c>
      <c r="EQ35">
        <f t="shared" ref="EQ35" si="822">EP35</f>
        <v>70</v>
      </c>
      <c r="ER35">
        <f t="shared" ref="ER35" si="823">EQ35</f>
        <v>70</v>
      </c>
      <c r="ES35">
        <f t="shared" ref="ES35" si="824">ER35</f>
        <v>70</v>
      </c>
      <c r="ET35">
        <f t="shared" ref="ET35" si="825">ES35</f>
        <v>70</v>
      </c>
      <c r="EU35">
        <f t="shared" ref="EU35" si="826">ET35</f>
        <v>70</v>
      </c>
      <c r="EV35">
        <f t="shared" ref="EV35" si="827">EU35</f>
        <v>70</v>
      </c>
      <c r="EW35">
        <f t="shared" ref="EW35" si="828">EV35</f>
        <v>70</v>
      </c>
      <c r="EX35">
        <f t="shared" ref="EX35" si="829">EW35</f>
        <v>70</v>
      </c>
      <c r="EY35">
        <f t="shared" ref="EY35" si="830">EX35</f>
        <v>70</v>
      </c>
      <c r="EZ35">
        <f t="shared" ref="EZ35" si="831">EY35</f>
        <v>70</v>
      </c>
      <c r="FA35">
        <f t="shared" ref="FA35" si="832">EZ35</f>
        <v>70</v>
      </c>
      <c r="FB35">
        <f t="shared" ref="FB35" si="833">FA35</f>
        <v>70</v>
      </c>
      <c r="FC35">
        <f t="shared" ref="FC35" si="834">FB35</f>
        <v>70</v>
      </c>
      <c r="FD35">
        <f t="shared" ref="FD35" si="835">FC35</f>
        <v>70</v>
      </c>
      <c r="FE35">
        <f t="shared" ref="FE35" si="836">FD35</f>
        <v>70</v>
      </c>
      <c r="FF35">
        <f t="shared" ref="FF35" si="837">FE35</f>
        <v>70</v>
      </c>
      <c r="FG35">
        <f t="shared" ref="FG35" si="838">FF35</f>
        <v>70</v>
      </c>
      <c r="FH35">
        <f t="shared" ref="FH35" si="839">FG35</f>
        <v>70</v>
      </c>
      <c r="FI35">
        <f t="shared" ref="FI35" si="840">FH35</f>
        <v>70</v>
      </c>
      <c r="FJ35">
        <f t="shared" ref="FJ35" si="841">FI35</f>
        <v>70</v>
      </c>
      <c r="FK35">
        <f t="shared" ref="FK35" si="842">FJ35</f>
        <v>70</v>
      </c>
      <c r="FL35">
        <f t="shared" ref="FL35" si="843">FK35</f>
        <v>70</v>
      </c>
      <c r="FM35">
        <f t="shared" ref="FM35" si="844">FL35</f>
        <v>70</v>
      </c>
      <c r="FN35">
        <f t="shared" ref="FN35" si="845">FM35</f>
        <v>70</v>
      </c>
      <c r="FO35">
        <f t="shared" ref="FO35" si="846">FN35</f>
        <v>70</v>
      </c>
      <c r="FP35">
        <f t="shared" ref="FP35" si="847">FO35</f>
        <v>70</v>
      </c>
      <c r="FQ35">
        <f t="shared" ref="FQ35" si="848">FP35</f>
        <v>70</v>
      </c>
      <c r="FR35">
        <f t="shared" ref="FR35" si="849">FQ35</f>
        <v>70</v>
      </c>
      <c r="FS35">
        <f t="shared" ref="FS35" si="850">FR35</f>
        <v>70</v>
      </c>
      <c r="FT35">
        <f t="shared" ref="FT35" si="851">FS35</f>
        <v>70</v>
      </c>
      <c r="FU35">
        <f t="shared" ref="FU35" si="852">FT35</f>
        <v>70</v>
      </c>
      <c r="FV35">
        <f t="shared" ref="FV35" si="853">FU35</f>
        <v>70</v>
      </c>
      <c r="FW35">
        <f t="shared" ref="FW35" si="854">FV35</f>
        <v>70</v>
      </c>
      <c r="FX35">
        <f t="shared" ref="FX35" si="855">FW35</f>
        <v>70</v>
      </c>
      <c r="FY35">
        <f t="shared" ref="FY35" si="856">FX35</f>
        <v>70</v>
      </c>
      <c r="FZ35">
        <f t="shared" ref="FZ35" si="857">FY35</f>
        <v>70</v>
      </c>
      <c r="GA35">
        <f t="shared" ref="GA35" si="858">FZ35</f>
        <v>70</v>
      </c>
      <c r="GB35">
        <f t="shared" ref="GB35" si="859">GA35</f>
        <v>70</v>
      </c>
      <c r="GC35">
        <f t="shared" ref="GC35" si="860">GB35</f>
        <v>70</v>
      </c>
      <c r="GD35">
        <f t="shared" ref="GD35" si="861">GC35</f>
        <v>70</v>
      </c>
      <c r="GE35">
        <f t="shared" ref="GE35" si="862">GD35</f>
        <v>70</v>
      </c>
      <c r="GF35">
        <f t="shared" ref="GF35" si="863">GE35</f>
        <v>70</v>
      </c>
      <c r="GG35">
        <f t="shared" ref="GG35" si="864">GF35</f>
        <v>70</v>
      </c>
      <c r="GH35">
        <f t="shared" ref="GH35" si="865">GG35</f>
        <v>70</v>
      </c>
      <c r="GI35">
        <f t="shared" ref="GI35" si="866">GH35</f>
        <v>70</v>
      </c>
      <c r="GJ35">
        <f t="shared" ref="GJ35" si="867">GI35</f>
        <v>70</v>
      </c>
      <c r="GK35">
        <f t="shared" ref="GK35" si="868">GJ35</f>
        <v>70</v>
      </c>
      <c r="GL35">
        <f t="shared" ref="GL35" si="869">GK35</f>
        <v>70</v>
      </c>
      <c r="GM35">
        <f t="shared" ref="GM35" si="870">GL35</f>
        <v>70</v>
      </c>
      <c r="GN35">
        <f t="shared" ref="GN35" si="871">GM35</f>
        <v>70</v>
      </c>
      <c r="GO35">
        <f t="shared" ref="GO35" si="872">GN35</f>
        <v>70</v>
      </c>
      <c r="GP35">
        <f t="shared" ref="GP35" si="873">GO35</f>
        <v>70</v>
      </c>
      <c r="GQ35">
        <f t="shared" ref="GQ35" si="874">GP35</f>
        <v>70</v>
      </c>
      <c r="GR35">
        <f t="shared" ref="GR35" si="875">GQ35</f>
        <v>70</v>
      </c>
      <c r="GS35">
        <f t="shared" ref="GS35" si="876">GR35</f>
        <v>70</v>
      </c>
      <c r="GT35">
        <f t="shared" ref="GT35" si="877">GS35</f>
        <v>70</v>
      </c>
      <c r="GU35">
        <f t="shared" ref="GU35" si="878">GT35</f>
        <v>70</v>
      </c>
      <c r="GV35">
        <f t="shared" ref="GV35" si="879">GU35</f>
        <v>70</v>
      </c>
      <c r="GW35">
        <f t="shared" ref="GW35" si="880">GV35</f>
        <v>70</v>
      </c>
      <c r="GX35">
        <f t="shared" ref="GX35" si="881">GW35</f>
        <v>70</v>
      </c>
      <c r="GY35">
        <f t="shared" ref="GY35" si="882">GX35</f>
        <v>70</v>
      </c>
      <c r="GZ35">
        <f t="shared" ref="GZ35" si="883">GY35</f>
        <v>70</v>
      </c>
      <c r="HA35">
        <f t="shared" ref="HA35" si="884">GZ35</f>
        <v>70</v>
      </c>
      <c r="HB35">
        <f t="shared" ref="HB35" si="885">HA35</f>
        <v>70</v>
      </c>
      <c r="HC35">
        <f t="shared" ref="HC35" si="886">HB35</f>
        <v>70</v>
      </c>
      <c r="HD35">
        <f t="shared" ref="HD35" si="887">HC35</f>
        <v>70</v>
      </c>
      <c r="HE35">
        <f t="shared" ref="HE35" si="888">HD35</f>
        <v>70</v>
      </c>
      <c r="HF35">
        <f t="shared" ref="HF35" si="889">HE35</f>
        <v>70</v>
      </c>
      <c r="HG35">
        <f t="shared" ref="HG35" si="890">HF35</f>
        <v>70</v>
      </c>
      <c r="HH35">
        <f t="shared" ref="HH35" si="891">HG35</f>
        <v>70</v>
      </c>
      <c r="HI35">
        <f t="shared" ref="HI35" si="892">HH35</f>
        <v>70</v>
      </c>
      <c r="HJ35">
        <f t="shared" ref="HJ35" si="893">HI35</f>
        <v>70</v>
      </c>
      <c r="HK35">
        <f t="shared" ref="HK35" si="894">HJ35</f>
        <v>70</v>
      </c>
      <c r="HL35">
        <f t="shared" ref="HL35" si="895">HK35</f>
        <v>70</v>
      </c>
      <c r="HM35">
        <f t="shared" ref="HM35" si="896">HL35</f>
        <v>70</v>
      </c>
      <c r="HN35">
        <f t="shared" ref="HN35" si="897">HM35</f>
        <v>70</v>
      </c>
      <c r="HO35">
        <f t="shared" ref="HO35" si="898">HN35</f>
        <v>70</v>
      </c>
      <c r="HP35">
        <f t="shared" ref="HP35" si="899">HO35</f>
        <v>70</v>
      </c>
      <c r="HQ35">
        <f t="shared" ref="HQ35" si="900">HP35</f>
        <v>70</v>
      </c>
      <c r="HR35">
        <f t="shared" ref="HR35" si="901">HQ35</f>
        <v>70</v>
      </c>
      <c r="HS35">
        <f t="shared" ref="HS35" si="902">HR35</f>
        <v>70</v>
      </c>
      <c r="HT35">
        <f t="shared" ref="HT35" si="903">HS35</f>
        <v>70</v>
      </c>
      <c r="HU35">
        <f t="shared" ref="HU35" si="904">HT35</f>
        <v>70</v>
      </c>
      <c r="HV35">
        <f t="shared" ref="HV35" si="905">HU35</f>
        <v>70</v>
      </c>
      <c r="HW35">
        <f t="shared" ref="HW35" si="906">HV35</f>
        <v>70</v>
      </c>
      <c r="HX35">
        <f t="shared" ref="HX35" si="907">HW35</f>
        <v>70</v>
      </c>
      <c r="HY35">
        <f t="shared" ref="HY35" si="908">HX35</f>
        <v>70</v>
      </c>
      <c r="HZ35">
        <f t="shared" ref="HZ35" si="909">HY35</f>
        <v>70</v>
      </c>
      <c r="IA35">
        <f t="shared" ref="IA35" si="910">HZ35</f>
        <v>70</v>
      </c>
      <c r="IB35">
        <f t="shared" ref="IB35" si="911">IA35</f>
        <v>70</v>
      </c>
      <c r="IC35">
        <f t="shared" ref="IC35" si="912">IB35</f>
        <v>70</v>
      </c>
      <c r="ID35">
        <f t="shared" ref="ID35" si="913">IC35</f>
        <v>70</v>
      </c>
      <c r="IE35">
        <f t="shared" ref="IE35" si="914">ID35</f>
        <v>70</v>
      </c>
      <c r="IF35">
        <f t="shared" ref="IF35" si="915">IE35</f>
        <v>70</v>
      </c>
      <c r="IG35">
        <f t="shared" ref="IG35" si="916">IF35</f>
        <v>70</v>
      </c>
      <c r="IH35">
        <f t="shared" ref="IH35" si="917">IG35</f>
        <v>70</v>
      </c>
      <c r="II35">
        <f t="shared" ref="II35" si="918">IH35</f>
        <v>70</v>
      </c>
      <c r="IJ35">
        <f t="shared" ref="IJ35" si="919">II35</f>
        <v>70</v>
      </c>
      <c r="IK35">
        <f t="shared" ref="IK35" si="920">IJ35</f>
        <v>70</v>
      </c>
      <c r="IL35">
        <f t="shared" ref="IL35" si="921">IK35</f>
        <v>70</v>
      </c>
      <c r="IM35">
        <f t="shared" ref="IM35" si="922">IL35</f>
        <v>70</v>
      </c>
      <c r="IN35">
        <f t="shared" ref="IN35" si="923">IM35</f>
        <v>70</v>
      </c>
      <c r="IO35">
        <f t="shared" ref="IO35" si="924">IN35</f>
        <v>70</v>
      </c>
      <c r="IP35">
        <f t="shared" ref="IP35" si="925">IO35</f>
        <v>70</v>
      </c>
      <c r="IQ35">
        <f t="shared" ref="IQ35" si="926">IP35</f>
        <v>70</v>
      </c>
      <c r="IR35">
        <f t="shared" ref="IR35" si="927">IQ35</f>
        <v>70</v>
      </c>
      <c r="IS35">
        <f t="shared" ref="IS35" si="928">IR35</f>
        <v>70</v>
      </c>
      <c r="IT35">
        <f t="shared" ref="IT35" si="929">IS35</f>
        <v>70</v>
      </c>
      <c r="IU35">
        <f t="shared" ref="IU35" si="930">IT35</f>
        <v>70</v>
      </c>
      <c r="IV35">
        <f t="shared" ref="IV35" si="931">IU35</f>
        <v>70</v>
      </c>
      <c r="IW35">
        <f t="shared" ref="IW35" si="932">IV35</f>
        <v>70</v>
      </c>
      <c r="IX35">
        <f t="shared" ref="IX35" si="933">IW35</f>
        <v>70</v>
      </c>
      <c r="IY35">
        <f t="shared" ref="IY35" si="934">IX35</f>
        <v>70</v>
      </c>
      <c r="IZ35">
        <f t="shared" ref="IZ35" si="935">IY35</f>
        <v>70</v>
      </c>
      <c r="JA35">
        <f t="shared" ref="JA35" si="936">IZ35</f>
        <v>70</v>
      </c>
      <c r="JB35">
        <f t="shared" ref="JB35" si="937">JA35</f>
        <v>70</v>
      </c>
      <c r="JC35">
        <f t="shared" ref="JC35" si="938">JB35</f>
        <v>70</v>
      </c>
      <c r="JD35">
        <f t="shared" ref="JD35" si="939">JC35</f>
        <v>70</v>
      </c>
      <c r="JE35">
        <f t="shared" ref="JE35" si="940">JD35</f>
        <v>70</v>
      </c>
      <c r="JF35">
        <f t="shared" ref="JF35" si="941">JE35</f>
        <v>70</v>
      </c>
      <c r="JG35">
        <f t="shared" ref="JG35" si="942">JF35</f>
        <v>70</v>
      </c>
      <c r="JH35">
        <f t="shared" ref="JH35" si="943">JG35</f>
        <v>70</v>
      </c>
      <c r="JI35">
        <f t="shared" ref="JI35" si="944">JH35</f>
        <v>70</v>
      </c>
      <c r="JJ35">
        <f t="shared" ref="JJ35" si="945">JI35</f>
        <v>70</v>
      </c>
      <c r="JK35">
        <f t="shared" ref="JK35" si="946">JJ35</f>
        <v>70</v>
      </c>
      <c r="JL35">
        <f t="shared" ref="JL35" si="947">JK35</f>
        <v>70</v>
      </c>
      <c r="JM35">
        <f t="shared" ref="JM35" si="948">JL35</f>
        <v>70</v>
      </c>
      <c r="JN35">
        <f t="shared" ref="JN35" si="949">JM35</f>
        <v>70</v>
      </c>
      <c r="JO35">
        <f t="shared" ref="JO35" si="950">JN35</f>
        <v>70</v>
      </c>
      <c r="JP35">
        <f t="shared" ref="JP35" si="951">JO35</f>
        <v>70</v>
      </c>
      <c r="JQ35">
        <f t="shared" ref="JQ35" si="952">JP35</f>
        <v>70</v>
      </c>
      <c r="JR35">
        <f t="shared" ref="JR35" si="953">JQ35</f>
        <v>70</v>
      </c>
      <c r="JS35">
        <f t="shared" ref="JS35" si="954">JR35</f>
        <v>70</v>
      </c>
      <c r="JT35">
        <f t="shared" ref="JT35" si="955">JS35</f>
        <v>70</v>
      </c>
      <c r="JU35">
        <f t="shared" ref="JU35" si="956">JT35</f>
        <v>70</v>
      </c>
      <c r="JV35">
        <f t="shared" ref="JV35" si="957">JU35</f>
        <v>70</v>
      </c>
      <c r="JW35">
        <f t="shared" ref="JW35" si="958">JV35</f>
        <v>70</v>
      </c>
      <c r="JX35">
        <f t="shared" ref="JX35" si="959">JW35</f>
        <v>70</v>
      </c>
      <c r="JY35">
        <f t="shared" ref="JY35" si="960">JX35</f>
        <v>70</v>
      </c>
      <c r="JZ35">
        <f t="shared" ref="JZ35" si="961">JY35</f>
        <v>70</v>
      </c>
      <c r="KA35">
        <f t="shared" ref="KA35" si="962">JZ35</f>
        <v>70</v>
      </c>
      <c r="KB35">
        <f t="shared" ref="KB35" si="963">KA35</f>
        <v>70</v>
      </c>
      <c r="KC35">
        <f t="shared" ref="KC35" si="964">KB35</f>
        <v>70</v>
      </c>
      <c r="KD35">
        <f t="shared" ref="KD35" si="965">KC35</f>
        <v>70</v>
      </c>
      <c r="KE35">
        <f t="shared" ref="KE35" si="966">KD35</f>
        <v>70</v>
      </c>
      <c r="KF35">
        <f t="shared" ref="KF35" si="967">KE35</f>
        <v>70</v>
      </c>
      <c r="KG35">
        <f t="shared" ref="KG35" si="968">KF35</f>
        <v>70</v>
      </c>
      <c r="KH35">
        <f t="shared" ref="KH35" si="969">KG35</f>
        <v>70</v>
      </c>
      <c r="KI35">
        <f t="shared" ref="KI35" si="970">KH35</f>
        <v>70</v>
      </c>
      <c r="KJ35">
        <f t="shared" ref="KJ35" si="971">KI35</f>
        <v>70</v>
      </c>
      <c r="KK35">
        <f t="shared" ref="KK35" si="972">KJ35</f>
        <v>70</v>
      </c>
      <c r="KL35">
        <f t="shared" ref="KL35" si="973">KK35</f>
        <v>70</v>
      </c>
      <c r="KM35">
        <f t="shared" ref="KM35" si="974">KL35</f>
        <v>70</v>
      </c>
      <c r="KN35">
        <f t="shared" ref="KN35" si="975">KM35</f>
        <v>70</v>
      </c>
      <c r="KO35">
        <f t="shared" ref="KO35" si="976">KN35</f>
        <v>70</v>
      </c>
      <c r="KP35">
        <f t="shared" ref="KP35" si="977">KO35</f>
        <v>70</v>
      </c>
      <c r="KQ35">
        <f t="shared" ref="KQ35" si="978">KP35</f>
        <v>70</v>
      </c>
      <c r="KR35">
        <f t="shared" ref="KR35" si="979">KQ35</f>
        <v>70</v>
      </c>
      <c r="KS35">
        <f t="shared" ref="KS35" si="980">KR35</f>
        <v>70</v>
      </c>
      <c r="KT35">
        <f t="shared" ref="KT35" si="981">KS35</f>
        <v>70</v>
      </c>
      <c r="KU35">
        <f t="shared" ref="KU35" si="982">KT35</f>
        <v>70</v>
      </c>
      <c r="KV35">
        <f t="shared" ref="KV35" si="983">KU35</f>
        <v>70</v>
      </c>
      <c r="KW35">
        <f t="shared" ref="KW35" si="984">KV35</f>
        <v>70</v>
      </c>
      <c r="KX35">
        <f t="shared" ref="KX35" si="985">KW35</f>
        <v>70</v>
      </c>
      <c r="KY35">
        <f t="shared" ref="KY35" si="986">KX35</f>
        <v>70</v>
      </c>
      <c r="KZ35">
        <f t="shared" ref="KZ35" si="987">KY35</f>
        <v>70</v>
      </c>
      <c r="LA35">
        <f t="shared" ref="LA35" si="988">KZ35</f>
        <v>70</v>
      </c>
      <c r="LB35">
        <f t="shared" ref="LB35" si="989">LA35</f>
        <v>70</v>
      </c>
      <c r="LC35">
        <f t="shared" ref="LC35" si="990">LB35</f>
        <v>70</v>
      </c>
      <c r="LD35">
        <f t="shared" ref="LD35" si="991">LC35</f>
        <v>70</v>
      </c>
      <c r="LE35">
        <f t="shared" ref="LE35" si="992">LD35</f>
        <v>70</v>
      </c>
      <c r="LF35">
        <f t="shared" ref="LF35" si="993">LE35</f>
        <v>70</v>
      </c>
      <c r="LG35">
        <f t="shared" ref="LG35" si="994">LF35</f>
        <v>70</v>
      </c>
      <c r="LH35">
        <f t="shared" ref="LH35" si="995">LG35</f>
        <v>70</v>
      </c>
      <c r="LI35">
        <f t="shared" ref="LI35" si="996">LH35</f>
        <v>70</v>
      </c>
      <c r="LJ35">
        <f t="shared" ref="LJ35" si="997">LI35</f>
        <v>70</v>
      </c>
      <c r="LK35">
        <f t="shared" ref="LK35" si="998">LJ35</f>
        <v>70</v>
      </c>
      <c r="LL35">
        <f t="shared" ref="LL35" si="999">LK35</f>
        <v>70</v>
      </c>
      <c r="LM35">
        <f t="shared" ref="LM35" si="1000">LL35</f>
        <v>70</v>
      </c>
      <c r="LN35">
        <f t="shared" ref="LN35" si="1001">LM35</f>
        <v>70</v>
      </c>
      <c r="LO35">
        <f t="shared" ref="LO35" si="1002">LN35</f>
        <v>70</v>
      </c>
      <c r="LP35">
        <f t="shared" ref="LP35" si="1003">LO35</f>
        <v>70</v>
      </c>
      <c r="LQ35">
        <f t="shared" ref="LQ35" si="1004">LP35</f>
        <v>70</v>
      </c>
      <c r="LR35">
        <f t="shared" ref="LR35" si="1005">LQ35</f>
        <v>70</v>
      </c>
      <c r="LS35">
        <f t="shared" ref="LS35" si="1006">LR35</f>
        <v>70</v>
      </c>
      <c r="LT35">
        <f t="shared" ref="LT35" si="1007">LS35</f>
        <v>70</v>
      </c>
      <c r="LU35">
        <f t="shared" ref="LU35" si="1008">LT35</f>
        <v>70</v>
      </c>
      <c r="LV35">
        <f t="shared" ref="LV35" si="1009">LU35</f>
        <v>70</v>
      </c>
      <c r="LW35">
        <f t="shared" ref="LW35" si="1010">LV35</f>
        <v>70</v>
      </c>
      <c r="LX35">
        <f t="shared" ref="LX35" si="1011">LW35</f>
        <v>70</v>
      </c>
      <c r="LY35">
        <f t="shared" ref="LY35" si="1012">LX35</f>
        <v>70</v>
      </c>
      <c r="LZ35">
        <f t="shared" ref="LZ35" si="1013">LY35</f>
        <v>70</v>
      </c>
      <c r="MA35">
        <f t="shared" ref="MA35" si="1014">LZ35</f>
        <v>70</v>
      </c>
      <c r="MB35">
        <f t="shared" ref="MB35" si="1015">MA35</f>
        <v>70</v>
      </c>
      <c r="MC35">
        <f t="shared" ref="MC35" si="1016">MB35</f>
        <v>70</v>
      </c>
      <c r="MD35">
        <f t="shared" ref="MD35" si="1017">MC35</f>
        <v>70</v>
      </c>
      <c r="ME35">
        <f t="shared" ref="ME35" si="1018">MD35</f>
        <v>70</v>
      </c>
      <c r="MF35">
        <f t="shared" ref="MF35" si="1019">ME35</f>
        <v>70</v>
      </c>
      <c r="MG35">
        <f t="shared" ref="MG35" si="1020">MF35</f>
        <v>70</v>
      </c>
      <c r="MH35">
        <f t="shared" ref="MH35" si="1021">MG35</f>
        <v>70</v>
      </c>
      <c r="MI35">
        <f t="shared" ref="MI35" si="1022">MH35</f>
        <v>70</v>
      </c>
      <c r="MJ35">
        <f t="shared" ref="MJ35" si="1023">MI35</f>
        <v>70</v>
      </c>
      <c r="MK35">
        <f t="shared" ref="MK35" si="1024">MJ35</f>
        <v>70</v>
      </c>
      <c r="ML35">
        <f t="shared" ref="ML35" si="1025">MK35</f>
        <v>70</v>
      </c>
      <c r="MM35">
        <f t="shared" ref="MM35" si="1026">ML35</f>
        <v>70</v>
      </c>
      <c r="MN35">
        <f t="shared" ref="MN35" si="1027">MM35</f>
        <v>70</v>
      </c>
      <c r="MO35">
        <f t="shared" ref="MO35" si="1028">MN35</f>
        <v>70</v>
      </c>
      <c r="MP35">
        <f t="shared" ref="MP35" si="1029">MO35</f>
        <v>70</v>
      </c>
      <c r="MQ35">
        <f t="shared" ref="MQ35" si="1030">MP35</f>
        <v>70</v>
      </c>
      <c r="MR35">
        <f t="shared" ref="MR35" si="1031">MQ35</f>
        <v>70</v>
      </c>
      <c r="MS35">
        <f t="shared" ref="MS35" si="1032">MR35</f>
        <v>70</v>
      </c>
      <c r="MT35">
        <f t="shared" ref="MT35" si="1033">MS35</f>
        <v>70</v>
      </c>
      <c r="MU35">
        <f t="shared" ref="MU35" si="1034">MT35</f>
        <v>70</v>
      </c>
      <c r="MV35">
        <f t="shared" ref="MV35" si="1035">MU35</f>
        <v>70</v>
      </c>
      <c r="MW35">
        <f t="shared" ref="MW35" si="1036">MV35</f>
        <v>70</v>
      </c>
      <c r="MX35">
        <f t="shared" ref="MX35" si="1037">MW35</f>
        <v>70</v>
      </c>
      <c r="MY35">
        <f t="shared" ref="MY35" si="1038">MX35</f>
        <v>70</v>
      </c>
      <c r="MZ35">
        <f t="shared" ref="MZ35" si="1039">MY35</f>
        <v>70</v>
      </c>
      <c r="NA35">
        <f t="shared" ref="NA35" si="1040">MZ35</f>
        <v>70</v>
      </c>
      <c r="NB35">
        <f t="shared" ref="NB35" si="1041">NA35</f>
        <v>70</v>
      </c>
      <c r="NC35">
        <f t="shared" ref="NC35" si="1042">NB35</f>
        <v>70</v>
      </c>
      <c r="ND35">
        <f t="shared" ref="ND35" si="1043">NC35</f>
        <v>70</v>
      </c>
      <c r="NE35">
        <f t="shared" ref="NE35" si="1044">ND35</f>
        <v>70</v>
      </c>
      <c r="NF35">
        <f t="shared" ref="NF35" si="1045">NE35</f>
        <v>70</v>
      </c>
      <c r="NG35">
        <f t="shared" ref="NG35" si="1046">NF35</f>
        <v>70</v>
      </c>
      <c r="NH35">
        <f t="shared" ref="NH35" si="1047">NG35</f>
        <v>70</v>
      </c>
      <c r="NI35">
        <f t="shared" ref="NI35" si="1048">NH35</f>
        <v>70</v>
      </c>
      <c r="NJ35">
        <f t="shared" ref="NJ35" si="1049">NI35</f>
        <v>70</v>
      </c>
      <c r="NK35">
        <f t="shared" ref="NK35" si="1050">NJ35</f>
        <v>70</v>
      </c>
      <c r="NL35">
        <f t="shared" ref="NL35" si="1051">NK35</f>
        <v>70</v>
      </c>
      <c r="NM35">
        <f t="shared" ref="NM35" si="1052">NL35</f>
        <v>70</v>
      </c>
      <c r="NN35">
        <f t="shared" ref="NN35" si="1053">NM35</f>
        <v>70</v>
      </c>
      <c r="NO35">
        <f t="shared" ref="NO35" si="1054">NN35</f>
        <v>70</v>
      </c>
      <c r="NP35">
        <f t="shared" ref="NP35" si="1055">NO35</f>
        <v>70</v>
      </c>
      <c r="NQ35">
        <f t="shared" ref="NQ35" si="1056">NP35</f>
        <v>70</v>
      </c>
      <c r="NR35">
        <f t="shared" ref="NR35" si="1057">NQ35</f>
        <v>70</v>
      </c>
      <c r="NS35">
        <f t="shared" ref="NS35" si="1058">NR35</f>
        <v>70</v>
      </c>
      <c r="NT35">
        <f t="shared" ref="NT35" si="1059">NS35</f>
        <v>70</v>
      </c>
      <c r="NU35">
        <f t="shared" ref="NU35" si="1060">NT35</f>
        <v>70</v>
      </c>
      <c r="NV35">
        <f t="shared" ref="NV35" si="1061">NU35</f>
        <v>70</v>
      </c>
      <c r="NW35">
        <f t="shared" ref="NW35" si="1062">NV35</f>
        <v>70</v>
      </c>
      <c r="NX35">
        <f t="shared" ref="NX35" si="1063">NW35</f>
        <v>70</v>
      </c>
      <c r="NY35">
        <f t="shared" ref="NY35" si="1064">NX35</f>
        <v>70</v>
      </c>
      <c r="NZ35">
        <f t="shared" ref="NZ35" si="1065">NY35</f>
        <v>70</v>
      </c>
      <c r="OA35">
        <f t="shared" ref="OA35" si="1066">NZ35</f>
        <v>70</v>
      </c>
      <c r="OB35">
        <f t="shared" ref="OB35" si="1067">OA35</f>
        <v>70</v>
      </c>
      <c r="OC35">
        <f t="shared" ref="OC35" si="1068">OB35</f>
        <v>70</v>
      </c>
      <c r="OD35">
        <f t="shared" ref="OD35" si="1069">OC35</f>
        <v>70</v>
      </c>
      <c r="OE35">
        <f t="shared" ref="OE35" si="1070">OD35</f>
        <v>70</v>
      </c>
      <c r="OF35">
        <f t="shared" ref="OF35" si="1071">OE35</f>
        <v>70</v>
      </c>
      <c r="OG35">
        <f t="shared" ref="OG35" si="1072">OF35</f>
        <v>70</v>
      </c>
      <c r="OH35">
        <f t="shared" ref="OH35" si="1073">OG35</f>
        <v>70</v>
      </c>
      <c r="OI35">
        <f t="shared" ref="OI35" si="1074">OH35</f>
        <v>70</v>
      </c>
      <c r="OJ35">
        <f t="shared" ref="OJ35" si="1075">OI35</f>
        <v>70</v>
      </c>
      <c r="OK35">
        <f t="shared" ref="OK35" si="1076">OJ35</f>
        <v>70</v>
      </c>
      <c r="OL35">
        <f t="shared" ref="OL35" si="1077">OK35</f>
        <v>70</v>
      </c>
      <c r="OM35">
        <f t="shared" ref="OM35" si="1078">OL35</f>
        <v>70</v>
      </c>
      <c r="ON35">
        <f t="shared" ref="ON35" si="1079">OM35</f>
        <v>70</v>
      </c>
      <c r="OO35">
        <f t="shared" ref="OO35" si="1080">ON35</f>
        <v>70</v>
      </c>
      <c r="OP35">
        <f t="shared" ref="OP35" si="1081">OO35</f>
        <v>70</v>
      </c>
      <c r="OQ35">
        <f t="shared" ref="OQ35" si="1082">OP35</f>
        <v>70</v>
      </c>
      <c r="OR35">
        <f t="shared" ref="OR35" si="1083">OQ35</f>
        <v>70</v>
      </c>
      <c r="OS35">
        <f t="shared" ref="OS35" si="1084">OR35</f>
        <v>70</v>
      </c>
      <c r="OT35">
        <f t="shared" ref="OT35" si="1085">OS35</f>
        <v>70</v>
      </c>
      <c r="OU35">
        <f t="shared" ref="OU35" si="1086">OT35</f>
        <v>70</v>
      </c>
      <c r="OV35">
        <f t="shared" ref="OV35" si="1087">OU35</f>
        <v>70</v>
      </c>
      <c r="OW35">
        <f t="shared" ref="OW35" si="1088">OV35</f>
        <v>70</v>
      </c>
      <c r="OX35">
        <f t="shared" ref="OX35" si="1089">OW35</f>
        <v>70</v>
      </c>
      <c r="OY35">
        <f t="shared" ref="OY35" si="1090">OX35</f>
        <v>70</v>
      </c>
      <c r="OZ35">
        <f t="shared" ref="OZ35" si="1091">OY35</f>
        <v>70</v>
      </c>
      <c r="PA35">
        <f t="shared" ref="PA35" si="1092">OZ35</f>
        <v>70</v>
      </c>
      <c r="PB35">
        <f t="shared" ref="PB35" si="1093">PA35</f>
        <v>70</v>
      </c>
      <c r="PC35">
        <f t="shared" ref="PC35" si="1094">PB35</f>
        <v>70</v>
      </c>
      <c r="PD35">
        <f t="shared" ref="PD35" si="1095">PC35</f>
        <v>70</v>
      </c>
      <c r="PE35">
        <f t="shared" ref="PE35" si="1096">PD35</f>
        <v>70</v>
      </c>
      <c r="PF35">
        <f t="shared" ref="PF35" si="1097">PE35</f>
        <v>70</v>
      </c>
      <c r="PG35">
        <f t="shared" ref="PG35" si="1098">PF35</f>
        <v>70</v>
      </c>
      <c r="PH35">
        <f t="shared" ref="PH35" si="1099">PG35</f>
        <v>70</v>
      </c>
      <c r="PI35">
        <f t="shared" ref="PI35" si="1100">PH35</f>
        <v>70</v>
      </c>
      <c r="PJ35">
        <f t="shared" ref="PJ35" si="1101">PI35</f>
        <v>70</v>
      </c>
      <c r="PK35">
        <f t="shared" ref="PK35" si="1102">PJ35</f>
        <v>70</v>
      </c>
      <c r="PL35">
        <f t="shared" ref="PL35" si="1103">PK35</f>
        <v>70</v>
      </c>
      <c r="PM35">
        <f t="shared" ref="PM35" si="1104">PL35</f>
        <v>70</v>
      </c>
      <c r="PN35">
        <f t="shared" ref="PN35" si="1105">PM35</f>
        <v>70</v>
      </c>
      <c r="PO35">
        <f t="shared" ref="PO35" si="1106">PN35</f>
        <v>70</v>
      </c>
      <c r="PP35">
        <f t="shared" ref="PP35" si="1107">PO35</f>
        <v>70</v>
      </c>
      <c r="PQ35">
        <f t="shared" ref="PQ35" si="1108">PP35</f>
        <v>70</v>
      </c>
      <c r="PR35">
        <f t="shared" ref="PR35" si="1109">PQ35</f>
        <v>70</v>
      </c>
      <c r="PS35">
        <f t="shared" ref="PS35" si="1110">PR35</f>
        <v>70</v>
      </c>
      <c r="PT35">
        <f t="shared" ref="PT35" si="1111">PS35</f>
        <v>70</v>
      </c>
      <c r="PU35">
        <f t="shared" ref="PU35" si="1112">PT35</f>
        <v>70</v>
      </c>
      <c r="PV35">
        <f t="shared" ref="PV35" si="1113">PU35</f>
        <v>70</v>
      </c>
      <c r="PW35">
        <f t="shared" ref="PW35" si="1114">PV35</f>
        <v>70</v>
      </c>
      <c r="PX35">
        <f t="shared" ref="PX35" si="1115">PW35</f>
        <v>70</v>
      </c>
      <c r="PY35">
        <f t="shared" ref="PY35" si="1116">PX35</f>
        <v>70</v>
      </c>
      <c r="PZ35">
        <f t="shared" ref="PZ35" si="1117">PY35</f>
        <v>70</v>
      </c>
      <c r="QA35">
        <f t="shared" ref="QA35" si="1118">PZ35</f>
        <v>70</v>
      </c>
      <c r="QB35">
        <f t="shared" ref="QB35" si="1119">QA35</f>
        <v>70</v>
      </c>
      <c r="QC35">
        <f t="shared" ref="QC35" si="1120">QB35</f>
        <v>70</v>
      </c>
      <c r="QD35">
        <f t="shared" ref="QD35" si="1121">QC35</f>
        <v>70</v>
      </c>
      <c r="QE35">
        <f t="shared" ref="QE35" si="1122">QD35</f>
        <v>70</v>
      </c>
      <c r="QF35">
        <f t="shared" ref="QF35" si="1123">QE35</f>
        <v>70</v>
      </c>
      <c r="QG35">
        <f t="shared" ref="QG35" si="1124">QF35</f>
        <v>70</v>
      </c>
      <c r="QH35">
        <f t="shared" ref="QH35" si="1125">QG35</f>
        <v>70</v>
      </c>
      <c r="QI35">
        <f t="shared" ref="QI35" si="1126">QH35</f>
        <v>70</v>
      </c>
      <c r="QJ35">
        <f t="shared" ref="QJ35" si="1127">QI35</f>
        <v>70</v>
      </c>
      <c r="QK35">
        <f t="shared" ref="QK35" si="1128">QJ35</f>
        <v>70</v>
      </c>
      <c r="QL35">
        <f t="shared" ref="QL35" si="1129">QK35</f>
        <v>70</v>
      </c>
      <c r="QM35">
        <f t="shared" ref="QM35" si="1130">QL35</f>
        <v>70</v>
      </c>
      <c r="QN35">
        <f t="shared" ref="QN35" si="1131">QM35</f>
        <v>70</v>
      </c>
      <c r="QO35">
        <f t="shared" ref="QO35" si="1132">QN35</f>
        <v>70</v>
      </c>
      <c r="QP35">
        <f t="shared" ref="QP35" si="1133">QO35</f>
        <v>70</v>
      </c>
      <c r="QQ35">
        <f t="shared" ref="QQ35" si="1134">QP35</f>
        <v>70</v>
      </c>
      <c r="QR35">
        <f t="shared" ref="QR35" si="1135">QQ35</f>
        <v>70</v>
      </c>
      <c r="QS35">
        <f t="shared" ref="QS35" si="1136">QR35</f>
        <v>70</v>
      </c>
      <c r="QT35">
        <f t="shared" ref="QT35" si="1137">QS35</f>
        <v>70</v>
      </c>
      <c r="QU35">
        <f t="shared" ref="QU35" si="1138">QT35</f>
        <v>70</v>
      </c>
      <c r="QV35">
        <f t="shared" ref="QV35" si="1139">QU35</f>
        <v>70</v>
      </c>
      <c r="QW35">
        <f t="shared" ref="QW35" si="1140">QV35</f>
        <v>70</v>
      </c>
      <c r="QX35">
        <f t="shared" ref="QX35" si="1141">QW35</f>
        <v>70</v>
      </c>
      <c r="QY35">
        <f t="shared" ref="QY35" si="1142">QX35</f>
        <v>70</v>
      </c>
      <c r="QZ35">
        <f t="shared" ref="QZ35" si="1143">QY35</f>
        <v>70</v>
      </c>
      <c r="RA35">
        <f t="shared" ref="RA35" si="1144">QZ35</f>
        <v>70</v>
      </c>
      <c r="RB35">
        <f t="shared" ref="RB35" si="1145">RA35</f>
        <v>70</v>
      </c>
      <c r="RC35">
        <f t="shared" ref="RC35" si="1146">RB35</f>
        <v>70</v>
      </c>
      <c r="RD35">
        <f t="shared" ref="RD35" si="1147">RC35</f>
        <v>70</v>
      </c>
      <c r="RE35">
        <f t="shared" ref="RE35" si="1148">RD35</f>
        <v>70</v>
      </c>
      <c r="RF35">
        <f t="shared" ref="RF35" si="1149">RE35</f>
        <v>70</v>
      </c>
      <c r="RG35">
        <f t="shared" ref="RG35" si="1150">RF35</f>
        <v>70</v>
      </c>
      <c r="RH35">
        <f t="shared" ref="RH35" si="1151">RG35</f>
        <v>70</v>
      </c>
      <c r="RI35">
        <f t="shared" ref="RI35" si="1152">RH35</f>
        <v>70</v>
      </c>
      <c r="RJ35">
        <f t="shared" ref="RJ35" si="1153">RI35</f>
        <v>70</v>
      </c>
      <c r="RK35">
        <f t="shared" ref="RK35" si="1154">RJ35</f>
        <v>70</v>
      </c>
      <c r="RL35">
        <f t="shared" ref="RL35" si="1155">RK35</f>
        <v>70</v>
      </c>
      <c r="RM35">
        <f t="shared" ref="RM35" si="1156">RL35</f>
        <v>70</v>
      </c>
      <c r="RN35">
        <f t="shared" ref="RN35" si="1157">RM35</f>
        <v>70</v>
      </c>
      <c r="RO35">
        <f t="shared" ref="RO35" si="1158">RN35</f>
        <v>70</v>
      </c>
      <c r="RP35">
        <f t="shared" ref="RP35" si="1159">RO35</f>
        <v>70</v>
      </c>
      <c r="RQ35">
        <f t="shared" ref="RQ35" si="1160">RP35</f>
        <v>70</v>
      </c>
      <c r="RR35">
        <f t="shared" ref="RR35" si="1161">RQ35</f>
        <v>70</v>
      </c>
      <c r="RS35">
        <f t="shared" ref="RS35" si="1162">RR35</f>
        <v>70</v>
      </c>
      <c r="RT35">
        <f t="shared" ref="RT35" si="1163">RS35</f>
        <v>70</v>
      </c>
      <c r="RU35">
        <f t="shared" ref="RU35" si="1164">RT35</f>
        <v>70</v>
      </c>
      <c r="RV35">
        <f t="shared" ref="RV35" si="1165">RU35</f>
        <v>70</v>
      </c>
      <c r="RW35">
        <f t="shared" ref="RW35" si="1166">RV35</f>
        <v>70</v>
      </c>
      <c r="RX35">
        <f t="shared" ref="RX35" si="1167">RW35</f>
        <v>70</v>
      </c>
      <c r="RY35">
        <f t="shared" ref="RY35" si="1168">RX35</f>
        <v>70</v>
      </c>
      <c r="RZ35">
        <f t="shared" ref="RZ35" si="1169">RY35</f>
        <v>70</v>
      </c>
      <c r="SA35">
        <f t="shared" ref="SA35" si="1170">RZ35</f>
        <v>70</v>
      </c>
      <c r="SB35">
        <f t="shared" ref="SB35" si="1171">SA35</f>
        <v>70</v>
      </c>
      <c r="SC35">
        <f t="shared" ref="SC35" si="1172">SB35</f>
        <v>70</v>
      </c>
      <c r="SD35">
        <f t="shared" ref="SD35" si="1173">SC35</f>
        <v>70</v>
      </c>
      <c r="SE35">
        <f t="shared" ref="SE35" si="1174">SD35</f>
        <v>70</v>
      </c>
      <c r="SF35">
        <f t="shared" ref="SF35" si="1175">SE35</f>
        <v>70</v>
      </c>
      <c r="SG35">
        <f t="shared" ref="SG35" si="1176">SF35</f>
        <v>70</v>
      </c>
      <c r="SH35">
        <f t="shared" ref="SH35" si="1177">SG35</f>
        <v>70</v>
      </c>
      <c r="SI35">
        <f t="shared" ref="SI35" si="1178">SH35</f>
        <v>70</v>
      </c>
      <c r="SJ35">
        <f t="shared" ref="SJ35" si="1179">SI35</f>
        <v>70</v>
      </c>
      <c r="SK35">
        <f t="shared" ref="SK35" si="1180">SJ35</f>
        <v>70</v>
      </c>
      <c r="SL35">
        <f t="shared" ref="SL35" si="1181">SK35</f>
        <v>70</v>
      </c>
      <c r="SM35">
        <f t="shared" ref="SM35" si="1182">SL35</f>
        <v>70</v>
      </c>
      <c r="SN35">
        <f t="shared" ref="SN35" si="1183">SM35</f>
        <v>70</v>
      </c>
      <c r="SO35">
        <f t="shared" ref="SO35" si="1184">SN35</f>
        <v>70</v>
      </c>
      <c r="SP35">
        <f t="shared" ref="SP35" si="1185">SO35</f>
        <v>70</v>
      </c>
      <c r="SQ35">
        <f t="shared" ref="SQ35" si="1186">SP35</f>
        <v>70</v>
      </c>
      <c r="SR35">
        <f t="shared" ref="SR35" si="1187">SQ35</f>
        <v>70</v>
      </c>
      <c r="SS35">
        <f t="shared" ref="SS35" si="1188">SR35</f>
        <v>70</v>
      </c>
      <c r="ST35">
        <f t="shared" ref="ST35" si="1189">SS35</f>
        <v>70</v>
      </c>
      <c r="SU35">
        <f t="shared" ref="SU35" si="1190">ST35</f>
        <v>70</v>
      </c>
      <c r="SV35">
        <f t="shared" ref="SV35" si="1191">SU35</f>
        <v>70</v>
      </c>
      <c r="SW35">
        <f t="shared" ref="SW35" si="1192">SV35</f>
        <v>70</v>
      </c>
      <c r="SX35">
        <f t="shared" ref="SX35" si="1193">SW35</f>
        <v>70</v>
      </c>
      <c r="SY35">
        <f t="shared" ref="SY35" si="1194">SX35</f>
        <v>70</v>
      </c>
      <c r="SZ35">
        <f t="shared" ref="SZ35" si="1195">SY35</f>
        <v>70</v>
      </c>
      <c r="TA35">
        <f t="shared" ref="TA35" si="1196">SZ35</f>
        <v>70</v>
      </c>
      <c r="TB35">
        <f t="shared" ref="TB35" si="1197">TA35</f>
        <v>70</v>
      </c>
      <c r="TC35">
        <f t="shared" ref="TC35" si="1198">TB35</f>
        <v>70</v>
      </c>
      <c r="TD35">
        <f t="shared" ref="TD35" si="1199">TC35</f>
        <v>70</v>
      </c>
      <c r="TE35">
        <f t="shared" ref="TE35" si="1200">TD35</f>
        <v>70</v>
      </c>
      <c r="TF35">
        <f t="shared" ref="TF35" si="1201">TE35</f>
        <v>70</v>
      </c>
      <c r="TG35">
        <f t="shared" ref="TG35" si="1202">TF35</f>
        <v>70</v>
      </c>
      <c r="TH35">
        <f t="shared" ref="TH35" si="1203">TG35</f>
        <v>70</v>
      </c>
      <c r="TI35">
        <f t="shared" ref="TI35" si="1204">TH35</f>
        <v>70</v>
      </c>
      <c r="TJ35">
        <f t="shared" ref="TJ35" si="1205">TI35</f>
        <v>70</v>
      </c>
      <c r="TK35">
        <f t="shared" ref="TK35" si="1206">TJ35</f>
        <v>70</v>
      </c>
      <c r="TL35">
        <f t="shared" ref="TL35" si="1207">TK35</f>
        <v>70</v>
      </c>
      <c r="TM35">
        <f t="shared" ref="TM35" si="1208">TL35</f>
        <v>70</v>
      </c>
      <c r="TN35">
        <f t="shared" ref="TN35" si="1209">TM35</f>
        <v>70</v>
      </c>
      <c r="TO35">
        <f t="shared" ref="TO35" si="1210">TN35</f>
        <v>70</v>
      </c>
      <c r="TP35">
        <f t="shared" ref="TP35" si="1211">TO35</f>
        <v>70</v>
      </c>
      <c r="TQ35">
        <f t="shared" ref="TQ35" si="1212">TP35</f>
        <v>70</v>
      </c>
      <c r="TR35">
        <f t="shared" ref="TR35" si="1213">TQ35</f>
        <v>70</v>
      </c>
      <c r="TS35">
        <f t="shared" ref="TS35" si="1214">TR35</f>
        <v>70</v>
      </c>
      <c r="TT35">
        <f t="shared" ref="TT35" si="1215">TS35</f>
        <v>70</v>
      </c>
      <c r="TU35">
        <f t="shared" ref="TU35" si="1216">TT35</f>
        <v>70</v>
      </c>
      <c r="TV35">
        <f t="shared" ref="TV35" si="1217">TU35</f>
        <v>70</v>
      </c>
      <c r="TW35">
        <f t="shared" ref="TW35" si="1218">TV35</f>
        <v>70</v>
      </c>
      <c r="TX35">
        <f t="shared" ref="TX35" si="1219">TW35</f>
        <v>70</v>
      </c>
      <c r="TY35">
        <f t="shared" ref="TY35" si="1220">TX35</f>
        <v>70</v>
      </c>
      <c r="TZ35">
        <f t="shared" ref="TZ35" si="1221">TY35</f>
        <v>70</v>
      </c>
      <c r="UA35">
        <f t="shared" ref="UA35" si="1222">TZ35</f>
        <v>70</v>
      </c>
      <c r="UB35">
        <f t="shared" ref="UB35" si="1223">UA35</f>
        <v>70</v>
      </c>
      <c r="UC35">
        <f t="shared" ref="UC35" si="1224">UB35</f>
        <v>70</v>
      </c>
      <c r="UD35">
        <f t="shared" ref="UD35" si="1225">UC35</f>
        <v>70</v>
      </c>
      <c r="UE35">
        <f t="shared" ref="UE35" si="1226">UD35</f>
        <v>70</v>
      </c>
      <c r="UF35">
        <f t="shared" ref="UF35" si="1227">UE35</f>
        <v>70</v>
      </c>
      <c r="UG35">
        <f t="shared" ref="UG35" si="1228">UF35</f>
        <v>70</v>
      </c>
      <c r="UH35">
        <f t="shared" ref="UH35" si="1229">UG35</f>
        <v>70</v>
      </c>
      <c r="UI35">
        <f t="shared" ref="UI35" si="1230">UH35</f>
        <v>70</v>
      </c>
      <c r="UJ35">
        <f t="shared" ref="UJ35" si="1231">UI35</f>
        <v>70</v>
      </c>
      <c r="UK35">
        <f t="shared" ref="UK35" si="1232">UJ35</f>
        <v>70</v>
      </c>
      <c r="UL35">
        <f t="shared" ref="UL35" si="1233">UK35</f>
        <v>70</v>
      </c>
      <c r="UM35">
        <f t="shared" ref="UM35" si="1234">UL35</f>
        <v>70</v>
      </c>
      <c r="UN35">
        <f t="shared" ref="UN35" si="1235">UM35</f>
        <v>70</v>
      </c>
      <c r="UO35">
        <f t="shared" ref="UO35" si="1236">UN35</f>
        <v>70</v>
      </c>
      <c r="UP35">
        <f t="shared" ref="UP35" si="1237">UO35</f>
        <v>70</v>
      </c>
      <c r="UQ35">
        <f t="shared" ref="UQ35" si="1238">UP35</f>
        <v>70</v>
      </c>
      <c r="UR35">
        <f t="shared" ref="UR35" si="1239">UQ35</f>
        <v>70</v>
      </c>
      <c r="US35">
        <f t="shared" ref="US35" si="1240">UR35</f>
        <v>70</v>
      </c>
      <c r="UT35">
        <f t="shared" ref="UT35" si="1241">US35</f>
        <v>70</v>
      </c>
      <c r="UU35">
        <f t="shared" ref="UU35" si="1242">UT35</f>
        <v>70</v>
      </c>
      <c r="UV35">
        <f t="shared" ref="UV35" si="1243">UU35</f>
        <v>70</v>
      </c>
      <c r="UW35">
        <f t="shared" ref="UW35" si="1244">UV35</f>
        <v>70</v>
      </c>
      <c r="UX35">
        <f t="shared" ref="UX35" si="1245">UW35</f>
        <v>70</v>
      </c>
      <c r="UY35">
        <f t="shared" ref="UY35" si="1246">UX35</f>
        <v>70</v>
      </c>
      <c r="UZ35">
        <f t="shared" ref="UZ35" si="1247">UY35</f>
        <v>70</v>
      </c>
      <c r="VA35">
        <f t="shared" ref="VA35" si="1248">UZ35</f>
        <v>70</v>
      </c>
      <c r="VB35">
        <f t="shared" ref="VB35" si="1249">VA35</f>
        <v>70</v>
      </c>
      <c r="VC35">
        <f t="shared" ref="VC35" si="1250">VB35</f>
        <v>70</v>
      </c>
      <c r="VD35">
        <f t="shared" ref="VD35" si="1251">VC35</f>
        <v>70</v>
      </c>
      <c r="VE35">
        <f t="shared" ref="VE35" si="1252">VD35</f>
        <v>70</v>
      </c>
      <c r="VF35">
        <f t="shared" ref="VF35" si="1253">VE35</f>
        <v>70</v>
      </c>
      <c r="VG35">
        <f t="shared" ref="VG35" si="1254">VF35</f>
        <v>70</v>
      </c>
      <c r="VH35">
        <f t="shared" ref="VH35" si="1255">VG35</f>
        <v>70</v>
      </c>
      <c r="VI35">
        <f t="shared" ref="VI35" si="1256">VH35</f>
        <v>70</v>
      </c>
      <c r="VJ35">
        <f t="shared" ref="VJ35" si="1257">VI35</f>
        <v>70</v>
      </c>
      <c r="VK35">
        <f t="shared" ref="VK35" si="1258">VJ35</f>
        <v>70</v>
      </c>
      <c r="VL35">
        <f t="shared" ref="VL35" si="1259">VK35</f>
        <v>70</v>
      </c>
      <c r="VM35">
        <f t="shared" ref="VM35" si="1260">VL35</f>
        <v>70</v>
      </c>
      <c r="VN35">
        <f t="shared" ref="VN35" si="1261">VM35</f>
        <v>70</v>
      </c>
      <c r="VO35">
        <f t="shared" ref="VO35" si="1262">VN35</f>
        <v>70</v>
      </c>
      <c r="VP35">
        <f t="shared" ref="VP35" si="1263">VO35</f>
        <v>70</v>
      </c>
      <c r="VQ35">
        <f t="shared" ref="VQ35" si="1264">VP35</f>
        <v>70</v>
      </c>
      <c r="VR35">
        <f t="shared" ref="VR35" si="1265">VQ35</f>
        <v>70</v>
      </c>
      <c r="VS35">
        <f t="shared" ref="VS35" si="1266">VR35</f>
        <v>70</v>
      </c>
      <c r="VT35">
        <f t="shared" ref="VT35" si="1267">VS35</f>
        <v>70</v>
      </c>
      <c r="VU35">
        <f t="shared" ref="VU35" si="1268">VT35</f>
        <v>70</v>
      </c>
      <c r="VV35">
        <f t="shared" ref="VV35" si="1269">VU35</f>
        <v>70</v>
      </c>
      <c r="VW35">
        <f t="shared" ref="VW35" si="1270">VV35</f>
        <v>70</v>
      </c>
      <c r="VX35">
        <f t="shared" ref="VX35" si="1271">VW35</f>
        <v>70</v>
      </c>
      <c r="VY35">
        <f t="shared" ref="VY35" si="1272">VX35</f>
        <v>70</v>
      </c>
      <c r="VZ35">
        <f t="shared" ref="VZ35" si="1273">VY35</f>
        <v>70</v>
      </c>
      <c r="WA35">
        <f t="shared" ref="WA35" si="1274">VZ35</f>
        <v>70</v>
      </c>
      <c r="WB35">
        <f t="shared" ref="WB35" si="1275">WA35</f>
        <v>70</v>
      </c>
      <c r="WC35">
        <f t="shared" ref="WC35" si="1276">WB35</f>
        <v>70</v>
      </c>
      <c r="WD35">
        <f t="shared" ref="WD35" si="1277">WC35</f>
        <v>70</v>
      </c>
      <c r="WE35">
        <f t="shared" ref="WE35" si="1278">WD35</f>
        <v>70</v>
      </c>
      <c r="WF35">
        <f t="shared" ref="WF35" si="1279">WE35</f>
        <v>70</v>
      </c>
      <c r="WG35">
        <f t="shared" ref="WG35" si="1280">WF35</f>
        <v>70</v>
      </c>
      <c r="WH35">
        <f t="shared" ref="WH35" si="1281">WG35</f>
        <v>70</v>
      </c>
      <c r="WI35">
        <f t="shared" ref="WI35" si="1282">WH35</f>
        <v>70</v>
      </c>
      <c r="WJ35">
        <f t="shared" ref="WJ35" si="1283">WI35</f>
        <v>70</v>
      </c>
      <c r="WK35">
        <f t="shared" ref="WK35" si="1284">WJ35</f>
        <v>70</v>
      </c>
      <c r="WL35">
        <f t="shared" ref="WL35" si="1285">WK35</f>
        <v>70</v>
      </c>
      <c r="WM35">
        <f t="shared" ref="WM35" si="1286">WL35</f>
        <v>70</v>
      </c>
      <c r="WN35">
        <f t="shared" ref="WN35" si="1287">WM35</f>
        <v>70</v>
      </c>
      <c r="WO35">
        <f t="shared" ref="WO35" si="1288">WN35</f>
        <v>70</v>
      </c>
      <c r="WP35">
        <f t="shared" ref="WP35" si="1289">WO35</f>
        <v>70</v>
      </c>
      <c r="WQ35">
        <f t="shared" ref="WQ35" si="1290">WP35</f>
        <v>70</v>
      </c>
      <c r="WR35">
        <f t="shared" ref="WR35" si="1291">WQ35</f>
        <v>70</v>
      </c>
      <c r="WS35">
        <f t="shared" ref="WS35" si="1292">WR35</f>
        <v>70</v>
      </c>
      <c r="WT35">
        <f t="shared" ref="WT35" si="1293">WS35</f>
        <v>70</v>
      </c>
      <c r="WU35">
        <f t="shared" ref="WU35" si="1294">WT35</f>
        <v>70</v>
      </c>
      <c r="WV35">
        <f t="shared" ref="WV35" si="1295">WU35</f>
        <v>70</v>
      </c>
      <c r="WW35">
        <f t="shared" ref="WW35" si="1296">WV35</f>
        <v>70</v>
      </c>
      <c r="WX35">
        <f t="shared" ref="WX35" si="1297">WW35</f>
        <v>70</v>
      </c>
      <c r="WY35">
        <f t="shared" ref="WY35" si="1298">WX35</f>
        <v>70</v>
      </c>
      <c r="WZ35">
        <f t="shared" ref="WZ35" si="1299">WY35</f>
        <v>70</v>
      </c>
      <c r="XA35">
        <f t="shared" ref="XA35" si="1300">WZ35</f>
        <v>70</v>
      </c>
      <c r="XB35">
        <f t="shared" ref="XB35" si="1301">XA35</f>
        <v>70</v>
      </c>
      <c r="XC35">
        <f t="shared" ref="XC35" si="1302">XB35</f>
        <v>70</v>
      </c>
      <c r="XD35">
        <f t="shared" ref="XD35" si="1303">XC35</f>
        <v>70</v>
      </c>
      <c r="XE35">
        <f t="shared" ref="XE35" si="1304">XD35</f>
        <v>70</v>
      </c>
      <c r="XF35">
        <f t="shared" ref="XF35" si="1305">XE35</f>
        <v>70</v>
      </c>
      <c r="XG35">
        <f t="shared" ref="XG35" si="1306">XF35</f>
        <v>70</v>
      </c>
      <c r="XH35">
        <f t="shared" ref="XH35" si="1307">XG35</f>
        <v>70</v>
      </c>
      <c r="XI35">
        <f t="shared" ref="XI35" si="1308">XH35</f>
        <v>70</v>
      </c>
      <c r="XJ35">
        <f t="shared" ref="XJ35" si="1309">XI35</f>
        <v>70</v>
      </c>
      <c r="XK35">
        <f t="shared" ref="XK35" si="1310">XJ35</f>
        <v>70</v>
      </c>
      <c r="XL35">
        <f t="shared" ref="XL35" si="1311">XK35</f>
        <v>70</v>
      </c>
      <c r="XM35">
        <f t="shared" ref="XM35" si="1312">XL35</f>
        <v>70</v>
      </c>
      <c r="XN35">
        <f t="shared" ref="XN35" si="1313">XM35</f>
        <v>70</v>
      </c>
      <c r="XO35">
        <f t="shared" ref="XO35" si="1314">XN35</f>
        <v>70</v>
      </c>
      <c r="XP35">
        <f t="shared" ref="XP35" si="1315">XO35</f>
        <v>70</v>
      </c>
      <c r="XQ35">
        <f t="shared" ref="XQ35" si="1316">XP35</f>
        <v>70</v>
      </c>
      <c r="XR35">
        <f t="shared" ref="XR35" si="1317">XQ35</f>
        <v>70</v>
      </c>
      <c r="XS35">
        <f t="shared" ref="XS35" si="1318">XR35</f>
        <v>70</v>
      </c>
      <c r="XT35">
        <f t="shared" ref="XT35" si="1319">XS35</f>
        <v>70</v>
      </c>
      <c r="XU35">
        <f t="shared" ref="XU35" si="1320">XT35</f>
        <v>70</v>
      </c>
      <c r="XV35">
        <f t="shared" ref="XV35" si="1321">XU35</f>
        <v>70</v>
      </c>
      <c r="XW35">
        <f t="shared" ref="XW35" si="1322">XV35</f>
        <v>70</v>
      </c>
      <c r="XX35">
        <f t="shared" ref="XX35" si="1323">XW35</f>
        <v>70</v>
      </c>
      <c r="XY35">
        <f t="shared" ref="XY35" si="1324">XX35</f>
        <v>70</v>
      </c>
      <c r="XZ35">
        <f t="shared" ref="XZ35" si="1325">XY35</f>
        <v>70</v>
      </c>
      <c r="YA35">
        <f t="shared" ref="YA35" si="1326">XZ35</f>
        <v>70</v>
      </c>
      <c r="YB35">
        <f t="shared" ref="YB35" si="1327">YA35</f>
        <v>70</v>
      </c>
      <c r="YC35">
        <f t="shared" ref="YC35" si="1328">YB35</f>
        <v>70</v>
      </c>
      <c r="YD35">
        <f t="shared" ref="YD35" si="1329">YC35</f>
        <v>70</v>
      </c>
      <c r="YE35">
        <f t="shared" ref="YE35" si="1330">YD35</f>
        <v>70</v>
      </c>
      <c r="YF35">
        <f t="shared" ref="YF35" si="1331">YE35</f>
        <v>70</v>
      </c>
      <c r="YG35">
        <f t="shared" ref="YG35" si="1332">YF35</f>
        <v>70</v>
      </c>
      <c r="YH35">
        <f t="shared" ref="YH35" si="1333">YG35</f>
        <v>70</v>
      </c>
      <c r="YI35">
        <f t="shared" ref="YI35" si="1334">YH35</f>
        <v>70</v>
      </c>
      <c r="YJ35">
        <f t="shared" ref="YJ35" si="1335">YI35</f>
        <v>70</v>
      </c>
      <c r="YK35">
        <f t="shared" ref="YK35" si="1336">YJ35</f>
        <v>70</v>
      </c>
      <c r="YL35">
        <f t="shared" ref="YL35" si="1337">YK35</f>
        <v>70</v>
      </c>
      <c r="YM35">
        <f t="shared" ref="YM35" si="1338">YL35</f>
        <v>70</v>
      </c>
      <c r="YN35">
        <f t="shared" ref="YN35" si="1339">YM35</f>
        <v>70</v>
      </c>
      <c r="YO35">
        <f t="shared" ref="YO35" si="1340">YN35</f>
        <v>70</v>
      </c>
      <c r="YP35">
        <f t="shared" ref="YP35" si="1341">YO35</f>
        <v>70</v>
      </c>
      <c r="YQ35">
        <f t="shared" ref="YQ35" si="1342">YP35</f>
        <v>70</v>
      </c>
      <c r="YR35">
        <f t="shared" ref="YR35" si="1343">YQ35</f>
        <v>70</v>
      </c>
      <c r="YS35">
        <f t="shared" ref="YS35" si="1344">YR35</f>
        <v>70</v>
      </c>
      <c r="YT35">
        <f t="shared" ref="YT35" si="1345">YS35</f>
        <v>70</v>
      </c>
      <c r="YU35">
        <f t="shared" ref="YU35" si="1346">YT35</f>
        <v>70</v>
      </c>
      <c r="YV35">
        <f t="shared" ref="YV35" si="1347">YU35</f>
        <v>70</v>
      </c>
      <c r="YW35">
        <f t="shared" ref="YW35" si="1348">YV35</f>
        <v>70</v>
      </c>
      <c r="YX35">
        <f t="shared" ref="YX35" si="1349">YW35</f>
        <v>70</v>
      </c>
      <c r="YY35">
        <f t="shared" ref="YY35" si="1350">YX35</f>
        <v>70</v>
      </c>
      <c r="YZ35">
        <f t="shared" ref="YZ35" si="1351">YY35</f>
        <v>70</v>
      </c>
      <c r="ZA35">
        <f t="shared" ref="ZA35" si="1352">YZ35</f>
        <v>70</v>
      </c>
      <c r="ZB35">
        <f t="shared" ref="ZB35" si="1353">ZA35</f>
        <v>70</v>
      </c>
      <c r="ZC35">
        <f t="shared" ref="ZC35" si="1354">ZB35</f>
        <v>70</v>
      </c>
      <c r="ZD35">
        <f t="shared" ref="ZD35" si="1355">ZC35</f>
        <v>70</v>
      </c>
      <c r="ZE35">
        <f t="shared" ref="ZE35" si="1356">ZD35</f>
        <v>70</v>
      </c>
      <c r="ZF35">
        <f t="shared" ref="ZF35" si="1357">ZE35</f>
        <v>70</v>
      </c>
      <c r="ZG35">
        <f t="shared" ref="ZG35" si="1358">ZF35</f>
        <v>70</v>
      </c>
      <c r="ZH35">
        <f t="shared" ref="ZH35" si="1359">ZG35</f>
        <v>70</v>
      </c>
      <c r="ZI35">
        <f t="shared" ref="ZI35" si="1360">ZH35</f>
        <v>70</v>
      </c>
      <c r="ZJ35">
        <f t="shared" ref="ZJ35" si="1361">ZI35</f>
        <v>70</v>
      </c>
      <c r="ZK35">
        <f t="shared" ref="ZK35" si="1362">ZJ35</f>
        <v>70</v>
      </c>
      <c r="ZL35">
        <f t="shared" ref="ZL35" si="1363">ZK35</f>
        <v>70</v>
      </c>
      <c r="ZM35">
        <f t="shared" ref="ZM35" si="1364">ZL35</f>
        <v>70</v>
      </c>
      <c r="ZN35">
        <f t="shared" ref="ZN35" si="1365">ZM35</f>
        <v>70</v>
      </c>
      <c r="ZO35">
        <f t="shared" ref="ZO35" si="1366">ZN35</f>
        <v>70</v>
      </c>
      <c r="ZP35">
        <f t="shared" ref="ZP35" si="1367">ZO35</f>
        <v>70</v>
      </c>
      <c r="ZQ35">
        <f t="shared" ref="ZQ35" si="1368">ZP35</f>
        <v>70</v>
      </c>
      <c r="ZR35">
        <f t="shared" ref="ZR35" si="1369">ZQ35</f>
        <v>70</v>
      </c>
      <c r="ZS35">
        <f t="shared" ref="ZS35" si="1370">ZR35</f>
        <v>70</v>
      </c>
      <c r="ZT35">
        <f t="shared" ref="ZT35" si="1371">ZS35</f>
        <v>70</v>
      </c>
      <c r="ZU35">
        <f t="shared" ref="ZU35" si="1372">ZT35</f>
        <v>70</v>
      </c>
      <c r="ZV35">
        <f t="shared" ref="ZV35" si="1373">ZU35</f>
        <v>70</v>
      </c>
      <c r="ZW35">
        <f t="shared" ref="ZW35" si="1374">ZV35</f>
        <v>70</v>
      </c>
      <c r="ZX35">
        <f t="shared" ref="ZX35" si="1375">ZW35</f>
        <v>70</v>
      </c>
      <c r="ZY35">
        <f t="shared" ref="ZY35" si="1376">ZX35</f>
        <v>70</v>
      </c>
      <c r="ZZ35">
        <f t="shared" ref="ZZ35" si="1377">ZY35</f>
        <v>70</v>
      </c>
      <c r="AAA35">
        <f t="shared" ref="AAA35" si="1378">ZZ35</f>
        <v>70</v>
      </c>
      <c r="AAB35">
        <f t="shared" ref="AAB35" si="1379">AAA35</f>
        <v>70</v>
      </c>
      <c r="AAC35">
        <f t="shared" ref="AAC35" si="1380">AAB35</f>
        <v>70</v>
      </c>
      <c r="AAD35">
        <f t="shared" ref="AAD35" si="1381">AAC35</f>
        <v>70</v>
      </c>
      <c r="AAE35">
        <f t="shared" ref="AAE35" si="1382">AAD35</f>
        <v>70</v>
      </c>
      <c r="AAF35">
        <f t="shared" ref="AAF35" si="1383">AAE35</f>
        <v>70</v>
      </c>
      <c r="AAG35">
        <f t="shared" ref="AAG35" si="1384">AAF35</f>
        <v>70</v>
      </c>
      <c r="AAH35">
        <f t="shared" ref="AAH35" si="1385">AAG35</f>
        <v>70</v>
      </c>
      <c r="AAI35">
        <f t="shared" ref="AAI35" si="1386">AAH35</f>
        <v>70</v>
      </c>
      <c r="AAJ35">
        <f t="shared" ref="AAJ35" si="1387">AAI35</f>
        <v>70</v>
      </c>
      <c r="AAK35">
        <f t="shared" ref="AAK35" si="1388">AAJ35</f>
        <v>70</v>
      </c>
      <c r="AAL35">
        <f t="shared" ref="AAL35" si="1389">AAK35</f>
        <v>70</v>
      </c>
      <c r="AAM35">
        <f t="shared" ref="AAM35" si="1390">AAL35</f>
        <v>70</v>
      </c>
      <c r="AAN35">
        <f t="shared" ref="AAN35" si="1391">AAM35</f>
        <v>70</v>
      </c>
      <c r="AAO35">
        <f t="shared" ref="AAO35" si="1392">AAN35</f>
        <v>70</v>
      </c>
    </row>
    <row r="36" spans="1:719">
      <c r="A36" t="s">
        <v>35</v>
      </c>
      <c r="B36" s="14">
        <f t="shared" ref="B36:BM36" si="1393">dt*$D$18*(B34-B35)</f>
        <v>-0.11193887225312445</v>
      </c>
      <c r="C36" s="14">
        <f t="shared" si="1393"/>
        <v>-0.11193887225312445</v>
      </c>
      <c r="D36" s="14">
        <f t="shared" si="1393"/>
        <v>-0.11193887225312445</v>
      </c>
      <c r="E36" s="14">
        <f t="shared" si="1393"/>
        <v>-0.11193887225312445</v>
      </c>
      <c r="F36" s="14">
        <f t="shared" si="1393"/>
        <v>-0.11193887225312445</v>
      </c>
      <c r="G36" s="14">
        <f t="shared" si="1393"/>
        <v>-0.11193887225312445</v>
      </c>
      <c r="H36" s="14">
        <f t="shared" si="1393"/>
        <v>-0.11193887225312445</v>
      </c>
      <c r="I36" s="14">
        <f t="shared" si="1393"/>
        <v>-0.11193887225312445</v>
      </c>
      <c r="J36" s="14">
        <f t="shared" si="1393"/>
        <v>-0.11193887225312445</v>
      </c>
      <c r="K36" s="14">
        <f t="shared" si="1393"/>
        <v>-0.11193887225312445</v>
      </c>
      <c r="L36" s="14">
        <f t="shared" si="1393"/>
        <v>-0.11193887223762278</v>
      </c>
      <c r="M36" s="14">
        <f t="shared" si="1393"/>
        <v>-0.11193887210915482</v>
      </c>
      <c r="N36" s="14">
        <f t="shared" si="1393"/>
        <v>-0.11193887152476065</v>
      </c>
      <c r="O36" s="14">
        <f t="shared" si="1393"/>
        <v>-0.11193886959315968</v>
      </c>
      <c r="P36" s="14">
        <f t="shared" si="1393"/>
        <v>-0.11193886440625871</v>
      </c>
      <c r="Q36" s="14">
        <f t="shared" si="1393"/>
        <v>-0.11193885240038379</v>
      </c>
      <c r="R36" s="14">
        <f t="shared" si="1393"/>
        <v>-0.1119388275643511</v>
      </c>
      <c r="S36" s="14">
        <f t="shared" si="1393"/>
        <v>-0.11193878052900701</v>
      </c>
      <c r="T36" s="14">
        <f t="shared" si="1393"/>
        <v>-0.11193869758408943</v>
      </c>
      <c r="U36" s="14">
        <f t="shared" si="1393"/>
        <v>-0.11193855967301911</v>
      </c>
      <c r="V36" s="14">
        <f t="shared" si="1393"/>
        <v>-0.11193834141529857</v>
      </c>
      <c r="W36" s="14">
        <f t="shared" si="1393"/>
        <v>-0.11193801020104426</v>
      </c>
      <c r="X36" s="14">
        <f t="shared" si="1393"/>
        <v>-0.11193752539430457</v>
      </c>
      <c r="Y36" s="14">
        <f t="shared" si="1393"/>
        <v>-0.11193683767265286</v>
      </c>
      <c r="Z36" s="14">
        <f t="shared" si="1393"/>
        <v>-0.11193588852111644</v>
      </c>
      <c r="AA36" s="14">
        <f t="shared" si="1393"/>
        <v>-0.11193460988970116</v>
      </c>
      <c r="AB36" s="14">
        <f t="shared" si="1393"/>
        <v>-0.11193292401602503</v>
      </c>
      <c r="AC36" s="14">
        <f t="shared" si="1393"/>
        <v>-0.11193074340815379</v>
      </c>
      <c r="AD36" s="14">
        <f t="shared" si="1393"/>
        <v>-0.11192797097777465</v>
      </c>
      <c r="AE36" s="14">
        <f t="shared" si="1393"/>
        <v>-0.1119245003102125</v>
      </c>
      <c r="AF36" s="14">
        <f t="shared" si="1393"/>
        <v>-0.11192021605542231</v>
      </c>
      <c r="AG36" s="14">
        <f t="shared" si="1393"/>
        <v>-0.11191499442278875</v>
      </c>
      <c r="AH36" s="14">
        <f t="shared" si="1393"/>
        <v>-0.11190870376211387</v>
      </c>
      <c r="AI36" s="14">
        <f t="shared" si="1393"/>
        <v>-0.11190120521345848</v>
      </c>
      <c r="AJ36" s="14">
        <f t="shared" si="1393"/>
        <v>-0.1118923534092474</v>
      </c>
      <c r="AK36" s="14">
        <f t="shared" si="1393"/>
        <v>-0.11188199721320892</v>
      </c>
      <c r="AL36" s="14">
        <f t="shared" si="1393"/>
        <v>-0.11186998048208836</v>
      </c>
      <c r="AM36" s="14">
        <f t="shared" si="1393"/>
        <v>-0.11185614283759597</v>
      </c>
      <c r="AN36" s="14">
        <f t="shared" si="1393"/>
        <v>-0.11184032043759702</v>
      </c>
      <c r="AO36" s="14">
        <f t="shared" si="1393"/>
        <v>-0.11182234673712567</v>
      </c>
      <c r="AP36" s="14">
        <f t="shared" si="1393"/>
        <v>-0.11180205323127439</v>
      </c>
      <c r="AQ36" s="14">
        <f t="shared" si="1393"/>
        <v>-0.11177927017343763</v>
      </c>
      <c r="AR36" s="14">
        <f t="shared" si="1393"/>
        <v>-0.11175382726366202</v>
      </c>
      <c r="AS36" s="14">
        <f t="shared" si="1393"/>
        <v>-0.11172555430303949</v>
      </c>
      <c r="AT36" s="14">
        <f t="shared" si="1393"/>
        <v>-0.11169428181112567</v>
      </c>
      <c r="AU36" s="14">
        <f t="shared" si="1393"/>
        <v>-0.11165984160428208</v>
      </c>
      <c r="AV36" s="14">
        <f t="shared" si="1393"/>
        <v>-0.11162206733363821</v>
      </c>
      <c r="AW36" s="14">
        <f t="shared" si="1393"/>
        <v>-0.1115807949820653</v>
      </c>
      <c r="AX36" s="14">
        <f t="shared" si="1393"/>
        <v>-0.11153586332011661</v>
      </c>
      <c r="AY36" s="14">
        <f t="shared" si="1393"/>
        <v>-0.11148711432138449</v>
      </c>
      <c r="AZ36" s="14">
        <f t="shared" si="1393"/>
        <v>-0.1114343935381104</v>
      </c>
      <c r="BA36" s="14">
        <f t="shared" si="1393"/>
        <v>-0.11137755043819779</v>
      </c>
      <c r="BB36" s="14">
        <f t="shared" si="1393"/>
        <v>-0.11131643870504647</v>
      </c>
      <c r="BC36" s="14">
        <f t="shared" si="1393"/>
        <v>-0.11125091650178183</v>
      </c>
      <c r="BD36" s="14">
        <f t="shared" si="1393"/>
        <v>-0.11118084670162191</v>
      </c>
      <c r="BE36" s="14">
        <f t="shared" si="1393"/>
        <v>-0.11110609708619903</v>
      </c>
      <c r="BF36" s="14">
        <f t="shared" si="1393"/>
        <v>-0.11102654051371585</v>
      </c>
      <c r="BG36" s="14">
        <f t="shared" si="1393"/>
        <v>-0.11094205505883892</v>
      </c>
      <c r="BH36" s="14">
        <f t="shared" si="1393"/>
        <v>-0.11085252412622751</v>
      </c>
      <c r="BI36" s="14">
        <f t="shared" si="1393"/>
        <v>-0.11075783653958372</v>
      </c>
      <c r="BJ36" s="14">
        <f t="shared" si="1393"/>
        <v>-0.11065788660805759</v>
      </c>
      <c r="BK36" s="14">
        <f t="shared" si="1393"/>
        <v>-0.11055257417179223</v>
      </c>
      <c r="BL36" s="14">
        <f t="shared" si="1393"/>
        <v>-0.11044180462834355</v>
      </c>
      <c r="BM36" s="14">
        <f t="shared" si="1393"/>
        <v>-0.11032548894161222</v>
      </c>
      <c r="BN36" s="14">
        <f t="shared" ref="BN36:DY36" si="1394">dt*$D$18*(BN34-BN35)</f>
        <v>-0.11020354363487074</v>
      </c>
      <c r="BO36" s="14">
        <f t="shared" si="1394"/>
        <v>-0.11007589076938668</v>
      </c>
      <c r="BP36" s="14">
        <f t="shared" si="1394"/>
        <v>-0.10994245791004098</v>
      </c>
      <c r="BQ36" s="14">
        <f t="shared" si="1394"/>
        <v>-0.10980317807928841</v>
      </c>
      <c r="BR36" s="14">
        <f t="shared" si="1394"/>
        <v>-0.10965798970069233</v>
      </c>
      <c r="BS36" s="14">
        <f t="shared" si="1394"/>
        <v>-0.10950683653321136</v>
      </c>
      <c r="BT36" s="14">
        <f t="shared" si="1394"/>
        <v>-0.10934966759731651</v>
      </c>
      <c r="BU36" s="14">
        <f t="shared" si="1394"/>
        <v>-0.10918643709395731</v>
      </c>
      <c r="BV36" s="14">
        <f t="shared" si="1394"/>
        <v>-0.10901710431729347</v>
      </c>
      <c r="BW36" s="14">
        <f t="shared" si="1394"/>
        <v>-0.10884163356208121</v>
      </c>
      <c r="BX36" s="14">
        <f t="shared" si="1394"/>
        <v>-0.10865999402647995</v>
      </c>
      <c r="BY36" s="14">
        <f t="shared" si="1394"/>
        <v>-0.10847215971103612</v>
      </c>
      <c r="BZ36" s="14">
        <f t="shared" si="1394"/>
        <v>-0.10827810931448774</v>
      </c>
      <c r="CA36" s="14">
        <f t="shared" si="1394"/>
        <v>-0.10807782612702548</v>
      </c>
      <c r="CB36" s="14">
        <f t="shared" si="1394"/>
        <v>-0.10787129792154161</v>
      </c>
      <c r="CC36" s="14">
        <f t="shared" si="1394"/>
        <v>-0.10765851684338953</v>
      </c>
      <c r="CD36" s="14">
        <f t="shared" si="1394"/>
        <v>-0.10743947929910914</v>
      </c>
      <c r="CE36" s="14">
        <f t="shared" si="1394"/>
        <v>-0.10721418584452073</v>
      </c>
      <c r="CF36" s="14">
        <f t="shared" si="1394"/>
        <v>-0.10698264107257141</v>
      </c>
      <c r="CG36" s="14">
        <f t="shared" si="1394"/>
        <v>-0.10674485350125884</v>
      </c>
      <c r="CH36" s="14">
        <f t="shared" si="1394"/>
        <v>-0.1065008354619392</v>
      </c>
      <c r="CI36" s="14">
        <f t="shared" si="1394"/>
        <v>-0.10625060298827385</v>
      </c>
      <c r="CJ36" s="14">
        <f t="shared" si="1394"/>
        <v>-0.10599417570605589</v>
      </c>
      <c r="CK36" s="14">
        <f t="shared" si="1394"/>
        <v>-0.10573157672412578</v>
      </c>
      <c r="CL36" s="14">
        <f t="shared" si="1394"/>
        <v>-0.10546283252655135</v>
      </c>
      <c r="CM36" s="14">
        <f t="shared" si="1394"/>
        <v>-0.10518797286623308</v>
      </c>
      <c r="CN36" s="14">
        <f t="shared" si="1394"/>
        <v>-0.1049070306600741</v>
      </c>
      <c r="CO36" s="14">
        <f t="shared" si="1394"/>
        <v>-0.10462004188582487</v>
      </c>
      <c r="CP36" s="14">
        <f t="shared" si="1394"/>
        <v>-0.10432704548070755</v>
      </c>
      <c r="CQ36" s="14">
        <f t="shared" si="1394"/>
        <v>-0.10402808324190443</v>
      </c>
      <c r="CR36" s="14">
        <f t="shared" si="1394"/>
        <v>-0.10372319972896914</v>
      </c>
      <c r="CS36" s="14">
        <f t="shared" si="1394"/>
        <v>-0.10341244216822595</v>
      </c>
      <c r="CT36" s="14">
        <f t="shared" si="1394"/>
        <v>-0.10309586035919319</v>
      </c>
      <c r="CU36" s="14">
        <f t="shared" si="1394"/>
        <v>-0.10277350658306753</v>
      </c>
      <c r="CV36" s="14">
        <f t="shared" si="1394"/>
        <v>-0.10244543551328261</v>
      </c>
      <c r="CW36" s="14">
        <f t="shared" si="1394"/>
        <v>-0.10211170412817072</v>
      </c>
      <c r="CX36" s="14">
        <f t="shared" si="1394"/>
        <v>-0.10177237162571143</v>
      </c>
      <c r="CY36" s="14">
        <f t="shared" si="1394"/>
        <v>-0.10142749934038958</v>
      </c>
      <c r="CZ36" s="14">
        <f t="shared" si="1394"/>
        <v>-0.1010771506621343</v>
      </c>
      <c r="DA36" s="14">
        <f t="shared" si="1394"/>
        <v>-0.10072139095733901</v>
      </c>
      <c r="DB36" s="14">
        <f t="shared" si="1394"/>
        <v>-0.10036028749193873</v>
      </c>
      <c r="DC36" s="14">
        <f t="shared" si="1394"/>
        <v>-9.9993909356520236E-2</v>
      </c>
      <c r="DD36" s="14">
        <f t="shared" si="1394"/>
        <v>-9.9622327393451379E-2</v>
      </c>
      <c r="DE36" s="14">
        <f t="shared" si="1394"/>
        <v>-9.9245614125981346E-2</v>
      </c>
      <c r="DF36" s="14">
        <f t="shared" si="1394"/>
        <v>-9.8863843689296946E-2</v>
      </c>
      <c r="DG36" s="14">
        <f t="shared" si="1394"/>
        <v>-9.8477091763488803E-2</v>
      </c>
      <c r="DH36" s="14">
        <f t="shared" si="1394"/>
        <v>-9.8085435508404387E-2</v>
      </c>
      <c r="DI36" s="14">
        <f t="shared" si="1394"/>
        <v>-9.7688953500333062E-2</v>
      </c>
      <c r="DJ36" s="14">
        <f t="shared" si="1394"/>
        <v>-9.7287725670499786E-2</v>
      </c>
      <c r="DK36" s="14">
        <f t="shared" si="1394"/>
        <v>-9.6881833245315727E-2</v>
      </c>
      <c r="DL36" s="14">
        <f t="shared" si="1394"/>
        <v>-9.6471358688354547E-2</v>
      </c>
      <c r="DM36" s="14">
        <f t="shared" si="1394"/>
        <v>-9.6056385644006356E-2</v>
      </c>
      <c r="DN36" s="14">
        <f t="shared" si="1394"/>
        <v>-9.5636998882767485E-2</v>
      </c>
      <c r="DO36" s="14">
        <f t="shared" si="1394"/>
        <v>-9.5213284248129623E-2</v>
      </c>
      <c r="DP36" s="14">
        <f t="shared" si="1394"/>
        <v>-9.4785328605017746E-2</v>
      </c>
      <c r="DQ36" s="14">
        <f t="shared" si="1394"/>
        <v>-9.4353219789742496E-2</v>
      </c>
      <c r="DR36" s="14">
        <f t="shared" si="1394"/>
        <v>-9.3917046561421941E-2</v>
      </c>
      <c r="DS36" s="14">
        <f t="shared" si="1394"/>
        <v>-9.3476898554830018E-2</v>
      </c>
      <c r="DT36" s="14">
        <f t="shared" si="1394"/>
        <v>-9.3032866234634123E-2</v>
      </c>
      <c r="DU36" s="14">
        <f t="shared" si="1394"/>
        <v>-9.2585040850973258E-2</v>
      </c>
      <c r="DV36" s="14">
        <f t="shared" si="1394"/>
        <v>-9.2133514396350327E-2</v>
      </c>
      <c r="DW36" s="14">
        <f t="shared" si="1394"/>
        <v>-9.167837956378494E-2</v>
      </c>
      <c r="DX36" s="14">
        <f t="shared" si="1394"/>
        <v>-9.1219729706197197E-2</v>
      </c>
      <c r="DY36" s="14">
        <f t="shared" si="1394"/>
        <v>-9.0757658796979862E-2</v>
      </c>
      <c r="DZ36" s="14">
        <f t="shared" ref="DZ36:GK36" si="1395">dt*$D$18*(DZ34-DZ35)</f>
        <v>-9.0292261391725664E-2</v>
      </c>
      <c r="EA36" s="14">
        <f t="shared" si="1395"/>
        <v>-8.982363259106968E-2</v>
      </c>
      <c r="EB36" s="14">
        <f t="shared" si="1395"/>
        <v>-8.9351868004609827E-2</v>
      </c>
      <c r="EC36" s="14">
        <f t="shared" si="1395"/>
        <v>-8.8877063715877461E-2</v>
      </c>
      <c r="ED36" s="14">
        <f t="shared" si="1395"/>
        <v>-8.8399316248316956E-2</v>
      </c>
      <c r="EE36" s="14">
        <f t="shared" si="1395"/>
        <v>-8.7918722532245225E-2</v>
      </c>
      <c r="EF36" s="14">
        <f t="shared" si="1395"/>
        <v>-8.7435379872758373E-2</v>
      </c>
      <c r="EG36" s="14">
        <f t="shared" si="1395"/>
        <v>-8.6949385918551017E-2</v>
      </c>
      <c r="EH36" s="14">
        <f t="shared" si="1395"/>
        <v>-8.6460838631625736E-2</v>
      </c>
      <c r="EI36" s="14">
        <f t="shared" si="1395"/>
        <v>-8.5969836257850263E-2</v>
      </c>
      <c r="EJ36" s="14">
        <f t="shared" si="1395"/>
        <v>-8.5476477298344553E-2</v>
      </c>
      <c r="EK36" s="14">
        <f t="shared" si="1395"/>
        <v>-8.4980860481669612E-2</v>
      </c>
      <c r="EL36" s="14">
        <f t="shared" si="1395"/>
        <v>-8.4483084736783176E-2</v>
      </c>
      <c r="EM36" s="14">
        <f t="shared" si="1395"/>
        <v>-8.3983249166739077E-2</v>
      </c>
      <c r="EN36" s="14">
        <f t="shared" si="1395"/>
        <v>-8.3481453023112426E-2</v>
      </c>
      <c r="EO36" s="14">
        <f t="shared" si="1395"/>
        <v>-8.2977795681114366E-2</v>
      </c>
      <c r="EP36" s="14">
        <f t="shared" si="1395"/>
        <v>-8.2472376615379622E-2</v>
      </c>
      <c r="EQ36" s="14">
        <f t="shared" si="1395"/>
        <v>-8.1965295376401681E-2</v>
      </c>
      <c r="ER36" s="14">
        <f t="shared" si="1395"/>
        <v>-8.1456651567598529E-2</v>
      </c>
      <c r="ES36" s="14">
        <f t="shared" si="1395"/>
        <v>-8.0946544822972116E-2</v>
      </c>
      <c r="ET36" s="14">
        <f t="shared" si="1395"/>
        <v>-8.0435074785364324E-2</v>
      </c>
      <c r="EU36" s="14">
        <f t="shared" si="1395"/>
        <v>-7.9922341085264553E-2</v>
      </c>
      <c r="EV36" s="14">
        <f t="shared" si="1395"/>
        <v>-7.9408443320167818E-2</v>
      </c>
      <c r="EW36" s="14">
        <f t="shared" si="1395"/>
        <v>-7.8893481034456384E-2</v>
      </c>
      <c r="EX36" s="14">
        <f t="shared" si="1395"/>
        <v>-7.8377553699790992E-2</v>
      </c>
      <c r="EY36" s="14">
        <f t="shared" si="1395"/>
        <v>-7.7860760695985451E-2</v>
      </c>
      <c r="EZ36" s="14">
        <f t="shared" si="1395"/>
        <v>-7.7343201292359803E-2</v>
      </c>
      <c r="FA36" s="14">
        <f t="shared" si="1395"/>
        <v>-7.6824974629546891E-2</v>
      </c>
      <c r="FB36" s="14">
        <f t="shared" si="1395"/>
        <v>-7.6306179701741458E-2</v>
      </c>
      <c r="FC36" s="14">
        <f t="shared" si="1395"/>
        <v>-7.5786915339373567E-2</v>
      </c>
      <c r="FD36" s="14">
        <f t="shared" si="1395"/>
        <v>-7.52672801921975E-2</v>
      </c>
      <c r="FE36" s="14">
        <f t="shared" si="1395"/>
        <v>-7.4747372712771099E-2</v>
      </c>
      <c r="FF36" s="14">
        <f t="shared" si="1395"/>
        <v>-7.4227291140325349E-2</v>
      </c>
      <c r="FG36" s="14">
        <f t="shared" si="1395"/>
        <v>-7.3707133484999549E-2</v>
      </c>
      <c r="FH36" s="14">
        <f t="shared" si="1395"/>
        <v>-7.3186997512441648E-2</v>
      </c>
      <c r="FI36" s="14">
        <f t="shared" si="1395"/>
        <v>-7.2666980728748026E-2</v>
      </c>
      <c r="FJ36" s="14">
        <f t="shared" si="1395"/>
        <v>-7.2147180365742636E-2</v>
      </c>
      <c r="FK36" s="14">
        <f t="shared" si="1395"/>
        <v>-7.1627693366579412E-2</v>
      </c>
      <c r="FL36" s="14">
        <f t="shared" si="1395"/>
        <v>-7.1108616371657024E-2</v>
      </c>
      <c r="FM36" s="14">
        <f t="shared" si="1395"/>
        <v>-7.0590045704836915E-2</v>
      </c>
      <c r="FN36" s="14">
        <f t="shared" si="1395"/>
        <v>-7.007207735995373E-2</v>
      </c>
      <c r="FO36" s="14">
        <f t="shared" si="1395"/>
        <v>-6.9554806987613862E-2</v>
      </c>
      <c r="FP36" s="14">
        <f t="shared" si="1395"/>
        <v>-6.9038329882261454E-2</v>
      </c>
      <c r="FQ36" s="14">
        <f t="shared" si="1395"/>
        <v>-6.8522740969515522E-2</v>
      </c>
      <c r="FR36" s="14">
        <f t="shared" si="1395"/>
        <v>-6.8008134793763442E-2</v>
      </c>
      <c r="FS36" s="14">
        <f t="shared" si="1395"/>
        <v>-6.7494605506003669E-2</v>
      </c>
      <c r="FT36" s="14">
        <f t="shared" si="1395"/>
        <v>-6.6982246851929633E-2</v>
      </c>
      <c r="FU36" s="14">
        <f t="shared" si="1395"/>
        <v>-6.6471152160248959E-2</v>
      </c>
      <c r="FV36" s="14">
        <f t="shared" si="1395"/>
        <v>-6.5961414331230858E-2</v>
      </c>
      <c r="FW36" s="14">
        <f t="shared" si="1395"/>
        <v>-6.5453125825473801E-2</v>
      </c>
      <c r="FX36" s="14">
        <f t="shared" si="1395"/>
        <v>-6.4946378652882344E-2</v>
      </c>
      <c r="FY36" s="14">
        <f t="shared" si="1395"/>
        <v>-6.4441264361859152E-2</v>
      </c>
      <c r="FZ36" s="14">
        <f t="shared" si="1395"/>
        <v>-6.393787402869737E-2</v>
      </c>
      <c r="GA36" s="14">
        <f t="shared" si="1395"/>
        <v>-6.3436298247162001E-2</v>
      </c>
      <c r="GB36" s="14">
        <f t="shared" si="1395"/>
        <v>-6.2936627118271596E-2</v>
      </c>
      <c r="GC36" s="14">
        <f t="shared" si="1395"/>
        <v>-6.2438950240259083E-2</v>
      </c>
      <c r="GD36" s="14">
        <f t="shared" si="1395"/>
        <v>-6.1943356698713835E-2</v>
      </c>
      <c r="GE36" s="14">
        <f t="shared" si="1395"/>
        <v>-6.1449935056901842E-2</v>
      </c>
      <c r="GF36" s="14">
        <f t="shared" si="1395"/>
        <v>-6.0958773346253096E-2</v>
      </c>
      <c r="GG36" s="14">
        <f t="shared" si="1395"/>
        <v>-6.0469959057019136E-2</v>
      </c>
      <c r="GH36" s="14">
        <f t="shared" si="1395"/>
        <v>-5.9983579129088783E-2</v>
      </c>
      <c r="GI36" s="14">
        <f t="shared" si="1395"/>
        <v>-5.9499719942966975E-2</v>
      </c>
      <c r="GJ36" s="14">
        <f t="shared" si="1395"/>
        <v>-5.9018467310902829E-2</v>
      </c>
      <c r="GK36" s="14">
        <f t="shared" si="1395"/>
        <v>-5.8539906468172795E-2</v>
      </c>
      <c r="GL36" s="14">
        <f t="shared" ref="GL36:IW36" si="1396">dt*$D$18*(GL34-GL35)</f>
        <v>-5.8064122064509997E-2</v>
      </c>
      <c r="GM36" s="14">
        <f t="shared" si="1396"/>
        <v>-5.7591198155674726E-2</v>
      </c>
      <c r="GN36" s="14">
        <f t="shared" si="1396"/>
        <v>-5.7121218195169021E-2</v>
      </c>
      <c r="GO36" s="14">
        <f t="shared" si="1396"/>
        <v>-5.6654265026088446E-2</v>
      </c>
      <c r="GP36" s="14">
        <f t="shared" si="1396"/>
        <v>-5.6190420873104989E-2</v>
      </c>
      <c r="GQ36" s="14">
        <f t="shared" si="1396"/>
        <v>-5.5729767334588065E-2</v>
      </c>
      <c r="GR36" s="14">
        <f t="shared" si="1396"/>
        <v>-5.5272385374849714E-2</v>
      </c>
      <c r="GS36" s="14">
        <f t="shared" si="1396"/>
        <v>-5.4818355316521836E-2</v>
      </c>
      <c r="GT36" s="14">
        <f t="shared" si="1396"/>
        <v>-5.4367756833049653E-2</v>
      </c>
      <c r="GU36" s="14">
        <f t="shared" si="1396"/>
        <v>-5.3920668941317189E-2</v>
      </c>
      <c r="GV36" s="14">
        <f t="shared" si="1396"/>
        <v>-5.3477169994386987E-2</v>
      </c>
      <c r="GW36" s="14">
        <f t="shared" si="1396"/>
        <v>-5.3037337674357851E-2</v>
      </c>
      <c r="GX36" s="14">
        <f t="shared" si="1396"/>
        <v>-5.2601248985341728E-2</v>
      </c>
      <c r="GY36" s="14">
        <f t="shared" si="1396"/>
        <v>-5.2168980246552747E-2</v>
      </c>
      <c r="GZ36" s="14">
        <f t="shared" si="1396"/>
        <v>-5.1740607085507331E-2</v>
      </c>
      <c r="HA36" s="14">
        <f t="shared" si="1396"/>
        <v>-5.1316204431340433E-2</v>
      </c>
      <c r="HB36" s="14">
        <f t="shared" si="1396"/>
        <v>-5.0895846508224873E-2</v>
      </c>
      <c r="HC36" s="14">
        <f t="shared" si="1396"/>
        <v>-5.0479606828903796E-2</v>
      </c>
      <c r="HD36" s="14">
        <f t="shared" si="1396"/>
        <v>-5.0067558188322259E-2</v>
      </c>
      <c r="HE36" s="14">
        <f t="shared" si="1396"/>
        <v>-4.9659772657374861E-2</v>
      </c>
      <c r="HF36" s="14">
        <f t="shared" si="1396"/>
        <v>-4.9256321576746531E-2</v>
      </c>
      <c r="HG36" s="14">
        <f t="shared" si="1396"/>
        <v>-4.8857275550862438E-2</v>
      </c>
      <c r="HH36" s="14">
        <f t="shared" si="1396"/>
        <v>-4.8462704441936913E-2</v>
      </c>
      <c r="HI36" s="14">
        <f t="shared" si="1396"/>
        <v>-4.8072677364122587E-2</v>
      </c>
      <c r="HJ36" s="14">
        <f t="shared" si="1396"/>
        <v>-4.768726267775953E-2</v>
      </c>
      <c r="HK36" s="14">
        <f t="shared" si="1396"/>
        <v>-4.7306527983724554E-2</v>
      </c>
      <c r="HL36" s="14">
        <f t="shared" si="1396"/>
        <v>-4.6930540117876604E-2</v>
      </c>
      <c r="HM36" s="14">
        <f t="shared" si="1396"/>
        <v>-4.655936514559722E-2</v>
      </c>
      <c r="HN36" s="14">
        <f t="shared" si="1396"/>
        <v>-4.619306835643211E-2</v>
      </c>
      <c r="HO36" s="14">
        <f t="shared" si="1396"/>
        <v>-4.5831714258821848E-2</v>
      </c>
      <c r="HP36" s="14">
        <f t="shared" si="1396"/>
        <v>-4.5475366574930613E-2</v>
      </c>
      <c r="HQ36" s="14">
        <f t="shared" si="1396"/>
        <v>-4.5124088235572068E-2</v>
      </c>
      <c r="HR36" s="14">
        <f t="shared" si="1396"/>
        <v>-4.4777941375223319E-2</v>
      </c>
      <c r="HS36" s="14">
        <f t="shared" si="1396"/>
        <v>-4.4436987327131972E-2</v>
      </c>
      <c r="HT36" s="14">
        <f t="shared" si="1396"/>
        <v>-4.4101286618521252E-2</v>
      </c>
      <c r="HU36" s="14">
        <f t="shared" si="1396"/>
        <v>-4.3770898965880281E-2</v>
      </c>
      <c r="HV36" s="14">
        <f t="shared" si="1396"/>
        <v>-4.3445883270351385E-2</v>
      </c>
      <c r="HW36" s="14">
        <f t="shared" si="1396"/>
        <v>-4.3126297613204516E-2</v>
      </c>
      <c r="HX36" s="14">
        <f t="shared" si="1396"/>
        <v>-4.2812199251405773E-2</v>
      </c>
      <c r="HY36" s="14">
        <f t="shared" si="1396"/>
        <v>-4.2503644613275028E-2</v>
      </c>
      <c r="HZ36" s="14">
        <f t="shared" si="1396"/>
        <v>-4.2200689294230591E-2</v>
      </c>
      <c r="IA36" s="14">
        <f t="shared" si="1396"/>
        <v>-4.190338805262802E-2</v>
      </c>
      <c r="IB36" s="14">
        <f t="shared" si="1396"/>
        <v>-4.1611794805689988E-2</v>
      </c>
      <c r="IC36" s="14">
        <f t="shared" si="1396"/>
        <v>-4.1325962625519276E-2</v>
      </c>
      <c r="ID36" s="14">
        <f t="shared" si="1396"/>
        <v>-4.1045943735204808E-2</v>
      </c>
      <c r="IE36" s="14">
        <f t="shared" si="1396"/>
        <v>-4.0771789505016823E-2</v>
      </c>
      <c r="IF36" s="14">
        <f t="shared" si="1396"/>
        <v>-4.0503550448691084E-2</v>
      </c>
      <c r="IG36" s="14">
        <f t="shared" si="1396"/>
        <v>-4.0241276219800247E-2</v>
      </c>
      <c r="IH36" s="14">
        <f t="shared" si="1396"/>
        <v>-3.9985015608215262E-2</v>
      </c>
      <c r="II36" s="14">
        <f t="shared" si="1396"/>
        <v>-3.9734816536653866E-2</v>
      </c>
      <c r="IJ36" s="14">
        <f t="shared" si="1396"/>
        <v>-3.9490726057318223E-2</v>
      </c>
      <c r="IK36" s="14">
        <f t="shared" si="1396"/>
        <v>-3.9252790348621579E-2</v>
      </c>
      <c r="IL36" s="14">
        <f t="shared" si="1396"/>
        <v>-3.9021054712001027E-2</v>
      </c>
      <c r="IM36" s="14">
        <f t="shared" si="1396"/>
        <v>-3.8795563568822425E-2</v>
      </c>
      <c r="IN36" s="14">
        <f t="shared" si="1396"/>
        <v>-3.8576360457369306E-2</v>
      </c>
      <c r="IO36" s="14">
        <f t="shared" si="1396"/>
        <v>-3.8363488029921941E-2</v>
      </c>
      <c r="IP36" s="14">
        <f t="shared" si="1396"/>
        <v>-3.8156988049923464E-2</v>
      </c>
      <c r="IQ36" s="14">
        <f t="shared" si="1396"/>
        <v>-3.795690138923611E-2</v>
      </c>
      <c r="IR36" s="14">
        <f t="shared" si="1396"/>
        <v>-3.7763268025485526E-2</v>
      </c>
      <c r="IS36" s="14">
        <f t="shared" si="1396"/>
        <v>-3.7576127039488143E-2</v>
      </c>
      <c r="IT36" s="14">
        <f t="shared" si="1396"/>
        <v>-3.7395516612775709E-2</v>
      </c>
      <c r="IU36" s="14">
        <f t="shared" si="1396"/>
        <v>-3.722147402519884E-2</v>
      </c>
      <c r="IV36" s="14">
        <f t="shared" si="1396"/>
        <v>-3.7054035652625703E-2</v>
      </c>
      <c r="IW36" s="14">
        <f t="shared" si="1396"/>
        <v>-3.6893236964723776E-2</v>
      </c>
      <c r="IX36" s="14">
        <f t="shared" ref="IX36:LI36" si="1397">dt*$D$18*(IX34-IX35)</f>
        <v>-3.6739112522836674E-2</v>
      </c>
      <c r="IY36" s="14">
        <f t="shared" si="1397"/>
        <v>-3.6591695977940118E-2</v>
      </c>
      <c r="IZ36" s="14">
        <f t="shared" si="1397"/>
        <v>-3.6451020068695938E-2</v>
      </c>
      <c r="JA36" s="14">
        <f t="shared" si="1397"/>
        <v>-3.6317116619586212E-2</v>
      </c>
      <c r="JB36" s="14">
        <f t="shared" si="1397"/>
        <v>-3.6190016539141431E-2</v>
      </c>
      <c r="JC36" s="14">
        <f t="shared" si="1397"/>
        <v>-3.6069749818256856E-2</v>
      </c>
      <c r="JD36" s="14">
        <f t="shared" si="1397"/>
        <v>-3.5956345528594835E-2</v>
      </c>
      <c r="JE36" s="14">
        <f t="shared" si="1397"/>
        <v>-3.5849831821076338E-2</v>
      </c>
      <c r="JF36" s="14">
        <f t="shared" si="1397"/>
        <v>-3.5750235924464482E-2</v>
      </c>
      <c r="JG36" s="14">
        <f t="shared" si="1397"/>
        <v>-3.5657584144033208E-2</v>
      </c>
      <c r="JH36" s="14">
        <f t="shared" si="1397"/>
        <v>-3.5571901860326015E-2</v>
      </c>
      <c r="JI36" s="14">
        <f t="shared" si="1397"/>
        <v>-3.5493213528005781E-2</v>
      </c>
      <c r="JJ36" s="14">
        <f t="shared" si="1397"/>
        <v>-3.5421542674790731E-2</v>
      </c>
      <c r="JK36" s="14">
        <f t="shared" si="1397"/>
        <v>-3.5356911900481403E-2</v>
      </c>
      <c r="JL36" s="14">
        <f t="shared" si="1397"/>
        <v>-3.5299342876072781E-2</v>
      </c>
      <c r="JM36" s="14">
        <f t="shared" si="1397"/>
        <v>-3.5248856342964499E-2</v>
      </c>
      <c r="JN36" s="14">
        <f t="shared" si="1397"/>
        <v>-3.5205472112249087E-2</v>
      </c>
      <c r="JO36" s="14">
        <f t="shared" si="1397"/>
        <v>-3.5169209064099392E-2</v>
      </c>
      <c r="JP36" s="14">
        <f t="shared" si="1397"/>
        <v>-3.5140085147239007E-2</v>
      </c>
      <c r="JQ36" s="14">
        <f t="shared" si="1397"/>
        <v>-3.5118117378503864E-2</v>
      </c>
      <c r="JR36" s="14">
        <f t="shared" si="1397"/>
        <v>-3.5103321842493838E-2</v>
      </c>
      <c r="JS36" s="14">
        <f t="shared" si="1397"/>
        <v>-3.509571369131554E-2</v>
      </c>
      <c r="JT36" s="14">
        <f t="shared" si="1397"/>
        <v>-3.5095307144410087E-2</v>
      </c>
      <c r="JU36" s="14">
        <f t="shared" si="1397"/>
        <v>-3.5102115488475062E-2</v>
      </c>
      <c r="JV36" s="14">
        <f t="shared" si="1397"/>
        <v>-3.5116151077470514E-2</v>
      </c>
      <c r="JW36" s="14">
        <f t="shared" si="1397"/>
        <v>-3.5137425332721038E-2</v>
      </c>
      <c r="JX36" s="14">
        <f t="shared" si="1397"/>
        <v>-3.5165948743104997E-2</v>
      </c>
      <c r="JY36" s="14">
        <f t="shared" si="1397"/>
        <v>-3.5201730865329781E-2</v>
      </c>
      <c r="JZ36" s="14">
        <f t="shared" si="1397"/>
        <v>-3.5244780324301186E-2</v>
      </c>
      <c r="KA36" s="14">
        <f t="shared" si="1397"/>
        <v>-3.5295104813578879E-2</v>
      </c>
      <c r="KB36" s="14">
        <f t="shared" si="1397"/>
        <v>-3.5352711095926949E-2</v>
      </c>
      <c r="KC36" s="14">
        <f t="shared" si="1397"/>
        <v>-3.5417605003946549E-2</v>
      </c>
      <c r="KD36" s="14">
        <f t="shared" si="1397"/>
        <v>-3.548979144080263E-2</v>
      </c>
      <c r="KE36" s="14">
        <f t="shared" si="1397"/>
        <v>-3.5569274381039774E-2</v>
      </c>
      <c r="KF36" s="14">
        <f t="shared" si="1397"/>
        <v>-3.565605687148609E-2</v>
      </c>
      <c r="KG36" s="14">
        <f t="shared" si="1397"/>
        <v>-3.5750141032249244E-2</v>
      </c>
      <c r="KH36" s="14">
        <f t="shared" si="1397"/>
        <v>-3.5851528057797545E-2</v>
      </c>
      <c r="KI36" s="14">
        <f t="shared" si="1397"/>
        <v>-3.596021821813411E-2</v>
      </c>
      <c r="KJ36" s="14">
        <f t="shared" si="1397"/>
        <v>-3.6076210860056176E-2</v>
      </c>
      <c r="KK36" s="14">
        <f t="shared" si="1397"/>
        <v>-3.6199504408510455E-2</v>
      </c>
      <c r="KL36" s="14">
        <f t="shared" si="1397"/>
        <v>-3.6330096368027566E-2</v>
      </c>
      <c r="KM36" s="14">
        <f t="shared" si="1397"/>
        <v>-3.6467983324255618E-2</v>
      </c>
      <c r="KN36" s="14">
        <f t="shared" si="1397"/>
        <v>-3.6613160945575818E-2</v>
      </c>
      <c r="KO36" s="14">
        <f t="shared" si="1397"/>
        <v>-3.6765623984808225E-2</v>
      </c>
      <c r="KP36" s="14">
        <f t="shared" si="1397"/>
        <v>-3.692536628100853E-2</v>
      </c>
      <c r="KQ36" s="14">
        <f t="shared" si="1397"/>
        <v>-3.7092380761349998E-2</v>
      </c>
      <c r="KR36" s="14">
        <f t="shared" si="1397"/>
        <v>-3.7266659443095429E-2</v>
      </c>
      <c r="KS36" s="14">
        <f t="shared" si="1397"/>
        <v>-3.7448193435658271E-2</v>
      </c>
      <c r="KT36" s="14">
        <f t="shared" si="1397"/>
        <v>-3.763697294274878E-2</v>
      </c>
      <c r="KU36" s="14">
        <f t="shared" si="1397"/>
        <v>-3.7832987264612275E-2</v>
      </c>
      <c r="KV36" s="14">
        <f t="shared" si="1397"/>
        <v>-3.8036224800350495E-2</v>
      </c>
      <c r="KW36" s="14">
        <f t="shared" si="1397"/>
        <v>-3.8246673050333052E-2</v>
      </c>
      <c r="KX36" s="14">
        <f t="shared" si="1397"/>
        <v>-3.8464318618696917E-2</v>
      </c>
      <c r="KY36" s="14">
        <f t="shared" si="1397"/>
        <v>-3.8689147215932099E-2</v>
      </c>
      <c r="KZ36" s="14">
        <f t="shared" si="1397"/>
        <v>-3.8921143646051606E-2</v>
      </c>
      <c r="LA36" s="14">
        <f t="shared" si="1397"/>
        <v>-3.9160291742890041E-2</v>
      </c>
      <c r="LB36" s="14">
        <f t="shared" si="1397"/>
        <v>-3.9406574209414041E-2</v>
      </c>
      <c r="LC36" s="14">
        <f t="shared" si="1397"/>
        <v>-3.9659972317835912E-2</v>
      </c>
      <c r="LD36" s="14">
        <f t="shared" si="1397"/>
        <v>-3.9920465444134773E-2</v>
      </c>
      <c r="LE36" s="14">
        <f t="shared" si="1397"/>
        <v>-4.0188030432389513E-2</v>
      </c>
      <c r="LF36" s="14">
        <f t="shared" si="1397"/>
        <v>-4.0462640806047938E-2</v>
      </c>
      <c r="LG36" s="14">
        <f t="shared" si="1397"/>
        <v>-4.0744265860733056E-2</v>
      </c>
      <c r="LH36" s="14">
        <f t="shared" si="1397"/>
        <v>-4.1032869684466969E-2</v>
      </c>
      <c r="LI36" s="14">
        <f t="shared" si="1397"/>
        <v>-4.1328410155908483E-2</v>
      </c>
      <c r="LJ36" s="14">
        <f t="shared" ref="LJ36:NU36" si="1398">dt*$D$18*(LJ34-LJ35)</f>
        <v>-4.1630837970280797E-2</v>
      </c>
      <c r="LK36" s="14">
        <f t="shared" si="1398"/>
        <v>-4.1940095737513144E-2</v>
      </c>
      <c r="LL36" s="14">
        <f t="shared" si="1398"/>
        <v>-4.2256117189258681E-2</v>
      </c>
      <c r="LM36" s="14">
        <f t="shared" si="1398"/>
        <v>-4.2578826522265217E-2</v>
      </c>
      <c r="LN36" s="14">
        <f t="shared" si="1398"/>
        <v>-4.2908137896170206E-2</v>
      </c>
      <c r="LO36" s="14">
        <f t="shared" si="1398"/>
        <v>-4.3243955094971274E-2</v>
      </c>
      <c r="LP36" s="14">
        <f t="shared" si="1398"/>
        <v>-4.3586171353684929E-2</v>
      </c>
      <c r="LQ36" s="14">
        <f t="shared" si="1398"/>
        <v>-4.3934669345297279E-2</v>
      </c>
      <c r="LR36" s="14">
        <f t="shared" si="1398"/>
        <v>-4.4289321318127059E-2</v>
      </c>
      <c r="LS36" s="14">
        <f t="shared" si="1398"/>
        <v>-4.4649989370119061E-2</v>
      </c>
      <c r="LT36" s="14">
        <f t="shared" si="1398"/>
        <v>-4.5016525844188054E-2</v>
      </c>
      <c r="LU36" s="14">
        <f t="shared" si="1398"/>
        <v>-4.5388773827453828E-2</v>
      </c>
      <c r="LV36" s="14">
        <f t="shared" si="1398"/>
        <v>-4.5766567736746464E-2</v>
      </c>
      <c r="LW36" s="14">
        <f t="shared" si="1398"/>
        <v>-4.6149733973041347E-2</v>
      </c>
      <c r="LX36" s="14">
        <f t="shared" si="1398"/>
        <v>-4.6538091628241136E-2</v>
      </c>
      <c r="LY36" s="14">
        <f t="shared" si="1398"/>
        <v>-4.693145322886607E-2</v>
      </c>
      <c r="LZ36" s="14">
        <f t="shared" si="1398"/>
        <v>-4.7329625502601384E-2</v>
      </c>
      <c r="MA36" s="14">
        <f t="shared" si="1398"/>
        <v>-4.7732410155154198E-2</v>
      </c>
      <c r="MB36" s="14">
        <f t="shared" si="1398"/>
        <v>-4.8139604646432625E-2</v>
      </c>
      <c r="MC36" s="14">
        <f t="shared" si="1398"/>
        <v>-4.8551002956620772E-2</v>
      </c>
      <c r="MD36" s="14">
        <f t="shared" si="1398"/>
        <v>-4.8966396334215415E-2</v>
      </c>
      <c r="ME36" s="14">
        <f t="shared" si="1398"/>
        <v>-4.938557401948284E-2</v>
      </c>
      <c r="MF36" s="14">
        <f t="shared" si="1398"/>
        <v>-4.9808323938102535E-2</v>
      </c>
      <c r="MG36" s="14">
        <f t="shared" si="1398"/>
        <v>-5.0234433360929552E-2</v>
      </c>
      <c r="MH36" s="14">
        <f t="shared" si="1398"/>
        <v>-5.066368952685564E-2</v>
      </c>
      <c r="MI36" s="14">
        <f t="shared" si="1398"/>
        <v>-5.1095880226667813E-2</v>
      </c>
      <c r="MJ36" s="14">
        <f t="shared" si="1398"/>
        <v>-5.1530794346602224E-2</v>
      </c>
      <c r="MK36" s="14">
        <f t="shared" si="1398"/>
        <v>-5.196822237097963E-2</v>
      </c>
      <c r="ML36" s="14">
        <f t="shared" si="1398"/>
        <v>-5.2407956843884398E-2</v>
      </c>
      <c r="MM36" s="14">
        <f t="shared" si="1398"/>
        <v>-5.2849792790328566E-2</v>
      </c>
      <c r="MN36" s="14">
        <f t="shared" si="1398"/>
        <v>-5.3293528097739726E-2</v>
      </c>
      <c r="MO36" s="14">
        <f t="shared" si="1398"/>
        <v>-5.3738963858928991E-2</v>
      </c>
      <c r="MP36" s="14">
        <f t="shared" si="1398"/>
        <v>-5.4185904677939364E-2</v>
      </c>
      <c r="MQ36" s="14">
        <f t="shared" si="1398"/>
        <v>-5.46341589403702E-2</v>
      </c>
      <c r="MR36" s="14">
        <f t="shared" si="1398"/>
        <v>-5.5083539049902479E-2</v>
      </c>
      <c r="MS36" s="14">
        <f t="shared" si="1398"/>
        <v>-5.5533861632848715E-2</v>
      </c>
      <c r="MT36" s="14">
        <f t="shared" si="1398"/>
        <v>-5.5984947712603428E-2</v>
      </c>
      <c r="MU36" s="14">
        <f t="shared" si="1398"/>
        <v>-5.6436622855900107E-2</v>
      </c>
      <c r="MV36" s="14">
        <f t="shared" si="1398"/>
        <v>-5.6888717292770535E-2</v>
      </c>
      <c r="MW36" s="14">
        <f t="shared" si="1398"/>
        <v>-5.7341066012089457E-2</v>
      </c>
      <c r="MX36" s="14">
        <f t="shared" si="1398"/>
        <v>-5.7793508834539403E-2</v>
      </c>
      <c r="MY36" s="14">
        <f t="shared" si="1398"/>
        <v>-5.8245890464787425E-2</v>
      </c>
      <c r="MZ36" s="14">
        <f t="shared" si="1398"/>
        <v>-5.8698060524585628E-2</v>
      </c>
      <c r="NA36" s="14">
        <f t="shared" si="1398"/>
        <v>-5.9149873568462026E-2</v>
      </c>
      <c r="NB36" s="14">
        <f t="shared" si="1398"/>
        <v>-5.9601189083563363E-2</v>
      </c>
      <c r="NC36" s="14">
        <f t="shared" si="1398"/>
        <v>-6.0051871475152473E-2</v>
      </c>
      <c r="ND36" s="14">
        <f t="shared" si="1398"/>
        <v>-6.0501790039171513E-2</v>
      </c>
      <c r="NE36" s="14">
        <f t="shared" si="1398"/>
        <v>-6.0950818923194462E-2</v>
      </c>
      <c r="NF36" s="14">
        <f t="shared" si="1398"/>
        <v>-6.1398837077027132E-2</v>
      </c>
      <c r="NG36" s="14">
        <f t="shared" si="1398"/>
        <v>-6.1845728194112944E-2</v>
      </c>
      <c r="NH36" s="14">
        <f t="shared" si="1398"/>
        <v>-6.2291380644825388E-2</v>
      </c>
      <c r="NI36" s="14">
        <f t="shared" si="1398"/>
        <v>-6.2735687402668411E-2</v>
      </c>
      <c r="NJ36" s="14">
        <f t="shared" si="1398"/>
        <v>-6.31785459643045E-2</v>
      </c>
      <c r="NK36" s="14">
        <f t="shared" si="1398"/>
        <v>-6.3619858264284429E-2</v>
      </c>
      <c r="NL36" s="14">
        <f t="shared" si="1398"/>
        <v>-6.4059530585264438E-2</v>
      </c>
      <c r="NM36" s="14">
        <f t="shared" si="1398"/>
        <v>-6.4497473464442595E-2</v>
      </c>
      <c r="NN36" s="14">
        <f t="shared" si="1398"/>
        <v>-6.4933601596881968E-2</v>
      </c>
      <c r="NO36" s="14">
        <f t="shared" si="1398"/>
        <v>-6.5367833736333328E-2</v>
      </c>
      <c r="NP36" s="14">
        <f t="shared" si="1398"/>
        <v>-6.5800092594107851E-2</v>
      </c>
      <c r="NQ36" s="14">
        <f t="shared" si="1398"/>
        <v>-6.6230304736506346E-2</v>
      </c>
      <c r="NR36" s="14">
        <f t="shared" si="1398"/>
        <v>-6.6658400481262495E-2</v>
      </c>
      <c r="NS36" s="14">
        <f t="shared" si="1398"/>
        <v>-6.7084313793414521E-2</v>
      </c>
      <c r="NT36" s="14">
        <f t="shared" si="1398"/>
        <v>-6.7507982180969678E-2</v>
      </c>
      <c r="NU36" s="14">
        <f t="shared" si="1398"/>
        <v>-6.7929346590699782E-2</v>
      </c>
      <c r="NV36" s="14">
        <f t="shared" ref="NV36:QG36" si="1399">dt*$D$18*(NV34-NV35)</f>
        <v>-6.8348351304365285E-2</v>
      </c>
      <c r="NW36" s="14">
        <f t="shared" si="1399"/>
        <v>-6.8764943835626965E-2</v>
      </c>
      <c r="NX36" s="14">
        <f t="shared" si="1399"/>
        <v>-6.9179074827886572E-2</v>
      </c>
      <c r="NY36" s="14">
        <f t="shared" si="1399"/>
        <v>-6.9590697953255662E-2</v>
      </c>
      <c r="NZ36" s="14">
        <f t="shared" si="1399"/>
        <v>-6.9999769812838716E-2</v>
      </c>
      <c r="OA36" s="14">
        <f t="shared" si="1399"/>
        <v>-7.0406249838482704E-2</v>
      </c>
      <c r="OB36" s="14">
        <f t="shared" si="1399"/>
        <v>-7.0810100196132389E-2</v>
      </c>
      <c r="OC36" s="14">
        <f t="shared" si="1399"/>
        <v>-7.1211285690908288E-2</v>
      </c>
      <c r="OD36" s="14">
        <f t="shared" si="1399"/>
        <v>-7.1609773674000454E-2</v>
      </c>
      <c r="OE36" s="14">
        <f t="shared" si="1399"/>
        <v>-7.2005533951467235E-2</v>
      </c>
      <c r="OF36" s="14">
        <f t="shared" si="1399"/>
        <v>-7.2398538694997017E-2</v>
      </c>
      <c r="OG36" s="14">
        <f t="shared" si="1399"/>
        <v>-7.2788762354697015E-2</v>
      </c>
      <c r="OH36" s="14">
        <f t="shared" si="1399"/>
        <v>-7.3176181573946064E-2</v>
      </c>
      <c r="OI36" s="14">
        <f t="shared" si="1399"/>
        <v>-7.3560775106338711E-2</v>
      </c>
      <c r="OJ36" s="14">
        <f t="shared" si="1399"/>
        <v>-7.3942523734747245E-2</v>
      </c>
      <c r="OK36" s="14">
        <f t="shared" si="1399"/>
        <v>-7.4321410192513038E-2</v>
      </c>
      <c r="OL36" s="14">
        <f t="shared" si="1399"/>
        <v>-7.4697419086771952E-2</v>
      </c>
      <c r="OM36" s="14">
        <f t="shared" si="1399"/>
        <v>-7.5070536823907907E-2</v>
      </c>
      <c r="ON36" s="14">
        <f t="shared" si="1399"/>
        <v>-7.5440751537129702E-2</v>
      </c>
      <c r="OO36" s="14">
        <f t="shared" si="1399"/>
        <v>-7.5808053016156798E-2</v>
      </c>
      <c r="OP36" s="14">
        <f t="shared" si="1399"/>
        <v>-7.6172432638994328E-2</v>
      </c>
      <c r="OQ36" s="14">
        <f t="shared" si="1399"/>
        <v>-7.6533883305770198E-2</v>
      </c>
      <c r="OR36" s="14">
        <f t="shared" si="1399"/>
        <v>-7.6892399374616213E-2</v>
      </c>
      <c r="OS36" s="14">
        <f t="shared" si="1399"/>
        <v>-7.7247976599558191E-2</v>
      </c>
      <c r="OT36" s="14">
        <f t="shared" si="1399"/>
        <v>-7.7600612070376232E-2</v>
      </c>
      <c r="OU36" s="14">
        <f t="shared" si="1399"/>
        <v>-7.7950304154413744E-2</v>
      </c>
      <c r="OV36" s="14">
        <f t="shared" si="1399"/>
        <v>-7.8297052440285606E-2</v>
      </c>
      <c r="OW36" s="14">
        <f t="shared" si="1399"/>
        <v>-7.8640857683452026E-2</v>
      </c>
      <c r="OX36" s="14">
        <f t="shared" si="1399"/>
        <v>-7.8981721753621351E-2</v>
      </c>
      <c r="OY36" s="14">
        <f t="shared" si="1399"/>
        <v>-7.9319647583932687E-2</v>
      </c>
      <c r="OZ36" s="14">
        <f t="shared" si="1399"/>
        <v>-7.9654639121885265E-2</v>
      </c>
      <c r="PA36" s="14">
        <f t="shared" si="1399"/>
        <v>-7.9986701281963501E-2</v>
      </c>
      <c r="PB36" s="14">
        <f t="shared" si="1399"/>
        <v>-8.0315839899920707E-2</v>
      </c>
      <c r="PC36" s="14">
        <f t="shared" si="1399"/>
        <v>-8.0642061688679573E-2</v>
      </c>
      <c r="PD36" s="14">
        <f t="shared" si="1399"/>
        <v>-8.0965374195799064E-2</v>
      </c>
      <c r="PE36" s="14">
        <f t="shared" si="1399"/>
        <v>-8.1285785762474985E-2</v>
      </c>
      <c r="PF36" s="14">
        <f t="shared" si="1399"/>
        <v>-8.1603305484016994E-2</v>
      </c>
      <c r="PG36" s="14">
        <f t="shared" si="1399"/>
        <v>-8.1917943171781069E-2</v>
      </c>
      <c r="PH36" s="14">
        <f t="shared" si="1399"/>
        <v>-8.222970931648943E-2</v>
      </c>
      <c r="PI36" s="14">
        <f t="shared" si="1399"/>
        <v>-8.2538615052917819E-2</v>
      </c>
      <c r="PJ36" s="14">
        <f t="shared" si="1399"/>
        <v>-8.2844672125899105E-2</v>
      </c>
      <c r="PK36" s="14">
        <f t="shared" si="1399"/>
        <v>-8.314789285760317E-2</v>
      </c>
      <c r="PL36" s="14">
        <f t="shared" si="1399"/>
        <v>-8.3448290116057047E-2</v>
      </c>
      <c r="PM36" s="14">
        <f t="shared" si="1399"/>
        <v>-8.3745877284861381E-2</v>
      </c>
      <c r="PN36" s="14">
        <f t="shared" si="1399"/>
        <v>-8.4040668234068847E-2</v>
      </c>
      <c r="PO36" s="14">
        <f t="shared" si="1399"/>
        <v>-8.4332677292186894E-2</v>
      </c>
      <c r="PP36" s="14">
        <f t="shared" si="1399"/>
        <v>-8.4621919219267538E-2</v>
      </c>
      <c r="PQ36" s="14">
        <f t="shared" si="1399"/>
        <v>-8.4908409181046154E-2</v>
      </c>
      <c r="PR36" s="14">
        <f t="shared" si="1399"/>
        <v>-8.5192162724096382E-2</v>
      </c>
      <c r="PS36" s="14">
        <f t="shared" si="1399"/>
        <v>-8.5473195751969946E-2</v>
      </c>
      <c r="PT36" s="14">
        <f t="shared" si="1399"/>
        <v>-8.5751524502282545E-2</v>
      </c>
      <c r="PU36" s="14">
        <f t="shared" si="1399"/>
        <v>-8.6027165524716509E-2</v>
      </c>
      <c r="PV36" s="14">
        <f t="shared" si="1399"/>
        <v>-8.6300135659909558E-2</v>
      </c>
      <c r="PW36" s="14">
        <f t="shared" si="1399"/>
        <v>-8.6570452019199176E-2</v>
      </c>
      <c r="PX36" s="14">
        <f t="shared" si="1399"/>
        <v>-8.683813196518507E-2</v>
      </c>
      <c r="PY36" s="14">
        <f t="shared" si="1399"/>
        <v>-8.7103193093099246E-2</v>
      </c>
      <c r="PZ36" s="14">
        <f t="shared" si="1399"/>
        <v>-8.7365653212928968E-2</v>
      </c>
      <c r="QA36" s="14">
        <f t="shared" si="1399"/>
        <v>-8.7625530332294421E-2</v>
      </c>
      <c r="QB36" s="14">
        <f t="shared" si="1399"/>
        <v>-8.7882842640030101E-2</v>
      </c>
      <c r="QC36" s="14">
        <f t="shared" si="1399"/>
        <v>-8.81376084904609E-2</v>
      </c>
      <c r="QD36" s="14">
        <f t="shared" si="1399"/>
        <v>-8.8389846388336898E-2</v>
      </c>
      <c r="QE36" s="14">
        <f t="shared" si="1399"/>
        <v>-8.8639574974413729E-2</v>
      </c>
      <c r="QF36" s="14">
        <f t="shared" si="1399"/>
        <v>-8.8886813011643667E-2</v>
      </c>
      <c r="QG36" s="14">
        <f t="shared" si="1399"/>
        <v>-8.9131579371963213E-2</v>
      </c>
      <c r="QH36" s="14">
        <f t="shared" ref="QH36:SS36" si="1400">dt*$D$18*(QH34-QH35)</f>
        <v>-8.9373893023653339E-2</v>
      </c>
      <c r="QI36" s="14">
        <f t="shared" si="1400"/>
        <v>-8.9613773019250248E-2</v>
      </c>
      <c r="QJ36" s="14">
        <f t="shared" si="1400"/>
        <v>-8.9851238483983659E-2</v>
      </c>
      <c r="QK36" s="14">
        <f t="shared" si="1400"/>
        <v>-9.0086308604731671E-2</v>
      </c>
      <c r="QL36" s="14">
        <f t="shared" si="1400"/>
        <v>-9.0319002619463087E-2</v>
      </c>
      <c r="QM36" s="14">
        <f t="shared" si="1400"/>
        <v>-9.0549339807154142E-2</v>
      </c>
      <c r="QN36" s="14">
        <f t="shared" si="1400"/>
        <v>-9.0777339478160857E-2</v>
      </c>
      <c r="QO36" s="14">
        <f t="shared" si="1400"/>
        <v>-9.1003020965029671E-2</v>
      </c>
      <c r="QP36" s="14">
        <f t="shared" si="1400"/>
        <v>-9.1226403613732618E-2</v>
      </c>
      <c r="QQ36" s="14">
        <f t="shared" si="1400"/>
        <v>-9.1447506775302875E-2</v>
      </c>
      <c r="QR36" s="14">
        <f t="shared" si="1400"/>
        <v>-9.1666349797866614E-2</v>
      </c>
      <c r="QS36" s="14">
        <f t="shared" si="1400"/>
        <v>-9.1882952019044464E-2</v>
      </c>
      <c r="QT36" s="14">
        <f t="shared" si="1400"/>
        <v>-9.2097332758719036E-2</v>
      </c>
      <c r="QU36" s="14">
        <f t="shared" si="1400"/>
        <v>-9.230951131214607E-2</v>
      </c>
      <c r="QV36" s="14">
        <f t="shared" si="1400"/>
        <v>-9.2519506943400748E-2</v>
      </c>
      <c r="QW36" s="14">
        <f t="shared" si="1400"/>
        <v>-9.2727338879145416E-2</v>
      </c>
      <c r="QX36" s="14">
        <f t="shared" si="1400"/>
        <v>-9.2933026302704586E-2</v>
      </c>
      <c r="QY36" s="14">
        <f t="shared" si="1400"/>
        <v>-9.3136588348435217E-2</v>
      </c>
      <c r="QZ36" s="14">
        <f t="shared" si="1400"/>
        <v>-9.3338044096385325E-2</v>
      </c>
      <c r="RA36" s="14">
        <f t="shared" si="1400"/>
        <v>-9.3537412567221895E-2</v>
      </c>
      <c r="RB36" s="14">
        <f t="shared" si="1400"/>
        <v>-9.3734712717421939E-2</v>
      </c>
      <c r="RC36" s="14">
        <f t="shared" si="1400"/>
        <v>-9.3929963434720945E-2</v>
      </c>
      <c r="RD36" s="14">
        <f t="shared" si="1400"/>
        <v>-9.4123183533797505E-2</v>
      </c>
      <c r="RE36" s="14">
        <f t="shared" si="1400"/>
        <v>-9.431439175219318E-2</v>
      </c>
      <c r="RF36" s="14">
        <f t="shared" si="1400"/>
        <v>-9.4503606746457594E-2</v>
      </c>
      <c r="RG36" s="14">
        <f t="shared" si="1400"/>
        <v>-9.4690847088503755E-2</v>
      </c>
      <c r="RH36" s="14">
        <f t="shared" si="1400"/>
        <v>-9.4876131262174562E-2</v>
      </c>
      <c r="RI36" s="14">
        <f t="shared" si="1400"/>
        <v>-9.5059477660001598E-2</v>
      </c>
      <c r="RJ36" s="14">
        <f t="shared" si="1400"/>
        <v>-9.5240904580157951E-2</v>
      </c>
      <c r="RK36" s="14">
        <f t="shared" si="1400"/>
        <v>-9.5420430223589356E-2</v>
      </c>
      <c r="RL36" s="14">
        <f t="shared" si="1400"/>
        <v>-9.5598072691321478E-2</v>
      </c>
      <c r="RM36" s="14">
        <f t="shared" si="1400"/>
        <v>-9.5773849981936388E-2</v>
      </c>
      <c r="RN36" s="14">
        <f t="shared" si="1400"/>
        <v>-9.5947779989205062E-2</v>
      </c>
      <c r="RO36" s="14">
        <f t="shared" si="1400"/>
        <v>-9.6119880499877269E-2</v>
      </c>
      <c r="RP36" s="14">
        <f t="shared" si="1400"/>
        <v>-9.629016919161941E-2</v>
      </c>
      <c r="RQ36" s="14">
        <f t="shared" si="1400"/>
        <v>-9.6458663631088598E-2</v>
      </c>
      <c r="RR36" s="14">
        <f t="shared" si="1400"/>
        <v>-9.6625381272149855E-2</v>
      </c>
      <c r="RS36" s="14">
        <f t="shared" si="1400"/>
        <v>-9.6790339454215391E-2</v>
      </c>
      <c r="RT36" s="14">
        <f t="shared" si="1400"/>
        <v>-9.6953555400716138E-2</v>
      </c>
      <c r="RU36" s="14">
        <f t="shared" si="1400"/>
        <v>-9.7115046217683243E-2</v>
      </c>
      <c r="RV36" s="14">
        <f t="shared" si="1400"/>
        <v>-9.7274828892452772E-2</v>
      </c>
      <c r="RW36" s="14">
        <f t="shared" si="1400"/>
        <v>-9.7432920292472538E-2</v>
      </c>
      <c r="RX36" s="14">
        <f t="shared" si="1400"/>
        <v>-9.7589337164215972E-2</v>
      </c>
      <c r="RY36" s="14">
        <f t="shared" si="1400"/>
        <v>-9.7744096132197131E-2</v>
      </c>
      <c r="RZ36" s="14">
        <f t="shared" si="1400"/>
        <v>-9.7897213698080784E-2</v>
      </c>
      <c r="SA36" s="14">
        <f t="shared" si="1400"/>
        <v>-9.8048706239882641E-2</v>
      </c>
      <c r="SB36" s="14">
        <f t="shared" si="1400"/>
        <v>-9.8198590011256609E-2</v>
      </c>
      <c r="SC36" s="14">
        <f t="shared" si="1400"/>
        <v>-9.834688114087016E-2</v>
      </c>
      <c r="SD36" s="14">
        <f t="shared" si="1400"/>
        <v>-9.8493595631851741E-2</v>
      </c>
      <c r="SE36" s="14">
        <f t="shared" si="1400"/>
        <v>-9.8638749361324399E-2</v>
      </c>
      <c r="SF36" s="14">
        <f t="shared" si="1400"/>
        <v>-9.8782358080003227E-2</v>
      </c>
      <c r="SG36" s="14">
        <f t="shared" si="1400"/>
        <v>-9.8924437411868196E-2</v>
      </c>
      <c r="SH36" s="14">
        <f t="shared" si="1400"/>
        <v>-9.9065002853899756E-2</v>
      </c>
      <c r="SI36" s="14">
        <f t="shared" si="1400"/>
        <v>-9.9204069775881684E-2</v>
      </c>
      <c r="SJ36" s="14">
        <f t="shared" si="1400"/>
        <v>-9.9341653420261994E-2</v>
      </c>
      <c r="SK36" s="14">
        <f t="shared" si="1400"/>
        <v>-9.9477768902071759E-2</v>
      </c>
      <c r="SL36" s="14">
        <f t="shared" si="1400"/>
        <v>-9.961243120889815E-2</v>
      </c>
      <c r="SM36" s="14">
        <f t="shared" si="1400"/>
        <v>-9.9745655200911443E-2</v>
      </c>
      <c r="SN36" s="14">
        <f t="shared" si="1400"/>
        <v>-9.9877455610943106E-2</v>
      </c>
      <c r="SO36" s="14">
        <f t="shared" si="1400"/>
        <v>-0.10000784704460691</v>
      </c>
      <c r="SP36" s="14">
        <f t="shared" si="1400"/>
        <v>-0.10013684398047011</v>
      </c>
      <c r="SQ36" s="14">
        <f t="shared" si="1400"/>
        <v>-0.10026446077026467</v>
      </c>
      <c r="SR36" s="14">
        <f t="shared" si="1400"/>
        <v>-0.10039071163913947</v>
      </c>
      <c r="SS36" s="14">
        <f t="shared" si="1400"/>
        <v>-0.10051561068595367</v>
      </c>
      <c r="ST36" s="14">
        <f t="shared" ref="ST36:VE36" si="1401">dt*$D$18*(ST34-ST35)</f>
        <v>-0.10063917188360501</v>
      </c>
      <c r="SU36" s="14">
        <f t="shared" si="1401"/>
        <v>-0.10076140907939315</v>
      </c>
      <c r="SV36" s="14">
        <f t="shared" si="1401"/>
        <v>-0.10088233599541511</v>
      </c>
      <c r="SW36" s="14">
        <f t="shared" si="1401"/>
        <v>-0.10100196622899572</v>
      </c>
      <c r="SX36" s="14">
        <f t="shared" si="1401"/>
        <v>-0.10112031325314501</v>
      </c>
      <c r="SY36" s="14">
        <f t="shared" si="1401"/>
        <v>-0.10123739041704478</v>
      </c>
      <c r="SZ36" s="14">
        <f t="shared" si="1401"/>
        <v>-0.10135321094656208</v>
      </c>
      <c r="TA36" s="14">
        <f t="shared" si="1401"/>
        <v>-0.10146778794478474</v>
      </c>
      <c r="TB36" s="14">
        <f t="shared" si="1401"/>
        <v>-0.10158113439258698</v>
      </c>
      <c r="TC36" s="14">
        <f t="shared" si="1401"/>
        <v>-0.10169326314921198</v>
      </c>
      <c r="TD36" s="14">
        <f t="shared" si="1401"/>
        <v>-0.1018041869528775</v>
      </c>
      <c r="TE36" s="14">
        <f t="shared" si="1401"/>
        <v>-0.10191391842140149</v>
      </c>
      <c r="TF36" s="14">
        <f t="shared" si="1401"/>
        <v>-0.10202247005284575</v>
      </c>
      <c r="TG36" s="14">
        <f t="shared" si="1401"/>
        <v>-0.10212985422617862</v>
      </c>
      <c r="TH36" s="14">
        <f t="shared" si="1401"/>
        <v>-0.10223608320195167</v>
      </c>
      <c r="TI36" s="14">
        <f t="shared" si="1401"/>
        <v>-0.10234116912299634</v>
      </c>
      <c r="TJ36" s="14">
        <f t="shared" si="1401"/>
        <v>-0.10244512401512675</v>
      </c>
      <c r="TK36" s="14">
        <f t="shared" si="1401"/>
        <v>-0.10254795978786635</v>
      </c>
      <c r="TL36" s="14">
        <f t="shared" si="1401"/>
        <v>-0.10264968823517868</v>
      </c>
      <c r="TM36" s="14">
        <f t="shared" si="1401"/>
        <v>-0.10275032103621319</v>
      </c>
      <c r="TN36" s="14">
        <f t="shared" si="1401"/>
        <v>-0.10284986975606188</v>
      </c>
      <c r="TO36" s="14">
        <f t="shared" si="1401"/>
        <v>-0.10294834584652521</v>
      </c>
      <c r="TP36" s="14">
        <f t="shared" si="1401"/>
        <v>-0.10304576064688879</v>
      </c>
      <c r="TQ36" s="14">
        <f t="shared" si="1401"/>
        <v>-0.10314212538470419</v>
      </c>
      <c r="TR36" s="14">
        <f t="shared" si="1401"/>
        <v>-0.1032374511765828</v>
      </c>
      <c r="TS36" s="14">
        <f t="shared" si="1401"/>
        <v>-0.10333174902899353</v>
      </c>
      <c r="TT36" s="14">
        <f t="shared" si="1401"/>
        <v>-0.10342502983906775</v>
      </c>
      <c r="TU36" s="14">
        <f t="shared" si="1401"/>
        <v>-0.10351730439541</v>
      </c>
      <c r="TV36" s="14">
        <f t="shared" si="1401"/>
        <v>-0.10360858337891288</v>
      </c>
      <c r="TW36" s="14">
        <f t="shared" si="1401"/>
        <v>-0.10369887736357786</v>
      </c>
      <c r="TX36" s="14">
        <f t="shared" si="1401"/>
        <v>-0.1037881968173401</v>
      </c>
      <c r="TY36" s="14">
        <f t="shared" si="1401"/>
        <v>-0.10387655210289533</v>
      </c>
      <c r="TZ36" s="14">
        <f t="shared" si="1401"/>
        <v>-0.10396395347853166</v>
      </c>
      <c r="UA36" s="14">
        <f t="shared" si="1401"/>
        <v>-0.10405041109896036</v>
      </c>
      <c r="UB36" s="14">
        <f t="shared" si="1401"/>
        <v>-0.10413593501615588</v>
      </c>
      <c r="UC36" s="14">
        <f t="shared" si="1401"/>
        <v>-0.10422053518018851</v>
      </c>
      <c r="UD36" s="14">
        <f t="shared" si="1401"/>
        <v>-0.10430422144006332</v>
      </c>
      <c r="UE36" s="14">
        <f t="shared" si="1401"/>
        <v>-0.104387003544563</v>
      </c>
      <c r="UF36" s="14">
        <f t="shared" si="1401"/>
        <v>-0.10446889114308171</v>
      </c>
      <c r="UG36" s="14">
        <f t="shared" si="1401"/>
        <v>-0.10454989378646991</v>
      </c>
      <c r="UH36" s="14">
        <f t="shared" si="1401"/>
        <v>-0.10463002092786923</v>
      </c>
      <c r="UI36" s="14">
        <f t="shared" si="1401"/>
        <v>-0.1047092819235553</v>
      </c>
      <c r="UJ36" s="14">
        <f t="shared" si="1401"/>
        <v>-0.10478768603377263</v>
      </c>
      <c r="UK36" s="14">
        <f t="shared" si="1401"/>
        <v>-0.1048652424235724</v>
      </c>
      <c r="UL36" s="14">
        <f t="shared" si="1401"/>
        <v>-0.10494196016364937</v>
      </c>
      <c r="UM36" s="14">
        <f t="shared" si="1401"/>
        <v>-0.10501784823117169</v>
      </c>
      <c r="UN36" s="14">
        <f t="shared" si="1401"/>
        <v>-0.10509291551061671</v>
      </c>
      <c r="UO36" s="14">
        <f t="shared" si="1401"/>
        <v>-0.10516717079459691</v>
      </c>
      <c r="UP36" s="14">
        <f t="shared" si="1401"/>
        <v>-0.10524062278468861</v>
      </c>
      <c r="UQ36" s="14">
        <f t="shared" si="1401"/>
        <v>-0.10531328009225593</v>
      </c>
      <c r="UR36" s="14">
        <f t="shared" si="1401"/>
        <v>-0.10538515123927156</v>
      </c>
      <c r="US36" s="14">
        <f t="shared" si="1401"/>
        <v>-0.10545624465913654</v>
      </c>
      <c r="UT36" s="14">
        <f t="shared" si="1401"/>
        <v>-0.10552656869749319</v>
      </c>
      <c r="UU36" s="14">
        <f t="shared" si="1401"/>
        <v>-0.10559613161303785</v>
      </c>
      <c r="UV36" s="14">
        <f t="shared" si="1401"/>
        <v>-0.10566494157832973</v>
      </c>
      <c r="UW36" s="14">
        <f t="shared" si="1401"/>
        <v>-0.10573300668059372</v>
      </c>
      <c r="UX36" s="14">
        <f t="shared" si="1401"/>
        <v>-0.10580033492252222</v>
      </c>
      <c r="UY36" s="14">
        <f t="shared" si="1401"/>
        <v>-0.10586693422306986</v>
      </c>
      <c r="UZ36" s="14">
        <f t="shared" si="1401"/>
        <v>-0.10593281241824845</v>
      </c>
      <c r="VA36" s="14">
        <f t="shared" si="1401"/>
        <v>-0.10599797726191262</v>
      </c>
      <c r="VB36" s="14">
        <f t="shared" si="1401"/>
        <v>-0.10606243642654271</v>
      </c>
      <c r="VC36" s="14">
        <f t="shared" si="1401"/>
        <v>-0.10612619750402756</v>
      </c>
      <c r="VD36" s="14">
        <f t="shared" si="1401"/>
        <v>-0.10618926800643422</v>
      </c>
      <c r="VE36" s="14">
        <f t="shared" si="1401"/>
        <v>-0.1062516553667828</v>
      </c>
      <c r="VF36" s="14">
        <f t="shared" ref="VF36:XQ36" si="1402">dt*$D$18*(VF34-VF35)</f>
        <v>-0.10631336693980722</v>
      </c>
      <c r="VG36" s="14">
        <f t="shared" si="1402"/>
        <v>-0.10637441000271898</v>
      </c>
      <c r="VH36" s="14">
        <f t="shared" si="1402"/>
        <v>-0.10643479175595891</v>
      </c>
      <c r="VI36" s="14">
        <f t="shared" si="1402"/>
        <v>-0.10649451932395093</v>
      </c>
      <c r="VJ36" s="14">
        <f t="shared" si="1402"/>
        <v>-0.10655359975584487</v>
      </c>
      <c r="VK36" s="14">
        <f t="shared" si="1402"/>
        <v>-0.10661204002625609</v>
      </c>
      <c r="VL36" s="14">
        <f t="shared" si="1402"/>
        <v>-0.10666984703600434</v>
      </c>
      <c r="VM36" s="14">
        <f t="shared" si="1402"/>
        <v>-0.10672702761283746</v>
      </c>
      <c r="VN36" s="14">
        <f t="shared" si="1402"/>
        <v>-0.10678358851216209</v>
      </c>
      <c r="VO36" s="14">
        <f t="shared" si="1402"/>
        <v>-0.10683953641775741</v>
      </c>
      <c r="VP36" s="14">
        <f t="shared" si="1402"/>
        <v>-0.10689487794249289</v>
      </c>
      <c r="VQ36" s="14">
        <f t="shared" si="1402"/>
        <v>-0.10694961962903496</v>
      </c>
      <c r="VR36" s="14">
        <f t="shared" si="1402"/>
        <v>-0.10700376795054876</v>
      </c>
      <c r="VS36" s="14">
        <f t="shared" si="1402"/>
        <v>-0.10705732931139784</v>
      </c>
      <c r="VT36" s="14">
        <f t="shared" si="1402"/>
        <v>-0.10711031004783483</v>
      </c>
      <c r="VU36" s="14">
        <f t="shared" si="1402"/>
        <v>-0.10716271642868916</v>
      </c>
      <c r="VV36" s="14">
        <f t="shared" si="1402"/>
        <v>-0.10721455465604876</v>
      </c>
      <c r="VW36" s="14">
        <f t="shared" si="1402"/>
        <v>-0.10726583086593171</v>
      </c>
      <c r="VX36" s="14">
        <f t="shared" si="1402"/>
        <v>-0.10731655112895992</v>
      </c>
      <c r="VY36" s="14">
        <f t="shared" si="1402"/>
        <v>-0.10736672145102387</v>
      </c>
      <c r="VZ36" s="14">
        <f t="shared" si="1402"/>
        <v>-0.10741634777394117</v>
      </c>
      <c r="WA36" s="14">
        <f t="shared" si="1402"/>
        <v>-0.10746543597610732</v>
      </c>
      <c r="WB36" s="14">
        <f t="shared" si="1402"/>
        <v>-0.10751399187314728</v>
      </c>
      <c r="WC36" s="14">
        <f t="shared" si="1402"/>
        <v>-0.1075620212185552</v>
      </c>
      <c r="WD36" s="14">
        <f t="shared" si="1402"/>
        <v>-0.10760952970433399</v>
      </c>
      <c r="WE36" s="14">
        <f t="shared" si="1402"/>
        <v>-0.10765652296162502</v>
      </c>
      <c r="WF36" s="14">
        <f t="shared" si="1402"/>
        <v>-0.10770300656133371</v>
      </c>
      <c r="WG36" s="14">
        <f t="shared" si="1402"/>
        <v>-0.10774898601475118</v>
      </c>
      <c r="WH36" s="14">
        <f t="shared" si="1402"/>
        <v>-0.10779446677416687</v>
      </c>
      <c r="WI36" s="14">
        <f t="shared" si="1402"/>
        <v>-0.10783945423348117</v>
      </c>
      <c r="WJ36" s="14">
        <f t="shared" si="1402"/>
        <v>-0.10788395372880796</v>
      </c>
      <c r="WK36" s="14">
        <f t="shared" si="1402"/>
        <v>-0.10792797053907034</v>
      </c>
      <c r="WL36" s="14">
        <f t="shared" si="1402"/>
        <v>-0.10797150988659909</v>
      </c>
      <c r="WM36" s="14">
        <f t="shared" si="1402"/>
        <v>-0.10801457693771439</v>
      </c>
      <c r="WN36" s="14">
        <f t="shared" si="1402"/>
        <v>-0.10805717678781365</v>
      </c>
      <c r="WO36" s="14">
        <f t="shared" si="1402"/>
        <v>-0.10809931439547886</v>
      </c>
      <c r="WP36" s="14">
        <f t="shared" si="1402"/>
        <v>-0.10814099441952081</v>
      </c>
      <c r="WQ36" s="14">
        <f t="shared" si="1402"/>
        <v>-0.10818222091672226</v>
      </c>
      <c r="WR36" s="14">
        <f t="shared" si="1402"/>
        <v>-0.10822299687390062</v>
      </c>
      <c r="WS36" s="14">
        <f t="shared" si="1402"/>
        <v>-0.10826332356969934</v>
      </c>
      <c r="WT36" s="14">
        <f t="shared" si="1402"/>
        <v>-0.10830319978321037</v>
      </c>
      <c r="WU36" s="14">
        <f t="shared" si="1402"/>
        <v>-0.10834262088405472</v>
      </c>
      <c r="WV36" s="14">
        <f t="shared" si="1402"/>
        <v>-0.10838157784978843</v>
      </c>
      <c r="WW36" s="14">
        <f t="shared" si="1402"/>
        <v>-0.10842005626122732</v>
      </c>
      <c r="WX36" s="14">
        <f t="shared" si="1402"/>
        <v>-0.10845803532537658</v>
      </c>
      <c r="WY36" s="14">
        <f t="shared" si="1402"/>
        <v>-0.10849548697048433</v>
      </c>
      <c r="WZ36" s="14">
        <f t="shared" si="1402"/>
        <v>-0.10853237504988426</v>
      </c>
      <c r="XA36" s="14">
        <f t="shared" si="1402"/>
        <v>-0.1085686546820971</v>
      </c>
      <c r="XB36" s="14">
        <f t="shared" si="1402"/>
        <v>-0.10860427174527516</v>
      </c>
      <c r="XC36" s="14">
        <f t="shared" si="1402"/>
        <v>-0.10863916253522843</v>
      </c>
      <c r="XD36" s="14">
        <f t="shared" si="1402"/>
        <v>-0.10867325358855769</v>
      </c>
      <c r="XE36" s="14">
        <f t="shared" si="1402"/>
        <v>-0.10870646166598659</v>
      </c>
      <c r="XF36" s="14">
        <f t="shared" si="1402"/>
        <v>-0.10873869388602291</v>
      </c>
      <c r="XG36" s="14">
        <f t="shared" si="1402"/>
        <v>-0.10876984799546317</v>
      </c>
      <c r="XH36" s="14">
        <f t="shared" si="1402"/>
        <v>-0.10879981276086263</v>
      </c>
      <c r="XI36" s="14">
        <f t="shared" si="1402"/>
        <v>-0.10882846846380934</v>
      </c>
      <c r="XJ36" s="14">
        <f t="shared" si="1402"/>
        <v>-0.10885568748238728</v>
      </c>
      <c r="XK36" s="14">
        <f t="shared" si="1402"/>
        <v>-0.10888133494147924</v>
      </c>
      <c r="XL36" s="14">
        <f t="shared" si="1402"/>
        <v>-0.1089052694153345</v>
      </c>
      <c r="XM36" s="14">
        <f t="shared" si="1402"/>
        <v>-0.10892734366696781</v>
      </c>
      <c r="XN36" s="14">
        <f t="shared" si="1402"/>
        <v>-0.10894740541032236</v>
      </c>
      <c r="XO36" s="14">
        <f t="shared" si="1402"/>
        <v>-0.10896529808266514</v>
      </c>
      <c r="XP36" s="14">
        <f t="shared" si="1402"/>
        <v>-0.10898086161622252</v>
      </c>
      <c r="XQ36" s="14">
        <f t="shared" si="1402"/>
        <v>-0.10899393319963045</v>
      </c>
      <c r="XR36" s="14">
        <f t="shared" ref="XR36:AAC36" si="1403">dt*$D$18*(XR34-XR35)</f>
        <v>-0.10900434802125951</v>
      </c>
      <c r="XS36" s="14">
        <f t="shared" si="1403"/>
        <v>-0.10901193998788881</v>
      </c>
      <c r="XT36" s="14">
        <f t="shared" si="1403"/>
        <v>-0.1090165424134788</v>
      </c>
      <c r="XU36" s="14">
        <f t="shared" si="1403"/>
        <v>-0.10901798867398961</v>
      </c>
      <c r="XV36" s="14">
        <f t="shared" si="1403"/>
        <v>-0.10901611282521413</v>
      </c>
      <c r="XW36" s="14">
        <f t="shared" si="1403"/>
        <v>-0.10901075018153035</v>
      </c>
      <c r="XX36" s="14">
        <f t="shared" si="1403"/>
        <v>-0.10900173785427708</v>
      </c>
      <c r="XY36" s="14">
        <f t="shared" si="1403"/>
        <v>-0.10898891524912802</v>
      </c>
      <c r="XZ36" s="14">
        <f t="shared" si="1403"/>
        <v>-0.10897212452243341</v>
      </c>
      <c r="YA36" s="14">
        <f t="shared" si="1403"/>
        <v>-0.10895121099697258</v>
      </c>
      <c r="YB36" s="14">
        <f t="shared" si="1403"/>
        <v>-0.10892602353795432</v>
      </c>
      <c r="YC36" s="14">
        <f t="shared" si="1403"/>
        <v>-0.10889641489042221</v>
      </c>
      <c r="YD36" s="14">
        <f t="shared" si="1403"/>
        <v>-0.10886224197946627</v>
      </c>
      <c r="YE36" s="14">
        <f t="shared" si="1403"/>
        <v>-0.10882336617483665</v>
      </c>
      <c r="YF36" s="14">
        <f t="shared" si="1403"/>
        <v>-0.10877965352168509</v>
      </c>
      <c r="YG36" s="14">
        <f t="shared" si="1403"/>
        <v>-0.10873097493925982</v>
      </c>
      <c r="YH36" s="14">
        <f t="shared" si="1403"/>
        <v>-0.10867720638942713</v>
      </c>
      <c r="YI36" s="14">
        <f t="shared" si="1403"/>
        <v>-0.1086182290169302</v>
      </c>
      <c r="YJ36" s="14">
        <f t="shared" si="1403"/>
        <v>-0.10855392926328036</v>
      </c>
      <c r="YK36" s="14">
        <f t="shared" si="1403"/>
        <v>-0.10848419895616143</v>
      </c>
      <c r="YL36" s="14">
        <f t="shared" si="1403"/>
        <v>-0.10840893537618736</v>
      </c>
      <c r="YM36" s="14">
        <f t="shared" si="1403"/>
        <v>-0.10832804130280059</v>
      </c>
      <c r="YN36" s="14">
        <f t="shared" si="1403"/>
        <v>-0.10824142504103218</v>
      </c>
      <c r="YO36" s="14">
        <f t="shared" si="1403"/>
        <v>-0.10814900043077913</v>
      </c>
      <c r="YP36" s="14">
        <f t="shared" si="1403"/>
        <v>-0.1080506868401717</v>
      </c>
      <c r="YQ36" s="14">
        <f t="shared" si="1403"/>
        <v>-0.10794640914452512</v>
      </c>
      <c r="YR36" s="14">
        <f t="shared" si="1403"/>
        <v>-0.10783609769229718</v>
      </c>
      <c r="YS36" s="14">
        <f t="shared" si="1403"/>
        <v>-0.10771968825936891</v>
      </c>
      <c r="YT36" s="14">
        <f t="shared" si="1403"/>
        <v>-0.10759712199290887</v>
      </c>
      <c r="YU36" s="14">
        <f t="shared" si="1403"/>
        <v>-0.10746834534597995</v>
      </c>
      <c r="YV36" s="14">
        <f t="shared" si="1403"/>
        <v>-0.10733331000397496</v>
      </c>
      <c r="YW36" s="14">
        <f t="shared" si="1403"/>
        <v>-0.10719197280389199</v>
      </c>
      <c r="YX36" s="14">
        <f t="shared" si="1403"/>
        <v>-0.10704429564738548</v>
      </c>
      <c r="YY36" s="14">
        <f t="shared" si="1403"/>
        <v>-0.10689024540845074</v>
      </c>
      <c r="YZ36" s="14">
        <f t="shared" si="1403"/>
        <v>-0.10672979383654403</v>
      </c>
      <c r="ZA36" s="14">
        <f t="shared" si="1403"/>
        <v>-0.10656291745585966</v>
      </c>
      <c r="ZB36" s="14">
        <f t="shared" si="1403"/>
        <v>-0.10638959746144089</v>
      </c>
      <c r="ZC36" s="14">
        <f t="shared" si="1403"/>
        <v>-0.10620981961272721</v>
      </c>
      <c r="ZD36" s="14">
        <f t="shared" si="1403"/>
        <v>-0.10602357412510169</v>
      </c>
      <c r="ZE36" s="14">
        <f t="shared" si="1403"/>
        <v>-0.1058308555599367</v>
      </c>
      <c r="ZF36" s="14">
        <f t="shared" si="1403"/>
        <v>-0.10563166271360369</v>
      </c>
      <c r="ZG36" s="14">
        <f t="shared" si="1403"/>
        <v>-0.10542599850585221</v>
      </c>
      <c r="ZH36" s="14">
        <f t="shared" si="1403"/>
        <v>-0.1052138698679328</v>
      </c>
      <c r="ZI36" s="14">
        <f t="shared" si="1403"/>
        <v>-0.10499528763080185</v>
      </c>
      <c r="ZJ36" s="14">
        <f t="shared" si="1403"/>
        <v>-0.10477026641369791</v>
      </c>
      <c r="ZK36" s="14">
        <f t="shared" si="1403"/>
        <v>-0.10453882451336163</v>
      </c>
      <c r="ZL36" s="14">
        <f t="shared" si="1403"/>
        <v>-0.10430098379413161</v>
      </c>
      <c r="ZM36" s="14">
        <f t="shared" si="1403"/>
        <v>-0.10405676957912322</v>
      </c>
      <c r="ZN36" s="14">
        <f t="shared" si="1403"/>
        <v>-0.10380621054267089</v>
      </c>
      <c r="ZO36" s="14">
        <f t="shared" si="1403"/>
        <v>-0.10354933860419374</v>
      </c>
      <c r="ZP36" s="14">
        <f t="shared" si="1403"/>
        <v>-0.10328618882361874</v>
      </c>
      <c r="ZQ36" s="14">
        <f t="shared" si="1403"/>
        <v>-0.1030167992984847</v>
      </c>
      <c r="ZR36" s="14">
        <f t="shared" si="1403"/>
        <v>-0.10274121106281585</v>
      </c>
      <c r="ZS36" s="14">
        <f t="shared" si="1403"/>
        <v>-0.10245946798785457</v>
      </c>
      <c r="ZT36" s="14">
        <f t="shared" si="1403"/>
        <v>-0.10217161668472481</v>
      </c>
      <c r="ZU36" s="14">
        <f t="shared" si="1403"/>
        <v>-0.10187770640906969</v>
      </c>
      <c r="ZV36" s="14">
        <f t="shared" si="1403"/>
        <v>-0.10157778896771805</v>
      </c>
      <c r="ZW36" s="14">
        <f t="shared" si="1403"/>
        <v>-0.10127191862740614</v>
      </c>
      <c r="ZX36" s="14">
        <f t="shared" si="1403"/>
        <v>-0.10096015202557235</v>
      </c>
      <c r="ZY36" s="14">
        <f t="shared" si="1403"/>
        <v>-0.10064254808324914</v>
      </c>
      <c r="ZZ36" s="14">
        <f t="shared" si="1403"/>
        <v>-0.10031916792004698</v>
      </c>
      <c r="AAA36" s="14">
        <f t="shared" si="1403"/>
        <v>-9.9990074771235532E-2</v>
      </c>
      <c r="AAB36" s="14">
        <f t="shared" si="1403"/>
        <v>-9.9655333906909838E-2</v>
      </c>
      <c r="AAC36" s="14">
        <f t="shared" si="1403"/>
        <v>-9.9315012553235646E-2</v>
      </c>
      <c r="AAD36" s="14">
        <f t="shared" ref="AAD36:AAO36" si="1404">dt*$D$18*(AAD34-AAD35)</f>
        <v>-9.8969179815741853E-2</v>
      </c>
      <c r="AAE36" s="14">
        <f t="shared" si="1404"/>
        <v>-9.8617906604657982E-2</v>
      </c>
      <c r="AAF36" s="14">
        <f t="shared" si="1404"/>
        <v>-9.8261265562248609E-2</v>
      </c>
      <c r="AAG36" s="14">
        <f t="shared" si="1404"/>
        <v>-9.7899330992136921E-2</v>
      </c>
      <c r="AAH36" s="14">
        <f t="shared" si="1404"/>
        <v>-9.7532178790566193E-2</v>
      </c>
      <c r="AAI36" s="14">
        <f t="shared" si="1404"/>
        <v>-9.7159886379580146E-2</v>
      </c>
      <c r="AAJ36" s="14">
        <f t="shared" si="1404"/>
        <v>-9.6782532642076285E-2</v>
      </c>
      <c r="AAK36" s="14">
        <f t="shared" si="1404"/>
        <v>-9.6400197858700049E-2</v>
      </c>
      <c r="AAL36" s="14">
        <f t="shared" si="1404"/>
        <v>-9.60129636465408E-2</v>
      </c>
      <c r="AAM36" s="14">
        <f t="shared" si="1404"/>
        <v>-9.5620912899583577E-2</v>
      </c>
      <c r="AAN36" s="14">
        <f t="shared" si="1404"/>
        <v>-9.5224129730880638E-2</v>
      </c>
      <c r="AAO36" s="14">
        <f t="shared" si="1404"/>
        <v>-9.4822699416401576E-2</v>
      </c>
      <c r="AAP36" s="1">
        <f>SUM(B36:AAO36)</f>
        <v>-59.919339013554868</v>
      </c>
      <c r="AAQ36" t="s">
        <v>15</v>
      </c>
    </row>
    <row r="38" spans="1:719">
      <c r="A38" s="3" t="s">
        <v>42</v>
      </c>
    </row>
    <row r="39" spans="1:719">
      <c r="A39" s="4" t="s">
        <v>28</v>
      </c>
      <c r="B39" s="1">
        <f>$N$8*B24+$O$8*B25</f>
        <v>-2.7984718063281235</v>
      </c>
      <c r="C39">
        <f>$N$8*C24+$O$8*C25</f>
        <v>-3.0024298757257668</v>
      </c>
      <c r="D39">
        <f t="shared" ref="D39" si="1405">$N$8*D24+$O$8*D25</f>
        <v>-3.3205237012697211</v>
      </c>
      <c r="E39">
        <f t="shared" ref="E39:BP39" si="1406">$N$8*E24+$O$8*E25</f>
        <v>-3.7111507801374302</v>
      </c>
      <c r="F39">
        <f t="shared" si="1406"/>
        <v>-4.1533300568244158</v>
      </c>
      <c r="G39">
        <f t="shared" si="1406"/>
        <v>-4.6353550139380815</v>
      </c>
      <c r="H39">
        <f t="shared" si="1406"/>
        <v>-5.1499793320335954</v>
      </c>
      <c r="I39">
        <f t="shared" si="1406"/>
        <v>-5.6922834437656604</v>
      </c>
      <c r="J39">
        <f t="shared" si="1406"/>
        <v>-6.25867353630548</v>
      </c>
      <c r="K39">
        <f t="shared" si="1406"/>
        <v>-6.8463781013193312</v>
      </c>
      <c r="L39">
        <f t="shared" si="1406"/>
        <v>-7.4531745585817788</v>
      </c>
      <c r="M39">
        <f t="shared" si="1406"/>
        <v>-8.0772290823429955</v>
      </c>
      <c r="N39">
        <f t="shared" si="1406"/>
        <v>-8.7169960971080513</v>
      </c>
      <c r="O39">
        <f t="shared" si="1406"/>
        <v>-9.3711514770754576</v>
      </c>
      <c r="P39">
        <f t="shared" si="1406"/>
        <v>-10.038546024666985</v>
      </c>
      <c r="Q39">
        <f t="shared" si="1406"/>
        <v>-10.718171823717711</v>
      </c>
      <c r="R39">
        <f t="shared" si="1406"/>
        <v>-11.409137132436612</v>
      </c>
      <c r="S39">
        <f t="shared" si="1406"/>
        <v>-12.110647146098302</v>
      </c>
      <c r="T39">
        <f t="shared" si="1406"/>
        <v>-12.821988915942981</v>
      </c>
      <c r="U39">
        <f t="shared" si="1406"/>
        <v>-13.542519288116523</v>
      </c>
      <c r="V39">
        <f t="shared" si="1406"/>
        <v>-14.271655089106034</v>
      </c>
      <c r="W39">
        <f t="shared" si="1406"/>
        <v>-15.008865019033635</v>
      </c>
      <c r="X39">
        <f t="shared" si="1406"/>
        <v>-15.753662870056417</v>
      </c>
      <c r="Y39">
        <f t="shared" si="1406"/>
        <v>-16.505601792591762</v>
      </c>
      <c r="Z39">
        <f t="shared" si="1406"/>
        <v>-17.264269404642761</v>
      </c>
      <c r="AA39">
        <f t="shared" si="1406"/>
        <v>-18.029283590180256</v>
      </c>
      <c r="AB39">
        <f t="shared" si="1406"/>
        <v>-18.800288868474524</v>
      </c>
      <c r="AC39">
        <f t="shared" si="1406"/>
        <v>-19.576953242145407</v>
      </c>
      <c r="AD39">
        <f t="shared" si="1406"/>
        <v>-20.358965450634088</v>
      </c>
      <c r="AE39">
        <f t="shared" si="1406"/>
        <v>-21.146032569891346</v>
      </c>
      <c r="AF39">
        <f t="shared" si="1406"/>
        <v>-21.937877909747826</v>
      </c>
      <c r="AG39">
        <f t="shared" si="1406"/>
        <v>-22.734239168659215</v>
      </c>
      <c r="AH39">
        <f t="shared" si="1406"/>
        <v>-23.534866811972208</v>
      </c>
      <c r="AI39">
        <f t="shared" si="1406"/>
        <v>-24.33952264500617</v>
      </c>
      <c r="AJ39">
        <f t="shared" si="1406"/>
        <v>-25.147978556416561</v>
      </c>
      <c r="AK39">
        <f t="shared" si="1406"/>
        <v>-25.960015410735835</v>
      </c>
      <c r="AL39">
        <f t="shared" si="1406"/>
        <v>-26.775422071840111</v>
      </c>
      <c r="AM39">
        <f t="shared" si="1406"/>
        <v>-27.593994541490602</v>
      </c>
      <c r="AN39">
        <f t="shared" si="1406"/>
        <v>-28.415535199136215</v>
      </c>
      <c r="AO39">
        <f t="shared" si="1406"/>
        <v>-29.239852130906272</v>
      </c>
      <c r="AP39">
        <f t="shared" si="1406"/>
        <v>-30.066758537222157</v>
      </c>
      <c r="AQ39">
        <f t="shared" si="1406"/>
        <v>-30.896072209754479</v>
      </c>
      <c r="AR39">
        <f t="shared" si="1406"/>
        <v>-31.727615069578988</v>
      </c>
      <c r="AS39">
        <f t="shared" si="1406"/>
        <v>-32.561212759366001</v>
      </c>
      <c r="AT39">
        <f t="shared" si="1406"/>
        <v>-33.396694283296867</v>
      </c>
      <c r="AU39">
        <f t="shared" si="1406"/>
        <v>-34.233891689151378</v>
      </c>
      <c r="AV39">
        <f t="shared" si="1406"/>
        <v>-35.072639787668649</v>
      </c>
      <c r="AW39">
        <f t="shared" si="1406"/>
        <v>-35.912775904862954</v>
      </c>
      <c r="AX39">
        <f t="shared" si="1406"/>
        <v>-36.754139663483741</v>
      </c>
      <c r="AY39">
        <f t="shared" si="1406"/>
        <v>-37.596572790256843</v>
      </c>
      <c r="AZ39">
        <f t="shared" si="1406"/>
        <v>-38.439918945936867</v>
      </c>
      <c r="BA39">
        <f t="shared" si="1406"/>
        <v>-39.284023575549455</v>
      </c>
      <c r="BB39">
        <f t="shared" si="1406"/>
        <v>-40.128733776505456</v>
      </c>
      <c r="BC39">
        <f t="shared" si="1406"/>
        <v>-40.973898182540452</v>
      </c>
      <c r="BD39">
        <f t="shared" si="1406"/>
        <v>-41.819366861670588</v>
      </c>
      <c r="BE39">
        <f t="shared" si="1406"/>
        <v>-42.664991226564339</v>
      </c>
      <c r="BF39">
        <f t="shared" si="1406"/>
        <v>-43.510623955916699</v>
      </c>
      <c r="BG39">
        <f t="shared" si="1406"/>
        <v>-44.356118925573966</v>
      </c>
      <c r="BH39">
        <f t="shared" si="1406"/>
        <v>-45.201331148303225</v>
      </c>
      <c r="BI39">
        <f t="shared" si="1406"/>
        <v>-46.046116721226426</v>
      </c>
      <c r="BJ39">
        <f t="shared" si="1406"/>
        <v>-46.890332780053356</v>
      </c>
      <c r="BK39">
        <f t="shared" si="1406"/>
        <v>-47.733837459345139</v>
      </c>
      <c r="BL39">
        <f t="shared" si="1406"/>
        <v>-48.576489858129733</v>
      </c>
      <c r="BM39">
        <f t="shared" si="1406"/>
        <v>-49.418150010267269</v>
      </c>
      <c r="BN39">
        <f t="shared" si="1406"/>
        <v>-50.258678859031974</v>
      </c>
      <c r="BO39">
        <f t="shared" si="1406"/>
        <v>-51.097938235438718</v>
      </c>
      <c r="BP39">
        <f t="shared" si="1406"/>
        <v>-51.935790839894779</v>
      </c>
      <c r="BQ39">
        <f t="shared" ref="BQ39:CU39" si="1407">$N$8*BQ24+$O$8*BQ25</f>
        <v>-52.772100226805961</v>
      </c>
      <c r="BR39">
        <f t="shared" si="1407"/>
        <v>-53.606730791807436</v>
      </c>
      <c r="BS39">
        <f t="shared" si="1407"/>
        <v>-54.439547761327148</v>
      </c>
      <c r="BT39">
        <f t="shared" si="1407"/>
        <v>-55.270417184222495</v>
      </c>
      <c r="BU39">
        <f t="shared" si="1407"/>
        <v>-56.099205925259653</v>
      </c>
      <c r="BV39">
        <f t="shared" si="1407"/>
        <v>-56.925781660231664</v>
      </c>
      <c r="BW39">
        <f t="shared" si="1407"/>
        <v>-57.750012872532736</v>
      </c>
      <c r="BX39">
        <f t="shared" si="1407"/>
        <v>-58.571768851027841</v>
      </c>
      <c r="BY39">
        <f t="shared" si="1407"/>
        <v>-59.390919689073556</v>
      </c>
      <c r="BZ39">
        <f t="shared" si="1407"/>
        <v>-60.207336284562572</v>
      </c>
      <c r="CA39">
        <f t="shared" si="1407"/>
        <v>-61.020890340878069</v>
      </c>
      <c r="CB39">
        <f t="shared" si="1407"/>
        <v>-61.83145436865631</v>
      </c>
      <c r="CC39">
        <f t="shared" si="1407"/>
        <v>-62.638901688267808</v>
      </c>
      <c r="CD39">
        <f t="shared" si="1407"/>
        <v>-63.443106432935721</v>
      </c>
      <c r="CE39">
        <f t="shared" si="1407"/>
        <v>-64.243943552420617</v>
      </c>
      <c r="CF39">
        <f t="shared" si="1407"/>
        <v>-65.041288817206734</v>
      </c>
      <c r="CG39">
        <f t="shared" si="1407"/>
        <v>-65.835018823133012</v>
      </c>
      <c r="CH39">
        <f t="shared" si="1407"/>
        <v>-66.625010996417174</v>
      </c>
      <c r="CI39">
        <f t="shared" si="1407"/>
        <v>-67.411143599027881</v>
      </c>
      <c r="CJ39">
        <f t="shared" si="1407"/>
        <v>-68.193295734363019</v>
      </c>
      <c r="CK39">
        <f t="shared" si="1407"/>
        <v>-68.971347353198283</v>
      </c>
      <c r="CL39">
        <f t="shared" si="1407"/>
        <v>-69.745179259872415</v>
      </c>
      <c r="CM39">
        <f t="shared" si="1407"/>
        <v>-70.514673118680022</v>
      </c>
      <c r="CN39">
        <f t="shared" si="1407"/>
        <v>-71.279711460445228</v>
      </c>
      <c r="CO39">
        <f t="shared" si="1407"/>
        <v>-72.040177689252133</v>
      </c>
      <c r="CP39">
        <f t="shared" si="1407"/>
        <v>-72.795956089310877</v>
      </c>
      <c r="CQ39">
        <f t="shared" si="1407"/>
        <v>-73.546931831939716</v>
      </c>
      <c r="CR39">
        <f t="shared" si="1407"/>
        <v>-74.292990982645378</v>
      </c>
      <c r="CS39">
        <f t="shared" si="1407"/>
        <v>-75.034020508286616</v>
      </c>
      <c r="CT39">
        <f t="shared" si="1407"/>
        <v>-75.769908284305515</v>
      </c>
      <c r="CU39">
        <f t="shared" si="1407"/>
        <v>-76.500543102014646</v>
      </c>
      <c r="CV39">
        <f t="shared" ref="CV39:FG39" si="1408">$N$8*CV24+$O$8*CV25</f>
        <v>-77.22581467592768</v>
      </c>
      <c r="CW39">
        <f t="shared" si="1408"/>
        <v>-77.945613651122827</v>
      </c>
      <c r="CX39">
        <f t="shared" si="1408"/>
        <v>-78.659831610629496</v>
      </c>
      <c r="CY39">
        <f t="shared" si="1408"/>
        <v>-79.368361082828997</v>
      </c>
      <c r="CZ39">
        <f t="shared" si="1408"/>
        <v>-80.071095548861493</v>
      </c>
      <c r="DA39">
        <f t="shared" si="1408"/>
        <v>-80.767929450031474</v>
      </c>
      <c r="DB39">
        <f t="shared" si="1408"/>
        <v>-81.458758195205021</v>
      </c>
      <c r="DC39">
        <f t="shared" si="1408"/>
        <v>-82.143478168192516</v>
      </c>
      <c r="DD39">
        <f t="shared" si="1408"/>
        <v>-82.821986735111139</v>
      </c>
      <c r="DE39">
        <f t="shared" si="1408"/>
        <v>-83.494182251721568</v>
      </c>
      <c r="DF39">
        <f t="shared" si="1408"/>
        <v>-84.159964070734262</v>
      </c>
      <c r="DG39">
        <f t="shared" si="1408"/>
        <v>-84.819232549080354</v>
      </c>
      <c r="DH39">
        <f t="shared" si="1408"/>
        <v>-85.471889055143109</v>
      </c>
      <c r="DI39">
        <f t="shared" si="1408"/>
        <v>-86.117835975946306</v>
      </c>
      <c r="DJ39">
        <f t="shared" si="1408"/>
        <v>-86.756976724294972</v>
      </c>
      <c r="DK39">
        <f t="shared" si="1408"/>
        <v>-87.389215745865798</v>
      </c>
      <c r="DL39">
        <f t="shared" si="1408"/>
        <v>-88.014458526243871</v>
      </c>
      <c r="DM39">
        <f t="shared" si="1408"/>
        <v>-88.632611597902141</v>
      </c>
      <c r="DN39">
        <f t="shared" si="1408"/>
        <v>-89.243582547121562</v>
      </c>
      <c r="DO39">
        <f t="shared" si="1408"/>
        <v>-89.847280020848231</v>
      </c>
      <c r="DP39">
        <f t="shared" si="1408"/>
        <v>-90.44361373348606</v>
      </c>
      <c r="DQ39">
        <f t="shared" si="1408"/>
        <v>-91.032494473621668</v>
      </c>
      <c r="DR39">
        <f t="shared" si="1408"/>
        <v>-91.613834110679377</v>
      </c>
      <c r="DS39">
        <f t="shared" si="1408"/>
        <v>-92.187545601504709</v>
      </c>
      <c r="DT39">
        <f t="shared" si="1408"/>
        <v>-92.753542996873293</v>
      </c>
      <c r="DU39">
        <f t="shared" si="1408"/>
        <v>-93.311741447924206</v>
      </c>
      <c r="DV39">
        <f t="shared" si="1408"/>
        <v>-93.862057212514898</v>
      </c>
      <c r="DW39">
        <f t="shared" si="1408"/>
        <v>-94.404407661496904</v>
      </c>
      <c r="DX39">
        <f t="shared" si="1408"/>
        <v>-94.938711284909445</v>
      </c>
      <c r="DY39">
        <f t="shared" si="1408"/>
        <v>-95.464887698090152</v>
      </c>
      <c r="DZ39">
        <f t="shared" si="1408"/>
        <v>-95.982857647700953</v>
      </c>
      <c r="EA39">
        <f t="shared" si="1408"/>
        <v>-96.492543017667472</v>
      </c>
      <c r="EB39">
        <f t="shared" si="1408"/>
        <v>-96.99386683503046</v>
      </c>
      <c r="EC39">
        <f t="shared" si="1408"/>
        <v>-97.486753275708182</v>
      </c>
      <c r="ED39">
        <f t="shared" si="1408"/>
        <v>-97.971127670167661</v>
      </c>
      <c r="EE39">
        <f t="shared" si="1408"/>
        <v>-98.446916509004168</v>
      </c>
      <c r="EF39">
        <f t="shared" si="1408"/>
        <v>-98.914047448427013</v>
      </c>
      <c r="EG39">
        <f t="shared" si="1408"/>
        <v>-99.372449315650826</v>
      </c>
      <c r="EH39">
        <f t="shared" si="1408"/>
        <v>-99.822052114190953</v>
      </c>
      <c r="EI39">
        <f t="shared" si="1408"/>
        <v>-100.2627870290615</v>
      </c>
      <c r="EJ39">
        <f t="shared" si="1408"/>
        <v>-100.69458643187518</v>
      </c>
      <c r="EK39">
        <f t="shared" si="1408"/>
        <v>-101.11738388584403</v>
      </c>
      <c r="EL39">
        <f t="shared" si="1408"/>
        <v>-101.53111415067919</v>
      </c>
      <c r="EM39">
        <f t="shared" si="1408"/>
        <v>-101.93571318738934</v>
      </c>
      <c r="EN39">
        <f t="shared" si="1408"/>
        <v>-102.33111816297661</v>
      </c>
      <c r="EO39">
        <f t="shared" si="1408"/>
        <v>-102.71726745502862</v>
      </c>
      <c r="EP39">
        <f t="shared" si="1408"/>
        <v>-103.09410065620615</v>
      </c>
      <c r="EQ39">
        <f t="shared" si="1408"/>
        <v>-103.46155857862514</v>
      </c>
      <c r="ER39">
        <f t="shared" si="1408"/>
        <v>-103.81958325813223</v>
      </c>
      <c r="ES39">
        <f t="shared" si="1408"/>
        <v>-104.16811795847302</v>
      </c>
      <c r="ET39">
        <f t="shared" si="1408"/>
        <v>-104.50710717535195</v>
      </c>
      <c r="EU39">
        <f t="shared" si="1408"/>
        <v>-104.83649664038312</v>
      </c>
      <c r="EV39">
        <f t="shared" si="1408"/>
        <v>-105.15623332493116</v>
      </c>
      <c r="EW39">
        <f t="shared" si="1408"/>
        <v>-105.46626544384138</v>
      </c>
      <c r="EX39">
        <f t="shared" si="1408"/>
        <v>-105.76654245905827</v>
      </c>
      <c r="EY39">
        <f t="shared" si="1408"/>
        <v>-106.0570150831319</v>
      </c>
      <c r="EZ39">
        <f t="shared" si="1408"/>
        <v>-106.33763528261126</v>
      </c>
      <c r="FA39">
        <f t="shared" si="1408"/>
        <v>-106.60835628132342</v>
      </c>
      <c r="FB39">
        <f t="shared" si="1408"/>
        <v>-106.86913256353894</v>
      </c>
      <c r="FC39">
        <f t="shared" si="1408"/>
        <v>-107.11991987702147</v>
      </c>
      <c r="FD39">
        <f t="shared" si="1408"/>
        <v>-107.36067523596201</v>
      </c>
      <c r="FE39">
        <f t="shared" si="1408"/>
        <v>-107.5913569237964</v>
      </c>
      <c r="FF39">
        <f t="shared" si="1408"/>
        <v>-107.81192449590607</v>
      </c>
      <c r="FG39">
        <f t="shared" si="1408"/>
        <v>-108.02233878220083</v>
      </c>
      <c r="FH39">
        <f t="shared" ref="FH39:HS39" si="1409">$N$8*FH24+$O$8*FH25</f>
        <v>-108.22256188958347</v>
      </c>
      <c r="FI39">
        <f t="shared" si="1409"/>
        <v>-108.41255720429582</v>
      </c>
      <c r="FJ39">
        <f t="shared" si="1409"/>
        <v>-108.59228939414511</v>
      </c>
      <c r="FK39">
        <f t="shared" si="1409"/>
        <v>-108.7617244106106</v>
      </c>
      <c r="FL39">
        <f t="shared" si="1409"/>
        <v>-108.92082949082992</v>
      </c>
      <c r="FM39">
        <f t="shared" si="1409"/>
        <v>-109.06957315946444</v>
      </c>
      <c r="FN39">
        <f t="shared" si="1409"/>
        <v>-109.20792523044317</v>
      </c>
      <c r="FO39">
        <f t="shared" si="1409"/>
        <v>-109.33585680858512</v>
      </c>
      <c r="FP39">
        <f t="shared" si="1409"/>
        <v>-109.45334029109945</v>
      </c>
      <c r="FQ39">
        <f t="shared" si="1409"/>
        <v>-109.56034936896263</v>
      </c>
      <c r="FR39">
        <f t="shared" si="1409"/>
        <v>-109.65685902817297</v>
      </c>
      <c r="FS39">
        <f t="shared" si="1409"/>
        <v>-109.74284555088146</v>
      </c>
      <c r="FT39">
        <f t="shared" si="1409"/>
        <v>-109.81828651639903</v>
      </c>
      <c r="FU39">
        <f t="shared" si="1409"/>
        <v>-109.88316080207964</v>
      </c>
      <c r="FV39">
        <f t="shared" si="1409"/>
        <v>-109.93744858407869</v>
      </c>
      <c r="FW39">
        <f t="shared" si="1409"/>
        <v>-109.98113133798715</v>
      </c>
      <c r="FX39">
        <f t="shared" si="1409"/>
        <v>-110.0141918393402</v>
      </c>
      <c r="FY39">
        <f t="shared" si="1409"/>
        <v>-110.03661416400077</v>
      </c>
      <c r="FZ39">
        <f t="shared" si="1409"/>
        <v>-110.04838368841747</v>
      </c>
      <c r="GA39">
        <f t="shared" si="1409"/>
        <v>-110.04948708975677</v>
      </c>
      <c r="GB39">
        <f t="shared" si="1409"/>
        <v>-110.03991234590897</v>
      </c>
      <c r="GC39">
        <f t="shared" si="1409"/>
        <v>-110.01964873536819</v>
      </c>
      <c r="GD39">
        <f t="shared" si="1409"/>
        <v>-109.98868683698554</v>
      </c>
      <c r="GE39">
        <f t="shared" si="1409"/>
        <v>-109.94701852959618</v>
      </c>
      <c r="GF39">
        <f t="shared" si="1409"/>
        <v>-109.89463699151928</v>
      </c>
      <c r="GG39">
        <f t="shared" si="1409"/>
        <v>-109.83153669993122</v>
      </c>
      <c r="GH39">
        <f t="shared" si="1409"/>
        <v>-109.75771343011159</v>
      </c>
      <c r="GI39">
        <f t="shared" si="1409"/>
        <v>-109.67316425456256</v>
      </c>
      <c r="GJ39">
        <f t="shared" si="1409"/>
        <v>-109.57788754200045</v>
      </c>
      <c r="GK39">
        <f t="shared" si="1409"/>
        <v>-109.47188295622034</v>
      </c>
      <c r="GL39">
        <f t="shared" si="1409"/>
        <v>-109.35515145483343</v>
      </c>
      <c r="GM39">
        <f t="shared" si="1409"/>
        <v>-109.22769528787684</v>
      </c>
      <c r="GN39">
        <f t="shared" si="1409"/>
        <v>-109.08951799629612</v>
      </c>
      <c r="GO39">
        <f t="shared" si="1409"/>
        <v>-108.94062441030043</v>
      </c>
      <c r="GP39">
        <f t="shared" si="1409"/>
        <v>-108.78102064759018</v>
      </c>
      <c r="GQ39">
        <f t="shared" si="1409"/>
        <v>-108.61071411145751</v>
      </c>
      <c r="GR39">
        <f t="shared" si="1409"/>
        <v>-108.42971348875933</v>
      </c>
      <c r="GS39">
        <f t="shared" si="1409"/>
        <v>-108.23802874776321</v>
      </c>
      <c r="GT39">
        <f t="shared" si="1409"/>
        <v>-108.03567113586602</v>
      </c>
      <c r="GU39">
        <f t="shared" si="1409"/>
        <v>-107.8226531771857</v>
      </c>
      <c r="GV39">
        <f t="shared" si="1409"/>
        <v>-107.59898867002558</v>
      </c>
      <c r="GW39">
        <f t="shared" si="1409"/>
        <v>-107.36469268421261</v>
      </c>
      <c r="GX39">
        <f t="shared" si="1409"/>
        <v>-107.1197815583083</v>
      </c>
      <c r="GY39">
        <f t="shared" si="1409"/>
        <v>-106.86427289669321</v>
      </c>
      <c r="GZ39">
        <f t="shared" si="1409"/>
        <v>-106.59818556652543</v>
      </c>
      <c r="HA39">
        <f t="shared" si="1409"/>
        <v>-106.32153969457248</v>
      </c>
      <c r="HB39">
        <f t="shared" si="1409"/>
        <v>-106.03435666391736</v>
      </c>
      <c r="HC39">
        <f t="shared" si="1409"/>
        <v>-105.73665911053907</v>
      </c>
      <c r="HD39">
        <f t="shared" si="1409"/>
        <v>-105.42847091976732</v>
      </c>
      <c r="HE39">
        <f t="shared" si="1409"/>
        <v>-105.10981722261208</v>
      </c>
      <c r="HF39">
        <f t="shared" si="1409"/>
        <v>-104.78072439196829</v>
      </c>
      <c r="HG39">
        <f t="shared" si="1409"/>
        <v>-104.44122003869559</v>
      </c>
      <c r="HH39">
        <f t="shared" si="1409"/>
        <v>-104.09133300757388</v>
      </c>
      <c r="HI39">
        <f t="shared" si="1409"/>
        <v>-103.7310933731347</v>
      </c>
      <c r="HJ39">
        <f t="shared" si="1409"/>
        <v>-103.36053243536863</v>
      </c>
      <c r="HK39">
        <f t="shared" si="1409"/>
        <v>-102.97968271530975</v>
      </c>
      <c r="HL39">
        <f t="shared" si="1409"/>
        <v>-102.58857795049651</v>
      </c>
      <c r="HM39">
        <f t="shared" si="1409"/>
        <v>-102.18725309031031</v>
      </c>
      <c r="HN39">
        <f t="shared" si="1409"/>
        <v>-101.77574429119143</v>
      </c>
      <c r="HO39">
        <f t="shared" si="1409"/>
        <v>-101.3540889117334</v>
      </c>
      <c r="HP39">
        <f t="shared" si="1409"/>
        <v>-100.92232550765563</v>
      </c>
      <c r="HQ39">
        <f t="shared" si="1409"/>
        <v>-100.48049382665521</v>
      </c>
      <c r="HR39">
        <f t="shared" si="1409"/>
        <v>-100.0286348031379</v>
      </c>
      <c r="HS39">
        <f t="shared" si="1409"/>
        <v>-99.566790552829062</v>
      </c>
      <c r="HT39">
        <f t="shared" ref="HT39:JI39" si="1410">$N$8*HT24+$O$8*HT25</f>
        <v>-99.095004367265076</v>
      </c>
      <c r="HU39">
        <f t="shared" si="1410"/>
        <v>-98.61332070816546</v>
      </c>
      <c r="HV39">
        <f t="shared" si="1410"/>
        <v>-98.121785201686194</v>
      </c>
      <c r="HW39">
        <f t="shared" si="1410"/>
        <v>-97.620444632555305</v>
      </c>
      <c r="HX39">
        <f t="shared" si="1410"/>
        <v>-97.109346938090439</v>
      </c>
      <c r="HY39">
        <f t="shared" si="1410"/>
        <v>-96.588541202099677</v>
      </c>
      <c r="HZ39">
        <f t="shared" si="1410"/>
        <v>-96.058077648665645</v>
      </c>
      <c r="IA39">
        <f t="shared" si="1410"/>
        <v>-95.518007635813845</v>
      </c>
      <c r="IB39">
        <f t="shared" si="1410"/>
        <v>-94.968383649065785</v>
      </c>
      <c r="IC39">
        <f t="shared" si="1410"/>
        <v>-94.409259294876975</v>
      </c>
      <c r="ID39">
        <f t="shared" si="1410"/>
        <v>-93.840689293961461</v>
      </c>
      <c r="IE39">
        <f t="shared" si="1410"/>
        <v>-93.262729474502223</v>
      </c>
      <c r="IF39">
        <f t="shared" si="1410"/>
        <v>-92.67543676524933</v>
      </c>
      <c r="IG39">
        <f t="shared" si="1410"/>
        <v>-92.078869188505664</v>
      </c>
      <c r="IH39">
        <f t="shared" si="1410"/>
        <v>-91.473085853001109</v>
      </c>
      <c r="II39">
        <f t="shared" si="1410"/>
        <v>-90.858146946656106</v>
      </c>
      <c r="IJ39">
        <f t="shared" si="1410"/>
        <v>-90.234113729235176</v>
      </c>
      <c r="IK39">
        <f t="shared" si="1410"/>
        <v>-89.601048524890771</v>
      </c>
      <c r="IL39">
        <f t="shared" si="1410"/>
        <v>-88.959014714598837</v>
      </c>
      <c r="IM39">
        <f t="shared" si="1410"/>
        <v>-88.308076728486199</v>
      </c>
      <c r="IN39">
        <f t="shared" si="1410"/>
        <v>-87.64830003805092</v>
      </c>
      <c r="IO39">
        <f t="shared" si="1410"/>
        <v>-86.979751148276208</v>
      </c>
      <c r="IP39">
        <f t="shared" si="1410"/>
        <v>-86.302497589638747</v>
      </c>
      <c r="IQ39">
        <f t="shared" si="1410"/>
        <v>-85.616607910012235</v>
      </c>
      <c r="IR39">
        <f t="shared" si="1410"/>
        <v>-84.92215166646686</v>
      </c>
      <c r="IS39">
        <f t="shared" si="1410"/>
        <v>-84.219199416965509</v>
      </c>
      <c r="IT39">
        <f t="shared" si="1410"/>
        <v>-83.507822711957701</v>
      </c>
      <c r="IU39">
        <f t="shared" si="1410"/>
        <v>-82.788094085872089</v>
      </c>
      <c r="IV39">
        <f t="shared" si="1410"/>
        <v>-82.060087048507896</v>
      </c>
      <c r="IW39">
        <f t="shared" si="1410"/>
        <v>-81.323876076326982</v>
      </c>
      <c r="IX39">
        <f t="shared" si="1410"/>
        <v>-80.579536603646616</v>
      </c>
      <c r="IY39">
        <f t="shared" si="1410"/>
        <v>-79.827145013734579</v>
      </c>
      <c r="IZ39">
        <f t="shared" si="1410"/>
        <v>-79.066778629806535</v>
      </c>
      <c r="JA39">
        <f t="shared" si="1410"/>
        <v>-78.298515705927841</v>
      </c>
      <c r="JB39">
        <f t="shared" si="1410"/>
        <v>-77.522435417819324</v>
      </c>
      <c r="JC39">
        <f t="shared" si="1410"/>
        <v>-76.738617853569437</v>
      </c>
      <c r="JD39">
        <f t="shared" si="1410"/>
        <v>-75.947144004252223</v>
      </c>
      <c r="JE39">
        <f t="shared" si="1410"/>
        <v>-75.148095754453365</v>
      </c>
      <c r="JF39">
        <f t="shared" si="1410"/>
        <v>-74.341555872704291</v>
      </c>
      <c r="JG39">
        <f t="shared" si="1410"/>
        <v>-73.527608001826181</v>
      </c>
      <c r="JH39">
        <f t="shared" si="1410"/>
        <v>-72.706336649183939</v>
      </c>
      <c r="JI39">
        <f t="shared" si="1410"/>
        <v>-71.877827176851852</v>
      </c>
      <c r="JJ39">
        <f t="shared" ref="JJ39:LU39" si="1411">$N$8*JJ24+$O$8*JJ25</f>
        <v>-71.042165791691829</v>
      </c>
      <c r="JK39">
        <f t="shared" si="1411"/>
        <v>-70.199439535344922</v>
      </c>
      <c r="JL39">
        <f t="shared" si="1411"/>
        <v>-69.3497362741373</v>
      </c>
      <c r="JM39">
        <f t="shared" si="1411"/>
        <v>-68.493144688902007</v>
      </c>
      <c r="JN39">
        <f t="shared" si="1411"/>
        <v>-67.629754264717079</v>
      </c>
      <c r="JO39">
        <f t="shared" si="1411"/>
        <v>-66.759655280561461</v>
      </c>
      <c r="JP39">
        <f t="shared" si="1411"/>
        <v>-65.882938798889612</v>
      </c>
      <c r="JQ39">
        <f t="shared" si="1411"/>
        <v>-64.999696655125845</v>
      </c>
      <c r="JR39">
        <f t="shared" si="1411"/>
        <v>-64.110021447079717</v>
      </c>
      <c r="JS39">
        <f t="shared" si="1411"/>
        <v>-63.214006524283221</v>
      </c>
      <c r="JT39">
        <f t="shared" si="1411"/>
        <v>-62.311745977251221</v>
      </c>
      <c r="JU39">
        <f t="shared" si="1411"/>
        <v>-61.403334626666108</v>
      </c>
      <c r="JV39">
        <f t="shared" si="1411"/>
        <v>-60.488868012487629</v>
      </c>
      <c r="JW39">
        <f t="shared" si="1411"/>
        <v>-59.56844238298946</v>
      </c>
      <c r="JX39">
        <f t="shared" si="1411"/>
        <v>-58.642154683723149</v>
      </c>
      <c r="JY39">
        <f t="shared" si="1411"/>
        <v>-57.710102546410965</v>
      </c>
      <c r="JZ39">
        <f t="shared" si="1411"/>
        <v>-56.772384277768751</v>
      </c>
      <c r="KA39">
        <f t="shared" si="1411"/>
        <v>-55.829098848259591</v>
      </c>
      <c r="KB39">
        <f t="shared" si="1411"/>
        <v>-54.88034588078024</v>
      </c>
      <c r="KC39">
        <f t="shared" si="1411"/>
        <v>-53.926225639280474</v>
      </c>
      <c r="KD39">
        <f t="shared" si="1411"/>
        <v>-52.966839017317497</v>
      </c>
      <c r="KE39">
        <f t="shared" si="1411"/>
        <v>-52.002287526546056</v>
      </c>
      <c r="KF39">
        <f t="shared" si="1411"/>
        <v>-51.032673285145634</v>
      </c>
      <c r="KG39">
        <f t="shared" si="1411"/>
        <v>-50.058099006186026</v>
      </c>
      <c r="KH39">
        <f t="shared" si="1411"/>
        <v>-49.078667985932086</v>
      </c>
      <c r="KI39">
        <f t="shared" si="1411"/>
        <v>-48.094484092089758</v>
      </c>
      <c r="KJ39">
        <f t="shared" si="1411"/>
        <v>-47.105651751993676</v>
      </c>
      <c r="KK39">
        <f t="shared" si="1411"/>
        <v>-46.11227594073803</v>
      </c>
      <c r="KL39">
        <f t="shared" si="1411"/>
        <v>-45.114462169252036</v>
      </c>
      <c r="KM39">
        <f t="shared" si="1411"/>
        <v>-44.112316472321154</v>
      </c>
      <c r="KN39">
        <f t="shared" si="1411"/>
        <v>-43.105945396554958</v>
      </c>
      <c r="KO39">
        <f t="shared" si="1411"/>
        <v>-42.095455988303925</v>
      </c>
      <c r="KP39">
        <f t="shared" si="1411"/>
        <v>-41.080955781525077</v>
      </c>
      <c r="KQ39">
        <f t="shared" si="1411"/>
        <v>-40.266510854996042</v>
      </c>
      <c r="KR39">
        <f t="shared" si="1411"/>
        <v>-39.562407368038819</v>
      </c>
      <c r="KS39">
        <f t="shared" si="1411"/>
        <v>-38.92715174131807</v>
      </c>
      <c r="KT39">
        <f t="shared" si="1411"/>
        <v>-38.33987228140829</v>
      </c>
      <c r="KU39">
        <f t="shared" si="1411"/>
        <v>-37.78897225922033</v>
      </c>
      <c r="KV39">
        <f t="shared" si="1411"/>
        <v>-37.267315557427921</v>
      </c>
      <c r="KW39">
        <f t="shared" si="1411"/>
        <v>-36.770093212168305</v>
      </c>
      <c r="KX39">
        <f t="shared" si="1411"/>
        <v>-36.293822402968104</v>
      </c>
      <c r="KY39">
        <f t="shared" si="1411"/>
        <v>-35.835842990192347</v>
      </c>
      <c r="KZ39">
        <f t="shared" si="1411"/>
        <v>-35.394044126090293</v>
      </c>
      <c r="LA39">
        <f t="shared" si="1411"/>
        <v>-34.966704068559821</v>
      </c>
      <c r="LB39">
        <f t="shared" si="1411"/>
        <v>-34.552389664288754</v>
      </c>
      <c r="LC39">
        <f t="shared" si="1411"/>
        <v>-34.149889535522291</v>
      </c>
      <c r="LD39">
        <f t="shared" si="1411"/>
        <v>-33.758167545889378</v>
      </c>
      <c r="LE39">
        <f t="shared" si="1411"/>
        <v>-33.376329140859141</v>
      </c>
      <c r="LF39">
        <f t="shared" si="1411"/>
        <v>-33.003596227938104</v>
      </c>
      <c r="LG39">
        <f t="shared" si="1411"/>
        <v>-32.63928792657093</v>
      </c>
      <c r="LH39">
        <f t="shared" si="1411"/>
        <v>-32.282805474222656</v>
      </c>
      <c r="LI39">
        <f t="shared" si="1411"/>
        <v>-31.933620152475797</v>
      </c>
      <c r="LJ39">
        <f t="shared" si="1411"/>
        <v>-31.591263459599318</v>
      </c>
      <c r="LK39">
        <f t="shared" si="1411"/>
        <v>-31.255318990953029</v>
      </c>
      <c r="LL39">
        <f t="shared" si="1411"/>
        <v>-30.92541564447744</v>
      </c>
      <c r="LM39">
        <f t="shared" si="1411"/>
        <v>-30.601221873988962</v>
      </c>
      <c r="LN39">
        <f t="shared" si="1411"/>
        <v>-30.282440785556886</v>
      </c>
      <c r="LO39">
        <f t="shared" si="1411"/>
        <v>-29.968805922920367</v>
      </c>
      <c r="LP39">
        <f t="shared" si="1411"/>
        <v>-29.660077623839143</v>
      </c>
      <c r="LQ39">
        <f t="shared" si="1411"/>
        <v>-29.35603985514858</v>
      </c>
      <c r="LR39">
        <f t="shared" si="1411"/>
        <v>-29.056497453223827</v>
      </c>
      <c r="LS39">
        <f t="shared" si="1411"/>
        <v>-28.761273710648695</v>
      </c>
      <c r="LT39">
        <f t="shared" si="1411"/>
        <v>-28.470208260556817</v>
      </c>
      <c r="LU39">
        <f t="shared" si="1411"/>
        <v>-28.183155218339053</v>
      </c>
      <c r="LV39">
        <f t="shared" ref="LV39:OG39" si="1412">$N$8*LV24+$O$8*LV25</f>
        <v>-27.899981546864424</v>
      </c>
      <c r="LW39">
        <f t="shared" si="1412"/>
        <v>-27.620565616510888</v>
      </c>
      <c r="LX39">
        <f t="shared" si="1412"/>
        <v>-27.344795935473698</v>
      </c>
      <c r="LY39">
        <f t="shared" si="1412"/>
        <v>-27.072570029247956</v>
      </c>
      <c r="LZ39">
        <f t="shared" si="1412"/>
        <v>-26.803793451035361</v>
      </c>
      <c r="MA39">
        <f t="shared" si="1412"/>
        <v>-26.53837890722572</v>
      </c>
      <c r="MB39">
        <f t="shared" si="1412"/>
        <v>-26.276245484140716</v>
      </c>
      <c r="MC39">
        <f t="shared" si="1412"/>
        <v>-26.017317963970029</v>
      </c>
      <c r="MD39">
        <f t="shared" si="1412"/>
        <v>-25.761526219331031</v>
      </c>
      <c r="ME39">
        <f t="shared" si="1412"/>
        <v>-25.508804677178901</v>
      </c>
      <c r="MF39">
        <f t="shared" si="1412"/>
        <v>-25.259091843922377</v>
      </c>
      <c r="MG39">
        <f t="shared" si="1412"/>
        <v>-25.012329884581263</v>
      </c>
      <c r="MH39">
        <f t="shared" si="1412"/>
        <v>-24.768464249680662</v>
      </c>
      <c r="MI39">
        <f t="shared" si="1412"/>
        <v>-24.527443344326869</v>
      </c>
      <c r="MJ39">
        <f t="shared" si="1412"/>
        <v>-24.289218234569503</v>
      </c>
      <c r="MK39">
        <f t="shared" si="1412"/>
        <v>-24.053742386732026</v>
      </c>
      <c r="ML39">
        <f t="shared" si="1412"/>
        <v>-23.820971435901768</v>
      </c>
      <c r="MM39">
        <f t="shared" si="1412"/>
        <v>-23.590862980217636</v>
      </c>
      <c r="MN39">
        <f t="shared" si="1412"/>
        <v>-23.363376397987409</v>
      </c>
      <c r="MO39">
        <f t="shared" si="1412"/>
        <v>-23.138472685013383</v>
      </c>
      <c r="MP39">
        <f t="shared" si="1412"/>
        <v>-22.91611430981159</v>
      </c>
      <c r="MQ39">
        <f t="shared" si="1412"/>
        <v>-22.696265084677961</v>
      </c>
      <c r="MR39">
        <f t="shared" si="1412"/>
        <v>-22.478890050794476</v>
      </c>
      <c r="MS39">
        <f t="shared" si="1412"/>
        <v>-22.263955375776177</v>
      </c>
      <c r="MT39">
        <f t="shared" si="1412"/>
        <v>-22.051428262246759</v>
      </c>
      <c r="MU39">
        <f t="shared" si="1412"/>
        <v>-21.841276866192658</v>
      </c>
      <c r="MV39">
        <f t="shared" si="1412"/>
        <v>-21.633470223990528</v>
      </c>
      <c r="MW39">
        <f t="shared" si="1412"/>
        <v>-21.427978187130222</v>
      </c>
      <c r="MX39">
        <f t="shared" si="1412"/>
        <v>-21.224771363767744</v>
      </c>
      <c r="MY39">
        <f t="shared" si="1412"/>
        <v>-21.023821066342663</v>
      </c>
      <c r="MZ39">
        <f t="shared" si="1412"/>
        <v>-20.825099264581397</v>
      </c>
      <c r="NA39">
        <f t="shared" si="1412"/>
        <v>-20.628578543286551</v>
      </c>
      <c r="NB39">
        <f t="shared" si="1412"/>
        <v>-20.434232064379998</v>
      </c>
      <c r="NC39">
        <f t="shared" si="1412"/>
        <v>-20.242033532728982</v>
      </c>
      <c r="ND39">
        <f t="shared" si="1412"/>
        <v>-20.051957165337583</v>
      </c>
      <c r="NE39">
        <f t="shared" si="1412"/>
        <v>-19.863977663533717</v>
      </c>
      <c r="NF39">
        <f t="shared" si="1412"/>
        <v>-19.678070187823465</v>
      </c>
      <c r="NG39">
        <f t="shared" si="1412"/>
        <v>-19.494210335121934</v>
      </c>
      <c r="NH39">
        <f t="shared" si="1412"/>
        <v>-19.312374118102397</v>
      </c>
      <c r="NI39">
        <f t="shared" si="1412"/>
        <v>-19.132537946435335</v>
      </c>
      <c r="NJ39">
        <f t="shared" si="1412"/>
        <v>-18.954678609713227</v>
      </c>
      <c r="NK39">
        <f t="shared" si="1412"/>
        <v>-18.778773261881682</v>
      </c>
      <c r="NL39">
        <f t="shared" si="1412"/>
        <v>-18.604799407015747</v>
      </c>
      <c r="NM39">
        <f t="shared" si="1412"/>
        <v>-18.432734886299698</v>
      </c>
      <c r="NN39">
        <f t="shared" si="1412"/>
        <v>-18.262557866083455</v>
      </c>
      <c r="NO39">
        <f t="shared" si="1412"/>
        <v>-18.094246826903344</v>
      </c>
      <c r="NP39">
        <f t="shared" si="1412"/>
        <v>-17.927780553366858</v>
      </c>
      <c r="NQ39">
        <f t="shared" si="1412"/>
        <v>-17.763138124812897</v>
      </c>
      <c r="NR39">
        <f t="shared" si="1412"/>
        <v>-17.600298906667675</v>
      </c>
      <c r="NS39">
        <f t="shared" si="1412"/>
        <v>-17.439242542426413</v>
      </c>
      <c r="NT39">
        <f t="shared" si="1412"/>
        <v>-17.279948946197408</v>
      </c>
      <c r="NU39">
        <f t="shared" si="1412"/>
        <v>-17.122398295752873</v>
      </c>
      <c r="NV39">
        <f t="shared" si="1412"/>
        <v>-16.966571026036405</v>
      </c>
      <c r="NW39">
        <f t="shared" si="1412"/>
        <v>-16.812447823082678</v>
      </c>
      <c r="NX39">
        <f t="shared" si="1412"/>
        <v>-16.660009618309587</v>
      </c>
      <c r="NY39">
        <f t="shared" si="1412"/>
        <v>-16.509237583147154</v>
      </c>
      <c r="NZ39">
        <f t="shared" si="1412"/>
        <v>-16.360113123971999</v>
      </c>
      <c r="OA39">
        <f t="shared" si="1412"/>
        <v>-16.212617877318252</v>
      </c>
      <c r="OB39">
        <f t="shared" si="1412"/>
        <v>-16.066733705340454</v>
      </c>
      <c r="OC39">
        <f t="shared" si="1412"/>
        <v>-15.922442691504855</v>
      </c>
      <c r="OD39">
        <f t="shared" si="1412"/>
        <v>-15.779727136489598</v>
      </c>
      <c r="OE39">
        <f t="shared" si="1412"/>
        <v>-15.638569554274952</v>
      </c>
      <c r="OF39">
        <f t="shared" si="1412"/>
        <v>-15.498952668407654</v>
      </c>
      <c r="OG39">
        <f t="shared" si="1412"/>
        <v>-15.360859408424531</v>
      </c>
      <c r="OH39">
        <f t="shared" ref="OH39:QS39" si="1413">$N$8*OH24+$O$8*OH25</f>
        <v>-15.224272906422144</v>
      </c>
      <c r="OI39">
        <f t="shared" si="1413"/>
        <v>-15.089176493760945</v>
      </c>
      <c r="OJ39">
        <f t="shared" si="1413"/>
        <v>-14.955553697893023</v>
      </c>
      <c r="OK39">
        <f t="shared" si="1413"/>
        <v>-14.823388239303853</v>
      </c>
      <c r="OL39">
        <f t="shared" si="1413"/>
        <v>-14.692664028559662</v>
      </c>
      <c r="OM39">
        <f t="shared" si="1413"/>
        <v>-14.56336516345219</v>
      </c>
      <c r="ON39">
        <f t="shared" si="1413"/>
        <v>-14.435475926234488</v>
      </c>
      <c r="OO39">
        <f t="shared" si="1413"/>
        <v>-14.308980780940544</v>
      </c>
      <c r="OP39">
        <f t="shared" si="1413"/>
        <v>-14.183864370783766</v>
      </c>
      <c r="OQ39">
        <f t="shared" si="1413"/>
        <v>-14.06011151562862</v>
      </c>
      <c r="OR39">
        <f t="shared" si="1413"/>
        <v>-13.937707209530828</v>
      </c>
      <c r="OS39">
        <f t="shared" si="1413"/>
        <v>-13.816636618342102</v>
      </c>
      <c r="OT39">
        <f t="shared" si="1413"/>
        <v>-13.696885077375029</v>
      </c>
      <c r="OU39">
        <f t="shared" si="1413"/>
        <v>-13.578438089124944</v>
      </c>
      <c r="OV39">
        <f t="shared" si="1413"/>
        <v>-13.46128132104549</v>
      </c>
      <c r="OW39">
        <f t="shared" si="1413"/>
        <v>-13.345400603374785</v>
      </c>
      <c r="OX39">
        <f t="shared" si="1413"/>
        <v>-13.230781927009687</v>
      </c>
      <c r="OY39">
        <f t="shared" si="1413"/>
        <v>-13.117411441425546</v>
      </c>
      <c r="OZ39">
        <f t="shared" si="1413"/>
        <v>-13.00527545263914</v>
      </c>
      <c r="PA39">
        <f t="shared" si="1413"/>
        <v>-12.894360421213108</v>
      </c>
      <c r="PB39">
        <f t="shared" si="1413"/>
        <v>-12.784652960299468</v>
      </c>
      <c r="PC39">
        <f t="shared" si="1413"/>
        <v>-12.676139833720697</v>
      </c>
      <c r="PD39">
        <f t="shared" si="1413"/>
        <v>-12.568807954086978</v>
      </c>
      <c r="PE39">
        <f t="shared" si="1413"/>
        <v>-12.462644380947594</v>
      </c>
      <c r="PF39">
        <f t="shared" si="1413"/>
        <v>-12.357636318975736</v>
      </c>
      <c r="PG39">
        <f t="shared" si="1413"/>
        <v>-12.253771116184893</v>
      </c>
      <c r="PH39">
        <f t="shared" si="1413"/>
        <v>-12.151036262175893</v>
      </c>
      <c r="PI39">
        <f t="shared" si="1413"/>
        <v>-12.049419386413575</v>
      </c>
      <c r="PJ39">
        <f t="shared" si="1413"/>
        <v>-11.948908256531908</v>
      </c>
      <c r="PK39">
        <f t="shared" si="1413"/>
        <v>-11.849490776666528</v>
      </c>
      <c r="PL39">
        <f t="shared" si="1413"/>
        <v>-11.75115498581421</v>
      </c>
      <c r="PM39">
        <f t="shared" si="1413"/>
        <v>-11.653889056217793</v>
      </c>
      <c r="PN39">
        <f t="shared" si="1413"/>
        <v>-11.557681291776476</v>
      </c>
      <c r="PO39">
        <f t="shared" si="1413"/>
        <v>-11.462520126480129</v>
      </c>
      <c r="PP39">
        <f t="shared" si="1413"/>
        <v>-11.368394122867414</v>
      </c>
      <c r="PQ39">
        <f t="shared" si="1413"/>
        <v>-11.275291970506714</v>
      </c>
      <c r="PR39">
        <f t="shared" si="1413"/>
        <v>-11.183202484499546</v>
      </c>
      <c r="PS39">
        <f t="shared" si="1413"/>
        <v>-11.092114604005488</v>
      </c>
      <c r="PT39">
        <f t="shared" si="1413"/>
        <v>-11.002017390788637</v>
      </c>
      <c r="PU39">
        <f t="shared" si="1413"/>
        <v>-10.912900027784389</v>
      </c>
      <c r="PV39">
        <f t="shared" si="1413"/>
        <v>-10.824751817686746</v>
      </c>
      <c r="PW39">
        <f t="shared" si="1413"/>
        <v>-10.737562181554992</v>
      </c>
      <c r="PX39">
        <f t="shared" si="1413"/>
        <v>-10.651320657439925</v>
      </c>
      <c r="PY39">
        <f t="shared" si="1413"/>
        <v>-10.566016899028796</v>
      </c>
      <c r="PZ39">
        <f t="shared" si="1413"/>
        <v>-10.481640674308679</v>
      </c>
      <c r="QA39">
        <f t="shared" si="1413"/>
        <v>-10.398181864247846</v>
      </c>
      <c r="QB39">
        <f t="shared" si="1413"/>
        <v>-10.315630461494848</v>
      </c>
      <c r="QC39">
        <f t="shared" si="1413"/>
        <v>-10.233976569094878</v>
      </c>
      <c r="QD39">
        <f t="shared" si="1413"/>
        <v>-10.153210399223084</v>
      </c>
      <c r="QE39">
        <f t="shared" si="1413"/>
        <v>-10.073322271934487</v>
      </c>
      <c r="QF39">
        <f t="shared" si="1413"/>
        <v>-9.9943026139302731</v>
      </c>
      <c r="QG39">
        <f t="shared" si="1413"/>
        <v>-9.9161419573399598</v>
      </c>
      <c r="QH39">
        <f t="shared" si="1413"/>
        <v>-9.8388309385193509</v>
      </c>
      <c r="QI39">
        <f t="shared" si="1413"/>
        <v>-9.762360296863875</v>
      </c>
      <c r="QJ39">
        <f t="shared" si="1413"/>
        <v>-9.6867208736370571</v>
      </c>
      <c r="QK39">
        <f t="shared" si="1413"/>
        <v>-9.6119036108138403</v>
      </c>
      <c r="QL39">
        <f t="shared" si="1413"/>
        <v>-9.5378995499385724</v>
      </c>
      <c r="QM39">
        <f t="shared" si="1413"/>
        <v>-9.4646998309972901</v>
      </c>
      <c r="QN39">
        <f t="shared" si="1413"/>
        <v>-9.3922956913040565</v>
      </c>
      <c r="QO39">
        <f t="shared" si="1413"/>
        <v>-9.3206784644014249</v>
      </c>
      <c r="QP39">
        <f t="shared" si="1413"/>
        <v>-9.2498395789742318</v>
      </c>
      <c r="QQ39">
        <f t="shared" si="1413"/>
        <v>-9.1797705577770188</v>
      </c>
      <c r="QR39">
        <f t="shared" si="1413"/>
        <v>-9.1104630165746272</v>
      </c>
      <c r="QS39">
        <f t="shared" si="1413"/>
        <v>-9.0419086630957537</v>
      </c>
      <c r="QT39">
        <f t="shared" ref="QT39:TE39" si="1414">$N$8*QT24+$O$8*QT25</f>
        <v>-8.974099295999352</v>
      </c>
      <c r="QU39">
        <f t="shared" si="1414"/>
        <v>-8.9070268038536113</v>
      </c>
      <c r="QV39">
        <f t="shared" si="1414"/>
        <v>-8.8406831641272134</v>
      </c>
      <c r="QW39">
        <f t="shared" si="1414"/>
        <v>-8.7750604421930944</v>
      </c>
      <c r="QX39">
        <f t="shared" si="1414"/>
        <v>-8.7101507903439028</v>
      </c>
      <c r="QY39">
        <f t="shared" si="1414"/>
        <v>-8.645946446819579</v>
      </c>
      <c r="QZ39">
        <f t="shared" si="1414"/>
        <v>-8.5824397348463464</v>
      </c>
      <c r="RA39">
        <f t="shared" si="1414"/>
        <v>-8.5196230616874971</v>
      </c>
      <c r="RB39">
        <f t="shared" si="1414"/>
        <v>-8.4574889177051489</v>
      </c>
      <c r="RC39">
        <f t="shared" si="1414"/>
        <v>-8.3960298754335696</v>
      </c>
      <c r="RD39">
        <f t="shared" si="1414"/>
        <v>-8.3352385886631737</v>
      </c>
      <c r="RE39">
        <f t="shared" si="1414"/>
        <v>-8.2751077915355182</v>
      </c>
      <c r="RF39">
        <f t="shared" si="1414"/>
        <v>-8.2156302976489712</v>
      </c>
      <c r="RG39">
        <f t="shared" si="1414"/>
        <v>-8.1567989991750096</v>
      </c>
      <c r="RH39">
        <f t="shared" si="1414"/>
        <v>-8.0986068659846637</v>
      </c>
      <c r="RI39">
        <f t="shared" si="1414"/>
        <v>-8.0410469447855064</v>
      </c>
      <c r="RJ39">
        <f t="shared" si="1414"/>
        <v>-7.9841123582685896</v>
      </c>
      <c r="RK39">
        <f t="shared" si="1414"/>
        <v>-7.927796304265371</v>
      </c>
      <c r="RL39">
        <f t="shared" si="1414"/>
        <v>-7.8720920549144608</v>
      </c>
      <c r="RM39">
        <f t="shared" si="1414"/>
        <v>-7.8169929558382307</v>
      </c>
      <c r="RN39">
        <f t="shared" si="1414"/>
        <v>-7.7624924253286878</v>
      </c>
      <c r="RO39">
        <f t="shared" si="1414"/>
        <v>-7.7085839535430694</v>
      </c>
      <c r="RP39">
        <f t="shared" si="1414"/>
        <v>-7.6552611017086463</v>
      </c>
      <c r="RQ39">
        <f t="shared" si="1414"/>
        <v>-7.6025175013367345</v>
      </c>
      <c r="RR39">
        <f t="shared" si="1414"/>
        <v>-7.5503468534457028</v>
      </c>
      <c r="RS39">
        <f t="shared" si="1414"/>
        <v>-7.4987429277931312</v>
      </c>
      <c r="RT39">
        <f t="shared" si="1414"/>
        <v>-7.4476995621164974</v>
      </c>
      <c r="RU39">
        <f t="shared" si="1414"/>
        <v>-7.3972106613829425</v>
      </c>
      <c r="RV39">
        <f t="shared" si="1414"/>
        <v>-7.3472701970473366</v>
      </c>
      <c r="RW39">
        <f t="shared" si="1414"/>
        <v>-7.297872206319056</v>
      </c>
      <c r="RX39">
        <f t="shared" si="1414"/>
        <v>-7.249010791436973</v>
      </c>
      <c r="RY39">
        <f t="shared" si="1414"/>
        <v>-7.200680118952917</v>
      </c>
      <c r="RZ39">
        <f t="shared" si="1414"/>
        <v>-7.1528744190231208</v>
      </c>
      <c r="SA39">
        <f t="shared" si="1414"/>
        <v>-7.1055879847078955</v>
      </c>
      <c r="SB39">
        <f t="shared" si="1414"/>
        <v>-7.0588151712791216</v>
      </c>
      <c r="SC39">
        <f t="shared" si="1414"/>
        <v>-7.0125503955357971</v>
      </c>
      <c r="SD39">
        <f t="shared" si="1414"/>
        <v>-6.9667881351271888</v>
      </c>
      <c r="SE39">
        <f t="shared" si="1414"/>
        <v>-6.9215229278836858</v>
      </c>
      <c r="SF39">
        <f t="shared" si="1414"/>
        <v>-6.8767493711553982</v>
      </c>
      <c r="SG39">
        <f t="shared" si="1414"/>
        <v>-6.8324621211579455</v>
      </c>
      <c r="SH39">
        <f t="shared" si="1414"/>
        <v>-6.7886558923259059</v>
      </c>
      <c r="SI39">
        <f t="shared" si="1414"/>
        <v>-6.7453254566734131</v>
      </c>
      <c r="SJ39">
        <f t="shared" si="1414"/>
        <v>-6.7024656431620144</v>
      </c>
      <c r="SK39">
        <f t="shared" si="1414"/>
        <v>-6.6600713370756921</v>
      </c>
      <c r="SL39">
        <f t="shared" si="1414"/>
        <v>-6.6181374794027619</v>
      </c>
      <c r="SM39">
        <f t="shared" si="1414"/>
        <v>-6.5766590662249627</v>
      </c>
      <c r="SN39">
        <f t="shared" si="1414"/>
        <v>-6.5356311481131542</v>
      </c>
      <c r="SO39">
        <f t="shared" si="1414"/>
        <v>-6.4950488295300346</v>
      </c>
      <c r="SP39">
        <f t="shared" si="1414"/>
        <v>-6.4549072682393387</v>
      </c>
      <c r="SQ39">
        <f t="shared" si="1414"/>
        <v>-6.4152016747218283</v>
      </c>
      <c r="SR39">
        <f t="shared" si="1414"/>
        <v>-6.3759273115977777</v>
      </c>
      <c r="SS39">
        <f t="shared" si="1414"/>
        <v>-6.3370794930558247</v>
      </c>
      <c r="ST39">
        <f t="shared" si="1414"/>
        <v>-6.2986535842883029</v>
      </c>
      <c r="SU39">
        <f t="shared" si="1414"/>
        <v>-6.2606450009328825</v>
      </c>
      <c r="SV39">
        <f t="shared" si="1414"/>
        <v>-6.2230492085204077</v>
      </c>
      <c r="SW39">
        <f t="shared" si="1414"/>
        <v>-6.1858617219288732</v>
      </c>
      <c r="SX39">
        <f t="shared" si="1414"/>
        <v>-6.1490781048435679</v>
      </c>
      <c r="SY39">
        <f t="shared" si="1414"/>
        <v>-6.1126939692231161</v>
      </c>
      <c r="SZ39">
        <f t="shared" si="1414"/>
        <v>-6.07670497477163</v>
      </c>
      <c r="TA39">
        <f t="shared" si="1414"/>
        <v>-6.0411068284165026</v>
      </c>
      <c r="TB39">
        <f t="shared" si="1414"/>
        <v>-6.0058952837922277</v>
      </c>
      <c r="TC39">
        <f t="shared" si="1414"/>
        <v>-5.971066140729846</v>
      </c>
      <c r="TD39">
        <f t="shared" si="1414"/>
        <v>-5.9366152447519909</v>
      </c>
      <c r="TE39">
        <f t="shared" si="1414"/>
        <v>-5.9025384865737749</v>
      </c>
      <c r="TF39">
        <f t="shared" ref="TF39:VQ39" si="1415">$N$8*TF24+$O$8*TF25</f>
        <v>-5.868831801608934</v>
      </c>
      <c r="TG39">
        <f t="shared" si="1415"/>
        <v>-5.8354911694816423</v>
      </c>
      <c r="TH39">
        <f t="shared" si="1415"/>
        <v>-5.8025126135435983</v>
      </c>
      <c r="TI39">
        <f t="shared" si="1415"/>
        <v>-5.7698922003965833</v>
      </c>
      <c r="TJ39">
        <f t="shared" si="1415"/>
        <v>-5.7376260394202063</v>
      </c>
      <c r="TK39">
        <f t="shared" si="1415"/>
        <v>-5.705710282304949</v>
      </c>
      <c r="TL39">
        <f t="shared" si="1415"/>
        <v>-5.6741411225902993</v>
      </c>
      <c r="TM39">
        <f t="shared" si="1415"/>
        <v>-5.6429147952080427</v>
      </c>
      <c r="TN39">
        <f t="shared" si="1415"/>
        <v>-5.6120275760305702</v>
      </c>
      <c r="TO39">
        <f t="shared" si="1415"/>
        <v>-5.5814757814242171</v>
      </c>
      <c r="TP39">
        <f t="shared" si="1415"/>
        <v>-5.5512557678074472</v>
      </c>
      <c r="TQ39">
        <f t="shared" si="1415"/>
        <v>-5.5213639312139975</v>
      </c>
      <c r="TR39">
        <f t="shared" si="1415"/>
        <v>-5.4917967068607965</v>
      </c>
      <c r="TS39">
        <f t="shared" si="1415"/>
        <v>-5.4625505687206584</v>
      </c>
      <c r="TT39">
        <f t="shared" si="1415"/>
        <v>-5.4336220290996522</v>
      </c>
      <c r="TU39">
        <f t="shared" si="1415"/>
        <v>-5.4050076382192032</v>
      </c>
      <c r="TV39">
        <f t="shared" si="1415"/>
        <v>-5.3767039838027131</v>
      </c>
      <c r="TW39">
        <f t="shared" si="1415"/>
        <v>-5.3487076906667284</v>
      </c>
      <c r="TX39">
        <f t="shared" si="1415"/>
        <v>-5.3210154203167548</v>
      </c>
      <c r="TY39">
        <f t="shared" si="1415"/>
        <v>-5.2936238705472931</v>
      </c>
      <c r="TZ39">
        <f t="shared" si="1415"/>
        <v>-5.2665297750463935</v>
      </c>
      <c r="UA39">
        <f t="shared" si="1415"/>
        <v>-5.2397299030046298</v>
      </c>
      <c r="UB39">
        <f t="shared" si="1415"/>
        <v>-5.2132210587281662</v>
      </c>
      <c r="UC39">
        <f t="shared" si="1415"/>
        <v>-5.1870000812562864</v>
      </c>
      <c r="UD39">
        <f t="shared" si="1415"/>
        <v>-5.1610638439830012</v>
      </c>
      <c r="UE39">
        <f t="shared" si="1415"/>
        <v>-5.1354092542828482</v>
      </c>
      <c r="UF39">
        <f t="shared" si="1415"/>
        <v>-5.1100332531407275</v>
      </c>
      <c r="UG39">
        <f t="shared" si="1415"/>
        <v>-5.084932814785958</v>
      </c>
      <c r="UH39">
        <f t="shared" si="1415"/>
        <v>-5.060104946330199</v>
      </c>
      <c r="UI39">
        <f t="shared" si="1415"/>
        <v>-5.0355466874093366</v>
      </c>
      <c r="UJ39">
        <f t="shared" si="1415"/>
        <v>-5.0112551098294489</v>
      </c>
      <c r="UK39">
        <f t="shared" si="1415"/>
        <v>-4.9872273172165222</v>
      </c>
      <c r="UL39">
        <f t="shared" si="1415"/>
        <v>-4.963460444669991</v>
      </c>
      <c r="UM39">
        <f t="shared" si="1415"/>
        <v>-4.9399516584202132</v>
      </c>
      <c r="UN39">
        <f t="shared" si="1415"/>
        <v>-4.9166981554894562</v>
      </c>
      <c r="UO39">
        <f t="shared" si="1415"/>
        <v>-4.8936971633569186</v>
      </c>
      <c r="UP39">
        <f t="shared" si="1415"/>
        <v>-4.8709459396271058</v>
      </c>
      <c r="UQ39">
        <f t="shared" si="1415"/>
        <v>-4.848441771702042</v>
      </c>
      <c r="UR39">
        <f t="shared" si="1415"/>
        <v>-4.8261819764569367</v>
      </c>
      <c r="US39">
        <f t="shared" si="1415"/>
        <v>-4.8041638999195584</v>
      </c>
      <c r="UT39">
        <f t="shared" si="1415"/>
        <v>-4.7823849169529211</v>
      </c>
      <c r="UU39">
        <f t="shared" si="1415"/>
        <v>-4.7608424309415796</v>
      </c>
      <c r="UV39">
        <f t="shared" si="1415"/>
        <v>-4.7395338734813208</v>
      </c>
      <c r="UW39">
        <f t="shared" si="1415"/>
        <v>-4.7184567040722527</v>
      </c>
      <c r="UX39">
        <f t="shared" si="1415"/>
        <v>-4.6976084098151887</v>
      </c>
      <c r="UY39">
        <f t="shared" si="1415"/>
        <v>-4.6769865051113868</v>
      </c>
      <c r="UZ39">
        <f t="shared" si="1415"/>
        <v>-4.6565885313656992</v>
      </c>
      <c r="VA39">
        <f t="shared" si="1415"/>
        <v>-4.6364120566926772</v>
      </c>
      <c r="VB39">
        <f t="shared" si="1415"/>
        <v>-4.6164546756261871</v>
      </c>
      <c r="VC39">
        <f t="shared" si="1415"/>
        <v>-4.5967140088319667</v>
      </c>
      <c r="VD39">
        <f t="shared" si="1415"/>
        <v>-4.5771877028235224</v>
      </c>
      <c r="VE39">
        <f t="shared" si="1415"/>
        <v>-4.5578734296809245</v>
      </c>
      <c r="VF39">
        <f t="shared" si="1415"/>
        <v>-4.5387688867728144</v>
      </c>
      <c r="VG39">
        <f t="shared" si="1415"/>
        <v>-4.5198717964814108</v>
      </c>
      <c r="VH39">
        <f t="shared" si="1415"/>
        <v>-4.5011799059304991</v>
      </c>
      <c r="VI39">
        <f t="shared" si="1415"/>
        <v>-4.4826909867164062</v>
      </c>
      <c r="VJ39">
        <f t="shared" si="1415"/>
        <v>-4.4644028346418736</v>
      </c>
      <c r="VK39">
        <f t="shared" si="1415"/>
        <v>-4.4463132694529008</v>
      </c>
      <c r="VL39">
        <f t="shared" si="1415"/>
        <v>-4.4284201345784027</v>
      </c>
      <c r="VM39">
        <f t="shared" si="1415"/>
        <v>-4.4107212968727367</v>
      </c>
      <c r="VN39">
        <f t="shared" si="1415"/>
        <v>-4.3932146463610167</v>
      </c>
      <c r="VO39">
        <f t="shared" si="1415"/>
        <v>-4.3758980959872105</v>
      </c>
      <c r="VP39">
        <f t="shared" si="1415"/>
        <v>-4.3587695813649958</v>
      </c>
      <c r="VQ39">
        <f t="shared" si="1415"/>
        <v>-4.3418270605313296</v>
      </c>
      <c r="VR39">
        <f t="shared" ref="VR39:YC39" si="1416">$N$8*VR24+$O$8*VR25</f>
        <v>-4.325068513702675</v>
      </c>
      <c r="VS39">
        <f t="shared" si="1416"/>
        <v>-4.3084919430339141</v>
      </c>
      <c r="VT39">
        <f t="shared" si="1416"/>
        <v>-4.2920953723799045</v>
      </c>
      <c r="VU39">
        <f t="shared" si="1416"/>
        <v>-4.2758768470595925</v>
      </c>
      <c r="VV39">
        <f t="shared" si="1416"/>
        <v>-4.2598344336227285</v>
      </c>
      <c r="VW39">
        <f t="shared" si="1416"/>
        <v>-4.2439662196190682</v>
      </c>
      <c r="VX39">
        <f t="shared" si="1416"/>
        <v>-4.2282703133701744</v>
      </c>
      <c r="VY39">
        <f t="shared" si="1416"/>
        <v>-4.2127448437436925</v>
      </c>
      <c r="VZ39">
        <f t="shared" si="1416"/>
        <v>-4.1973879599299551</v>
      </c>
      <c r="WA39">
        <f t="shared" si="1416"/>
        <v>-4.1821978312212025</v>
      </c>
      <c r="WB39">
        <f t="shared" si="1416"/>
        <v>-4.167172646793091</v>
      </c>
      <c r="WC39">
        <f t="shared" si="1416"/>
        <v>-4.1523106154886023</v>
      </c>
      <c r="WD39">
        <f t="shared" si="1416"/>
        <v>-4.1376099656043266</v>
      </c>
      <c r="WE39">
        <f t="shared" si="1416"/>
        <v>-4.3270270140750569</v>
      </c>
      <c r="WF39">
        <f t="shared" si="1416"/>
        <v>-4.6307377142238124</v>
      </c>
      <c r="WG39">
        <f t="shared" si="1416"/>
        <v>-5.0071378486258169</v>
      </c>
      <c r="WH39">
        <f t="shared" si="1416"/>
        <v>-5.435244665796418</v>
      </c>
      <c r="WI39">
        <f t="shared" si="1416"/>
        <v>-5.9033499707822017</v>
      </c>
      <c r="WJ39">
        <f t="shared" si="1416"/>
        <v>-6.4042057847968437</v>
      </c>
      <c r="WK39">
        <f t="shared" si="1416"/>
        <v>-6.9328908991748648</v>
      </c>
      <c r="WL39">
        <f t="shared" si="1416"/>
        <v>-7.4858098775926862</v>
      </c>
      <c r="WM39">
        <f t="shared" si="1416"/>
        <v>-8.0601896058536369</v>
      </c>
      <c r="WN39">
        <f t="shared" si="1416"/>
        <v>-8.6538059153095617</v>
      </c>
      <c r="WO39">
        <f t="shared" si="1416"/>
        <v>-9.2648234090385841</v>
      </c>
      <c r="WP39">
        <f t="shared" si="1416"/>
        <v>-9.8916949574370676</v>
      </c>
      <c r="WQ39">
        <f t="shared" si="1416"/>
        <v>-10.533094897472722</v>
      </c>
      <c r="WR39">
        <f t="shared" si="1416"/>
        <v>-11.187872511030989</v>
      </c>
      <c r="WS39">
        <f t="shared" si="1416"/>
        <v>-11.85501837792394</v>
      </c>
      <c r="WT39">
        <f t="shared" si="1416"/>
        <v>-12.533639268671166</v>
      </c>
      <c r="WU39">
        <f t="shared" si="1416"/>
        <v>-13.222938907014324</v>
      </c>
      <c r="WV39">
        <f t="shared" si="1416"/>
        <v>-13.922202888641394</v>
      </c>
      <c r="WW39">
        <f t="shared" si="1416"/>
        <v>-14.630786619953255</v>
      </c>
      <c r="WX39">
        <f t="shared" si="1416"/>
        <v>-15.348105503327446</v>
      </c>
      <c r="WY39">
        <f t="shared" si="1416"/>
        <v>-16.073626830242205</v>
      </c>
      <c r="WZ39">
        <f t="shared" si="1416"/>
        <v>-16.806862999508326</v>
      </c>
      <c r="XA39">
        <f t="shared" si="1416"/>
        <v>-17.547365783328274</v>
      </c>
      <c r="XB39">
        <f t="shared" si="1416"/>
        <v>-18.294721436457337</v>
      </c>
      <c r="XC39">
        <f t="shared" si="1416"/>
        <v>-19.048546494422979</v>
      </c>
      <c r="XD39">
        <f t="shared" si="1416"/>
        <v>-19.808484142695818</v>
      </c>
      <c r="XE39">
        <f t="shared" si="1416"/>
        <v>-20.574201064580521</v>
      </c>
      <c r="XF39">
        <f t="shared" si="1416"/>
        <v>-21.345384694530452</v>
      </c>
      <c r="XG39">
        <f t="shared" si="1416"/>
        <v>-22.12174081768012</v>
      </c>
      <c r="XH39">
        <f t="shared" si="1416"/>
        <v>-22.902991467061568</v>
      </c>
      <c r="XI39">
        <f t="shared" si="1416"/>
        <v>-23.688873078197346</v>
      </c>
      <c r="XJ39">
        <f t="shared" si="1416"/>
        <v>-24.479134867215848</v>
      </c>
      <c r="XK39">
        <f t="shared" si="1416"/>
        <v>-25.273537403783862</v>
      </c>
      <c r="XL39">
        <f t="shared" si="1416"/>
        <v>-26.071851354322845</v>
      </c>
      <c r="XM39">
        <f t="shared" si="1416"/>
        <v>-26.873856374404014</v>
      </c>
      <c r="XN39">
        <f t="shared" si="1416"/>
        <v>-27.679340132070664</v>
      </c>
      <c r="XO39">
        <f t="shared" si="1416"/>
        <v>-28.488097446237347</v>
      </c>
      <c r="XP39">
        <f t="shared" si="1416"/>
        <v>-29.299929526351136</v>
      </c>
      <c r="XQ39">
        <f t="shared" si="1416"/>
        <v>-30.114643301244925</v>
      </c>
      <c r="XR39">
        <f t="shared" si="1416"/>
        <v>-30.932050826611132</v>
      </c>
      <c r="XS39">
        <f t="shared" si="1416"/>
        <v>-31.751968761822312</v>
      </c>
      <c r="XT39">
        <f t="shared" si="1416"/>
        <v>-32.574217907951962</v>
      </c>
      <c r="XU39">
        <f t="shared" si="1416"/>
        <v>-33.398622799830676</v>
      </c>
      <c r="XV39">
        <f t="shared" si="1416"/>
        <v>-34.22501134583014</v>
      </c>
      <c r="XW39">
        <f t="shared" si="1416"/>
        <v>-35.053214509820194</v>
      </c>
      <c r="XX39">
        <f t="shared" si="1416"/>
        <v>-35.883066030400286</v>
      </c>
      <c r="XY39">
        <f t="shared" si="1416"/>
        <v>-36.714402173087606</v>
      </c>
      <c r="XZ39">
        <f t="shared" si="1416"/>
        <v>-37.547061511650568</v>
      </c>
      <c r="YA39">
        <f t="shared" si="1416"/>
        <v>-38.380884735224882</v>
      </c>
      <c r="YB39">
        <f t="shared" si="1416"/>
        <v>-39.215714478242447</v>
      </c>
      <c r="YC39">
        <f t="shared" si="1416"/>
        <v>-40.051395170551032</v>
      </c>
      <c r="YD39">
        <f t="shared" ref="YD39:AAO39" si="1417">$N$8*YD24+$O$8*YD25</f>
        <v>-40.887772905407431</v>
      </c>
      <c r="YE39">
        <f t="shared" si="1417"/>
        <v>-41.724695323297382</v>
      </c>
      <c r="YF39">
        <f t="shared" si="1417"/>
        <v>-42.562011509772915</v>
      </c>
      <c r="YG39">
        <f t="shared" si="1417"/>
        <v>-43.399571905706964</v>
      </c>
      <c r="YH39">
        <f t="shared" si="1417"/>
        <v>-44.237228228551643</v>
      </c>
      <c r="YI39">
        <f t="shared" si="1417"/>
        <v>-45.074833403348592</v>
      </c>
      <c r="YJ39">
        <f t="shared" si="1417"/>
        <v>-45.912241502384816</v>
      </c>
      <c r="YK39">
        <f t="shared" si="1417"/>
        <v>-46.749307692515046</v>
      </c>
      <c r="YL39">
        <f t="shared" si="1417"/>
        <v>-47.585888189283324</v>
      </c>
      <c r="YM39">
        <f t="shared" si="1417"/>
        <v>-48.42184021707719</v>
      </c>
      <c r="YN39">
        <f t="shared" si="1417"/>
        <v>-49.257021974634412</v>
      </c>
      <c r="YO39">
        <f t="shared" si="1417"/>
        <v>-50.09129260530112</v>
      </c>
      <c r="YP39">
        <f t="shared" si="1417"/>
        <v>-50.924512171507629</v>
      </c>
      <c r="YQ39">
        <f t="shared" si="1417"/>
        <v>-51.756541632989681</v>
      </c>
      <c r="YR39">
        <f t="shared" si="1417"/>
        <v>-52.587242828336642</v>
      </c>
      <c r="YS39">
        <f t="shared" si="1417"/>
        <v>-53.416478459494769</v>
      </c>
      <c r="YT39">
        <f t="shared" si="1417"/>
        <v>-54.244112078896322</v>
      </c>
      <c r="YU39">
        <f t="shared" si="1417"/>
        <v>-55.070008078922612</v>
      </c>
      <c r="YV39">
        <f t="shared" si="1417"/>
        <v>-55.894031683441042</v>
      </c>
      <c r="YW39">
        <f t="shared" si="1417"/>
        <v>-56.716048941186372</v>
      </c>
      <c r="YX39">
        <f t="shared" si="1417"/>
        <v>-57.535926720781205</v>
      </c>
      <c r="YY39">
        <f t="shared" si="1417"/>
        <v>-58.353532707214285</v>
      </c>
      <c r="YZ39">
        <f t="shared" si="1417"/>
        <v>-59.168735399614732</v>
      </c>
      <c r="ZA39">
        <f t="shared" si="1417"/>
        <v>-59.981404110178929</v>
      </c>
      <c r="ZB39">
        <f t="shared" si="1417"/>
        <v>-60.7914089641218</v>
      </c>
      <c r="ZC39">
        <f t="shared" si="1417"/>
        <v>-61.59862090053899</v>
      </c>
      <c r="ZD39">
        <f t="shared" si="1417"/>
        <v>-62.40291167407851</v>
      </c>
      <c r="ZE39">
        <f t="shared" si="1417"/>
        <v>-63.204153857331605</v>
      </c>
      <c r="ZF39">
        <f t="shared" si="1417"/>
        <v>-64.00222084386219</v>
      </c>
      <c r="ZG39">
        <f t="shared" si="1417"/>
        <v>-64.796986851803311</v>
      </c>
      <c r="ZH39">
        <f t="shared" si="1417"/>
        <v>-65.58832692795626</v>
      </c>
      <c r="ZI39">
        <f t="shared" si="1417"/>
        <v>-66.376116952335096</v>
      </c>
      <c r="ZJ39">
        <f t="shared" si="1417"/>
        <v>-67.16023364310594</v>
      </c>
      <c r="ZK39">
        <f t="shared" si="1417"/>
        <v>-67.940554561873981</v>
      </c>
      <c r="ZL39">
        <f t="shared" si="1417"/>
        <v>-68.716958119278942</v>
      </c>
      <c r="ZM39">
        <f t="shared" si="1417"/>
        <v>-69.489323580860585</v>
      </c>
      <c r="ZN39">
        <f t="shared" si="1417"/>
        <v>-70.257531073162639</v>
      </c>
      <c r="ZO39">
        <f t="shared" si="1417"/>
        <v>-71.021461590044524</v>
      </c>
      <c r="ZP39">
        <f t="shared" si="1417"/>
        <v>-71.780996999175287</v>
      </c>
      <c r="ZQ39">
        <f t="shared" si="1417"/>
        <v>-72.536020048684904</v>
      </c>
      <c r="ZR39">
        <f t="shared" si="1417"/>
        <v>-73.286414373952127</v>
      </c>
      <c r="ZS39">
        <f t="shared" si="1417"/>
        <v>-74.03206450450925</v>
      </c>
      <c r="ZT39">
        <f t="shared" si="1417"/>
        <v>-74.772855871046076</v>
      </c>
      <c r="ZU39">
        <f t="shared" si="1417"/>
        <v>-75.508674812497489</v>
      </c>
      <c r="ZV39">
        <f t="shared" si="1417"/>
        <v>-76.239408583200216</v>
      </c>
      <c r="ZW39">
        <f t="shared" si="1417"/>
        <v>-76.964945360105773</v>
      </c>
      <c r="ZX39">
        <f t="shared" si="1417"/>
        <v>-77.685174250037917</v>
      </c>
      <c r="ZY39">
        <f t="shared" si="1417"/>
        <v>-78.399985296983672</v>
      </c>
      <c r="ZZ39">
        <f t="shared" si="1417"/>
        <v>-79.109269489408078</v>
      </c>
      <c r="AAA39">
        <f t="shared" si="1417"/>
        <v>-79.812918767584378</v>
      </c>
      <c r="AAB39">
        <f t="shared" si="1417"/>
        <v>-80.510826030930659</v>
      </c>
      <c r="AAC39">
        <f t="shared" si="1417"/>
        <v>-81.202885145346002</v>
      </c>
      <c r="AAD39">
        <f t="shared" si="1417"/>
        <v>-81.888990950539196</v>
      </c>
      <c r="AAE39">
        <f t="shared" si="1417"/>
        <v>-82.56903926734357</v>
      </c>
      <c r="AAF39">
        <f t="shared" si="1417"/>
        <v>-83.242926905012311</v>
      </c>
      <c r="AAG39">
        <f t="shared" si="1417"/>
        <v>-83.91055166848902</v>
      </c>
      <c r="AAH39">
        <f t="shared" si="1417"/>
        <v>-84.571812365647943</v>
      </c>
      <c r="AAI39">
        <f t="shared" si="1417"/>
        <v>-85.226608814500295</v>
      </c>
      <c r="AAJ39">
        <f t="shared" si="1417"/>
        <v>-85.874841850361364</v>
      </c>
      <c r="AAK39">
        <f t="shared" si="1417"/>
        <v>-86.516413332975091</v>
      </c>
      <c r="AAL39">
        <f t="shared" si="1417"/>
        <v>-87.151226153592333</v>
      </c>
      <c r="AAM39">
        <f t="shared" si="1417"/>
        <v>-87.779184241999005</v>
      </c>
      <c r="AAN39">
        <f t="shared" si="1417"/>
        <v>-88.400192573491026</v>
      </c>
      <c r="AAO39">
        <f t="shared" si="1417"/>
        <v>-89.014157175793358</v>
      </c>
    </row>
    <row r="40" spans="1:719">
      <c r="A40" s="4">
        <v>1</v>
      </c>
      <c r="B40" s="1">
        <f>$N$9*B24+$O$9*B25+$P$9*B26</f>
        <v>0</v>
      </c>
      <c r="C40">
        <f>$N$9*C24+$O$9*C25+$P$9*C26</f>
        <v>0.6055504656664823</v>
      </c>
      <c r="D40">
        <f t="shared" ref="D40" si="1418">$N$9*D24+$O$9*D25+$P$9*D26</f>
        <v>1.4913386090741483</v>
      </c>
      <c r="E40">
        <f t="shared" ref="E40:BP40" si="1419">$N$9*E24+$O$9*E25+$P$9*E26</f>
        <v>2.5181564805643859</v>
      </c>
      <c r="F40">
        <f t="shared" si="1419"/>
        <v>3.6233121067365346</v>
      </c>
      <c r="G40">
        <f t="shared" si="1419"/>
        <v>4.7765782534968935</v>
      </c>
      <c r="H40">
        <f t="shared" si="1419"/>
        <v>5.9621142938015907</v>
      </c>
      <c r="I40">
        <f t="shared" si="1419"/>
        <v>7.1708297544640516</v>
      </c>
      <c r="J40">
        <f t="shared" si="1419"/>
        <v>8.3970292064246053</v>
      </c>
      <c r="K40">
        <f t="shared" si="1419"/>
        <v>9.6368608193365333</v>
      </c>
      <c r="L40">
        <f t="shared" si="1419"/>
        <v>10.887553014777154</v>
      </c>
      <c r="M40">
        <f t="shared" si="1419"/>
        <v>12.147012112310961</v>
      </c>
      <c r="N40">
        <f t="shared" si="1419"/>
        <v>13.413595071110507</v>
      </c>
      <c r="O40">
        <f t="shared" si="1419"/>
        <v>14.685972757821276</v>
      </c>
      <c r="P40">
        <f t="shared" si="1419"/>
        <v>15.96304314490493</v>
      </c>
      <c r="Q40">
        <f t="shared" si="1419"/>
        <v>17.243873740545922</v>
      </c>
      <c r="R40">
        <f t="shared" si="1419"/>
        <v>18.527662023478086</v>
      </c>
      <c r="S40">
        <f t="shared" si="1419"/>
        <v>19.813707432634942</v>
      </c>
      <c r="T40">
        <f t="shared" si="1419"/>
        <v>21.101391018321749</v>
      </c>
      <c r="U40">
        <f t="shared" si="1419"/>
        <v>22.39016030962398</v>
      </c>
      <c r="V40">
        <f t="shared" si="1419"/>
        <v>23.679517813989776</v>
      </c>
      <c r="W40">
        <f t="shared" si="1419"/>
        <v>24.969012097800288</v>
      </c>
      <c r="X40">
        <f t="shared" si="1419"/>
        <v>26.258230736701051</v>
      </c>
      <c r="Y40">
        <f t="shared" si="1419"/>
        <v>27.546794646423535</v>
      </c>
      <c r="Z40">
        <f t="shared" si="1419"/>
        <v>28.834353452332891</v>
      </c>
      <c r="AA40">
        <f t="shared" si="1419"/>
        <v>30.120581655369136</v>
      </c>
      <c r="AB40">
        <f t="shared" si="1419"/>
        <v>31.405175419890639</v>
      </c>
      <c r="AC40">
        <f t="shared" si="1419"/>
        <v>32.687849855735493</v>
      </c>
      <c r="AD40">
        <f t="shared" si="1419"/>
        <v>33.968336699478442</v>
      </c>
      <c r="AE40">
        <f t="shared" si="1419"/>
        <v>35.246382322921392</v>
      </c>
      <c r="AF40">
        <f t="shared" si="1419"/>
        <v>36.521746013338856</v>
      </c>
      <c r="AG40">
        <f t="shared" si="1419"/>
        <v>37.794198481960365</v>
      </c>
      <c r="AH40">
        <f t="shared" si="1419"/>
        <v>39.06352056596856</v>
      </c>
      <c r="AI40">
        <f t="shared" si="1419"/>
        <v>40.329502095880542</v>
      </c>
      <c r="AJ40">
        <f t="shared" si="1419"/>
        <v>41.591940905186732</v>
      </c>
      <c r="AK40">
        <f t="shared" si="1419"/>
        <v>42.850641963007519</v>
      </c>
      <c r="AL40">
        <f t="shared" si="1419"/>
        <v>44.105416613578541</v>
      </c>
      <c r="AM40">
        <f t="shared" si="1419"/>
        <v>45.356081908823455</v>
      </c>
      <c r="AN40">
        <f t="shared" si="1419"/>
        <v>46.602460022262278</v>
      </c>
      <c r="AO40">
        <f t="shared" si="1419"/>
        <v>47.844377734137765</v>
      </c>
      <c r="AP40">
        <f t="shared" si="1419"/>
        <v>49.081665979009955</v>
      </c>
      <c r="AQ40">
        <f t="shared" si="1419"/>
        <v>50.314159448218845</v>
      </c>
      <c r="AR40">
        <f t="shared" si="1419"/>
        <v>51.541696240591051</v>
      </c>
      <c r="AS40">
        <f t="shared" si="1419"/>
        <v>52.7641175556044</v>
      </c>
      <c r="AT40">
        <f t="shared" si="1419"/>
        <v>53.981267423943905</v>
      </c>
      <c r="AU40">
        <f t="shared" si="1419"/>
        <v>55.192992471006562</v>
      </c>
      <c r="AV40">
        <f t="shared" si="1419"/>
        <v>56.399141709452437</v>
      </c>
      <c r="AW40">
        <f t="shared" si="1419"/>
        <v>57.599566357372794</v>
      </c>
      <c r="AX40">
        <f t="shared" si="1419"/>
        <v>58.794119679057587</v>
      </c>
      <c r="AY40">
        <f t="shared" si="1419"/>
        <v>59.982656845704412</v>
      </c>
      <c r="AZ40">
        <f t="shared" si="1419"/>
        <v>61.165034813727516</v>
      </c>
      <c r="BA40">
        <f t="shared" si="1419"/>
        <v>62.341112218606213</v>
      </c>
      <c r="BB40">
        <f t="shared" si="1419"/>
        <v>63.510749282449012</v>
      </c>
      <c r="BC40">
        <f t="shared" si="1419"/>
        <v>64.673807733671708</v>
      </c>
      <c r="BD40">
        <f t="shared" si="1419"/>
        <v>65.830150737372492</v>
      </c>
      <c r="BE40">
        <f t="shared" si="1419"/>
        <v>66.979642835152106</v>
      </c>
      <c r="BF40">
        <f t="shared" si="1419"/>
        <v>68.122149893279186</v>
      </c>
      <c r="BG40">
        <f t="shared" si="1419"/>
        <v>69.257539058221994</v>
      </c>
      <c r="BH40">
        <f t="shared" si="1419"/>
        <v>70.385678718689121</v>
      </c>
      <c r="BI40">
        <f t="shared" si="1419"/>
        <v>71.506438473416438</v>
      </c>
      <c r="BJ40">
        <f t="shared" si="1419"/>
        <v>72.619689104029931</v>
      </c>
      <c r="BK40">
        <f t="shared" si="1419"/>
        <v>73.72530255238928</v>
      </c>
      <c r="BL40">
        <f t="shared" si="1419"/>
        <v>74.823151901887286</v>
      </c>
      <c r="BM40">
        <f t="shared" si="1419"/>
        <v>75.913111362241864</v>
      </c>
      <c r="BN40">
        <f t="shared" si="1419"/>
        <v>76.995056257368219</v>
      </c>
      <c r="BO40">
        <f t="shared" si="1419"/>
        <v>78.068863015969839</v>
      </c>
      <c r="BP40">
        <f t="shared" si="1419"/>
        <v>79.134409164525607</v>
      </c>
      <c r="BQ40">
        <f t="shared" ref="BQ40:CU40" si="1420">$N$9*BQ24+$O$9*BQ25+$P$9*BQ26</f>
        <v>80.191573322388706</v>
      </c>
      <c r="BR40">
        <f t="shared" si="1420"/>
        <v>81.240235198746518</v>
      </c>
      <c r="BS40">
        <f t="shared" si="1420"/>
        <v>82.280275591217048</v>
      </c>
      <c r="BT40">
        <f t="shared" si="1420"/>
        <v>83.31157638588553</v>
      </c>
      <c r="BU40">
        <f t="shared" si="1420"/>
        <v>84.334020558605459</v>
      </c>
      <c r="BV40">
        <f t="shared" si="1420"/>
        <v>85.347492177409549</v>
      </c>
      <c r="BW40">
        <f t="shared" si="1420"/>
        <v>86.351876405892938</v>
      </c>
      <c r="BX40">
        <f t="shared" si="1420"/>
        <v>87.347059507446602</v>
      </c>
      <c r="BY40">
        <f t="shared" si="1420"/>
        <v>88.332928850231895</v>
      </c>
      <c r="BZ40">
        <f t="shared" si="1420"/>
        <v>89.309372912802814</v>
      </c>
      <c r="CA40">
        <f t="shared" si="1420"/>
        <v>90.276281290287386</v>
      </c>
      <c r="CB40">
        <f t="shared" si="1420"/>
        <v>91.233544701055393</v>
      </c>
      <c r="CC40">
        <f t="shared" si="1420"/>
        <v>92.181054993803173</v>
      </c>
      <c r="CD40">
        <f t="shared" si="1420"/>
        <v>93.118705154995951</v>
      </c>
      <c r="CE40">
        <f t="shared" si="1420"/>
        <v>94.046389316616285</v>
      </c>
      <c r="CF40">
        <f t="shared" si="1420"/>
        <v>94.964002764168242</v>
      </c>
      <c r="CG40">
        <f t="shared" si="1420"/>
        <v>95.871441944898152</v>
      </c>
      <c r="CH40">
        <f t="shared" si="1420"/>
        <v>96.768604476191683</v>
      </c>
      <c r="CI40">
        <f t="shared" si="1420"/>
        <v>97.655389154116222</v>
      </c>
      <c r="CJ40">
        <f t="shared" si="1420"/>
        <v>98.531695962076412</v>
      </c>
      <c r="CK40">
        <f t="shared" si="1420"/>
        <v>99.397426079557533</v>
      </c>
      <c r="CL40">
        <f t="shared" si="1420"/>
        <v>100.25248189093281</v>
      </c>
      <c r="CM40">
        <f t="shared" si="1420"/>
        <v>101.09676699431247</v>
      </c>
      <c r="CN40">
        <f t="shared" si="1420"/>
        <v>101.93018621041631</v>
      </c>
      <c r="CO40">
        <f t="shared" si="1420"/>
        <v>102.75264559145199</v>
      </c>
      <c r="CP40">
        <f t="shared" si="1420"/>
        <v>103.56405242998403</v>
      </c>
      <c r="CQ40">
        <f t="shared" si="1420"/>
        <v>104.36431526778046</v>
      </c>
      <c r="CR40">
        <f t="shared" si="1420"/>
        <v>105.15334390462226</v>
      </c>
      <c r="CS40">
        <f t="shared" si="1420"/>
        <v>105.93104940706888</v>
      </c>
      <c r="CT40">
        <f t="shared" si="1420"/>
        <v>106.69734411716377</v>
      </c>
      <c r="CU40">
        <f t="shared" si="1420"/>
        <v>107.45214166107667</v>
      </c>
      <c r="CV40">
        <f t="shared" ref="CV40:FG40" si="1421">$N$9*CV24+$O$9*CV25+$P$9*CV26</f>
        <v>108.19535695767104</v>
      </c>
      <c r="CW40">
        <f t="shared" si="1421"/>
        <v>108.92690622698984</v>
      </c>
      <c r="CX40">
        <f t="shared" si="1421"/>
        <v>109.64670699865366</v>
      </c>
      <c r="CY40">
        <f t="shared" si="1421"/>
        <v>110.35467812016498</v>
      </c>
      <c r="CZ40">
        <f t="shared" si="1421"/>
        <v>111.05073976511142</v>
      </c>
      <c r="DA40">
        <f t="shared" si="1421"/>
        <v>111.73481344126554</v>
      </c>
      <c r="DB40">
        <f t="shared" si="1421"/>
        <v>112.40682199857508</v>
      </c>
      <c r="DC40">
        <f t="shared" si="1421"/>
        <v>113.06668963703862</v>
      </c>
      <c r="DD40">
        <f t="shared" si="1421"/>
        <v>113.71434191446508</v>
      </c>
      <c r="DE40">
        <f t="shared" si="1421"/>
        <v>114.34970575411154</v>
      </c>
      <c r="DF40">
        <f t="shared" si="1421"/>
        <v>114.97270945219691</v>
      </c>
      <c r="DG40">
        <f t="shared" si="1421"/>
        <v>115.58328268528885</v>
      </c>
      <c r="DH40">
        <f t="shared" si="1421"/>
        <v>116.18135651755944</v>
      </c>
      <c r="DI40">
        <f t="shared" si="1421"/>
        <v>116.76686340791048</v>
      </c>
      <c r="DJ40">
        <f t="shared" si="1421"/>
        <v>117.33973721696208</v>
      </c>
      <c r="DK40">
        <f t="shared" si="1421"/>
        <v>117.89991321390488</v>
      </c>
      <c r="DL40">
        <f t="shared" si="1421"/>
        <v>118.44732808321311</v>
      </c>
      <c r="DM40">
        <f t="shared" si="1421"/>
        <v>118.98191993121679</v>
      </c>
      <c r="DN40">
        <f t="shared" si="1421"/>
        <v>119.50362829253146</v>
      </c>
      <c r="DO40">
        <f t="shared" si="1421"/>
        <v>120.01239413634164</v>
      </c>
      <c r="DP40">
        <f t="shared" si="1421"/>
        <v>120.5081598725418</v>
      </c>
      <c r="DQ40">
        <f t="shared" si="1421"/>
        <v>120.99086935772664</v>
      </c>
      <c r="DR40">
        <f t="shared" si="1421"/>
        <v>121.46046790103372</v>
      </c>
      <c r="DS40">
        <f t="shared" si="1421"/>
        <v>121.91690226983695</v>
      </c>
      <c r="DT40">
        <f t="shared" si="1421"/>
        <v>122.36012069528721</v>
      </c>
      <c r="DU40">
        <f t="shared" si="1421"/>
        <v>122.79007287770213</v>
      </c>
      <c r="DV40">
        <f t="shared" si="1421"/>
        <v>123.20670999180044</v>
      </c>
      <c r="DW40">
        <f t="shared" si="1421"/>
        <v>123.60998469178446</v>
      </c>
      <c r="DX40">
        <f t="shared" si="1421"/>
        <v>123.99985111626438</v>
      </c>
      <c r="DY40">
        <f t="shared" si="1421"/>
        <v>124.37626489302767</v>
      </c>
      <c r="DZ40">
        <f t="shared" si="1421"/>
        <v>124.7391831436513</v>
      </c>
      <c r="EA40">
        <f t="shared" si="1421"/>
        <v>125.08856448795558</v>
      </c>
      <c r="EB40">
        <f t="shared" si="1421"/>
        <v>125.4243690482985</v>
      </c>
      <c r="EC40">
        <f t="shared" si="1421"/>
        <v>125.74655845371188</v>
      </c>
      <c r="ED40">
        <f t="shared" si="1421"/>
        <v>126.0550958438759</v>
      </c>
      <c r="EE40">
        <f t="shared" si="1421"/>
        <v>126.34994587293397</v>
      </c>
      <c r="EF40">
        <f t="shared" si="1421"/>
        <v>126.63107471314464</v>
      </c>
      <c r="EG40">
        <f t="shared" si="1421"/>
        <v>126.89845005837259</v>
      </c>
      <c r="EH40">
        <f t="shared" si="1421"/>
        <v>127.1520411274164</v>
      </c>
      <c r="EI40">
        <f t="shared" si="1421"/>
        <v>127.39181866717314</v>
      </c>
      <c r="EJ40">
        <f t="shared" si="1421"/>
        <v>127.61775495563876</v>
      </c>
      <c r="EK40">
        <f t="shared" si="1421"/>
        <v>127.8298238047451</v>
      </c>
      <c r="EL40">
        <f t="shared" si="1421"/>
        <v>128.02800056303204</v>
      </c>
      <c r="EM40">
        <f t="shared" si="1421"/>
        <v>128.21226211815394</v>
      </c>
      <c r="EN40">
        <f t="shared" si="1421"/>
        <v>128.38258689922128</v>
      </c>
      <c r="EO40">
        <f t="shared" si="1421"/>
        <v>128.53895487897631</v>
      </c>
      <c r="EP40">
        <f t="shared" si="1421"/>
        <v>128.68134757580259</v>
      </c>
      <c r="EQ40">
        <f t="shared" si="1421"/>
        <v>128.80974805556752</v>
      </c>
      <c r="ER40">
        <f t="shared" si="1421"/>
        <v>128.92414093329887</v>
      </c>
      <c r="ES40">
        <f t="shared" si="1421"/>
        <v>129.02451237469398</v>
      </c>
      <c r="ET40">
        <f t="shared" si="1421"/>
        <v>129.11085009746114</v>
      </c>
      <c r="EU40">
        <f t="shared" si="1421"/>
        <v>129.18314337249484</v>
      </c>
      <c r="EV40">
        <f t="shared" si="1421"/>
        <v>129.2413830248812</v>
      </c>
      <c r="EW40">
        <f t="shared" si="1421"/>
        <v>129.28556143473759</v>
      </c>
      <c r="EX40">
        <f t="shared" si="1421"/>
        <v>129.31567253788268</v>
      </c>
      <c r="EY40">
        <f t="shared" si="1421"/>
        <v>129.33171182633947</v>
      </c>
      <c r="EZ40">
        <f t="shared" si="1421"/>
        <v>129.33367634866926</v>
      </c>
      <c r="FA40">
        <f t="shared" si="1421"/>
        <v>129.32156471013695</v>
      </c>
      <c r="FB40">
        <f t="shared" si="1421"/>
        <v>129.29537707270941</v>
      </c>
      <c r="FC40">
        <f t="shared" si="1421"/>
        <v>129.25511515488319</v>
      </c>
      <c r="FD40">
        <f t="shared" si="1421"/>
        <v>129.20078223134533</v>
      </c>
      <c r="FE40">
        <f t="shared" si="1421"/>
        <v>129.13238313246518</v>
      </c>
      <c r="FF40">
        <f t="shared" si="1421"/>
        <v>129.04992424361711</v>
      </c>
      <c r="FG40">
        <f t="shared" si="1421"/>
        <v>128.95341350433586</v>
      </c>
      <c r="FH40">
        <f t="shared" ref="FH40:HS40" si="1422">$N$9*FH24+$O$9*FH25+$P$9*FH26</f>
        <v>128.84286040730183</v>
      </c>
      <c r="FI40">
        <f t="shared" si="1422"/>
        <v>128.71827599715954</v>
      </c>
      <c r="FJ40">
        <f t="shared" si="1422"/>
        <v>128.57967286916687</v>
      </c>
      <c r="FK40">
        <f t="shared" si="1422"/>
        <v>128.42706516767629</v>
      </c>
      <c r="FL40">
        <f t="shared" si="1422"/>
        <v>128.26046858444857</v>
      </c>
      <c r="FM40">
        <f t="shared" si="1422"/>
        <v>128.07990035679762</v>
      </c>
      <c r="FN40">
        <f t="shared" si="1422"/>
        <v>127.88537926556813</v>
      </c>
      <c r="FO40">
        <f t="shared" si="1422"/>
        <v>127.67692563294588</v>
      </c>
      <c r="FP40">
        <f t="shared" si="1422"/>
        <v>127.45456132010037</v>
      </c>
      <c r="FQ40">
        <f t="shared" si="1422"/>
        <v>127.21830972466057</v>
      </c>
      <c r="FR40">
        <f t="shared" si="1422"/>
        <v>126.9681957780233</v>
      </c>
      <c r="FS40">
        <f t="shared" si="1422"/>
        <v>126.70424594249567</v>
      </c>
      <c r="FT40">
        <f t="shared" si="1422"/>
        <v>126.42648820827071</v>
      </c>
      <c r="FU40">
        <f t="shared" si="1422"/>
        <v>126.13495209023802</v>
      </c>
      <c r="FV40">
        <f t="shared" si="1422"/>
        <v>125.82966862462627</v>
      </c>
      <c r="FW40">
        <f t="shared" si="1422"/>
        <v>125.51067036548392</v>
      </c>
      <c r="FX40">
        <f t="shared" si="1422"/>
        <v>125.1779913809919</v>
      </c>
      <c r="FY40">
        <f t="shared" si="1422"/>
        <v>124.83166724961308</v>
      </c>
      <c r="FZ40">
        <f t="shared" si="1422"/>
        <v>124.47173505607725</v>
      </c>
      <c r="GA40">
        <f t="shared" si="1422"/>
        <v>124.09823338720292</v>
      </c>
      <c r="GB40">
        <f t="shared" si="1422"/>
        <v>123.71120232755476</v>
      </c>
      <c r="GC40">
        <f t="shared" si="1422"/>
        <v>123.31068345493878</v>
      </c>
      <c r="GD40">
        <f t="shared" si="1422"/>
        <v>122.89671983573487</v>
      </c>
      <c r="GE40">
        <f t="shared" si="1422"/>
        <v>122.46935602006749</v>
      </c>
      <c r="GF40">
        <f t="shared" si="1422"/>
        <v>122.02863803681555</v>
      </c>
      <c r="GG40">
        <f t="shared" si="1422"/>
        <v>121.57461338845997</v>
      </c>
      <c r="GH40">
        <f t="shared" si="1422"/>
        <v>121.10733104577201</v>
      </c>
      <c r="GI40">
        <f t="shared" si="1422"/>
        <v>120.62684144234191</v>
      </c>
      <c r="GJ40">
        <f t="shared" si="1422"/>
        <v>120.13319646894774</v>
      </c>
      <c r="GK40">
        <f t="shared" si="1422"/>
        <v>119.62644946776584</v>
      </c>
      <c r="GL40">
        <f t="shared" si="1422"/>
        <v>119.1066552264233</v>
      </c>
      <c r="GM40">
        <f t="shared" si="1422"/>
        <v>118.57386997189343</v>
      </c>
      <c r="GN40">
        <f t="shared" si="1422"/>
        <v>118.02815136423391</v>
      </c>
      <c r="GO40">
        <f t="shared" si="1422"/>
        <v>117.46955849016945</v>
      </c>
      <c r="GP40">
        <f t="shared" si="1422"/>
        <v>116.89815185651895</v>
      </c>
      <c r="GQ40">
        <f t="shared" si="1422"/>
        <v>116.31399338346802</v>
      </c>
      <c r="GR40">
        <f t="shared" si="1422"/>
        <v>115.71714639768703</v>
      </c>
      <c r="GS40">
        <f t="shared" si="1422"/>
        <v>115.10767562529776</v>
      </c>
      <c r="GT40">
        <f t="shared" si="1422"/>
        <v>114.48564718468498</v>
      </c>
      <c r="GU40">
        <f t="shared" si="1422"/>
        <v>113.85112857915937</v>
      </c>
      <c r="GV40">
        <f t="shared" si="1422"/>
        <v>113.20418868946615</v>
      </c>
      <c r="GW40">
        <f t="shared" si="1422"/>
        <v>112.54489776614787</v>
      </c>
      <c r="GX40">
        <f t="shared" si="1422"/>
        <v>111.87332742175374</v>
      </c>
      <c r="GY40">
        <f t="shared" si="1422"/>
        <v>111.18955062290382</v>
      </c>
      <c r="GZ40">
        <f t="shared" si="1422"/>
        <v>110.49364168220359</v>
      </c>
      <c r="HA40">
        <f t="shared" si="1422"/>
        <v>109.78567625001364</v>
      </c>
      <c r="HB40">
        <f t="shared" si="1422"/>
        <v>109.06573130607171</v>
      </c>
      <c r="HC40">
        <f t="shared" si="1422"/>
        <v>108.33388515097147</v>
      </c>
      <c r="HD40">
        <f t="shared" si="1422"/>
        <v>107.59021739749664</v>
      </c>
      <c r="HE40">
        <f t="shared" si="1422"/>
        <v>106.83480896181226</v>
      </c>
      <c r="HF40">
        <f t="shared" si="1422"/>
        <v>106.0677420545137</v>
      </c>
      <c r="HG40">
        <f t="shared" si="1422"/>
        <v>105.28910017153549</v>
      </c>
      <c r="HH40">
        <f t="shared" si="1422"/>
        <v>104.49896808491843</v>
      </c>
      <c r="HI40">
        <f t="shared" si="1422"/>
        <v>103.69743183343968</v>
      </c>
      <c r="HJ40">
        <f t="shared" si="1422"/>
        <v>102.88457871310283</v>
      </c>
      <c r="HK40">
        <f t="shared" si="1422"/>
        <v>102.06049726749228</v>
      </c>
      <c r="HL40">
        <f t="shared" si="1422"/>
        <v>101.22527727799121</v>
      </c>
      <c r="HM40">
        <f t="shared" si="1422"/>
        <v>100.37900975386469</v>
      </c>
      <c r="HN40">
        <f t="shared" si="1422"/>
        <v>99.521786922208832</v>
      </c>
      <c r="HO40">
        <f t="shared" si="1422"/>
        <v>98.653702217766579</v>
      </c>
      <c r="HP40">
        <f t="shared" si="1422"/>
        <v>97.774850272613605</v>
      </c>
      <c r="HQ40">
        <f t="shared" si="1422"/>
        <v>96.885326905712304</v>
      </c>
      <c r="HR40">
        <f t="shared" si="1422"/>
        <v>95.985229112336299</v>
      </c>
      <c r="HS40">
        <f t="shared" si="1422"/>
        <v>95.07465505336711</v>
      </c>
      <c r="HT40">
        <f t="shared" ref="HT40:JI40" si="1423">$N$9*HT24+$O$9*HT25+$P$9*HT26</f>
        <v>94.153704044464746</v>
      </c>
      <c r="HU40">
        <f t="shared" si="1423"/>
        <v>93.222476545110055</v>
      </c>
      <c r="HV40">
        <f t="shared" si="1423"/>
        <v>92.281074147524691</v>
      </c>
      <c r="HW40">
        <f t="shared" si="1423"/>
        <v>91.329599565466253</v>
      </c>
      <c r="HX40">
        <f t="shared" si="1423"/>
        <v>90.36815662290212</v>
      </c>
      <c r="HY40">
        <f t="shared" si="1423"/>
        <v>89.396850242560618</v>
      </c>
      <c r="HZ40">
        <f t="shared" si="1423"/>
        <v>88.415786434364463</v>
      </c>
      <c r="IA40">
        <f t="shared" si="1423"/>
        <v>87.42507228374393</v>
      </c>
      <c r="IB40">
        <f t="shared" si="1423"/>
        <v>86.424815939834502</v>
      </c>
      <c r="IC40">
        <f t="shared" si="1423"/>
        <v>85.415126603555905</v>
      </c>
      <c r="ID40">
        <f t="shared" si="1423"/>
        <v>84.396114515579882</v>
      </c>
      <c r="IE40">
        <f t="shared" si="1423"/>
        <v>83.367890944181511</v>
      </c>
      <c r="IF40">
        <f t="shared" si="1423"/>
        <v>82.330568172980691</v>
      </c>
      <c r="IG40">
        <f t="shared" si="1423"/>
        <v>81.284259488571422</v>
      </c>
      <c r="IH40">
        <f t="shared" si="1423"/>
        <v>80.229079168042688</v>
      </c>
      <c r="II40">
        <f t="shared" si="1423"/>
        <v>79.165142466390648</v>
      </c>
      <c r="IJ40">
        <f t="shared" si="1423"/>
        <v>78.092565603825165</v>
      </c>
      <c r="IK40">
        <f t="shared" si="1423"/>
        <v>77.011465752970082</v>
      </c>
      <c r="IL40">
        <f t="shared" si="1423"/>
        <v>75.921961025959888</v>
      </c>
      <c r="IM40">
        <f t="shared" si="1423"/>
        <v>74.82417046143479</v>
      </c>
      <c r="IN40">
        <f t="shared" si="1423"/>
        <v>73.718214011433759</v>
      </c>
      <c r="IO40">
        <f t="shared" si="1423"/>
        <v>72.604212528188214</v>
      </c>
      <c r="IP40">
        <f t="shared" si="1423"/>
        <v>71.482287750817989</v>
      </c>
      <c r="IQ40">
        <f t="shared" si="1423"/>
        <v>70.352562291930212</v>
      </c>
      <c r="IR40">
        <f t="shared" si="1423"/>
        <v>69.215159624123373</v>
      </c>
      <c r="IS40">
        <f t="shared" si="1423"/>
        <v>68.070204066397025</v>
      </c>
      <c r="IT40">
        <f t="shared" si="1423"/>
        <v>66.917820770469518</v>
      </c>
      <c r="IU40">
        <f t="shared" si="1423"/>
        <v>65.758135707005692</v>
      </c>
      <c r="IV40">
        <f t="shared" si="1423"/>
        <v>64.591275651753676</v>
      </c>
      <c r="IW40">
        <f t="shared" si="1423"/>
        <v>63.417368171595569</v>
      </c>
      <c r="IX40">
        <f t="shared" si="1423"/>
        <v>62.236541610510699</v>
      </c>
      <c r="IY40">
        <f t="shared" si="1423"/>
        <v>61.048925075455486</v>
      </c>
      <c r="IZ40">
        <f t="shared" si="1423"/>
        <v>59.854648422157993</v>
      </c>
      <c r="JA40">
        <f t="shared" si="1423"/>
        <v>58.653842240833853</v>
      </c>
      <c r="JB40">
        <f t="shared" si="1423"/>
        <v>57.446637841819154</v>
      </c>
      <c r="JC40">
        <f t="shared" si="1423"/>
        <v>56.233167241126864</v>
      </c>
      <c r="JD40">
        <f t="shared" si="1423"/>
        <v>55.013563145926071</v>
      </c>
      <c r="JE40">
        <f t="shared" si="1423"/>
        <v>53.787958939944474</v>
      </c>
      <c r="JF40">
        <f t="shared" si="1423"/>
        <v>52.556488668799318</v>
      </c>
      <c r="JG40">
        <f t="shared" si="1423"/>
        <v>51.319287025254994</v>
      </c>
      <c r="JH40">
        <f t="shared" si="1423"/>
        <v>50.076489334409757</v>
      </c>
      <c r="JI40">
        <f t="shared" si="1423"/>
        <v>48.828231538814407</v>
      </c>
      <c r="JJ40">
        <f t="shared" ref="JJ40:LU40" si="1424">$N$9*JJ24+$O$9*JJ25+$P$9*JJ26</f>
        <v>47.574650183523431</v>
      </c>
      <c r="JK40">
        <f t="shared" si="1424"/>
        <v>46.315882401081183</v>
      </c>
      <c r="JL40">
        <f t="shared" si="1424"/>
        <v>45.052065896441718</v>
      </c>
      <c r="JM40">
        <f t="shared" si="1424"/>
        <v>43.783338931829917</v>
      </c>
      <c r="JN40">
        <f t="shared" si="1424"/>
        <v>42.509840311539051</v>
      </c>
      <c r="JO40">
        <f t="shared" si="1424"/>
        <v>41.231709366670202</v>
      </c>
      <c r="JP40">
        <f t="shared" si="1424"/>
        <v>39.94908593981495</v>
      </c>
      <c r="JQ40">
        <f t="shared" si="1424"/>
        <v>38.662110369681386</v>
      </c>
      <c r="JR40">
        <f t="shared" si="1424"/>
        <v>37.370923475667212</v>
      </c>
      <c r="JS40">
        <f t="shared" si="1424"/>
        <v>36.075666542379508</v>
      </c>
      <c r="JT40">
        <f t="shared" si="1424"/>
        <v>34.776481304104493</v>
      </c>
      <c r="JU40">
        <f t="shared" si="1424"/>
        <v>33.473509929228555</v>
      </c>
      <c r="JV40">
        <f t="shared" si="1424"/>
        <v>32.166895004611035</v>
      </c>
      <c r="JW40">
        <f t="shared" si="1424"/>
        <v>30.856779519913118</v>
      </c>
      <c r="JX40">
        <f t="shared" si="1424"/>
        <v>29.543306851881596</v>
      </c>
      <c r="JY40">
        <f t="shared" si="1424"/>
        <v>28.22662074859096</v>
      </c>
      <c r="JZ40">
        <f t="shared" si="1424"/>
        <v>26.90686531364571</v>
      </c>
      <c r="KA40">
        <f t="shared" si="1424"/>
        <v>25.584184990342862</v>
      </c>
      <c r="KB40">
        <f t="shared" si="1424"/>
        <v>24.258724545799339</v>
      </c>
      <c r="KC40">
        <f t="shared" si="1424"/>
        <v>22.930629055042004</v>
      </c>
      <c r="KD40">
        <f t="shared" si="1424"/>
        <v>21.600043885066498</v>
      </c>
      <c r="KE40">
        <f t="shared" si="1424"/>
        <v>20.267114678862697</v>
      </c>
      <c r="KF40">
        <f t="shared" si="1424"/>
        <v>18.931987339411364</v>
      </c>
      <c r="KG40">
        <f t="shared" si="1424"/>
        <v>17.594808013652198</v>
      </c>
      <c r="KH40">
        <f t="shared" si="1424"/>
        <v>16.25572307642534</v>
      </c>
      <c r="KI40">
        <f t="shared" si="1424"/>
        <v>14.91487911438827</v>
      </c>
      <c r="KJ40">
        <f t="shared" si="1424"/>
        <v>13.572422909910927</v>
      </c>
      <c r="KK40">
        <f t="shared" si="1424"/>
        <v>12.228501424947524</v>
      </c>
      <c r="KL40">
        <f t="shared" si="1424"/>
        <v>10.883261784890919</v>
      </c>
      <c r="KM40">
        <f t="shared" si="1424"/>
        <v>9.5368512624084474</v>
      </c>
      <c r="KN40">
        <f t="shared" si="1424"/>
        <v>8.1894172612622356</v>
      </c>
      <c r="KO40">
        <f t="shared" si="1424"/>
        <v>6.8411073001157661</v>
      </c>
      <c r="KP40">
        <f t="shared" si="1424"/>
        <v>5.492068996327248</v>
      </c>
      <c r="KQ40">
        <f t="shared" si="1424"/>
        <v>4.748000515398644</v>
      </c>
      <c r="KR40">
        <f t="shared" si="1424"/>
        <v>4.2837368354961427</v>
      </c>
      <c r="KS40">
        <f t="shared" si="1424"/>
        <v>3.9602178230714458</v>
      </c>
      <c r="KT40">
        <f t="shared" si="1424"/>
        <v>3.7148993546178417</v>
      </c>
      <c r="KU40">
        <f t="shared" si="1424"/>
        <v>3.5177020634780547</v>
      </c>
      <c r="KV40">
        <f t="shared" si="1424"/>
        <v>3.3529331913446185</v>
      </c>
      <c r="KW40">
        <f t="shared" si="1424"/>
        <v>3.2116501188257303</v>
      </c>
      <c r="KX40">
        <f t="shared" si="1424"/>
        <v>3.0883052394732431</v>
      </c>
      <c r="KY40">
        <f t="shared" si="1424"/>
        <v>2.9791944981328129</v>
      </c>
      <c r="KZ40">
        <f t="shared" si="1424"/>
        <v>2.8816940279240271</v>
      </c>
      <c r="LA40">
        <f t="shared" si="1424"/>
        <v>2.7938577800787812</v>
      </c>
      <c r="LB40">
        <f t="shared" si="1424"/>
        <v>2.7141902493479506</v>
      </c>
      <c r="LC40">
        <f t="shared" si="1424"/>
        <v>2.641509725662047</v>
      </c>
      <c r="LD40">
        <f t="shared" si="1424"/>
        <v>2.5748614762827629</v>
      </c>
      <c r="LE40">
        <f t="shared" si="1424"/>
        <v>2.51346015953294</v>
      </c>
      <c r="LF40">
        <f t="shared" si="1424"/>
        <v>2.4566502434611834</v>
      </c>
      <c r="LG40">
        <f t="shared" si="1424"/>
        <v>2.4038779793503409</v>
      </c>
      <c r="LH40">
        <f t="shared" si="1424"/>
        <v>2.3546710367653532</v>
      </c>
      <c r="LI40">
        <f t="shared" si="1424"/>
        <v>2.3086233548598898</v>
      </c>
      <c r="LJ40">
        <f t="shared" si="1424"/>
        <v>2.2653836258799629</v>
      </c>
      <c r="LK40">
        <f t="shared" si="1424"/>
        <v>2.2246463596806052</v>
      </c>
      <c r="LL40">
        <f t="shared" si="1424"/>
        <v>2.1861448180300158</v>
      </c>
      <c r="LM40">
        <f t="shared" si="1424"/>
        <v>2.1496453294325875</v>
      </c>
      <c r="LN40">
        <f t="shared" si="1424"/>
        <v>2.1149426427078879</v>
      </c>
      <c r="LO40">
        <f t="shared" si="1424"/>
        <v>2.0818560769957912</v>
      </c>
      <c r="LP40">
        <f t="shared" si="1424"/>
        <v>2.0502262936969373</v>
      </c>
      <c r="LQ40">
        <f t="shared" si="1424"/>
        <v>2.0199125626668888</v>
      </c>
      <c r="LR40">
        <f t="shared" si="1424"/>
        <v>1.9907904276432191</v>
      </c>
      <c r="LS40">
        <f t="shared" si="1424"/>
        <v>1.9627496989442648</v>
      </c>
      <c r="LT40">
        <f t="shared" si="1424"/>
        <v>1.9356927179647982</v>
      </c>
      <c r="LU40">
        <f t="shared" si="1424"/>
        <v>1.9095328499496986</v>
      </c>
      <c r="LV40">
        <f t="shared" ref="LV40:OG40" si="1425">$N$9*LV24+$O$9*LV25+$P$9*LV26</f>
        <v>1.8841931703283308</v>
      </c>
      <c r="LW40">
        <f t="shared" si="1425"/>
        <v>1.859605316477257</v>
      </c>
      <c r="LX40">
        <f t="shared" si="1425"/>
        <v>1.8357084817892542</v>
      </c>
      <c r="LY40">
        <f t="shared" si="1425"/>
        <v>1.8124485328078777</v>
      </c>
      <c r="LZ40">
        <f t="shared" si="1425"/>
        <v>1.7897772332420345</v>
      </c>
      <c r="MA40">
        <f t="shared" si="1425"/>
        <v>1.7676515611212835</v>
      </c>
      <c r="MB40">
        <f t="shared" si="1425"/>
        <v>1.7460331073406223</v>
      </c>
      <c r="MC40">
        <f t="shared" si="1425"/>
        <v>1.7248875454786798</v>
      </c>
      <c r="MD40">
        <f t="shared" si="1425"/>
        <v>1.7041841641432711</v>
      </c>
      <c r="ME40">
        <f t="shared" si="1425"/>
        <v>1.6838954542427018</v>
      </c>
      <c r="MF40">
        <f t="shared" si="1425"/>
        <v>1.6639967445631783</v>
      </c>
      <c r="MG40">
        <f t="shared" si="1425"/>
        <v>1.6444658798664022</v>
      </c>
      <c r="MH40">
        <f t="shared" si="1425"/>
        <v>1.6252829364430568</v>
      </c>
      <c r="MI40">
        <f t="shared" si="1425"/>
        <v>1.6064299706806651</v>
      </c>
      <c r="MJ40">
        <f t="shared" si="1425"/>
        <v>1.5878907967463078</v>
      </c>
      <c r="MK40">
        <f t="shared" si="1425"/>
        <v>1.569650789954153</v>
      </c>
      <c r="ML40">
        <f t="shared" si="1425"/>
        <v>1.5516967128045849</v>
      </c>
      <c r="MM40">
        <f t="shared" si="1425"/>
        <v>1.5340165610358554</v>
      </c>
      <c r="MN40">
        <f t="shared" si="1425"/>
        <v>1.5165994273517072</v>
      </c>
      <c r="MO40">
        <f t="shared" si="1425"/>
        <v>1.4994353807617244</v>
      </c>
      <c r="MP40">
        <f t="shared" si="1425"/>
        <v>1.4825153597170129</v>
      </c>
      <c r="MQ40">
        <f t="shared" si="1425"/>
        <v>1.465831077436917</v>
      </c>
      <c r="MR40">
        <f t="shared" si="1425"/>
        <v>1.4493749380138183</v>
      </c>
      <c r="MS40">
        <f t="shared" si="1425"/>
        <v>1.4331399620452885</v>
      </c>
      <c r="MT40">
        <f t="shared" si="1425"/>
        <v>1.4171197206941883</v>
      </c>
      <c r="MU40">
        <f t="shared" si="1425"/>
        <v>1.4013082772005987</v>
      </c>
      <c r="MV40">
        <f t="shared" si="1425"/>
        <v>1.3857001349893494</v>
      </c>
      <c r="MW40">
        <f t="shared" si="1425"/>
        <v>1.3702901916123551</v>
      </c>
      <c r="MX40">
        <f t="shared" si="1425"/>
        <v>1.3550736978551754</v>
      </c>
      <c r="MY40">
        <f t="shared" si="1425"/>
        <v>1.3400462214167987</v>
      </c>
      <c r="MZ40">
        <f t="shared" si="1425"/>
        <v>1.3252036146372461</v>
      </c>
      <c r="NA40">
        <f t="shared" si="1425"/>
        <v>1.310541985812165</v>
      </c>
      <c r="NB40">
        <f t="shared" si="1425"/>
        <v>1.2960576736830944</v>
      </c>
      <c r="NC40">
        <f t="shared" si="1425"/>
        <v>1.281747224743242</v>
      </c>
      <c r="ND40">
        <f t="shared" si="1425"/>
        <v>1.2676073730385156</v>
      </c>
      <c r="NE40">
        <f t="shared" si="1425"/>
        <v>1.253635022180049</v>
      </c>
      <c r="NF40">
        <f t="shared" si="1425"/>
        <v>1.2398272293190757</v>
      </c>
      <c r="NG40">
        <f t="shared" si="1425"/>
        <v>1.2261811908613822</v>
      </c>
      <c r="NH40">
        <f t="shared" si="1425"/>
        <v>1.2126942297254573</v>
      </c>
      <c r="NI40">
        <f t="shared" si="1425"/>
        <v>1.1993637839721032</v>
      </c>
      <c r="NJ40">
        <f t="shared" si="1425"/>
        <v>1.186187396649359</v>
      </c>
      <c r="NK40">
        <f t="shared" si="1425"/>
        <v>1.173162706719495</v>
      </c>
      <c r="NL40">
        <f t="shared" si="1425"/>
        <v>1.1602874409444439</v>
      </c>
      <c r="NM40">
        <f t="shared" si="1425"/>
        <v>1.1475594066257031</v>
      </c>
      <c r="NN40">
        <f t="shared" si="1425"/>
        <v>1.1349764851016744</v>
      </c>
      <c r="NO40">
        <f t="shared" si="1425"/>
        <v>1.1225366259203042</v>
      </c>
      <c r="NP40">
        <f t="shared" si="1425"/>
        <v>1.1102378416118199</v>
      </c>
      <c r="NQ40">
        <f t="shared" si="1425"/>
        <v>1.0980782029951683</v>
      </c>
      <c r="NR40">
        <f t="shared" si="1425"/>
        <v>1.0860558349602343</v>
      </c>
      <c r="NS40">
        <f t="shared" si="1425"/>
        <v>1.0741689126742813</v>
      </c>
      <c r="NT40">
        <f t="shared" si="1425"/>
        <v>1.0624156581651505</v>
      </c>
      <c r="NU40">
        <f t="shared" si="1425"/>
        <v>1.050794337241939</v>
      </c>
      <c r="NV40">
        <f t="shared" si="1425"/>
        <v>1.0393032567151863</v>
      </c>
      <c r="NW40">
        <f t="shared" si="1425"/>
        <v>1.0279407618856453</v>
      </c>
      <c r="NX40">
        <f t="shared" si="1425"/>
        <v>1.0167052342724787</v>
      </c>
      <c r="NY40">
        <f t="shared" si="1425"/>
        <v>1.0055950895542765</v>
      </c>
      <c r="NZ40">
        <f t="shared" si="1425"/>
        <v>0.99460877570308526</v>
      </c>
      <c r="OA40">
        <f t="shared" si="1425"/>
        <v>0.98374477128700732</v>
      </c>
      <c r="OB40">
        <f t="shared" si="1425"/>
        <v>0.97300158392835101</v>
      </c>
      <c r="OC40">
        <f t="shared" si="1425"/>
        <v>0.96237774889621619</v>
      </c>
      <c r="OD40">
        <f t="shared" si="1425"/>
        <v>0.95187182782450463</v>
      </c>
      <c r="OE40">
        <f t="shared" si="1425"/>
        <v>0.94148240753779078</v>
      </c>
      <c r="OF40">
        <f t="shared" si="1425"/>
        <v>0.93120809897769163</v>
      </c>
      <c r="OG40">
        <f t="shared" si="1425"/>
        <v>0.9210475362171735</v>
      </c>
      <c r="OH40">
        <f t="shared" ref="OH40:QS40" si="1426">$N$9*OH24+$O$9*OH25+$P$9*OH26</f>
        <v>0.91099937555460997</v>
      </c>
      <c r="OI40">
        <f t="shared" si="1426"/>
        <v>0.90106229468005949</v>
      </c>
      <c r="OJ40">
        <f t="shared" si="1426"/>
        <v>0.89123499190591815</v>
      </c>
      <c r="OK40">
        <f t="shared" si="1426"/>
        <v>0.88151618545566635</v>
      </c>
      <c r="OL40">
        <f t="shared" si="1426"/>
        <v>0.87190461280582099</v>
      </c>
      <c r="OM40">
        <f t="shared" si="1426"/>
        <v>0.86239903007395924</v>
      </c>
      <c r="ON40">
        <f t="shared" si="1426"/>
        <v>0.85299821145110855</v>
      </c>
      <c r="OO40">
        <f t="shared" si="1426"/>
        <v>0.84370094867216494</v>
      </c>
      <c r="OP40">
        <f t="shared" si="1426"/>
        <v>0.83450605052095739</v>
      </c>
      <c r="OQ40">
        <f t="shared" si="1426"/>
        <v>0.82541234236859395</v>
      </c>
      <c r="OR40">
        <f t="shared" si="1426"/>
        <v>0.81641866573880861</v>
      </c>
      <c r="OS40">
        <f t="shared" si="1426"/>
        <v>0.80752387790121816</v>
      </c>
      <c r="OT40">
        <f t="shared" si="1426"/>
        <v>0.79872685148765754</v>
      </c>
      <c r="OU40">
        <f t="shared" si="1426"/>
        <v>0.79002647413039995</v>
      </c>
      <c r="OV40">
        <f t="shared" si="1426"/>
        <v>0.78142164812012993</v>
      </c>
      <c r="OW40">
        <f t="shared" si="1426"/>
        <v>0.77291129008253279</v>
      </c>
      <c r="OX40">
        <f t="shared" si="1426"/>
        <v>0.76449433067114114</v>
      </c>
      <c r="OY40">
        <f t="shared" si="1426"/>
        <v>0.75616971427521662</v>
      </c>
      <c r="OZ40">
        <f t="shared" si="1426"/>
        <v>0.74793639874164342</v>
      </c>
      <c r="PA40">
        <f t="shared" si="1426"/>
        <v>0.73979335511049271</v>
      </c>
      <c r="PB40">
        <f t="shared" si="1426"/>
        <v>0.73173956736104628</v>
      </c>
      <c r="PC40">
        <f t="shared" si="1426"/>
        <v>0.72377403216950142</v>
      </c>
      <c r="PD40">
        <f t="shared" si="1426"/>
        <v>0.71589575867693611</v>
      </c>
      <c r="PE40">
        <f t="shared" si="1426"/>
        <v>0.70810376826563015</v>
      </c>
      <c r="PF40">
        <f t="shared" si="1426"/>
        <v>0.70039709434487918</v>
      </c>
      <c r="PG40">
        <f t="shared" si="1426"/>
        <v>0.69277478214473831</v>
      </c>
      <c r="PH40">
        <f t="shared" si="1426"/>
        <v>0.6852358885164449</v>
      </c>
      <c r="PI40">
        <f t="shared" si="1426"/>
        <v>0.6777794817404299</v>
      </c>
      <c r="PJ40">
        <f t="shared" si="1426"/>
        <v>0.67040464134083777</v>
      </c>
      <c r="PK40">
        <f t="shared" si="1426"/>
        <v>0.66311045790536127</v>
      </c>
      <c r="PL40">
        <f t="shared" si="1426"/>
        <v>0.65589603291158483</v>
      </c>
      <c r="PM40">
        <f t="shared" si="1426"/>
        <v>0.6487604785581027</v>
      </c>
      <c r="PN40">
        <f t="shared" si="1426"/>
        <v>0.64170291760032683</v>
      </c>
      <c r="PO40">
        <f t="shared" si="1426"/>
        <v>0.63472248319197888</v>
      </c>
      <c r="PP40">
        <f t="shared" si="1426"/>
        <v>0.6278183187297941</v>
      </c>
      <c r="PQ40">
        <f t="shared" si="1426"/>
        <v>0.62098957770311358</v>
      </c>
      <c r="PR40">
        <f t="shared" si="1426"/>
        <v>0.61423542354731353</v>
      </c>
      <c r="PS40">
        <f t="shared" si="1426"/>
        <v>0.60755502950033247</v>
      </c>
      <c r="PT40">
        <f t="shared" si="1426"/>
        <v>0.60094757846405855</v>
      </c>
      <c r="PU40">
        <f t="shared" si="1426"/>
        <v>0.59441226286745064</v>
      </c>
      <c r="PV40">
        <f t="shared" si="1426"/>
        <v>0.58794828453417836</v>
      </c>
      <c r="PW40">
        <f t="shared" si="1426"/>
        <v>0.58155485455219491</v>
      </c>
      <c r="PX40">
        <f t="shared" si="1426"/>
        <v>0.5752311931470615</v>
      </c>
      <c r="PY40">
        <f t="shared" si="1426"/>
        <v>0.56897652955780131</v>
      </c>
      <c r="PZ40">
        <f t="shared" si="1426"/>
        <v>0.56279010191502721</v>
      </c>
      <c r="QA40">
        <f t="shared" si="1426"/>
        <v>0.55667115712199688</v>
      </c>
      <c r="QB40">
        <f t="shared" si="1426"/>
        <v>0.55061895073802702</v>
      </c>
      <c r="QC40">
        <f t="shared" si="1426"/>
        <v>0.54463274686406749</v>
      </c>
      <c r="QD40">
        <f t="shared" si="1426"/>
        <v>0.53871181803074819</v>
      </c>
      <c r="QE40">
        <f t="shared" si="1426"/>
        <v>0.53285544508813132</v>
      </c>
      <c r="QF40">
        <f t="shared" si="1426"/>
        <v>0.52706291709830566</v>
      </c>
      <c r="QG40">
        <f t="shared" si="1426"/>
        <v>0.5213335312293168</v>
      </c>
      <c r="QH40">
        <f t="shared" si="1426"/>
        <v>0.51566659265128578</v>
      </c>
      <c r="QI40">
        <f t="shared" si="1426"/>
        <v>0.51006141443411934</v>
      </c>
      <c r="QJ40">
        <f t="shared" si="1426"/>
        <v>0.50451731744777817</v>
      </c>
      <c r="QK40">
        <f t="shared" si="1426"/>
        <v>0.49903363026331249</v>
      </c>
      <c r="QL40">
        <f t="shared" si="1426"/>
        <v>0.49360968905611458</v>
      </c>
      <c r="QM40">
        <f t="shared" si="1426"/>
        <v>0.48824483751110392</v>
      </c>
      <c r="QN40">
        <f t="shared" si="1426"/>
        <v>0.48293842672833875</v>
      </c>
      <c r="QO40">
        <f t="shared" si="1426"/>
        <v>0.47768981513226549</v>
      </c>
      <c r="QP40">
        <f t="shared" si="1426"/>
        <v>0.47249836837983139</v>
      </c>
      <c r="QQ40">
        <f t="shared" si="1426"/>
        <v>0.46736345927226353</v>
      </c>
      <c r="QR40">
        <f t="shared" si="1426"/>
        <v>0.46228446766696152</v>
      </c>
      <c r="QS40">
        <f t="shared" si="1426"/>
        <v>0.45726078039163554</v>
      </c>
      <c r="QT40">
        <f t="shared" ref="QT40:TE40" si="1427">$N$9*QT24+$O$9*QT25+$P$9*QT26</f>
        <v>0.45229179115887064</v>
      </c>
      <c r="QU40">
        <f t="shared" si="1427"/>
        <v>0.44737690048324907</v>
      </c>
      <c r="QV40">
        <f t="shared" si="1427"/>
        <v>0.4425155155978473</v>
      </c>
      <c r="QW40">
        <f t="shared" si="1427"/>
        <v>0.43770705037425728</v>
      </c>
      <c r="QX40">
        <f t="shared" si="1427"/>
        <v>0.43295092524215306</v>
      </c>
      <c r="QY40">
        <f t="shared" si="1427"/>
        <v>0.42824656711070475</v>
      </c>
      <c r="QZ40">
        <f t="shared" si="1427"/>
        <v>0.42359340929107248</v>
      </c>
      <c r="RA40">
        <f t="shared" si="1427"/>
        <v>0.4189908914197531</v>
      </c>
      <c r="RB40">
        <f t="shared" si="1427"/>
        <v>0.41443845938383106</v>
      </c>
      <c r="RC40">
        <f t="shared" si="1427"/>
        <v>0.40993556524617247</v>
      </c>
      <c r="RD40">
        <f t="shared" si="1427"/>
        <v>0.40548166717266554</v>
      </c>
      <c r="RE40">
        <f t="shared" si="1427"/>
        <v>0.40107622935977361</v>
      </c>
      <c r="RF40">
        <f t="shared" si="1427"/>
        <v>0.39671872196387881</v>
      </c>
      <c r="RG40">
        <f t="shared" si="1427"/>
        <v>0.3924086210309099</v>
      </c>
      <c r="RH40">
        <f t="shared" si="1427"/>
        <v>0.3881454084269933</v>
      </c>
      <c r="RI40">
        <f t="shared" si="1427"/>
        <v>0.38392857177083783</v>
      </c>
      <c r="RJ40">
        <f t="shared" si="1427"/>
        <v>0.37975760436589212</v>
      </c>
      <c r="RK40">
        <f t="shared" si="1427"/>
        <v>0.37563200513446304</v>
      </c>
      <c r="RL40">
        <f t="shared" si="1427"/>
        <v>0.37155127855211845</v>
      </c>
      <c r="RM40">
        <f t="shared" si="1427"/>
        <v>0.36751493458311302</v>
      </c>
      <c r="RN40">
        <f t="shared" si="1427"/>
        <v>0.36352248861680891</v>
      </c>
      <c r="RO40">
        <f t="shared" si="1427"/>
        <v>0.35957346140469326</v>
      </c>
      <c r="RP40">
        <f t="shared" si="1427"/>
        <v>0.35566737899858936</v>
      </c>
      <c r="RQ40">
        <f t="shared" si="1427"/>
        <v>0.35180377268929419</v>
      </c>
      <c r="RR40">
        <f t="shared" si="1427"/>
        <v>0.3479821789462676</v>
      </c>
      <c r="RS40">
        <f t="shared" si="1427"/>
        <v>0.3442021393582877</v>
      </c>
      <c r="RT40">
        <f t="shared" si="1427"/>
        <v>0.34046320057416324</v>
      </c>
      <c r="RU40">
        <f t="shared" si="1427"/>
        <v>0.33676491424492383</v>
      </c>
      <c r="RV40">
        <f t="shared" si="1427"/>
        <v>0.33310683696677756</v>
      </c>
      <c r="RW40">
        <f t="shared" si="1427"/>
        <v>0.32948853022415392</v>
      </c>
      <c r="RX40">
        <f t="shared" si="1427"/>
        <v>0.32590956033402563</v>
      </c>
      <c r="RY40">
        <f t="shared" si="1427"/>
        <v>0.32236949839088425</v>
      </c>
      <c r="RZ40">
        <f t="shared" si="1427"/>
        <v>0.31886792021202837</v>
      </c>
      <c r="SA40">
        <f t="shared" si="1427"/>
        <v>0.31540440628432975</v>
      </c>
      <c r="SB40">
        <f t="shared" si="1427"/>
        <v>0.3119785417103742</v>
      </c>
      <c r="SC40">
        <f t="shared" si="1427"/>
        <v>0.30858991615687614</v>
      </c>
      <c r="SD40">
        <f t="shared" si="1427"/>
        <v>0.30523812380261006</v>
      </c>
      <c r="SE40">
        <f t="shared" si="1427"/>
        <v>0.30192276328705248</v>
      </c>
      <c r="SF40">
        <f t="shared" si="1427"/>
        <v>0.2986434376603313</v>
      </c>
      <c r="SG40">
        <f t="shared" si="1427"/>
        <v>0.29539975433306154</v>
      </c>
      <c r="SH40">
        <f t="shared" si="1427"/>
        <v>0.29219132502745992</v>
      </c>
      <c r="SI40">
        <f t="shared" si="1427"/>
        <v>0.28901776572843119</v>
      </c>
      <c r="SJ40">
        <f t="shared" si="1427"/>
        <v>0.28587869663547849</v>
      </c>
      <c r="SK40">
        <f t="shared" si="1427"/>
        <v>0.28277374211586448</v>
      </c>
      <c r="SL40">
        <f t="shared" si="1427"/>
        <v>0.27970253065666384</v>
      </c>
      <c r="SM40">
        <f t="shared" si="1427"/>
        <v>0.27666469481980016</v>
      </c>
      <c r="SN40">
        <f t="shared" si="1427"/>
        <v>0.27365987119515012</v>
      </c>
      <c r="SO40">
        <f t="shared" si="1427"/>
        <v>0.27068770035609191</v>
      </c>
      <c r="SP40">
        <f t="shared" si="1427"/>
        <v>0.26774782681448528</v>
      </c>
      <c r="SQ40">
        <f t="shared" si="1427"/>
        <v>0.26483989897675997</v>
      </c>
      <c r="SR40">
        <f t="shared" si="1427"/>
        <v>0.26196356910037366</v>
      </c>
      <c r="SS40">
        <f t="shared" si="1427"/>
        <v>0.2591184932506394</v>
      </c>
      <c r="ST40">
        <f t="shared" si="1427"/>
        <v>0.25630433125814989</v>
      </c>
      <c r="SU40">
        <f t="shared" si="1427"/>
        <v>0.25352074667705438</v>
      </c>
      <c r="SV40">
        <f t="shared" si="1427"/>
        <v>0.250767406743023</v>
      </c>
      <c r="SW40">
        <f t="shared" si="1427"/>
        <v>0.24804398233283109</v>
      </c>
      <c r="SX40">
        <f t="shared" si="1427"/>
        <v>0.24535014792320453</v>
      </c>
      <c r="SY40">
        <f t="shared" si="1427"/>
        <v>0.24268558155108622</v>
      </c>
      <c r="SZ40">
        <f t="shared" si="1427"/>
        <v>0.24004996477404461</v>
      </c>
      <c r="TA40">
        <f t="shared" si="1427"/>
        <v>0.23744298263102337</v>
      </c>
      <c r="TB40">
        <f t="shared" si="1427"/>
        <v>0.23486432360360254</v>
      </c>
      <c r="TC40">
        <f t="shared" si="1427"/>
        <v>0.23231367957802718</v>
      </c>
      <c r="TD40">
        <f t="shared" si="1427"/>
        <v>0.2297907458070938</v>
      </c>
      <c r="TE40">
        <f t="shared" si="1427"/>
        <v>0.22729522087303167</v>
      </c>
      <c r="TF40">
        <f t="shared" ref="TF40:VQ40" si="1428">$N$9*TF24+$O$9*TF25+$P$9*TF26</f>
        <v>0.22482680665055454</v>
      </c>
      <c r="TG40">
        <f t="shared" si="1428"/>
        <v>0.22238520827042407</v>
      </c>
      <c r="TH40">
        <f t="shared" si="1428"/>
        <v>0.2199701340833542</v>
      </c>
      <c r="TI40">
        <f t="shared" si="1428"/>
        <v>0.21758129562425665</v>
      </c>
      <c r="TJ40">
        <f t="shared" si="1428"/>
        <v>0.21521840757733912</v>
      </c>
      <c r="TK40">
        <f t="shared" si="1428"/>
        <v>0.21288118774077702</v>
      </c>
      <c r="TL40">
        <f t="shared" si="1428"/>
        <v>0.21056935699280643</v>
      </c>
      <c r="TM40">
        <f t="shared" si="1428"/>
        <v>0.2082826392574475</v>
      </c>
      <c r="TN40">
        <f t="shared" si="1428"/>
        <v>0.20602076147099524</v>
      </c>
      <c r="TO40">
        <f t="shared" si="1428"/>
        <v>0.20378345354862404</v>
      </c>
      <c r="TP40">
        <f t="shared" si="1428"/>
        <v>0.20157044835161742</v>
      </c>
      <c r="TQ40">
        <f t="shared" si="1428"/>
        <v>0.19938148165488201</v>
      </c>
      <c r="TR40">
        <f t="shared" si="1428"/>
        <v>0.19721629211483105</v>
      </c>
      <c r="TS40">
        <f t="shared" si="1428"/>
        <v>0.19507462123760888</v>
      </c>
      <c r="TT40">
        <f t="shared" si="1428"/>
        <v>0.19295621334774182</v>
      </c>
      <c r="TU40">
        <f t="shared" si="1428"/>
        <v>0.19086081555701639</v>
      </c>
      <c r="TV40">
        <f t="shared" si="1428"/>
        <v>0.18878817773406809</v>
      </c>
      <c r="TW40">
        <f t="shared" si="1428"/>
        <v>0.1867380524735438</v>
      </c>
      <c r="TX40">
        <f t="shared" si="1428"/>
        <v>0.18471019506665698</v>
      </c>
      <c r="TY40">
        <f t="shared" si="1428"/>
        <v>0.18270436347134478</v>
      </c>
      <c r="TZ40">
        <f t="shared" si="1428"/>
        <v>0.1807203182828232</v>
      </c>
      <c r="UA40">
        <f t="shared" si="1428"/>
        <v>0.17875782270473906</v>
      </c>
      <c r="UB40">
        <f t="shared" si="1428"/>
        <v>0.17681664252046403</v>
      </c>
      <c r="UC40">
        <f t="shared" si="1428"/>
        <v>0.17489654606487193</v>
      </c>
      <c r="UD40">
        <f t="shared" si="1428"/>
        <v>0.1729973041960875</v>
      </c>
      <c r="UE40">
        <f t="shared" si="1428"/>
        <v>0.17111869026840054</v>
      </c>
      <c r="UF40">
        <f t="shared" si="1428"/>
        <v>0.16926048010378736</v>
      </c>
      <c r="UG40">
        <f t="shared" si="1428"/>
        <v>0.16742245196610384</v>
      </c>
      <c r="UH40">
        <f t="shared" si="1428"/>
        <v>0.16560438653337428</v>
      </c>
      <c r="UI40">
        <f t="shared" si="1428"/>
        <v>0.16380606687172872</v>
      </c>
      <c r="UJ40">
        <f t="shared" si="1428"/>
        <v>0.16202727840919806</v>
      </c>
      <c r="UK40">
        <f t="shared" si="1428"/>
        <v>0.16026780890967984</v>
      </c>
      <c r="UL40">
        <f t="shared" si="1428"/>
        <v>0.15852744844764288</v>
      </c>
      <c r="UM40">
        <f t="shared" si="1428"/>
        <v>0.15680598938257617</v>
      </c>
      <c r="UN40">
        <f t="shared" si="1428"/>
        <v>0.15510322633380724</v>
      </c>
      <c r="UO40">
        <f t="shared" si="1428"/>
        <v>0.1534189561564574</v>
      </c>
      <c r="UP40">
        <f t="shared" si="1428"/>
        <v>0.15175297791606113</v>
      </c>
      <c r="UQ40">
        <f t="shared" si="1428"/>
        <v>0.15010509286517504</v>
      </c>
      <c r="UR40">
        <f t="shared" si="1428"/>
        <v>0.14847510441876466</v>
      </c>
      <c r="US40">
        <f t="shared" si="1428"/>
        <v>0.14686281813109758</v>
      </c>
      <c r="UT40">
        <f t="shared" si="1428"/>
        <v>0.1452680416722103</v>
      </c>
      <c r="UU40">
        <f t="shared" si="1428"/>
        <v>0.1436905848043466</v>
      </c>
      <c r="UV40">
        <f t="shared" si="1428"/>
        <v>0.14213025935984547</v>
      </c>
      <c r="UW40">
        <f t="shared" si="1428"/>
        <v>0.14058687921789215</v>
      </c>
      <c r="UX40">
        <f t="shared" si="1428"/>
        <v>0.13906026028251972</v>
      </c>
      <c r="UY40">
        <f t="shared" si="1428"/>
        <v>0.13755022046001386</v>
      </c>
      <c r="UZ40">
        <f t="shared" si="1428"/>
        <v>0.13605657963779549</v>
      </c>
      <c r="VA40">
        <f t="shared" si="1428"/>
        <v>0.13457915966193923</v>
      </c>
      <c r="VB40">
        <f t="shared" si="1428"/>
        <v>0.13311778431645394</v>
      </c>
      <c r="VC40">
        <f t="shared" si="1428"/>
        <v>0.13167227930173908</v>
      </c>
      <c r="VD40">
        <f t="shared" si="1428"/>
        <v>0.13024247221375163</v>
      </c>
      <c r="VE40">
        <f t="shared" si="1428"/>
        <v>0.12882819252345712</v>
      </c>
      <c r="VF40">
        <f t="shared" si="1428"/>
        <v>0.12742927155616712</v>
      </c>
      <c r="VG40">
        <f t="shared" si="1428"/>
        <v>0.12604554247133137</v>
      </c>
      <c r="VH40">
        <f t="shared" si="1428"/>
        <v>0.12467684024267101</v>
      </c>
      <c r="VI40">
        <f t="shared" si="1428"/>
        <v>0.1233230016383402</v>
      </c>
      <c r="VJ40">
        <f t="shared" si="1428"/>
        <v>0.12198386520105942</v>
      </c>
      <c r="VK40">
        <f t="shared" si="1428"/>
        <v>0.12065927122921494</v>
      </c>
      <c r="VL40">
        <f t="shared" si="1428"/>
        <v>0.11934906175739002</v>
      </c>
      <c r="VM40">
        <f t="shared" si="1428"/>
        <v>0.11805308053757813</v>
      </c>
      <c r="VN40">
        <f t="shared" si="1428"/>
        <v>0.11677117302042461</v>
      </c>
      <c r="VO40">
        <f t="shared" si="1428"/>
        <v>0.1155031863366105</v>
      </c>
      <c r="VP40">
        <f t="shared" si="1428"/>
        <v>0.11424896927871941</v>
      </c>
      <c r="VQ40">
        <f t="shared" si="1428"/>
        <v>0.1130083722830193</v>
      </c>
      <c r="VR40">
        <f t="shared" ref="VR40:YC40" si="1429">$N$9*VR24+$O$9*VR25+$P$9*VR26</f>
        <v>0.1117812474114146</v>
      </c>
      <c r="VS40">
        <f t="shared" si="1429"/>
        <v>0.11056744833405219</v>
      </c>
      <c r="VT40">
        <f t="shared" si="1429"/>
        <v>0.10936683031158623</v>
      </c>
      <c r="VU40">
        <f t="shared" si="1429"/>
        <v>0.10817925017761354</v>
      </c>
      <c r="VV40">
        <f t="shared" si="1429"/>
        <v>0.10700456632224586</v>
      </c>
      <c r="VW40">
        <f t="shared" si="1429"/>
        <v>0.10584263867431787</v>
      </c>
      <c r="VX40">
        <f t="shared" si="1429"/>
        <v>0.10469332868510151</v>
      </c>
      <c r="VY40">
        <f t="shared" si="1429"/>
        <v>0.10355649931176458</v>
      </c>
      <c r="VZ40">
        <f t="shared" si="1429"/>
        <v>0.1024320150008009</v>
      </c>
      <c r="WA40">
        <f t="shared" si="1429"/>
        <v>0.1013197416717162</v>
      </c>
      <c r="WB40">
        <f t="shared" si="1429"/>
        <v>0.10021954670122568</v>
      </c>
      <c r="WC40">
        <f t="shared" si="1429"/>
        <v>9.9131298907224163E-2</v>
      </c>
      <c r="WD40">
        <f t="shared" si="1429"/>
        <v>9.8054868533182571E-2</v>
      </c>
      <c r="WE40">
        <f t="shared" si="1429"/>
        <v>0.70254059289413817</v>
      </c>
      <c r="WF40">
        <f t="shared" si="1429"/>
        <v>1.5872755571205062</v>
      </c>
      <c r="WG40">
        <f t="shared" si="1429"/>
        <v>2.61305168597994</v>
      </c>
      <c r="WH40">
        <f t="shared" si="1429"/>
        <v>3.7171768818632245</v>
      </c>
      <c r="WI40">
        <f t="shared" si="1429"/>
        <v>4.8694237878181923</v>
      </c>
      <c r="WJ40">
        <f t="shared" si="1429"/>
        <v>6.0539516552773307</v>
      </c>
      <c r="WK40">
        <f t="shared" si="1429"/>
        <v>7.2616698908513513</v>
      </c>
      <c r="WL40">
        <f t="shared" si="1429"/>
        <v>8.4868829465835063</v>
      </c>
      <c r="WM40">
        <f t="shared" si="1429"/>
        <v>9.7257388745220794</v>
      </c>
      <c r="WN40">
        <f t="shared" si="1429"/>
        <v>10.975465979917146</v>
      </c>
      <c r="WO40">
        <f t="shared" si="1429"/>
        <v>12.2339704672697</v>
      </c>
      <c r="WP40">
        <f t="shared" si="1429"/>
        <v>13.499609181939036</v>
      </c>
      <c r="WQ40">
        <f t="shared" si="1429"/>
        <v>14.771052877993895</v>
      </c>
      <c r="WR40">
        <f t="shared" si="1429"/>
        <v>16.047199416542014</v>
      </c>
      <c r="WS40">
        <f t="shared" si="1429"/>
        <v>17.327116195624143</v>
      </c>
      <c r="WT40">
        <f t="shared" si="1429"/>
        <v>18.610000585026455</v>
      </c>
      <c r="WU40">
        <f t="shared" si="1429"/>
        <v>19.895151915919001</v>
      </c>
      <c r="WV40">
        <f t="shared" si="1429"/>
        <v>21.181951132013808</v>
      </c>
      <c r="WW40">
        <f t="shared" si="1429"/>
        <v>22.469845656961269</v>
      </c>
      <c r="WX40">
        <f t="shared" si="1429"/>
        <v>23.758337893919645</v>
      </c>
      <c r="WY40">
        <f t="shared" si="1429"/>
        <v>25.046976306113464</v>
      </c>
      <c r="WZ40">
        <f t="shared" si="1429"/>
        <v>26.335348367152221</v>
      </c>
      <c r="XA40">
        <f t="shared" si="1429"/>
        <v>27.623074891839366</v>
      </c>
      <c r="XB40">
        <f t="shared" si="1429"/>
        <v>28.909805405708653</v>
      </c>
      <c r="XC40">
        <f t="shared" si="1429"/>
        <v>30.195214310953361</v>
      </c>
      <c r="XD40">
        <f t="shared" si="1429"/>
        <v>31.478997674257499</v>
      </c>
      <c r="XE40">
        <f t="shared" si="1429"/>
        <v>32.760870508845557</v>
      </c>
      <c r="XF40">
        <f t="shared" si="1429"/>
        <v>34.040564455728855</v>
      </c>
      <c r="XG40">
        <f t="shared" si="1429"/>
        <v>35.317825792183157</v>
      </c>
      <c r="XH40">
        <f t="shared" si="1429"/>
        <v>36.592413711984136</v>
      </c>
      <c r="XI40">
        <f t="shared" si="1429"/>
        <v>37.864098833877676</v>
      </c>
      <c r="XJ40">
        <f t="shared" si="1429"/>
        <v>39.132661903567907</v>
      </c>
      <c r="XK40">
        <f t="shared" si="1429"/>
        <v>40.397892661086274</v>
      </c>
      <c r="XL40">
        <f t="shared" si="1429"/>
        <v>41.659588850420818</v>
      </c>
      <c r="XM40">
        <f t="shared" si="1429"/>
        <v>42.917555352162026</v>
      </c>
      <c r="XN40">
        <f t="shared" si="1429"/>
        <v>44.17160342297646</v>
      </c>
      <c r="XO40">
        <f t="shared" si="1429"/>
        <v>45.421550028170458</v>
      </c>
      <c r="XP40">
        <f t="shared" si="1429"/>
        <v>46.667217255587133</v>
      </c>
      <c r="XQ40">
        <f t="shared" si="1429"/>
        <v>47.908431800723093</v>
      </c>
      <c r="XR40">
        <f t="shared" si="1429"/>
        <v>49.14502451431278</v>
      </c>
      <c r="XS40">
        <f t="shared" si="1429"/>
        <v>50.376830004780857</v>
      </c>
      <c r="XT40">
        <f t="shared" si="1429"/>
        <v>51.603686288939144</v>
      </c>
      <c r="XU40">
        <f t="shared" si="1429"/>
        <v>52.825434485141727</v>
      </c>
      <c r="XV40">
        <f t="shared" si="1429"/>
        <v>54.041918543830576</v>
      </c>
      <c r="XW40">
        <f t="shared" si="1429"/>
        <v>55.252985011031399</v>
      </c>
      <c r="XX40">
        <f t="shared" si="1429"/>
        <v>56.458482820894915</v>
      </c>
      <c r="XY40">
        <f t="shared" si="1429"/>
        <v>57.658263113855867</v>
      </c>
      <c r="XZ40">
        <f t="shared" si="1429"/>
        <v>58.852179077391156</v>
      </c>
      <c r="YA40">
        <f t="shared" si="1429"/>
        <v>60.040085806719048</v>
      </c>
      <c r="YB40">
        <f t="shared" si="1429"/>
        <v>61.221840183100369</v>
      </c>
      <c r="YC40">
        <f t="shared" si="1429"/>
        <v>62.397300767676654</v>
      </c>
      <c r="YD40">
        <f t="shared" ref="YD40:AAO40" si="1430">$N$9*YD24+$O$9*YD25+$P$9*YD26</f>
        <v>63.566327709026325</v>
      </c>
      <c r="YE40">
        <f t="shared" si="1430"/>
        <v>64.728782662833453</v>
      </c>
      <c r="YF40">
        <f t="shared" si="1430"/>
        <v>65.884528722254402</v>
      </c>
      <c r="YG40">
        <f t="shared" si="1430"/>
        <v>67.033430357729685</v>
      </c>
      <c r="YH40">
        <f t="shared" si="1430"/>
        <v>68.175353365140211</v>
      </c>
      <c r="YI40">
        <f t="shared" si="1430"/>
        <v>69.310164821331227</v>
      </c>
      <c r="YJ40">
        <f t="shared" si="1430"/>
        <v>70.437733046143819</v>
      </c>
      <c r="YK40">
        <f t="shared" si="1430"/>
        <v>71.557927570195261</v>
      </c>
      <c r="YL40">
        <f t="shared" si="1430"/>
        <v>72.670619107731909</v>
      </c>
      <c r="YM40">
        <f t="shared" si="1430"/>
        <v>73.775679533965786</v>
      </c>
      <c r="YN40">
        <f t="shared" si="1430"/>
        <v>74.872981866366104</v>
      </c>
      <c r="YO40">
        <f t="shared" si="1430"/>
        <v>75.962400249442453</v>
      </c>
      <c r="YP40">
        <f t="shared" si="1430"/>
        <v>77.043809942610835</v>
      </c>
      <c r="YQ40">
        <f t="shared" si="1430"/>
        <v>78.117087310775162</v>
      </c>
      <c r="YR40">
        <f t="shared" si="1430"/>
        <v>79.182109817307776</v>
      </c>
      <c r="YS40">
        <f t="shared" si="1430"/>
        <v>80.238756019141078</v>
      </c>
      <c r="YT40">
        <f t="shared" si="1430"/>
        <v>81.286905563719188</v>
      </c>
      <c r="YU40">
        <f t="shared" si="1430"/>
        <v>82.326439187587198</v>
      </c>
      <c r="YV40">
        <f t="shared" si="1430"/>
        <v>83.357238716420966</v>
      </c>
      <c r="YW40">
        <f t="shared" si="1430"/>
        <v>84.379187066320526</v>
      </c>
      <c r="YX40">
        <f t="shared" si="1430"/>
        <v>85.392168246214283</v>
      </c>
      <c r="YY40">
        <f t="shared" si="1430"/>
        <v>86.396067361234543</v>
      </c>
      <c r="YZ40">
        <f t="shared" si="1430"/>
        <v>87.390770616944337</v>
      </c>
      <c r="ZA40">
        <f t="shared" si="1430"/>
        <v>88.376165324305532</v>
      </c>
      <c r="ZB40">
        <f t="shared" si="1430"/>
        <v>89.352139905293143</v>
      </c>
      <c r="ZC40">
        <f t="shared" si="1430"/>
        <v>90.3185838990712</v>
      </c>
      <c r="ZD40">
        <f t="shared" si="1430"/>
        <v>91.275387968652979</v>
      </c>
      <c r="ZE40">
        <f t="shared" si="1430"/>
        <v>92.222443907979368</v>
      </c>
      <c r="ZF40">
        <f t="shared" si="1430"/>
        <v>93.159644649354732</v>
      </c>
      <c r="ZG40">
        <f t="shared" si="1430"/>
        <v>94.086884271189263</v>
      </c>
      <c r="ZH40">
        <f t="shared" si="1430"/>
        <v>95.004058005996285</v>
      </c>
      <c r="ZI40">
        <f t="shared" si="1430"/>
        <v>95.911062248606356</v>
      </c>
      <c r="ZJ40">
        <f t="shared" si="1430"/>
        <v>96.807794564559629</v>
      </c>
      <c r="ZK40">
        <f t="shared" si="1430"/>
        <v>97.694153698639752</v>
      </c>
      <c r="ZL40">
        <f t="shared" si="1430"/>
        <v>98.570039583525158</v>
      </c>
      <c r="ZM40">
        <f t="shared" si="1430"/>
        <v>99.435353348526064</v>
      </c>
      <c r="ZN40">
        <f t="shared" si="1430"/>
        <v>100.2899973283848</v>
      </c>
      <c r="ZO40">
        <f t="shared" si="1430"/>
        <v>101.13387507212008</v>
      </c>
      <c r="ZP40">
        <f t="shared" si="1430"/>
        <v>101.96689135189325</v>
      </c>
      <c r="ZQ40">
        <f t="shared" si="1430"/>
        <v>102.78895217188074</v>
      </c>
      <c r="ZR40">
        <f t="shared" si="1430"/>
        <v>103.59996477713742</v>
      </c>
      <c r="ZS40">
        <f t="shared" si="1430"/>
        <v>104.39983766243762</v>
      </c>
      <c r="ZT40">
        <f t="shared" si="1430"/>
        <v>105.18848058107909</v>
      </c>
      <c r="ZU40">
        <f t="shared" si="1430"/>
        <v>105.96580455364244</v>
      </c>
      <c r="ZV40">
        <f t="shared" si="1430"/>
        <v>106.73172187669184</v>
      </c>
      <c r="ZW40">
        <f t="shared" si="1430"/>
        <v>107.48614613141154</v>
      </c>
      <c r="ZX40">
        <f t="shared" si="1430"/>
        <v>108.22899219216788</v>
      </c>
      <c r="ZY40">
        <f t="shared" si="1430"/>
        <v>108.96017623499046</v>
      </c>
      <c r="ZZ40">
        <f t="shared" si="1430"/>
        <v>109.67961574596376</v>
      </c>
      <c r="AAA40">
        <f t="shared" si="1430"/>
        <v>110.38722952952685</v>
      </c>
      <c r="AAB40">
        <f t="shared" si="1430"/>
        <v>111.08293771667246</v>
      </c>
      <c r="AAC40">
        <f t="shared" si="1430"/>
        <v>111.76666177303997</v>
      </c>
      <c r="AAD40">
        <f t="shared" si="1430"/>
        <v>112.43832450690149</v>
      </c>
      <c r="AAE40">
        <f t="shared" si="1430"/>
        <v>113.09785007703323</v>
      </c>
      <c r="AAF40">
        <f t="shared" si="1430"/>
        <v>113.74516400046849</v>
      </c>
      <c r="AAG40">
        <f t="shared" si="1430"/>
        <v>114.38019316013219</v>
      </c>
      <c r="AAH40">
        <f t="shared" si="1430"/>
        <v>115.0028658123486</v>
      </c>
      <c r="AAI40">
        <f t="shared" si="1430"/>
        <v>115.61311159422405</v>
      </c>
      <c r="AAJ40">
        <f t="shared" si="1430"/>
        <v>116.21086153089811</v>
      </c>
      <c r="AAK40">
        <f t="shared" si="1430"/>
        <v>116.79604804266353</v>
      </c>
      <c r="AAL40">
        <f t="shared" si="1430"/>
        <v>117.3686049519506</v>
      </c>
      <c r="AAM40">
        <f t="shared" si="1430"/>
        <v>117.92846749017519</v>
      </c>
      <c r="AAN40">
        <f t="shared" si="1430"/>
        <v>118.47557230444687</v>
      </c>
      <c r="AAO40">
        <f t="shared" si="1430"/>
        <v>119.00985746413647</v>
      </c>
    </row>
    <row r="41" spans="1:719">
      <c r="A41" s="4">
        <f>A40+1</f>
        <v>2</v>
      </c>
      <c r="B41" s="1">
        <f>$O$10*B25+$P$10*B26+$Q$10*B27</f>
        <v>0</v>
      </c>
      <c r="C41">
        <f>$O$10*C25+$P$10*C26+$Q$10*C27</f>
        <v>-0.40159239626882481</v>
      </c>
      <c r="D41">
        <f t="shared" ref="D41" si="1431">$O$10*D25+$P$10*D26+$Q$10*D27</f>
        <v>-0.91065591519259215</v>
      </c>
      <c r="E41">
        <f t="shared" ref="E41:BP41" si="1432">$O$10*E25+$P$10*E26+$Q$10*E27</f>
        <v>-1.4224546283164727</v>
      </c>
      <c r="F41">
        <f t="shared" si="1432"/>
        <v>-1.9032294589532057</v>
      </c>
      <c r="G41">
        <f t="shared" si="1432"/>
        <v>-2.3451424951908564</v>
      </c>
      <c r="H41">
        <f t="shared" si="1432"/>
        <v>-2.749275694496049</v>
      </c>
      <c r="I41">
        <f t="shared" si="1432"/>
        <v>-3.1193354257928547</v>
      </c>
      <c r="J41">
        <f t="shared" si="1432"/>
        <v>-3.4594164587494447</v>
      </c>
      <c r="K41">
        <f t="shared" si="1432"/>
        <v>-3.7732826883784014</v>
      </c>
      <c r="L41">
        <f t="shared" si="1432"/>
        <v>-4.0641966201664275</v>
      </c>
      <c r="M41">
        <f t="shared" si="1432"/>
        <v>-4.3349334980228775</v>
      </c>
      <c r="N41">
        <f t="shared" si="1432"/>
        <v>-4.5878466469063142</v>
      </c>
      <c r="O41">
        <f t="shared" si="1432"/>
        <v>-4.8249378723866698</v>
      </c>
      <c r="P41">
        <f t="shared" si="1432"/>
        <v>-5.0479190599378398</v>
      </c>
      <c r="Q41">
        <f t="shared" si="1432"/>
        <v>-5.2582625162201282</v>
      </c>
      <c r="R41">
        <f t="shared" si="1432"/>
        <v>-5.4572411920017885</v>
      </c>
      <c r="S41">
        <f t="shared" si="1432"/>
        <v>-5.645960725826825</v>
      </c>
      <c r="T41">
        <f t="shared" si="1432"/>
        <v>-5.8253851313724283</v>
      </c>
      <c r="U41">
        <f t="shared" si="1432"/>
        <v>-5.9963576039417319</v>
      </c>
      <c r="V41">
        <f t="shared" si="1432"/>
        <v>-6.1596175732441623</v>
      </c>
      <c r="W41">
        <f t="shared" si="1432"/>
        <v>-6.315814844026562</v>
      </c>
      <c r="X41">
        <f t="shared" si="1432"/>
        <v>-6.4655214491400841</v>
      </c>
      <c r="Y41">
        <f t="shared" si="1432"/>
        <v>-6.6092416801977265</v>
      </c>
      <c r="Z41">
        <f t="shared" si="1432"/>
        <v>-6.7474206454373586</v>
      </c>
      <c r="AA41">
        <f t="shared" si="1432"/>
        <v>-6.8804516209247595</v>
      </c>
      <c r="AB41">
        <f t="shared" si="1432"/>
        <v>-7.0086824006976371</v>
      </c>
      <c r="AC41">
        <f t="shared" si="1432"/>
        <v>-7.1324208071932844</v>
      </c>
      <c r="AD41">
        <f t="shared" si="1432"/>
        <v>-7.2519394905781951</v>
      </c>
      <c r="AE41">
        <f t="shared" si="1432"/>
        <v>-7.3674801210658529</v>
      </c>
      <c r="AF41">
        <f t="shared" si="1432"/>
        <v>-7.4792570596278267</v>
      </c>
      <c r="AG41">
        <f t="shared" si="1432"/>
        <v>-7.5874605780594777</v>
      </c>
      <c r="AH41">
        <f t="shared" si="1432"/>
        <v>-7.6922596879931291</v>
      </c>
      <c r="AI41">
        <f t="shared" si="1432"/>
        <v>-7.7938046293760692</v>
      </c>
      <c r="AJ41">
        <f t="shared" si="1432"/>
        <v>-7.8922290615624888</v>
      </c>
      <c r="AK41">
        <f t="shared" si="1432"/>
        <v>-7.9876519941174422</v>
      </c>
      <c r="AL41">
        <f t="shared" si="1432"/>
        <v>-8.0801794893888541</v>
      </c>
      <c r="AM41">
        <f t="shared" si="1432"/>
        <v>-8.1699061646666848</v>
      </c>
      <c r="AN41">
        <f t="shared" si="1432"/>
        <v>-8.2569165181559185</v>
      </c>
      <c r="AO41">
        <f t="shared" si="1432"/>
        <v>-8.3412860999094107</v>
      </c>
      <c r="AP41">
        <f t="shared" si="1432"/>
        <v>-8.423082546232564</v>
      </c>
      <c r="AQ41">
        <f t="shared" si="1432"/>
        <v>-8.5023664937770036</v>
      </c>
      <c r="AR41">
        <f t="shared" si="1432"/>
        <v>-8.5791923875668488</v>
      </c>
      <c r="AS41">
        <f t="shared" si="1432"/>
        <v>-8.6536091954649805</v>
      </c>
      <c r="AT41">
        <f t="shared" si="1432"/>
        <v>-8.7256610400876298</v>
      </c>
      <c r="AU41">
        <f t="shared" si="1432"/>
        <v>-8.7953877578517563</v>
      </c>
      <c r="AV41">
        <f t="shared" si="1432"/>
        <v>-8.8628253936855117</v>
      </c>
      <c r="AW41">
        <f t="shared" si="1432"/>
        <v>-8.928006638918589</v>
      </c>
      <c r="AX41">
        <f t="shared" si="1432"/>
        <v>-8.990961218979038</v>
      </c>
      <c r="AY41">
        <f t="shared" si="1432"/>
        <v>-9.0517162367372066</v>
      </c>
      <c r="AZ41">
        <f t="shared" si="1432"/>
        <v>-9.1102964766518539</v>
      </c>
      <c r="BA41">
        <f t="shared" si="1432"/>
        <v>-9.1667246742677548</v>
      </c>
      <c r="BB41">
        <f t="shared" si="1432"/>
        <v>-9.2210217550733375</v>
      </c>
      <c r="BC41">
        <f t="shared" si="1432"/>
        <v>-9.2732070462647016</v>
      </c>
      <c r="BD41">
        <f t="shared" si="1432"/>
        <v>-9.3232984645443651</v>
      </c>
      <c r="BE41">
        <f t="shared" si="1432"/>
        <v>-9.3713126827122721</v>
      </c>
      <c r="BF41">
        <f t="shared" si="1432"/>
        <v>-9.4172652774949484</v>
      </c>
      <c r="BG41">
        <f t="shared" si="1432"/>
        <v>-9.4611708607623939</v>
      </c>
      <c r="BH41">
        <f t="shared" si="1432"/>
        <v>-9.5030431960418014</v>
      </c>
      <c r="BI41">
        <f t="shared" si="1432"/>
        <v>-9.5428953020066274</v>
      </c>
      <c r="BJ41">
        <f t="shared" si="1432"/>
        <v>-9.5807395444325039</v>
      </c>
      <c r="BK41">
        <f t="shared" si="1432"/>
        <v>-9.6165877179319637</v>
      </c>
      <c r="BL41">
        <f t="shared" si="1432"/>
        <v>-9.6504511186315654</v>
      </c>
      <c r="BM41">
        <f t="shared" si="1432"/>
        <v>-9.6823406088209936</v>
      </c>
      <c r="BN41">
        <f t="shared" si="1432"/>
        <v>-9.7122666744807589</v>
      </c>
      <c r="BO41">
        <f t="shared" si="1432"/>
        <v>-9.7402394764958444</v>
      </c>
      <c r="BP41">
        <f t="shared" si="1432"/>
        <v>-9.7662688962656148</v>
      </c>
      <c r="BQ41">
        <f t="shared" ref="BQ41:CU41" si="1433">$O$10*BQ25+$P$10*BQ26+$Q$10*BQ27</f>
        <v>-9.7903645763399822</v>
      </c>
      <c r="BR41">
        <f t="shared" si="1433"/>
        <v>-9.8125359566409429</v>
      </c>
      <c r="BS41">
        <f t="shared" si="1433"/>
        <v>-9.8327923067612346</v>
      </c>
      <c r="BT41">
        <f t="shared" si="1433"/>
        <v>-9.8511427547788344</v>
      </c>
      <c r="BU41">
        <f t="shared" si="1433"/>
        <v>-9.8675963129743991</v>
      </c>
      <c r="BV41">
        <f t="shared" si="1433"/>
        <v>-9.8821619007937898</v>
      </c>
      <c r="BW41">
        <f t="shared" si="1433"/>
        <v>-9.8948483653612698</v>
      </c>
      <c r="BX41">
        <f t="shared" si="1433"/>
        <v>-9.9056644998122465</v>
      </c>
      <c r="BY41">
        <f t="shared" si="1433"/>
        <v>-9.91461905968265</v>
      </c>
      <c r="BZ41">
        <f t="shared" si="1433"/>
        <v>-9.9217207775708971</v>
      </c>
      <c r="CA41">
        <f t="shared" si="1433"/>
        <v>-9.9269783762558177</v>
      </c>
      <c r="CB41">
        <f t="shared" si="1433"/>
        <v>-9.9304005804414146</v>
      </c>
      <c r="CC41">
        <f t="shared" si="1433"/>
        <v>-9.931996127273294</v>
      </c>
      <c r="CD41">
        <f t="shared" si="1433"/>
        <v>-9.931773775759325</v>
      </c>
      <c r="CE41">
        <f t="shared" si="1433"/>
        <v>-9.9297423152121382</v>
      </c>
      <c r="CF41">
        <f t="shared" si="1433"/>
        <v>-9.9259105728156669</v>
      </c>
      <c r="CG41">
        <f t="shared" si="1433"/>
        <v>-9.9202874204088403</v>
      </c>
      <c r="CH41">
        <f t="shared" si="1433"/>
        <v>-9.91288178056692</v>
      </c>
      <c r="CI41">
        <f t="shared" si="1433"/>
        <v>-9.9037026320556265</v>
      </c>
      <c r="CJ41">
        <f t="shared" si="1433"/>
        <v>-9.8927590147206388</v>
      </c>
      <c r="CK41">
        <f t="shared" si="1433"/>
        <v>-9.8800600338702225</v>
      </c>
      <c r="CL41">
        <f t="shared" si="1433"/>
        <v>-9.8656148642039057</v>
      </c>
      <c r="CM41">
        <f t="shared" si="1433"/>
        <v>-9.8494327533317687</v>
      </c>
      <c r="CN41">
        <f t="shared" si="1433"/>
        <v>-9.8315230249244223</v>
      </c>
      <c r="CO41">
        <f t="shared" si="1433"/>
        <v>-9.811895081531361</v>
      </c>
      <c r="CP41">
        <f t="shared" si="1433"/>
        <v>-9.7905584070981604</v>
      </c>
      <c r="CQ41">
        <f t="shared" si="1433"/>
        <v>-9.7675225692145204</v>
      </c>
      <c r="CR41">
        <f t="shared" si="1433"/>
        <v>-9.7427972211138467</v>
      </c>
      <c r="CS41">
        <f t="shared" si="1433"/>
        <v>-9.7163921034539271</v>
      </c>
      <c r="CT41">
        <f t="shared" si="1433"/>
        <v>-9.6883170458919494</v>
      </c>
      <c r="CU41">
        <f t="shared" si="1433"/>
        <v>-9.6585819684794387</v>
      </c>
      <c r="CV41">
        <f t="shared" ref="CV41:FG41" si="1434">$O$10*CV25+$P$10*CV26+$Q$10*CV27</f>
        <v>-9.6271968828866079</v>
      </c>
      <c r="CW41">
        <f t="shared" si="1434"/>
        <v>-9.5941718934768687</v>
      </c>
      <c r="CX41">
        <f t="shared" si="1434"/>
        <v>-9.5595171982405986</v>
      </c>
      <c r="CY41">
        <f t="shared" si="1434"/>
        <v>-9.5232430896014648</v>
      </c>
      <c r="CZ41">
        <f t="shared" si="1434"/>
        <v>-9.4853599551062757</v>
      </c>
      <c r="DA41">
        <f t="shared" si="1434"/>
        <v>-9.4458782780060915</v>
      </c>
      <c r="DB41">
        <f t="shared" si="1434"/>
        <v>-9.4048086377395066</v>
      </c>
      <c r="DC41">
        <f t="shared" si="1434"/>
        <v>-9.3621617103243011</v>
      </c>
      <c r="DD41">
        <f t="shared" si="1434"/>
        <v>-9.3179482686631445</v>
      </c>
      <c r="DE41">
        <f t="shared" si="1434"/>
        <v>-9.2721791827732432</v>
      </c>
      <c r="DF41">
        <f t="shared" si="1434"/>
        <v>-9.2248654199411249</v>
      </c>
      <c r="DG41">
        <f t="shared" si="1434"/>
        <v>-9.1760180448110304</v>
      </c>
      <c r="DH41">
        <f t="shared" si="1434"/>
        <v>-9.1256482194085038</v>
      </c>
      <c r="DI41">
        <f t="shared" si="1434"/>
        <v>-9.0737672031074226</v>
      </c>
      <c r="DJ41">
        <f t="shared" si="1434"/>
        <v>-9.0203863525384236</v>
      </c>
      <c r="DK41">
        <f t="shared" si="1434"/>
        <v>-8.9655171214478742</v>
      </c>
      <c r="DL41">
        <f t="shared" si="1434"/>
        <v>-8.9091710605061394</v>
      </c>
      <c r="DM41">
        <f t="shared" si="1434"/>
        <v>-8.8513598170702039</v>
      </c>
      <c r="DN41">
        <f t="shared" si="1434"/>
        <v>-8.7920951349030361</v>
      </c>
      <c r="DO41">
        <f t="shared" si="1434"/>
        <v>-8.7313888538492392</v>
      </c>
      <c r="DP41">
        <f t="shared" si="1434"/>
        <v>-8.6692529094750057</v>
      </c>
      <c r="DQ41">
        <f t="shared" si="1434"/>
        <v>-8.6056993326670295</v>
      </c>
      <c r="DR41">
        <f t="shared" si="1434"/>
        <v>-8.5407402491970856</v>
      </c>
      <c r="DS41">
        <f t="shared" si="1434"/>
        <v>-8.4743878792526743</v>
      </c>
      <c r="DT41">
        <f t="shared" si="1434"/>
        <v>-8.4066545369343544</v>
      </c>
      <c r="DU41">
        <f t="shared" si="1434"/>
        <v>-8.3375526297224383</v>
      </c>
      <c r="DV41">
        <f t="shared" si="1434"/>
        <v>-8.2670946579116276</v>
      </c>
      <c r="DW41">
        <f t="shared" si="1434"/>
        <v>-8.1952932140192161</v>
      </c>
      <c r="DX41">
        <f t="shared" si="1434"/>
        <v>-8.1221609821637344</v>
      </c>
      <c r="DY41">
        <f t="shared" si="1434"/>
        <v>-8.0477107374161392</v>
      </c>
      <c r="DZ41">
        <f t="shared" si="1434"/>
        <v>-7.971955345126446</v>
      </c>
      <c r="EA41">
        <f t="shared" si="1434"/>
        <v>-7.8949077602242141</v>
      </c>
      <c r="EB41">
        <f t="shared" si="1434"/>
        <v>-7.8165810264939637</v>
      </c>
      <c r="EC41">
        <f t="shared" si="1434"/>
        <v>-7.7369882758280824</v>
      </c>
      <c r="ED41">
        <f t="shared" si="1434"/>
        <v>-7.6561427274551193</v>
      </c>
      <c r="EE41">
        <f t="shared" si="1434"/>
        <v>-7.5740576871484109</v>
      </c>
      <c r="EF41">
        <f t="shared" si="1434"/>
        <v>-7.4907465464090706</v>
      </c>
      <c r="EG41">
        <f t="shared" si="1434"/>
        <v>-7.4062227816304471</v>
      </c>
      <c r="EH41">
        <f t="shared" si="1434"/>
        <v>-7.3204999532420061</v>
      </c>
      <c r="EI41">
        <f t="shared" si="1434"/>
        <v>-7.2335917048306442</v>
      </c>
      <c r="EJ41">
        <f t="shared" si="1434"/>
        <v>-7.145511762244837</v>
      </c>
      <c r="EK41">
        <f t="shared" si="1434"/>
        <v>-7.056273932677982</v>
      </c>
      <c r="EL41">
        <f t="shared" si="1434"/>
        <v>-6.9658921037340633</v>
      </c>
      <c r="EM41">
        <f t="shared" si="1434"/>
        <v>-6.8743802424732507</v>
      </c>
      <c r="EN41">
        <f t="shared" si="1434"/>
        <v>-6.781752394441753</v>
      </c>
      <c r="EO41">
        <f t="shared" si="1434"/>
        <v>-6.6880226826823446</v>
      </c>
      <c r="EP41">
        <f t="shared" si="1434"/>
        <v>-6.5932053067282368</v>
      </c>
      <c r="EQ41">
        <f t="shared" si="1434"/>
        <v>-6.4973145415800104</v>
      </c>
      <c r="ER41">
        <f t="shared" si="1434"/>
        <v>-6.4003647366663472</v>
      </c>
      <c r="ES41">
        <f t="shared" si="1434"/>
        <v>-6.3023703147885044</v>
      </c>
      <c r="ET41">
        <f t="shared" si="1434"/>
        <v>-6.2033457710483617</v>
      </c>
      <c r="EU41">
        <f t="shared" si="1434"/>
        <v>-6.1033056717618592</v>
      </c>
      <c r="EV41">
        <f t="shared" si="1434"/>
        <v>-6.0022646533566899</v>
      </c>
      <c r="EW41">
        <f t="shared" si="1434"/>
        <v>-5.900237421255099</v>
      </c>
      <c r="EX41">
        <f t="shared" si="1434"/>
        <v>-5.7972387487417336</v>
      </c>
      <c r="EY41">
        <f t="shared" si="1434"/>
        <v>-5.6932834758188164</v>
      </c>
      <c r="EZ41">
        <f t="shared" si="1434"/>
        <v>-5.5883865080445503</v>
      </c>
      <c r="FA41">
        <f t="shared" si="1434"/>
        <v>-5.4825628153603816</v>
      </c>
      <c r="FB41">
        <f t="shared" si="1434"/>
        <v>-5.3758274309034846</v>
      </c>
      <c r="FC41">
        <f t="shared" si="1434"/>
        <v>-5.2681954498054324</v>
      </c>
      <c r="FD41">
        <f t="shared" si="1434"/>
        <v>-5.1596820279798976</v>
      </c>
      <c r="FE41">
        <f t="shared" si="1434"/>
        <v>-5.0503023808958574</v>
      </c>
      <c r="FF41">
        <f t="shared" si="1434"/>
        <v>-4.9400717823386344</v>
      </c>
      <c r="FG41">
        <f t="shared" si="1434"/>
        <v>-4.8290055631600239</v>
      </c>
      <c r="FH41">
        <f t="shared" ref="FH41:HS41" si="1435">$O$10*FH25+$P$10*FH26+$Q$10*FH27</f>
        <v>-4.7171191100150054</v>
      </c>
      <c r="FI41">
        <f t="shared" si="1435"/>
        <v>-4.6044278640875405</v>
      </c>
      <c r="FJ41">
        <f t="shared" si="1435"/>
        <v>-4.4909473198041496</v>
      </c>
      <c r="FK41">
        <f t="shared" si="1435"/>
        <v>-4.3766930235381096</v>
      </c>
      <c r="FL41">
        <f t="shared" si="1435"/>
        <v>-4.2616805723008611</v>
      </c>
      <c r="FM41">
        <f t="shared" si="1435"/>
        <v>-4.1459256124230706</v>
      </c>
      <c r="FN41">
        <f t="shared" si="1435"/>
        <v>-4.0294438382260296</v>
      </c>
      <c r="FO41">
        <f t="shared" si="1435"/>
        <v>-3.9122509906820255</v>
      </c>
      <c r="FP41">
        <f t="shared" si="1435"/>
        <v>-3.7943628560649358</v>
      </c>
      <c r="FQ41">
        <f t="shared" si="1435"/>
        <v>-3.6757952645918408</v>
      </c>
      <c r="FR41">
        <f t="shared" si="1435"/>
        <v>-3.5565640890532109</v>
      </c>
      <c r="FS41">
        <f t="shared" si="1435"/>
        <v>-3.4366852434358748</v>
      </c>
      <c r="FT41">
        <f t="shared" si="1435"/>
        <v>-3.3161746815353013</v>
      </c>
      <c r="FU41">
        <f t="shared" si="1435"/>
        <v>-3.1950483955610025</v>
      </c>
      <c r="FV41">
        <f t="shared" si="1435"/>
        <v>-3.0733224147300575</v>
      </c>
      <c r="FW41">
        <f t="shared" si="1435"/>
        <v>-2.95101280385569</v>
      </c>
      <c r="FX41">
        <f t="shared" si="1435"/>
        <v>-2.8281356619263534</v>
      </c>
      <c r="FY41">
        <f t="shared" si="1435"/>
        <v>-2.7047071206754936</v>
      </c>
      <c r="FZ41">
        <f t="shared" si="1435"/>
        <v>-2.5807433431454569</v>
      </c>
      <c r="GA41">
        <f t="shared" si="1435"/>
        <v>-2.4562605222438378</v>
      </c>
      <c r="GB41">
        <f t="shared" si="1435"/>
        <v>-2.3312748792907882</v>
      </c>
      <c r="GC41">
        <f t="shared" si="1435"/>
        <v>-2.2058026625614957</v>
      </c>
      <c r="GD41">
        <f t="shared" si="1435"/>
        <v>-2.0798601458199641</v>
      </c>
      <c r="GE41">
        <f t="shared" si="1435"/>
        <v>-1.9534636268472241</v>
      </c>
      <c r="GF41">
        <f t="shared" si="1435"/>
        <v>-1.8266294259630627</v>
      </c>
      <c r="GG41">
        <f t="shared" si="1435"/>
        <v>-1.6993738845412736</v>
      </c>
      <c r="GH41">
        <f t="shared" si="1435"/>
        <v>-1.571713363518711</v>
      </c>
      <c r="GI41">
        <f t="shared" si="1435"/>
        <v>-1.443664241899171</v>
      </c>
      <c r="GJ41">
        <f t="shared" si="1435"/>
        <v>-1.3152429152518721</v>
      </c>
      <c r="GK41">
        <f t="shared" si="1435"/>
        <v>-1.1864657942034</v>
      </c>
      <c r="GL41">
        <f t="shared" si="1435"/>
        <v>-1.0573493029260135</v>
      </c>
      <c r="GM41">
        <f t="shared" si="1435"/>
        <v>-0.92790987762003851</v>
      </c>
      <c r="GN41">
        <f t="shared" si="1435"/>
        <v>-0.79816396499234088</v>
      </c>
      <c r="GO41">
        <f t="shared" si="1435"/>
        <v>-0.66812802072951172</v>
      </c>
      <c r="GP41">
        <f t="shared" si="1435"/>
        <v>-0.53781850796764274</v>
      </c>
      <c r="GQ41">
        <f t="shared" si="1435"/>
        <v>-0.40725189575755394</v>
      </c>
      <c r="GR41">
        <f t="shared" si="1435"/>
        <v>-0.27644465752604219</v>
      </c>
      <c r="GS41">
        <f t="shared" si="1435"/>
        <v>-0.14541326953434464</v>
      </c>
      <c r="GT41">
        <f t="shared" si="1435"/>
        <v>-1.4174209332111332E-2</v>
      </c>
      <c r="GU41">
        <f t="shared" si="1435"/>
        <v>0.11725604579078208</v>
      </c>
      <c r="GV41">
        <f t="shared" si="1435"/>
        <v>0.24886102035674185</v>
      </c>
      <c r="GW41">
        <f t="shared" si="1435"/>
        <v>0.3806242422533046</v>
      </c>
      <c r="GX41">
        <f t="shared" si="1435"/>
        <v>0.5125292442920113</v>
      </c>
      <c r="GY41">
        <f t="shared" si="1435"/>
        <v>0.64455956576614426</v>
      </c>
      <c r="GZ41">
        <f t="shared" si="1435"/>
        <v>0.77669875401295485</v>
      </c>
      <c r="HA41">
        <f t="shared" si="1435"/>
        <v>0.90893036597708488</v>
      </c>
      <c r="HB41">
        <f t="shared" si="1435"/>
        <v>1.0412379697752954</v>
      </c>
      <c r="HC41">
        <f t="shared" si="1435"/>
        <v>1.1736051462634691</v>
      </c>
      <c r="HD41">
        <f t="shared" si="1435"/>
        <v>1.3060154906043522</v>
      </c>
      <c r="HE41">
        <f t="shared" si="1435"/>
        <v>1.4384526138363753</v>
      </c>
      <c r="HF41">
        <f t="shared" si="1435"/>
        <v>1.5709001444440105</v>
      </c>
      <c r="HG41">
        <f t="shared" si="1435"/>
        <v>1.7033417299278995</v>
      </c>
      <c r="HH41">
        <f t="shared" si="1435"/>
        <v>1.8357610383765177</v>
      </c>
      <c r="HI41">
        <f t="shared" si="1435"/>
        <v>1.9681417600367013</v>
      </c>
      <c r="HJ41">
        <f t="shared" si="1435"/>
        <v>2.1004676088861629</v>
      </c>
      <c r="HK41">
        <f t="shared" si="1435"/>
        <v>2.2327223242038485</v>
      </c>
      <c r="HL41">
        <f t="shared" si="1435"/>
        <v>2.3648896721412029</v>
      </c>
      <c r="HM41">
        <f t="shared" si="1435"/>
        <v>2.4969534472926966</v>
      </c>
      <c r="HN41">
        <f t="shared" si="1435"/>
        <v>2.6288974742655569</v>
      </c>
      <c r="HO41">
        <f t="shared" si="1435"/>
        <v>2.7607056092486459</v>
      </c>
      <c r="HP41">
        <f t="shared" si="1435"/>
        <v>2.8923617415794638</v>
      </c>
      <c r="HQ41">
        <f t="shared" si="1435"/>
        <v>3.0238497953108094</v>
      </c>
      <c r="HR41">
        <f t="shared" si="1435"/>
        <v>3.1551537307755098</v>
      </c>
      <c r="HS41">
        <f t="shared" si="1435"/>
        <v>3.2862575461497272</v>
      </c>
      <c r="HT41">
        <f t="shared" ref="HT41:JI41" si="1436">$O$10*HT25+$P$10*HT26+$Q$10*HT27</f>
        <v>3.4171452790129706</v>
      </c>
      <c r="HU41">
        <f t="shared" si="1436"/>
        <v>3.547801007907708</v>
      </c>
      <c r="HV41">
        <f t="shared" si="1436"/>
        <v>3.6782088538967059</v>
      </c>
      <c r="HW41">
        <f t="shared" si="1436"/>
        <v>3.8083529821148545</v>
      </c>
      <c r="HX41">
        <f t="shared" si="1436"/>
        <v>3.938217603322812</v>
      </c>
      <c r="HY41">
        <f t="shared" si="1436"/>
        <v>4.067786975453771</v>
      </c>
      <c r="HZ41">
        <f t="shared" si="1436"/>
        <v>4.1970454051593151</v>
      </c>
      <c r="IA41">
        <f t="shared" si="1436"/>
        <v>4.3259772493515243</v>
      </c>
      <c r="IB41">
        <f t="shared" si="1436"/>
        <v>4.4545669167407596</v>
      </c>
      <c r="IC41">
        <f t="shared" si="1436"/>
        <v>4.5827988693710608</v>
      </c>
      <c r="ID41">
        <f t="shared" si="1436"/>
        <v>4.7106576241505991</v>
      </c>
      <c r="IE41">
        <f t="shared" si="1436"/>
        <v>4.838127754378263</v>
      </c>
      <c r="IF41">
        <f t="shared" si="1436"/>
        <v>4.9651938912666083</v>
      </c>
      <c r="IG41">
        <f t="shared" si="1436"/>
        <v>5.0918407254592353</v>
      </c>
      <c r="IH41">
        <f t="shared" si="1436"/>
        <v>5.2180530085447003</v>
      </c>
      <c r="II41">
        <f t="shared" si="1436"/>
        <v>5.3438155545647987</v>
      </c>
      <c r="IJ41">
        <f t="shared" si="1436"/>
        <v>5.4691132415181869</v>
      </c>
      <c r="IK41">
        <f t="shared" si="1436"/>
        <v>5.5939310128579223</v>
      </c>
      <c r="IL41">
        <f t="shared" si="1436"/>
        <v>5.718253878985422</v>
      </c>
      <c r="IM41">
        <f t="shared" si="1436"/>
        <v>5.8420669187372027</v>
      </c>
      <c r="IN41">
        <f t="shared" si="1436"/>
        <v>5.9653552808658787</v>
      </c>
      <c r="IO41">
        <f t="shared" si="1436"/>
        <v>6.0881041855167837</v>
      </c>
      <c r="IP41">
        <f t="shared" si="1436"/>
        <v>6.210298925696577</v>
      </c>
      <c r="IQ41">
        <f t="shared" si="1436"/>
        <v>6.3319248687366212</v>
      </c>
      <c r="IR41">
        <f t="shared" si="1436"/>
        <v>6.4529674577497644</v>
      </c>
      <c r="IS41">
        <f t="shared" si="1436"/>
        <v>6.5734122130801325</v>
      </c>
      <c r="IT41">
        <f t="shared" si="1436"/>
        <v>6.6932447337461554</v>
      </c>
      <c r="IU41">
        <f t="shared" si="1436"/>
        <v>6.8124506988766029</v>
      </c>
      <c r="IV41">
        <f t="shared" si="1436"/>
        <v>6.931015869139685</v>
      </c>
      <c r="IW41">
        <f t="shared" si="1436"/>
        <v>7.0489260881641371</v>
      </c>
      <c r="IX41">
        <f t="shared" si="1436"/>
        <v>7.1661672839542234</v>
      </c>
      <c r="IY41">
        <f t="shared" si="1436"/>
        <v>7.2827254702941673</v>
      </c>
      <c r="IZ41">
        <f t="shared" si="1436"/>
        <v>7.3985867481482614</v>
      </c>
      <c r="JA41">
        <f t="shared" si="1436"/>
        <v>7.5137373070497802</v>
      </c>
      <c r="JB41">
        <f t="shared" si="1436"/>
        <v>7.628163426483809</v>
      </c>
      <c r="JC41">
        <f t="shared" si="1436"/>
        <v>7.7418514772608091</v>
      </c>
      <c r="JD41">
        <f t="shared" si="1436"/>
        <v>7.8547879228809734</v>
      </c>
      <c r="JE41">
        <f t="shared" si="1436"/>
        <v>7.9669593208912488</v>
      </c>
      <c r="JF41">
        <f t="shared" si="1436"/>
        <v>8.0783523242325828</v>
      </c>
      <c r="JG41">
        <f t="shared" si="1436"/>
        <v>8.1889536825777896</v>
      </c>
      <c r="JH41">
        <f t="shared" si="1436"/>
        <v>8.2987502436613454</v>
      </c>
      <c r="JI41">
        <f t="shared" si="1436"/>
        <v>8.4077289545986673</v>
      </c>
      <c r="JJ41">
        <f t="shared" ref="JJ41:LU41" si="1437">$O$10*JJ25+$P$10*JJ26+$Q$10*JJ27</f>
        <v>8.5158768631965245</v>
      </c>
      <c r="JK41">
        <f t="shared" si="1437"/>
        <v>8.6231811192529904</v>
      </c>
      <c r="JL41">
        <f t="shared" si="1437"/>
        <v>8.7296289758486978</v>
      </c>
      <c r="JM41">
        <f t="shared" si="1437"/>
        <v>8.8352077906269528</v>
      </c>
      <c r="JN41">
        <f t="shared" si="1437"/>
        <v>8.9399050270640714</v>
      </c>
      <c r="JO41">
        <f t="shared" si="1437"/>
        <v>9.0437082557300528</v>
      </c>
      <c r="JP41">
        <f t="shared" si="1437"/>
        <v>9.1466051555370882</v>
      </c>
      <c r="JQ41">
        <f t="shared" si="1437"/>
        <v>9.2485835149797708</v>
      </c>
      <c r="JR41">
        <f t="shared" si="1437"/>
        <v>9.3496312333618903</v>
      </c>
      <c r="JS41">
        <f t="shared" si="1437"/>
        <v>9.449736322014644</v>
      </c>
      <c r="JT41">
        <f t="shared" si="1437"/>
        <v>9.5488869055023997</v>
      </c>
      <c r="JU41">
        <f t="shared" si="1437"/>
        <v>9.6470712228174307</v>
      </c>
      <c r="JV41">
        <f t="shared" si="1437"/>
        <v>9.7442776285639638</v>
      </c>
      <c r="JW41">
        <f t="shared" si="1437"/>
        <v>9.8404945941295523</v>
      </c>
      <c r="JX41">
        <f t="shared" si="1437"/>
        <v>9.9357107088456473</v>
      </c>
      <c r="JY41">
        <f t="shared" si="1437"/>
        <v>10.029914681136461</v>
      </c>
      <c r="JZ41">
        <f t="shared" si="1437"/>
        <v>10.123095339655151</v>
      </c>
      <c r="KA41">
        <f t="shared" si="1437"/>
        <v>10.215241634408869</v>
      </c>
      <c r="KB41">
        <f t="shared" si="1437"/>
        <v>10.306342637870273</v>
      </c>
      <c r="KC41">
        <f t="shared" si="1437"/>
        <v>10.396387546078643</v>
      </c>
      <c r="KD41">
        <f t="shared" si="1437"/>
        <v>10.485365679726272</v>
      </c>
      <c r="KE41">
        <f t="shared" si="1437"/>
        <v>10.573266485234285</v>
      </c>
      <c r="KF41">
        <f t="shared" si="1437"/>
        <v>10.660079535814418</v>
      </c>
      <c r="KG41">
        <f t="shared" si="1437"/>
        <v>10.745794532518232</v>
      </c>
      <c r="KH41">
        <f t="shared" si="1437"/>
        <v>10.830401305273597</v>
      </c>
      <c r="KI41">
        <f t="shared" si="1437"/>
        <v>10.913889813908213</v>
      </c>
      <c r="KJ41">
        <f t="shared" si="1437"/>
        <v>10.996250149158698</v>
      </c>
      <c r="KK41">
        <f t="shared" si="1437"/>
        <v>11.077472533668015</v>
      </c>
      <c r="KL41">
        <f t="shared" si="1437"/>
        <v>11.157547322968242</v>
      </c>
      <c r="KM41">
        <f t="shared" si="1437"/>
        <v>11.236465006450771</v>
      </c>
      <c r="KN41">
        <f t="shared" si="1437"/>
        <v>11.314216208320715</v>
      </c>
      <c r="KO41">
        <f t="shared" si="1437"/>
        <v>11.390791688540162</v>
      </c>
      <c r="KP41">
        <f t="shared" si="1437"/>
        <v>11.46618234375569</v>
      </c>
      <c r="KQ41">
        <f t="shared" si="1437"/>
        <v>11.138786811944328</v>
      </c>
      <c r="KR41">
        <f t="shared" si="1437"/>
        <v>10.702717539462128</v>
      </c>
      <c r="KS41">
        <f t="shared" si="1437"/>
        <v>10.262701766891553</v>
      </c>
      <c r="KT41">
        <f t="shared" si="1437"/>
        <v>9.8524900233020958</v>
      </c>
      <c r="KU41">
        <f t="shared" si="1437"/>
        <v>9.4799118140999781</v>
      </c>
      <c r="KV41">
        <f t="shared" si="1437"/>
        <v>9.1438769172661978</v>
      </c>
      <c r="KW41">
        <f t="shared" si="1437"/>
        <v>8.8406708421049984</v>
      </c>
      <c r="KX41">
        <f t="shared" si="1437"/>
        <v>8.5661908407710143</v>
      </c>
      <c r="KY41">
        <f t="shared" si="1437"/>
        <v>8.3166651844653074</v>
      </c>
      <c r="KZ41">
        <f t="shared" si="1437"/>
        <v>8.0888236790884207</v>
      </c>
      <c r="LA41">
        <f t="shared" si="1437"/>
        <v>7.8798835380605396</v>
      </c>
      <c r="LB41">
        <f t="shared" si="1437"/>
        <v>7.6874840404461224</v>
      </c>
      <c r="LC41">
        <f t="shared" si="1437"/>
        <v>7.5096161321294517</v>
      </c>
      <c r="LD41">
        <f t="shared" si="1437"/>
        <v>7.3445608272436402</v>
      </c>
      <c r="LE41">
        <f t="shared" si="1437"/>
        <v>7.1908388675947776</v>
      </c>
      <c r="LF41">
        <f t="shared" si="1437"/>
        <v>7.047170500430866</v>
      </c>
      <c r="LG41">
        <f t="shared" si="1437"/>
        <v>6.9124434354494042</v>
      </c>
      <c r="LH41">
        <f t="shared" si="1437"/>
        <v>6.7856871580991083</v>
      </c>
      <c r="LI41">
        <f t="shared" si="1437"/>
        <v>6.6660521237311627</v>
      </c>
      <c r="LJ41">
        <f t="shared" si="1437"/>
        <v>6.5527927054467909</v>
      </c>
      <c r="LK41">
        <f t="shared" si="1437"/>
        <v>6.4452530540772273</v>
      </c>
      <c r="LL41">
        <f t="shared" si="1437"/>
        <v>6.3428552457137926</v>
      </c>
      <c r="LM41">
        <f t="shared" si="1437"/>
        <v>6.2450892516291674</v>
      </c>
      <c r="LN41">
        <f t="shared" si="1437"/>
        <v>6.1515043809788494</v>
      </c>
      <c r="LO41">
        <f t="shared" si="1437"/>
        <v>6.0617019301444657</v>
      </c>
      <c r="LP41">
        <f t="shared" si="1437"/>
        <v>5.9753288331217504</v>
      </c>
      <c r="LQ41">
        <f t="shared" si="1437"/>
        <v>5.8920721516072376</v>
      </c>
      <c r="LR41">
        <f t="shared" si="1437"/>
        <v>5.8116542761666778</v>
      </c>
      <c r="LS41">
        <f t="shared" si="1437"/>
        <v>5.733828734400106</v>
      </c>
      <c r="LT41">
        <f t="shared" si="1437"/>
        <v>5.6583765206940484</v>
      </c>
      <c r="LU41">
        <f t="shared" si="1437"/>
        <v>5.5851028766065838</v>
      </c>
      <c r="LV41">
        <f t="shared" ref="LV41:OG41" si="1438">$O$10*LV25+$P$10*LV26+$Q$10*LV27</f>
        <v>5.51383446228499</v>
      </c>
      <c r="LW41">
        <f t="shared" si="1438"/>
        <v>5.4444168684029819</v>
      </c>
      <c r="LX41">
        <f t="shared" si="1438"/>
        <v>5.3767124254674741</v>
      </c>
      <c r="LY41">
        <f t="shared" si="1438"/>
        <v>5.3105982733965789</v>
      </c>
      <c r="LZ41">
        <f t="shared" si="1438"/>
        <v>5.2459646593119373</v>
      </c>
      <c r="MA41">
        <f t="shared" si="1438"/>
        <v>5.1827134357274645</v>
      </c>
      <c r="MB41">
        <f t="shared" si="1438"/>
        <v>5.1207567349077294</v>
      </c>
      <c r="MC41">
        <f t="shared" si="1438"/>
        <v>5.0600157982484006</v>
      </c>
      <c r="MD41">
        <f t="shared" si="1438"/>
        <v>5.0004199421686621</v>
      </c>
      <c r="ME41">
        <f t="shared" si="1438"/>
        <v>4.9419056442973215</v>
      </c>
      <c r="MF41">
        <f t="shared" si="1438"/>
        <v>4.8844157357094673</v>
      </c>
      <c r="MG41">
        <f t="shared" si="1438"/>
        <v>4.8278986867050548</v>
      </c>
      <c r="MH41">
        <f t="shared" si="1438"/>
        <v>4.7723079751230557</v>
      </c>
      <c r="MI41">
        <f t="shared" si="1438"/>
        <v>4.7176015275052805</v>
      </c>
      <c r="MJ41">
        <f t="shared" si="1438"/>
        <v>4.6637412245788141</v>
      </c>
      <c r="MK41">
        <f t="shared" si="1438"/>
        <v>4.6106924635434439</v>
      </c>
      <c r="ML41">
        <f t="shared" si="1438"/>
        <v>4.5584237705332953</v>
      </c>
      <c r="MM41">
        <f t="shared" si="1438"/>
        <v>4.506906457414857</v>
      </c>
      <c r="MN41">
        <f t="shared" si="1438"/>
        <v>4.456114317765298</v>
      </c>
      <c r="MO41">
        <f t="shared" si="1438"/>
        <v>4.4060233574829795</v>
      </c>
      <c r="MP41">
        <f t="shared" si="1438"/>
        <v>4.356611556017981</v>
      </c>
      <c r="MQ41">
        <f t="shared" si="1438"/>
        <v>4.3078586546814677</v>
      </c>
      <c r="MR41">
        <f t="shared" si="1438"/>
        <v>4.2597459689023367</v>
      </c>
      <c r="MS41">
        <f t="shared" si="1438"/>
        <v>4.2122562216722486</v>
      </c>
      <c r="MT41">
        <f t="shared" si="1438"/>
        <v>4.165373395738186</v>
      </c>
      <c r="MU41">
        <f t="shared" si="1438"/>
        <v>4.1190826023866407</v>
      </c>
      <c r="MV41">
        <f t="shared" si="1438"/>
        <v>4.0733699649167647</v>
      </c>
      <c r="MW41">
        <f t="shared" si="1438"/>
        <v>4.0282225151175339</v>
      </c>
      <c r="MX41">
        <f t="shared" si="1438"/>
        <v>3.983628101262866</v>
      </c>
      <c r="MY41">
        <f t="shared" si="1438"/>
        <v>3.9395753063094503</v>
      </c>
      <c r="MZ41">
        <f t="shared" si="1438"/>
        <v>3.8960533751353523</v>
      </c>
      <c r="NA41">
        <f t="shared" si="1438"/>
        <v>3.8530521497883115</v>
      </c>
      <c r="NB41">
        <f t="shared" si="1438"/>
        <v>3.8105620118383854</v>
      </c>
      <c r="NC41">
        <f t="shared" si="1438"/>
        <v>3.7685738310282204</v>
      </c>
      <c r="ND41">
        <f t="shared" si="1438"/>
        <v>3.7270789195076759</v>
      </c>
      <c r="NE41">
        <f t="shared" si="1438"/>
        <v>3.6860689910265592</v>
      </c>
      <c r="NF41">
        <f t="shared" si="1438"/>
        <v>3.6455361245234599</v>
      </c>
      <c r="NG41">
        <f t="shared" si="1438"/>
        <v>3.6054727316205799</v>
      </c>
      <c r="NH41">
        <f t="shared" si="1438"/>
        <v>3.5658715275853865</v>
      </c>
      <c r="NI41">
        <f t="shared" si="1438"/>
        <v>3.5267255053715303</v>
      </c>
      <c r="NJ41">
        <f t="shared" si="1438"/>
        <v>3.4880279123980245</v>
      </c>
      <c r="NK41">
        <f t="shared" si="1438"/>
        <v>3.4497722297595033</v>
      </c>
      <c r="NL41">
        <f t="shared" si="1438"/>
        <v>3.4119521536013053</v>
      </c>
      <c r="NM41">
        <f t="shared" si="1438"/>
        <v>3.3745615784179108</v>
      </c>
      <c r="NN41">
        <f t="shared" si="1438"/>
        <v>3.3375945820654351</v>
      </c>
      <c r="NO41">
        <f t="shared" si="1438"/>
        <v>3.3010454122965029</v>
      </c>
      <c r="NP41">
        <f t="shared" si="1438"/>
        <v>3.2649084746553285</v>
      </c>
      <c r="NQ41">
        <f t="shared" si="1438"/>
        <v>3.2291783215811165</v>
      </c>
      <c r="NR41">
        <f t="shared" si="1438"/>
        <v>3.1938496425910898</v>
      </c>
      <c r="NS41">
        <f t="shared" si="1438"/>
        <v>3.1589172554251945</v>
      </c>
      <c r="NT41">
        <f t="shared" si="1438"/>
        <v>3.1243760980490833</v>
      </c>
      <c r="NU41">
        <f t="shared" si="1438"/>
        <v>3.0902212214226665</v>
      </c>
      <c r="NV41">
        <f t="shared" si="1438"/>
        <v>3.0564477829550469</v>
      </c>
      <c r="NW41">
        <f t="shared" si="1438"/>
        <v>3.0230510405696691</v>
      </c>
      <c r="NX41">
        <f t="shared" si="1438"/>
        <v>2.9900263473162454</v>
      </c>
      <c r="NY41">
        <f t="shared" si="1438"/>
        <v>2.9573691464740364</v>
      </c>
      <c r="NZ41">
        <f t="shared" si="1438"/>
        <v>2.9250749670911773</v>
      </c>
      <c r="OA41">
        <f t="shared" si="1438"/>
        <v>2.8931394199180431</v>
      </c>
      <c r="OB41">
        <f t="shared" si="1438"/>
        <v>2.8615581936923036</v>
      </c>
      <c r="OC41">
        <f t="shared" si="1438"/>
        <v>2.830327051739971</v>
      </c>
      <c r="OD41">
        <f t="shared" si="1438"/>
        <v>2.7994418288589031</v>
      </c>
      <c r="OE41">
        <f t="shared" si="1438"/>
        <v>2.7688984284591811</v>
      </c>
      <c r="OF41">
        <f t="shared" si="1438"/>
        <v>2.738692819930634</v>
      </c>
      <c r="OG41">
        <f t="shared" si="1438"/>
        <v>2.7088210362172163</v>
      </c>
      <c r="OH41">
        <f t="shared" ref="OH41:QS41" si="1439">$O$10*OH25+$P$10*OH26+$Q$10*OH27</f>
        <v>2.6792791715777753</v>
      </c>
      <c r="OI41">
        <f t="shared" si="1439"/>
        <v>2.6500633795131421</v>
      </c>
      <c r="OJ41">
        <f t="shared" si="1439"/>
        <v>2.6211698708455629</v>
      </c>
      <c r="OK41">
        <f t="shared" si="1439"/>
        <v>2.5925949119335314</v>
      </c>
      <c r="OL41">
        <f t="shared" si="1439"/>
        <v>2.5643348230103697</v>
      </c>
      <c r="OM41">
        <f t="shared" si="1439"/>
        <v>2.536385976635529</v>
      </c>
      <c r="ON41">
        <f t="shared" si="1439"/>
        <v>2.5087447962454803</v>
      </c>
      <c r="OO41">
        <f t="shared" si="1439"/>
        <v>2.4814077547978854</v>
      </c>
      <c r="OP41">
        <f t="shared" si="1439"/>
        <v>2.4543713734986454</v>
      </c>
      <c r="OQ41">
        <f t="shared" si="1439"/>
        <v>2.4276322206042096</v>
      </c>
      <c r="OR41">
        <f t="shared" si="1439"/>
        <v>2.4011869102946548</v>
      </c>
      <c r="OS41">
        <f t="shared" si="1439"/>
        <v>2.375032101608042</v>
      </c>
      <c r="OT41">
        <f t="shared" si="1439"/>
        <v>2.3491644974332644</v>
      </c>
      <c r="OU41">
        <f t="shared" si="1439"/>
        <v>2.323580843555078</v>
      </c>
      <c r="OV41">
        <f t="shared" si="1439"/>
        <v>2.2982779277473924</v>
      </c>
      <c r="OW41">
        <f t="shared" si="1439"/>
        <v>2.2732525789107285</v>
      </c>
      <c r="OX41">
        <f t="shared" si="1439"/>
        <v>2.2485016662505473</v>
      </c>
      <c r="OY41">
        <f t="shared" si="1439"/>
        <v>2.2240220984920711</v>
      </c>
      <c r="OZ41">
        <f t="shared" si="1439"/>
        <v>2.1998108231303206</v>
      </c>
      <c r="PA41">
        <f t="shared" si="1439"/>
        <v>2.1758648257108177</v>
      </c>
      <c r="PB41">
        <f t="shared" si="1439"/>
        <v>2.152181129140871</v>
      </c>
      <c r="PC41">
        <f t="shared" si="1439"/>
        <v>2.1287567930268381</v>
      </c>
      <c r="PD41">
        <f t="shared" si="1439"/>
        <v>2.1055889130367689</v>
      </c>
      <c r="PE41">
        <f t="shared" si="1439"/>
        <v>2.0826746202870652</v>
      </c>
      <c r="PF41">
        <f t="shared" si="1439"/>
        <v>2.0600110807499448</v>
      </c>
      <c r="PG41">
        <f t="shared" si="1439"/>
        <v>2.0375954946814261</v>
      </c>
      <c r="PH41">
        <f t="shared" si="1439"/>
        <v>2.0154250960687818</v>
      </c>
      <c r="PI41">
        <f t="shared" si="1439"/>
        <v>1.9934971520944487</v>
      </c>
      <c r="PJ41">
        <f t="shared" si="1439"/>
        <v>1.9718089626175868</v>
      </c>
      <c r="PK41">
        <f t="shared" si="1439"/>
        <v>1.9503578596709588</v>
      </c>
      <c r="PL41">
        <f t="shared" si="1439"/>
        <v>1.9291412069717069</v>
      </c>
      <c r="PM41">
        <f t="shared" si="1439"/>
        <v>1.9081563994462556</v>
      </c>
      <c r="PN41">
        <f t="shared" si="1439"/>
        <v>1.8874008627689705</v>
      </c>
      <c r="PO41">
        <f t="shared" si="1439"/>
        <v>1.8668720529114751</v>
      </c>
      <c r="PP41">
        <f t="shared" si="1439"/>
        <v>1.8465674557047009</v>
      </c>
      <c r="PQ41">
        <f t="shared" si="1439"/>
        <v>1.8264845864115955</v>
      </c>
      <c r="PR41">
        <f t="shared" si="1439"/>
        <v>1.8066209893102041</v>
      </c>
      <c r="PS41">
        <f t="shared" si="1439"/>
        <v>1.7869742372866995</v>
      </c>
      <c r="PT41">
        <f t="shared" si="1439"/>
        <v>1.7675419314371652</v>
      </c>
      <c r="PU41">
        <f t="shared" si="1439"/>
        <v>1.74832170067981</v>
      </c>
      <c r="PV41">
        <f t="shared" si="1439"/>
        <v>1.7293112013741165</v>
      </c>
      <c r="PW41">
        <f t="shared" si="1439"/>
        <v>1.7105081169493417</v>
      </c>
      <c r="PX41">
        <f t="shared" si="1439"/>
        <v>1.6919101575404056</v>
      </c>
      <c r="PY41">
        <f t="shared" si="1439"/>
        <v>1.6735150596309722</v>
      </c>
      <c r="PZ41">
        <f t="shared" si="1439"/>
        <v>1.6553205857043167</v>
      </c>
      <c r="QA41">
        <f t="shared" si="1439"/>
        <v>1.6373245239010998</v>
      </c>
      <c r="QB41">
        <f t="shared" si="1439"/>
        <v>1.619524687682798</v>
      </c>
      <c r="QC41">
        <f t="shared" si="1439"/>
        <v>1.6019189155030347</v>
      </c>
      <c r="QD41">
        <f t="shared" si="1439"/>
        <v>1.5845050704838286</v>
      </c>
      <c r="QE41">
        <f t="shared" si="1439"/>
        <v>1.5672810400988055</v>
      </c>
      <c r="QF41">
        <f t="shared" si="1439"/>
        <v>1.5502447358610709</v>
      </c>
      <c r="QG41">
        <f t="shared" si="1439"/>
        <v>1.5333940930175345</v>
      </c>
      <c r="QH41">
        <f t="shared" si="1439"/>
        <v>1.5167270702482654</v>
      </c>
      <c r="QI41">
        <f t="shared" si="1439"/>
        <v>1.5002416493711621</v>
      </c>
      <c r="QJ41">
        <f t="shared" si="1439"/>
        <v>1.4839358350512839</v>
      </c>
      <c r="QK41">
        <f t="shared" si="1439"/>
        <v>1.4678076545155534</v>
      </c>
      <c r="QL41">
        <f t="shared" si="1439"/>
        <v>1.4518551572723766</v>
      </c>
      <c r="QM41">
        <f t="shared" si="1439"/>
        <v>1.4360764148346732</v>
      </c>
      <c r="QN41">
        <f t="shared" si="1439"/>
        <v>1.4204695204493589</v>
      </c>
      <c r="QO41">
        <f t="shared" si="1439"/>
        <v>1.4050325888287603</v>
      </c>
      <c r="QP41">
        <f t="shared" si="1439"/>
        <v>1.3897637558887652</v>
      </c>
      <c r="QQ41">
        <f t="shared" si="1439"/>
        <v>1.3746611784889637</v>
      </c>
      <c r="QR41">
        <f t="shared" si="1439"/>
        <v>1.3597230341785291</v>
      </c>
      <c r="QS41">
        <f t="shared" si="1439"/>
        <v>1.3449475209445723</v>
      </c>
      <c r="QT41">
        <f t="shared" ref="QT41:TE41" si="1440">$O$10*QT25+$P$10*QT26+$Q$10*QT27</f>
        <v>1.3303328569656117</v>
      </c>
      <c r="QU41">
        <f t="shared" si="1440"/>
        <v>1.3158772803670331</v>
      </c>
      <c r="QV41">
        <f t="shared" si="1440"/>
        <v>1.3015790489828873</v>
      </c>
      <c r="QW41">
        <f t="shared" si="1440"/>
        <v>1.2874364401182845</v>
      </c>
      <c r="QX41">
        <f t="shared" si="1440"/>
        <v>1.2734477503174162</v>
      </c>
      <c r="QY41">
        <f t="shared" si="1440"/>
        <v>1.2596112951335954</v>
      </c>
      <c r="QZ41">
        <f t="shared" si="1440"/>
        <v>1.2459254089035596</v>
      </c>
      <c r="RA41">
        <f t="shared" si="1440"/>
        <v>1.232388444524787</v>
      </c>
      <c r="RB41">
        <f t="shared" si="1440"/>
        <v>1.2189987732351995</v>
      </c>
      <c r="RC41">
        <f t="shared" si="1440"/>
        <v>1.2057547843972714</v>
      </c>
      <c r="RD41">
        <f t="shared" si="1440"/>
        <v>1.1926548852844121</v>
      </c>
      <c r="RE41">
        <f t="shared" si="1440"/>
        <v>1.1796975008702191</v>
      </c>
      <c r="RF41">
        <f t="shared" si="1440"/>
        <v>1.1668810736209139</v>
      </c>
      <c r="RG41">
        <f t="shared" si="1440"/>
        <v>1.1542040632905071</v>
      </c>
      <c r="RH41">
        <f t="shared" si="1440"/>
        <v>1.141664946719402</v>
      </c>
      <c r="RI41">
        <f t="shared" si="1440"/>
        <v>1.1292622176343912</v>
      </c>
      <c r="RJ41">
        <f t="shared" si="1440"/>
        <v>1.1169943864529728</v>
      </c>
      <c r="RK41">
        <f t="shared" si="1440"/>
        <v>1.1048599800887473</v>
      </c>
      <c r="RL41">
        <f t="shared" si="1440"/>
        <v>1.0928575417605089</v>
      </c>
      <c r="RM41">
        <f t="shared" si="1440"/>
        <v>1.0809856308037809</v>
      </c>
      <c r="RN41">
        <f t="shared" si="1440"/>
        <v>1.0692428224838864</v>
      </c>
      <c r="RO41">
        <f t="shared" si="1440"/>
        <v>1.0576277078131682</v>
      </c>
      <c r="RP41">
        <f t="shared" si="1440"/>
        <v>1.0461388933686635</v>
      </c>
      <c r="RQ41">
        <f t="shared" si="1440"/>
        <v>1.0347750011137009</v>
      </c>
      <c r="RR41">
        <f t="shared" si="1440"/>
        <v>1.0235346682212878</v>
      </c>
      <c r="RS41">
        <f t="shared" si="1440"/>
        <v>1.0124165468989474</v>
      </c>
      <c r="RT41">
        <f t="shared" si="1440"/>
        <v>1.0014193042176487</v>
      </c>
      <c r="RU41">
        <f t="shared" si="1440"/>
        <v>0.99054162194141782</v>
      </c>
      <c r="RV41">
        <f t="shared" si="1440"/>
        <v>0.97978219635925257</v>
      </c>
      <c r="RW41">
        <f t="shared" si="1440"/>
        <v>0.96913973811996357</v>
      </c>
      <c r="RX41">
        <f t="shared" si="1440"/>
        <v>0.95861297206855056</v>
      </c>
      <c r="RY41">
        <f t="shared" si="1440"/>
        <v>0.94820063708442603</v>
      </c>
      <c r="RZ41">
        <f t="shared" si="1440"/>
        <v>0.9379014859228505</v>
      </c>
      <c r="SA41">
        <f t="shared" si="1440"/>
        <v>0.92771428505582776</v>
      </c>
      <c r="SB41">
        <f t="shared" si="1440"/>
        <v>0.9176378145187698</v>
      </c>
      <c r="SC41">
        <f t="shared" si="1440"/>
        <v>0.90767086775542793</v>
      </c>
      <c r="SD41">
        <f t="shared" si="1440"/>
        <v>0.89781225146640509</v>
      </c>
      <c r="SE41">
        <f t="shared" si="1440"/>
        <v>0.8880607854601692</v>
      </c>
      <c r="SF41">
        <f t="shared" si="1440"/>
        <v>0.87841530250457822</v>
      </c>
      <c r="SG41">
        <f t="shared" si="1440"/>
        <v>0.86887464818070725</v>
      </c>
      <c r="SH41">
        <f t="shared" si="1440"/>
        <v>0.85943768073892102</v>
      </c>
      <c r="SI41">
        <f t="shared" si="1440"/>
        <v>0.85010327095591265</v>
      </c>
      <c r="SJ41">
        <f t="shared" si="1440"/>
        <v>0.84087030199432888</v>
      </c>
      <c r="SK41">
        <f t="shared" si="1440"/>
        <v>0.83173766926302051</v>
      </c>
      <c r="SL41">
        <f t="shared" si="1440"/>
        <v>0.82270428028053288</v>
      </c>
      <c r="SM41">
        <f t="shared" si="1440"/>
        <v>0.81376905453842596</v>
      </c>
      <c r="SN41">
        <f t="shared" si="1440"/>
        <v>0.80493092336769223</v>
      </c>
      <c r="SO41">
        <f t="shared" si="1440"/>
        <v>0.79618882980611261</v>
      </c>
      <c r="SP41">
        <f t="shared" si="1440"/>
        <v>0.78754172846740289</v>
      </c>
      <c r="SQ41">
        <f t="shared" si="1440"/>
        <v>0.77898858541155391</v>
      </c>
      <c r="SR41">
        <f t="shared" si="1440"/>
        <v>0.7705283780172465</v>
      </c>
      <c r="SS41">
        <f t="shared" si="1440"/>
        <v>0.76216009485551695</v>
      </c>
      <c r="ST41">
        <f t="shared" si="1440"/>
        <v>0.75388273556509944</v>
      </c>
      <c r="SU41">
        <f t="shared" si="1440"/>
        <v>0.74569531072853579</v>
      </c>
      <c r="SV41">
        <f t="shared" si="1440"/>
        <v>0.73759684175112739</v>
      </c>
      <c r="SW41">
        <f t="shared" si="1440"/>
        <v>0.72958636073968819</v>
      </c>
      <c r="SX41">
        <f t="shared" si="1440"/>
        <v>0.72166291038402619</v>
      </c>
      <c r="SY41">
        <f t="shared" si="1440"/>
        <v>0.71382554383939123</v>
      </c>
      <c r="SZ41">
        <f t="shared" si="1440"/>
        <v>0.70607332460986072</v>
      </c>
      <c r="TA41">
        <f t="shared" si="1440"/>
        <v>0.69840532643343067</v>
      </c>
      <c r="TB41">
        <f t="shared" si="1440"/>
        <v>0.69082063316898257</v>
      </c>
      <c r="TC41">
        <f t="shared" si="1440"/>
        <v>0.68331833868344916</v>
      </c>
      <c r="TD41">
        <f t="shared" si="1440"/>
        <v>0.67589754674139613</v>
      </c>
      <c r="TE41">
        <f t="shared" si="1440"/>
        <v>0.66855737089508693</v>
      </c>
      <c r="TF41">
        <f t="shared" ref="TF41:VQ41" si="1441">$O$10*TF25+$P$10*TF26+$Q$10*TF27</f>
        <v>0.6612969343762245</v>
      </c>
      <c r="TG41">
        <f t="shared" si="1441"/>
        <v>0.6541153699888298</v>
      </c>
      <c r="TH41">
        <f t="shared" si="1441"/>
        <v>0.64701182000348467</v>
      </c>
      <c r="TI41">
        <f t="shared" si="1441"/>
        <v>0.63998543605251257</v>
      </c>
      <c r="TJ41">
        <f t="shared" si="1441"/>
        <v>0.63303537902629614</v>
      </c>
      <c r="TK41">
        <f t="shared" si="1441"/>
        <v>0.62616081897189702</v>
      </c>
      <c r="TL41">
        <f t="shared" si="1441"/>
        <v>0.61936093499105027</v>
      </c>
      <c r="TM41">
        <f t="shared" si="1441"/>
        <v>0.61263491514080215</v>
      </c>
      <c r="TN41">
        <f t="shared" si="1441"/>
        <v>0.60598195633431828</v>
      </c>
      <c r="TO41">
        <f t="shared" si="1441"/>
        <v>0.59940126424368145</v>
      </c>
      <c r="TP41">
        <f t="shared" si="1441"/>
        <v>0.59289205320300198</v>
      </c>
      <c r="TQ41">
        <f t="shared" si="1441"/>
        <v>0.58645354611311973</v>
      </c>
      <c r="TR41">
        <f t="shared" si="1441"/>
        <v>0.58008497434752826</v>
      </c>
      <c r="TS41">
        <f t="shared" si="1441"/>
        <v>0.57378557765849791</v>
      </c>
      <c r="TT41">
        <f t="shared" si="1441"/>
        <v>0.56755460408535896</v>
      </c>
      <c r="TU41">
        <f t="shared" si="1441"/>
        <v>0.56139130986346686</v>
      </c>
      <c r="TV41">
        <f t="shared" si="1441"/>
        <v>0.55529495933330963</v>
      </c>
      <c r="TW41">
        <f t="shared" si="1441"/>
        <v>0.54926482485225847</v>
      </c>
      <c r="TX41">
        <f t="shared" si="1441"/>
        <v>0.54330018670617619</v>
      </c>
      <c r="TY41">
        <f t="shared" si="1441"/>
        <v>0.5374003330218784</v>
      </c>
      <c r="TZ41">
        <f t="shared" si="1441"/>
        <v>0.53156455968166938</v>
      </c>
      <c r="UA41">
        <f t="shared" si="1441"/>
        <v>0.52579217023773595</v>
      </c>
      <c r="UB41">
        <f t="shared" si="1441"/>
        <v>0.52008247582827494</v>
      </c>
      <c r="UC41">
        <f t="shared" si="1441"/>
        <v>0.5144347950940471</v>
      </c>
      <c r="UD41">
        <f t="shared" si="1441"/>
        <v>0.50884845409632362</v>
      </c>
      <c r="UE41">
        <f t="shared" si="1441"/>
        <v>0.50332278623469051</v>
      </c>
      <c r="UF41">
        <f t="shared" si="1441"/>
        <v>0.49785713216806471</v>
      </c>
      <c r="UG41">
        <f t="shared" si="1441"/>
        <v>0.49245083973337955</v>
      </c>
      <c r="UH41">
        <f t="shared" si="1441"/>
        <v>0.48710326386853353</v>
      </c>
      <c r="UI41">
        <f t="shared" si="1441"/>
        <v>0.48181376653346319</v>
      </c>
      <c r="UJ41">
        <f t="shared" si="1441"/>
        <v>0.47658171663371718</v>
      </c>
      <c r="UK41">
        <f t="shared" si="1441"/>
        <v>0.47140648994434287</v>
      </c>
      <c r="UL41">
        <f t="shared" si="1441"/>
        <v>0.46628746903448359</v>
      </c>
      <c r="UM41">
        <f t="shared" si="1441"/>
        <v>0.46122404319334009</v>
      </c>
      <c r="UN41">
        <f t="shared" si="1441"/>
        <v>0.45621560835635933</v>
      </c>
      <c r="UO41">
        <f t="shared" si="1441"/>
        <v>0.45126156703241804</v>
      </c>
      <c r="UP41">
        <f t="shared" si="1441"/>
        <v>0.44636132823242747</v>
      </c>
      <c r="UQ41">
        <f t="shared" si="1441"/>
        <v>0.44151430739748321</v>
      </c>
      <c r="UR41">
        <f t="shared" si="1441"/>
        <v>0.43671992632934575</v>
      </c>
      <c r="US41">
        <f t="shared" si="1441"/>
        <v>0.43197761312018201</v>
      </c>
      <c r="UT41">
        <f t="shared" si="1441"/>
        <v>0.42728680208412584</v>
      </c>
      <c r="UU41">
        <f t="shared" si="1441"/>
        <v>0.42264693368971962</v>
      </c>
      <c r="UV41">
        <f t="shared" si="1441"/>
        <v>0.41805745449150322</v>
      </c>
      <c r="UW41">
        <f t="shared" si="1441"/>
        <v>0.41351781706458723</v>
      </c>
      <c r="UX41">
        <f t="shared" si="1441"/>
        <v>0.40902747993854405</v>
      </c>
      <c r="UY41">
        <f t="shared" si="1441"/>
        <v>0.40458590753243584</v>
      </c>
      <c r="UZ41">
        <f t="shared" si="1441"/>
        <v>0.40019257008998466</v>
      </c>
      <c r="VA41">
        <f t="shared" si="1441"/>
        <v>0.39584694361693096</v>
      </c>
      <c r="VB41">
        <f t="shared" si="1441"/>
        <v>0.39154850981719846</v>
      </c>
      <c r="VC41">
        <f t="shared" si="1441"/>
        <v>0.38729675603127589</v>
      </c>
      <c r="VD41">
        <f t="shared" si="1441"/>
        <v>0.38309117517451341</v>
      </c>
      <c r="VE41">
        <f t="shared" si="1441"/>
        <v>0.37893126567621493</v>
      </c>
      <c r="VF41">
        <f t="shared" si="1441"/>
        <v>0.3748165314195262</v>
      </c>
      <c r="VG41">
        <f t="shared" si="1441"/>
        <v>0.37074648168209023</v>
      </c>
      <c r="VH41">
        <f t="shared" si="1441"/>
        <v>0.3667206310769302</v>
      </c>
      <c r="VI41">
        <f t="shared" si="1441"/>
        <v>0.36273849949424175</v>
      </c>
      <c r="VJ41">
        <f t="shared" si="1441"/>
        <v>0.35879961204440747</v>
      </c>
      <c r="VK41">
        <f t="shared" si="1441"/>
        <v>0.35490349900030083</v>
      </c>
      <c r="VL41">
        <f t="shared" si="1441"/>
        <v>0.3510496957415512</v>
      </c>
      <c r="VM41">
        <f t="shared" si="1441"/>
        <v>0.34723774269841101</v>
      </c>
      <c r="VN41">
        <f t="shared" si="1441"/>
        <v>0.34346718529721443</v>
      </c>
      <c r="VO41">
        <f t="shared" si="1441"/>
        <v>0.3397375739055235</v>
      </c>
      <c r="VP41">
        <f t="shared" si="1441"/>
        <v>0.33604846377838271</v>
      </c>
      <c r="VQ41">
        <f t="shared" si="1441"/>
        <v>0.33239941500522718</v>
      </c>
      <c r="VR41">
        <f t="shared" ref="VR41:YC41" si="1442">$O$10*VR25+$P$10*VR26+$Q$10*VR27</f>
        <v>0.32878999245679097</v>
      </c>
      <c r="VS41">
        <f t="shared" si="1442"/>
        <v>0.32521976573360689</v>
      </c>
      <c r="VT41">
        <f t="shared" si="1442"/>
        <v>0.32168830911388113</v>
      </c>
      <c r="VU41">
        <f t="shared" si="1442"/>
        <v>0.31819520150307312</v>
      </c>
      <c r="VV41">
        <f t="shared" si="1442"/>
        <v>0.31474002638276488</v>
      </c>
      <c r="VW41">
        <f t="shared" si="1442"/>
        <v>0.31132237176163358</v>
      </c>
      <c r="VX41">
        <f t="shared" si="1442"/>
        <v>0.30794183012588405</v>
      </c>
      <c r="VY41">
        <f t="shared" si="1442"/>
        <v>0.30459799839005086</v>
      </c>
      <c r="VZ41">
        <f t="shared" si="1442"/>
        <v>0.30129047784922136</v>
      </c>
      <c r="WA41">
        <f t="shared" si="1442"/>
        <v>0.29801887413151462</v>
      </c>
      <c r="WB41">
        <f t="shared" si="1442"/>
        <v>0.29478279715002031</v>
      </c>
      <c r="WC41">
        <f t="shared" si="1442"/>
        <v>0.29158186105746609</v>
      </c>
      <c r="WD41">
        <f t="shared" si="1442"/>
        <v>0.28841568419881014</v>
      </c>
      <c r="WE41">
        <f t="shared" si="1442"/>
        <v>-0.11630850719924979</v>
      </c>
      <c r="WF41">
        <f t="shared" si="1442"/>
        <v>-0.62846981293421322</v>
      </c>
      <c r="WG41">
        <f t="shared" si="1442"/>
        <v>-1.1433326738981293</v>
      </c>
      <c r="WH41">
        <f t="shared" si="1442"/>
        <v>-1.6271383787384082</v>
      </c>
      <c r="WI41">
        <f t="shared" si="1442"/>
        <v>-2.072049376908609</v>
      </c>
      <c r="WJ41">
        <f t="shared" si="1442"/>
        <v>-2.4791479833145615</v>
      </c>
      <c r="WK41">
        <f t="shared" si="1442"/>
        <v>-2.8521409204363977</v>
      </c>
      <c r="WL41">
        <f t="shared" si="1442"/>
        <v>-3.1951233076564449</v>
      </c>
      <c r="WM41">
        <f t="shared" si="1442"/>
        <v>-3.5118593859024259</v>
      </c>
      <c r="WN41">
        <f t="shared" si="1442"/>
        <v>-3.8056120028178384</v>
      </c>
      <c r="WO41">
        <f t="shared" si="1442"/>
        <v>-4.0791567407513867</v>
      </c>
      <c r="WP41">
        <f t="shared" si="1442"/>
        <v>-4.3348472594241514</v>
      </c>
      <c r="WQ41">
        <f t="shared" si="1442"/>
        <v>-4.5746856955318265</v>
      </c>
      <c r="WR41">
        <f t="shared" si="1442"/>
        <v>-4.8003842620767045</v>
      </c>
      <c r="WS41">
        <f t="shared" si="1442"/>
        <v>-5.0134155896891457</v>
      </c>
      <c r="WT41">
        <f t="shared" si="1442"/>
        <v>-5.2150529495881983</v>
      </c>
      <c r="WU41">
        <f t="shared" si="1442"/>
        <v>-5.4064022972873431</v>
      </c>
      <c r="WV41">
        <f t="shared" si="1442"/>
        <v>-5.588427959990014</v>
      </c>
      <c r="WW41">
        <f t="shared" si="1442"/>
        <v>-5.7619734431194445</v>
      </c>
      <c r="WX41">
        <f t="shared" si="1442"/>
        <v>-5.9277784831363363</v>
      </c>
      <c r="WY41">
        <f t="shared" si="1442"/>
        <v>-6.0864931882068163</v>
      </c>
      <c r="WZ41">
        <f t="shared" si="1442"/>
        <v>-6.2386898913053415</v>
      </c>
      <c r="XA41">
        <f t="shared" si="1442"/>
        <v>-6.3848731809076469</v>
      </c>
      <c r="XB41">
        <f t="shared" si="1442"/>
        <v>-6.525488458889896</v>
      </c>
      <c r="XC41">
        <f t="shared" si="1442"/>
        <v>-6.6609292917667347</v>
      </c>
      <c r="XD41">
        <f t="shared" si="1442"/>
        <v>-6.7915437608694162</v>
      </c>
      <c r="XE41">
        <f t="shared" si="1442"/>
        <v>-6.9176399728081037</v>
      </c>
      <c r="XF41">
        <f t="shared" si="1442"/>
        <v>-7.0394908588358192</v>
      </c>
      <c r="XG41">
        <f t="shared" si="1442"/>
        <v>-7.1573383671988609</v>
      </c>
      <c r="XH41">
        <f t="shared" si="1442"/>
        <v>-7.2713971338820613</v>
      </c>
      <c r="XI41">
        <f t="shared" si="1442"/>
        <v>-7.3818577027065828</v>
      </c>
      <c r="XJ41">
        <f t="shared" si="1442"/>
        <v>-7.4888893543761696</v>
      </c>
      <c r="XK41">
        <f t="shared" si="1442"/>
        <v>-7.5926425949865575</v>
      </c>
      <c r="XL41">
        <f t="shared" si="1442"/>
        <v>-7.6932513471497543</v>
      </c>
      <c r="XM41">
        <f t="shared" si="1442"/>
        <v>-7.7908348808296068</v>
      </c>
      <c r="XN41">
        <f t="shared" si="1442"/>
        <v>-7.8854995159437351</v>
      </c>
      <c r="XO41">
        <f t="shared" si="1442"/>
        <v>-7.9773401245550133</v>
      </c>
      <c r="XP41">
        <f t="shared" si="1442"/>
        <v>-8.0664414568735481</v>
      </c>
      <c r="XQ41">
        <f t="shared" si="1442"/>
        <v>-8.1528793122208754</v>
      </c>
      <c r="XR41">
        <f t="shared" si="1442"/>
        <v>-8.2367215734630008</v>
      </c>
      <c r="XS41">
        <f t="shared" si="1442"/>
        <v>-8.3180291211349697</v>
      </c>
      <c r="XT41">
        <f t="shared" si="1442"/>
        <v>-8.3968566414949066</v>
      </c>
      <c r="XU41">
        <f t="shared" si="1442"/>
        <v>-8.4732533410201825</v>
      </c>
      <c r="XV41">
        <f t="shared" si="1442"/>
        <v>-8.5472635783492592</v>
      </c>
      <c r="XW41">
        <f t="shared" si="1442"/>
        <v>-8.6189274233586275</v>
      </c>
      <c r="XX41">
        <f t="shared" si="1442"/>
        <v>-8.6882811518999858</v>
      </c>
      <c r="XY41">
        <f t="shared" si="1442"/>
        <v>-8.755357683719069</v>
      </c>
      <c r="XZ41">
        <f t="shared" si="1442"/>
        <v>-8.820186970178753</v>
      </c>
      <c r="YA41">
        <f t="shared" si="1442"/>
        <v>-8.8827963376302819</v>
      </c>
      <c r="YB41">
        <f t="shared" si="1442"/>
        <v>-8.9432107915870063</v>
      </c>
      <c r="YC41">
        <f t="shared" si="1442"/>
        <v>-9.0014532862466297</v>
      </c>
      <c r="YD41">
        <f t="shared" ref="YD41:AAO41" si="1443">$O$10*YD25+$P$10*YD26+$Q$10*YD27</f>
        <v>-9.0575449633763867</v>
      </c>
      <c r="YE41">
        <f t="shared" si="1443"/>
        <v>-9.1115053641022428</v>
      </c>
      <c r="YF41">
        <f t="shared" si="1443"/>
        <v>-9.1633526167329933</v>
      </c>
      <c r="YG41">
        <f t="shared" si="1443"/>
        <v>-9.2131036033771352</v>
      </c>
      <c r="YH41">
        <f t="shared" si="1443"/>
        <v>-9.2607741077961805</v>
      </c>
      <c r="YI41">
        <f t="shared" si="1443"/>
        <v>-9.306378946647385</v>
      </c>
      <c r="YJ41">
        <f t="shared" si="1443"/>
        <v>-9.3499320860200328</v>
      </c>
      <c r="YK41">
        <f t="shared" si="1443"/>
        <v>-9.3914467449511108</v>
      </c>
      <c r="YL41">
        <f t="shared" si="1443"/>
        <v>-9.4309354874030191</v>
      </c>
      <c r="YM41">
        <f t="shared" si="1443"/>
        <v>-9.4684103040228251</v>
      </c>
      <c r="YN41">
        <f t="shared" si="1443"/>
        <v>-9.5038826848432336</v>
      </c>
      <c r="YO41">
        <f t="shared" si="1443"/>
        <v>-9.5373636839532878</v>
      </c>
      <c r="YP41">
        <f t="shared" si="1443"/>
        <v>-9.5688639770511372</v>
      </c>
      <c r="YQ41">
        <f t="shared" si="1443"/>
        <v>-9.5983939126782616</v>
      </c>
      <c r="YR41">
        <f t="shared" si="1443"/>
        <v>-9.6259635578526286</v>
      </c>
      <c r="YS41">
        <f t="shared" si="1443"/>
        <v>-9.6515827387275408</v>
      </c>
      <c r="YT41">
        <f t="shared" si="1443"/>
        <v>-9.6752610768342038</v>
      </c>
      <c r="YU41">
        <f t="shared" si="1443"/>
        <v>-9.6970080214019276</v>
      </c>
      <c r="YV41">
        <f t="shared" si="1443"/>
        <v>-9.7168328781952482</v>
      </c>
      <c r="YW41">
        <f t="shared" si="1443"/>
        <v>-9.7347448352508081</v>
      </c>
      <c r="YX41">
        <f t="shared" si="1443"/>
        <v>-9.7507529858630733</v>
      </c>
      <c r="YY41">
        <f t="shared" si="1443"/>
        <v>-9.764866349116005</v>
      </c>
      <c r="YZ41">
        <f t="shared" si="1443"/>
        <v>-9.7770938882374594</v>
      </c>
      <c r="ZA41">
        <f t="shared" si="1443"/>
        <v>-9.7874445270091428</v>
      </c>
      <c r="ZB41">
        <f t="shared" si="1443"/>
        <v>-9.7959271644475052</v>
      </c>
      <c r="ZC41">
        <f t="shared" si="1443"/>
        <v>-9.8025506879429827</v>
      </c>
      <c r="ZD41">
        <f t="shared" si="1443"/>
        <v>-9.8073239850231744</v>
      </c>
      <c r="ZE41">
        <f t="shared" si="1443"/>
        <v>-9.8102559538889977</v>
      </c>
      <c r="ZF41">
        <f t="shared" si="1443"/>
        <v>-9.8113555128545045</v>
      </c>
      <c r="ZG41">
        <f t="shared" si="1443"/>
        <v>-9.810631608809274</v>
      </c>
      <c r="ZH41">
        <f t="shared" si="1443"/>
        <v>-9.8080932248025761</v>
      </c>
      <c r="ZI41">
        <f t="shared" si="1443"/>
        <v>-9.8037493868457659</v>
      </c>
      <c r="ZJ41">
        <f t="shared" si="1443"/>
        <v>-9.7976091700134589</v>
      </c>
      <c r="ZK41">
        <f t="shared" si="1443"/>
        <v>-9.7896817039132884</v>
      </c>
      <c r="ZL41">
        <f t="shared" si="1443"/>
        <v>-9.7799761775952447</v>
      </c>
      <c r="ZM41">
        <f t="shared" si="1443"/>
        <v>-9.7685018439523219</v>
      </c>
      <c r="ZN41">
        <f t="shared" si="1443"/>
        <v>-9.7552680236656784</v>
      </c>
      <c r="ZO41">
        <f t="shared" si="1443"/>
        <v>-9.7402841087415482</v>
      </c>
      <c r="ZP41">
        <f t="shared" si="1443"/>
        <v>-9.7235595656790679</v>
      </c>
      <c r="ZQ41">
        <f t="shared" si="1443"/>
        <v>-9.7051039383050011</v>
      </c>
      <c r="ZR41">
        <f t="shared" si="1443"/>
        <v>-9.6849268503081589</v>
      </c>
      <c r="ZS41">
        <f t="shared" si="1443"/>
        <v>-9.6630380075039852</v>
      </c>
      <c r="ZT41">
        <f t="shared" si="1443"/>
        <v>-9.6394471998507925</v>
      </c>
      <c r="ZU41">
        <f t="shared" si="1443"/>
        <v>-9.6141643032461275</v>
      </c>
      <c r="ZV41">
        <f t="shared" si="1443"/>
        <v>-9.5871992811191262</v>
      </c>
      <c r="ZW41">
        <f t="shared" si="1443"/>
        <v>-9.5585621858394347</v>
      </c>
      <c r="ZX41">
        <f t="shared" si="1443"/>
        <v>-9.5282631599595788</v>
      </c>
      <c r="ZY41">
        <f t="shared" si="1443"/>
        <v>-9.4963124373039136</v>
      </c>
      <c r="ZZ41">
        <f t="shared" si="1443"/>
        <v>-9.4627203439175105</v>
      </c>
      <c r="AAA41">
        <f t="shared" si="1443"/>
        <v>-9.4274972988885111</v>
      </c>
      <c r="AAB41">
        <f t="shared" si="1443"/>
        <v>-9.3906538150525876</v>
      </c>
      <c r="AAC41">
        <f t="shared" si="1443"/>
        <v>-9.3522004995892871</v>
      </c>
      <c r="AAD41">
        <f t="shared" si="1443"/>
        <v>-9.3121480545199233</v>
      </c>
      <c r="AAE41">
        <f t="shared" si="1443"/>
        <v>-9.2705072771136656</v>
      </c>
      <c r="AAF41">
        <f t="shared" si="1443"/>
        <v>-9.2272890602084772</v>
      </c>
      <c r="AAG41">
        <f t="shared" si="1443"/>
        <v>-9.1825043924537795</v>
      </c>
      <c r="AAH41">
        <f t="shared" si="1443"/>
        <v>-9.1361643584805847</v>
      </c>
      <c r="AAI41">
        <f t="shared" si="1443"/>
        <v>-9.0882801390031887</v>
      </c>
      <c r="AAJ41">
        <f t="shared" si="1443"/>
        <v>-9.0388630108570851</v>
      </c>
      <c r="AAK41">
        <f t="shared" si="1443"/>
        <v>-8.987924346979014</v>
      </c>
      <c r="AAL41">
        <f t="shared" si="1443"/>
        <v>-8.9354756163294837</v>
      </c>
      <c r="AAM41">
        <f t="shared" si="1443"/>
        <v>-8.8815283837649872</v>
      </c>
      <c r="AAN41">
        <f t="shared" si="1443"/>
        <v>-8.8260943098595703</v>
      </c>
      <c r="AAO41">
        <f t="shared" si="1443"/>
        <v>-8.7691851506803573</v>
      </c>
    </row>
    <row r="42" spans="1:719">
      <c r="A42" s="4">
        <f t="shared" ref="A42:A49" si="1444">A41+1</f>
        <v>3</v>
      </c>
      <c r="B42" s="1">
        <f>$P$11*B26+$Q$11*B27+$R$11*B28</f>
        <v>0</v>
      </c>
      <c r="C42">
        <f>$P$11*C26+$Q$11*C27+$R$11*C28</f>
        <v>0</v>
      </c>
      <c r="D42">
        <f t="shared" ref="D42" si="1445">$P$11*D26+$Q$11*D27+$R$11*D28</f>
        <v>-5.8630798939901752E-2</v>
      </c>
      <c r="E42">
        <f t="shared" ref="E42:BP42" si="1446">$P$11*E26+$Q$11*E27+$R$11*E28</f>
        <v>-0.17446302865988628</v>
      </c>
      <c r="F42">
        <f t="shared" si="1446"/>
        <v>-0.33244338193134126</v>
      </c>
      <c r="G42">
        <f t="shared" si="1446"/>
        <v>-0.51783964032276231</v>
      </c>
      <c r="H42">
        <f t="shared" si="1446"/>
        <v>-0.7194115545650277</v>
      </c>
      <c r="I42">
        <f t="shared" si="1446"/>
        <v>-0.92935222410739016</v>
      </c>
      <c r="J42">
        <f t="shared" si="1446"/>
        <v>-1.1424947208791139</v>
      </c>
      <c r="K42">
        <f t="shared" si="1446"/>
        <v>-1.3555293568431352</v>
      </c>
      <c r="L42">
        <f t="shared" si="1446"/>
        <v>-1.566400641044595</v>
      </c>
      <c r="M42">
        <f t="shared" si="1446"/>
        <v>-1.7738815903002205</v>
      </c>
      <c r="N42">
        <f t="shared" si="1446"/>
        <v>-1.9772845023609591</v>
      </c>
      <c r="O42">
        <f t="shared" si="1446"/>
        <v>-2.1762679803645995</v>
      </c>
      <c r="P42">
        <f t="shared" si="1446"/>
        <v>-2.3707093834322279</v>
      </c>
      <c r="Q42">
        <f t="shared" si="1446"/>
        <v>-2.5606210304525803</v>
      </c>
      <c r="R42">
        <f t="shared" si="1446"/>
        <v>-2.7460954589839446</v>
      </c>
      <c r="S42">
        <f t="shared" si="1446"/>
        <v>-2.9272699216099625</v>
      </c>
      <c r="T42">
        <f t="shared" si="1446"/>
        <v>-3.1043035988739405</v>
      </c>
      <c r="U42">
        <f t="shared" si="1446"/>
        <v>-3.2773632034530351</v>
      </c>
      <c r="V42">
        <f t="shared" si="1446"/>
        <v>-3.4466141056209096</v>
      </c>
      <c r="W42">
        <f t="shared" si="1446"/>
        <v>-3.6122150745578665</v>
      </c>
      <c r="X42">
        <f t="shared" si="1446"/>
        <v>-3.7743153702120082</v>
      </c>
      <c r="Y42">
        <f t="shared" si="1446"/>
        <v>-3.9330533460872346</v>
      </c>
      <c r="Z42">
        <f t="shared" si="1446"/>
        <v>-4.0885560068695099</v>
      </c>
      <c r="AA42">
        <f t="shared" si="1446"/>
        <v>-4.2409391538625414</v>
      </c>
      <c r="AB42">
        <f t="shared" si="1446"/>
        <v>-4.3903078773197421</v>
      </c>
      <c r="AC42">
        <f t="shared" si="1446"/>
        <v>-4.5367572388431654</v>
      </c>
      <c r="AD42">
        <f t="shared" si="1446"/>
        <v>-4.6803730430013104</v>
      </c>
      <c r="AE42">
        <f t="shared" si="1446"/>
        <v>-4.8212326344834366</v>
      </c>
      <c r="AF42">
        <f t="shared" si="1446"/>
        <v>-4.9594056816893897</v>
      </c>
      <c r="AG42">
        <f t="shared" si="1446"/>
        <v>-5.0949549237973315</v>
      </c>
      <c r="AH42">
        <f t="shared" si="1446"/>
        <v>-5.2279368688755881</v>
      </c>
      <c r="AI42">
        <f t="shared" si="1446"/>
        <v>-5.3584024373599277</v>
      </c>
      <c r="AJ42">
        <f t="shared" si="1446"/>
        <v>-5.4863975494841668</v>
      </c>
      <c r="AK42">
        <f t="shared" si="1446"/>
        <v>-5.6119636578596044</v>
      </c>
      <c r="AL42">
        <f t="shared" si="1446"/>
        <v>-5.7351382279198333</v>
      </c>
      <c r="AM42">
        <f t="shared" si="1446"/>
        <v>-5.8559551697653092</v>
      </c>
      <c r="AN42">
        <f t="shared" si="1446"/>
        <v>-5.9744452252975861</v>
      </c>
      <c r="AO42">
        <f t="shared" si="1446"/>
        <v>-6.0906363146119133</v>
      </c>
      <c r="AP42">
        <f t="shared" si="1446"/>
        <v>-6.2045538455096789</v>
      </c>
      <c r="AQ42">
        <f t="shared" si="1446"/>
        <v>-6.316220989797273</v>
      </c>
      <c r="AR42">
        <f t="shared" si="1446"/>
        <v>-6.4256589297756932</v>
      </c>
      <c r="AS42">
        <f t="shared" si="1446"/>
        <v>-6.5328870780521413</v>
      </c>
      <c r="AT42">
        <f t="shared" si="1446"/>
        <v>-6.6379232735201299</v>
      </c>
      <c r="AU42">
        <f t="shared" si="1446"/>
        <v>-6.7407839560827938</v>
      </c>
      <c r="AV42">
        <f t="shared" si="1446"/>
        <v>-6.8414843224340416</v>
      </c>
      <c r="AW42">
        <f t="shared" si="1446"/>
        <v>-6.9400384649743216</v>
      </c>
      <c r="AX42">
        <f t="shared" si="1446"/>
        <v>-7.0364594957149507</v>
      </c>
      <c r="AY42">
        <f t="shared" si="1446"/>
        <v>-7.1307596568289</v>
      </c>
      <c r="AZ42">
        <f t="shared" si="1446"/>
        <v>-7.2229504193202843</v>
      </c>
      <c r="BA42">
        <f t="shared" si="1446"/>
        <v>-7.3130425711266298</v>
      </c>
      <c r="BB42">
        <f t="shared" si="1446"/>
        <v>-7.4010462958209757</v>
      </c>
      <c r="BC42">
        <f t="shared" si="1446"/>
        <v>-7.4869712429509718</v>
      </c>
      <c r="BD42">
        <f t="shared" si="1446"/>
        <v>-7.5708265909356101</v>
      </c>
      <c r="BE42">
        <f t="shared" si="1446"/>
        <v>-7.6526211033407492</v>
      </c>
      <c r="BF42">
        <f t="shared" si="1446"/>
        <v>-7.7323631792574758</v>
      </c>
      <c r="BG42">
        <f t="shared" si="1446"/>
        <v>-7.8100608984305495</v>
      </c>
      <c r="BH42">
        <f t="shared" si="1446"/>
        <v>-7.8857220617099415</v>
      </c>
      <c r="BI42">
        <f t="shared" si="1446"/>
        <v>-7.9593542273351545</v>
      </c>
      <c r="BJ42">
        <f t="shared" si="1446"/>
        <v>-8.0309647435030058</v>
      </c>
      <c r="BK42">
        <f t="shared" si="1446"/>
        <v>-8.1005607776230022</v>
      </c>
      <c r="BL42">
        <f t="shared" si="1446"/>
        <v>-8.1681493426161467</v>
      </c>
      <c r="BM42">
        <f t="shared" si="1446"/>
        <v>-8.2337373205732831</v>
      </c>
      <c r="BN42">
        <f t="shared" si="1446"/>
        <v>-8.2973314840583612</v>
      </c>
      <c r="BO42">
        <f t="shared" si="1446"/>
        <v>-8.3589385153040041</v>
      </c>
      <c r="BP42">
        <f t="shared" si="1446"/>
        <v>-8.4185650235247067</v>
      </c>
      <c r="BQ42">
        <f t="shared" ref="BQ42:CU42" si="1447">$P$11*BQ26+$Q$11*BQ27+$R$11*BQ28</f>
        <v>-8.476217560545706</v>
      </c>
      <c r="BR42">
        <f t="shared" si="1447"/>
        <v>-8.5319026349230285</v>
      </c>
      <c r="BS42">
        <f t="shared" si="1447"/>
        <v>-8.5856267247134497</v>
      </c>
      <c r="BT42">
        <f t="shared" si="1447"/>
        <v>-8.6373962890347684</v>
      </c>
      <c r="BU42">
        <f t="shared" si="1447"/>
        <v>-8.6872177785386384</v>
      </c>
      <c r="BV42">
        <f t="shared" si="1447"/>
        <v>-8.7350976449100131</v>
      </c>
      <c r="BW42">
        <f t="shared" si="1447"/>
        <v>-8.7810423494905763</v>
      </c>
      <c r="BX42">
        <f t="shared" si="1447"/>
        <v>-8.8250583711155173</v>
      </c>
      <c r="BY42">
        <f t="shared" si="1447"/>
        <v>-8.8671522132414111</v>
      </c>
      <c r="BZ42">
        <f t="shared" si="1447"/>
        <v>-8.9073304104372824</v>
      </c>
      <c r="CA42">
        <f t="shared" si="1447"/>
        <v>-8.9455995343000723</v>
      </c>
      <c r="CB42">
        <f t="shared" si="1447"/>
        <v>-8.9819661988505004</v>
      </c>
      <c r="CC42">
        <f t="shared" si="1447"/>
        <v>-9.0164370654622985</v>
      </c>
      <c r="CD42">
        <f t="shared" si="1447"/>
        <v>-9.0490188473658009</v>
      </c>
      <c r="CE42">
        <f t="shared" si="1447"/>
        <v>-9.0797183137688648</v>
      </c>
      <c r="CF42">
        <f t="shared" si="1447"/>
        <v>-9.1085422936295117</v>
      </c>
      <c r="CG42">
        <f t="shared" si="1447"/>
        <v>-9.1354976791132003</v>
      </c>
      <c r="CH42">
        <f t="shared" si="1447"/>
        <v>-9.1605914287632118</v>
      </c>
      <c r="CI42">
        <f t="shared" si="1447"/>
        <v>-9.1838305704100662</v>
      </c>
      <c r="CJ42">
        <f t="shared" si="1447"/>
        <v>-9.2052222038425384</v>
      </c>
      <c r="CK42">
        <f t="shared" si="1447"/>
        <v>-9.2247735032628952</v>
      </c>
      <c r="CL42">
        <f t="shared" si="1447"/>
        <v>-9.2424917195421017</v>
      </c>
      <c r="CM42">
        <f t="shared" si="1447"/>
        <v>-9.2583841822941508</v>
      </c>
      <c r="CN42">
        <f t="shared" si="1447"/>
        <v>-9.2724583017835585</v>
      </c>
      <c r="CO42">
        <f t="shared" si="1447"/>
        <v>-9.2847215706796646</v>
      </c>
      <c r="CP42">
        <f t="shared" si="1447"/>
        <v>-9.2951815656703047</v>
      </c>
      <c r="CQ42">
        <f t="shared" si="1447"/>
        <v>-9.3038459489442857</v>
      </c>
      <c r="CR42">
        <f t="shared" si="1447"/>
        <v>-9.3107224695559125</v>
      </c>
      <c r="CS42">
        <f t="shared" si="1447"/>
        <v>-9.3158189646761116</v>
      </c>
      <c r="CT42">
        <f t="shared" si="1447"/>
        <v>-9.3191433607422596</v>
      </c>
      <c r="CU42">
        <f t="shared" si="1447"/>
        <v>-9.3207036745097867</v>
      </c>
      <c r="CV42">
        <f t="shared" ref="CV42:FG42" si="1448">$P$11*CV26+$Q$11*CV27+$R$11*CV28</f>
        <v>-9.3205080140174914</v>
      </c>
      <c r="CW42">
        <f t="shared" si="1448"/>
        <v>-9.3185645794674201</v>
      </c>
      <c r="CX42">
        <f t="shared" si="1448"/>
        <v>-9.3148816640269274</v>
      </c>
      <c r="CY42">
        <f t="shared" si="1448"/>
        <v>-9.3094676545587731</v>
      </c>
      <c r="CZ42">
        <f t="shared" si="1448"/>
        <v>-9.3023310322807902</v>
      </c>
      <c r="DA42">
        <f t="shared" si="1448"/>
        <v>-9.2934803733633657</v>
      </c>
      <c r="DB42">
        <f t="shared" si="1448"/>
        <v>-9.282924349463201</v>
      </c>
      <c r="DC42">
        <f t="shared" si="1448"/>
        <v>-9.2706717282013074</v>
      </c>
      <c r="DD42">
        <f t="shared" si="1448"/>
        <v>-9.2567313735858647</v>
      </c>
      <c r="DE42">
        <f t="shared" si="1448"/>
        <v>-9.2411122463830679</v>
      </c>
      <c r="DF42">
        <f t="shared" si="1448"/>
        <v>-9.2238234044382352</v>
      </c>
      <c r="DG42">
        <f t="shared" si="1448"/>
        <v>-9.2048740029512715</v>
      </c>
      <c r="DH42">
        <f t="shared" si="1448"/>
        <v>-9.1842732947056902</v>
      </c>
      <c r="DI42">
        <f t="shared" si="1448"/>
        <v>-9.1620306302549466</v>
      </c>
      <c r="DJ42">
        <f t="shared" si="1448"/>
        <v>-9.1381554580686952</v>
      </c>
      <c r="DK42">
        <f t="shared" si="1448"/>
        <v>-9.1126573246380644</v>
      </c>
      <c r="DL42">
        <f t="shared" si="1448"/>
        <v>-9.0855458745434703</v>
      </c>
      <c r="DM42">
        <f t="shared" si="1448"/>
        <v>-9.0568308504862785</v>
      </c>
      <c r="DN42">
        <f t="shared" si="1448"/>
        <v>-9.0265220932835746</v>
      </c>
      <c r="DO42">
        <f t="shared" si="1448"/>
        <v>-8.9946295418308182</v>
      </c>
      <c r="DP42">
        <f t="shared" si="1448"/>
        <v>-8.9611632330293105</v>
      </c>
      <c r="DQ42">
        <f t="shared" si="1448"/>
        <v>-8.926133301682853</v>
      </c>
      <c r="DR42">
        <f t="shared" si="1448"/>
        <v>-8.8895499803633697</v>
      </c>
      <c r="DS42">
        <f t="shared" si="1448"/>
        <v>-8.8514235992452086</v>
      </c>
      <c r="DT42">
        <f t="shared" si="1448"/>
        <v>-8.8117645859108507</v>
      </c>
      <c r="DU42">
        <f t="shared" si="1448"/>
        <v>-8.7705834651277996</v>
      </c>
      <c r="DV42">
        <f t="shared" si="1448"/>
        <v>-8.7278908585976183</v>
      </c>
      <c r="DW42">
        <f t="shared" si="1448"/>
        <v>-8.6836974846777366</v>
      </c>
      <c r="DX42">
        <f t="shared" si="1448"/>
        <v>-8.6380141580760323</v>
      </c>
      <c r="DY42">
        <f t="shared" si="1448"/>
        <v>-8.5908517895203431</v>
      </c>
      <c r="DZ42">
        <f t="shared" si="1448"/>
        <v>-8.5422213854018878</v>
      </c>
      <c r="EA42">
        <f t="shared" si="1448"/>
        <v>-8.4921340473941882</v>
      </c>
      <c r="EB42">
        <f t="shared" si="1448"/>
        <v>-8.4406009720469228</v>
      </c>
      <c r="EC42">
        <f t="shared" si="1448"/>
        <v>-8.3876334503571002</v>
      </c>
      <c r="ED42">
        <f t="shared" si="1448"/>
        <v>-8.3332428673160734</v>
      </c>
      <c r="EE42">
        <f t="shared" si="1448"/>
        <v>-8.277440701432397</v>
      </c>
      <c r="EF42">
        <f t="shared" si="1448"/>
        <v>-8.2202385242347304</v>
      </c>
      <c r="EG42">
        <f t="shared" si="1448"/>
        <v>-8.1616479997506985</v>
      </c>
      <c r="EH42">
        <f t="shared" si="1448"/>
        <v>-8.1016808839635814</v>
      </c>
      <c r="EI42">
        <f t="shared" si="1448"/>
        <v>-8.0403490242498492</v>
      </c>
      <c r="EJ42">
        <f t="shared" si="1448"/>
        <v>-7.9776643587931062</v>
      </c>
      <c r="EK42">
        <f t="shared" si="1448"/>
        <v>-7.9136389159792202</v>
      </c>
      <c r="EL42">
        <f t="shared" si="1448"/>
        <v>-7.8482848137697943</v>
      </c>
      <c r="EM42">
        <f t="shared" si="1448"/>
        <v>-7.7816142590567097</v>
      </c>
      <c r="EN42">
        <f t="shared" si="1448"/>
        <v>-7.7136395469960917</v>
      </c>
      <c r="EO42">
        <f t="shared" si="1448"/>
        <v>-7.6443730603232893</v>
      </c>
      <c r="EP42">
        <f t="shared" si="1448"/>
        <v>-7.5738272686488699</v>
      </c>
      <c r="EQ42">
        <f t="shared" si="1448"/>
        <v>-7.5020147277352862</v>
      </c>
      <c r="ER42">
        <f t="shared" si="1448"/>
        <v>-7.4289480787559228</v>
      </c>
      <c r="ES42">
        <f t="shared" si="1448"/>
        <v>-7.3546400475344171</v>
      </c>
      <c r="ET42">
        <f t="shared" si="1448"/>
        <v>-7.2791034437678377</v>
      </c>
      <c r="EU42">
        <f t="shared" si="1448"/>
        <v>-7.2023511602309327</v>
      </c>
      <c r="EV42">
        <f t="shared" si="1448"/>
        <v>-7.1243961719627009</v>
      </c>
      <c r="EW42">
        <f t="shared" si="1448"/>
        <v>-7.045251535437103</v>
      </c>
      <c r="EX42">
        <f t="shared" si="1448"/>
        <v>-6.9649303877159241</v>
      </c>
      <c r="EY42">
        <f t="shared" si="1448"/>
        <v>-6.8834459455843557</v>
      </c>
      <c r="EZ42">
        <f t="shared" si="1448"/>
        <v>-6.8008115046723674</v>
      </c>
      <c r="FA42">
        <f t="shared" si="1448"/>
        <v>-6.7170404385565234</v>
      </c>
      <c r="FB42">
        <f t="shared" si="1448"/>
        <v>-6.6321461978487832</v>
      </c>
      <c r="FC42">
        <f t="shared" si="1448"/>
        <v>-6.5461423092694417</v>
      </c>
      <c r="FD42">
        <f t="shared" si="1448"/>
        <v>-6.4590423747015961</v>
      </c>
      <c r="FE42">
        <f t="shared" si="1448"/>
        <v>-6.3708600702339027</v>
      </c>
      <c r="FF42">
        <f t="shared" si="1448"/>
        <v>-6.2816091451868488</v>
      </c>
      <c r="FG42">
        <f t="shared" si="1448"/>
        <v>-6.191303421123564</v>
      </c>
      <c r="FH42">
        <f t="shared" ref="FH42:HS42" si="1449">$P$11*FH26+$Q$11*FH27+$R$11*FH28</f>
        <v>-6.099956790847159</v>
      </c>
      <c r="FI42">
        <f t="shared" si="1449"/>
        <v>-6.007583217383285</v>
      </c>
      <c r="FJ42">
        <f t="shared" si="1449"/>
        <v>-5.9141967329491649</v>
      </c>
      <c r="FK42">
        <f t="shared" si="1449"/>
        <v>-5.8198114379068784</v>
      </c>
      <c r="FL42">
        <f t="shared" si="1449"/>
        <v>-5.7244414997055628</v>
      </c>
      <c r="FM42">
        <f t="shared" si="1449"/>
        <v>-5.6281011518083233</v>
      </c>
      <c r="FN42">
        <f t="shared" si="1449"/>
        <v>-5.5308046926062957</v>
      </c>
      <c r="FO42">
        <f t="shared" si="1449"/>
        <v>-5.4325664843200911</v>
      </c>
      <c r="FP42">
        <f t="shared" si="1449"/>
        <v>-5.3334009518885068</v>
      </c>
      <c r="FQ42">
        <f t="shared" si="1449"/>
        <v>-5.2333225818433675</v>
      </c>
      <c r="FR42">
        <f t="shared" si="1449"/>
        <v>-5.1323459211740214</v>
      </c>
      <c r="FS42">
        <f t="shared" si="1449"/>
        <v>-5.030485576177341</v>
      </c>
      <c r="FT42">
        <f t="shared" si="1449"/>
        <v>-4.9277562112986857</v>
      </c>
      <c r="FU42">
        <f t="shared" si="1449"/>
        <v>-4.8241725479572892</v>
      </c>
      <c r="FV42">
        <f t="shared" si="1449"/>
        <v>-4.7197493633640306</v>
      </c>
      <c r="FW42">
        <f t="shared" si="1449"/>
        <v>-4.6145014893256757</v>
      </c>
      <c r="FX42">
        <f t="shared" si="1449"/>
        <v>-4.5084438110374094</v>
      </c>
      <c r="FY42">
        <f t="shared" si="1449"/>
        <v>-4.4015912658663865</v>
      </c>
      <c r="FZ42">
        <f t="shared" si="1449"/>
        <v>-4.2939588421239705</v>
      </c>
      <c r="GA42">
        <f t="shared" si="1449"/>
        <v>-4.1855615778259789</v>
      </c>
      <c r="GB42">
        <f t="shared" si="1449"/>
        <v>-4.0764145594445154</v>
      </c>
      <c r="GC42">
        <f t="shared" si="1449"/>
        <v>-3.966532920649172</v>
      </c>
      <c r="GD42">
        <f t="shared" si="1449"/>
        <v>-3.8559318410377728</v>
      </c>
      <c r="GE42">
        <f t="shared" si="1449"/>
        <v>-3.7446265448578515</v>
      </c>
      <c r="GF42">
        <f t="shared" si="1449"/>
        <v>-3.6326322997190346</v>
      </c>
      <c r="GG42">
        <f t="shared" si="1449"/>
        <v>-3.5199644152954193</v>
      </c>
      <c r="GH42">
        <f t="shared" si="1449"/>
        <v>-3.4066382420192554</v>
      </c>
      <c r="GI42">
        <f t="shared" si="1449"/>
        <v>-3.292669169766441</v>
      </c>
      <c r="GJ42">
        <f t="shared" si="1449"/>
        <v>-3.1780726265318435</v>
      </c>
      <c r="GK42">
        <f t="shared" si="1449"/>
        <v>-3.0628640770974016</v>
      </c>
      <c r="GL42">
        <f t="shared" si="1449"/>
        <v>-2.9470590216919845</v>
      </c>
      <c r="GM42">
        <f t="shared" si="1449"/>
        <v>-2.8306729946422706</v>
      </c>
      <c r="GN42">
        <f t="shared" si="1449"/>
        <v>-2.713721563016918</v>
      </c>
      <c r="GO42">
        <f t="shared" si="1449"/>
        <v>-2.5962203252623226</v>
      </c>
      <c r="GP42">
        <f t="shared" si="1449"/>
        <v>-2.4781849098309863</v>
      </c>
      <c r="GQ42">
        <f t="shared" si="1449"/>
        <v>-2.3596309738037462</v>
      </c>
      <c r="GR42">
        <f t="shared" si="1449"/>
        <v>-2.2405742015030796</v>
      </c>
      <c r="GS42">
        <f t="shared" si="1449"/>
        <v>-2.1210303031014632</v>
      </c>
      <c r="GT42">
        <f t="shared" si="1449"/>
        <v>-2.0010150132217177</v>
      </c>
      <c r="GU42">
        <f t="shared" si="1449"/>
        <v>-1.8805440895322363</v>
      </c>
      <c r="GV42">
        <f t="shared" si="1449"/>
        <v>-1.7596333113348237</v>
      </c>
      <c r="GW42">
        <f t="shared" si="1449"/>
        <v>-1.6382984781465098</v>
      </c>
      <c r="GX42">
        <f t="shared" si="1449"/>
        <v>-1.5165554082775543</v>
      </c>
      <c r="GY42">
        <f t="shared" si="1449"/>
        <v>-1.3944199374010964</v>
      </c>
      <c r="GZ42">
        <f t="shared" si="1449"/>
        <v>-1.2719079171187104</v>
      </c>
      <c r="HA42">
        <f t="shared" si="1449"/>
        <v>-1.1490352135218131</v>
      </c>
      <c r="HB42">
        <f t="shared" si="1449"/>
        <v>-1.0258177057458511</v>
      </c>
      <c r="HC42">
        <f t="shared" si="1449"/>
        <v>-0.90227128452124816</v>
      </c>
      <c r="HD42">
        <f t="shared" si="1449"/>
        <v>-0.77841185071991958</v>
      </c>
      <c r="HE42">
        <f t="shared" si="1449"/>
        <v>-0.65425531389576008</v>
      </c>
      <c r="HF42">
        <f t="shared" si="1449"/>
        <v>-0.52981759082285862</v>
      </c>
      <c r="HG42">
        <f t="shared" si="1449"/>
        <v>-0.40511460402842658</v>
      </c>
      <c r="HH42">
        <f t="shared" si="1449"/>
        <v>-0.28016228032305435</v>
      </c>
      <c r="HI42">
        <f t="shared" si="1449"/>
        <v>-0.15497654932562455</v>
      </c>
      <c r="HJ42">
        <f t="shared" si="1449"/>
        <v>-2.9573341987259028E-2</v>
      </c>
      <c r="HK42">
        <f t="shared" si="1449"/>
        <v>9.6031410890361713E-2</v>
      </c>
      <c r="HL42">
        <f t="shared" si="1449"/>
        <v>0.22182178013810017</v>
      </c>
      <c r="HM42">
        <f t="shared" si="1449"/>
        <v>0.34778183970530563</v>
      </c>
      <c r="HN42">
        <f t="shared" si="1449"/>
        <v>0.47389566814950967</v>
      </c>
      <c r="HO42">
        <f t="shared" si="1449"/>
        <v>0.60014735012714482</v>
      </c>
      <c r="HP42">
        <f t="shared" si="1449"/>
        <v>0.7265209778870485</v>
      </c>
      <c r="HQ42">
        <f t="shared" si="1449"/>
        <v>0.85300065276680925</v>
      </c>
      <c r="HR42">
        <f t="shared" si="1449"/>
        <v>0.97957048668888547</v>
      </c>
      <c r="HS42">
        <f t="shared" si="1449"/>
        <v>1.1062146036600211</v>
      </c>
      <c r="HT42">
        <f t="shared" ref="HT42:JI42" si="1450">$P$11*HT26+$Q$11*HT27+$R$11*HT28</f>
        <v>1.2329171412716278</v>
      </c>
      <c r="HU42">
        <f t="shared" si="1450"/>
        <v>1.3596622522016446</v>
      </c>
      <c r="HV42">
        <f t="shared" si="1450"/>
        <v>1.486434105715432</v>
      </c>
      <c r="HW42">
        <f t="shared" si="1450"/>
        <v>1.6132168891716674</v>
      </c>
      <c r="HX42">
        <f t="shared" si="1450"/>
        <v>1.7399948095233526</v>
      </c>
      <c r="HY42">
        <f t="shared" si="1450"/>
        <v>1.8667520948247329</v>
      </c>
      <c r="HZ42">
        <f t="shared" si="1450"/>
        <v>1.993472995734237</v>
      </c>
      <c r="IA42">
        <f t="shared" si="1450"/>
        <v>2.1201417870195769</v>
      </c>
      <c r="IB42">
        <f t="shared" si="1450"/>
        <v>2.2467427690621093</v>
      </c>
      <c r="IC42">
        <f t="shared" si="1450"/>
        <v>2.3732602693612534</v>
      </c>
      <c r="ID42">
        <f t="shared" si="1450"/>
        <v>2.4996786440370897</v>
      </c>
      <c r="IE42">
        <f t="shared" si="1450"/>
        <v>2.6259822793342664</v>
      </c>
      <c r="IF42">
        <f t="shared" si="1450"/>
        <v>2.7521555931228932</v>
      </c>
      <c r="IG42">
        <f t="shared" si="1450"/>
        <v>2.8781830363997756</v>
      </c>
      <c r="IH42">
        <f t="shared" si="1450"/>
        <v>3.0040490947872627</v>
      </c>
      <c r="II42">
        <f t="shared" si="1450"/>
        <v>3.1297382900316961</v>
      </c>
      <c r="IJ42">
        <f t="shared" si="1450"/>
        <v>3.2552351814988469</v>
      </c>
      <c r="IK42">
        <f t="shared" si="1450"/>
        <v>3.3805243676689543</v>
      </c>
      <c r="IL42">
        <f t="shared" si="1450"/>
        <v>3.5055904876280692</v>
      </c>
      <c r="IM42">
        <f t="shared" si="1450"/>
        <v>3.630418222558319</v>
      </c>
      <c r="IN42">
        <f t="shared" si="1450"/>
        <v>3.754992297225499</v>
      </c>
      <c r="IO42">
        <f t="shared" si="1450"/>
        <v>3.8792974814634249</v>
      </c>
      <c r="IP42">
        <f t="shared" si="1450"/>
        <v>4.0033185916561251</v>
      </c>
      <c r="IQ42">
        <f t="shared" si="1450"/>
        <v>4.1270404922165085</v>
      </c>
      <c r="IR42">
        <f t="shared" si="1450"/>
        <v>4.2504480970622467</v>
      </c>
      <c r="IS42">
        <f t="shared" si="1450"/>
        <v>4.3735263710877348</v>
      </c>
      <c r="IT42">
        <f t="shared" si="1450"/>
        <v>4.4962603316333798</v>
      </c>
      <c r="IU42">
        <f t="shared" si="1450"/>
        <v>4.6186350499497735</v>
      </c>
      <c r="IV42">
        <f t="shared" si="1450"/>
        <v>4.7406356526591935</v>
      </c>
      <c r="IW42">
        <f t="shared" si="1450"/>
        <v>4.862247323212614</v>
      </c>
      <c r="IX42">
        <f t="shared" si="1450"/>
        <v>4.9834553033410884</v>
      </c>
      <c r="IY42">
        <f t="shared" si="1450"/>
        <v>5.104244894505598</v>
      </c>
      <c r="IZ42">
        <f t="shared" si="1450"/>
        <v>5.2246014593386008</v>
      </c>
      <c r="JA42">
        <f t="shared" si="1450"/>
        <v>5.3445104230839888</v>
      </c>
      <c r="JB42">
        <f t="shared" si="1450"/>
        <v>5.4639572750295429</v>
      </c>
      <c r="JC42">
        <f t="shared" si="1450"/>
        <v>5.5829275699355776</v>
      </c>
      <c r="JD42">
        <f t="shared" si="1450"/>
        <v>5.7014069294579031</v>
      </c>
      <c r="JE42">
        <f t="shared" si="1450"/>
        <v>5.819381043565329</v>
      </c>
      <c r="JF42">
        <f t="shared" si="1450"/>
        <v>5.9368356719503481</v>
      </c>
      <c r="JG42">
        <f t="shared" si="1450"/>
        <v>6.0537566454357261</v>
      </c>
      <c r="JH42">
        <f t="shared" si="1450"/>
        <v>6.170129867373646</v>
      </c>
      <c r="JI42">
        <f t="shared" si="1450"/>
        <v>6.2859413150391674</v>
      </c>
      <c r="JJ42">
        <f t="shared" ref="JJ42:LU42" si="1451">$P$11*JJ26+$Q$11*JJ27+$R$11*JJ28</f>
        <v>6.4011770410165809</v>
      </c>
      <c r="JK42">
        <f t="shared" si="1451"/>
        <v>6.5158231745805892</v>
      </c>
      <c r="JL42">
        <f t="shared" si="1451"/>
        <v>6.629865923069076</v>
      </c>
      <c r="JM42">
        <f t="shared" si="1451"/>
        <v>6.7432915732497918</v>
      </c>
      <c r="JN42">
        <f t="shared" si="1451"/>
        <v>6.8560864926799354</v>
      </c>
      <c r="JO42">
        <f t="shared" si="1451"/>
        <v>6.9682371310580606</v>
      </c>
      <c r="JP42">
        <f t="shared" si="1451"/>
        <v>7.0797300215692189</v>
      </c>
      <c r="JQ42">
        <f t="shared" si="1451"/>
        <v>7.1905517822214051</v>
      </c>
      <c r="JR42">
        <f t="shared" si="1451"/>
        <v>7.3006891171758639</v>
      </c>
      <c r="JS42">
        <f t="shared" si="1451"/>
        <v>7.4101288180672782</v>
      </c>
      <c r="JT42">
        <f t="shared" si="1451"/>
        <v>7.5188577653180459</v>
      </c>
      <c r="JU42">
        <f t="shared" si="1451"/>
        <v>7.6268629294429502</v>
      </c>
      <c r="JV42">
        <f t="shared" si="1451"/>
        <v>7.7341313723454732</v>
      </c>
      <c r="JW42">
        <f t="shared" si="1451"/>
        <v>7.8406502486064369</v>
      </c>
      <c r="JX42">
        <f t="shared" si="1451"/>
        <v>7.9464068067630365</v>
      </c>
      <c r="JY42">
        <f t="shared" si="1451"/>
        <v>8.0513883905792909</v>
      </c>
      <c r="JZ42">
        <f t="shared" si="1451"/>
        <v>8.1555824403070005</v>
      </c>
      <c r="KA42">
        <f t="shared" si="1451"/>
        <v>8.2589764939387464</v>
      </c>
      <c r="KB42">
        <f t="shared" si="1451"/>
        <v>8.3615581884502035</v>
      </c>
      <c r="KC42">
        <f t="shared" si="1451"/>
        <v>8.4633152610332445</v>
      </c>
      <c r="KD42">
        <f t="shared" si="1451"/>
        <v>8.5642355503203476</v>
      </c>
      <c r="KE42">
        <f t="shared" si="1451"/>
        <v>8.6643069975978051</v>
      </c>
      <c r="KF42">
        <f t="shared" si="1451"/>
        <v>8.7635176480098949</v>
      </c>
      <c r="KG42">
        <f t="shared" si="1451"/>
        <v>8.8618556517525917</v>
      </c>
      <c r="KH42">
        <f t="shared" si="1451"/>
        <v>8.9593092652573887</v>
      </c>
      <c r="KI42">
        <f t="shared" si="1451"/>
        <v>9.0558668523643178</v>
      </c>
      <c r="KJ42">
        <f t="shared" si="1451"/>
        <v>9.151516885484682</v>
      </c>
      <c r="KK42">
        <f t="shared" si="1451"/>
        <v>9.2462479467529874</v>
      </c>
      <c r="KL42">
        <f t="shared" si="1451"/>
        <v>9.3400487291683021</v>
      </c>
      <c r="KM42">
        <f t="shared" si="1451"/>
        <v>9.4329080377240757</v>
      </c>
      <c r="KN42">
        <f t="shared" si="1451"/>
        <v>9.5248147905280121</v>
      </c>
      <c r="KO42">
        <f t="shared" si="1451"/>
        <v>9.6157580199093786</v>
      </c>
      <c r="KP42">
        <f t="shared" si="1451"/>
        <v>9.7057268735158004</v>
      </c>
      <c r="KQ42">
        <f t="shared" si="1451"/>
        <v>9.7947106153984009</v>
      </c>
      <c r="KR42">
        <f t="shared" si="1451"/>
        <v>9.8240678281455871</v>
      </c>
      <c r="KS42">
        <f t="shared" si="1451"/>
        <v>9.7952173799836828</v>
      </c>
      <c r="KT42">
        <f t="shared" si="1451"/>
        <v>9.723202197796752</v>
      </c>
      <c r="KU42">
        <f t="shared" si="1451"/>
        <v>9.6227442402976635</v>
      </c>
      <c r="KV42">
        <f t="shared" si="1451"/>
        <v>9.5050736186892664</v>
      </c>
      <c r="KW42">
        <f t="shared" si="1451"/>
        <v>9.3779872181218593</v>
      </c>
      <c r="KX42">
        <f t="shared" si="1451"/>
        <v>9.2466420749316853</v>
      </c>
      <c r="KY42">
        <f t="shared" si="1451"/>
        <v>9.1143381100766874</v>
      </c>
      <c r="KZ42">
        <f t="shared" si="1451"/>
        <v>8.9831211730639779</v>
      </c>
      <c r="LA42">
        <f t="shared" si="1451"/>
        <v>8.854208732222844</v>
      </c>
      <c r="LB42">
        <f t="shared" si="1451"/>
        <v>8.7282791024933317</v>
      </c>
      <c r="LC42">
        <f t="shared" si="1451"/>
        <v>8.605664421910717</v>
      </c>
      <c r="LD42">
        <f t="shared" si="1451"/>
        <v>8.4864782019330391</v>
      </c>
      <c r="LE42">
        <f t="shared" si="1451"/>
        <v>8.3706991245680342</v>
      </c>
      <c r="LF42">
        <f t="shared" si="1451"/>
        <v>8.2582257843694151</v>
      </c>
      <c r="LG42">
        <f t="shared" si="1451"/>
        <v>8.1489121929646444</v>
      </c>
      <c r="LH42">
        <f t="shared" si="1451"/>
        <v>8.0425905669918052</v>
      </c>
      <c r="LI42">
        <f t="shared" si="1451"/>
        <v>7.9390857247831264</v>
      </c>
      <c r="LJ42">
        <f t="shared" si="1451"/>
        <v>7.8382239617449159</v>
      </c>
      <c r="LK42">
        <f t="shared" si="1451"/>
        <v>7.7398383098776549</v>
      </c>
      <c r="LL42">
        <f t="shared" si="1451"/>
        <v>7.6437714467302271</v>
      </c>
      <c r="LM42">
        <f t="shared" si="1451"/>
        <v>7.5498770934135564</v>
      </c>
      <c r="LN42">
        <f t="shared" si="1451"/>
        <v>7.4580204577619611</v>
      </c>
      <c r="LO42">
        <f t="shared" si="1451"/>
        <v>7.3680780896708598</v>
      </c>
      <c r="LP42">
        <f t="shared" si="1451"/>
        <v>7.2799373895234112</v>
      </c>
      <c r="LQ42">
        <f t="shared" si="1451"/>
        <v>7.1934959265364</v>
      </c>
      <c r="LR42">
        <f t="shared" si="1451"/>
        <v>7.1086606678724706</v>
      </c>
      <c r="LS42">
        <f t="shared" si="1451"/>
        <v>7.0253471821999369</v>
      </c>
      <c r="LT42">
        <f t="shared" si="1451"/>
        <v>6.9434788568065642</v>
      </c>
      <c r="LU42">
        <f t="shared" si="1451"/>
        <v>6.862986151214443</v>
      </c>
      <c r="LV42">
        <f t="shared" ref="LV42:OG42" si="1452">$P$11*LV26+$Q$11*LV27+$R$11*LV28</f>
        <v>6.7838058997411395</v>
      </c>
      <c r="LW42">
        <f t="shared" si="1452"/>
        <v>6.7058806686787307</v>
      </c>
      <c r="LX42">
        <f t="shared" si="1452"/>
        <v>6.6291581695030004</v>
      </c>
      <c r="LY42">
        <f t="shared" si="1452"/>
        <v>6.5535907269208451</v>
      </c>
      <c r="LZ42">
        <f t="shared" si="1452"/>
        <v>6.4791347990362738</v>
      </c>
      <c r="MA42">
        <f t="shared" si="1452"/>
        <v>6.4057505461011601</v>
      </c>
      <c r="MB42">
        <f t="shared" si="1452"/>
        <v>6.3334014439614634</v>
      </c>
      <c r="MC42">
        <f t="shared" si="1452"/>
        <v>6.2620539382290303</v>
      </c>
      <c r="MD42">
        <f t="shared" si="1452"/>
        <v>6.191677135319253</v>
      </c>
      <c r="ME42">
        <f t="shared" si="1452"/>
        <v>6.1222425266851701</v>
      </c>
      <c r="MF42">
        <f t="shared" si="1452"/>
        <v>6.053723742846671</v>
      </c>
      <c r="MG42">
        <f t="shared" si="1452"/>
        <v>5.9860963340811963</v>
      </c>
      <c r="MH42">
        <f t="shared" si="1452"/>
        <v>5.9193375749304096</v>
      </c>
      <c r="MI42">
        <f t="shared" si="1452"/>
        <v>5.8534262899480609</v>
      </c>
      <c r="MJ42">
        <f t="shared" si="1452"/>
        <v>5.7883426983740378</v>
      </c>
      <c r="MK42">
        <f t="shared" si="1452"/>
        <v>5.7240682756572596</v>
      </c>
      <c r="ML42">
        <f t="shared" si="1452"/>
        <v>5.6605856299751736</v>
      </c>
      <c r="MM42">
        <f t="shared" si="1452"/>
        <v>5.5978783920903084</v>
      </c>
      <c r="MN42">
        <f t="shared" si="1452"/>
        <v>5.5359311170714705</v>
      </c>
      <c r="MO42">
        <f t="shared" si="1452"/>
        <v>5.4747291965665568</v>
      </c>
      <c r="MP42">
        <f t="shared" si="1452"/>
        <v>5.4142587804599884</v>
      </c>
      <c r="MQ42">
        <f t="shared" si="1452"/>
        <v>5.3545067068757817</v>
      </c>
      <c r="MR42">
        <f t="shared" si="1452"/>
        <v>5.2954604396063019</v>
      </c>
      <c r="MS42">
        <f t="shared" si="1452"/>
        <v>5.2371080121487807</v>
      </c>
      <c r="MT42">
        <f t="shared" si="1452"/>
        <v>5.1794379776191022</v>
      </c>
      <c r="MU42">
        <f t="shared" si="1452"/>
        <v>5.1224393639014352</v>
      </c>
      <c r="MV42">
        <f t="shared" si="1452"/>
        <v>5.0661016334568671</v>
      </c>
      <c r="MW42">
        <f t="shared" si="1452"/>
        <v>5.0104146472845059</v>
      </c>
      <c r="MX42">
        <f t="shared" si="1452"/>
        <v>4.9553686325809849</v>
      </c>
      <c r="MY42">
        <f t="shared" si="1452"/>
        <v>4.9009541536967163</v>
      </c>
      <c r="MZ42">
        <f t="shared" si="1452"/>
        <v>4.8471620860320286</v>
      </c>
      <c r="NA42">
        <f t="shared" si="1452"/>
        <v>4.7939835925568559</v>
      </c>
      <c r="NB42">
        <f t="shared" si="1452"/>
        <v>4.7414101026695334</v>
      </c>
      <c r="NC42">
        <f t="shared" si="1452"/>
        <v>4.6894332931458393</v>
      </c>
      <c r="ND42">
        <f t="shared" si="1452"/>
        <v>4.6380450709543766</v>
      </c>
      <c r="NE42">
        <f t="shared" si="1452"/>
        <v>4.587237557739968</v>
      </c>
      <c r="NF42">
        <f t="shared" si="1452"/>
        <v>4.537003075797486</v>
      </c>
      <c r="NG42">
        <f t="shared" si="1452"/>
        <v>4.4873341353810474</v>
      </c>
      <c r="NH42">
        <f t="shared" si="1452"/>
        <v>4.4382234232053293</v>
      </c>
      <c r="NI42">
        <f t="shared" si="1452"/>
        <v>4.3896637920170747</v>
      </c>
      <c r="NJ42">
        <f t="shared" si="1452"/>
        <v>4.3416482511242407</v>
      </c>
      <c r="NK42">
        <f t="shared" si="1452"/>
        <v>4.2941699577834811</v>
      </c>
      <c r="NL42">
        <f t="shared" si="1452"/>
        <v>4.2472222093584833</v>
      </c>
      <c r="NM42">
        <f t="shared" si="1452"/>
        <v>4.2007984361694071</v>
      </c>
      <c r="NN42">
        <f t="shared" si="1452"/>
        <v>4.1548921949627697</v>
      </c>
      <c r="NO42">
        <f t="shared" si="1452"/>
        <v>4.1094971629414658</v>
      </c>
      <c r="NP42">
        <f t="shared" si="1452"/>
        <v>4.0646071322942134</v>
      </c>
      <c r="NQ42">
        <f t="shared" si="1452"/>
        <v>4.0202160051791225</v>
      </c>
      <c r="NR42">
        <f t="shared" si="1452"/>
        <v>3.9763177891128976</v>
      </c>
      <c r="NS42">
        <f t="shared" si="1452"/>
        <v>3.93290659272742</v>
      </c>
      <c r="NT42">
        <f t="shared" si="1452"/>
        <v>3.8899766218574428</v>
      </c>
      <c r="NU42">
        <f t="shared" si="1452"/>
        <v>3.8475221759275655</v>
      </c>
      <c r="NV42">
        <f t="shared" si="1452"/>
        <v>3.8055376446079663</v>
      </c>
      <c r="NW42">
        <f t="shared" si="1452"/>
        <v>3.764017504715639</v>
      </c>
      <c r="NX42">
        <f t="shared" si="1452"/>
        <v>3.7229563173369797</v>
      </c>
      <c r="NY42">
        <f t="shared" si="1452"/>
        <v>3.6823487251496658</v>
      </c>
      <c r="NZ42">
        <f t="shared" si="1452"/>
        <v>3.6421894499270024</v>
      </c>
      <c r="OA42">
        <f t="shared" si="1452"/>
        <v>3.6024732902079108</v>
      </c>
      <c r="OB42">
        <f t="shared" si="1452"/>
        <v>3.5631951191156759</v>
      </c>
      <c r="OC42">
        <f t="shared" si="1452"/>
        <v>3.5243498823144819</v>
      </c>
      <c r="OD42">
        <f t="shared" si="1452"/>
        <v>3.4859325960898104</v>
      </c>
      <c r="OE42">
        <f t="shared" si="1452"/>
        <v>3.4479383455418997</v>
      </c>
      <c r="OF42">
        <f t="shared" si="1452"/>
        <v>3.4103622828836819</v>
      </c>
      <c r="OG42">
        <f t="shared" si="1452"/>
        <v>3.3731996258326831</v>
      </c>
      <c r="OH42">
        <f t="shared" ref="OH42:QS42" si="1453">$P$11*OH26+$Q$11*OH27+$R$11*OH28</f>
        <v>3.3364456560904614</v>
      </c>
      <c r="OI42">
        <f t="shared" si="1453"/>
        <v>3.3000957179000352</v>
      </c>
      <c r="OJ42">
        <f t="shared" si="1453"/>
        <v>3.264145216677889</v>
      </c>
      <c r="OK42">
        <f t="shared" si="1453"/>
        <v>3.2285896177119753</v>
      </c>
      <c r="OL42">
        <f t="shared" si="1453"/>
        <v>3.1934244449221296</v>
      </c>
      <c r="OM42">
        <f t="shared" si="1453"/>
        <v>3.1586452796767048</v>
      </c>
      <c r="ON42">
        <f t="shared" si="1453"/>
        <v>3.1242477596618414</v>
      </c>
      <c r="OO42">
        <f t="shared" si="1453"/>
        <v>3.0902275777991122</v>
      </c>
      <c r="OP42">
        <f t="shared" si="1453"/>
        <v>3.056580481208357</v>
      </c>
      <c r="OQ42">
        <f t="shared" si="1453"/>
        <v>3.0233022702129801</v>
      </c>
      <c r="OR42">
        <f t="shared" si="1453"/>
        <v>2.9903887973812857</v>
      </c>
      <c r="OS42">
        <f t="shared" si="1453"/>
        <v>2.9578359666065239</v>
      </c>
      <c r="OT42">
        <f t="shared" si="1453"/>
        <v>2.9256397322187695</v>
      </c>
      <c r="OU42">
        <f t="shared" si="1453"/>
        <v>2.8937960981287461</v>
      </c>
      <c r="OV42">
        <f t="shared" si="1453"/>
        <v>2.8623011170006976</v>
      </c>
      <c r="OW42">
        <f t="shared" si="1453"/>
        <v>2.831150889452033</v>
      </c>
      <c r="OX42">
        <f t="shared" si="1453"/>
        <v>2.8003415632787778</v>
      </c>
      <c r="OY42">
        <f t="shared" si="1453"/>
        <v>2.7698693327059232</v>
      </c>
      <c r="OZ42">
        <f t="shared" si="1453"/>
        <v>2.7397304376586931</v>
      </c>
      <c r="PA42">
        <f t="shared" si="1453"/>
        <v>2.7099211630567765</v>
      </c>
      <c r="PB42">
        <f t="shared" si="1453"/>
        <v>2.6804378381268066</v>
      </c>
      <c r="PC42">
        <f t="shared" si="1453"/>
        <v>2.651276835735473</v>
      </c>
      <c r="PD42">
        <f t="shared" si="1453"/>
        <v>2.6224345717394613</v>
      </c>
      <c r="PE42">
        <f t="shared" si="1453"/>
        <v>2.5939075043523871</v>
      </c>
      <c r="PF42">
        <f t="shared" si="1453"/>
        <v>2.5656921335282163</v>
      </c>
      <c r="PG42">
        <f t="shared" si="1453"/>
        <v>2.5377850003599747</v>
      </c>
      <c r="PH42">
        <f t="shared" si="1453"/>
        <v>2.5101826864921577</v>
      </c>
      <c r="PI42">
        <f t="shared" si="1453"/>
        <v>2.4828818135482038</v>
      </c>
      <c r="PJ42">
        <f t="shared" si="1453"/>
        <v>2.4558790425703592</v>
      </c>
      <c r="PK42">
        <f t="shared" si="1453"/>
        <v>2.4291710734716503</v>
      </c>
      <c r="PL42">
        <f t="shared" si="1453"/>
        <v>2.4027546445013286</v>
      </c>
      <c r="PM42">
        <f t="shared" si="1453"/>
        <v>2.3766265317210582</v>
      </c>
      <c r="PN42">
        <f t="shared" si="1453"/>
        <v>2.3507835484912789</v>
      </c>
      <c r="PO42">
        <f t="shared" si="1453"/>
        <v>2.3252225449700177</v>
      </c>
      <c r="PP42">
        <f t="shared" si="1453"/>
        <v>2.2999404076203973</v>
      </c>
      <c r="PQ42">
        <f t="shared" si="1453"/>
        <v>2.2749340587285474</v>
      </c>
      <c r="PR42">
        <f t="shared" si="1453"/>
        <v>2.2502004559306386</v>
      </c>
      <c r="PS42">
        <f t="shared" si="1453"/>
        <v>2.2257365917492393</v>
      </c>
      <c r="PT42">
        <f t="shared" si="1453"/>
        <v>2.201539493138938</v>
      </c>
      <c r="PU42">
        <f t="shared" si="1453"/>
        <v>2.1776062210388716</v>
      </c>
      <c r="PV42">
        <f t="shared" si="1453"/>
        <v>2.1539338699353152</v>
      </c>
      <c r="PW42">
        <f t="shared" si="1453"/>
        <v>2.1305195674306106</v>
      </c>
      <c r="PX42">
        <f t="shared" si="1453"/>
        <v>2.1073604738205916</v>
      </c>
      <c r="PY42">
        <f t="shared" si="1453"/>
        <v>2.0844537816792865</v>
      </c>
      <c r="PZ42">
        <f t="shared" si="1453"/>
        <v>2.0617967154508392</v>
      </c>
      <c r="QA42">
        <f t="shared" si="1453"/>
        <v>2.0393865310476542</v>
      </c>
      <c r="QB42">
        <f t="shared" si="1453"/>
        <v>2.0172205154566996</v>
      </c>
      <c r="QC42">
        <f t="shared" si="1453"/>
        <v>1.9952959863508966</v>
      </c>
      <c r="QD42">
        <f t="shared" si="1453"/>
        <v>1.9736102917079847</v>
      </c>
      <c r="QE42">
        <f t="shared" si="1453"/>
        <v>1.952160809434929</v>
      </c>
      <c r="QF42">
        <f t="shared" si="1453"/>
        <v>1.9309449469985793</v>
      </c>
      <c r="QG42">
        <f t="shared" si="1453"/>
        <v>1.9099601410624416</v>
      </c>
      <c r="QH42">
        <f t="shared" si="1453"/>
        <v>1.8892038571286776</v>
      </c>
      <c r="QI42">
        <f t="shared" si="1453"/>
        <v>1.8686735891858746</v>
      </c>
      <c r="QJ42">
        <f t="shared" si="1453"/>
        <v>1.8483668593626419</v>
      </c>
      <c r="QK42">
        <f t="shared" si="1453"/>
        <v>1.8282812175860954</v>
      </c>
      <c r="QL42">
        <f t="shared" si="1453"/>
        <v>1.8084142412449751</v>
      </c>
      <c r="QM42">
        <f t="shared" si="1453"/>
        <v>1.788763534859271</v>
      </c>
      <c r="QN42">
        <f t="shared" si="1453"/>
        <v>1.7693267297535442</v>
      </c>
      <c r="QO42">
        <f t="shared" si="1453"/>
        <v>1.7501014837354205</v>
      </c>
      <c r="QP42">
        <f t="shared" si="1453"/>
        <v>1.7310854807788871</v>
      </c>
      <c r="QQ42">
        <f t="shared" si="1453"/>
        <v>1.7122764307122225</v>
      </c>
      <c r="QR42">
        <f t="shared" si="1453"/>
        <v>1.6936720689101605</v>
      </c>
      <c r="QS42">
        <f t="shared" si="1453"/>
        <v>1.6752701559908871</v>
      </c>
      <c r="QT42">
        <f t="shared" ref="QT42:TE42" si="1454">$P$11*QT26+$Q$11*QT27+$R$11*QT28</f>
        <v>1.6570684775166171</v>
      </c>
      <c r="QU42">
        <f t="shared" si="1454"/>
        <v>1.6390648436998561</v>
      </c>
      <c r="QV42">
        <f t="shared" si="1454"/>
        <v>1.6212570891116798</v>
      </c>
      <c r="QW42">
        <f t="shared" si="1454"/>
        <v>1.6036430723959541</v>
      </c>
      <c r="QX42">
        <f t="shared" si="1454"/>
        <v>1.5862206759864534</v>
      </c>
      <c r="QY42">
        <f t="shared" si="1454"/>
        <v>1.5689878058286126</v>
      </c>
      <c r="QZ42">
        <f t="shared" si="1454"/>
        <v>1.5519423911042338</v>
      </c>
      <c r="RA42">
        <f t="shared" si="1454"/>
        <v>1.5350823839603436</v>
      </c>
      <c r="RB42">
        <f t="shared" si="1454"/>
        <v>1.518405759242313</v>
      </c>
      <c r="RC42">
        <f t="shared" si="1454"/>
        <v>1.5019105142296212</v>
      </c>
      <c r="RD42">
        <f t="shared" si="1454"/>
        <v>1.4855946683752563</v>
      </c>
      <c r="RE42">
        <f t="shared" si="1454"/>
        <v>1.469456263049608</v>
      </c>
      <c r="RF42">
        <f t="shared" si="1454"/>
        <v>1.4534933612865188</v>
      </c>
      <c r="RG42">
        <f t="shared" si="1454"/>
        <v>1.4377040475336287</v>
      </c>
      <c r="RH42">
        <f t="shared" si="1454"/>
        <v>1.4220864274047074</v>
      </c>
      <c r="RI42">
        <f t="shared" si="1454"/>
        <v>1.4066386274371894</v>
      </c>
      <c r="RJ42">
        <f t="shared" si="1454"/>
        <v>1.3913587948509019</v>
      </c>
      <c r="RK42">
        <f t="shared" si="1454"/>
        <v>1.3762450973113971</v>
      </c>
      <c r="RL42">
        <f t="shared" si="1454"/>
        <v>1.3612957226952176</v>
      </c>
      <c r="RM42">
        <f t="shared" si="1454"/>
        <v>1.3465088788587991</v>
      </c>
      <c r="RN42">
        <f t="shared" si="1454"/>
        <v>1.3318827934105286</v>
      </c>
      <c r="RO42">
        <f t="shared" si="1454"/>
        <v>1.3174157134848201</v>
      </c>
      <c r="RP42">
        <f t="shared" si="1454"/>
        <v>1.3031059055200274</v>
      </c>
      <c r="RQ42">
        <f t="shared" si="1454"/>
        <v>1.288951655038602</v>
      </c>
      <c r="RR42">
        <f t="shared" si="1454"/>
        <v>1.27495126642998</v>
      </c>
      <c r="RS42">
        <f t="shared" si="1454"/>
        <v>1.2611030627369075</v>
      </c>
      <c r="RT42">
        <f t="shared" si="1454"/>
        <v>1.247405385443443</v>
      </c>
      <c r="RU42">
        <f t="shared" si="1454"/>
        <v>1.2338565942659443</v>
      </c>
      <c r="RV42">
        <f t="shared" si="1454"/>
        <v>1.2204550669472667</v>
      </c>
      <c r="RW42">
        <f t="shared" si="1454"/>
        <v>1.2071991990526385</v>
      </c>
      <c r="RX42">
        <f t="shared" si="1454"/>
        <v>1.1940874037684637</v>
      </c>
      <c r="RY42">
        <f t="shared" si="1454"/>
        <v>1.1811181117037677</v>
      </c>
      <c r="RZ42">
        <f t="shared" si="1454"/>
        <v>1.1682897706933488</v>
      </c>
      <c r="SA42">
        <f t="shared" si="1454"/>
        <v>1.1556008456049369</v>
      </c>
      <c r="SB42">
        <f t="shared" si="1454"/>
        <v>1.143049818146153</v>
      </c>
      <c r="SC42">
        <f t="shared" si="1454"/>
        <v>1.1306351866763009</v>
      </c>
      <c r="SD42">
        <f t="shared" si="1454"/>
        <v>1.1183554660194091</v>
      </c>
      <c r="SE42">
        <f t="shared" si="1454"/>
        <v>1.1062091872788926</v>
      </c>
      <c r="SF42">
        <f t="shared" si="1454"/>
        <v>1.0941948976556546</v>
      </c>
      <c r="SG42">
        <f t="shared" si="1454"/>
        <v>1.0823111602677784</v>
      </c>
      <c r="SH42">
        <f t="shared" si="1454"/>
        <v>1.0705565539720112</v>
      </c>
      <c r="SI42">
        <f t="shared" si="1454"/>
        <v>1.0589296731882882</v>
      </c>
      <c r="SJ42">
        <f t="shared" si="1454"/>
        <v>1.0474291277254508</v>
      </c>
      <c r="SK42">
        <f t="shared" si="1454"/>
        <v>1.0360535426098636</v>
      </c>
      <c r="SL42">
        <f t="shared" si="1454"/>
        <v>1.0248015579153957</v>
      </c>
      <c r="SM42">
        <f t="shared" si="1454"/>
        <v>1.0136718285955055</v>
      </c>
      <c r="SN42">
        <f t="shared" si="1454"/>
        <v>1.0026630243179113</v>
      </c>
      <c r="SO42">
        <f t="shared" si="1454"/>
        <v>0.99177382930017188</v>
      </c>
      <c r="SP42">
        <f t="shared" si="1454"/>
        <v>0.98100294214856376</v>
      </c>
      <c r="SQ42">
        <f t="shared" si="1454"/>
        <v>0.97034907569738493</v>
      </c>
      <c r="SR42">
        <f t="shared" si="1454"/>
        <v>0.95981095685147011</v>
      </c>
      <c r="SS42">
        <f t="shared" si="1454"/>
        <v>0.9493873264293029</v>
      </c>
      <c r="ST42">
        <f t="shared" si="1454"/>
        <v>0.93907693900911227</v>
      </c>
      <c r="SU42">
        <f t="shared" si="1454"/>
        <v>0.92887856277610581</v>
      </c>
      <c r="SV42">
        <f t="shared" si="1454"/>
        <v>0.91879097937140841</v>
      </c>
      <c r="SW42">
        <f t="shared" si="1454"/>
        <v>0.90881298374324615</v>
      </c>
      <c r="SX42">
        <f t="shared" si="1454"/>
        <v>0.89894338399949447</v>
      </c>
      <c r="SY42">
        <f t="shared" si="1454"/>
        <v>0.88918100126176114</v>
      </c>
      <c r="SZ42">
        <f t="shared" si="1454"/>
        <v>0.87952466952174291</v>
      </c>
      <c r="TA42">
        <f t="shared" si="1454"/>
        <v>0.86997323549906014</v>
      </c>
      <c r="TB42">
        <f t="shared" si="1454"/>
        <v>0.86052555849991563</v>
      </c>
      <c r="TC42">
        <f t="shared" si="1454"/>
        <v>0.8511805102787946</v>
      </c>
      <c r="TD42">
        <f t="shared" si="1454"/>
        <v>0.84193697490044883</v>
      </c>
      <c r="TE42">
        <f t="shared" si="1454"/>
        <v>0.83279384860435357</v>
      </c>
      <c r="TF42">
        <f t="shared" ref="TF42:VQ42" si="1455">$P$11*TF26+$Q$11*TF27+$R$11*TF28</f>
        <v>0.82375003967030125</v>
      </c>
      <c r="TG42">
        <f t="shared" si="1455"/>
        <v>0.81480446828544473</v>
      </c>
      <c r="TH42">
        <f t="shared" si="1455"/>
        <v>0.8059560664132448</v>
      </c>
      <c r="TI42">
        <f t="shared" si="1455"/>
        <v>0.79720377766352613</v>
      </c>
      <c r="TJ42">
        <f t="shared" si="1455"/>
        <v>0.78854655716475008</v>
      </c>
      <c r="TK42">
        <f t="shared" si="1455"/>
        <v>0.7799833714362876</v>
      </c>
      <c r="TL42">
        <f t="shared" si="1455"/>
        <v>0.77151319826353415</v>
      </c>
      <c r="TM42">
        <f t="shared" si="1455"/>
        <v>0.76313502657387744</v>
      </c>
      <c r="TN42">
        <f t="shared" si="1455"/>
        <v>0.75484785631454088</v>
      </c>
      <c r="TO42">
        <f t="shared" si="1455"/>
        <v>0.74665069833051234</v>
      </c>
      <c r="TP42">
        <f t="shared" si="1455"/>
        <v>0.73854257424565617</v>
      </c>
      <c r="TQ42">
        <f t="shared" si="1455"/>
        <v>0.73052251634388199</v>
      </c>
      <c r="TR42">
        <f t="shared" si="1455"/>
        <v>0.72258956745167779</v>
      </c>
      <c r="TS42">
        <f t="shared" si="1455"/>
        <v>0.71474278082331466</v>
      </c>
      <c r="TT42">
        <f t="shared" si="1455"/>
        <v>0.70698122002536934</v>
      </c>
      <c r="TU42">
        <f t="shared" si="1455"/>
        <v>0.69930395882377638</v>
      </c>
      <c r="TV42">
        <f t="shared" si="1455"/>
        <v>0.69171008107258558</v>
      </c>
      <c r="TW42">
        <f t="shared" si="1455"/>
        <v>0.684198680602492</v>
      </c>
      <c r="TX42">
        <f t="shared" si="1455"/>
        <v>0.67676886111169665</v>
      </c>
      <c r="TY42">
        <f t="shared" si="1455"/>
        <v>0.66941973605801763</v>
      </c>
      <c r="TZ42">
        <f t="shared" si="1455"/>
        <v>0.66215042855142769</v>
      </c>
      <c r="UA42">
        <f t="shared" si="1455"/>
        <v>0.65496007124869493</v>
      </c>
      <c r="UB42">
        <f t="shared" si="1455"/>
        <v>0.64784780624867722</v>
      </c>
      <c r="UC42">
        <f t="shared" si="1455"/>
        <v>0.64081278498858296</v>
      </c>
      <c r="UD42">
        <f t="shared" si="1455"/>
        <v>0.63385416814205087</v>
      </c>
      <c r="UE42">
        <f t="shared" si="1455"/>
        <v>0.62697112551830969</v>
      </c>
      <c r="UF42">
        <f t="shared" si="1455"/>
        <v>0.62016283596145172</v>
      </c>
      <c r="UG42">
        <f t="shared" si="1455"/>
        <v>0.61342848725226418</v>
      </c>
      <c r="UH42">
        <f t="shared" si="1455"/>
        <v>0.60676727600980485</v>
      </c>
      <c r="UI42">
        <f t="shared" si="1455"/>
        <v>0.60017840759536512</v>
      </c>
      <c r="UJ42">
        <f t="shared" si="1455"/>
        <v>0.59366109601643302</v>
      </c>
      <c r="UK42">
        <f t="shared" si="1455"/>
        <v>0.58721456383219106</v>
      </c>
      <c r="UL42">
        <f t="shared" si="1455"/>
        <v>0.58083804206020773</v>
      </c>
      <c r="UM42">
        <f t="shared" si="1455"/>
        <v>0.57453077008378273</v>
      </c>
      <c r="UN42">
        <f t="shared" si="1455"/>
        <v>0.56829199556079857</v>
      </c>
      <c r="UO42">
        <f t="shared" si="1455"/>
        <v>0.56212097433299846</v>
      </c>
      <c r="UP42">
        <f t="shared" si="1455"/>
        <v>0.55601697033662845</v>
      </c>
      <c r="UQ42">
        <f t="shared" si="1455"/>
        <v>0.54997925551433013</v>
      </c>
      <c r="UR42">
        <f t="shared" si="1455"/>
        <v>0.54400710972714705</v>
      </c>
      <c r="US42">
        <f t="shared" si="1455"/>
        <v>0.53809982066871953</v>
      </c>
      <c r="UT42">
        <f t="shared" si="1455"/>
        <v>0.53225668377919533</v>
      </c>
      <c r="UU42">
        <f t="shared" si="1455"/>
        <v>0.52647700216061821</v>
      </c>
      <c r="UV42">
        <f t="shared" si="1455"/>
        <v>0.52076008649416394</v>
      </c>
      <c r="UW42">
        <f t="shared" si="1455"/>
        <v>0.51510525495652359</v>
      </c>
      <c r="UX42">
        <f t="shared" si="1455"/>
        <v>0.50951183313827642</v>
      </c>
      <c r="UY42">
        <f t="shared" si="1455"/>
        <v>0.50397915396325743</v>
      </c>
      <c r="UZ42">
        <f t="shared" si="1455"/>
        <v>0.4985065576086356</v>
      </c>
      <c r="VA42">
        <f t="shared" si="1455"/>
        <v>0.49309339142513409</v>
      </c>
      <c r="VB42">
        <f t="shared" si="1455"/>
        <v>0.48773900985969476</v>
      </c>
      <c r="VC42">
        <f t="shared" si="1455"/>
        <v>0.48244277437737537</v>
      </c>
      <c r="VD42">
        <f t="shared" si="1455"/>
        <v>0.47720405338512251</v>
      </c>
      <c r="VE42">
        <f t="shared" si="1455"/>
        <v>0.47202222215608458</v>
      </c>
      <c r="VF42">
        <f t="shared" si="1455"/>
        <v>0.46689666275474906</v>
      </c>
      <c r="VG42">
        <f t="shared" si="1455"/>
        <v>0.46182676396273337</v>
      </c>
      <c r="VH42">
        <f t="shared" si="1455"/>
        <v>0.45681192120602532</v>
      </c>
      <c r="VI42">
        <f t="shared" si="1455"/>
        <v>0.45185153648208143</v>
      </c>
      <c r="VJ42">
        <f t="shared" si="1455"/>
        <v>0.44694501828820421</v>
      </c>
      <c r="VK42">
        <f t="shared" si="1455"/>
        <v>0.44209178155125528</v>
      </c>
      <c r="VL42">
        <f t="shared" si="1455"/>
        <v>0.43729124755705584</v>
      </c>
      <c r="VM42">
        <f t="shared" si="1455"/>
        <v>0.43254284388140718</v>
      </c>
      <c r="VN42">
        <f t="shared" si="1455"/>
        <v>0.42784600432139541</v>
      </c>
      <c r="VO42">
        <f t="shared" si="1455"/>
        <v>0.42320016882780465</v>
      </c>
      <c r="VP42">
        <f t="shared" si="1455"/>
        <v>0.41860478343789964</v>
      </c>
      <c r="VQ42">
        <f t="shared" si="1455"/>
        <v>0.41405930020926007</v>
      </c>
      <c r="VR42">
        <f t="shared" ref="VR42:YC42" si="1456">$P$11*VR26+$Q$11*VR27+$R$11*VR28</f>
        <v>0.40956317715432533</v>
      </c>
      <c r="VS42">
        <f t="shared" si="1456"/>
        <v>0.40511587817513828</v>
      </c>
      <c r="VT42">
        <f t="shared" si="1456"/>
        <v>0.40071687299973746</v>
      </c>
      <c r="VU42">
        <f t="shared" si="1456"/>
        <v>0.3963656371183788</v>
      </c>
      <c r="VV42">
        <f t="shared" si="1456"/>
        <v>0.39206165172100782</v>
      </c>
      <c r="VW42">
        <f t="shared" si="1456"/>
        <v>0.38780440363518665</v>
      </c>
      <c r="VX42">
        <f t="shared" si="1456"/>
        <v>0.3835933852643052</v>
      </c>
      <c r="VY42">
        <f t="shared" si="1456"/>
        <v>0.37942809452749771</v>
      </c>
      <c r="VZ42">
        <f t="shared" si="1456"/>
        <v>0.37530803479955921</v>
      </c>
      <c r="WA42">
        <f t="shared" si="1456"/>
        <v>0.37123271485086207</v>
      </c>
      <c r="WB42">
        <f t="shared" si="1456"/>
        <v>0.36720164878968831</v>
      </c>
      <c r="WC42">
        <f t="shared" si="1456"/>
        <v>0.36321435600308405</v>
      </c>
      <c r="WD42">
        <f t="shared" si="1456"/>
        <v>0.35927036110041399</v>
      </c>
      <c r="WE42">
        <f t="shared" si="1456"/>
        <v>0.35536919385583587</v>
      </c>
      <c r="WF42">
        <f t="shared" si="1456"/>
        <v>0.29287959021277743</v>
      </c>
      <c r="WG42">
        <f t="shared" si="1456"/>
        <v>0.17323045826688599</v>
      </c>
      <c r="WH42">
        <f t="shared" si="1456"/>
        <v>1.1474650181213519E-2</v>
      </c>
      <c r="WI42">
        <f t="shared" si="1456"/>
        <v>-0.17765606573442483</v>
      </c>
      <c r="WJ42">
        <f t="shared" si="1456"/>
        <v>-0.38292188544241412</v>
      </c>
      <c r="WK42">
        <f t="shared" si="1456"/>
        <v>-0.5965163487863947</v>
      </c>
      <c r="WL42">
        <f t="shared" si="1456"/>
        <v>-0.81327296330590571</v>
      </c>
      <c r="WM42">
        <f t="shared" si="1456"/>
        <v>-1.0298824718419155</v>
      </c>
      <c r="WN42">
        <f t="shared" si="1456"/>
        <v>-1.2442898096364274</v>
      </c>
      <c r="WO42">
        <f t="shared" si="1456"/>
        <v>-1.4552684150737605</v>
      </c>
      <c r="WP42">
        <f t="shared" si="1456"/>
        <v>-1.6621310028924086</v>
      </c>
      <c r="WQ42">
        <f t="shared" si="1456"/>
        <v>-1.8645365886881109</v>
      </c>
      <c r="WR42">
        <f t="shared" si="1456"/>
        <v>-2.0623629395592218</v>
      </c>
      <c r="WS42">
        <f t="shared" si="1456"/>
        <v>-2.2556227779404878</v>
      </c>
      <c r="WT42">
        <f t="shared" si="1456"/>
        <v>-2.4444090405519887</v>
      </c>
      <c r="WU42">
        <f t="shared" si="1456"/>
        <v>-2.6288593748036249</v>
      </c>
      <c r="WV42">
        <f t="shared" si="1456"/>
        <v>-2.8091333517758983</v>
      </c>
      <c r="WW42">
        <f t="shared" si="1456"/>
        <v>-2.9853980704414482</v>
      </c>
      <c r="WX42">
        <f t="shared" si="1456"/>
        <v>-3.15781928317287</v>
      </c>
      <c r="WY42">
        <f t="shared" si="1456"/>
        <v>-3.3265561370994021</v>
      </c>
      <c r="WZ42">
        <f t="shared" si="1456"/>
        <v>-3.4917582660124253</v>
      </c>
      <c r="XA42">
        <f t="shared" si="1456"/>
        <v>-3.6535643931987352</v>
      </c>
      <c r="XB42">
        <f t="shared" si="1456"/>
        <v>-3.8121018891105223</v>
      </c>
      <c r="XC42">
        <f t="shared" si="1456"/>
        <v>-3.9674869168448765</v>
      </c>
      <c r="XD42">
        <f t="shared" si="1456"/>
        <v>-4.1198249245188947</v>
      </c>
      <c r="XE42">
        <f t="shared" si="1456"/>
        <v>-4.2692113277113322</v>
      </c>
      <c r="XF42">
        <f t="shared" si="1456"/>
        <v>-4.4157322811225583</v>
      </c>
      <c r="XG42">
        <f t="shared" si="1456"/>
        <v>-4.5594654757711908</v>
      </c>
      <c r="XH42">
        <f t="shared" si="1456"/>
        <v>-4.7004809226242799</v>
      </c>
      <c r="XI42">
        <f t="shared" si="1456"/>
        <v>-4.8388416997068759</v>
      </c>
      <c r="XJ42">
        <f t="shared" si="1456"/>
        <v>-4.9746046502536387</v>
      </c>
      <c r="XK42">
        <f t="shared" si="1456"/>
        <v>-5.1078210262264747</v>
      </c>
      <c r="XL42">
        <f t="shared" si="1456"/>
        <v>-5.2385370757849614</v>
      </c>
      <c r="XM42">
        <f t="shared" si="1456"/>
        <v>-5.3667945759039242</v>
      </c>
      <c r="XN42">
        <f t="shared" si="1456"/>
        <v>-5.4926313128579807</v>
      </c>
      <c r="XO42">
        <f t="shared" si="1456"/>
        <v>-5.6160815141039393</v>
      </c>
      <c r="XP42">
        <f t="shared" si="1456"/>
        <v>-5.7371762354530631</v>
      </c>
      <c r="XQ42">
        <f t="shared" si="1456"/>
        <v>-5.8559437075006429</v>
      </c>
      <c r="XR42">
        <f t="shared" si="1456"/>
        <v>-5.9724096451764979</v>
      </c>
      <c r="XS42">
        <f t="shared" si="1456"/>
        <v>-6.0865975240793091</v>
      </c>
      <c r="XT42">
        <f t="shared" si="1456"/>
        <v>-6.1985288270032015</v>
      </c>
      <c r="XU42">
        <f t="shared" si="1456"/>
        <v>-6.3082232637849245</v>
      </c>
      <c r="XV42">
        <f t="shared" si="1456"/>
        <v>-6.4156989673197984</v>
      </c>
      <c r="XW42">
        <f t="shared" si="1456"/>
        <v>-6.5209726683194447</v>
      </c>
      <c r="XX42">
        <f t="shared" si="1456"/>
        <v>-6.6240598511281235</v>
      </c>
      <c r="XY42">
        <f t="shared" si="1456"/>
        <v>-6.7249748926723782</v>
      </c>
      <c r="XZ42">
        <f t="shared" si="1456"/>
        <v>-6.8237311864002379</v>
      </c>
      <c r="YA42">
        <f t="shared" si="1456"/>
        <v>-6.9203412528644321</v>
      </c>
      <c r="YB42">
        <f t="shared" si="1456"/>
        <v>-7.0148168384256451</v>
      </c>
      <c r="YC42">
        <f t="shared" si="1456"/>
        <v>-7.1071690033878383</v>
      </c>
      <c r="YD42">
        <f t="shared" ref="YD42:AAO42" si="1457">$P$11*YD26+$Q$11*YD27+$R$11*YD28</f>
        <v>-7.1974082007320987</v>
      </c>
      <c r="YE42">
        <f t="shared" si="1457"/>
        <v>-7.2855443464886775</v>
      </c>
      <c r="YF42">
        <f t="shared" si="1457"/>
        <v>-7.3715868826653264</v>
      </c>
      <c r="YG42">
        <f t="shared" si="1457"/>
        <v>-7.4555448335538017</v>
      </c>
      <c r="YH42">
        <f t="shared" si="1457"/>
        <v>-7.5374268561397741</v>
      </c>
      <c r="YI42">
        <f t="shared" si="1457"/>
        <v>-7.6172412852615707</v>
      </c>
      <c r="YJ42">
        <f t="shared" si="1457"/>
        <v>-7.6949961740932338</v>
      </c>
      <c r="YK42">
        <f t="shared" si="1457"/>
        <v>-7.7706993304572052</v>
      </c>
      <c r="YL42">
        <f t="shared" si="1457"/>
        <v>-7.8443583494236577</v>
      </c>
      <c r="YM42">
        <f t="shared" si="1457"/>
        <v>-7.9159806425940076</v>
      </c>
      <c r="YN42">
        <f t="shared" si="1457"/>
        <v>-7.9855734644290806</v>
      </c>
      <c r="YO42">
        <f t="shared" si="1457"/>
        <v>-8.0531439359374417</v>
      </c>
      <c r="YP42">
        <f t="shared" si="1457"/>
        <v>-8.1186990660051492</v>
      </c>
      <c r="YQ42">
        <f t="shared" si="1457"/>
        <v>-8.182245770621364</v>
      </c>
      <c r="YR42">
        <f t="shared" si="1457"/>
        <v>-8.2437908902182926</v>
      </c>
      <c r="YS42">
        <f t="shared" si="1457"/>
        <v>-8.3033412053277971</v>
      </c>
      <c r="YT42">
        <f t="shared" si="1457"/>
        <v>-8.3609034507289834</v>
      </c>
      <c r="YU42">
        <f t="shared" si="1457"/>
        <v>-8.4164843282456445</v>
      </c>
      <c r="YV42">
        <f t="shared" si="1457"/>
        <v>-8.4700905183316308</v>
      </c>
      <c r="YW42">
        <f t="shared" si="1457"/>
        <v>-8.5217286905720471</v>
      </c>
      <c r="YX42">
        <f t="shared" si="1457"/>
        <v>-8.5714055132068552</v>
      </c>
      <c r="YY42">
        <f t="shared" si="1457"/>
        <v>-8.6191276617818744</v>
      </c>
      <c r="YZ42">
        <f t="shared" si="1457"/>
        <v>-8.6649018270099418</v>
      </c>
      <c r="ZA42">
        <f t="shared" si="1457"/>
        <v>-8.7087347219244862</v>
      </c>
      <c r="ZB42">
        <f t="shared" si="1457"/>
        <v>-8.7506330883956025</v>
      </c>
      <c r="ZC42">
        <f t="shared" si="1457"/>
        <v>-8.7906037030698485</v>
      </c>
      <c r="ZD42">
        <f t="shared" si="1457"/>
        <v>-8.8286533827913445</v>
      </c>
      <c r="ZE42">
        <f t="shared" si="1457"/>
        <v>-8.8647889895544267</v>
      </c>
      <c r="ZF42">
        <f t="shared" si="1457"/>
        <v>-8.899017435031908</v>
      </c>
      <c r="ZG42">
        <f t="shared" si="1457"/>
        <v>-8.9313456847185648</v>
      </c>
      <c r="ZH42">
        <f t="shared" si="1457"/>
        <v>-8.9617807617279368</v>
      </c>
      <c r="ZI42">
        <f t="shared" si="1457"/>
        <v>-8.9903297502731334</v>
      </c>
      <c r="ZJ42">
        <f t="shared" si="1457"/>
        <v>-9.016999798858933</v>
      </c>
      <c r="ZK42">
        <f t="shared" si="1457"/>
        <v>-9.0417981232150737</v>
      </c>
      <c r="ZL42">
        <f t="shared" si="1457"/>
        <v>-9.0647320089890968</v>
      </c>
      <c r="ZM42">
        <f t="shared" si="1457"/>
        <v>-9.0858088142235829</v>
      </c>
      <c r="ZN42">
        <f t="shared" si="1457"/>
        <v>-9.1050359716332423</v>
      </c>
      <c r="ZO42">
        <f t="shared" si="1457"/>
        <v>-9.122420990701869</v>
      </c>
      <c r="ZP42">
        <f t="shared" si="1457"/>
        <v>-9.1379714596099006</v>
      </c>
      <c r="ZQ42">
        <f t="shared" si="1457"/>
        <v>-9.1516950470109464</v>
      </c>
      <c r="ZR42">
        <f t="shared" si="1457"/>
        <v>-9.1635995036659779</v>
      </c>
      <c r="ZS42">
        <f t="shared" si="1457"/>
        <v>-9.1736926639468379</v>
      </c>
      <c r="ZT42">
        <f t="shared" si="1457"/>
        <v>-9.181982447221003</v>
      </c>
      <c r="ZU42">
        <f t="shared" si="1457"/>
        <v>-9.1884768591231705</v>
      </c>
      <c r="ZV42">
        <f t="shared" si="1457"/>
        <v>-9.193183992724812</v>
      </c>
      <c r="ZW42">
        <f t="shared" si="1457"/>
        <v>-9.1961120296068657</v>
      </c>
      <c r="ZX42">
        <f t="shared" si="1457"/>
        <v>-9.1972692408431271</v>
      </c>
      <c r="ZY42">
        <f t="shared" si="1457"/>
        <v>-9.1966639879002514</v>
      </c>
      <c r="ZZ42">
        <f t="shared" si="1457"/>
        <v>-9.1943047234593109</v>
      </c>
      <c r="AAA42">
        <f t="shared" si="1457"/>
        <v>-9.1901999921643664</v>
      </c>
      <c r="AAB42">
        <f t="shared" si="1457"/>
        <v>-9.1843584313016891</v>
      </c>
      <c r="AAC42">
        <f t="shared" si="1457"/>
        <v>-9.176788771414806</v>
      </c>
      <c r="AAD42">
        <f t="shared" si="1457"/>
        <v>-9.1674998368577008</v>
      </c>
      <c r="AAE42">
        <f t="shared" si="1457"/>
        <v>-9.156500546290431</v>
      </c>
      <c r="AAF42">
        <f t="shared" si="1457"/>
        <v>-9.143799913119949</v>
      </c>
      <c r="AAG42">
        <f t="shared" si="1457"/>
        <v>-9.1294070458890815</v>
      </c>
      <c r="AAH42">
        <f t="shared" si="1457"/>
        <v>-9.1133311486152024</v>
      </c>
      <c r="AAI42">
        <f t="shared" si="1457"/>
        <v>-9.0955815210828064</v>
      </c>
      <c r="AAJ42">
        <f t="shared" si="1457"/>
        <v>-9.0761675590898676</v>
      </c>
      <c r="AAK42">
        <f t="shared" si="1457"/>
        <v>-9.0550987546518513</v>
      </c>
      <c r="AAL42">
        <f t="shared" si="1457"/>
        <v>-9.032384696163831</v>
      </c>
      <c r="AAM42">
        <f t="shared" si="1457"/>
        <v>-9.0080350685232133</v>
      </c>
      <c r="AAN42">
        <f t="shared" si="1457"/>
        <v>-8.9820596532136392</v>
      </c>
      <c r="AAO42">
        <f t="shared" si="1457"/>
        <v>-8.9544683283529025</v>
      </c>
    </row>
    <row r="43" spans="1:719">
      <c r="A43" s="4">
        <f t="shared" si="1444"/>
        <v>4</v>
      </c>
      <c r="B43" s="1">
        <f>$Q$12*B27+$R$12*B28+$S$12*B29</f>
        <v>0</v>
      </c>
      <c r="C43">
        <f>$Q$12*C27+$R$12*C28+$S$12*C29</f>
        <v>0</v>
      </c>
      <c r="D43">
        <f t="shared" ref="D43" si="1458">$Q$12*D27+$R$12*D28+$S$12*D29</f>
        <v>0</v>
      </c>
      <c r="E43">
        <f t="shared" ref="E43:BP43" si="1459">$Q$12*E27+$R$12*E28+$S$12*E29</f>
        <v>-8.5598497787486849E-3</v>
      </c>
      <c r="F43">
        <f t="shared" si="1459"/>
        <v>-3.153131332945236E-2</v>
      </c>
      <c r="G43">
        <f t="shared" si="1459"/>
        <v>-7.1206152488912267E-2</v>
      </c>
      <c r="H43">
        <f t="shared" si="1459"/>
        <v>-0.12753867656795137</v>
      </c>
      <c r="I43">
        <f t="shared" si="1459"/>
        <v>-0.19929124031671108</v>
      </c>
      <c r="J43">
        <f t="shared" si="1459"/>
        <v>-0.28475640694199456</v>
      </c>
      <c r="K43">
        <f t="shared" si="1459"/>
        <v>-0.38214154407793899</v>
      </c>
      <c r="L43">
        <f t="shared" si="1459"/>
        <v>-0.48974803875256612</v>
      </c>
      <c r="M43">
        <f t="shared" si="1459"/>
        <v>-0.60604049224548362</v>
      </c>
      <c r="N43">
        <f t="shared" si="1459"/>
        <v>-0.72966219821066147</v>
      </c>
      <c r="O43">
        <f t="shared" si="1459"/>
        <v>-0.85942692921923936</v>
      </c>
      <c r="P43">
        <f t="shared" si="1459"/>
        <v>-0.99430192666898165</v>
      </c>
      <c r="Q43">
        <f t="shared" si="1459"/>
        <v>-1.133388980464332</v>
      </c>
      <c r="R43">
        <f t="shared" si="1459"/>
        <v>-1.2759064910829636</v>
      </c>
      <c r="S43">
        <f t="shared" si="1459"/>
        <v>-1.4211735209862866</v>
      </c>
      <c r="T43">
        <f t="shared" si="1459"/>
        <v>-1.5685960090281981</v>
      </c>
      <c r="U43">
        <f t="shared" si="1459"/>
        <v>-1.7176549904494891</v>
      </c>
      <c r="V43">
        <f t="shared" si="1459"/>
        <v>-1.867896561817588</v>
      </c>
      <c r="W43">
        <f t="shared" si="1459"/>
        <v>-2.0189233231389778</v>
      </c>
      <c r="X43">
        <f t="shared" si="1459"/>
        <v>-2.1703870576322402</v>
      </c>
      <c r="Y43">
        <f t="shared" si="1459"/>
        <v>-2.3219824468208401</v>
      </c>
      <c r="Z43">
        <f t="shared" si="1459"/>
        <v>-2.4734416541311077</v>
      </c>
      <c r="AA43">
        <f t="shared" si="1459"/>
        <v>-2.6245296406299872</v>
      </c>
      <c r="AB43">
        <f t="shared" si="1459"/>
        <v>-2.7750401014134525</v>
      </c>
      <c r="AC43">
        <f t="shared" si="1459"/>
        <v>-2.9247919310787154</v>
      </c>
      <c r="AD43">
        <f t="shared" si="1459"/>
        <v>-3.073626142549216</v>
      </c>
      <c r="AE43">
        <f t="shared" si="1459"/>
        <v>-3.221403176147021</v>
      </c>
      <c r="AF43">
        <f t="shared" si="1459"/>
        <v>-3.368000545910661</v>
      </c>
      <c r="AG43">
        <f t="shared" si="1459"/>
        <v>-3.5133107783340733</v>
      </c>
      <c r="AH43">
        <f t="shared" si="1459"/>
        <v>-3.6572396053622924</v>
      </c>
      <c r="AI43">
        <f t="shared" si="1459"/>
        <v>-3.7997043789745533</v>
      </c>
      <c r="AJ43">
        <f t="shared" si="1459"/>
        <v>-3.9406326792459367</v>
      </c>
      <c r="AK43">
        <f t="shared" si="1459"/>
        <v>-4.0799610916113807</v>
      </c>
      <c r="AL43">
        <f t="shared" si="1459"/>
        <v>-4.2176341322896178</v>
      </c>
      <c r="AM43">
        <f t="shared" si="1459"/>
        <v>-4.3536033035752268</v>
      </c>
      <c r="AN43">
        <f t="shared" si="1459"/>
        <v>-4.487826263066097</v>
      </c>
      <c r="AO43">
        <f t="shared" si="1459"/>
        <v>-4.6202660929135106</v>
      </c>
      <c r="AP43">
        <f t="shared" si="1459"/>
        <v>-4.7508906569373721</v>
      </c>
      <c r="AQ43">
        <f t="shared" si="1459"/>
        <v>-4.8796720349571672</v>
      </c>
      <c r="AR43">
        <f t="shared" si="1459"/>
        <v>-5.0065860250111314</v>
      </c>
      <c r="AS43">
        <f t="shared" si="1459"/>
        <v>-5.1316117052795107</v>
      </c>
      <c r="AT43">
        <f t="shared" si="1459"/>
        <v>-5.2547310485297771</v>
      </c>
      <c r="AU43">
        <f t="shared" si="1459"/>
        <v>-5.3759285827744918</v>
      </c>
      <c r="AV43">
        <f t="shared" si="1459"/>
        <v>-5.4951910926000096</v>
      </c>
      <c r="AW43">
        <f t="shared" si="1459"/>
        <v>-5.6125073562921273</v>
      </c>
      <c r="AX43">
        <f t="shared" si="1459"/>
        <v>-5.7278679144754676</v>
      </c>
      <c r="AY43">
        <f t="shared" si="1459"/>
        <v>-5.8412648664948676</v>
      </c>
      <c r="AZ43">
        <f t="shared" si="1459"/>
        <v>-5.9526916912269883</v>
      </c>
      <c r="BA43">
        <f t="shared" si="1459"/>
        <v>-6.0621430893999104</v>
      </c>
      <c r="BB43">
        <f t="shared" si="1459"/>
        <v>-6.169614844856028</v>
      </c>
      <c r="BC43">
        <f t="shared" si="1459"/>
        <v>-6.2751037024955281</v>
      </c>
      <c r="BD43">
        <f t="shared" si="1459"/>
        <v>-6.3786072609106554</v>
      </c>
      <c r="BE43">
        <f t="shared" si="1459"/>
        <v>-6.4801238779583912</v>
      </c>
      <c r="BF43">
        <f t="shared" si="1459"/>
        <v>-6.5796525877280772</v>
      </c>
      <c r="BG43">
        <f t="shared" si="1459"/>
        <v>-6.6771930275465934</v>
      </c>
      <c r="BH43">
        <f t="shared" si="1459"/>
        <v>-6.7727453738214649</v>
      </c>
      <c r="BI43">
        <f t="shared" si="1459"/>
        <v>-6.8663102856698686</v>
      </c>
      <c r="BJ43">
        <f t="shared" si="1459"/>
        <v>-6.9578888554050309</v>
      </c>
      <c r="BK43">
        <f t="shared" si="1459"/>
        <v>-7.0474825650599087</v>
      </c>
      <c r="BL43">
        <f t="shared" si="1459"/>
        <v>-7.1350932482301914</v>
      </c>
      <c r="BM43">
        <f t="shared" si="1459"/>
        <v>-7.2207230566002352</v>
      </c>
      <c r="BN43">
        <f t="shared" si="1459"/>
        <v>-7.3043744305927021</v>
      </c>
      <c r="BO43">
        <f t="shared" si="1459"/>
        <v>-7.3860500736495283</v>
      </c>
      <c r="BP43">
        <f t="shared" si="1459"/>
        <v>-7.4657529297101348</v>
      </c>
      <c r="BQ43">
        <f t="shared" ref="BQ43:CU43" si="1460">$Q$12*BQ27+$R$12*BQ28+$S$12*BQ29</f>
        <v>-7.5434861635029051</v>
      </c>
      <c r="BR43">
        <f t="shared" si="1460"/>
        <v>-7.6192531433149497</v>
      </c>
      <c r="BS43">
        <f t="shared" si="1460"/>
        <v>-7.6930574259415039</v>
      </c>
      <c r="BT43">
        <f t="shared" si="1460"/>
        <v>-7.764902743552625</v>
      </c>
      <c r="BU43">
        <f t="shared" si="1460"/>
        <v>-7.8347929922482535</v>
      </c>
      <c r="BV43">
        <f t="shared" si="1460"/>
        <v>-7.9027322220966312</v>
      </c>
      <c r="BW43">
        <f t="shared" si="1460"/>
        <v>-7.9687246284780144</v>
      </c>
      <c r="BX43">
        <f t="shared" si="1460"/>
        <v>-8.0327745445735559</v>
      </c>
      <c r="BY43">
        <f t="shared" si="1460"/>
        <v>-8.0948864348641223</v>
      </c>
      <c r="BZ43">
        <f t="shared" si="1460"/>
        <v>-8.1550648895110953</v>
      </c>
      <c r="CA43">
        <f t="shared" si="1460"/>
        <v>-8.2133146195151312</v>
      </c>
      <c r="CB43">
        <f t="shared" si="1460"/>
        <v>-8.2696404525567004</v>
      </c>
      <c r="CC43">
        <f t="shared" si="1460"/>
        <v>-8.3240473294309254</v>
      </c>
      <c r="CD43">
        <f t="shared" si="1460"/>
        <v>-8.3765403010086175</v>
      </c>
      <c r="CE43">
        <f t="shared" si="1460"/>
        <v>-8.4271245256528005</v>
      </c>
      <c r="CF43">
        <f t="shared" si="1460"/>
        <v>-8.4758052670354118</v>
      </c>
      <c r="CG43">
        <f t="shared" si="1460"/>
        <v>-8.5225878923043297</v>
      </c>
      <c r="CH43">
        <f t="shared" si="1460"/>
        <v>-8.5674778705540575</v>
      </c>
      <c r="CI43">
        <f t="shared" si="1460"/>
        <v>-8.6104807715611287</v>
      </c>
      <c r="CJ43">
        <f t="shared" si="1460"/>
        <v>-8.6516022647511477</v>
      </c>
      <c r="CK43">
        <f t="shared" si="1460"/>
        <v>-8.6908481183644426</v>
      </c>
      <c r="CL43">
        <f t="shared" si="1460"/>
        <v>-8.7282241987946918</v>
      </c>
      <c r="CM43">
        <f t="shared" si="1460"/>
        <v>-8.763736470076708</v>
      </c>
      <c r="CN43">
        <f t="shared" si="1460"/>
        <v>-8.797390993502006</v>
      </c>
      <c r="CO43">
        <f t="shared" si="1460"/>
        <v>-8.8291939273437947</v>
      </c>
      <c r="CP43">
        <f t="shared" si="1460"/>
        <v>-8.8591515266755891</v>
      </c>
      <c r="CQ43">
        <f t="shared" si="1460"/>
        <v>-8.8872701432690064</v>
      </c>
      <c r="CR43">
        <f t="shared" si="1460"/>
        <v>-8.9135562255561922</v>
      </c>
      <c r="CS43">
        <f t="shared" si="1460"/>
        <v>-8.9380163186501136</v>
      </c>
      <c r="CT43">
        <f t="shared" si="1460"/>
        <v>-8.9606570644076555</v>
      </c>
      <c r="CU43">
        <f t="shared" si="1460"/>
        <v>-8.9814852015323368</v>
      </c>
      <c r="CV43">
        <f t="shared" ref="CV43:FG43" si="1461">$Q$12*CV27+$R$12*CV28+$S$12*CV29</f>
        <v>-9.0005075657041971</v>
      </c>
      <c r="CW43">
        <f t="shared" si="1461"/>
        <v>-9.0177310897324219</v>
      </c>
      <c r="CX43">
        <f t="shared" si="1461"/>
        <v>-9.033162803727123</v>
      </c>
      <c r="CY43">
        <f t="shared" si="1461"/>
        <v>-9.0468098352801576</v>
      </c>
      <c r="CZ43">
        <f t="shared" si="1461"/>
        <v>-9.0586794096546441</v>
      </c>
      <c r="DA43">
        <f t="shared" si="1461"/>
        <v>-9.0687788499776616</v>
      </c>
      <c r="DB43">
        <f t="shared" si="1461"/>
        <v>-9.0771155774326076</v>
      </c>
      <c r="DC43">
        <f t="shared" si="1461"/>
        <v>-9.0836971114482594</v>
      </c>
      <c r="DD43">
        <f t="shared" si="1461"/>
        <v>-9.0885310698829471</v>
      </c>
      <c r="DE43">
        <f t="shared" si="1461"/>
        <v>-9.0916251691990624</v>
      </c>
      <c r="DF43">
        <f t="shared" si="1461"/>
        <v>-9.0929872246295531</v>
      </c>
      <c r="DG43">
        <f t="shared" si="1461"/>
        <v>-9.0926251503302069</v>
      </c>
      <c r="DH43">
        <f t="shared" si="1461"/>
        <v>-9.0905469595211343</v>
      </c>
      <c r="DI43">
        <f t="shared" si="1461"/>
        <v>-9.0867607646115971</v>
      </c>
      <c r="DJ43">
        <f t="shared" si="1461"/>
        <v>-9.0812747773101137</v>
      </c>
      <c r="DK43">
        <f t="shared" si="1461"/>
        <v>-9.0740973087173415</v>
      </c>
      <c r="DL43">
        <f t="shared" si="1461"/>
        <v>-9.0652367694021905</v>
      </c>
      <c r="DM43">
        <f t="shared" si="1461"/>
        <v>-9.0547016694583817</v>
      </c>
      <c r="DN43">
        <f t="shared" si="1461"/>
        <v>-9.0425006185432153</v>
      </c>
      <c r="DO43">
        <f t="shared" si="1461"/>
        <v>-9.0286423258967829</v>
      </c>
      <c r="DP43">
        <f t="shared" si="1461"/>
        <v>-9.0131356003406609</v>
      </c>
      <c r="DQ43">
        <f t="shared" si="1461"/>
        <v>-8.9959893502576733</v>
      </c>
      <c r="DR43">
        <f t="shared" si="1461"/>
        <v>-8.9772125835497718</v>
      </c>
      <c r="DS43">
        <f t="shared" si="1461"/>
        <v>-8.9568144075767577</v>
      </c>
      <c r="DT43">
        <f t="shared" si="1461"/>
        <v>-8.9348040290735184</v>
      </c>
      <c r="DU43">
        <f t="shared" si="1461"/>
        <v>-8.9111907540457196</v>
      </c>
      <c r="DV43">
        <f t="shared" si="1461"/>
        <v>-8.8859839876457727</v>
      </c>
      <c r="DW43">
        <f t="shared" si="1461"/>
        <v>-8.8591932340264066</v>
      </c>
      <c r="DX43">
        <f t="shared" si="1461"/>
        <v>-8.8308280961741161</v>
      </c>
      <c r="DY43">
        <f t="shared" si="1461"/>
        <v>-8.8008982757212948</v>
      </c>
      <c r="DZ43">
        <f t="shared" si="1461"/>
        <v>-8.7694135727369371</v>
      </c>
      <c r="EA43">
        <f t="shared" si="1461"/>
        <v>-8.7363838854963092</v>
      </c>
      <c r="EB43">
        <f t="shared" si="1461"/>
        <v>-8.7018192102311218</v>
      </c>
      <c r="EC43">
        <f t="shared" si="1461"/>
        <v>-8.6657296408557727</v>
      </c>
      <c r="ED43">
        <f t="shared" si="1461"/>
        <v>-8.6281253686763648</v>
      </c>
      <c r="EE43">
        <f t="shared" si="1461"/>
        <v>-8.5890166820764762</v>
      </c>
      <c r="EF43">
        <f t="shared" si="1461"/>
        <v>-8.5484139661838867</v>
      </c>
      <c r="EG43">
        <f t="shared" si="1461"/>
        <v>-8.5063277025155912</v>
      </c>
      <c r="EH43">
        <f t="shared" si="1461"/>
        <v>-8.4627684686040539</v>
      </c>
      <c r="EI43">
        <f t="shared" si="1461"/>
        <v>-8.4177469376020895</v>
      </c>
      <c r="EJ43">
        <f t="shared" si="1461"/>
        <v>-8.3712738778683047</v>
      </c>
      <c r="EK43">
        <f t="shared" si="1461"/>
        <v>-8.3233601525327572</v>
      </c>
      <c r="EL43">
        <f t="shared" si="1461"/>
        <v>-8.2740167190424359</v>
      </c>
      <c r="EM43">
        <f t="shared" si="1461"/>
        <v>-8.2232546286884372</v>
      </c>
      <c r="EN43">
        <f t="shared" si="1461"/>
        <v>-8.1710850261124506</v>
      </c>
      <c r="EO43">
        <f t="shared" si="1461"/>
        <v>-8.1175191487942584</v>
      </c>
      <c r="EP43">
        <f t="shared" si="1461"/>
        <v>-8.0625683265215571</v>
      </c>
      <c r="EQ43">
        <f t="shared" si="1461"/>
        <v>-8.0062439808395425</v>
      </c>
      <c r="ER43">
        <f t="shared" si="1461"/>
        <v>-7.9485576244821914</v>
      </c>
      <c r="ES43">
        <f t="shared" si="1461"/>
        <v>-7.8895208607858649</v>
      </c>
      <c r="ET43">
        <f t="shared" si="1461"/>
        <v>-7.8291453830836986</v>
      </c>
      <c r="EU43">
        <f t="shared" si="1461"/>
        <v>-7.7674429740817459</v>
      </c>
      <c r="EV43">
        <f t="shared" si="1461"/>
        <v>-7.7044255052189783</v>
      </c>
      <c r="EW43">
        <f t="shared" si="1461"/>
        <v>-7.6401049360068782</v>
      </c>
      <c r="EX43">
        <f t="shared" si="1461"/>
        <v>-7.5744933133541963</v>
      </c>
      <c r="EY43">
        <f t="shared" si="1461"/>
        <v>-7.507602770872154</v>
      </c>
      <c r="EZ43">
        <f t="shared" si="1461"/>
        <v>-7.4394455281635032</v>
      </c>
      <c r="FA43">
        <f t="shared" si="1461"/>
        <v>-7.3700338900952715</v>
      </c>
      <c r="FB43">
        <f t="shared" si="1461"/>
        <v>-7.2993802460536585</v>
      </c>
      <c r="FC43">
        <f t="shared" si="1461"/>
        <v>-7.227497069181311</v>
      </c>
      <c r="FD43">
        <f t="shared" si="1461"/>
        <v>-7.1543969156016374</v>
      </c>
      <c r="FE43">
        <f t="shared" si="1461"/>
        <v>-7.0800924236235119</v>
      </c>
      <c r="FF43">
        <f t="shared" si="1461"/>
        <v>-7.0045963129309143</v>
      </c>
      <c r="FG43">
        <f t="shared" si="1461"/>
        <v>-6.9279213837576208</v>
      </c>
      <c r="FH43">
        <f t="shared" ref="FH43:HS43" si="1462">$Q$12*FH27+$R$12*FH28+$S$12*FH29</f>
        <v>-6.8500805160456366</v>
      </c>
      <c r="FI43">
        <f t="shared" si="1462"/>
        <v>-6.7710866685877704</v>
      </c>
      <c r="FJ43">
        <f t="shared" si="1462"/>
        <v>-6.6909528781546328</v>
      </c>
      <c r="FK43">
        <f t="shared" si="1462"/>
        <v>-6.6096922586086748</v>
      </c>
      <c r="FL43">
        <f t="shared" si="1462"/>
        <v>-6.5273180000004345</v>
      </c>
      <c r="FM43">
        <f t="shared" si="1462"/>
        <v>-6.4438433676517093</v>
      </c>
      <c r="FN43">
        <f t="shared" si="1462"/>
        <v>-6.3592817012246314</v>
      </c>
      <c r="FO43">
        <f t="shared" si="1462"/>
        <v>-6.2736464137744861</v>
      </c>
      <c r="FP43">
        <f t="shared" si="1462"/>
        <v>-6.1869509907901943</v>
      </c>
      <c r="FQ43">
        <f t="shared" si="1462"/>
        <v>-6.099208989220358</v>
      </c>
      <c r="FR43">
        <f t="shared" si="1462"/>
        <v>-6.0104340364844688</v>
      </c>
      <c r="FS43">
        <f t="shared" si="1462"/>
        <v>-5.9206398294727478</v>
      </c>
      <c r="FT43">
        <f t="shared" si="1462"/>
        <v>-5.829840133529558</v>
      </c>
      <c r="FU43">
        <f t="shared" si="1462"/>
        <v>-5.7380487814266417</v>
      </c>
      <c r="FV43">
        <f t="shared" si="1462"/>
        <v>-5.6452796723218626</v>
      </c>
      <c r="FW43">
        <f t="shared" si="1462"/>
        <v>-5.5515467707036805</v>
      </c>
      <c r="FX43">
        <f t="shared" si="1462"/>
        <v>-5.4568641053265878</v>
      </c>
      <c r="FY43">
        <f t="shared" si="1462"/>
        <v>-5.361245768130857</v>
      </c>
      <c r="FZ43">
        <f t="shared" si="1462"/>
        <v>-5.2647059131511469</v>
      </c>
      <c r="GA43">
        <f t="shared" si="1462"/>
        <v>-5.1672587554135134</v>
      </c>
      <c r="GB43">
        <f t="shared" si="1462"/>
        <v>-5.0689185698201982</v>
      </c>
      <c r="GC43">
        <f t="shared" si="1462"/>
        <v>-4.9696996900216277</v>
      </c>
      <c r="GD43">
        <f t="shared" si="1462"/>
        <v>-4.8696165072792041</v>
      </c>
      <c r="GE43">
        <f t="shared" si="1462"/>
        <v>-4.7686834693149649</v>
      </c>
      <c r="GF43">
        <f t="shared" si="1462"/>
        <v>-4.6669150791499874</v>
      </c>
      <c r="GG43">
        <f t="shared" si="1462"/>
        <v>-4.5643258939335283</v>
      </c>
      <c r="GH43">
        <f t="shared" si="1462"/>
        <v>-4.4609305237601689</v>
      </c>
      <c r="GI43">
        <f t="shared" si="1462"/>
        <v>-4.3567436304759894</v>
      </c>
      <c r="GJ43">
        <f t="shared" si="1462"/>
        <v>-4.2517799264755922</v>
      </c>
      <c r="GK43">
        <f t="shared" si="1462"/>
        <v>-4.1460541734887784</v>
      </c>
      <c r="GL43">
        <f t="shared" si="1462"/>
        <v>-4.0395811813560272</v>
      </c>
      <c r="GM43">
        <f t="shared" si="1462"/>
        <v>-3.932375806795676</v>
      </c>
      <c r="GN43">
        <f t="shared" si="1462"/>
        <v>-3.824452952160641</v>
      </c>
      <c r="GO43">
        <f t="shared" si="1462"/>
        <v>-3.7158275641859859</v>
      </c>
      <c r="GP43">
        <f t="shared" si="1462"/>
        <v>-3.6065146327278512</v>
      </c>
      <c r="GQ43">
        <f t="shared" si="1462"/>
        <v>-3.496529189491639</v>
      </c>
      <c r="GR43">
        <f t="shared" si="1462"/>
        <v>-3.3858863067537186</v>
      </c>
      <c r="GS43">
        <f t="shared" si="1462"/>
        <v>-3.2746010960726721</v>
      </c>
      <c r="GT43">
        <f t="shared" si="1462"/>
        <v>-3.1626887069931513</v>
      </c>
      <c r="GU43">
        <f t="shared" si="1462"/>
        <v>-3.0501643257402407</v>
      </c>
      <c r="GV43">
        <f t="shared" si="1462"/>
        <v>-2.9370431739081369</v>
      </c>
      <c r="GW43">
        <f t="shared" si="1462"/>
        <v>-2.823340507138596</v>
      </c>
      <c r="GX43">
        <f t="shared" si="1462"/>
        <v>-2.7090716137920481</v>
      </c>
      <c r="GY43">
        <f t="shared" si="1462"/>
        <v>-2.5942518136128001</v>
      </c>
      <c r="GZ43">
        <f t="shared" si="1462"/>
        <v>-2.4788964563858258</v>
      </c>
      <c r="HA43">
        <f t="shared" si="1462"/>
        <v>-2.3630209205860524</v>
      </c>
      <c r="HB43">
        <f t="shared" si="1462"/>
        <v>-2.2466406120215083</v>
      </c>
      <c r="HC43">
        <f t="shared" si="1462"/>
        <v>-2.1297709624703316</v>
      </c>
      <c r="HD43">
        <f t="shared" si="1462"/>
        <v>-2.0124274283091381</v>
      </c>
      <c r="HE43">
        <f t="shared" si="1462"/>
        <v>-1.89462548913815</v>
      </c>
      <c r="HF43">
        <f t="shared" si="1462"/>
        <v>-1.7763806463968308</v>
      </c>
      <c r="HG43">
        <f t="shared" si="1462"/>
        <v>-1.6577084219771905</v>
      </c>
      <c r="HH43">
        <f t="shared" si="1462"/>
        <v>-1.5386243568274267</v>
      </c>
      <c r="HI43">
        <f t="shared" si="1462"/>
        <v>-1.4191440095539747</v>
      </c>
      <c r="HJ43">
        <f t="shared" si="1462"/>
        <v>-1.2992829550153715</v>
      </c>
      <c r="HK43">
        <f t="shared" si="1462"/>
        <v>-1.1790567829121414</v>
      </c>
      <c r="HL43">
        <f t="shared" si="1462"/>
        <v>-1.0584810963719065</v>
      </c>
      <c r="HM43">
        <f t="shared" si="1462"/>
        <v>-0.93757151052847121</v>
      </c>
      <c r="HN43">
        <f t="shared" si="1462"/>
        <v>-0.81634365109863438</v>
      </c>
      <c r="HO43">
        <f t="shared" si="1462"/>
        <v>-0.69481315295246304</v>
      </c>
      <c r="HP43">
        <f t="shared" si="1462"/>
        <v>-0.5729956586800995</v>
      </c>
      <c r="HQ43">
        <f t="shared" si="1462"/>
        <v>-0.45090681715549863</v>
      </c>
      <c r="HR43">
        <f t="shared" si="1462"/>
        <v>-0.32856228209487881</v>
      </c>
      <c r="HS43">
        <f t="shared" si="1462"/>
        <v>-0.20597771061278536</v>
      </c>
      <c r="HT43">
        <f t="shared" ref="HT43:JI43" si="1463">$Q$12*HT27+$R$12*HT28+$S$12*HT29</f>
        <v>-8.3168761773549704E-2</v>
      </c>
      <c r="HU43">
        <f t="shared" si="1463"/>
        <v>3.984890485816095E-2</v>
      </c>
      <c r="HV43">
        <f t="shared" si="1463"/>
        <v>0.16305963067327411</v>
      </c>
      <c r="HW43">
        <f t="shared" si="1463"/>
        <v>0.28644775947316248</v>
      </c>
      <c r="HX43">
        <f t="shared" si="1463"/>
        <v>0.40999763893097452</v>
      </c>
      <c r="HY43">
        <f t="shared" si="1463"/>
        <v>0.53369362205182824</v>
      </c>
      <c r="HZ43">
        <f t="shared" si="1463"/>
        <v>0.65752006863760926</v>
      </c>
      <c r="IA43">
        <f t="shared" si="1463"/>
        <v>0.78146134675347412</v>
      </c>
      <c r="IB43">
        <f t="shared" si="1463"/>
        <v>0.90550183419492214</v>
      </c>
      <c r="IC43">
        <f t="shared" si="1463"/>
        <v>1.0296259199576525</v>
      </c>
      <c r="ID43">
        <f t="shared" si="1463"/>
        <v>1.153818005709411</v>
      </c>
      <c r="IE43">
        <f t="shared" si="1463"/>
        <v>1.2780625072612111</v>
      </c>
      <c r="IF43">
        <f t="shared" si="1463"/>
        <v>1.4023438560410568</v>
      </c>
      <c r="IG43">
        <f t="shared" si="1463"/>
        <v>1.5266465005686882</v>
      </c>
      <c r="IH43">
        <f t="shared" si="1463"/>
        <v>1.6509549079302701</v>
      </c>
      <c r="II43">
        <f t="shared" si="1463"/>
        <v>1.7752535652535926</v>
      </c>
      <c r="IJ43">
        <f t="shared" si="1463"/>
        <v>1.8995269811840672</v>
      </c>
      <c r="IK43">
        <f t="shared" si="1463"/>
        <v>2.0237596873608368</v>
      </c>
      <c r="IL43">
        <f t="shared" si="1463"/>
        <v>2.1479362398925446</v>
      </c>
      <c r="IM43">
        <f t="shared" si="1463"/>
        <v>2.2720412208324774</v>
      </c>
      <c r="IN43">
        <f t="shared" si="1463"/>
        <v>2.3960592396542211</v>
      </c>
      <c r="IO43">
        <f t="shared" si="1463"/>
        <v>2.5199749347259512</v>
      </c>
      <c r="IP43">
        <f t="shared" si="1463"/>
        <v>2.6437729747840422</v>
      </c>
      <c r="IQ43">
        <f t="shared" si="1463"/>
        <v>2.7674380604057092</v>
      </c>
      <c r="IR43">
        <f t="shared" si="1463"/>
        <v>2.8909549254807416</v>
      </c>
      <c r="IS43">
        <f t="shared" si="1463"/>
        <v>3.0143083386812464</v>
      </c>
      <c r="IT43">
        <f t="shared" si="1463"/>
        <v>3.1374831049299701</v>
      </c>
      <c r="IU43">
        <f t="shared" si="1463"/>
        <v>3.2604640668678826</v>
      </c>
      <c r="IV43">
        <f t="shared" si="1463"/>
        <v>3.3832361063180088</v>
      </c>
      <c r="IW43">
        <f t="shared" si="1463"/>
        <v>3.5057841457483505</v>
      </c>
      <c r="IX43">
        <f t="shared" si="1463"/>
        <v>3.6280931497326492</v>
      </c>
      <c r="IY43">
        <f t="shared" si="1463"/>
        <v>3.7501481264073959</v>
      </c>
      <c r="IZ43">
        <f t="shared" si="1463"/>
        <v>3.8719341289279896</v>
      </c>
      <c r="JA43">
        <f t="shared" si="1463"/>
        <v>3.9934362569199493</v>
      </c>
      <c r="JB43">
        <f t="shared" si="1463"/>
        <v>4.1146396579290467</v>
      </c>
      <c r="JC43">
        <f t="shared" si="1463"/>
        <v>4.2355295288667207</v>
      </c>
      <c r="JD43">
        <f t="shared" si="1463"/>
        <v>4.3560911174531611</v>
      </c>
      <c r="JE43">
        <f t="shared" si="1463"/>
        <v>4.476309723655163</v>
      </c>
      <c r="JF43">
        <f t="shared" si="1463"/>
        <v>4.596170701123242</v>
      </c>
      <c r="JG43">
        <f t="shared" si="1463"/>
        <v>4.7156594586211895</v>
      </c>
      <c r="JH43">
        <f t="shared" si="1463"/>
        <v>4.834761461453752</v>
      </c>
      <c r="JI43">
        <f t="shared" si="1463"/>
        <v>4.9534622328898195</v>
      </c>
      <c r="JJ43">
        <f t="shared" ref="JJ43:LU43" si="1464">$Q$12*JJ27+$R$12*JJ28+$S$12*JJ29</f>
        <v>5.0717473555805554</v>
      </c>
      <c r="JK43">
        <f t="shared" si="1464"/>
        <v>5.1896024729724672</v>
      </c>
      <c r="JL43">
        <f t="shared" si="1464"/>
        <v>5.307013290717407</v>
      </c>
      <c r="JM43">
        <f t="shared" si="1464"/>
        <v>5.4239655780751264</v>
      </c>
      <c r="JN43">
        <f t="shared" si="1464"/>
        <v>5.5404451693128181</v>
      </c>
      <c r="JO43">
        <f t="shared" si="1464"/>
        <v>5.6564379650982914</v>
      </c>
      <c r="JP43">
        <f t="shared" si="1464"/>
        <v>5.7719299338872361</v>
      </c>
      <c r="JQ43">
        <f t="shared" si="1464"/>
        <v>5.8869071133057105</v>
      </c>
      <c r="JR43">
        <f t="shared" si="1464"/>
        <v>6.0013556115257529</v>
      </c>
      <c r="JS43">
        <f t="shared" si="1464"/>
        <v>6.1152616086365015</v>
      </c>
      <c r="JT43">
        <f t="shared" si="1464"/>
        <v>6.2286113580071856</v>
      </c>
      <c r="JU43">
        <f t="shared" si="1464"/>
        <v>6.3413911876446605</v>
      </c>
      <c r="JV43">
        <f t="shared" si="1464"/>
        <v>6.4535875015453144</v>
      </c>
      <c r="JW43">
        <f t="shared" si="1464"/>
        <v>6.5651867810382214</v>
      </c>
      <c r="JX43">
        <f t="shared" si="1464"/>
        <v>6.6761755861232359</v>
      </c>
      <c r="JY43">
        <f t="shared" si="1464"/>
        <v>6.7865405568007873</v>
      </c>
      <c r="JZ43">
        <f t="shared" si="1464"/>
        <v>6.8962684143956494</v>
      </c>
      <c r="KA43">
        <f t="shared" si="1464"/>
        <v>7.0053459628722976</v>
      </c>
      <c r="KB43">
        <f t="shared" si="1464"/>
        <v>7.1137600901429892</v>
      </c>
      <c r="KC43">
        <f t="shared" si="1464"/>
        <v>7.2214977693689093</v>
      </c>
      <c r="KD43">
        <f t="shared" si="1464"/>
        <v>7.3285460602519947</v>
      </c>
      <c r="KE43">
        <f t="shared" si="1464"/>
        <v>7.4348921103205043</v>
      </c>
      <c r="KF43">
        <f t="shared" si="1464"/>
        <v>7.5405231562047561</v>
      </c>
      <c r="KG43">
        <f t="shared" si="1464"/>
        <v>7.6454265249058722</v>
      </c>
      <c r="KH43">
        <f t="shared" si="1464"/>
        <v>7.7495896350552584</v>
      </c>
      <c r="KI43">
        <f t="shared" si="1464"/>
        <v>7.8529999981656147</v>
      </c>
      <c r="KJ43">
        <f t="shared" si="1464"/>
        <v>7.9556452198734746</v>
      </c>
      <c r="KK43">
        <f t="shared" si="1464"/>
        <v>8.0575130011723672</v>
      </c>
      <c r="KL43">
        <f t="shared" si="1464"/>
        <v>8.1585911396368829</v>
      </c>
      <c r="KM43">
        <f t="shared" si="1464"/>
        <v>8.2588675306383834</v>
      </c>
      <c r="KN43">
        <f t="shared" si="1464"/>
        <v>8.3583301685497418</v>
      </c>
      <c r="KO43">
        <f t="shared" si="1464"/>
        <v>8.4569671479423505</v>
      </c>
      <c r="KP43">
        <f t="shared" si="1464"/>
        <v>8.554766664772103</v>
      </c>
      <c r="KQ43">
        <f t="shared" si="1464"/>
        <v>8.6517170175559386</v>
      </c>
      <c r="KR43">
        <f t="shared" si="1464"/>
        <v>8.7478066085386104</v>
      </c>
      <c r="KS43">
        <f t="shared" si="1464"/>
        <v>8.8344640950709277</v>
      </c>
      <c r="KT43">
        <f t="shared" si="1464"/>
        <v>8.9058263263194135</v>
      </c>
      <c r="KU43">
        <f t="shared" si="1464"/>
        <v>8.9595902607741209</v>
      </c>
      <c r="KV43">
        <f t="shared" si="1464"/>
        <v>8.99579041774291</v>
      </c>
      <c r="KW43">
        <f t="shared" si="1464"/>
        <v>9.0156533805009076</v>
      </c>
      <c r="KX43">
        <f t="shared" si="1464"/>
        <v>9.0208756343774894</v>
      </c>
      <c r="KY43">
        <f t="shared" si="1464"/>
        <v>9.013238971878593</v>
      </c>
      <c r="KZ43">
        <f t="shared" si="1464"/>
        <v>8.9944312788014713</v>
      </c>
      <c r="LA43">
        <f t="shared" si="1464"/>
        <v>8.9659773404487737</v>
      </c>
      <c r="LB43">
        <f t="shared" si="1464"/>
        <v>8.9292233645643364</v>
      </c>
      <c r="LC43">
        <f t="shared" si="1464"/>
        <v>8.8853451958383403</v>
      </c>
      <c r="LD43">
        <f t="shared" si="1464"/>
        <v>8.8353653270351629</v>
      </c>
      <c r="LE43">
        <f t="shared" si="1464"/>
        <v>8.7801718203370456</v>
      </c>
      <c r="LF43">
        <f t="shared" si="1464"/>
        <v>8.7205362462904077</v>
      </c>
      <c r="LG43">
        <f t="shared" si="1464"/>
        <v>8.6571296333970622</v>
      </c>
      <c r="LH43">
        <f t="shared" si="1464"/>
        <v>8.5905362546938022</v>
      </c>
      <c r="LI43">
        <f t="shared" si="1464"/>
        <v>8.5212654087341093</v>
      </c>
      <c r="LJ43">
        <f t="shared" si="1464"/>
        <v>8.4497614556136114</v>
      </c>
      <c r="LK43">
        <f t="shared" si="1464"/>
        <v>8.3764123758087976</v>
      </c>
      <c r="LL43">
        <f t="shared" si="1464"/>
        <v>8.3015570913436818</v>
      </c>
      <c r="LM43">
        <f t="shared" si="1464"/>
        <v>8.2254917516240766</v>
      </c>
      <c r="LN43">
        <f t="shared" si="1464"/>
        <v>8.1484751507521764</v>
      </c>
      <c r="LO43">
        <f t="shared" si="1464"/>
        <v>8.0707334126914247</v>
      </c>
      <c r="LP43">
        <f t="shared" si="1464"/>
        <v>7.992464055764799</v>
      </c>
      <c r="LQ43">
        <f t="shared" si="1464"/>
        <v>7.9138395280583609</v>
      </c>
      <c r="LR43">
        <f t="shared" si="1464"/>
        <v>7.8350102894570455</v>
      </c>
      <c r="LS43">
        <f t="shared" si="1464"/>
        <v>7.7561075034225269</v>
      </c>
      <c r="LT43">
        <f t="shared" si="1464"/>
        <v>7.677245391507256</v>
      </c>
      <c r="LU43">
        <f t="shared" si="1464"/>
        <v>7.598523295439918</v>
      </c>
      <c r="LV43">
        <f t="shared" ref="LV43:OG43" si="1465">$Q$12*LV27+$R$12*LV28+$S$12*LV29</f>
        <v>7.5200274849358379</v>
      </c>
      <c r="LW43">
        <f t="shared" si="1465"/>
        <v>7.4418327439084351</v>
      </c>
      <c r="LX43">
        <f t="shared" si="1465"/>
        <v>7.3640037631880659</v>
      </c>
      <c r="LY43">
        <f t="shared" si="1465"/>
        <v>7.2865963640238078</v>
      </c>
      <c r="LZ43">
        <f t="shared" si="1465"/>
        <v>7.209658573412753</v>
      </c>
      <c r="MA43">
        <f t="shared" si="1465"/>
        <v>7.1332315695449893</v>
      </c>
      <c r="MB43">
        <f t="shared" si="1465"/>
        <v>7.0573505133013441</v>
      </c>
      <c r="MC43">
        <f t="shared" si="1465"/>
        <v>6.9820452797125085</v>
      </c>
      <c r="MD43">
        <f t="shared" si="1465"/>
        <v>6.907341101539032</v>
      </c>
      <c r="ME43">
        <f t="shared" si="1465"/>
        <v>6.8332591356220291</v>
      </c>
      <c r="MF43">
        <f t="shared" si="1465"/>
        <v>6.7598169613297614</v>
      </c>
      <c r="MG43">
        <f t="shared" si="1465"/>
        <v>6.6870290192866264</v>
      </c>
      <c r="MH43">
        <f t="shared" si="1465"/>
        <v>6.6149069975647308</v>
      </c>
      <c r="MI43">
        <f t="shared" si="1465"/>
        <v>6.5434601716485759</v>
      </c>
      <c r="MJ43">
        <f t="shared" si="1465"/>
        <v>6.4726957037136117</v>
      </c>
      <c r="MK43">
        <f t="shared" si="1465"/>
        <v>6.4026189060936645</v>
      </c>
      <c r="ML43">
        <f t="shared" si="1465"/>
        <v>6.3332334732189111</v>
      </c>
      <c r="MM43">
        <f t="shared" si="1465"/>
        <v>6.2645416857960186</v>
      </c>
      <c r="MN43">
        <f t="shared" si="1465"/>
        <v>6.1965445905456136</v>
      </c>
      <c r="MO43">
        <f t="shared" si="1465"/>
        <v>6.1292421584133763</v>
      </c>
      <c r="MP43">
        <f t="shared" si="1465"/>
        <v>6.0626334238245363</v>
      </c>
      <c r="MQ43">
        <f t="shared" si="1465"/>
        <v>5.9967166072419218</v>
      </c>
      <c r="MR43">
        <f t="shared" si="1465"/>
        <v>5.931489223018275</v>
      </c>
      <c r="MS43">
        <f t="shared" si="1465"/>
        <v>5.8669481742932135</v>
      </c>
      <c r="MT43">
        <f t="shared" si="1465"/>
        <v>5.8030898364809786</v>
      </c>
      <c r="MU43">
        <f t="shared" si="1465"/>
        <v>5.7399101307054821</v>
      </c>
      <c r="MV43">
        <f t="shared" si="1465"/>
        <v>5.6774045883807958</v>
      </c>
      <c r="MW43">
        <f t="shared" si="1465"/>
        <v>5.6155684079894286</v>
      </c>
      <c r="MX43">
        <f t="shared" si="1465"/>
        <v>5.554396504989711</v>
      </c>
      <c r="MY43">
        <f t="shared" si="1465"/>
        <v>5.4938835556680488</v>
      </c>
      <c r="MZ43">
        <f t="shared" si="1465"/>
        <v>5.4340240356567051</v>
      </c>
      <c r="NA43">
        <f t="shared" si="1465"/>
        <v>5.3748122537531913</v>
      </c>
      <c r="NB43">
        <f t="shared" si="1465"/>
        <v>5.316242381599011</v>
      </c>
      <c r="NC43">
        <f t="shared" si="1465"/>
        <v>5.2583084797121273</v>
      </c>
      <c r="ND43">
        <f t="shared" si="1465"/>
        <v>5.2010045203062418</v>
      </c>
      <c r="NE43">
        <f t="shared" si="1465"/>
        <v>5.1443244072784182</v>
      </c>
      <c r="NF43">
        <f t="shared" si="1465"/>
        <v>5.0882619937065101</v>
      </c>
      <c r="NG43">
        <f t="shared" si="1465"/>
        <v>5.0328110971464639</v>
      </c>
      <c r="NH43">
        <f t="shared" si="1465"/>
        <v>4.9779655129992761</v>
      </c>
      <c r="NI43">
        <f t="shared" si="1465"/>
        <v>4.923719026172023</v>
      </c>
      <c r="NJ43">
        <f t="shared" si="1465"/>
        <v>4.8700654212390191</v>
      </c>
      <c r="NK43">
        <f t="shared" si="1465"/>
        <v>4.8169984912832433</v>
      </c>
      <c r="NL43">
        <f t="shared" si="1465"/>
        <v>4.7645120455725305</v>
      </c>
      <c r="NM43">
        <f t="shared" si="1465"/>
        <v>4.7125999162152539</v>
      </c>
      <c r="NN43">
        <f t="shared" si="1465"/>
        <v>4.6612559639116853</v>
      </c>
      <c r="NO43">
        <f t="shared" si="1465"/>
        <v>4.6104740829148341</v>
      </c>
      <c r="NP43">
        <f t="shared" si="1465"/>
        <v>4.560248205292794</v>
      </c>
      <c r="NQ43">
        <f t="shared" si="1465"/>
        <v>4.5105723045778063</v>
      </c>
      <c r="NR43">
        <f t="shared" si="1465"/>
        <v>4.4614403988765048</v>
      </c>
      <c r="NS43">
        <f t="shared" si="1465"/>
        <v>4.4128465535056876</v>
      </c>
      <c r="NT43">
        <f t="shared" si="1465"/>
        <v>4.3647848832114278</v>
      </c>
      <c r="NU43">
        <f t="shared" si="1465"/>
        <v>4.3172495540230216</v>
      </c>
      <c r="NV43">
        <f t="shared" si="1465"/>
        <v>4.270234784786112</v>
      </c>
      <c r="NW43">
        <f t="shared" si="1465"/>
        <v>4.2237348484131871</v>
      </c>
      <c r="NX43">
        <f t="shared" si="1465"/>
        <v>4.1777440728885153</v>
      </c>
      <c r="NY43">
        <f t="shared" si="1465"/>
        <v>4.1322568420561652</v>
      </c>
      <c r="NZ43">
        <f t="shared" si="1465"/>
        <v>4.0872675962197036</v>
      </c>
      <c r="OA43">
        <f t="shared" si="1465"/>
        <v>4.0427708325744902</v>
      </c>
      <c r="OB43">
        <f t="shared" si="1465"/>
        <v>3.9987611054990566</v>
      </c>
      <c r="OC43">
        <f t="shared" si="1465"/>
        <v>3.9552330267159164</v>
      </c>
      <c r="OD43">
        <f t="shared" si="1465"/>
        <v>3.9121812653473285</v>
      </c>
      <c r="OE43">
        <f t="shared" si="1465"/>
        <v>3.86960054787221</v>
      </c>
      <c r="OF43">
        <f t="shared" si="1465"/>
        <v>3.8274856580021037</v>
      </c>
      <c r="OG43">
        <f t="shared" si="1465"/>
        <v>3.7858314364845</v>
      </c>
      <c r="OH43">
        <f t="shared" ref="OH43:QS43" si="1466">$Q$12*OH27+$R$12*OH28+$S$12*OH29</f>
        <v>3.7446327808452793</v>
      </c>
      <c r="OI43">
        <f t="shared" si="1466"/>
        <v>3.7038846450772098</v>
      </c>
      <c r="OJ43">
        <f t="shared" si="1466"/>
        <v>3.6635820392822325</v>
      </c>
      <c r="OK43">
        <f t="shared" si="1466"/>
        <v>3.6237200292766261</v>
      </c>
      <c r="OL43">
        <f t="shared" si="1466"/>
        <v>3.5842937361604186</v>
      </c>
      <c r="OM43">
        <f t="shared" si="1466"/>
        <v>3.5452983358600818</v>
      </c>
      <c r="ON43">
        <f t="shared" si="1466"/>
        <v>3.5067290586487729</v>
      </c>
      <c r="OO43">
        <f t="shared" si="1466"/>
        <v>3.4685811886451461</v>
      </c>
      <c r="OP43">
        <f t="shared" si="1466"/>
        <v>3.4308500632964751</v>
      </c>
      <c r="OQ43">
        <f t="shared" si="1466"/>
        <v>3.3935310728492141</v>
      </c>
      <c r="OR43">
        <f t="shared" si="1466"/>
        <v>3.3566196598091551</v>
      </c>
      <c r="OS43">
        <f t="shared" si="1466"/>
        <v>3.3201113183935149</v>
      </c>
      <c r="OT43">
        <f t="shared" si="1466"/>
        <v>3.2840015939766545</v>
      </c>
      <c r="OU43">
        <f t="shared" si="1466"/>
        <v>3.248286082531763</v>
      </c>
      <c r="OV43">
        <f t="shared" si="1466"/>
        <v>3.2129604300695291</v>
      </c>
      <c r="OW43">
        <f t="shared" si="1466"/>
        <v>3.1780203320767555</v>
      </c>
      <c r="OX43">
        <f t="shared" si="1466"/>
        <v>3.1434615329532676</v>
      </c>
      <c r="OY43">
        <f t="shared" si="1466"/>
        <v>3.1092798254505851</v>
      </c>
      <c r="OZ43">
        <f t="shared" si="1466"/>
        <v>3.0754710501114459</v>
      </c>
      <c r="PA43">
        <f t="shared" si="1466"/>
        <v>3.0420310947135363</v>
      </c>
      <c r="PB43">
        <f t="shared" si="1466"/>
        <v>3.0089558937144147</v>
      </c>
      <c r="PC43">
        <f t="shared" si="1466"/>
        <v>2.9762414277011544</v>
      </c>
      <c r="PD43">
        <f t="shared" si="1466"/>
        <v>2.9438837228444186</v>
      </c>
      <c r="PE43">
        <f t="shared" si="1466"/>
        <v>2.9118788503564588</v>
      </c>
      <c r="PF43">
        <f t="shared" si="1466"/>
        <v>2.8802229259538308</v>
      </c>
      <c r="PG43">
        <f t="shared" si="1466"/>
        <v>2.8489121093263066</v>
      </c>
      <c r="PH43">
        <f t="shared" si="1466"/>
        <v>2.8179426036107884</v>
      </c>
      <c r="PI43">
        <f t="shared" si="1466"/>
        <v>2.787310654869998</v>
      </c>
      <c r="PJ43">
        <f t="shared" si="1466"/>
        <v>2.7570125515779864</v>
      </c>
      <c r="PK43">
        <f t="shared" si="1466"/>
        <v>2.7270446241116133</v>
      </c>
      <c r="PL43">
        <f t="shared" si="1466"/>
        <v>2.6974032442467433</v>
      </c>
      <c r="PM43">
        <f t="shared" si="1466"/>
        <v>2.6680848246618893</v>
      </c>
      <c r="PN43">
        <f t="shared" si="1466"/>
        <v>2.6390858184471995</v>
      </c>
      <c r="PO43">
        <f t="shared" si="1466"/>
        <v>2.6104027186193548</v>
      </c>
      <c r="PP43">
        <f t="shared" si="1466"/>
        <v>2.5820320576435165</v>
      </c>
      <c r="PQ43">
        <f t="shared" si="1466"/>
        <v>2.5539704069603886</v>
      </c>
      <c r="PR43">
        <f t="shared" si="1466"/>
        <v>2.5262143765201586</v>
      </c>
      <c r="PS43">
        <f t="shared" si="1466"/>
        <v>2.4987606143217818</v>
      </c>
      <c r="PT43">
        <f t="shared" si="1466"/>
        <v>2.4716058059581201</v>
      </c>
      <c r="PU43">
        <f t="shared" si="1466"/>
        <v>2.4447466741689823</v>
      </c>
      <c r="PV43">
        <f t="shared" si="1466"/>
        <v>2.418179978397518</v>
      </c>
      <c r="PW43">
        <f t="shared" si="1466"/>
        <v>2.3919025143534896</v>
      </c>
      <c r="PX43">
        <f t="shared" si="1466"/>
        <v>2.3659111135838771</v>
      </c>
      <c r="PY43">
        <f t="shared" si="1466"/>
        <v>2.3402026430461547</v>
      </c>
      <c r="PZ43">
        <f t="shared" si="1466"/>
        <v>2.3147740046900367</v>
      </c>
      <c r="QA43">
        <f t="shared" si="1466"/>
        <v>2.2896221350432597</v>
      </c>
      <c r="QB43">
        <f t="shared" si="1466"/>
        <v>2.2647440048032763</v>
      </c>
      <c r="QC43">
        <f t="shared" si="1466"/>
        <v>2.2401366184348888</v>
      </c>
      <c r="QD43">
        <f t="shared" si="1466"/>
        <v>2.2157970137724305</v>
      </c>
      <c r="QE43">
        <f t="shared" si="1466"/>
        <v>2.1917222616274898</v>
      </c>
      <c r="QF43">
        <f t="shared" si="1466"/>
        <v>2.1679094654026869</v>
      </c>
      <c r="QG43">
        <f t="shared" si="1466"/>
        <v>2.1443557607089758</v>
      </c>
      <c r="QH43">
        <f t="shared" si="1466"/>
        <v>2.1210583149898241</v>
      </c>
      <c r="QI43">
        <f t="shared" si="1466"/>
        <v>2.0980143271488885</v>
      </c>
      <c r="QJ43">
        <f t="shared" si="1466"/>
        <v>2.075221027183602</v>
      </c>
      <c r="QK43">
        <f t="shared" si="1466"/>
        <v>2.052675675822428</v>
      </c>
      <c r="QL43">
        <f t="shared" si="1466"/>
        <v>2.0303755641688497</v>
      </c>
      <c r="QM43">
        <f t="shared" si="1466"/>
        <v>2.008318013348088</v>
      </c>
      <c r="QN43">
        <f t="shared" si="1466"/>
        <v>1.9865003741588794</v>
      </c>
      <c r="QO43">
        <f t="shared" si="1466"/>
        <v>1.9649200267308515</v>
      </c>
      <c r="QP43">
        <f t="shared" si="1466"/>
        <v>1.9435743801850833</v>
      </c>
      <c r="QQ43">
        <f t="shared" si="1466"/>
        <v>1.9224608722996663</v>
      </c>
      <c r="QR43">
        <f t="shared" si="1466"/>
        <v>1.9015769691795867</v>
      </c>
      <c r="QS43">
        <f t="shared" si="1466"/>
        <v>1.8809201649305862</v>
      </c>
      <c r="QT43">
        <f t="shared" ref="QT43:TE43" si="1467">$Q$12*QT27+$R$12*QT28+$S$12*QT29</f>
        <v>1.860487981337883</v>
      </c>
      <c r="QU43">
        <f t="shared" si="1467"/>
        <v>1.8402779675477348</v>
      </c>
      <c r="QV43">
        <f t="shared" si="1467"/>
        <v>1.8202876997544877</v>
      </c>
      <c r="QW43">
        <f t="shared" si="1467"/>
        <v>1.8005147808907793</v>
      </c>
      <c r="QX43">
        <f t="shared" si="1467"/>
        <v>1.7809568403219203</v>
      </c>
      <c r="QY43">
        <f t="shared" si="1467"/>
        <v>1.7616115335436575</v>
      </c>
      <c r="QZ43">
        <f t="shared" si="1467"/>
        <v>1.7424765418848267</v>
      </c>
      <c r="RA43">
        <f t="shared" si="1467"/>
        <v>1.7235495722128462</v>
      </c>
      <c r="RB43">
        <f t="shared" si="1467"/>
        <v>1.7048283566432758</v>
      </c>
      <c r="RC43">
        <f t="shared" si="1467"/>
        <v>1.6863106522522457</v>
      </c>
      <c r="RD43">
        <f t="shared" si="1467"/>
        <v>1.6679942407942292</v>
      </c>
      <c r="RE43">
        <f t="shared" si="1467"/>
        <v>1.6498769284211505</v>
      </c>
      <c r="RF43">
        <f t="shared" si="1467"/>
        <v>1.6319565454068368</v>
      </c>
      <c r="RG43">
        <f t="shared" si="1467"/>
        <v>1.6142309458732882</v>
      </c>
      <c r="RH43">
        <f t="shared" si="1467"/>
        <v>1.5966980075220931</v>
      </c>
      <c r="RI43">
        <f t="shared" si="1467"/>
        <v>1.5793556313672923</v>
      </c>
      <c r="RJ43">
        <f t="shared" si="1467"/>
        <v>1.5622017414726486</v>
      </c>
      <c r="RK43">
        <f t="shared" si="1467"/>
        <v>1.5452342846919862</v>
      </c>
      <c r="RL43">
        <f t="shared" si="1467"/>
        <v>1.5284512304127134</v>
      </c>
      <c r="RM43">
        <f t="shared" si="1467"/>
        <v>1.5118505703017888</v>
      </c>
      <c r="RN43">
        <f t="shared" si="1467"/>
        <v>1.4954303180558099</v>
      </c>
      <c r="RO43">
        <f t="shared" si="1467"/>
        <v>1.4791885091533459</v>
      </c>
      <c r="RP43">
        <f t="shared" si="1467"/>
        <v>1.4631232006108235</v>
      </c>
      <c r="RQ43">
        <f t="shared" si="1467"/>
        <v>1.4472324707405733</v>
      </c>
      <c r="RR43">
        <f t="shared" si="1467"/>
        <v>1.4315144189128546</v>
      </c>
      <c r="RS43">
        <f t="shared" si="1467"/>
        <v>1.4159671653197279</v>
      </c>
      <c r="RT43">
        <f t="shared" si="1467"/>
        <v>1.4005888507421673</v>
      </c>
      <c r="RU43">
        <f t="shared" si="1467"/>
        <v>1.3853776363202712</v>
      </c>
      <c r="RV43">
        <f t="shared" si="1467"/>
        <v>1.3703317033257747</v>
      </c>
      <c r="RW43">
        <f t="shared" si="1467"/>
        <v>1.3554492529369782</v>
      </c>
      <c r="RX43">
        <f t="shared" si="1467"/>
        <v>1.340728506017399</v>
      </c>
      <c r="RY43">
        <f t="shared" si="1467"/>
        <v>1.3261677028960435</v>
      </c>
      <c r="RZ43">
        <f t="shared" si="1467"/>
        <v>1.3117651031505488</v>
      </c>
      <c r="SA43">
        <f t="shared" si="1467"/>
        <v>1.2975189853929692</v>
      </c>
      <c r="SB43">
        <f t="shared" si="1467"/>
        <v>1.2834276470583177</v>
      </c>
      <c r="SC43">
        <f t="shared" si="1467"/>
        <v>1.2694894041950988</v>
      </c>
      <c r="SD43">
        <f t="shared" si="1467"/>
        <v>1.2557025912584834</v>
      </c>
      <c r="SE43">
        <f t="shared" si="1467"/>
        <v>1.2420655609061555</v>
      </c>
      <c r="SF43">
        <f t="shared" si="1467"/>
        <v>1.2285766837961489</v>
      </c>
      <c r="SG43">
        <f t="shared" si="1467"/>
        <v>1.2152343483872698</v>
      </c>
      <c r="SH43">
        <f t="shared" si="1467"/>
        <v>1.2020369607418218</v>
      </c>
      <c r="SI43">
        <f t="shared" si="1467"/>
        <v>1.188982944330661</v>
      </c>
      <c r="SJ43">
        <f t="shared" si="1467"/>
        <v>1.1760707398401564</v>
      </c>
      <c r="SK43">
        <f t="shared" si="1467"/>
        <v>1.1632988049821336</v>
      </c>
      <c r="SL43">
        <f t="shared" si="1467"/>
        <v>1.150665614304927</v>
      </c>
      <c r="SM43">
        <f t="shared" si="1467"/>
        <v>1.1381696590078434</v>
      </c>
      <c r="SN43">
        <f t="shared" si="1467"/>
        <v>1.1258094467567048</v>
      </c>
      <c r="SO43">
        <f t="shared" si="1467"/>
        <v>1.1135835015025748</v>
      </c>
      <c r="SP43">
        <f t="shared" si="1467"/>
        <v>1.1014903633008828</v>
      </c>
      <c r="SQ43">
        <f t="shared" si="1467"/>
        <v>1.0895285881348116</v>
      </c>
      <c r="SR43">
        <f t="shared" si="1467"/>
        <v>1.0776967477389121</v>
      </c>
      <c r="SS43">
        <f t="shared" si="1467"/>
        <v>1.0659934294257596</v>
      </c>
      <c r="ST43">
        <f t="shared" si="1467"/>
        <v>1.0544172359138884</v>
      </c>
      <c r="SU43">
        <f t="shared" si="1467"/>
        <v>1.0429667851584554</v>
      </c>
      <c r="SV43">
        <f t="shared" si="1467"/>
        <v>1.0316407101829839</v>
      </c>
      <c r="SW43">
        <f t="shared" si="1467"/>
        <v>1.0204376589138917</v>
      </c>
      <c r="SX43">
        <f t="shared" si="1467"/>
        <v>1.0093562940161291</v>
      </c>
      <c r="SY43">
        <f t="shared" si="1467"/>
        <v>0.99839529273140215</v>
      </c>
      <c r="SZ43">
        <f t="shared" si="1467"/>
        <v>0.98755334671733408</v>
      </c>
      <c r="TA43">
        <f t="shared" si="1467"/>
        <v>0.97682916188924196</v>
      </c>
      <c r="TB43">
        <f t="shared" si="1467"/>
        <v>0.96622145826373185</v>
      </c>
      <c r="TC43">
        <f t="shared" si="1467"/>
        <v>0.95572896980308997</v>
      </c>
      <c r="TD43">
        <f t="shared" si="1467"/>
        <v>0.94535044426280024</v>
      </c>
      <c r="TE43">
        <f t="shared" si="1467"/>
        <v>0.93508464303945971</v>
      </c>
      <c r="TF43">
        <f t="shared" ref="TF43:VQ43" si="1468">$Q$12*TF27+$R$12*TF28+$S$12*TF29</f>
        <v>0.92493034102136562</v>
      </c>
      <c r="TG43">
        <f t="shared" si="1468"/>
        <v>0.9148863264406657</v>
      </c>
      <c r="TH43">
        <f t="shared" si="1468"/>
        <v>0.90495140072636104</v>
      </c>
      <c r="TI43">
        <f t="shared" si="1468"/>
        <v>0.89512437836020808</v>
      </c>
      <c r="TJ43">
        <f t="shared" si="1468"/>
        <v>0.88540408673284787</v>
      </c>
      <c r="TK43">
        <f t="shared" si="1468"/>
        <v>0.87578936600289126</v>
      </c>
      <c r="TL43">
        <f t="shared" si="1468"/>
        <v>0.86627906895697038</v>
      </c>
      <c r="TM43">
        <f t="shared" si="1468"/>
        <v>0.85687206087118284</v>
      </c>
      <c r="TN43">
        <f t="shared" si="1468"/>
        <v>0.84756721937375801</v>
      </c>
      <c r="TO43">
        <f t="shared" si="1468"/>
        <v>0.83836343431102023</v>
      </c>
      <c r="TP43">
        <f t="shared" si="1468"/>
        <v>0.82925960761230044</v>
      </c>
      <c r="TQ43">
        <f t="shared" si="1468"/>
        <v>0.82025465315848578</v>
      </c>
      <c r="TR43">
        <f t="shared" si="1468"/>
        <v>0.81134749665105232</v>
      </c>
      <c r="TS43">
        <f t="shared" si="1468"/>
        <v>0.80253707548223474</v>
      </c>
      <c r="TT43">
        <f t="shared" si="1468"/>
        <v>0.79382233860795282</v>
      </c>
      <c r="TU43">
        <f t="shared" si="1468"/>
        <v>0.78520224642076641</v>
      </c>
      <c r="TV43">
        <f t="shared" si="1468"/>
        <v>0.77667577062462101</v>
      </c>
      <c r="TW43">
        <f t="shared" si="1468"/>
        <v>0.76824189411186694</v>
      </c>
      <c r="TX43">
        <f t="shared" si="1468"/>
        <v>0.75989961084025026</v>
      </c>
      <c r="TY43">
        <f t="shared" si="1468"/>
        <v>0.75164792571220573</v>
      </c>
      <c r="TZ43">
        <f t="shared" si="1468"/>
        <v>0.74348585445562776</v>
      </c>
      <c r="UA43">
        <f t="shared" si="1468"/>
        <v>0.73541242350501079</v>
      </c>
      <c r="UB43">
        <f t="shared" si="1468"/>
        <v>0.72742666988455085</v>
      </c>
      <c r="UC43">
        <f t="shared" si="1468"/>
        <v>0.71952764109306599</v>
      </c>
      <c r="UD43">
        <f t="shared" si="1468"/>
        <v>0.71171439498891687</v>
      </c>
      <c r="UE43">
        <f t="shared" si="1468"/>
        <v>0.70398599967708719</v>
      </c>
      <c r="UF43">
        <f t="shared" si="1468"/>
        <v>0.69634153339745808</v>
      </c>
      <c r="UG43">
        <f t="shared" si="1468"/>
        <v>0.68878008441421912</v>
      </c>
      <c r="UH43">
        <f t="shared" si="1468"/>
        <v>0.68130075090624587</v>
      </c>
      <c r="UI43">
        <f t="shared" si="1468"/>
        <v>0.6739026408586426</v>
      </c>
      <c r="UJ43">
        <f t="shared" si="1468"/>
        <v>0.66658487195650196</v>
      </c>
      <c r="UK43">
        <f t="shared" si="1468"/>
        <v>0.6593465714784088</v>
      </c>
      <c r="UL43">
        <f t="shared" si="1468"/>
        <v>0.65218687619216098</v>
      </c>
      <c r="UM43">
        <f t="shared" si="1468"/>
        <v>0.64510493225097321</v>
      </c>
      <c r="UN43">
        <f t="shared" si="1468"/>
        <v>0.63809989509115894</v>
      </c>
      <c r="UO43">
        <f t="shared" si="1468"/>
        <v>0.63117092933129015</v>
      </c>
      <c r="UP43">
        <f t="shared" si="1468"/>
        <v>0.62431720867138552</v>
      </c>
      <c r="UQ43">
        <f t="shared" si="1468"/>
        <v>0.61753791579462813</v>
      </c>
      <c r="UR43">
        <f t="shared" si="1468"/>
        <v>0.61083224226885591</v>
      </c>
      <c r="US43">
        <f t="shared" si="1468"/>
        <v>0.60419938844995613</v>
      </c>
      <c r="UT43">
        <f t="shared" si="1468"/>
        <v>0.59763856338616961</v>
      </c>
      <c r="UU43">
        <f t="shared" si="1468"/>
        <v>0.59114898472347477</v>
      </c>
      <c r="UV43">
        <f t="shared" si="1468"/>
        <v>0.58472987861117076</v>
      </c>
      <c r="UW43">
        <f t="shared" si="1468"/>
        <v>0.57838047961007533</v>
      </c>
      <c r="UX43">
        <f t="shared" si="1468"/>
        <v>0.57210003060035319</v>
      </c>
      <c r="UY43">
        <f t="shared" si="1468"/>
        <v>0.56588778269130557</v>
      </c>
      <c r="UZ43">
        <f t="shared" si="1468"/>
        <v>0.55974299513118808</v>
      </c>
      <c r="VA43">
        <f t="shared" si="1468"/>
        <v>0.55366493521907501</v>
      </c>
      <c r="VB43">
        <f t="shared" si="1468"/>
        <v>0.5476528782168657</v>
      </c>
      <c r="VC43">
        <f t="shared" si="1468"/>
        <v>0.54170610726276891</v>
      </c>
      <c r="VD43">
        <f t="shared" si="1468"/>
        <v>0.53582391328518497</v>
      </c>
      <c r="VE43">
        <f t="shared" si="1468"/>
        <v>0.53000559491837862</v>
      </c>
      <c r="VF43">
        <f t="shared" si="1468"/>
        <v>0.52425045841800966</v>
      </c>
      <c r="VG43">
        <f t="shared" si="1468"/>
        <v>0.51855781757890895</v>
      </c>
      <c r="VH43">
        <f t="shared" si="1468"/>
        <v>0.51292699365185968</v>
      </c>
      <c r="VI43">
        <f t="shared" si="1468"/>
        <v>0.50735731526370387</v>
      </c>
      <c r="VJ43">
        <f t="shared" si="1468"/>
        <v>0.50184811833639742</v>
      </c>
      <c r="VK43">
        <f t="shared" si="1468"/>
        <v>0.49639874600748612</v>
      </c>
      <c r="VL43">
        <f t="shared" si="1468"/>
        <v>0.49100854855169018</v>
      </c>
      <c r="VM43">
        <f t="shared" si="1468"/>
        <v>0.48567688330356873</v>
      </c>
      <c r="VN43">
        <f t="shared" si="1468"/>
        <v>0.48040311458038332</v>
      </c>
      <c r="VO43">
        <f t="shared" si="1468"/>
        <v>0.47518661360598458</v>
      </c>
      <c r="VP43">
        <f t="shared" si="1468"/>
        <v>0.47002675843597785</v>
      </c>
      <c r="VQ43">
        <f t="shared" si="1468"/>
        <v>0.46492293388317307</v>
      </c>
      <c r="VR43">
        <f t="shared" ref="VR43:YC43" si="1469">$Q$12*VR27+$R$12*VR28+$S$12*VR29</f>
        <v>0.4598745314442283</v>
      </c>
      <c r="VS43">
        <f t="shared" si="1469"/>
        <v>0.45488094922674804</v>
      </c>
      <c r="VT43">
        <f t="shared" si="1469"/>
        <v>0.44994159187749005</v>
      </c>
      <c r="VU43">
        <f t="shared" si="1469"/>
        <v>0.44505587051119733</v>
      </c>
      <c r="VV43">
        <f t="shared" si="1469"/>
        <v>0.44022320264042492</v>
      </c>
      <c r="VW43">
        <f t="shared" si="1469"/>
        <v>0.43544301210533831</v>
      </c>
      <c r="VX43">
        <f t="shared" si="1469"/>
        <v>0.43071472900578556</v>
      </c>
      <c r="VY43">
        <f t="shared" si="1469"/>
        <v>0.42603778963245986</v>
      </c>
      <c r="VZ43">
        <f t="shared" si="1469"/>
        <v>0.42141163639988122</v>
      </c>
      <c r="WA43">
        <f t="shared" si="1469"/>
        <v>0.41683571777991801</v>
      </c>
      <c r="WB43">
        <f t="shared" si="1469"/>
        <v>0.41230948823564972</v>
      </c>
      <c r="WC43">
        <f t="shared" si="1469"/>
        <v>0.40783240815645172</v>
      </c>
      <c r="WD43">
        <f t="shared" si="1469"/>
        <v>0.40340394379313693</v>
      </c>
      <c r="WE43">
        <f t="shared" si="1469"/>
        <v>0.39902356719500176</v>
      </c>
      <c r="WF43">
        <f t="shared" si="1469"/>
        <v>0.39469075614584881</v>
      </c>
      <c r="WG43">
        <f t="shared" si="1469"/>
        <v>0.38184514432367678</v>
      </c>
      <c r="WH43">
        <f t="shared" si="1469"/>
        <v>0.35463445680264272</v>
      </c>
      <c r="WI43">
        <f t="shared" si="1469"/>
        <v>0.310766426363557</v>
      </c>
      <c r="WJ43">
        <f t="shared" si="1469"/>
        <v>0.25028624380237829</v>
      </c>
      <c r="WK43">
        <f t="shared" si="1469"/>
        <v>0.17443105990608387</v>
      </c>
      <c r="WL43">
        <f t="shared" si="1469"/>
        <v>8.4907822375470232E-2</v>
      </c>
      <c r="WM43">
        <f t="shared" si="1469"/>
        <v>-1.6491320203073201E-2</v>
      </c>
      <c r="WN43">
        <f t="shared" si="1469"/>
        <v>-0.12806823338294748</v>
      </c>
      <c r="WO43">
        <f t="shared" si="1469"/>
        <v>-0.24828799177063843</v>
      </c>
      <c r="WP43">
        <f t="shared" si="1469"/>
        <v>-0.37579435720655852</v>
      </c>
      <c r="WQ43">
        <f t="shared" si="1469"/>
        <v>-0.50940156536273662</v>
      </c>
      <c r="WR43">
        <f t="shared" si="1469"/>
        <v>-0.64807731570806482</v>
      </c>
      <c r="WS43">
        <f t="shared" si="1469"/>
        <v>-0.79092385124243947</v>
      </c>
      <c r="WT43">
        <f t="shared" si="1469"/>
        <v>-0.93716002061816539</v>
      </c>
      <c r="WU43">
        <f t="shared" si="1469"/>
        <v>-1.0861053296033276</v>
      </c>
      <c r="WV43">
        <f t="shared" si="1469"/>
        <v>-1.2371661555438891</v>
      </c>
      <c r="WW43">
        <f t="shared" si="1469"/>
        <v>-1.3898239674096544</v>
      </c>
      <c r="WX43">
        <f t="shared" si="1469"/>
        <v>-1.5436252907871051</v>
      </c>
      <c r="WY43">
        <f t="shared" si="1469"/>
        <v>-1.6981731500413559</v>
      </c>
      <c r="WZ43">
        <f t="shared" si="1469"/>
        <v>-1.8531197481413813</v>
      </c>
      <c r="XA43">
        <f t="shared" si="1469"/>
        <v>-2.0081601818017987</v>
      </c>
      <c r="XB43">
        <f t="shared" si="1469"/>
        <v>-2.1630270251310435</v>
      </c>
      <c r="XC43">
        <f t="shared" si="1469"/>
        <v>-2.3174856454176336</v>
      </c>
      <c r="XD43">
        <f t="shared" si="1469"/>
        <v>-2.4713301395674705</v>
      </c>
      <c r="XE43">
        <f t="shared" si="1469"/>
        <v>-2.6243797996235685</v>
      </c>
      <c r="XF43">
        <f t="shared" si="1469"/>
        <v>-2.776476031639163</v>
      </c>
      <c r="XG43">
        <f t="shared" si="1469"/>
        <v>-2.9274796647958681</v>
      </c>
      <c r="XH43">
        <f t="shared" si="1469"/>
        <v>-3.077268597769006</v>
      </c>
      <c r="XI43">
        <f t="shared" si="1469"/>
        <v>-3.2257357375119682</v>
      </c>
      <c r="XJ43">
        <f t="shared" si="1469"/>
        <v>-3.3727871922974373</v>
      </c>
      <c r="XK43">
        <f t="shared" si="1469"/>
        <v>-3.518340686344942</v>
      </c>
      <c r="XL43">
        <f t="shared" si="1469"/>
        <v>-3.6623241679272382</v>
      </c>
      <c r="XM43">
        <f t="shared" si="1469"/>
        <v>-3.8046745866786011</v>
      </c>
      <c r="XN43">
        <f t="shared" si="1469"/>
        <v>-3.9453368190617653</v>
      </c>
      <c r="XO43">
        <f t="shared" si="1469"/>
        <v>-4.0842627237028637</v>
      </c>
      <c r="XP43">
        <f t="shared" si="1469"/>
        <v>-4.2214103106615823</v>
      </c>
      <c r="XQ43">
        <f t="shared" si="1469"/>
        <v>-4.3567430107234202</v>
      </c>
      <c r="XR43">
        <f t="shared" si="1469"/>
        <v>-4.490229032556158</v>
      </c>
      <c r="XS43">
        <f t="shared" si="1469"/>
        <v>-4.6218407970821431</v>
      </c>
      <c r="XT43">
        <f t="shared" si="1469"/>
        <v>-4.7515544397381575</v>
      </c>
      <c r="XU43">
        <f t="shared" si="1469"/>
        <v>-4.879349372439151</v>
      </c>
      <c r="XV43">
        <f t="shared" si="1469"/>
        <v>-5.0052078980627073</v>
      </c>
      <c r="XW43">
        <f t="shared" si="1469"/>
        <v>-5.1291148711465553</v>
      </c>
      <c r="XX43">
        <f t="shared" si="1469"/>
        <v>-5.2510573992565241</v>
      </c>
      <c r="XY43">
        <f t="shared" si="1469"/>
        <v>-5.3710245801503902</v>
      </c>
      <c r="XZ43">
        <f t="shared" si="1469"/>
        <v>-5.4890072704547777</v>
      </c>
      <c r="YA43">
        <f t="shared" si="1469"/>
        <v>-5.6049978820857689</v>
      </c>
      <c r="YB43">
        <f t="shared" si="1469"/>
        <v>-5.7189902030961264</v>
      </c>
      <c r="YC43">
        <f t="shared" si="1469"/>
        <v>-5.8309792400329172</v>
      </c>
      <c r="YD43">
        <f t="shared" ref="YD43:AAO43" si="1470">$Q$12*YD27+$R$12*YD28+$S$12*YD29</f>
        <v>-5.9409610792366152</v>
      </c>
      <c r="YE43">
        <f t="shared" si="1470"/>
        <v>-6.0489327648201936</v>
      </c>
      <c r="YF43">
        <f t="shared" si="1470"/>
        <v>-6.1548921913391155</v>
      </c>
      <c r="YG43">
        <f t="shared" si="1470"/>
        <v>-6.2588380094001934</v>
      </c>
      <c r="YH43">
        <f t="shared" si="1470"/>
        <v>-6.3607695426632063</v>
      </c>
      <c r="YI43">
        <f t="shared" si="1470"/>
        <v>-6.4606867148810636</v>
      </c>
      <c r="YJ43">
        <f t="shared" si="1470"/>
        <v>-6.5585899857764218</v>
      </c>
      <c r="YK43">
        <f t="shared" si="1470"/>
        <v>-6.6544802947057633</v>
      </c>
      <c r="YL43">
        <f t="shared" si="1470"/>
        <v>-6.7483590111775413</v>
      </c>
      <c r="YM43">
        <f t="shared" si="1470"/>
        <v>-6.8402278914105921</v>
      </c>
      <c r="YN43">
        <f t="shared" si="1470"/>
        <v>-6.9300890402085997</v>
      </c>
      <c r="YO43">
        <f t="shared" si="1470"/>
        <v>-7.0179448775186586</v>
      </c>
      <c r="YP43">
        <f t="shared" si="1470"/>
        <v>-7.1037981091134554</v>
      </c>
      <c r="YQ43">
        <f t="shared" si="1470"/>
        <v>-7.1876517009030749</v>
      </c>
      <c r="YR43">
        <f t="shared" si="1470"/>
        <v>-7.2695088564450998</v>
      </c>
      <c r="YS43">
        <f t="shared" si="1470"/>
        <v>-7.3493729972666415</v>
      </c>
      <c r="YT43">
        <f t="shared" si="1470"/>
        <v>-7.4272477456654542</v>
      </c>
      <c r="YU43">
        <f t="shared" si="1470"/>
        <v>-7.5031369096885214</v>
      </c>
      <c r="YV43">
        <f t="shared" si="1470"/>
        <v>-7.5770444700294775</v>
      </c>
      <c r="YW43">
        <f t="shared" si="1470"/>
        <v>-7.6489745686128572</v>
      </c>
      <c r="YX43">
        <f t="shared" si="1470"/>
        <v>-7.7189314986624709</v>
      </c>
      <c r="YY43">
        <f t="shared" si="1470"/>
        <v>-7.7869196960733689</v>
      </c>
      <c r="YZ43">
        <f t="shared" si="1470"/>
        <v>-7.8529437319300541</v>
      </c>
      <c r="ZA43">
        <f t="shared" si="1470"/>
        <v>-7.9170083060330398</v>
      </c>
      <c r="ZB43">
        <f t="shared" si="1470"/>
        <v>-7.9791182413082424</v>
      </c>
      <c r="ZC43">
        <f t="shared" si="1470"/>
        <v>-8.0392784789932534</v>
      </c>
      <c r="ZD43">
        <f t="shared" si="1470"/>
        <v>-8.0974940745047661</v>
      </c>
      <c r="ZE43">
        <f t="shared" si="1470"/>
        <v>-8.1537701939022895</v>
      </c>
      <c r="ZF43">
        <f t="shared" si="1470"/>
        <v>-8.2081121108738557</v>
      </c>
      <c r="ZG43">
        <f t="shared" si="1470"/>
        <v>-8.2605252041803965</v>
      </c>
      <c r="ZH43">
        <f t="shared" si="1470"/>
        <v>-8.3110149554989903</v>
      </c>
      <c r="ZI43">
        <f t="shared" si="1470"/>
        <v>-8.3595869476146163</v>
      </c>
      <c r="ZJ43">
        <f t="shared" si="1470"/>
        <v>-8.4062468629176124</v>
      </c>
      <c r="ZK43">
        <f t="shared" si="1470"/>
        <v>-8.4510004821643747</v>
      </c>
      <c r="ZL43">
        <f t="shared" si="1470"/>
        <v>-8.4938536834693537</v>
      </c>
      <c r="ZM43">
        <f t="shared" si="1470"/>
        <v>-8.534812441494978</v>
      </c>
      <c r="ZN43">
        <f t="shared" si="1470"/>
        <v>-8.5738828268164298</v>
      </c>
      <c r="ZO43">
        <f t="shared" si="1470"/>
        <v>-8.6110710054321089</v>
      </c>
      <c r="ZP43">
        <f t="shared" si="1470"/>
        <v>-8.6463832384044963</v>
      </c>
      <c r="ZQ43">
        <f t="shared" si="1470"/>
        <v>-8.6798258816082239</v>
      </c>
      <c r="ZR43">
        <f t="shared" si="1470"/>
        <v>-8.7114053855729026</v>
      </c>
      <c r="ZS43">
        <f t="shared" si="1470"/>
        <v>-8.741128295402973</v>
      </c>
      <c r="ZT43">
        <f t="shared" si="1470"/>
        <v>-8.7690012507650863</v>
      </c>
      <c r="ZU43">
        <f t="shared" si="1470"/>
        <v>-8.7950309859294293</v>
      </c>
      <c r="ZV43">
        <f t="shared" si="1470"/>
        <v>-8.8192243298565245</v>
      </c>
      <c r="ZW43">
        <f t="shared" si="1470"/>
        <v>-8.8415882063213758</v>
      </c>
      <c r="ZX43">
        <f t="shared" si="1470"/>
        <v>-8.8621296340659796</v>
      </c>
      <c r="ZY43">
        <f t="shared" si="1470"/>
        <v>-8.8808557269740049</v>
      </c>
      <c r="ZZ43">
        <f t="shared" si="1470"/>
        <v>-8.8977736942636625</v>
      </c>
      <c r="AAA43">
        <f t="shared" si="1470"/>
        <v>-8.9128908406897267</v>
      </c>
      <c r="AAB43">
        <f t="shared" si="1470"/>
        <v>-8.9262145667547657</v>
      </c>
      <c r="AAC43">
        <f t="shared" si="1470"/>
        <v>-8.9377523689222471</v>
      </c>
      <c r="AAD43">
        <f t="shared" si="1470"/>
        <v>-8.9475118398298719</v>
      </c>
      <c r="AAE43">
        <f t="shared" si="1470"/>
        <v>-8.9555006684989849</v>
      </c>
      <c r="AAF43">
        <f t="shared" si="1470"/>
        <v>-8.9617266405386999</v>
      </c>
      <c r="AAG43">
        <f t="shared" si="1470"/>
        <v>-8.9661976383409865</v>
      </c>
      <c r="AAH43">
        <f t="shared" si="1470"/>
        <v>-8.9689216412662631</v>
      </c>
      <c r="AAI43">
        <f t="shared" si="1470"/>
        <v>-8.9699067258158607</v>
      </c>
      <c r="AAJ43">
        <f t="shared" si="1470"/>
        <v>-8.9691610657921501</v>
      </c>
      <c r="AAK43">
        <f t="shared" si="1470"/>
        <v>-8.96669293244355</v>
      </c>
      <c r="AAL43">
        <f t="shared" si="1470"/>
        <v>-8.9625106945924244</v>
      </c>
      <c r="AAM43">
        <f t="shared" si="1470"/>
        <v>-8.9566228187476895</v>
      </c>
      <c r="AAN43">
        <f t="shared" si="1470"/>
        <v>-8.9490378691984347</v>
      </c>
      <c r="AAO43">
        <f t="shared" si="1470"/>
        <v>-8.9397645080899792</v>
      </c>
    </row>
    <row r="44" spans="1:719">
      <c r="A44" s="4">
        <f t="shared" si="1444"/>
        <v>5</v>
      </c>
      <c r="B44" s="1">
        <f>$R$13*B28+$S$13*B29+$T$13*B30</f>
        <v>3.5527136788005009E-14</v>
      </c>
      <c r="C44">
        <f>$R$13*C28+$S$13*C29+$T$13*C30</f>
        <v>3.5527136788005009E-14</v>
      </c>
      <c r="D44">
        <f t="shared" ref="D44" si="1471">$R$13*D28+$S$13*D29+$T$13*D30</f>
        <v>3.5527136788005009E-14</v>
      </c>
      <c r="E44">
        <f t="shared" ref="E44:BP44" si="1472">$R$13*E28+$S$13*E29+$T$13*E30</f>
        <v>3.5527136788005009E-14</v>
      </c>
      <c r="F44">
        <f t="shared" si="1472"/>
        <v>-1.2497020261932335E-3</v>
      </c>
      <c r="G44">
        <f t="shared" si="1472"/>
        <v>-5.4901314944331148E-3</v>
      </c>
      <c r="H44">
        <f t="shared" si="1472"/>
        <v>-1.4293353079702698E-2</v>
      </c>
      <c r="I44">
        <f t="shared" si="1472"/>
        <v>-2.8772756441064473E-2</v>
      </c>
      <c r="J44">
        <f t="shared" si="1472"/>
        <v>-4.9543831790771264E-2</v>
      </c>
      <c r="K44">
        <f t="shared" si="1472"/>
        <v>-7.68006328067532E-2</v>
      </c>
      <c r="L44">
        <f t="shared" si="1472"/>
        <v>-0.11042527838895566</v>
      </c>
      <c r="M44">
        <f t="shared" si="1472"/>
        <v>-0.15009126890160474</v>
      </c>
      <c r="N44">
        <f t="shared" si="1472"/>
        <v>-0.19534666107573706</v>
      </c>
      <c r="O44">
        <f t="shared" si="1472"/>
        <v>-0.24567532487675692</v>
      </c>
      <c r="P44">
        <f t="shared" si="1472"/>
        <v>-0.3005393165411494</v>
      </c>
      <c r="Q44">
        <f t="shared" si="1472"/>
        <v>-0.35940662918423172</v>
      </c>
      <c r="R44">
        <f t="shared" si="1472"/>
        <v>-0.4217683070027185</v>
      </c>
      <c r="S44">
        <f t="shared" si="1472"/>
        <v>-0.48714814871425105</v>
      </c>
      <c r="T44">
        <f t="shared" si="1472"/>
        <v>-0.55510742348304909</v>
      </c>
      <c r="U44">
        <f t="shared" si="1472"/>
        <v>-0.62524633936355301</v>
      </c>
      <c r="V44">
        <f t="shared" si="1472"/>
        <v>-0.69720347565616869</v>
      </c>
      <c r="W44">
        <f t="shared" si="1472"/>
        <v>-0.77065400270488205</v>
      </c>
      <c r="X44">
        <f t="shared" si="1472"/>
        <v>-0.84530723739314517</v>
      </c>
      <c r="Y44">
        <f t="shared" si="1472"/>
        <v>-0.92090389161877617</v>
      </c>
      <c r="Z44">
        <f t="shared" si="1472"/>
        <v>-0.99721324077336071</v>
      </c>
      <c r="AA44">
        <f t="shared" si="1472"/>
        <v>-1.0740303516550718</v>
      </c>
      <c r="AB44">
        <f t="shared" si="1472"/>
        <v>-1.1511734511253398</v>
      </c>
      <c r="AC44">
        <f t="shared" si="1472"/>
        <v>-1.2284814788047633</v>
      </c>
      <c r="AD44">
        <f t="shared" si="1472"/>
        <v>-1.3058118426802423</v>
      </c>
      <c r="AE44">
        <f t="shared" si="1472"/>
        <v>-1.3830383811593094</v>
      </c>
      <c r="AF44">
        <f t="shared" si="1472"/>
        <v>-1.4600495258179222</v>
      </c>
      <c r="AG44">
        <f t="shared" si="1472"/>
        <v>-1.5367466537547969</v>
      </c>
      <c r="AH44">
        <f t="shared" si="1472"/>
        <v>-1.6130426157104498</v>
      </c>
      <c r="AI44">
        <f t="shared" si="1472"/>
        <v>-1.6888604249926669</v>
      </c>
      <c r="AJ44">
        <f t="shared" si="1472"/>
        <v>-1.7641320921576806</v>
      </c>
      <c r="AK44">
        <f t="shared" si="1472"/>
        <v>-1.8387975909122662</v>
      </c>
      <c r="AL44">
        <f t="shared" si="1472"/>
        <v>-1.912803941568475</v>
      </c>
      <c r="AM44">
        <f t="shared" si="1472"/>
        <v>-1.9861043994198333</v>
      </c>
      <c r="AN44">
        <f t="shared" si="1472"/>
        <v>-2.0586577365079002</v>
      </c>
      <c r="AO44">
        <f t="shared" si="1472"/>
        <v>-2.1304276063469771</v>
      </c>
      <c r="AP44">
        <f t="shared" si="1472"/>
        <v>-2.2013819822242375</v>
      </c>
      <c r="AQ44">
        <f t="shared" si="1472"/>
        <v>-2.2714926606815382</v>
      </c>
      <c r="AR44">
        <f t="shared" si="1472"/>
        <v>-2.3407348226913065</v>
      </c>
      <c r="AS44">
        <f t="shared" si="1472"/>
        <v>-2.4090866458669176</v>
      </c>
      <c r="AT44">
        <f t="shared" si="1472"/>
        <v>-2.4765289617958235</v>
      </c>
      <c r="AU44">
        <f t="shared" si="1472"/>
        <v>-2.5430449532551371</v>
      </c>
      <c r="AV44">
        <f t="shared" si="1472"/>
        <v>-2.6086198866686789</v>
      </c>
      <c r="AW44">
        <f t="shared" si="1472"/>
        <v>-2.673240875700797</v>
      </c>
      <c r="AX44">
        <f t="shared" si="1472"/>
        <v>-2.736896672356286</v>
      </c>
      <c r="AY44">
        <f t="shared" si="1472"/>
        <v>-2.7995774823794299</v>
      </c>
      <c r="AZ44">
        <f t="shared" si="1472"/>
        <v>-2.8612748021161796</v>
      </c>
      <c r="BA44">
        <f t="shared" si="1472"/>
        <v>-2.9219812743379752</v>
      </c>
      <c r="BB44">
        <f t="shared" si="1472"/>
        <v>-2.9816905608145969</v>
      </c>
      <c r="BC44">
        <f t="shared" si="1472"/>
        <v>-3.0403972296844159</v>
      </c>
      <c r="BD44">
        <f t="shared" si="1472"/>
        <v>-3.0980966558985088</v>
      </c>
      <c r="BE44">
        <f t="shared" si="1472"/>
        <v>-3.1547849332156215</v>
      </c>
      <c r="BF44">
        <f t="shared" si="1472"/>
        <v>-3.2104587964044775</v>
      </c>
      <c r="BG44">
        <f t="shared" si="1472"/>
        <v>-3.2651155524660584</v>
      </c>
      <c r="BH44">
        <f t="shared" si="1472"/>
        <v>-3.3187530198285344</v>
      </c>
      <c r="BI44">
        <f t="shared" si="1472"/>
        <v>-3.3713694745883629</v>
      </c>
      <c r="BJ44">
        <f t="shared" si="1472"/>
        <v>-3.4229636029808077</v>
      </c>
      <c r="BK44">
        <f t="shared" si="1472"/>
        <v>-3.4735344593576247</v>
      </c>
      <c r="BL44">
        <f t="shared" si="1472"/>
        <v>-3.5230814290336614</v>
      </c>
      <c r="BM44">
        <f t="shared" si="1472"/>
        <v>-3.5716041954399955</v>
      </c>
      <c r="BN44">
        <f t="shared" si="1472"/>
        <v>-3.6191027110840501</v>
      </c>
      <c r="BO44">
        <f t="shared" si="1472"/>
        <v>-3.6655771718789065</v>
      </c>
      <c r="BP44">
        <f t="shared" si="1472"/>
        <v>-3.7110279944504097</v>
      </c>
      <c r="BQ44">
        <f t="shared" ref="BQ44:CU44" si="1473">$R$13*BQ28+$S$13*BQ29+$T$13*BQ30</f>
        <v>-3.7554557960814776</v>
      </c>
      <c r="BR44">
        <f t="shared" si="1473"/>
        <v>-3.798861376986661</v>
      </c>
      <c r="BS44">
        <f t="shared" si="1473"/>
        <v>-3.8412457046509108</v>
      </c>
      <c r="BT44">
        <f t="shared" si="1473"/>
        <v>-3.8826098999933549</v>
      </c>
      <c r="BU44">
        <f t="shared" si="1473"/>
        <v>-3.9229552251474864</v>
      </c>
      <c r="BV44">
        <f t="shared" si="1473"/>
        <v>-3.9622830726706226</v>
      </c>
      <c r="BW44">
        <f t="shared" si="1473"/>
        <v>-4.0005949560186753</v>
      </c>
      <c r="BX44">
        <f t="shared" si="1473"/>
        <v>-4.0378925011420712</v>
      </c>
      <c r="BY44">
        <f t="shared" si="1473"/>
        <v>-4.0741774390720433</v>
      </c>
      <c r="BZ44">
        <f t="shared" si="1473"/>
        <v>-4.1094515993849576</v>
      </c>
      <c r="CA44">
        <f t="shared" si="1473"/>
        <v>-4.1437169044434636</v>
      </c>
      <c r="CB44">
        <f t="shared" si="1473"/>
        <v>-4.1769753643247007</v>
      </c>
      <c r="CC44">
        <f t="shared" si="1473"/>
        <v>-4.2092290723575765</v>
      </c>
      <c r="CD44">
        <f t="shared" si="1473"/>
        <v>-4.2404802011974976</v>
      </c>
      <c r="CE44">
        <f t="shared" si="1473"/>
        <v>-4.2707309993786247</v>
      </c>
      <c r="CF44">
        <f t="shared" si="1473"/>
        <v>-4.2999837882867258</v>
      </c>
      <c r="CG44">
        <f t="shared" si="1473"/>
        <v>-4.3282409595052993</v>
      </c>
      <c r="CH44">
        <f t="shared" si="1473"/>
        <v>-4.3555049724908361</v>
      </c>
      <c r="CI44">
        <f t="shared" si="1473"/>
        <v>-4.3817783525403851</v>
      </c>
      <c r="CJ44">
        <f t="shared" si="1473"/>
        <v>-4.4070636890151427</v>
      </c>
      <c r="CK44">
        <f t="shared" si="1473"/>
        <v>-4.431363633792726</v>
      </c>
      <c r="CL44">
        <f t="shared" si="1473"/>
        <v>-4.4546808999193868</v>
      </c>
      <c r="CM44">
        <f t="shared" si="1473"/>
        <v>-4.4770182604395288</v>
      </c>
      <c r="CN44">
        <f t="shared" si="1473"/>
        <v>-4.4983785473813978</v>
      </c>
      <c r="CO44">
        <f t="shared" si="1473"/>
        <v>-4.5187646508794206</v>
      </c>
      <c r="CP44">
        <f t="shared" si="1473"/>
        <v>-4.538179518418513</v>
      </c>
      <c r="CQ44">
        <f t="shared" si="1473"/>
        <v>-4.5566261541832027</v>
      </c>
      <c r="CR44">
        <f t="shared" si="1473"/>
        <v>-4.5741076185014791</v>
      </c>
      <c r="CS44">
        <f t="shared" si="1473"/>
        <v>-4.5906270273685319</v>
      </c>
      <c r="CT44">
        <f t="shared" si="1473"/>
        <v>-4.6061875520431332</v>
      </c>
      <c r="CU44">
        <f t="shared" si="1473"/>
        <v>-4.6207924187049763</v>
      </c>
      <c r="CV44">
        <f t="shared" ref="CV44:FG44" si="1474">$R$13*CV28+$S$13*CV29+$T$13*CV30</f>
        <v>-4.6344449081666994</v>
      </c>
      <c r="CW44">
        <f t="shared" si="1474"/>
        <v>-4.6471483556331279</v>
      </c>
      <c r="CX44">
        <f t="shared" si="1474"/>
        <v>-4.6589061504994174</v>
      </c>
      <c r="CY44">
        <f t="shared" si="1474"/>
        <v>-4.6697217361851457</v>
      </c>
      <c r="CZ44">
        <f t="shared" si="1474"/>
        <v>-4.679598609998024</v>
      </c>
      <c r="DA44">
        <f t="shared" si="1474"/>
        <v>-4.6885403230216731</v>
      </c>
      <c r="DB44">
        <f t="shared" si="1474"/>
        <v>-4.6965504800258095</v>
      </c>
      <c r="DC44">
        <f t="shared" si="1474"/>
        <v>-4.7036327393929209</v>
      </c>
      <c r="DD44">
        <f t="shared" si="1474"/>
        <v>-4.7097908130598434</v>
      </c>
      <c r="DE44">
        <f t="shared" si="1474"/>
        <v>-4.7150284664714128</v>
      </c>
      <c r="DF44">
        <f t="shared" si="1474"/>
        <v>-4.7193495185417262</v>
      </c>
      <c r="DG44">
        <f t="shared" si="1474"/>
        <v>-4.7227578416243219</v>
      </c>
      <c r="DH44">
        <f t="shared" si="1474"/>
        <v>-4.7252573614851201</v>
      </c>
      <c r="DI44">
        <f t="shared" si="1474"/>
        <v>-4.7268520572803006</v>
      </c>
      <c r="DJ44">
        <f t="shared" si="1474"/>
        <v>-4.7275459615347231</v>
      </c>
      <c r="DK44">
        <f t="shared" si="1474"/>
        <v>-4.7273431601211087</v>
      </c>
      <c r="DL44">
        <f t="shared" si="1474"/>
        <v>-4.7262477922374053</v>
      </c>
      <c r="DM44">
        <f t="shared" si="1474"/>
        <v>-4.7242640503835247</v>
      </c>
      <c r="DN44">
        <f t="shared" si="1474"/>
        <v>-4.7213961803334676</v>
      </c>
      <c r="DO44">
        <f t="shared" si="1474"/>
        <v>-4.7176484811044546</v>
      </c>
      <c r="DP44">
        <f t="shared" si="1474"/>
        <v>-4.7130253049212101</v>
      </c>
      <c r="DQ44">
        <f t="shared" si="1474"/>
        <v>-4.7075310571748155</v>
      </c>
      <c r="DR44">
        <f t="shared" si="1474"/>
        <v>-4.7011701963759265</v>
      </c>
      <c r="DS44">
        <f t="shared" si="1474"/>
        <v>-4.6939472341008859</v>
      </c>
      <c r="DT44">
        <f t="shared" si="1474"/>
        <v>-4.6858667349319987</v>
      </c>
      <c r="DU44">
        <f t="shared" si="1474"/>
        <v>-4.6769333163895901</v>
      </c>
      <c r="DV44">
        <f t="shared" si="1474"/>
        <v>-4.6671516488570148</v>
      </c>
      <c r="DW44">
        <f t="shared" si="1474"/>
        <v>-4.6565264554973531</v>
      </c>
      <c r="DX44">
        <f t="shared" si="1474"/>
        <v>-4.6450625121625109</v>
      </c>
      <c r="DY44">
        <f t="shared" si="1474"/>
        <v>-4.6327646472929054</v>
      </c>
      <c r="DZ44">
        <f t="shared" si="1474"/>
        <v>-4.6196377418096652</v>
      </c>
      <c r="EA44">
        <f t="shared" si="1474"/>
        <v>-4.605686728997231</v>
      </c>
      <c r="EB44">
        <f t="shared" si="1474"/>
        <v>-4.5909165943771448</v>
      </c>
      <c r="EC44">
        <f t="shared" si="1474"/>
        <v>-4.5753323755734847</v>
      </c>
      <c r="ED44">
        <f t="shared" si="1474"/>
        <v>-4.5589391621681408</v>
      </c>
      <c r="EE44">
        <f t="shared" si="1474"/>
        <v>-4.5417420955476082</v>
      </c>
      <c r="EF44">
        <f t="shared" si="1474"/>
        <v>-4.5237463687401487</v>
      </c>
      <c r="EG44">
        <f t="shared" si="1474"/>
        <v>-4.5049572262438033</v>
      </c>
      <c r="EH44">
        <f t="shared" si="1474"/>
        <v>-4.4853799638449416</v>
      </c>
      <c r="EI44">
        <f t="shared" si="1474"/>
        <v>-4.4650199284272034</v>
      </c>
      <c r="EJ44">
        <f t="shared" si="1474"/>
        <v>-4.4438825177716623</v>
      </c>
      <c r="EK44">
        <f t="shared" si="1474"/>
        <v>-4.4219731803468996</v>
      </c>
      <c r="EL44">
        <f t="shared" si="1474"/>
        <v>-4.3992974150901532</v>
      </c>
      <c r="EM44">
        <f t="shared" si="1474"/>
        <v>-4.3758607711787079</v>
      </c>
      <c r="EN44">
        <f t="shared" si="1474"/>
        <v>-4.3516688477919097</v>
      </c>
      <c r="EO44">
        <f t="shared" si="1474"/>
        <v>-4.3267272938649768</v>
      </c>
      <c r="EP44">
        <f t="shared" si="1474"/>
        <v>-4.3010418078312789</v>
      </c>
      <c r="EQ44">
        <f t="shared" si="1474"/>
        <v>-4.2746181373576277</v>
      </c>
      <c r="ER44">
        <f t="shared" si="1474"/>
        <v>-4.2474620790688675</v>
      </c>
      <c r="ES44">
        <f t="shared" si="1474"/>
        <v>-4.2195794782638849</v>
      </c>
      <c r="ET44">
        <f t="shared" si="1474"/>
        <v>-4.1909762286223859</v>
      </c>
      <c r="EU44">
        <f t="shared" si="1474"/>
        <v>-4.1616582719027235</v>
      </c>
      <c r="EV44">
        <f t="shared" si="1474"/>
        <v>-4.1316315976302782</v>
      </c>
      <c r="EW44">
        <f t="shared" si="1474"/>
        <v>-4.1009022427778454</v>
      </c>
      <c r="EX44">
        <f t="shared" si="1474"/>
        <v>-4.0694762914354392</v>
      </c>
      <c r="EY44">
        <f t="shared" si="1474"/>
        <v>-4.0373598744734061</v>
      </c>
      <c r="EZ44">
        <f t="shared" si="1474"/>
        <v>-4.0045591691951472</v>
      </c>
      <c r="FA44">
        <f t="shared" si="1474"/>
        <v>-3.9710803989816483</v>
      </c>
      <c r="FB44">
        <f t="shared" si="1474"/>
        <v>-3.9369298329274933</v>
      </c>
      <c r="FC44">
        <f t="shared" si="1474"/>
        <v>-3.9021137854687709</v>
      </c>
      <c r="FD44">
        <f t="shared" si="1474"/>
        <v>-3.8666386160012394</v>
      </c>
      <c r="FE44">
        <f t="shared" si="1474"/>
        <v>-3.8305107284915714</v>
      </c>
      <c r="FF44">
        <f t="shared" si="1474"/>
        <v>-3.7937365710792932</v>
      </c>
      <c r="FG44">
        <f t="shared" si="1474"/>
        <v>-3.7563226356709194</v>
      </c>
      <c r="FH44">
        <f t="shared" ref="FH44:HS44" si="1475">$R$13*FH28+$S$13*FH29+$T$13*FH30</f>
        <v>-3.7182754575257384</v>
      </c>
      <c r="FI44">
        <f t="shared" si="1475"/>
        <v>-3.6796016148334587</v>
      </c>
      <c r="FJ44">
        <f t="shared" si="1475"/>
        <v>-3.6403077282847214</v>
      </c>
      <c r="FK44">
        <f t="shared" si="1475"/>
        <v>-3.6004004606320592</v>
      </c>
      <c r="FL44">
        <f t="shared" si="1475"/>
        <v>-3.5598865162444575</v>
      </c>
      <c r="FM44">
        <f t="shared" si="1475"/>
        <v>-3.5187726406537934</v>
      </c>
      <c r="FN44">
        <f t="shared" si="1475"/>
        <v>-3.4770656200930361</v>
      </c>
      <c r="FO44">
        <f t="shared" si="1475"/>
        <v>-3.4347722810279571</v>
      </c>
      <c r="FP44">
        <f t="shared" si="1475"/>
        <v>-3.3918994896801031</v>
      </c>
      <c r="FQ44">
        <f t="shared" si="1475"/>
        <v>-3.3484541515435353</v>
      </c>
      <c r="FR44">
        <f t="shared" si="1475"/>
        <v>-3.3044432108936164</v>
      </c>
      <c r="FS44">
        <f t="shared" si="1475"/>
        <v>-3.2598736502881493</v>
      </c>
      <c r="FT44">
        <f t="shared" si="1475"/>
        <v>-3.2147524900628461</v>
      </c>
      <c r="FU44">
        <f t="shared" si="1475"/>
        <v>-3.1690867878180669</v>
      </c>
      <c r="FV44">
        <f t="shared" si="1475"/>
        <v>-3.1228836378994416</v>
      </c>
      <c r="FW44">
        <f t="shared" si="1475"/>
        <v>-3.0761501708722001</v>
      </c>
      <c r="FX44">
        <f t="shared" si="1475"/>
        <v>-3.0288935529872134</v>
      </c>
      <c r="FY44">
        <f t="shared" si="1475"/>
        <v>-2.9811209856417413</v>
      </c>
      <c r="FZ44">
        <f t="shared" si="1475"/>
        <v>-2.9328397048326771</v>
      </c>
      <c r="GA44">
        <f t="shared" si="1475"/>
        <v>-2.8840569806041216</v>
      </c>
      <c r="GB44">
        <f t="shared" si="1475"/>
        <v>-2.8347801164875932</v>
      </c>
      <c r="GC44">
        <f t="shared" si="1475"/>
        <v>-2.7850164489368225</v>
      </c>
      <c r="GD44">
        <f t="shared" si="1475"/>
        <v>-2.7347733467554356</v>
      </c>
      <c r="GE44">
        <f t="shared" si="1475"/>
        <v>-2.6840582105194102</v>
      </c>
      <c r="GF44">
        <f t="shared" si="1475"/>
        <v>-2.6328784719929388</v>
      </c>
      <c r="GG44">
        <f t="shared" si="1475"/>
        <v>-2.5812415935383406</v>
      </c>
      <c r="GH44">
        <f t="shared" si="1475"/>
        <v>-2.5291550675200227</v>
      </c>
      <c r="GI44">
        <f t="shared" si="1475"/>
        <v>-2.4766264157036488</v>
      </c>
      <c r="GJ44">
        <f t="shared" si="1475"/>
        <v>-2.4236631886480815</v>
      </c>
      <c r="GK44">
        <f t="shared" si="1475"/>
        <v>-2.3702729650929797</v>
      </c>
      <c r="GL44">
        <f t="shared" si="1475"/>
        <v>-2.3164633513403459</v>
      </c>
      <c r="GM44">
        <f t="shared" si="1475"/>
        <v>-2.2622419806309964</v>
      </c>
      <c r="GN44">
        <f t="shared" si="1475"/>
        <v>-2.2076165125156066</v>
      </c>
      <c r="GO44">
        <f t="shared" si="1475"/>
        <v>-2.1525946322203353</v>
      </c>
      <c r="GP44">
        <f t="shared" si="1475"/>
        <v>-2.0971840500075807</v>
      </c>
      <c r="GQ44">
        <f t="shared" si="1475"/>
        <v>-2.0413925005322966</v>
      </c>
      <c r="GR44">
        <f t="shared" si="1475"/>
        <v>-1.9852277421920661</v>
      </c>
      <c r="GS44">
        <f t="shared" si="1475"/>
        <v>-1.9286975564737894</v>
      </c>
      <c r="GT44">
        <f t="shared" si="1475"/>
        <v>-1.8718097472945701</v>
      </c>
      <c r="GU44">
        <f t="shared" si="1475"/>
        <v>-1.8145721403391732</v>
      </c>
      <c r="GV44">
        <f t="shared" si="1475"/>
        <v>-1.7569925823911348</v>
      </c>
      <c r="GW44">
        <f t="shared" si="1475"/>
        <v>-1.6990789406614688</v>
      </c>
      <c r="GX44">
        <f t="shared" si="1475"/>
        <v>-1.6408391021120323</v>
      </c>
      <c r="GY44">
        <f t="shared" si="1475"/>
        <v>-1.582280972774651</v>
      </c>
      <c r="GZ44">
        <f t="shared" si="1475"/>
        <v>-1.5234124770661097</v>
      </c>
      <c r="HA44">
        <f t="shared" si="1475"/>
        <v>-1.4642415570997009</v>
      </c>
      <c r="HB44">
        <f t="shared" si="1475"/>
        <v>-1.4047761719922143</v>
      </c>
      <c r="HC44">
        <f t="shared" si="1475"/>
        <v>-1.3450242971671891</v>
      </c>
      <c r="HD44">
        <f t="shared" si="1475"/>
        <v>-1.2849939236549517</v>
      </c>
      <c r="HE44">
        <f t="shared" si="1475"/>
        <v>-1.2246930573881265</v>
      </c>
      <c r="HF44">
        <f t="shared" si="1475"/>
        <v>-1.1641297184948272</v>
      </c>
      <c r="HG44">
        <f t="shared" si="1475"/>
        <v>-1.1033119405868277</v>
      </c>
      <c r="HH44">
        <f t="shared" si="1475"/>
        <v>-1.0422477700463766</v>
      </c>
      <c r="HI44">
        <f t="shared" si="1475"/>
        <v>-0.9809452653077706</v>
      </c>
      <c r="HJ44">
        <f t="shared" si="1475"/>
        <v>-0.91941249613701359</v>
      </c>
      <c r="HK44">
        <f t="shared" si="1475"/>
        <v>-0.85765754290859064</v>
      </c>
      <c r="HL44">
        <f t="shared" si="1475"/>
        <v>-0.79568849587801793</v>
      </c>
      <c r="HM44">
        <f t="shared" si="1475"/>
        <v>-0.73351345445368565</v>
      </c>
      <c r="HN44">
        <f t="shared" si="1475"/>
        <v>-0.67114052646316935</v>
      </c>
      <c r="HO44">
        <f t="shared" si="1475"/>
        <v>-0.60857782741943467</v>
      </c>
      <c r="HP44">
        <f t="shared" si="1475"/>
        <v>-0.54583347978347874</v>
      </c>
      <c r="HQ44">
        <f t="shared" si="1475"/>
        <v>-0.48291561222411161</v>
      </c>
      <c r="HR44">
        <f t="shared" si="1475"/>
        <v>-0.41983235887612835</v>
      </c>
      <c r="HS44">
        <f t="shared" si="1475"/>
        <v>-0.35659185859594444</v>
      </c>
      <c r="HT44">
        <f t="shared" ref="HT44:JI44" si="1476">$R$13*HT28+$S$13*HT29+$T$13*HT30</f>
        <v>-0.29320225421515289</v>
      </c>
      <c r="HU44">
        <f t="shared" si="1476"/>
        <v>-0.22967169179194258</v>
      </c>
      <c r="HV44">
        <f t="shared" si="1476"/>
        <v>-0.16600831986062303</v>
      </c>
      <c r="HW44">
        <f t="shared" si="1476"/>
        <v>-0.10222028867942967</v>
      </c>
      <c r="HX44">
        <f t="shared" si="1476"/>
        <v>-3.8315749476478089E-2</v>
      </c>
      <c r="HY44">
        <f t="shared" si="1476"/>
        <v>2.5697146305816432E-2</v>
      </c>
      <c r="HZ44">
        <f t="shared" si="1476"/>
        <v>8.9810247768344453E-2</v>
      </c>
      <c r="IA44">
        <f t="shared" si="1476"/>
        <v>0.1540154053129541</v>
      </c>
      <c r="IB44">
        <f t="shared" si="1476"/>
        <v>0.21830447140362708</v>
      </c>
      <c r="IC44">
        <f t="shared" si="1476"/>
        <v>0.28266930132689794</v>
      </c>
      <c r="ID44">
        <f t="shared" si="1476"/>
        <v>0.34710175395434462</v>
      </c>
      <c r="IE44">
        <f t="shared" si="1476"/>
        <v>0.41159369250586408</v>
      </c>
      <c r="IF44">
        <f t="shared" si="1476"/>
        <v>0.47613698531457871</v>
      </c>
      <c r="IG44">
        <f t="shared" si="1476"/>
        <v>0.54072350659113866</v>
      </c>
      <c r="IH44">
        <f t="shared" si="1476"/>
        <v>0.60534513718990723</v>
      </c>
      <c r="II44">
        <f t="shared" si="1476"/>
        <v>0.66999376537589583</v>
      </c>
      <c r="IJ44">
        <f t="shared" si="1476"/>
        <v>0.73466128759140048</v>
      </c>
      <c r="IK44">
        <f t="shared" si="1476"/>
        <v>0.79933960922343061</v>
      </c>
      <c r="IL44">
        <f t="shared" si="1476"/>
        <v>0.86402064537185552</v>
      </c>
      <c r="IM44">
        <f t="shared" si="1476"/>
        <v>0.92869632161745841</v>
      </c>
      <c r="IN44">
        <f t="shared" si="1476"/>
        <v>0.99335857478993006</v>
      </c>
      <c r="IO44">
        <f t="shared" si="1476"/>
        <v>1.0579993537364274</v>
      </c>
      <c r="IP44">
        <f t="shared" si="1476"/>
        <v>1.1226106200894712</v>
      </c>
      <c r="IQ44">
        <f t="shared" si="1476"/>
        <v>1.1871843490356326</v>
      </c>
      <c r="IR44">
        <f t="shared" si="1476"/>
        <v>1.2517125300824645</v>
      </c>
      <c r="IS44">
        <f t="shared" si="1476"/>
        <v>1.3161871678268362</v>
      </c>
      <c r="IT44">
        <f t="shared" si="1476"/>
        <v>1.380600282721602</v>
      </c>
      <c r="IU44">
        <f t="shared" si="1476"/>
        <v>1.4449439118418077</v>
      </c>
      <c r="IV44">
        <f t="shared" si="1476"/>
        <v>1.5092101096510682</v>
      </c>
      <c r="IW44">
        <f t="shared" si="1476"/>
        <v>1.5733909487665017</v>
      </c>
      <c r="IX44">
        <f t="shared" si="1476"/>
        <v>1.6374785207226985</v>
      </c>
      <c r="IY44">
        <f t="shared" si="1476"/>
        <v>1.7014649367358778</v>
      </c>
      <c r="IZ44">
        <f t="shared" si="1476"/>
        <v>1.765342328465124</v>
      </c>
      <c r="JA44">
        <f t="shared" si="1476"/>
        <v>1.8291028487745749</v>
      </c>
      <c r="JB44">
        <f t="shared" si="1476"/>
        <v>1.8927386724927615</v>
      </c>
      <c r="JC44">
        <f t="shared" si="1476"/>
        <v>1.956241997171734</v>
      </c>
      <c r="JD44">
        <f t="shared" si="1476"/>
        <v>2.0196050438439919</v>
      </c>
      <c r="JE44">
        <f t="shared" si="1476"/>
        <v>2.0828200577785481</v>
      </c>
      <c r="JF44">
        <f t="shared" si="1476"/>
        <v>2.1458793092347221</v>
      </c>
      <c r="JG44">
        <f t="shared" si="1476"/>
        <v>2.2087750942150137</v>
      </c>
      <c r="JH44">
        <f t="shared" si="1476"/>
        <v>2.2714997352157447</v>
      </c>
      <c r="JI44">
        <f t="shared" si="1476"/>
        <v>2.3340455819754098</v>
      </c>
      <c r="JJ44">
        <f t="shared" ref="JJ44:LU44" si="1477">$R$13*JJ28+$S$13*JJ29+$T$13*JJ30</f>
        <v>2.3964050122221039</v>
      </c>
      <c r="JK44">
        <f t="shared" si="1477"/>
        <v>2.4585704324180284</v>
      </c>
      <c r="JL44">
        <f t="shared" si="1477"/>
        <v>2.520534278501934</v>
      </c>
      <c r="JM44">
        <f t="shared" si="1477"/>
        <v>2.5822890166298755</v>
      </c>
      <c r="JN44">
        <f t="shared" si="1477"/>
        <v>2.6438271439130645</v>
      </c>
      <c r="JO44">
        <f t="shared" si="1477"/>
        <v>2.7051411891530961</v>
      </c>
      <c r="JP44">
        <f t="shared" si="1477"/>
        <v>2.7662237135755703</v>
      </c>
      <c r="JQ44">
        <f t="shared" si="1477"/>
        <v>2.8270673115602385</v>
      </c>
      <c r="JR44">
        <f t="shared" si="1477"/>
        <v>2.887664611368816</v>
      </c>
      <c r="JS44">
        <f t="shared" si="1477"/>
        <v>2.9480082758697321</v>
      </c>
      <c r="JT44">
        <f t="shared" si="1477"/>
        <v>3.0080910032604002</v>
      </c>
      <c r="JU44">
        <f t="shared" si="1477"/>
        <v>3.0679055277863831</v>
      </c>
      <c r="JV44">
        <f t="shared" si="1477"/>
        <v>3.1274446204569522</v>
      </c>
      <c r="JW44">
        <f t="shared" si="1477"/>
        <v>3.1867010897583654</v>
      </c>
      <c r="JX44">
        <f t="shared" si="1477"/>
        <v>3.2456677823633093</v>
      </c>
      <c r="JY44">
        <f t="shared" si="1477"/>
        <v>3.3043375838372739</v>
      </c>
      <c r="JZ44">
        <f t="shared" si="1477"/>
        <v>3.3627034193413863</v>
      </c>
      <c r="KA44">
        <f t="shared" si="1477"/>
        <v>3.4207582543316306</v>
      </c>
      <c r="KB44">
        <f t="shared" si="1477"/>
        <v>3.4784950952549387</v>
      </c>
      <c r="KC44">
        <f t="shared" si="1477"/>
        <v>3.5359069902409281</v>
      </c>
      <c r="KD44">
        <f t="shared" si="1477"/>
        <v>3.5929870297906099</v>
      </c>
      <c r="KE44">
        <f t="shared" si="1477"/>
        <v>3.6497283474606412</v>
      </c>
      <c r="KF44">
        <f t="shared" si="1477"/>
        <v>3.7061241205442741</v>
      </c>
      <c r="KG44">
        <f t="shared" si="1477"/>
        <v>3.7621675707474047</v>
      </c>
      <c r="KH44">
        <f t="shared" si="1477"/>
        <v>3.8178519648614078</v>
      </c>
      <c r="KI44">
        <f t="shared" si="1477"/>
        <v>3.8731706154314516</v>
      </c>
      <c r="KJ44">
        <f t="shared" si="1477"/>
        <v>3.9281168814203262</v>
      </c>
      <c r="KK44">
        <f t="shared" si="1477"/>
        <v>3.9826841688685484</v>
      </c>
      <c r="KL44">
        <f t="shared" si="1477"/>
        <v>4.0368659315493325</v>
      </c>
      <c r="KM44">
        <f t="shared" si="1477"/>
        <v>4.0906556716193094</v>
      </c>
      <c r="KN44">
        <f t="shared" si="1477"/>
        <v>4.1440469402653655</v>
      </c>
      <c r="KO44">
        <f t="shared" si="1477"/>
        <v>4.1970333383454843</v>
      </c>
      <c r="KP44">
        <f t="shared" si="1477"/>
        <v>4.2496085170258944</v>
      </c>
      <c r="KQ44">
        <f t="shared" si="1477"/>
        <v>4.3017661784132848</v>
      </c>
      <c r="KR44">
        <f t="shared" si="1477"/>
        <v>4.3535000761816747</v>
      </c>
      <c r="KS44">
        <f t="shared" si="1477"/>
        <v>4.4048040161946744</v>
      </c>
      <c r="KT44">
        <f t="shared" si="1477"/>
        <v>4.4544221550965588</v>
      </c>
      <c r="KU44">
        <f t="shared" si="1477"/>
        <v>4.5006073795604955</v>
      </c>
      <c r="KV44">
        <f t="shared" si="1477"/>
        <v>4.5417815910261794</v>
      </c>
      <c r="KW44">
        <f t="shared" si="1477"/>
        <v>4.5768254205764727</v>
      </c>
      <c r="KX44">
        <f t="shared" si="1477"/>
        <v>4.6051174539644251</v>
      </c>
      <c r="KY44">
        <f t="shared" si="1477"/>
        <v>4.6264577692914202</v>
      </c>
      <c r="KZ44">
        <f t="shared" si="1477"/>
        <v>4.6409584358367582</v>
      </c>
      <c r="LA44">
        <f t="shared" si="1477"/>
        <v>4.6489401983942855</v>
      </c>
      <c r="LB44">
        <f t="shared" si="1477"/>
        <v>4.6508493029447884</v>
      </c>
      <c r="LC44">
        <f t="shared" si="1477"/>
        <v>4.6471962403567488</v>
      </c>
      <c r="LD44">
        <f t="shared" si="1477"/>
        <v>4.638513373912037</v>
      </c>
      <c r="LE44">
        <f t="shared" si="1477"/>
        <v>4.625327189255259</v>
      </c>
      <c r="LF44">
        <f t="shared" si="1477"/>
        <v>4.6081411807424004</v>
      </c>
      <c r="LG44">
        <f t="shared" si="1477"/>
        <v>4.5874261485457986</v>
      </c>
      <c r="LH44">
        <f t="shared" si="1477"/>
        <v>4.5636154832676965</v>
      </c>
      <c r="LI44">
        <f t="shared" si="1477"/>
        <v>4.5371036980297461</v>
      </c>
      <c r="LJ44">
        <f t="shared" si="1477"/>
        <v>4.5082469966435355</v>
      </c>
      <c r="LK44">
        <f t="shared" si="1477"/>
        <v>4.4773650543340331</v>
      </c>
      <c r="LL44">
        <f t="shared" si="1477"/>
        <v>4.4447434627574189</v>
      </c>
      <c r="LM44">
        <f t="shared" si="1477"/>
        <v>4.4106364820339472</v>
      </c>
      <c r="LN44">
        <f t="shared" si="1477"/>
        <v>4.3752698727708506</v>
      </c>
      <c r="LO44">
        <f t="shared" si="1477"/>
        <v>4.3388436686433494</v>
      </c>
      <c r="LP44">
        <f t="shared" si="1477"/>
        <v>4.3015348082274087</v>
      </c>
      <c r="LQ44">
        <f t="shared" si="1477"/>
        <v>4.2634995827849558</v>
      </c>
      <c r="LR44">
        <f t="shared" si="1477"/>
        <v>4.2248758811325935</v>
      </c>
      <c r="LS44">
        <f t="shared" si="1477"/>
        <v>4.1857852280547263</v>
      </c>
      <c r="LT44">
        <f t="shared" si="1477"/>
        <v>4.1463346220190367</v>
      </c>
      <c r="LU44">
        <f t="shared" si="1477"/>
        <v>4.1066181832755859</v>
      </c>
      <c r="LV44">
        <f t="shared" ref="LV44:OG44" si="1478">$R$13*LV28+$S$13*LV29+$T$13*LV30</f>
        <v>4.0667186261866775</v>
      </c>
      <c r="LW44">
        <f t="shared" si="1478"/>
        <v>4.0267085707419135</v>
      </c>
      <c r="LX44">
        <f t="shared" si="1478"/>
        <v>3.9866517083115021</v>
      </c>
      <c r="LY44">
        <f t="shared" si="1478"/>
        <v>3.9466038361713132</v>
      </c>
      <c r="LZ44">
        <f t="shared" si="1478"/>
        <v>3.906613774467516</v>
      </c>
      <c r="MA44">
        <f t="shared" si="1478"/>
        <v>3.8667241782539215</v>
      </c>
      <c r="MB44">
        <f t="shared" si="1478"/>
        <v>3.8269722561304746</v>
      </c>
      <c r="MC44">
        <f t="shared" si="1478"/>
        <v>3.7873904059173817</v>
      </c>
      <c r="MD44">
        <f t="shared" si="1478"/>
        <v>3.7480067767456902</v>
      </c>
      <c r="ME44">
        <f t="shared" si="1478"/>
        <v>3.7088457659595804</v>
      </c>
      <c r="MF44">
        <f t="shared" si="1478"/>
        <v>3.6699284583165444</v>
      </c>
      <c r="MG44">
        <f t="shared" si="1478"/>
        <v>3.6312730141461742</v>
      </c>
      <c r="MH44">
        <f t="shared" si="1478"/>
        <v>3.5928950123783778</v>
      </c>
      <c r="MI44">
        <f t="shared" si="1478"/>
        <v>3.5548077536818177</v>
      </c>
      <c r="MJ44">
        <f t="shared" si="1478"/>
        <v>3.5170225283531806</v>
      </c>
      <c r="MK44">
        <f t="shared" si="1478"/>
        <v>3.4795488530618144</v>
      </c>
      <c r="ML44">
        <f t="shared" si="1478"/>
        <v>3.442394680081474</v>
      </c>
      <c r="MM44">
        <f t="shared" si="1478"/>
        <v>3.4055665822145649</v>
      </c>
      <c r="MN44">
        <f t="shared" si="1478"/>
        <v>3.3690699162450848</v>
      </c>
      <c r="MO44">
        <f t="shared" si="1478"/>
        <v>3.3329089674235348</v>
      </c>
      <c r="MP44">
        <f t="shared" si="1478"/>
        <v>3.2970870771939005</v>
      </c>
      <c r="MQ44">
        <f t="shared" si="1478"/>
        <v>3.2616067561150253</v>
      </c>
      <c r="MR44">
        <f t="shared" si="1478"/>
        <v>3.2264697837017948</v>
      </c>
      <c r="MS44">
        <f t="shared" si="1478"/>
        <v>3.1916772967060716</v>
      </c>
      <c r="MT44">
        <f t="shared" si="1478"/>
        <v>3.1572298671832399</v>
      </c>
      <c r="MU44">
        <f t="shared" si="1478"/>
        <v>3.1231275715300733</v>
      </c>
      <c r="MV44">
        <f t="shared" si="1478"/>
        <v>3.0893700515425877</v>
      </c>
      <c r="MW44">
        <f t="shared" si="1478"/>
        <v>3.0559565684194112</v>
      </c>
      <c r="MX44">
        <f t="shared" si="1478"/>
        <v>3.0228860505272905</v>
      </c>
      <c r="MY44">
        <f t="shared" si="1478"/>
        <v>2.9901571356521437</v>
      </c>
      <c r="MZ44">
        <f t="shared" si="1478"/>
        <v>2.9577682083720589</v>
      </c>
      <c r="NA44">
        <f t="shared" si="1478"/>
        <v>2.9257174331166951</v>
      </c>
      <c r="NB44">
        <f t="shared" si="1478"/>
        <v>2.8940027834102509</v>
      </c>
      <c r="NC44">
        <f t="shared" si="1478"/>
        <v>2.8626220677385703</v>
      </c>
      <c r="ND44">
        <f t="shared" si="1478"/>
        <v>2.8315729524279334</v>
      </c>
      <c r="NE44">
        <f t="shared" si="1478"/>
        <v>2.8008529818815475</v>
      </c>
      <c r="NF44">
        <f t="shared" si="1478"/>
        <v>2.770459596473966</v>
      </c>
      <c r="NG44">
        <f t="shared" si="1478"/>
        <v>2.7403901483761679</v>
      </c>
      <c r="NH44">
        <f t="shared" si="1478"/>
        <v>2.7106419155447625</v>
      </c>
      <c r="NI44">
        <f t="shared" si="1478"/>
        <v>2.6812121140880194</v>
      </c>
      <c r="NJ44">
        <f t="shared" si="1478"/>
        <v>2.6520979091938628</v>
      </c>
      <c r="NK44">
        <f t="shared" si="1478"/>
        <v>2.6232964247833657</v>
      </c>
      <c r="NL44">
        <f t="shared" si="1478"/>
        <v>2.5948047520363389</v>
      </c>
      <c r="NM44">
        <f t="shared" si="1478"/>
        <v>2.566619956916</v>
      </c>
      <c r="NN44">
        <f t="shared" si="1478"/>
        <v>2.5387390868091764</v>
      </c>
      <c r="NO44">
        <f t="shared" si="1478"/>
        <v>2.5111591763798913</v>
      </c>
      <c r="NP44">
        <f t="shared" si="1478"/>
        <v>2.4838772527278508</v>
      </c>
      <c r="NQ44">
        <f t="shared" si="1478"/>
        <v>2.4568903399297568</v>
      </c>
      <c r="NR44">
        <f t="shared" si="1478"/>
        <v>2.4301954630336375</v>
      </c>
      <c r="NS44">
        <f t="shared" si="1478"/>
        <v>2.4037896515681503</v>
      </c>
      <c r="NT44">
        <f t="shared" si="1478"/>
        <v>2.3776699426226351</v>
      </c>
      <c r="NU44">
        <f t="shared" si="1478"/>
        <v>2.3518333835447542</v>
      </c>
      <c r="NV44">
        <f t="shared" si="1478"/>
        <v>2.3262770343004426</v>
      </c>
      <c r="NW44">
        <f t="shared" si="1478"/>
        <v>2.3009979695348299</v>
      </c>
      <c r="NX44">
        <f t="shared" si="1478"/>
        <v>2.2759932803655651</v>
      </c>
      <c r="NY44">
        <f t="shared" si="1478"/>
        <v>2.2512600759413992</v>
      </c>
      <c r="NZ44">
        <f t="shared" si="1478"/>
        <v>2.2267954847907827</v>
      </c>
      <c r="OA44">
        <f t="shared" si="1478"/>
        <v>2.2025966559860866</v>
      </c>
      <c r="OB44">
        <f t="shared" si="1478"/>
        <v>2.1786607601409713</v>
      </c>
      <c r="OC44">
        <f t="shared" si="1478"/>
        <v>2.1549849902650351</v>
      </c>
      <c r="OD44">
        <f t="shared" si="1478"/>
        <v>2.1315665624853697</v>
      </c>
      <c r="OE44">
        <f t="shared" si="1478"/>
        <v>2.1084027166565935</v>
      </c>
      <c r="OF44">
        <f t="shared" si="1478"/>
        <v>2.0854907168673957</v>
      </c>
      <c r="OG44">
        <f t="shared" si="1478"/>
        <v>2.0628278518574579</v>
      </c>
      <c r="OH44">
        <f t="shared" ref="OH44:QS44" si="1479">$R$13*OH28+$S$13*OH29+$T$13*OH30</f>
        <v>2.0404114353545566</v>
      </c>
      <c r="OI44">
        <f t="shared" si="1479"/>
        <v>2.0182388063409622</v>
      </c>
      <c r="OJ44">
        <f t="shared" si="1479"/>
        <v>1.9963073292578297</v>
      </c>
      <c r="OK44">
        <f t="shared" si="1479"/>
        <v>1.9746143941526668</v>
      </c>
      <c r="OL44">
        <f t="shared" si="1479"/>
        <v>1.9531574167802503</v>
      </c>
      <c r="OM44">
        <f t="shared" si="1479"/>
        <v>1.9319338386584146</v>
      </c>
      <c r="ON44">
        <f t="shared" si="1479"/>
        <v>1.9109411270863923</v>
      </c>
      <c r="OO44">
        <f t="shared" si="1479"/>
        <v>1.8901767751293512</v>
      </c>
      <c r="OP44">
        <f t="shared" si="1479"/>
        <v>1.8696383015741329</v>
      </c>
      <c r="OQ44">
        <f t="shared" si="1479"/>
        <v>1.8493232508577062</v>
      </c>
      <c r="OR44">
        <f t="shared" si="1479"/>
        <v>1.8292291929736582</v>
      </c>
      <c r="OS44">
        <f t="shared" si="1479"/>
        <v>1.809353723357928</v>
      </c>
      <c r="OT44">
        <f t="shared" si="1479"/>
        <v>1.7896944627579501</v>
      </c>
      <c r="OU44">
        <f t="shared" si="1479"/>
        <v>1.770249057085536</v>
      </c>
      <c r="OV44">
        <f t="shared" si="1479"/>
        <v>1.7510151772572975</v>
      </c>
      <c r="OW44">
        <f t="shared" si="1479"/>
        <v>1.7319905190225047</v>
      </c>
      <c r="OX44">
        <f t="shared" si="1479"/>
        <v>1.7131728027822462</v>
      </c>
      <c r="OY44">
        <f t="shared" si="1479"/>
        <v>1.6945597733986251</v>
      </c>
      <c r="OZ44">
        <f t="shared" si="1479"/>
        <v>1.6761491999982905</v>
      </c>
      <c r="PA44">
        <f t="shared" si="1479"/>
        <v>1.6579388757679716</v>
      </c>
      <c r="PB44">
        <f t="shared" si="1479"/>
        <v>1.6399266177460614</v>
      </c>
      <c r="PC44">
        <f t="shared" si="1479"/>
        <v>1.6221102666093117</v>
      </c>
      <c r="PD44">
        <f t="shared" si="1479"/>
        <v>1.6044876864561779</v>
      </c>
      <c r="PE44">
        <f t="shared" si="1479"/>
        <v>1.5870567645868832</v>
      </c>
      <c r="PF44">
        <f t="shared" si="1479"/>
        <v>1.5698154112817431</v>
      </c>
      <c r="PG44">
        <f t="shared" si="1479"/>
        <v>1.552761559577748</v>
      </c>
      <c r="PH44">
        <f t="shared" si="1479"/>
        <v>1.5358931650426371</v>
      </c>
      <c r="PI44">
        <f t="shared" si="1479"/>
        <v>1.5192082055504681</v>
      </c>
      <c r="PJ44">
        <f t="shared" si="1479"/>
        <v>1.5027046810545865</v>
      </c>
      <c r="PK44">
        <f t="shared" si="1479"/>
        <v>1.4863806133614563</v>
      </c>
      <c r="PL44">
        <f t="shared" si="1479"/>
        <v>1.4702340459047445</v>
      </c>
      <c r="PM44">
        <f t="shared" si="1479"/>
        <v>1.4542630435195321</v>
      </c>
      <c r="PN44">
        <f t="shared" si="1479"/>
        <v>1.4384656922174965</v>
      </c>
      <c r="PO44">
        <f t="shared" si="1479"/>
        <v>1.4228400989627534</v>
      </c>
      <c r="PP44">
        <f t="shared" si="1479"/>
        <v>1.4073843914486392</v>
      </c>
      <c r="PQ44">
        <f t="shared" si="1479"/>
        <v>1.3920967178760666</v>
      </c>
      <c r="PR44">
        <f t="shared" si="1479"/>
        <v>1.3769752467328189</v>
      </c>
      <c r="PS44">
        <f t="shared" si="1479"/>
        <v>1.3620181665748223</v>
      </c>
      <c r="PT44">
        <f t="shared" si="1479"/>
        <v>1.3472236858089222</v>
      </c>
      <c r="PU44">
        <f t="shared" si="1479"/>
        <v>1.3325900324761903</v>
      </c>
      <c r="PV44">
        <f t="shared" si="1479"/>
        <v>1.3181154540387308</v>
      </c>
      <c r="PW44">
        <f t="shared" si="1479"/>
        <v>1.3037982171672038</v>
      </c>
      <c r="PX44">
        <f t="shared" si="1479"/>
        <v>1.2896366075300509</v>
      </c>
      <c r="PY44">
        <f t="shared" si="1479"/>
        <v>1.2756289295853929</v>
      </c>
      <c r="PZ44">
        <f t="shared" si="1479"/>
        <v>1.2617735063744124</v>
      </c>
      <c r="QA44">
        <f t="shared" si="1479"/>
        <v>1.248068679316372</v>
      </c>
      <c r="QB44">
        <f t="shared" si="1479"/>
        <v>1.234512808006631</v>
      </c>
      <c r="QC44">
        <f t="shared" si="1479"/>
        <v>1.221104270015319</v>
      </c>
      <c r="QD44">
        <f t="shared" si="1479"/>
        <v>1.2078414606892505</v>
      </c>
      <c r="QE44">
        <f t="shared" si="1479"/>
        <v>1.194722792955325</v>
      </c>
      <c r="QF44">
        <f t="shared" si="1479"/>
        <v>1.1817466971257939</v>
      </c>
      <c r="QG44">
        <f t="shared" si="1479"/>
        <v>1.1689116207059431</v>
      </c>
      <c r="QH44">
        <f t="shared" si="1479"/>
        <v>1.1562160282036444</v>
      </c>
      <c r="QI44">
        <f t="shared" si="1479"/>
        <v>1.1436584009409145</v>
      </c>
      <c r="QJ44">
        <f t="shared" si="1479"/>
        <v>1.1312372368677366</v>
      </c>
      <c r="QK44">
        <f t="shared" si="1479"/>
        <v>1.1189510503777456</v>
      </c>
      <c r="QL44">
        <f t="shared" si="1479"/>
        <v>1.1067983721256738</v>
      </c>
      <c r="QM44">
        <f t="shared" si="1479"/>
        <v>1.0947777488469885</v>
      </c>
      <c r="QN44">
        <f t="shared" si="1479"/>
        <v>1.0828877431801995</v>
      </c>
      <c r="QO44">
        <f t="shared" si="1479"/>
        <v>1.0711269334900155</v>
      </c>
      <c r="QP44">
        <f t="shared" si="1479"/>
        <v>1.0594939136929842</v>
      </c>
      <c r="QQ44">
        <f t="shared" si="1479"/>
        <v>1.0479872930855816</v>
      </c>
      <c r="QR44">
        <f t="shared" si="1479"/>
        <v>1.0366056961729555</v>
      </c>
      <c r="QS44">
        <f t="shared" si="1479"/>
        <v>1.025347762501239</v>
      </c>
      <c r="QT44">
        <f t="shared" ref="QT44:TE44" si="1480">$R$13*QT28+$S$13*QT29+$T$13*QT30</f>
        <v>1.0142121464902552</v>
      </c>
      <c r="QU44">
        <f t="shared" si="1480"/>
        <v>1.0031975172690721</v>
      </c>
      <c r="QV44">
        <f t="shared" si="1480"/>
        <v>0.99230255851297677</v>
      </c>
      <c r="QW44">
        <f t="shared" si="1480"/>
        <v>0.98152596828249195</v>
      </c>
      <c r="QX44">
        <f t="shared" si="1480"/>
        <v>0.97086645886412803</v>
      </c>
      <c r="QY44">
        <f t="shared" si="1480"/>
        <v>0.96032275661300304</v>
      </c>
      <c r="QZ44">
        <f t="shared" si="1480"/>
        <v>0.94989360179713067</v>
      </c>
      <c r="RA44">
        <f t="shared" si="1480"/>
        <v>0.93957774844353814</v>
      </c>
      <c r="RB44">
        <f t="shared" si="1480"/>
        <v>0.92937396418610696</v>
      </c>
      <c r="RC44">
        <f t="shared" si="1480"/>
        <v>0.91928103011549211</v>
      </c>
      <c r="RD44">
        <f t="shared" si="1480"/>
        <v>0.90929774063004842</v>
      </c>
      <c r="RE44">
        <f t="shared" si="1480"/>
        <v>0.89942290328901819</v>
      </c>
      <c r="RF44">
        <f t="shared" si="1480"/>
        <v>0.88965533866726432</v>
      </c>
      <c r="RG44">
        <f t="shared" si="1480"/>
        <v>0.87999388021151681</v>
      </c>
      <c r="RH44">
        <f t="shared" si="1480"/>
        <v>0.87043737409832111</v>
      </c>
      <c r="RI44">
        <f t="shared" si="1480"/>
        <v>0.86098467909367216</v>
      </c>
      <c r="RJ44">
        <f t="shared" si="1480"/>
        <v>0.85163466641420271</v>
      </c>
      <c r="RK44">
        <f t="shared" si="1480"/>
        <v>0.84238621958992788</v>
      </c>
      <c r="RL44">
        <f t="shared" si="1480"/>
        <v>0.83323823432825606</v>
      </c>
      <c r="RM44">
        <f t="shared" si="1480"/>
        <v>0.82418961838052063</v>
      </c>
      <c r="RN44">
        <f t="shared" si="1480"/>
        <v>0.81523929140850093</v>
      </c>
      <c r="RO44">
        <f t="shared" si="1480"/>
        <v>0.80638618485403946</v>
      </c>
      <c r="RP44">
        <f t="shared" si="1480"/>
        <v>0.7976292418086981</v>
      </c>
      <c r="RQ44">
        <f t="shared" si="1480"/>
        <v>0.78896741688629213</v>
      </c>
      <c r="RR44">
        <f t="shared" si="1480"/>
        <v>0.78039967609550409</v>
      </c>
      <c r="RS44">
        <f t="shared" si="1480"/>
        <v>0.77192499671489223</v>
      </c>
      <c r="RT44">
        <f t="shared" si="1480"/>
        <v>0.76354236716903401</v>
      </c>
      <c r="RU44">
        <f t="shared" si="1480"/>
        <v>0.75525078690599479</v>
      </c>
      <c r="RV44">
        <f t="shared" si="1480"/>
        <v>0.7470492662759689</v>
      </c>
      <c r="RW44">
        <f t="shared" si="1480"/>
        <v>0.7389368264120808</v>
      </c>
      <c r="RX44">
        <f t="shared" si="1480"/>
        <v>0.73091249911131584</v>
      </c>
      <c r="RY44">
        <f t="shared" si="1480"/>
        <v>0.72297532671791487</v>
      </c>
      <c r="RZ44">
        <f t="shared" si="1480"/>
        <v>0.71512436200746876</v>
      </c>
      <c r="SA44">
        <f t="shared" si="1480"/>
        <v>0.70735866807244463</v>
      </c>
      <c r="SB44">
        <f t="shared" si="1480"/>
        <v>0.69967731820912427</v>
      </c>
      <c r="SC44">
        <f t="shared" si="1480"/>
        <v>0.69207939580550359</v>
      </c>
      <c r="SD44">
        <f t="shared" si="1480"/>
        <v>0.68456399423085124</v>
      </c>
      <c r="SE44">
        <f t="shared" si="1480"/>
        <v>0.67713021672618545</v>
      </c>
      <c r="SF44">
        <f t="shared" si="1480"/>
        <v>0.6697771762960727</v>
      </c>
      <c r="SG44">
        <f t="shared" si="1480"/>
        <v>0.66250399560175666</v>
      </c>
      <c r="SH44">
        <f t="shared" si="1480"/>
        <v>0.65530980685538509</v>
      </c>
      <c r="SI44">
        <f t="shared" si="1480"/>
        <v>0.6481937517151497</v>
      </c>
      <c r="SJ44">
        <f t="shared" si="1480"/>
        <v>0.64115498118241199</v>
      </c>
      <c r="SK44">
        <f t="shared" si="1480"/>
        <v>0.63419265549863724</v>
      </c>
      <c r="SL44">
        <f t="shared" si="1480"/>
        <v>0.62730594404502327</v>
      </c>
      <c r="SM44">
        <f t="shared" si="1480"/>
        <v>0.62049402524213271</v>
      </c>
      <c r="SN44">
        <f t="shared" si="1480"/>
        <v>0.61375608645096413</v>
      </c>
      <c r="SO44">
        <f t="shared" si="1480"/>
        <v>0.60709132387515297</v>
      </c>
      <c r="SP44">
        <f t="shared" si="1480"/>
        <v>0.6004989424645899</v>
      </c>
      <c r="SQ44">
        <f t="shared" si="1480"/>
        <v>0.59397815581934488</v>
      </c>
      <c r="SR44">
        <f t="shared" si="1480"/>
        <v>0.58752818609537805</v>
      </c>
      <c r="SS44">
        <f t="shared" si="1480"/>
        <v>0.58114826391090624</v>
      </c>
      <c r="ST44">
        <f t="shared" si="1480"/>
        <v>0.57483762825400575</v>
      </c>
      <c r="SU44">
        <f t="shared" si="1480"/>
        <v>0.56859552639106425</v>
      </c>
      <c r="SV44">
        <f t="shared" si="1480"/>
        <v>0.56242121377650811</v>
      </c>
      <c r="SW44">
        <f t="shared" si="1480"/>
        <v>0.55631395396312655</v>
      </c>
      <c r="SX44">
        <f t="shared" si="1480"/>
        <v>0.55027301851381338</v>
      </c>
      <c r="SY44">
        <f t="shared" si="1480"/>
        <v>0.54429768691388247</v>
      </c>
      <c r="SZ44">
        <f t="shared" si="1480"/>
        <v>0.53838724648492686</v>
      </c>
      <c r="TA44">
        <f t="shared" si="1480"/>
        <v>0.5325409922989941</v>
      </c>
      <c r="TB44">
        <f t="shared" si="1480"/>
        <v>0.5267582270939144</v>
      </c>
      <c r="TC44">
        <f t="shared" si="1480"/>
        <v>0.52103826118993801</v>
      </c>
      <c r="TD44">
        <f t="shared" si="1480"/>
        <v>0.51538041240677757</v>
      </c>
      <c r="TE44">
        <f t="shared" si="1480"/>
        <v>0.50978400598182638</v>
      </c>
      <c r="TF44">
        <f t="shared" ref="TF44:VQ44" si="1481">$R$13*TF28+$S$13*TF29+$T$13*TF30</f>
        <v>0.50424837448933424</v>
      </c>
      <c r="TG44">
        <f t="shared" si="1481"/>
        <v>0.49877285776002189</v>
      </c>
      <c r="TH44">
        <f t="shared" si="1481"/>
        <v>0.49335680280258742</v>
      </c>
      <c r="TI44">
        <f t="shared" si="1481"/>
        <v>0.48799956372462994</v>
      </c>
      <c r="TJ44">
        <f t="shared" si="1481"/>
        <v>0.48270050165603173</v>
      </c>
      <c r="TK44">
        <f t="shared" si="1481"/>
        <v>0.47745898467182002</v>
      </c>
      <c r="TL44">
        <f t="shared" si="1481"/>
        <v>0.47227438771658647</v>
      </c>
      <c r="TM44">
        <f t="shared" si="1481"/>
        <v>0.46714609252965822</v>
      </c>
      <c r="TN44">
        <f t="shared" si="1481"/>
        <v>0.46207348757126177</v>
      </c>
      <c r="TO44">
        <f t="shared" si="1481"/>
        <v>0.45705596794872427</v>
      </c>
      <c r="TP44">
        <f t="shared" si="1481"/>
        <v>0.45209293534463768</v>
      </c>
      <c r="TQ44">
        <f t="shared" si="1481"/>
        <v>0.44718379794477237</v>
      </c>
      <c r="TR44">
        <f t="shared" si="1481"/>
        <v>0.44232797036737992</v>
      </c>
      <c r="TS44">
        <f t="shared" si="1481"/>
        <v>0.4375248735932562</v>
      </c>
      <c r="TT44">
        <f t="shared" si="1481"/>
        <v>0.43277393489603888</v>
      </c>
      <c r="TU44">
        <f t="shared" si="1481"/>
        <v>0.42807458777413387</v>
      </c>
      <c r="TV44">
        <f t="shared" si="1481"/>
        <v>0.42342627188258852</v>
      </c>
      <c r="TW44">
        <f t="shared" si="1481"/>
        <v>0.41882843296613537</v>
      </c>
      <c r="TX44">
        <f t="shared" si="1481"/>
        <v>0.41428052279288963</v>
      </c>
      <c r="TY44">
        <f t="shared" si="1481"/>
        <v>0.40978199908889401</v>
      </c>
      <c r="TZ44">
        <f t="shared" si="1481"/>
        <v>0.40533232547285714</v>
      </c>
      <c r="UA44">
        <f t="shared" si="1481"/>
        <v>0.40093097139233613</v>
      </c>
      <c r="UB44">
        <f t="shared" si="1481"/>
        <v>0.39657741206028696</v>
      </c>
      <c r="UC44">
        <f t="shared" si="1481"/>
        <v>0.3922711283920659</v>
      </c>
      <c r="UD44">
        <f t="shared" si="1481"/>
        <v>0.3880116069435271</v>
      </c>
      <c r="UE44">
        <f t="shared" si="1481"/>
        <v>0.38379833984966538</v>
      </c>
      <c r="UF44">
        <f t="shared" si="1481"/>
        <v>0.37963082476376186</v>
      </c>
      <c r="UG44">
        <f t="shared" si="1481"/>
        <v>0.37550856479723116</v>
      </c>
      <c r="UH44">
        <f t="shared" si="1481"/>
        <v>0.37143106846050955</v>
      </c>
      <c r="UI44">
        <f t="shared" si="1481"/>
        <v>0.36739784960435884</v>
      </c>
      <c r="UJ44">
        <f t="shared" si="1481"/>
        <v>0.36340842736115242</v>
      </c>
      <c r="UK44">
        <f t="shared" si="1481"/>
        <v>0.35946232608816864</v>
      </c>
      <c r="UL44">
        <f t="shared" si="1481"/>
        <v>0.35555907531010433</v>
      </c>
      <c r="UM44">
        <f t="shared" si="1481"/>
        <v>0.3516982096633452</v>
      </c>
      <c r="UN44">
        <f t="shared" si="1481"/>
        <v>0.34787926884010467</v>
      </c>
      <c r="UO44">
        <f t="shared" si="1481"/>
        <v>0.34410179753337822</v>
      </c>
      <c r="UP44">
        <f t="shared" si="1481"/>
        <v>0.34036534538282659</v>
      </c>
      <c r="UQ44">
        <f t="shared" si="1481"/>
        <v>0.33666946692050281</v>
      </c>
      <c r="UR44">
        <f t="shared" si="1481"/>
        <v>0.33301372151816899</v>
      </c>
      <c r="US44">
        <f t="shared" si="1481"/>
        <v>0.32939767333425429</v>
      </c>
      <c r="UT44">
        <f t="shared" si="1481"/>
        <v>0.32582089126202618</v>
      </c>
      <c r="UU44">
        <f t="shared" si="1481"/>
        <v>0.32228294887779008</v>
      </c>
      <c r="UV44">
        <f t="shared" si="1481"/>
        <v>0.31878342439052432</v>
      </c>
      <c r="UW44">
        <f t="shared" si="1481"/>
        <v>0.31532190059087206</v>
      </c>
      <c r="UX44">
        <f t="shared" si="1481"/>
        <v>0.3118979648018545</v>
      </c>
      <c r="UY44">
        <f t="shared" si="1481"/>
        <v>0.30851120882909377</v>
      </c>
      <c r="UZ44">
        <f t="shared" si="1481"/>
        <v>0.30516122891244102</v>
      </c>
      <c r="VA44">
        <f t="shared" si="1481"/>
        <v>0.30184762567764878</v>
      </c>
      <c r="VB44">
        <f t="shared" si="1481"/>
        <v>0.29857000408862788</v>
      </c>
      <c r="VC44">
        <f t="shared" si="1481"/>
        <v>0.29532797340021233</v>
      </c>
      <c r="VD44">
        <f t="shared" si="1481"/>
        <v>0.29212114711192427</v>
      </c>
      <c r="VE44">
        <f t="shared" si="1481"/>
        <v>0.28894914292122031</v>
      </c>
      <c r="VF44">
        <f t="shared" si="1481"/>
        <v>0.28581158267843598</v>
      </c>
      <c r="VG44">
        <f t="shared" si="1481"/>
        <v>0.28270809234100547</v>
      </c>
      <c r="VH44">
        <f t="shared" si="1481"/>
        <v>0.27963830192957495</v>
      </c>
      <c r="VI44">
        <f t="shared" si="1481"/>
        <v>0.27660184548317091</v>
      </c>
      <c r="VJ44">
        <f t="shared" si="1481"/>
        <v>0.27359836101584989</v>
      </c>
      <c r="VK44">
        <f t="shared" si="1481"/>
        <v>0.27062749047338208</v>
      </c>
      <c r="VL44">
        <f t="shared" si="1481"/>
        <v>0.26768887969074662</v>
      </c>
      <c r="VM44">
        <f t="shared" si="1481"/>
        <v>0.26478217834946527</v>
      </c>
      <c r="VN44">
        <f t="shared" si="1481"/>
        <v>0.26190703993600195</v>
      </c>
      <c r="VO44">
        <f t="shared" si="1481"/>
        <v>0.25906312170054413</v>
      </c>
      <c r="VP44">
        <f t="shared" si="1481"/>
        <v>0.25625008461590859</v>
      </c>
      <c r="VQ44">
        <f t="shared" si="1481"/>
        <v>0.25346759333715063</v>
      </c>
      <c r="VR44">
        <f t="shared" ref="VR44:YC44" si="1482">$R$13*VR28+$S$13*VR29+$T$13*VR30</f>
        <v>0.25071531616145215</v>
      </c>
      <c r="VS44">
        <f t="shared" si="1482"/>
        <v>0.24799292498877534</v>
      </c>
      <c r="VT44">
        <f t="shared" si="1482"/>
        <v>0.24530009528238494</v>
      </c>
      <c r="VU44">
        <f t="shared" si="1482"/>
        <v>0.24263650603044695</v>
      </c>
      <c r="VV44">
        <f t="shared" si="1482"/>
        <v>0.2400018397074053</v>
      </c>
      <c r="VW44">
        <f t="shared" si="1482"/>
        <v>0.23739578223649005</v>
      </c>
      <c r="VX44">
        <f t="shared" si="1482"/>
        <v>0.23481802295180465</v>
      </c>
      <c r="VY44">
        <f t="shared" si="1482"/>
        <v>0.23226825456172051</v>
      </c>
      <c r="VZ44">
        <f t="shared" si="1482"/>
        <v>0.22974617311172452</v>
      </c>
      <c r="WA44">
        <f t="shared" si="1482"/>
        <v>0.22725147794862011</v>
      </c>
      <c r="WB44">
        <f t="shared" si="1482"/>
        <v>0.22478387168422032</v>
      </c>
      <c r="WC44">
        <f t="shared" si="1482"/>
        <v>0.22234306016027894</v>
      </c>
      <c r="WD44">
        <f t="shared" si="1482"/>
        <v>0.21992875241320498</v>
      </c>
      <c r="WE44">
        <f t="shared" si="1482"/>
        <v>0.21754066063913768</v>
      </c>
      <c r="WF44">
        <f t="shared" si="1482"/>
        <v>0.21517850016015494</v>
      </c>
      <c r="WG44">
        <f t="shared" si="1482"/>
        <v>0.21284198938978882</v>
      </c>
      <c r="WH44">
        <f t="shared" si="1482"/>
        <v>0.20928114777355056</v>
      </c>
      <c r="WI44">
        <f t="shared" si="1482"/>
        <v>0.20275467439200767</v>
      </c>
      <c r="WJ44">
        <f t="shared" si="1482"/>
        <v>0.19169023205884095</v>
      </c>
      <c r="WK44">
        <f t="shared" si="1482"/>
        <v>0.1749741615628313</v>
      </c>
      <c r="WL44">
        <f t="shared" si="1482"/>
        <v>0.1519907060670711</v>
      </c>
      <c r="WM44">
        <f t="shared" si="1482"/>
        <v>0.12254554816443175</v>
      </c>
      <c r="WN44">
        <f t="shared" si="1482"/>
        <v>8.6756308090022216E-2</v>
      </c>
      <c r="WO44">
        <f t="shared" si="1482"/>
        <v>4.4949227447366624E-2</v>
      </c>
      <c r="WP44">
        <f t="shared" si="1482"/>
        <v>-2.4240057244995228E-3</v>
      </c>
      <c r="WQ44">
        <f t="shared" si="1482"/>
        <v>-5.4847513849189511E-2</v>
      </c>
      <c r="WR44">
        <f t="shared" si="1482"/>
        <v>-0.11178360287971678</v>
      </c>
      <c r="WS44">
        <f t="shared" si="1482"/>
        <v>-0.17270051293619026</v>
      </c>
      <c r="WT44">
        <f t="shared" si="1482"/>
        <v>-0.23708953253755105</v>
      </c>
      <c r="WU44">
        <f t="shared" si="1482"/>
        <v>-0.30447470207057137</v>
      </c>
      <c r="WV44">
        <f t="shared" si="1482"/>
        <v>-0.37441752974397602</v>
      </c>
      <c r="WW44">
        <f t="shared" si="1482"/>
        <v>-0.44651846006110496</v>
      </c>
      <c r="WX44">
        <f t="shared" si="1482"/>
        <v>-0.52041630620311352</v>
      </c>
      <c r="WY44">
        <f t="shared" si="1482"/>
        <v>-0.59578646985534078</v>
      </c>
      <c r="WZ44">
        <f t="shared" si="1482"/>
        <v>-0.6723384967299797</v>
      </c>
      <c r="XA44">
        <f t="shared" si="1482"/>
        <v>-0.74981332506886922</v>
      </c>
      <c r="XB44">
        <f t="shared" si="1482"/>
        <v>-0.82798045414945065</v>
      </c>
      <c r="XC44">
        <f t="shared" si="1482"/>
        <v>-0.90663517222468215</v>
      </c>
      <c r="XD44">
        <f t="shared" si="1482"/>
        <v>-0.98559592520567207</v>
      </c>
      <c r="XE44">
        <f t="shared" si="1482"/>
        <v>-1.0647018693843968</v>
      </c>
      <c r="XF44">
        <f t="shared" si="1482"/>
        <v>-1.1438106270655748</v>
      </c>
      <c r="XG44">
        <f t="shared" si="1482"/>
        <v>-1.222796248647736</v>
      </c>
      <c r="XH44">
        <f t="shared" si="1482"/>
        <v>-1.301547375395705</v>
      </c>
      <c r="XI44">
        <f t="shared" si="1482"/>
        <v>-1.3799655918197367</v>
      </c>
      <c r="XJ44">
        <f t="shared" si="1482"/>
        <v>-1.4579639538196112</v>
      </c>
      <c r="XK44">
        <f t="shared" si="1482"/>
        <v>-1.5354656776348197</v>
      </c>
      <c r="XL44">
        <f t="shared" si="1482"/>
        <v>-1.6124029745493136</v>
      </c>
      <c r="XM44">
        <f t="shared" si="1482"/>
        <v>-1.6887160168180078</v>
      </c>
      <c r="XN44">
        <f t="shared" si="1482"/>
        <v>-1.7643520211447896</v>
      </c>
      <c r="XO44">
        <f t="shared" si="1482"/>
        <v>-1.8392644370825852</v>
      </c>
      <c r="XP44">
        <f t="shared" si="1482"/>
        <v>-1.9134122288228763</v>
      </c>
      <c r="XQ44">
        <f t="shared" si="1482"/>
        <v>-1.9867592399432112</v>
      </c>
      <c r="XR44">
        <f t="shared" si="1482"/>
        <v>-2.0592736317300702</v>
      </c>
      <c r="XS44">
        <f t="shared" si="1482"/>
        <v>-2.1309273866833554</v>
      </c>
      <c r="XT44">
        <f t="shared" si="1482"/>
        <v>-2.201695869714003</v>
      </c>
      <c r="XU44">
        <f t="shared" si="1482"/>
        <v>-2.2715574403764442</v>
      </c>
      <c r="XV44">
        <f t="shared" si="1482"/>
        <v>-2.3404931102235622</v>
      </c>
      <c r="XW44">
        <f t="shared" si="1482"/>
        <v>-2.4084862400437483</v>
      </c>
      <c r="XX44">
        <f t="shared" si="1482"/>
        <v>-2.4755222723388872</v>
      </c>
      <c r="XY44">
        <f t="shared" si="1482"/>
        <v>-2.5415884949395107</v>
      </c>
      <c r="XZ44">
        <f t="shared" si="1482"/>
        <v>-2.6066738321254537</v>
      </c>
      <c r="YA44">
        <f t="shared" si="1482"/>
        <v>-2.6707686600449314</v>
      </c>
      <c r="YB44">
        <f t="shared" si="1482"/>
        <v>-2.7338646435978422</v>
      </c>
      <c r="YC44">
        <f t="shared" si="1482"/>
        <v>-2.7959545922790152</v>
      </c>
      <c r="YD44">
        <f t="shared" ref="YD44:AAO44" si="1483">$R$13*YD28+$S$13*YD29+$T$13*YD30</f>
        <v>-2.8570323327710838</v>
      </c>
      <c r="YE44">
        <f t="shared" si="1483"/>
        <v>-2.9170925963347401</v>
      </c>
      <c r="YF44">
        <f t="shared" si="1483"/>
        <v>-2.9761309192720642</v>
      </c>
      <c r="YG44">
        <f t="shared" si="1483"/>
        <v>-3.0341435549404459</v>
      </c>
      <c r="YH44">
        <f t="shared" si="1483"/>
        <v>-3.091127395974512</v>
      </c>
      <c r="YI44">
        <f t="shared" si="1483"/>
        <v>-3.1470799055266614</v>
      </c>
      <c r="YJ44">
        <f t="shared" si="1483"/>
        <v>-3.2019990564809628</v>
      </c>
      <c r="YK44">
        <f t="shared" si="1483"/>
        <v>-3.2558832777125399</v>
      </c>
      <c r="YL44">
        <f t="shared" si="1483"/>
        <v>-3.308731406576447</v>
      </c>
      <c r="YM44">
        <f t="shared" si="1483"/>
        <v>-3.3605426469028714</v>
      </c>
      <c r="YN44">
        <f t="shared" si="1483"/>
        <v>-3.4113165318624752</v>
      </c>
      <c r="YO44">
        <f t="shared" si="1483"/>
        <v>-3.4610528911362159</v>
      </c>
      <c r="YP44">
        <f t="shared" si="1483"/>
        <v>-3.5097518218935377</v>
      </c>
      <c r="YQ44">
        <f t="shared" si="1483"/>
        <v>-3.5574136631383517</v>
      </c>
      <c r="YR44">
        <f t="shared" si="1483"/>
        <v>-3.6040389730340223</v>
      </c>
      <c r="YS44">
        <f t="shared" si="1483"/>
        <v>-3.6496285088637848</v>
      </c>
      <c r="YT44">
        <f t="shared" si="1483"/>
        <v>-3.6941832093222668</v>
      </c>
      <c r="YU44">
        <f t="shared" si="1483"/>
        <v>-3.7377041788705849</v>
      </c>
      <c r="YV44">
        <f t="shared" si="1483"/>
        <v>-3.7801926739171829</v>
      </c>
      <c r="YW44">
        <f t="shared" si="1483"/>
        <v>-3.8216500906133213</v>
      </c>
      <c r="YX44">
        <f t="shared" si="1483"/>
        <v>-3.8620779540786163</v>
      </c>
      <c r="YY44">
        <f t="shared" si="1483"/>
        <v>-3.9014779088922857</v>
      </c>
      <c r="YZ44">
        <f t="shared" si="1483"/>
        <v>-3.9398517107038895</v>
      </c>
      <c r="ZA44">
        <f t="shared" si="1483"/>
        <v>-3.9772012188354378</v>
      </c>
      <c r="ZB44">
        <f t="shared" si="1483"/>
        <v>-4.0135283897611878</v>
      </c>
      <c r="ZC44">
        <f t="shared" si="1483"/>
        <v>-4.0488352713636555</v>
      </c>
      <c r="ZD44">
        <f t="shared" si="1483"/>
        <v>-4.0831239978769922</v>
      </c>
      <c r="ZE44">
        <f t="shared" si="1483"/>
        <v>-4.1163967854383827</v>
      </c>
      <c r="ZF44">
        <f t="shared" si="1483"/>
        <v>-4.1486559281787425</v>
      </c>
      <c r="ZG44">
        <f t="shared" si="1483"/>
        <v>-4.1799037947882134</v>
      </c>
      <c r="ZH44">
        <f t="shared" si="1483"/>
        <v>-4.210142825503949</v>
      </c>
      <c r="ZI44">
        <f t="shared" si="1483"/>
        <v>-4.2393755294702693</v>
      </c>
      <c r="ZJ44">
        <f t="shared" si="1483"/>
        <v>-4.2676044824280517</v>
      </c>
      <c r="ZK44">
        <f t="shared" si="1483"/>
        <v>-4.294832324695653</v>
      </c>
      <c r="ZL44">
        <f t="shared" si="1483"/>
        <v>-4.3210617594068967</v>
      </c>
      <c r="ZM44">
        <f t="shared" si="1483"/>
        <v>-4.3462955509768317</v>
      </c>
      <c r="ZN44">
        <f t="shared" si="1483"/>
        <v>-4.3705365237666527</v>
      </c>
      <c r="ZO44">
        <f t="shared" si="1483"/>
        <v>-4.3937875609273469</v>
      </c>
      <c r="ZP44">
        <f t="shared" si="1483"/>
        <v>-4.4160516033978823</v>
      </c>
      <c r="ZQ44">
        <f t="shared" si="1483"/>
        <v>-4.4373316490411074</v>
      </c>
      <c r="ZR44">
        <f t="shared" si="1483"/>
        <v>-4.4576307518999911</v>
      </c>
      <c r="ZS44">
        <f t="shared" si="1483"/>
        <v>-4.4769520215609493</v>
      </c>
      <c r="ZT44">
        <f t="shared" si="1483"/>
        <v>-4.495298622608523</v>
      </c>
      <c r="ZU44">
        <f t="shared" si="1483"/>
        <v>-4.5126737741626997</v>
      </c>
      <c r="ZV44">
        <f t="shared" si="1483"/>
        <v>-4.5290807494873206</v>
      </c>
      <c r="ZW44">
        <f t="shared" si="1483"/>
        <v>-4.5445228756594371</v>
      </c>
      <c r="ZX44">
        <f t="shared" si="1483"/>
        <v>-4.5590035332935184</v>
      </c>
      <c r="ZY44">
        <f t="shared" si="1483"/>
        <v>-4.5725261563123727</v>
      </c>
      <c r="ZZ44">
        <f t="shared" si="1483"/>
        <v>-4.5850942317571555</v>
      </c>
      <c r="AAA44">
        <f t="shared" si="1483"/>
        <v>-4.5967112996334354</v>
      </c>
      <c r="AAB44">
        <f t="shared" si="1483"/>
        <v>-4.6073809527859364</v>
      </c>
      <c r="AAC44">
        <f t="shared" si="1483"/>
        <v>-4.6171068367979426</v>
      </c>
      <c r="AAD44">
        <f t="shared" si="1483"/>
        <v>-4.6258926499125899</v>
      </c>
      <c r="AAE44">
        <f t="shared" si="1483"/>
        <v>-4.6337421429709487</v>
      </c>
      <c r="AAF44">
        <f t="shared" si="1483"/>
        <v>-4.6406591193645639</v>
      </c>
      <c r="AAG44">
        <f t="shared" si="1483"/>
        <v>-4.6466474349995117</v>
      </c>
      <c r="AAH44">
        <f t="shared" si="1483"/>
        <v>-4.651710998269369</v>
      </c>
      <c r="AAI44">
        <f t="shared" si="1483"/>
        <v>-4.6558537700350193</v>
      </c>
      <c r="AAJ44">
        <f t="shared" si="1483"/>
        <v>-4.6590797636092915</v>
      </c>
      <c r="AAK44">
        <f t="shared" si="1483"/>
        <v>-4.6613930447439067</v>
      </c>
      <c r="AAL44">
        <f t="shared" si="1483"/>
        <v>-4.6627977316196692</v>
      </c>
      <c r="AAM44">
        <f t="shared" si="1483"/>
        <v>-4.6632979948343802</v>
      </c>
      <c r="AAN44">
        <f t="shared" si="1483"/>
        <v>-4.6628980573920273</v>
      </c>
      <c r="AAO44">
        <f t="shared" si="1483"/>
        <v>-4.6616021946876884</v>
      </c>
    </row>
    <row r="45" spans="1:719">
      <c r="A45" s="4">
        <f t="shared" si="1444"/>
        <v>6</v>
      </c>
      <c r="B45" s="1">
        <f>$S$14*B29+$T$14*B30+$U$14*B31</f>
        <v>0</v>
      </c>
      <c r="C45">
        <f>$S$14*C29+$T$14*C30+$U$14*C31</f>
        <v>0</v>
      </c>
      <c r="D45">
        <f t="shared" ref="D45" si="1484">$S$14*D29+$T$14*D30+$U$14*D31</f>
        <v>0</v>
      </c>
      <c r="E45">
        <f t="shared" ref="E45:BP45" si="1485">$S$14*E29+$T$14*E30+$U$14*E31</f>
        <v>0</v>
      </c>
      <c r="F45">
        <f t="shared" si="1485"/>
        <v>0</v>
      </c>
      <c r="G45">
        <f t="shared" si="1485"/>
        <v>-1.6626389975016309E-5</v>
      </c>
      <c r="H45">
        <f t="shared" si="1485"/>
        <v>-8.5310119207093749E-5</v>
      </c>
      <c r="I45">
        <f t="shared" si="1485"/>
        <v>-2.5339490356302008E-4</v>
      </c>
      <c r="J45">
        <f t="shared" si="1485"/>
        <v>-5.7144582965307222E-4</v>
      </c>
      <c r="K45">
        <f t="shared" si="1485"/>
        <v>-1.0863841471682179E-3</v>
      </c>
      <c r="L45">
        <f t="shared" si="1485"/>
        <v>-1.8373489722698366E-3</v>
      </c>
      <c r="M45">
        <f t="shared" si="1485"/>
        <v>-2.8539233038493705E-3</v>
      </c>
      <c r="N45">
        <f t="shared" si="1485"/>
        <v>-4.1560013390693484E-3</v>
      </c>
      <c r="O45">
        <f t="shared" si="1485"/>
        <v>-5.7546200842466533E-3</v>
      </c>
      <c r="P45">
        <f t="shared" si="1485"/>
        <v>-7.6532514542506647E-3</v>
      </c>
      <c r="Q45">
        <f t="shared" si="1485"/>
        <v>-9.8492273630412797E-3</v>
      </c>
      <c r="R45">
        <f t="shared" si="1485"/>
        <v>-1.233510827742279E-2</v>
      </c>
      <c r="S45">
        <f t="shared" si="1485"/>
        <v>-1.509990038029585E-2</v>
      </c>
      <c r="T45">
        <f t="shared" si="1485"/>
        <v>-1.8130085713028876E-2</v>
      </c>
      <c r="U45">
        <f t="shared" si="1485"/>
        <v>-2.1410463633337429E-2</v>
      </c>
      <c r="V45">
        <f t="shared" si="1485"/>
        <v>-2.4924819381624275E-2</v>
      </c>
      <c r="W45">
        <f t="shared" si="1485"/>
        <v>-2.8656442922628145E-2</v>
      </c>
      <c r="X45">
        <f t="shared" si="1485"/>
        <v>-3.2588522847092349E-2</v>
      </c>
      <c r="Y45">
        <f t="shared" si="1485"/>
        <v>-3.6704438725831068E-2</v>
      </c>
      <c r="Z45">
        <f t="shared" si="1485"/>
        <v>-4.0987972554340502E-2</v>
      </c>
      <c r="AA45">
        <f t="shared" si="1485"/>
        <v>-4.5423456751990443E-2</v>
      </c>
      <c r="AB45">
        <f t="shared" si="1485"/>
        <v>-4.9995873082412601E-2</v>
      </c>
      <c r="AC45">
        <f t="shared" si="1485"/>
        <v>-5.4690914079301933E-2</v>
      </c>
      <c r="AD45">
        <f t="shared" si="1485"/>
        <v>-5.949501617809716E-2</v>
      </c>
      <c r="AE45">
        <f t="shared" si="1485"/>
        <v>-6.4395371776289068E-2</v>
      </c>
      <c r="AF45">
        <f t="shared" si="1485"/>
        <v>-6.9379925839118783E-2</v>
      </c>
      <c r="AG45">
        <f t="shared" si="1485"/>
        <v>-7.4437361383179024E-2</v>
      </c>
      <c r="AH45">
        <f t="shared" si="1485"/>
        <v>-7.9557077156469092E-2</v>
      </c>
      <c r="AI45">
        <f t="shared" si="1485"/>
        <v>-8.4729160038616413E-2</v>
      </c>
      <c r="AJ45">
        <f t="shared" si="1485"/>
        <v>-8.9944354067977628E-2</v>
      </c>
      <c r="AK45">
        <f t="shared" si="1485"/>
        <v>-9.5194027524236446E-2</v>
      </c>
      <c r="AL45">
        <f t="shared" si="1485"/>
        <v>-0.10047013912815927</v>
      </c>
      <c r="AM45">
        <f t="shared" si="1485"/>
        <v>-0.10576520413810186</v>
      </c>
      <c r="AN45">
        <f t="shared" si="1485"/>
        <v>-0.1110722609079744</v>
      </c>
      <c r="AO45">
        <f t="shared" si="1485"/>
        <v>-0.1163848383075603</v>
      </c>
      <c r="AP45">
        <f t="shared" si="1485"/>
        <v>-0.12169692428191325</v>
      </c>
      <c r="AQ45">
        <f t="shared" si="1485"/>
        <v>-0.12700293573290367</v>
      </c>
      <c r="AR45">
        <f t="shared" si="1485"/>
        <v>-0.13229768983530477</v>
      </c>
      <c r="AS45">
        <f t="shared" si="1485"/>
        <v>-0.13757637684739166</v>
      </c>
      <c r="AT45">
        <f t="shared" si="1485"/>
        <v>-0.14283453443679051</v>
      </c>
      <c r="AU45">
        <f t="shared" si="1485"/>
        <v>-0.14806802351382942</v>
      </c>
      <c r="AV45">
        <f t="shared" si="1485"/>
        <v>-0.15327300554370638</v>
      </c>
      <c r="AW45">
        <f t="shared" si="1485"/>
        <v>-0.1584459212945255</v>
      </c>
      <c r="AX45">
        <f t="shared" si="1485"/>
        <v>-0.1635834709676196</v>
      </c>
      <c r="AY45">
        <f t="shared" si="1485"/>
        <v>-0.16868259565043076</v>
      </c>
      <c r="AZ45">
        <f t="shared" si="1485"/>
        <v>-0.17374046002799304</v>
      </c>
      <c r="BA45">
        <f t="shared" si="1485"/>
        <v>-0.17875443628711096</v>
      </c>
      <c r="BB45">
        <f t="shared" si="1485"/>
        <v>-0.18372208914679788</v>
      </c>
      <c r="BC45">
        <f t="shared" si="1485"/>
        <v>-0.18864116194907155</v>
      </c>
      <c r="BD45">
        <f t="shared" si="1485"/>
        <v>-0.19350956374554684</v>
      </c>
      <c r="BE45">
        <f t="shared" si="1485"/>
        <v>-0.1983253573172945</v>
      </c>
      <c r="BF45">
        <f t="shared" si="1485"/>
        <v>-0.20308674806749494</v>
      </c>
      <c r="BG45">
        <f t="shared" si="1485"/>
        <v>-0.20779207372937591</v>
      </c>
      <c r="BH45">
        <f t="shared" si="1485"/>
        <v>-0.21243979483423558</v>
      </c>
      <c r="BI45">
        <f t="shared" si="1485"/>
        <v>-0.21702848588752488</v>
      </c>
      <c r="BJ45">
        <f t="shared" si="1485"/>
        <v>-0.22155682720365633</v>
      </c>
      <c r="BK45">
        <f t="shared" si="1485"/>
        <v>-0.22602359735292765</v>
      </c>
      <c r="BL45">
        <f t="shared" si="1485"/>
        <v>-0.23042766617705723</v>
      </c>
      <c r="BM45">
        <f t="shared" si="1485"/>
        <v>-0.23476798833212342</v>
      </c>
      <c r="BN45">
        <f t="shared" si="1485"/>
        <v>-0.23904359732060954</v>
      </c>
      <c r="BO45">
        <f t="shared" si="1485"/>
        <v>-0.24325359997661522</v>
      </c>
      <c r="BP45">
        <f t="shared" si="1485"/>
        <v>-0.24739717137070372</v>
      </c>
      <c r="BQ45">
        <f t="shared" ref="BQ45:CU45" si="1486">$S$14*BQ29+$T$14*BQ30+$U$14*BQ31</f>
        <v>-0.25147355010311756</v>
      </c>
      <c r="BR45">
        <f t="shared" si="1486"/>
        <v>-0.25548203395638325</v>
      </c>
      <c r="BS45">
        <f t="shared" si="1486"/>
        <v>-0.25942197588002713</v>
      </c>
      <c r="BT45">
        <f t="shared" si="1486"/>
        <v>-0.26329278028243053</v>
      </c>
      <c r="BU45">
        <f t="shared" si="1486"/>
        <v>-0.26709389960644714</v>
      </c>
      <c r="BV45">
        <f t="shared" si="1486"/>
        <v>-0.27082483116698697</v>
      </c>
      <c r="BW45">
        <f t="shared" si="1486"/>
        <v>-0.27448511423068922</v>
      </c>
      <c r="BX45">
        <f t="shared" si="1486"/>
        <v>-0.27807432731885839</v>
      </c>
      <c r="BY45">
        <f t="shared" si="1486"/>
        <v>-0.28159208571666738</v>
      </c>
      <c r="BZ45">
        <f t="shared" si="1486"/>
        <v>-0.28503803917251247</v>
      </c>
      <c r="CA45">
        <f t="shared" si="1486"/>
        <v>-0.2884118697728475</v>
      </c>
      <c r="CB45">
        <f t="shared" si="1486"/>
        <v>-0.29171328997894719</v>
      </c>
      <c r="CC45">
        <f t="shared" si="1486"/>
        <v>-0.29494204081280628</v>
      </c>
      <c r="CD45">
        <f t="shared" si="1486"/>
        <v>-0.29809789018083066</v>
      </c>
      <c r="CE45">
        <f t="shared" si="1486"/>
        <v>-0.30118063132437456</v>
      </c>
      <c r="CF45">
        <f t="shared" si="1486"/>
        <v>-0.30419008138725445</v>
      </c>
      <c r="CG45">
        <f t="shared" si="1486"/>
        <v>-0.30712608009121567</v>
      </c>
      <c r="CH45">
        <f t="shared" si="1486"/>
        <v>-0.30998848851074357</v>
      </c>
      <c r="CI45">
        <f t="shared" si="1486"/>
        <v>-0.3127771879396235</v>
      </c>
      <c r="CJ45">
        <f t="shared" si="1486"/>
        <v>-0.31549207884196662</v>
      </c>
      <c r="CK45">
        <f t="shared" si="1486"/>
        <v>-0.31813307988108974</v>
      </c>
      <c r="CL45">
        <f t="shared" si="1486"/>
        <v>-0.32070012702031292</v>
      </c>
      <c r="CM45">
        <f t="shared" si="1486"/>
        <v>-0.32319317268980186</v>
      </c>
      <c r="CN45">
        <f t="shared" si="1486"/>
        <v>-0.3256121850145739</v>
      </c>
      <c r="CO45">
        <f t="shared" si="1486"/>
        <v>-0.32795714709871859</v>
      </c>
      <c r="CP45">
        <f t="shared" si="1486"/>
        <v>-0.33022805636145591</v>
      </c>
      <c r="CQ45">
        <f t="shared" si="1486"/>
        <v>-0.332424923921117</v>
      </c>
      <c r="CR45">
        <f t="shared" si="1486"/>
        <v>-0.33454777402322478</v>
      </c>
      <c r="CS45">
        <f t="shared" si="1486"/>
        <v>-0.33659664350922114</v>
      </c>
      <c r="CT45">
        <f t="shared" si="1486"/>
        <v>-0.33857158132280674</v>
      </c>
      <c r="CU45">
        <f t="shared" si="1486"/>
        <v>-0.34047264805090549</v>
      </c>
      <c r="CV45">
        <f t="shared" ref="CV45:FG45" si="1487">$S$14*CV29+$T$14*CV30+$U$14*CV31</f>
        <v>-0.34229991549650762</v>
      </c>
      <c r="CW45">
        <f t="shared" si="1487"/>
        <v>-0.34405346628113875</v>
      </c>
      <c r="CX45">
        <f t="shared" si="1487"/>
        <v>-0.3457333934744895</v>
      </c>
      <c r="CY45">
        <f t="shared" si="1487"/>
        <v>-0.3473398002491237</v>
      </c>
      <c r="CZ45">
        <f t="shared" si="1487"/>
        <v>-0.3488727995585279</v>
      </c>
      <c r="DA45">
        <f t="shared" si="1487"/>
        <v>-0.350332513836495</v>
      </c>
      <c r="DB45">
        <f t="shared" si="1487"/>
        <v>-0.35171907471634256</v>
      </c>
      <c r="DC45">
        <f t="shared" si="1487"/>
        <v>-0.35303262276839575</v>
      </c>
      <c r="DD45">
        <f t="shared" si="1487"/>
        <v>-0.35427330725446637</v>
      </c>
      <c r="DE45">
        <f t="shared" si="1487"/>
        <v>-0.35544128589781465</v>
      </c>
      <c r="DF45">
        <f t="shared" si="1487"/>
        <v>-0.35653672466770914</v>
      </c>
      <c r="DG45">
        <f t="shared" si="1487"/>
        <v>-0.35755979757722756</v>
      </c>
      <c r="DH45">
        <f t="shared" si="1487"/>
        <v>-0.35851068649343532</v>
      </c>
      <c r="DI45">
        <f t="shared" si="1487"/>
        <v>-0.35938958095907836</v>
      </c>
      <c r="DJ45">
        <f t="shared" si="1487"/>
        <v>-0.36019667802471389</v>
      </c>
      <c r="DK45">
        <f t="shared" si="1487"/>
        <v>-0.36093218209071054</v>
      </c>
      <c r="DL45">
        <f t="shared" si="1487"/>
        <v>-0.36159630475829019</v>
      </c>
      <c r="DM45">
        <f t="shared" si="1487"/>
        <v>-0.36218926468896839</v>
      </c>
      <c r="DN45">
        <f t="shared" si="1487"/>
        <v>-0.36271128747164383</v>
      </c>
      <c r="DO45">
        <f t="shared" si="1487"/>
        <v>-0.36316260549710222</v>
      </c>
      <c r="DP45">
        <f t="shared" si="1487"/>
        <v>-0.36354345783890096</v>
      </c>
      <c r="DQ45">
        <f t="shared" si="1487"/>
        <v>-0.36385409014064152</v>
      </c>
      <c r="DR45">
        <f t="shared" si="1487"/>
        <v>-0.36409475450879825</v>
      </c>
      <c r="DS45">
        <f t="shared" si="1487"/>
        <v>-0.36426570941098291</v>
      </c>
      <c r="DT45">
        <f t="shared" si="1487"/>
        <v>-0.36436721957890228</v>
      </c>
      <c r="DU45">
        <f t="shared" si="1487"/>
        <v>-0.36439955591611195</v>
      </c>
      <c r="DV45">
        <f t="shared" si="1487"/>
        <v>-0.36436299540972072</v>
      </c>
      <c r="DW45">
        <f t="shared" si="1487"/>
        <v>-0.36425782104618776</v>
      </c>
      <c r="DX45">
        <f t="shared" si="1487"/>
        <v>-0.36408432173058358</v>
      </c>
      <c r="DY45">
        <f t="shared" si="1487"/>
        <v>-0.36384279220931859</v>
      </c>
      <c r="DZ45">
        <f t="shared" si="1487"/>
        <v>-0.3635335329958238</v>
      </c>
      <c r="EA45">
        <f t="shared" si="1487"/>
        <v>-0.36315685029922307</v>
      </c>
      <c r="EB45">
        <f t="shared" si="1487"/>
        <v>-0.36271305595554892</v>
      </c>
      <c r="EC45">
        <f t="shared" si="1487"/>
        <v>-0.36220246736148809</v>
      </c>
      <c r="ED45">
        <f t="shared" si="1487"/>
        <v>-0.36162540741035798</v>
      </c>
      <c r="EE45">
        <f t="shared" si="1487"/>
        <v>-0.36098220443013673</v>
      </c>
      <c r="EF45">
        <f t="shared" si="1487"/>
        <v>-0.36027319212350406</v>
      </c>
      <c r="EG45">
        <f t="shared" si="1487"/>
        <v>-0.35949870950960516</v>
      </c>
      <c r="EH45">
        <f t="shared" si="1487"/>
        <v>-0.35865910086750574</v>
      </c>
      <c r="EI45">
        <f t="shared" si="1487"/>
        <v>-0.35775471568109651</v>
      </c>
      <c r="EJ45">
        <f t="shared" si="1487"/>
        <v>-0.35678590858543302</v>
      </c>
      <c r="EK45">
        <f t="shared" si="1487"/>
        <v>-0.35575303931437574</v>
      </c>
      <c r="EL45">
        <f t="shared" si="1487"/>
        <v>-0.35465647264938127</v>
      </c>
      <c r="EM45">
        <f t="shared" si="1487"/>
        <v>-0.35349657836935577</v>
      </c>
      <c r="EN45">
        <f t="shared" si="1487"/>
        <v>-0.35227373120150673</v>
      </c>
      <c r="EO45">
        <f t="shared" si="1487"/>
        <v>-0.35098831077311843</v>
      </c>
      <c r="EP45">
        <f t="shared" si="1487"/>
        <v>-0.34964070156409832</v>
      </c>
      <c r="EQ45">
        <f t="shared" si="1487"/>
        <v>-0.34823129286031573</v>
      </c>
      <c r="ER45">
        <f t="shared" si="1487"/>
        <v>-0.34676047870759064</v>
      </c>
      <c r="ES45">
        <f t="shared" si="1487"/>
        <v>-0.34522865786625445</v>
      </c>
      <c r="ET45">
        <f t="shared" si="1487"/>
        <v>-0.34363623376634678</v>
      </c>
      <c r="EU45">
        <f t="shared" si="1487"/>
        <v>-0.34198361446320646</v>
      </c>
      <c r="EV45">
        <f t="shared" si="1487"/>
        <v>-0.34027121259354587</v>
      </c>
      <c r="EW45">
        <f t="shared" si="1487"/>
        <v>-0.33849944533188747</v>
      </c>
      <c r="EX45">
        <f t="shared" si="1487"/>
        <v>-0.33666873434740197</v>
      </c>
      <c r="EY45">
        <f t="shared" si="1487"/>
        <v>-0.33477950576087778</v>
      </c>
      <c r="EZ45">
        <f t="shared" si="1487"/>
        <v>-0.33283219010211695</v>
      </c>
      <c r="FA45">
        <f t="shared" si="1487"/>
        <v>-0.33082722226746597</v>
      </c>
      <c r="FB45">
        <f t="shared" si="1487"/>
        <v>-0.32876504147747099</v>
      </c>
      <c r="FC45">
        <f t="shared" si="1487"/>
        <v>-0.32664609123474975</v>
      </c>
      <c r="FD45">
        <f t="shared" si="1487"/>
        <v>-0.32447081928192389</v>
      </c>
      <c r="FE45">
        <f t="shared" si="1487"/>
        <v>-0.32223967755966498</v>
      </c>
      <c r="FF45">
        <f t="shared" si="1487"/>
        <v>-0.31995312216469429</v>
      </c>
      <c r="FG45">
        <f t="shared" si="1487"/>
        <v>-0.31761161330794607</v>
      </c>
      <c r="FH45">
        <f t="shared" ref="FH45:HS45" si="1488">$S$14*FH29+$T$14*FH30+$U$14*FH31</f>
        <v>-0.31521561527259578</v>
      </c>
      <c r="FI45">
        <f t="shared" si="1488"/>
        <v>-0.31276559637211676</v>
      </c>
      <c r="FJ45">
        <f t="shared" si="1488"/>
        <v>-0.31026202890828714</v>
      </c>
      <c r="FK45">
        <f t="shared" si="1488"/>
        <v>-0.30770538912913281</v>
      </c>
      <c r="FL45">
        <f t="shared" si="1488"/>
        <v>-0.30509615718670702</v>
      </c>
      <c r="FM45">
        <f t="shared" si="1488"/>
        <v>-0.3024348170948663</v>
      </c>
      <c r="FN45">
        <f t="shared" si="1488"/>
        <v>-0.29972185668683693</v>
      </c>
      <c r="FO45">
        <f t="shared" si="1488"/>
        <v>-0.29695776757271375</v>
      </c>
      <c r="FP45">
        <f t="shared" si="1488"/>
        <v>-0.29414304509671041</v>
      </c>
      <c r="FQ45">
        <f t="shared" si="1488"/>
        <v>-0.29127818829429231</v>
      </c>
      <c r="FR45">
        <f t="shared" si="1488"/>
        <v>-0.28836369984914256</v>
      </c>
      <c r="FS45">
        <f t="shared" si="1488"/>
        <v>-0.28540008604992551</v>
      </c>
      <c r="FT45">
        <f t="shared" si="1488"/>
        <v>-0.28238785674675881</v>
      </c>
      <c r="FU45">
        <f t="shared" si="1488"/>
        <v>-0.27932752530762173</v>
      </c>
      <c r="FV45">
        <f t="shared" si="1488"/>
        <v>-0.27621960857441863</v>
      </c>
      <c r="FW45">
        <f t="shared" si="1488"/>
        <v>-0.27306462681880816</v>
      </c>
      <c r="FX45">
        <f t="shared" si="1488"/>
        <v>-0.26986310369789024</v>
      </c>
      <c r="FY45">
        <f t="shared" si="1488"/>
        <v>-0.26661556620952354</v>
      </c>
      <c r="FZ45">
        <f t="shared" si="1488"/>
        <v>-0.2633225446474512</v>
      </c>
      <c r="GA45">
        <f t="shared" si="1488"/>
        <v>-0.2599845725561849</v>
      </c>
      <c r="GB45">
        <f t="shared" si="1488"/>
        <v>-0.25660218668552659</v>
      </c>
      <c r="GC45">
        <f t="shared" si="1488"/>
        <v>-0.2531759269449303</v>
      </c>
      <c r="GD45">
        <f t="shared" si="1488"/>
        <v>-0.24970633635749451</v>
      </c>
      <c r="GE45">
        <f t="shared" si="1488"/>
        <v>-0.24619396101371294</v>
      </c>
      <c r="GF45">
        <f t="shared" si="1488"/>
        <v>-0.24263935002496595</v>
      </c>
      <c r="GG45">
        <f t="shared" si="1488"/>
        <v>-0.23904305547664251</v>
      </c>
      <c r="GH45">
        <f t="shared" si="1488"/>
        <v>-0.2354056323810525</v>
      </c>
      <c r="GI45">
        <f t="shared" si="1488"/>
        <v>-0.23172763863001933</v>
      </c>
      <c r="GJ45">
        <f t="shared" si="1488"/>
        <v>-0.228009634947135</v>
      </c>
      <c r="GK45">
        <f t="shared" si="1488"/>
        <v>-0.22425218483978426</v>
      </c>
      <c r="GL45">
        <f t="shared" si="1488"/>
        <v>-0.22045585455083838</v>
      </c>
      <c r="GM45">
        <f t="shared" si="1488"/>
        <v>-0.21662121301001136</v>
      </c>
      <c r="GN45">
        <f t="shared" si="1488"/>
        <v>-0.21274883178502435</v>
      </c>
      <c r="GO45">
        <f t="shared" si="1488"/>
        <v>-0.20883928503234728</v>
      </c>
      <c r="GP45">
        <f t="shared" si="1488"/>
        <v>-0.2048931494477344</v>
      </c>
      <c r="GQ45">
        <f t="shared" si="1488"/>
        <v>-0.20091100421639041</v>
      </c>
      <c r="GR45">
        <f t="shared" si="1488"/>
        <v>-0.19689343096290557</v>
      </c>
      <c r="GS45">
        <f t="shared" si="1488"/>
        <v>-0.19284101370084272</v>
      </c>
      <c r="GT45">
        <f t="shared" si="1488"/>
        <v>-0.18875433878205072</v>
      </c>
      <c r="GU45">
        <f t="shared" si="1488"/>
        <v>-0.18463399484571852</v>
      </c>
      <c r="GV45">
        <f t="shared" si="1488"/>
        <v>-0.18048057276703133</v>
      </c>
      <c r="GW45">
        <f t="shared" si="1488"/>
        <v>-0.17629466560569185</v>
      </c>
      <c r="GX45">
        <f t="shared" si="1488"/>
        <v>-0.17207686855398308</v>
      </c>
      <c r="GY45">
        <f t="shared" si="1488"/>
        <v>-0.16782777888473888</v>
      </c>
      <c r="GZ45">
        <f t="shared" si="1488"/>
        <v>-0.16354799589881353</v>
      </c>
      <c r="HA45">
        <f t="shared" si="1488"/>
        <v>-0.1592381208724909</v>
      </c>
      <c r="HB45">
        <f t="shared" si="1488"/>
        <v>-0.15489875700444955</v>
      </c>
      <c r="HC45">
        <f t="shared" si="1488"/>
        <v>-0.15053050936255019</v>
      </c>
      <c r="HD45">
        <f t="shared" si="1488"/>
        <v>-0.14613398483031048</v>
      </c>
      <c r="HE45">
        <f t="shared" si="1488"/>
        <v>-0.14170979205314183</v>
      </c>
      <c r="HF45">
        <f t="shared" si="1488"/>
        <v>-0.13725854138433036</v>
      </c>
      <c r="HG45">
        <f t="shared" si="1488"/>
        <v>-0.13278084483068753</v>
      </c>
      <c r="HH45">
        <f t="shared" si="1488"/>
        <v>-0.12827731599806214</v>
      </c>
      <c r="HI45">
        <f t="shared" si="1488"/>
        <v>-0.1237485700365113</v>
      </c>
      <c r="HJ45">
        <f t="shared" si="1488"/>
        <v>-0.11919522358528667</v>
      </c>
      <c r="HK45">
        <f t="shared" si="1488"/>
        <v>-0.11461789471753292</v>
      </c>
      <c r="HL45">
        <f t="shared" si="1488"/>
        <v>-0.11001720288478367</v>
      </c>
      <c r="HM45">
        <f t="shared" si="1488"/>
        <v>-0.10539376886121232</v>
      </c>
      <c r="HN45">
        <f t="shared" si="1488"/>
        <v>-0.10074821468768036</v>
      </c>
      <c r="HO45">
        <f t="shared" si="1488"/>
        <v>-9.6081163615529874E-2</v>
      </c>
      <c r="HP45">
        <f t="shared" si="1488"/>
        <v>-9.139324005018068E-2</v>
      </c>
      <c r="HQ45">
        <f t="shared" si="1488"/>
        <v>-8.6685069494528477E-2</v>
      </c>
      <c r="HR45">
        <f t="shared" si="1488"/>
        <v>-8.1957278492126306E-2</v>
      </c>
      <c r="HS45">
        <f t="shared" si="1488"/>
        <v>-7.7210494570124411E-2</v>
      </c>
      <c r="HT45">
        <f t="shared" ref="HT45:JI45" si="1489">$S$14*HT29+$T$14*HT30+$U$14*HT31</f>
        <v>-7.2445346182153258E-2</v>
      </c>
      <c r="HU45">
        <f t="shared" si="1489"/>
        <v>-6.7662462650826427E-2</v>
      </c>
      <c r="HV45">
        <f t="shared" si="1489"/>
        <v>-6.2862474110211508E-2</v>
      </c>
      <c r="HW45">
        <f t="shared" si="1489"/>
        <v>-5.8046011448077195E-2</v>
      </c>
      <c r="HX45">
        <f t="shared" si="1489"/>
        <v>-5.321370624795918E-2</v>
      </c>
      <c r="HY45">
        <f t="shared" si="1489"/>
        <v>-4.8366190731044867E-2</v>
      </c>
      <c r="HZ45">
        <f t="shared" si="1489"/>
        <v>-4.3504097697969257E-2</v>
      </c>
      <c r="IA45">
        <f t="shared" si="1489"/>
        <v>-3.8628060470376369E-2</v>
      </c>
      <c r="IB45">
        <f t="shared" si="1489"/>
        <v>-3.3738712832413142E-2</v>
      </c>
      <c r="IC45">
        <f t="shared" si="1489"/>
        <v>-2.8836688972003088E-2</v>
      </c>
      <c r="ID45">
        <f t="shared" si="1489"/>
        <v>-2.3922623422048872E-2</v>
      </c>
      <c r="IE45">
        <f t="shared" si="1489"/>
        <v>-1.8997151001467927E-2</v>
      </c>
      <c r="IF45">
        <f t="shared" si="1489"/>
        <v>-1.406090675615701E-2</v>
      </c>
      <c r="IG45">
        <f t="shared" si="1489"/>
        <v>-9.1145258998075462E-3</v>
      </c>
      <c r="IH45">
        <f t="shared" si="1489"/>
        <v>-4.1586437545646504E-3</v>
      </c>
      <c r="II45">
        <f t="shared" si="1489"/>
        <v>8.0610430829253232E-4</v>
      </c>
      <c r="IJ45">
        <f t="shared" si="1489"/>
        <v>5.7790829278694389E-3</v>
      </c>
      <c r="IK45">
        <f t="shared" si="1489"/>
        <v>1.075965681321378E-2</v>
      </c>
      <c r="IL45">
        <f t="shared" si="1489"/>
        <v>1.5747190802997579E-2</v>
      </c>
      <c r="IM45">
        <f t="shared" si="1489"/>
        <v>2.0741049925206312E-2</v>
      </c>
      <c r="IN45">
        <f t="shared" si="1489"/>
        <v>2.5740599456963054E-2</v>
      </c>
      <c r="IO45">
        <f t="shared" si="1489"/>
        <v>3.0745204984341967E-2</v>
      </c>
      <c r="IP45">
        <f t="shared" si="1489"/>
        <v>3.5754232462323898E-2</v>
      </c>
      <c r="IQ45">
        <f t="shared" si="1489"/>
        <v>4.076704827473776E-2</v>
      </c>
      <c r="IR45">
        <f t="shared" si="1489"/>
        <v>4.5783019294223237E-2</v>
      </c>
      <c r="IS45">
        <f t="shared" si="1489"/>
        <v>5.0801512942335592E-2</v>
      </c>
      <c r="IT45">
        <f t="shared" si="1489"/>
        <v>5.5821897249497709E-2</v>
      </c>
      <c r="IU45">
        <f t="shared" si="1489"/>
        <v>6.084354091518307E-2</v>
      </c>
      <c r="IV45">
        <f t="shared" si="1489"/>
        <v>6.5865813367917525E-2</v>
      </c>
      <c r="IW45">
        <f t="shared" si="1489"/>
        <v>7.0888084825423192E-2</v>
      </c>
      <c r="IX45">
        <f t="shared" si="1489"/>
        <v>7.5909726354680629E-2</v>
      </c>
      <c r="IY45">
        <f t="shared" si="1489"/>
        <v>8.0930109932037197E-2</v>
      </c>
      <c r="IZ45">
        <f t="shared" si="1489"/>
        <v>8.5948608503255031E-2</v>
      </c>
      <c r="JA45">
        <f t="shared" si="1489"/>
        <v>9.0964596043562551E-2</v>
      </c>
      <c r="JB45">
        <f t="shared" si="1489"/>
        <v>9.5977447617688227E-2</v>
      </c>
      <c r="JC45">
        <f t="shared" si="1489"/>
        <v>0.1009865394397842</v>
      </c>
      <c r="JD45">
        <f t="shared" si="1489"/>
        <v>0.10599124893342093</v>
      </c>
      <c r="JE45">
        <f t="shared" si="1489"/>
        <v>0.11099095479145049</v>
      </c>
      <c r="JF45">
        <f t="shared" si="1489"/>
        <v>0.11598503703581997</v>
      </c>
      <c r="JG45">
        <f t="shared" si="1489"/>
        <v>0.12097287707732818</v>
      </c>
      <c r="JH45">
        <f t="shared" si="1489"/>
        <v>0.12595385777534318</v>
      </c>
      <c r="JI45">
        <f t="shared" si="1489"/>
        <v>0.13092736349740264</v>
      </c>
      <c r="JJ45">
        <f t="shared" ref="JJ45:LU45" si="1490">$S$14*JJ29+$T$14*JJ30+$U$14*JJ31</f>
        <v>0.13589278017869688</v>
      </c>
      <c r="JK45">
        <f t="shared" si="1490"/>
        <v>0.14084949538156977</v>
      </c>
      <c r="JL45">
        <f t="shared" si="1490"/>
        <v>0.14579689835478149</v>
      </c>
      <c r="JM45">
        <f t="shared" si="1490"/>
        <v>0.1507343800927643</v>
      </c>
      <c r="JN45">
        <f t="shared" si="1490"/>
        <v>0.15566133339471833</v>
      </c>
      <c r="JO45">
        <f t="shared" si="1490"/>
        <v>0.16057715292362573</v>
      </c>
      <c r="JP45">
        <f t="shared" si="1490"/>
        <v>0.1654812352650481</v>
      </c>
      <c r="JQ45">
        <f t="shared" si="1490"/>
        <v>0.17037297898591675</v>
      </c>
      <c r="JR45">
        <f t="shared" si="1490"/>
        <v>0.17525178469306368</v>
      </c>
      <c r="JS45">
        <f t="shared" si="1490"/>
        <v>0.18011705509165665</v>
      </c>
      <c r="JT45">
        <f t="shared" si="1490"/>
        <v>0.18496819504349205</v>
      </c>
      <c r="JU45">
        <f t="shared" si="1490"/>
        <v>0.18980461162509954</v>
      </c>
      <c r="JV45">
        <f t="shared" si="1490"/>
        <v>0.19462571418565489</v>
      </c>
      <c r="JW45">
        <f t="shared" si="1490"/>
        <v>0.19943091440476834</v>
      </c>
      <c r="JX45">
        <f t="shared" si="1490"/>
        <v>0.20421962635006352</v>
      </c>
      <c r="JY45">
        <f t="shared" si="1490"/>
        <v>0.20899126653453237</v>
      </c>
      <c r="JZ45">
        <f t="shared" si="1490"/>
        <v>0.21374525397374811</v>
      </c>
      <c r="KA45">
        <f t="shared" si="1490"/>
        <v>0.2184810102428294</v>
      </c>
      <c r="KB45">
        <f t="shared" si="1490"/>
        <v>0.22319795953324117</v>
      </c>
      <c r="KC45">
        <f t="shared" si="1490"/>
        <v>0.22789552870930407</v>
      </c>
      <c r="KD45">
        <f t="shared" si="1490"/>
        <v>0.23257314736455825</v>
      </c>
      <c r="KE45">
        <f t="shared" si="1490"/>
        <v>0.23723024787782876</v>
      </c>
      <c r="KF45">
        <f t="shared" si="1490"/>
        <v>0.24186626546907419</v>
      </c>
      <c r="KG45">
        <f t="shared" si="1490"/>
        <v>0.24648063825503996</v>
      </c>
      <c r="KH45">
        <f t="shared" si="1490"/>
        <v>0.25107280730457049</v>
      </c>
      <c r="KI45">
        <f t="shared" si="1490"/>
        <v>0.25564221669372955</v>
      </c>
      <c r="KJ45">
        <f t="shared" si="1490"/>
        <v>0.26018831356060801</v>
      </c>
      <c r="KK45">
        <f t="shared" si="1490"/>
        <v>0.26471054815991835</v>
      </c>
      <c r="KL45">
        <f t="shared" si="1490"/>
        <v>0.26920837391723396</v>
      </c>
      <c r="KM45">
        <f t="shared" si="1490"/>
        <v>0.27368124748304012</v>
      </c>
      <c r="KN45">
        <f t="shared" si="1490"/>
        <v>0.27812862878636579</v>
      </c>
      <c r="KO45">
        <f t="shared" si="1490"/>
        <v>0.2825499810882306</v>
      </c>
      <c r="KP45">
        <f t="shared" si="1490"/>
        <v>0.28694477103477212</v>
      </c>
      <c r="KQ45">
        <f t="shared" si="1490"/>
        <v>0.29131246870996819</v>
      </c>
      <c r="KR45">
        <f t="shared" si="1490"/>
        <v>0.29565254768815308</v>
      </c>
      <c r="KS45">
        <f t="shared" si="1490"/>
        <v>0.29996448508617135</v>
      </c>
      <c r="KT45">
        <f t="shared" si="1490"/>
        <v>0.30424776161513378</v>
      </c>
      <c r="KU45">
        <f t="shared" si="1490"/>
        <v>0.30848523524203841</v>
      </c>
      <c r="KV45">
        <f t="shared" si="1490"/>
        <v>0.31264096307145195</v>
      </c>
      <c r="KW45">
        <f t="shared" si="1490"/>
        <v>0.31666709318908559</v>
      </c>
      <c r="KX45">
        <f t="shared" si="1490"/>
        <v>0.32051255610810969</v>
      </c>
      <c r="KY45">
        <f t="shared" si="1490"/>
        <v>0.32412993002678547</v>
      </c>
      <c r="KZ45">
        <f t="shared" si="1490"/>
        <v>0.32747957917489501</v>
      </c>
      <c r="LA45">
        <f t="shared" si="1490"/>
        <v>0.33053142784671863</v>
      </c>
      <c r="LB45">
        <f t="shared" si="1490"/>
        <v>0.33326509313454622</v>
      </c>
      <c r="LC45">
        <f t="shared" si="1490"/>
        <v>0.33566905336627784</v>
      </c>
      <c r="LD45">
        <f t="shared" si="1490"/>
        <v>0.33773935605428562</v>
      </c>
      <c r="LE45">
        <f t="shared" si="1490"/>
        <v>0.33947819285256386</v>
      </c>
      <c r="LF45">
        <f t="shared" si="1490"/>
        <v>0.3408925310504678</v>
      </c>
      <c r="LG45">
        <f t="shared" si="1490"/>
        <v>0.341992896456361</v>
      </c>
      <c r="LH45">
        <f t="shared" si="1490"/>
        <v>0.34279234330180586</v>
      </c>
      <c r="LI45">
        <f t="shared" si="1490"/>
        <v>0.34330561282989791</v>
      </c>
      <c r="LJ45">
        <f t="shared" si="1490"/>
        <v>0.34354846477455681</v>
      </c>
      <c r="LK45">
        <f t="shared" si="1490"/>
        <v>0.34353715856421019</v>
      </c>
      <c r="LL45">
        <f t="shared" si="1490"/>
        <v>0.34328805946494967</v>
      </c>
      <c r="LM45">
        <f t="shared" si="1490"/>
        <v>0.34281734627095162</v>
      </c>
      <c r="LN45">
        <f t="shared" si="1490"/>
        <v>0.34214079990368873</v>
      </c>
      <c r="LO45">
        <f t="shared" si="1490"/>
        <v>0.34127365545640842</v>
      </c>
      <c r="LP45">
        <f t="shared" si="1490"/>
        <v>0.34023050331670035</v>
      </c>
      <c r="LQ45">
        <f t="shared" si="1490"/>
        <v>0.33902522778329214</v>
      </c>
      <c r="LR45">
        <f t="shared" si="1490"/>
        <v>0.33767097397655377</v>
      </c>
      <c r="LS45">
        <f t="shared" si="1490"/>
        <v>0.33618013581979866</v>
      </c>
      <c r="LT45">
        <f t="shared" si="1490"/>
        <v>0.33456435947476848</v>
      </c>
      <c r="LU45">
        <f t="shared" si="1490"/>
        <v>0.33283455789872107</v>
      </c>
      <c r="LV45">
        <f t="shared" ref="LV45:OG45" si="1491">$S$14*LV29+$T$14*LV30+$U$14*LV31</f>
        <v>0.33100093320459933</v>
      </c>
      <c r="LW45">
        <f t="shared" si="1491"/>
        <v>0.32907300430052544</v>
      </c>
      <c r="LX45">
        <f t="shared" si="1491"/>
        <v>0.32705963790190395</v>
      </c>
      <c r="LY45">
        <f t="shared" si="1491"/>
        <v>0.32496908148753789</v>
      </c>
      <c r="LZ45">
        <f t="shared" si="1491"/>
        <v>0.32280899713807898</v>
      </c>
      <c r="MA45">
        <f t="shared" si="1491"/>
        <v>0.32058649547726858</v>
      </c>
      <c r="MB45">
        <f t="shared" si="1491"/>
        <v>0.31830816915107363</v>
      </c>
      <c r="MC45">
        <f t="shared" si="1491"/>
        <v>0.31598012544410992</v>
      </c>
      <c r="MD45">
        <f t="shared" si="1491"/>
        <v>0.31360801775633007</v>
      </c>
      <c r="ME45">
        <f t="shared" si="1491"/>
        <v>0.31119707575712141</v>
      </c>
      <c r="MF45">
        <f t="shared" si="1491"/>
        <v>0.30875213410426383</v>
      </c>
      <c r="MG45">
        <f t="shared" si="1491"/>
        <v>0.30627765966790221</v>
      </c>
      <c r="MH45">
        <f t="shared" si="1491"/>
        <v>0.30377777723865407</v>
      </c>
      <c r="MI45">
        <f t="shared" si="1491"/>
        <v>0.30125629372779628</v>
      </c>
      <c r="MJ45">
        <f t="shared" si="1491"/>
        <v>0.29871672088785672</v>
      </c>
      <c r="MK45">
        <f t="shared" si="1491"/>
        <v>0.29616229659706406</v>
      </c>
      <c r="ML45">
        <f t="shared" si="1491"/>
        <v>0.29359600476074377</v>
      </c>
      <c r="MM45">
        <f t="shared" si="1491"/>
        <v>0.29102059388968726</v>
      </c>
      <c r="MN45">
        <f t="shared" si="1491"/>
        <v>0.28843859441930775</v>
      </c>
      <c r="MO45">
        <f t="shared" si="1491"/>
        <v>0.28585233483557104</v>
      </c>
      <c r="MP45">
        <f t="shared" si="1491"/>
        <v>0.28326395667410864</v>
      </c>
      <c r="MQ45">
        <f t="shared" si="1491"/>
        <v>0.28067542845829863</v>
      </c>
      <c r="MR45">
        <f t="shared" si="1491"/>
        <v>0.27808855864109816</v>
      </c>
      <c r="MS45">
        <f t="shared" si="1491"/>
        <v>0.27550500761296348</v>
      </c>
      <c r="MT45">
        <f t="shared" si="1491"/>
        <v>0.27292629883628905</v>
      </c>
      <c r="MU45">
        <f t="shared" si="1491"/>
        <v>0.27035382916422535</v>
      </c>
      <c r="MV45">
        <f t="shared" si="1491"/>
        <v>0.26778887839855514</v>
      </c>
      <c r="MW45">
        <f t="shared" si="1491"/>
        <v>0.26523261813907695</v>
      </c>
      <c r="MX45">
        <f t="shared" si="1491"/>
        <v>0.26268611997357993</v>
      </c>
      <c r="MY45">
        <f t="shared" si="1491"/>
        <v>0.2601503630551214</v>
      </c>
      <c r="MZ45">
        <f t="shared" si="1491"/>
        <v>0.2576262411101311</v>
      </c>
      <c r="NA45">
        <f t="shared" si="1491"/>
        <v>0.25511456891845441</v>
      </c>
      <c r="NB45">
        <f t="shared" si="1491"/>
        <v>0.25261608830365745</v>
      </c>
      <c r="NC45">
        <f t="shared" si="1491"/>
        <v>0.2501314736696294</v>
      </c>
      <c r="ND45">
        <f t="shared" si="1491"/>
        <v>0.24766133711687388</v>
      </c>
      <c r="NE45">
        <f t="shared" si="1491"/>
        <v>0.24520623316976753</v>
      </c>
      <c r="NF45">
        <f t="shared" si="1491"/>
        <v>0.24276666314394646</v>
      </c>
      <c r="NG45">
        <f t="shared" si="1491"/>
        <v>0.24034307918084608</v>
      </c>
      <c r="NH45">
        <f t="shared" si="1491"/>
        <v>0.23793588797444798</v>
      </c>
      <c r="NI45">
        <f t="shared" si="1491"/>
        <v>0.23554545421377071</v>
      </c>
      <c r="NJ45">
        <f t="shared" si="1491"/>
        <v>0.2331721037626231</v>
      </c>
      <c r="NK45">
        <f t="shared" si="1491"/>
        <v>0.23081612659672146</v>
      </c>
      <c r="NL45">
        <f t="shared" si="1491"/>
        <v>0.22847777951682957</v>
      </c>
      <c r="NM45">
        <f t="shared" si="1491"/>
        <v>0.22615728865509155</v>
      </c>
      <c r="NN45">
        <f t="shared" si="1491"/>
        <v>0.22385485179049169</v>
      </c>
      <c r="NO45">
        <f t="shared" si="1491"/>
        <v>0.22157064048823472</v>
      </c>
      <c r="NP45">
        <f t="shared" si="1491"/>
        <v>0.21930480207653957</v>
      </c>
      <c r="NQ45">
        <f t="shared" si="1491"/>
        <v>0.21705746147361893</v>
      </c>
      <c r="NR45">
        <f t="shared" si="1491"/>
        <v>0.21482872287628751</v>
      </c>
      <c r="NS45">
        <f t="shared" si="1491"/>
        <v>0.21261867132101386</v>
      </c>
      <c r="NT45">
        <f t="shared" si="1491"/>
        <v>0.21042737412738433</v>
      </c>
      <c r="NU45">
        <f t="shared" si="1491"/>
        <v>0.20825488223296063</v>
      </c>
      <c r="NV45">
        <f t="shared" si="1491"/>
        <v>0.20610123142806103</v>
      </c>
      <c r="NW45">
        <f t="shared" si="1491"/>
        <v>0.20396644349826332</v>
      </c>
      <c r="NX45">
        <f t="shared" si="1491"/>
        <v>0.20185052728172082</v>
      </c>
      <c r="NY45">
        <f t="shared" si="1491"/>
        <v>0.19975347964789236</v>
      </c>
      <c r="NZ45">
        <f t="shared" si="1491"/>
        <v>0.19767528640390353</v>
      </c>
      <c r="OA45">
        <f t="shared" si="1491"/>
        <v>0.19561592313391074</v>
      </c>
      <c r="OB45">
        <f t="shared" si="1491"/>
        <v>0.19357535597695019</v>
      </c>
      <c r="OC45">
        <f t="shared" si="1491"/>
        <v>0.19155354234768041</v>
      </c>
      <c r="OD45">
        <f t="shared" si="1491"/>
        <v>0.18955043160470808</v>
      </c>
      <c r="OE45">
        <f t="shared" si="1491"/>
        <v>0.1875659656703661</v>
      </c>
      <c r="OF45">
        <f t="shared" si="1491"/>
        <v>0.18560007960564917</v>
      </c>
      <c r="OG45">
        <f t="shared" si="1491"/>
        <v>0.18365270214389895</v>
      </c>
      <c r="OH45">
        <f t="shared" ref="OH45:QS45" si="1492">$S$14*OH29+$T$14*OH30+$U$14*OH31</f>
        <v>0.18172375618615888</v>
      </c>
      <c r="OI45">
        <f t="shared" si="1492"/>
        <v>0.179813159261343</v>
      </c>
      <c r="OJ45">
        <f t="shared" si="1492"/>
        <v>0.17792082395369491</v>
      </c>
      <c r="OK45">
        <f t="shared" si="1492"/>
        <v>0.1760466583000948</v>
      </c>
      <c r="OL45">
        <f t="shared" si="1492"/>
        <v>0.17419056615952755</v>
      </c>
      <c r="OM45">
        <f t="shared" si="1492"/>
        <v>0.17235244755666912</v>
      </c>
      <c r="ON45">
        <f t="shared" si="1492"/>
        <v>0.1705321990016806</v>
      </c>
      <c r="OO45">
        <f t="shared" si="1492"/>
        <v>0.16872971378782253</v>
      </c>
      <c r="OP45">
        <f t="shared" si="1492"/>
        <v>0.16694488226863413</v>
      </c>
      <c r="OQ45">
        <f t="shared" si="1492"/>
        <v>0.16517759211619065</v>
      </c>
      <c r="OR45">
        <f t="shared" si="1492"/>
        <v>0.16342772856172161</v>
      </c>
      <c r="OS45">
        <f t="shared" si="1492"/>
        <v>0.16169517461997884</v>
      </c>
      <c r="OT45">
        <f t="shared" si="1492"/>
        <v>0.15997981129849492</v>
      </c>
      <c r="OU45">
        <f t="shared" si="1492"/>
        <v>0.15828151779279409</v>
      </c>
      <c r="OV45">
        <f t="shared" si="1492"/>
        <v>0.15660017166857543</v>
      </c>
      <c r="OW45">
        <f t="shared" si="1492"/>
        <v>0.15493564903191626</v>
      </c>
      <c r="OX45">
        <f t="shared" si="1492"/>
        <v>0.15328782468807489</v>
      </c>
      <c r="OY45">
        <f t="shared" si="1492"/>
        <v>0.15165657228993368</v>
      </c>
      <c r="OZ45">
        <f t="shared" si="1492"/>
        <v>0.15004176447677509</v>
      </c>
      <c r="PA45">
        <f t="shared" si="1492"/>
        <v>0.14844327300390248</v>
      </c>
      <c r="PB45">
        <f t="shared" si="1492"/>
        <v>0.14686096886392974</v>
      </c>
      <c r="PC45">
        <f t="shared" si="1492"/>
        <v>0.14529472240017682</v>
      </c>
      <c r="PD45">
        <f t="shared" si="1492"/>
        <v>0.14374440341279282</v>
      </c>
      <c r="PE45">
        <f t="shared" si="1492"/>
        <v>0.14220988125801881</v>
      </c>
      <c r="PF45">
        <f t="shared" si="1492"/>
        <v>0.14069102494111618</v>
      </c>
      <c r="PG45">
        <f t="shared" si="1492"/>
        <v>0.13918770320334417</v>
      </c>
      <c r="PH45">
        <f t="shared" si="1492"/>
        <v>0.13769978460338805</v>
      </c>
      <c r="PI45">
        <f t="shared" si="1492"/>
        <v>0.13622713759359684</v>
      </c>
      <c r="PJ45">
        <f t="shared" si="1492"/>
        <v>0.13476963059135372</v>
      </c>
      <c r="PK45">
        <f t="shared" si="1492"/>
        <v>0.13332713204594882</v>
      </c>
      <c r="PL45">
        <f t="shared" si="1492"/>
        <v>0.13189951050114601</v>
      </c>
      <c r="PM45">
        <f t="shared" si="1492"/>
        <v>0.13048663465381694</v>
      </c>
      <c r="PN45">
        <f t="shared" si="1492"/>
        <v>0.12908837340880552</v>
      </c>
      <c r="PO45">
        <f t="shared" si="1492"/>
        <v>0.12770459593031447</v>
      </c>
      <c r="PP45">
        <f t="shared" si="1492"/>
        <v>0.12633517168995922</v>
      </c>
      <c r="PQ45">
        <f t="shared" si="1492"/>
        <v>0.12497997051184839</v>
      </c>
      <c r="PR45">
        <f t="shared" si="1492"/>
        <v>0.12363886261461232</v>
      </c>
      <c r="PS45">
        <f t="shared" si="1492"/>
        <v>0.12231171865085599</v>
      </c>
      <c r="PT45">
        <f t="shared" si="1492"/>
        <v>0.1209984097439154</v>
      </c>
      <c r="PU45">
        <f t="shared" si="1492"/>
        <v>0.11969880752234729</v>
      </c>
      <c r="PV45">
        <f t="shared" si="1492"/>
        <v>0.11841278415199596</v>
      </c>
      <c r="PW45">
        <f t="shared" si="1492"/>
        <v>0.11714021236609184</v>
      </c>
      <c r="PX45">
        <f t="shared" si="1492"/>
        <v>0.11588096549316163</v>
      </c>
      <c r="PY45">
        <f t="shared" si="1492"/>
        <v>0.11463491748321175</v>
      </c>
      <c r="PZ45">
        <f t="shared" si="1492"/>
        <v>0.11340194293197925</v>
      </c>
      <c r="QA45">
        <f t="shared" si="1492"/>
        <v>0.11218191710358028</v>
      </c>
      <c r="QB45">
        <f t="shared" si="1492"/>
        <v>0.11097471595155994</v>
      </c>
      <c r="QC45">
        <f t="shared" si="1492"/>
        <v>0.10978021613838251</v>
      </c>
      <c r="QD45">
        <f t="shared" si="1492"/>
        <v>0.10859829505358576</v>
      </c>
      <c r="QE45">
        <f t="shared" si="1492"/>
        <v>0.10742883083048582</v>
      </c>
      <c r="QF45">
        <f t="shared" si="1492"/>
        <v>0.10627170236173455</v>
      </c>
      <c r="QG45">
        <f t="shared" si="1492"/>
        <v>0.10512678931360853</v>
      </c>
      <c r="QH45">
        <f t="shared" si="1492"/>
        <v>0.10399397213910433</v>
      </c>
      <c r="QI45">
        <f t="shared" si="1492"/>
        <v>0.10287313209011728</v>
      </c>
      <c r="QJ45">
        <f t="shared" si="1492"/>
        <v>0.10176415122845128</v>
      </c>
      <c r="QK45">
        <f t="shared" si="1492"/>
        <v>0.10066691243597603</v>
      </c>
      <c r="QL45">
        <f t="shared" si="1492"/>
        <v>9.9581299423778802E-2</v>
      </c>
      <c r="QM45">
        <f t="shared" si="1492"/>
        <v>9.8507196740566627E-2</v>
      </c>
      <c r="QN45">
        <f t="shared" si="1492"/>
        <v>9.7444489780102117E-2</v>
      </c>
      <c r="QO45">
        <f t="shared" si="1492"/>
        <v>9.6393064788049543E-2</v>
      </c>
      <c r="QP45">
        <f t="shared" si="1492"/>
        <v>9.5352808867914973E-2</v>
      </c>
      <c r="QQ45">
        <f t="shared" si="1492"/>
        <v>9.432360998640732E-2</v>
      </c>
      <c r="QR45">
        <f t="shared" si="1492"/>
        <v>9.3305356978099496E-2</v>
      </c>
      <c r="QS45">
        <f t="shared" si="1492"/>
        <v>9.2297939549442987E-2</v>
      </c>
      <c r="QT45">
        <f t="shared" ref="QT45:TE45" si="1493">$S$14*QT29+$T$14*QT30+$U$14*QT31</f>
        <v>9.1301248282253056E-2</v>
      </c>
      <c r="QU45">
        <f t="shared" si="1493"/>
        <v>9.0315174636565132E-2</v>
      </c>
      <c r="QV45">
        <f t="shared" si="1493"/>
        <v>8.933961095302223E-2</v>
      </c>
      <c r="QW45">
        <f t="shared" si="1493"/>
        <v>8.8374450454715259E-2</v>
      </c>
      <c r="QX45">
        <f t="shared" si="1493"/>
        <v>8.741958724856147E-2</v>
      </c>
      <c r="QY45">
        <f t="shared" si="1493"/>
        <v>8.6474916326238827E-2</v>
      </c>
      <c r="QZ45">
        <f t="shared" si="1493"/>
        <v>8.5540333564694038E-2</v>
      </c>
      <c r="RA45">
        <f t="shared" si="1493"/>
        <v>8.4615735726195851E-2</v>
      </c>
      <c r="RB45">
        <f t="shared" si="1493"/>
        <v>8.3701020458121889E-2</v>
      </c>
      <c r="RC45">
        <f t="shared" si="1493"/>
        <v>8.2796086292205473E-2</v>
      </c>
      <c r="RD45">
        <f t="shared" si="1493"/>
        <v>8.1900832643654553E-2</v>
      </c>
      <c r="RE45">
        <f t="shared" si="1493"/>
        <v>8.1015159809727066E-2</v>
      </c>
      <c r="RF45">
        <f t="shared" si="1493"/>
        <v>8.0138968968153534E-2</v>
      </c>
      <c r="RG45">
        <f t="shared" si="1493"/>
        <v>7.9272162175215044E-2</v>
      </c>
      <c r="RH45">
        <f t="shared" si="1493"/>
        <v>7.8414642363529907E-2</v>
      </c>
      <c r="RI45">
        <f t="shared" si="1493"/>
        <v>7.7566313339602289E-2</v>
      </c>
      <c r="RJ45">
        <f t="shared" si="1493"/>
        <v>7.672707978111859E-2</v>
      </c>
      <c r="RK45">
        <f t="shared" si="1493"/>
        <v>7.5896847234027121E-2</v>
      </c>
      <c r="RL45">
        <f t="shared" si="1493"/>
        <v>7.5075522109337101E-2</v>
      </c>
      <c r="RM45">
        <f t="shared" si="1493"/>
        <v>7.4263011679832402E-2</v>
      </c>
      <c r="RN45">
        <f t="shared" si="1493"/>
        <v>7.3459224076447782E-2</v>
      </c>
      <c r="RO45">
        <f t="shared" si="1493"/>
        <v>7.2664068284542083E-2</v>
      </c>
      <c r="RP45">
        <f t="shared" si="1493"/>
        <v>7.1877454140047092E-2</v>
      </c>
      <c r="RQ45">
        <f t="shared" si="1493"/>
        <v>7.1099292325296659E-2</v>
      </c>
      <c r="RR45">
        <f t="shared" si="1493"/>
        <v>7.0329494364884226E-2</v>
      </c>
      <c r="RS45">
        <f t="shared" si="1493"/>
        <v>6.9567972621250362E-2</v>
      </c>
      <c r="RT45">
        <f t="shared" si="1493"/>
        <v>6.8814640290192131E-2</v>
      </c>
      <c r="RU45">
        <f t="shared" si="1493"/>
        <v>6.8069411396226798E-2</v>
      </c>
      <c r="RV45">
        <f t="shared" si="1493"/>
        <v>6.7332200787880936E-2</v>
      </c>
      <c r="RW45">
        <f t="shared" si="1493"/>
        <v>6.6602924132769914E-2</v>
      </c>
      <c r="RX45">
        <f t="shared" si="1493"/>
        <v>6.5881497912702258E-2</v>
      </c>
      <c r="RY45">
        <f t="shared" si="1493"/>
        <v>6.5167839418613482E-2</v>
      </c>
      <c r="RZ45">
        <f t="shared" si="1493"/>
        <v>6.4461866745389784E-2</v>
      </c>
      <c r="SA45">
        <f t="shared" si="1493"/>
        <v>6.376349878671661E-2</v>
      </c>
      <c r="SB45">
        <f t="shared" si="1493"/>
        <v>6.30726552297034E-2</v>
      </c>
      <c r="SC45">
        <f t="shared" si="1493"/>
        <v>6.2389256549600702E-2</v>
      </c>
      <c r="SD45">
        <f t="shared" si="1493"/>
        <v>6.1713224004268596E-2</v>
      </c>
      <c r="SE45">
        <f t="shared" si="1493"/>
        <v>6.1044479628804993E-2</v>
      </c>
      <c r="SF45">
        <f t="shared" si="1493"/>
        <v>6.0382946229903922E-2</v>
      </c>
      <c r="SG45">
        <f t="shared" si="1493"/>
        <v>5.9728547380334618E-2</v>
      </c>
      <c r="SH45">
        <f t="shared" si="1493"/>
        <v>5.9081207413257175E-2</v>
      </c>
      <c r="SI45">
        <f t="shared" si="1493"/>
        <v>5.8440851416580841E-2</v>
      </c>
      <c r="SJ45">
        <f t="shared" si="1493"/>
        <v>5.780740522726191E-2</v>
      </c>
      <c r="SK45">
        <f t="shared" si="1493"/>
        <v>5.7180795425527009E-2</v>
      </c>
      <c r="SL45">
        <f t="shared" si="1493"/>
        <v>5.6560949329146126E-2</v>
      </c>
      <c r="SM45">
        <f t="shared" si="1493"/>
        <v>5.5947794987616817E-2</v>
      </c>
      <c r="SN45">
        <f t="shared" si="1493"/>
        <v>5.5341261176362622E-2</v>
      </c>
      <c r="SO45">
        <f t="shared" si="1493"/>
        <v>5.4741277390920828E-2</v>
      </c>
      <c r="SP45">
        <f t="shared" si="1493"/>
        <v>5.4147773841059177E-2</v>
      </c>
      <c r="SQ45">
        <f t="shared" si="1493"/>
        <v>5.3560681444988489E-2</v>
      </c>
      <c r="SR45">
        <f t="shared" si="1493"/>
        <v>5.2979931823443849E-2</v>
      </c>
      <c r="SS45">
        <f t="shared" si="1493"/>
        <v>5.2405457293865254E-2</v>
      </c>
      <c r="ST45">
        <f t="shared" si="1493"/>
        <v>5.1837190864521432E-2</v>
      </c>
      <c r="SU45">
        <f t="shared" si="1493"/>
        <v>5.1275066228619437E-2</v>
      </c>
      <c r="SV45">
        <f t="shared" si="1493"/>
        <v>5.0719017758474649E-2</v>
      </c>
      <c r="SW45">
        <f t="shared" si="1493"/>
        <v>5.0168980499648796E-2</v>
      </c>
      <c r="SX45">
        <f t="shared" si="1493"/>
        <v>4.9624890165091529E-2</v>
      </c>
      <c r="SY45">
        <f t="shared" si="1493"/>
        <v>4.908668312930331E-2</v>
      </c>
      <c r="SZ45">
        <f t="shared" si="1493"/>
        <v>4.8554296422487653E-2</v>
      </c>
      <c r="TA45">
        <f t="shared" si="1493"/>
        <v>4.8027667724785061E-2</v>
      </c>
      <c r="TB45">
        <f t="shared" si="1493"/>
        <v>4.7506735360418162E-2</v>
      </c>
      <c r="TC45">
        <f t="shared" si="1493"/>
        <v>4.69914382919292E-2</v>
      </c>
      <c r="TD45">
        <f t="shared" si="1493"/>
        <v>4.6481716114413985E-2</v>
      </c>
      <c r="TE45">
        <f t="shared" si="1493"/>
        <v>4.5977509049777154E-2</v>
      </c>
      <c r="TF45">
        <f t="shared" ref="TF45:VQ45" si="1494">$S$14*TF29+$T$14*TF30+$U$14*TF31</f>
        <v>4.5478757940976777E-2</v>
      </c>
      <c r="TG45">
        <f t="shared" si="1494"/>
        <v>4.4985404246371985E-2</v>
      </c>
      <c r="TH45">
        <f t="shared" si="1494"/>
        <v>4.4497390033981787E-2</v>
      </c>
      <c r="TI45">
        <f t="shared" si="1494"/>
        <v>4.4014657975868232E-2</v>
      </c>
      <c r="TJ45">
        <f t="shared" si="1494"/>
        <v>4.3537151342491143E-2</v>
      </c>
      <c r="TK45">
        <f t="shared" si="1494"/>
        <v>4.3064813997112594E-2</v>
      </c>
      <c r="TL45">
        <f t="shared" si="1494"/>
        <v>4.2597590390194284E-2</v>
      </c>
      <c r="TM45">
        <f t="shared" si="1494"/>
        <v>4.2135425553880168E-2</v>
      </c>
      <c r="TN45">
        <f t="shared" si="1494"/>
        <v>4.1678265096464884E-2</v>
      </c>
      <c r="TO45">
        <f t="shared" si="1494"/>
        <v>4.1226055196890599E-2</v>
      </c>
      <c r="TP45">
        <f t="shared" si="1494"/>
        <v>4.0778742599325568E-2</v>
      </c>
      <c r="TQ45">
        <f t="shared" si="1494"/>
        <v>4.033627460769651E-2</v>
      </c>
      <c r="TR45">
        <f t="shared" si="1494"/>
        <v>3.9898599080320452E-2</v>
      </c>
      <c r="TS45">
        <f t="shared" si="1494"/>
        <v>3.9465664424547242E-2</v>
      </c>
      <c r="TT45">
        <f t="shared" si="1494"/>
        <v>3.903741959141982E-2</v>
      </c>
      <c r="TU45">
        <f t="shared" si="1494"/>
        <v>3.8613814070377117E-2</v>
      </c>
      <c r="TV45">
        <f t="shared" si="1494"/>
        <v>3.8194797884045784E-2</v>
      </c>
      <c r="TW45">
        <f t="shared" si="1494"/>
        <v>3.7780321582943088E-2</v>
      </c>
      <c r="TX45">
        <f t="shared" si="1494"/>
        <v>3.7370336240343249E-2</v>
      </c>
      <c r="TY45">
        <f t="shared" si="1494"/>
        <v>3.6964793447108235E-2</v>
      </c>
      <c r="TZ45">
        <f t="shared" si="1494"/>
        <v>3.6563645306582515E-2</v>
      </c>
      <c r="UA45">
        <f t="shared" si="1494"/>
        <v>3.6166844429505574E-2</v>
      </c>
      <c r="UB45">
        <f t="shared" si="1494"/>
        <v>3.5774343928995478E-2</v>
      </c>
      <c r="UC45">
        <f t="shared" si="1494"/>
        <v>3.5386097415504025E-2</v>
      </c>
      <c r="UD45">
        <f t="shared" si="1494"/>
        <v>3.5002058991899787E-2</v>
      </c>
      <c r="UE45">
        <f t="shared" si="1494"/>
        <v>3.4622183248497862E-2</v>
      </c>
      <c r="UF45">
        <f t="shared" si="1494"/>
        <v>3.424642525820687E-2</v>
      </c>
      <c r="UG45">
        <f t="shared" si="1494"/>
        <v>3.3874740571661732E-2</v>
      </c>
      <c r="UH45">
        <f t="shared" si="1494"/>
        <v>3.3507085212391985E-2</v>
      </c>
      <c r="UI45">
        <f t="shared" si="1494"/>
        <v>3.314341567208956E-2</v>
      </c>
      <c r="UJ45">
        <f t="shared" si="1494"/>
        <v>3.2783688905833941E-2</v>
      </c>
      <c r="UK45">
        <f t="shared" si="1494"/>
        <v>3.2427862327409684E-2</v>
      </c>
      <c r="UL45">
        <f t="shared" si="1494"/>
        <v>3.2075893804652367E-2</v>
      </c>
      <c r="UM45">
        <f t="shared" si="1494"/>
        <v>3.1727741654826502E-2</v>
      </c>
      <c r="UN45">
        <f t="shared" si="1494"/>
        <v>3.1383364640038991E-2</v>
      </c>
      <c r="UO45">
        <f t="shared" si="1494"/>
        <v>3.1042721962705855E-2</v>
      </c>
      <c r="UP45">
        <f t="shared" si="1494"/>
        <v>3.0705773261015423E-2</v>
      </c>
      <c r="UQ45">
        <f t="shared" si="1494"/>
        <v>3.0372478604522968E-2</v>
      </c>
      <c r="UR45">
        <f t="shared" si="1494"/>
        <v>3.0042798489667177E-2</v>
      </c>
      <c r="US45">
        <f t="shared" si="1494"/>
        <v>2.9716693835403873E-2</v>
      </c>
      <c r="UT45">
        <f t="shared" si="1494"/>
        <v>2.9394125978868146E-2</v>
      </c>
      <c r="UU45">
        <f t="shared" si="1494"/>
        <v>2.9075056671050703E-2</v>
      </c>
      <c r="UV45">
        <f t="shared" si="1494"/>
        <v>2.8759448072506189E-2</v>
      </c>
      <c r="UW45">
        <f t="shared" si="1494"/>
        <v>2.8447262749164537E-2</v>
      </c>
      <c r="UX45">
        <f t="shared" si="1494"/>
        <v>2.8138463668078373E-2</v>
      </c>
      <c r="UY45">
        <f t="shared" si="1494"/>
        <v>2.7833014193319627E-2</v>
      </c>
      <c r="UZ45">
        <f t="shared" si="1494"/>
        <v>2.7530878081812205E-2</v>
      </c>
      <c r="VA45">
        <f t="shared" si="1494"/>
        <v>2.7232019479288994E-2</v>
      </c>
      <c r="VB45">
        <f t="shared" si="1494"/>
        <v>2.6936402916199143E-2</v>
      </c>
      <c r="VC45">
        <f t="shared" si="1494"/>
        <v>2.6643993303757441E-2</v>
      </c>
      <c r="VD45">
        <f t="shared" si="1494"/>
        <v>2.6354755929908436E-2</v>
      </c>
      <c r="VE45">
        <f t="shared" si="1494"/>
        <v>2.6068656455453976E-2</v>
      </c>
      <c r="VF45">
        <f t="shared" si="1494"/>
        <v>2.5785660910120356E-2</v>
      </c>
      <c r="VG45">
        <f t="shared" si="1494"/>
        <v>2.5505735688703624E-2</v>
      </c>
      <c r="VH45">
        <f t="shared" si="1494"/>
        <v>2.522884754725041E-2</v>
      </c>
      <c r="VI45">
        <f t="shared" si="1494"/>
        <v>2.4954963599267188E-2</v>
      </c>
      <c r="VJ45">
        <f t="shared" si="1494"/>
        <v>2.468405131197926E-2</v>
      </c>
      <c r="VK45">
        <f t="shared" si="1494"/>
        <v>2.4416078502596861E-2</v>
      </c>
      <c r="VL45">
        <f t="shared" si="1494"/>
        <v>2.4151013334648752E-2</v>
      </c>
      <c r="VM45">
        <f t="shared" si="1494"/>
        <v>2.3888824314330037E-2</v>
      </c>
      <c r="VN45">
        <f t="shared" si="1494"/>
        <v>2.362948028691747E-2</v>
      </c>
      <c r="VO45">
        <f t="shared" si="1494"/>
        <v>2.3372950433152795E-2</v>
      </c>
      <c r="VP45">
        <f t="shared" si="1494"/>
        <v>2.3119204265725557E-2</v>
      </c>
      <c r="VQ45">
        <f t="shared" si="1494"/>
        <v>2.2868211625794999E-2</v>
      </c>
      <c r="VR45">
        <f t="shared" ref="VR45:YC45" si="1495">$S$14*VR29+$T$14*VR30+$U$14*VR31</f>
        <v>2.2619942679469318E-2</v>
      </c>
      <c r="VS45">
        <f t="shared" si="1495"/>
        <v>2.2374367914409277E-2</v>
      </c>
      <c r="VT45">
        <f t="shared" si="1495"/>
        <v>2.2131458136403381E-2</v>
      </c>
      <c r="VU45">
        <f t="shared" si="1495"/>
        <v>2.1891184466028335E-2</v>
      </c>
      <c r="VV45">
        <f t="shared" si="1495"/>
        <v>2.16535183352633E-2</v>
      </c>
      <c r="VW45">
        <f t="shared" si="1495"/>
        <v>2.1418431484228506E-2</v>
      </c>
      <c r="VX45">
        <f t="shared" si="1495"/>
        <v>2.1185895957920309E-2</v>
      </c>
      <c r="VY45">
        <f t="shared" si="1495"/>
        <v>2.0955884102939137E-2</v>
      </c>
      <c r="VZ45">
        <f t="shared" si="1495"/>
        <v>2.0728368564331134E-2</v>
      </c>
      <c r="WA45">
        <f t="shared" si="1495"/>
        <v>2.0503322282365843E-2</v>
      </c>
      <c r="WB45">
        <f t="shared" si="1495"/>
        <v>2.0280718489441796E-2</v>
      </c>
      <c r="WC45">
        <f t="shared" si="1495"/>
        <v>2.0060530706942359E-2</v>
      </c>
      <c r="WD45">
        <f t="shared" si="1495"/>
        <v>1.9842732742194613E-2</v>
      </c>
      <c r="WE45">
        <f t="shared" si="1495"/>
        <v>1.962729868538915E-2</v>
      </c>
      <c r="WF45">
        <f t="shared" si="1495"/>
        <v>1.9414202906578026E-2</v>
      </c>
      <c r="WG45">
        <f t="shared" si="1495"/>
        <v>1.9203420052704701E-2</v>
      </c>
      <c r="WH45">
        <f t="shared" si="1495"/>
        <v>1.8994925044637512E-2</v>
      </c>
      <c r="WI45">
        <f t="shared" si="1495"/>
        <v>1.8772066684260125E-2</v>
      </c>
      <c r="WJ45">
        <f t="shared" si="1495"/>
        <v>1.8499389482268924E-2</v>
      </c>
      <c r="WK45">
        <f t="shared" si="1495"/>
        <v>1.8129525447999839E-2</v>
      </c>
      <c r="WL45">
        <f t="shared" si="1495"/>
        <v>1.7611885482484269E-2</v>
      </c>
      <c r="WM45">
        <f t="shared" si="1495"/>
        <v>1.6899524583251946E-2</v>
      </c>
      <c r="WN45">
        <f t="shared" si="1495"/>
        <v>1.5953280138205628E-2</v>
      </c>
      <c r="WO45">
        <f t="shared" si="1495"/>
        <v>1.4743545906572564E-2</v>
      </c>
      <c r="WP45">
        <f t="shared" si="1495"/>
        <v>1.3250404700695384E-2</v>
      </c>
      <c r="WQ45">
        <f t="shared" si="1495"/>
        <v>1.1462796772409689E-2</v>
      </c>
      <c r="WR45">
        <f t="shared" si="1495"/>
        <v>9.3772277110133473E-3</v>
      </c>
      <c r="WS45">
        <f t="shared" si="1495"/>
        <v>6.996343350042622E-3</v>
      </c>
      <c r="WT45">
        <f t="shared" si="1495"/>
        <v>4.3275612109994199E-3</v>
      </c>
      <c r="WU45">
        <f t="shared" si="1495"/>
        <v>1.3818533374418962E-3</v>
      </c>
      <c r="WV45">
        <f t="shared" si="1495"/>
        <v>-1.8272838499520105E-3</v>
      </c>
      <c r="WW45">
        <f t="shared" si="1495"/>
        <v>-5.2846710136940089E-3</v>
      </c>
      <c r="WX45">
        <f t="shared" si="1495"/>
        <v>-8.9741144684651886E-3</v>
      </c>
      <c r="WY45">
        <f t="shared" si="1495"/>
        <v>-1.2878925025113119E-2</v>
      </c>
      <c r="WZ45">
        <f t="shared" si="1495"/>
        <v>-1.6982311894874869E-2</v>
      </c>
      <c r="XA45">
        <f t="shared" si="1495"/>
        <v>-2.1267675045763212E-2</v>
      </c>
      <c r="XB45">
        <f t="shared" si="1495"/>
        <v>-2.5718816649717979E-2</v>
      </c>
      <c r="XC45">
        <f t="shared" si="1495"/>
        <v>-3.0320089083996749E-2</v>
      </c>
      <c r="XD45">
        <f t="shared" si="1495"/>
        <v>-3.5056493854071391E-2</v>
      </c>
      <c r="XE45">
        <f t="shared" si="1495"/>
        <v>-3.9913743021664061E-2</v>
      </c>
      <c r="XF45">
        <f t="shared" si="1495"/>
        <v>-4.4878292338733416E-2</v>
      </c>
      <c r="XG45">
        <f t="shared" si="1495"/>
        <v>-4.9937353310113508E-2</v>
      </c>
      <c r="XH45">
        <f t="shared" si="1495"/>
        <v>-5.5078889801379205E-2</v>
      </c>
      <c r="XI45">
        <f t="shared" si="1495"/>
        <v>-6.0291603524767368E-2</v>
      </c>
      <c r="XJ45">
        <f t="shared" si="1495"/>
        <v>-6.5564911721370578E-2</v>
      </c>
      <c r="XK45">
        <f t="shared" si="1495"/>
        <v>-7.0888919563557806E-2</v>
      </c>
      <c r="XL45">
        <f t="shared" si="1495"/>
        <v>-7.625438918424976E-2</v>
      </c>
      <c r="XM45">
        <f t="shared" si="1495"/>
        <v>-8.1652706761637717E-2</v>
      </c>
      <c r="XN45">
        <f t="shared" si="1495"/>
        <v>-8.7075848721042348E-2</v>
      </c>
      <c r="XO45">
        <f t="shared" si="1495"/>
        <v>-9.2516347833548451E-2</v>
      </c>
      <c r="XP45">
        <f t="shared" si="1495"/>
        <v>-9.7967259775995075E-2</v>
      </c>
      <c r="XQ45">
        <f t="shared" si="1495"/>
        <v>-0.10342213055336913</v>
      </c>
      <c r="XR45">
        <f t="shared" si="1495"/>
        <v>-0.10887496506022387</v>
      </c>
      <c r="XS45">
        <f t="shared" si="1495"/>
        <v>-0.1143201969641936</v>
      </c>
      <c r="XT45">
        <f t="shared" si="1495"/>
        <v>-0.11975266002411544</v>
      </c>
      <c r="XU45">
        <f t="shared" si="1495"/>
        <v>-0.1251675609025753</v>
      </c>
      <c r="XV45">
        <f t="shared" si="1495"/>
        <v>-0.13056045349368972</v>
      </c>
      <c r="XW45">
        <f t="shared" si="1495"/>
        <v>-0.13592721475831837</v>
      </c>
      <c r="XX45">
        <f t="shared" si="1495"/>
        <v>-0.14126402203827126</v>
      </c>
      <c r="XY45">
        <f t="shared" si="1495"/>
        <v>-0.14656733180608228</v>
      </c>
      <c r="XZ45">
        <f t="shared" si="1495"/>
        <v>-0.15183385979726083</v>
      </c>
      <c r="YA45">
        <f t="shared" si="1495"/>
        <v>-0.15706056246499855</v>
      </c>
      <c r="YB45">
        <f t="shared" si="1495"/>
        <v>-0.1622446196934817</v>
      </c>
      <c r="YC45">
        <f t="shared" si="1495"/>
        <v>-0.1673834187038743</v>
      </c>
      <c r="YD45">
        <f t="shared" ref="YD45:AAO45" si="1496">$S$14*YD29+$T$14*YD30+$U$14*YD31</f>
        <v>-0.17247453908649035</v>
      </c>
      <c r="YE45">
        <f t="shared" si="1496"/>
        <v>-0.17751573889339056</v>
      </c>
      <c r="YF45">
        <f t="shared" si="1496"/>
        <v>-0.18250494172674436</v>
      </c>
      <c r="YG45">
        <f t="shared" si="1496"/>
        <v>-0.1874402247603264</v>
      </c>
      <c r="YH45">
        <f t="shared" si="1496"/>
        <v>-0.19231980763400003</v>
      </c>
      <c r="YI45">
        <f t="shared" si="1496"/>
        <v>-0.19714204216321463</v>
      </c>
      <c r="YJ45">
        <f t="shared" si="1496"/>
        <v>-0.20190540280876945</v>
      </c>
      <c r="YK45">
        <f t="shared" si="1496"/>
        <v>-0.20660847785456937</v>
      </c>
      <c r="YL45">
        <f t="shared" si="1496"/>
        <v>-0.21124996124398976</v>
      </c>
      <c r="YM45">
        <f t="shared" si="1496"/>
        <v>-0.21582864502849475</v>
      </c>
      <c r="YN45">
        <f t="shared" si="1496"/>
        <v>-0.22034341238472166</v>
      </c>
      <c r="YO45">
        <f t="shared" si="1496"/>
        <v>-0.22479323115901195</v>
      </c>
      <c r="YP45">
        <f t="shared" si="1496"/>
        <v>-0.22917714790106203</v>
      </c>
      <c r="YQ45">
        <f t="shared" si="1496"/>
        <v>-0.23349428235060898</v>
      </c>
      <c r="YR45">
        <f t="shared" si="1496"/>
        <v>-0.23774382234385882</v>
      </c>
      <c r="YS45">
        <f t="shared" si="1496"/>
        <v>-0.2419250191082476</v>
      </c>
      <c r="YT45">
        <f t="shared" si="1496"/>
        <v>-0.24603718291645649</v>
      </c>
      <c r="YU45">
        <f t="shared" si="1496"/>
        <v>-0.25007967907268025</v>
      </c>
      <c r="YV45">
        <f t="shared" si="1496"/>
        <v>-0.25405192420594958</v>
      </c>
      <c r="YW45">
        <f t="shared" si="1496"/>
        <v>-0.2579533828471483</v>
      </c>
      <c r="YX45">
        <f t="shared" si="1496"/>
        <v>-0.26178356426807881</v>
      </c>
      <c r="YY45">
        <f t="shared" si="1496"/>
        <v>-0.26554201956252754</v>
      </c>
      <c r="YZ45">
        <f t="shared" si="1496"/>
        <v>-0.26922833895065779</v>
      </c>
      <c r="ZA45">
        <f t="shared" si="1496"/>
        <v>-0.27284214928952011</v>
      </c>
      <c r="ZB45">
        <f t="shared" si="1496"/>
        <v>-0.27638311177383912</v>
      </c>
      <c r="ZC45">
        <f t="shared" si="1496"/>
        <v>-0.27985091981222965</v>
      </c>
      <c r="ZD45">
        <f t="shared" si="1496"/>
        <v>-0.28324529706520352</v>
      </c>
      <c r="ZE45">
        <f t="shared" si="1496"/>
        <v>-0.28656599563252172</v>
      </c>
      <c r="ZF45">
        <f t="shared" si="1496"/>
        <v>-0.28981279437814322</v>
      </c>
      <c r="ZG45">
        <f t="shared" si="1496"/>
        <v>-0.29298549738204116</v>
      </c>
      <c r="ZH45">
        <f t="shared" si="1496"/>
        <v>-0.29608393250904541</v>
      </c>
      <c r="ZI45">
        <f t="shared" si="1496"/>
        <v>-0.2991079500855669</v>
      </c>
      <c r="ZJ45">
        <f t="shared" si="1496"/>
        <v>-0.30205742167569127</v>
      </c>
      <c r="ZK45">
        <f t="shared" si="1496"/>
        <v>-0.30493223894895038</v>
      </c>
      <c r="ZL45">
        <f t="shared" si="1496"/>
        <v>-0.30773231263259504</v>
      </c>
      <c r="ZM45">
        <f t="shared" si="1496"/>
        <v>-0.31045757154172904</v>
      </c>
      <c r="ZN45">
        <f t="shared" si="1496"/>
        <v>-0.31310796168125066</v>
      </c>
      <c r="ZO45">
        <f t="shared" si="1496"/>
        <v>-0.31568344541393145</v>
      </c>
      <c r="ZP45">
        <f t="shared" si="1496"/>
        <v>-0.31818400068962305</v>
      </c>
      <c r="ZQ45">
        <f t="shared" si="1496"/>
        <v>-0.32060962033057905</v>
      </c>
      <c r="ZR45">
        <f t="shared" si="1496"/>
        <v>-0.32296031136872827</v>
      </c>
      <c r="ZS45">
        <f t="shared" si="1496"/>
        <v>-0.32523609443078527</v>
      </c>
      <c r="ZT45">
        <f t="shared" si="1496"/>
        <v>-0.32743700316744295</v>
      </c>
      <c r="ZU45">
        <f t="shared" si="1496"/>
        <v>-0.32956308372324727</v>
      </c>
      <c r="ZV45">
        <f t="shared" si="1496"/>
        <v>-0.33161439424401351</v>
      </c>
      <c r="ZW45">
        <f t="shared" si="1496"/>
        <v>-0.33359100441888501</v>
      </c>
      <c r="ZX45">
        <f t="shared" si="1496"/>
        <v>-0.33549299505432018</v>
      </c>
      <c r="ZY45">
        <f t="shared" si="1496"/>
        <v>-0.33732045767756702</v>
      </c>
      <c r="ZZ45">
        <f t="shared" si="1496"/>
        <v>-0.33907349416734434</v>
      </c>
      <c r="AAA45">
        <f t="shared" si="1496"/>
        <v>-0.34075221640967257</v>
      </c>
      <c r="AAB45">
        <f t="shared" si="1496"/>
        <v>-0.34235674597689325</v>
      </c>
      <c r="AAC45">
        <f t="shared" si="1496"/>
        <v>-0.3438872138280864</v>
      </c>
      <c r="AAD45">
        <f t="shared" si="1496"/>
        <v>-0.34534376002933698</v>
      </c>
      <c r="AAE45">
        <f t="shared" si="1496"/>
        <v>-0.34672653349220184</v>
      </c>
      <c r="AAF45">
        <f t="shared" si="1496"/>
        <v>-0.34803569172915516</v>
      </c>
      <c r="AAG45">
        <f t="shared" si="1496"/>
        <v>-0.34927140062460538</v>
      </c>
      <c r="AAH45">
        <f t="shared" si="1496"/>
        <v>-0.35043383422033259</v>
      </c>
      <c r="AAI45">
        <f t="shared" si="1496"/>
        <v>-0.35152317451430193</v>
      </c>
      <c r="AAJ45">
        <f t="shared" si="1496"/>
        <v>-0.3525396112718191</v>
      </c>
      <c r="AAK45">
        <f t="shared" si="1496"/>
        <v>-0.35348334184812202</v>
      </c>
      <c r="AAL45">
        <f t="shared" si="1496"/>
        <v>-0.3543545710214282</v>
      </c>
      <c r="AAM45">
        <f t="shared" si="1496"/>
        <v>-0.35515351083588698</v>
      </c>
      <c r="AAN45">
        <f t="shared" si="1496"/>
        <v>-0.3558803804535593</v>
      </c>
      <c r="AAO45">
        <f t="shared" si="1496"/>
        <v>-0.35653540601465394</v>
      </c>
    </row>
    <row r="46" spans="1:719">
      <c r="A46" s="4">
        <f t="shared" si="1444"/>
        <v>7</v>
      </c>
      <c r="B46" s="1">
        <f>$T$15*B30+$U$15*B31+$V$15*B32</f>
        <v>0</v>
      </c>
      <c r="C46">
        <f>$T$15*C30+$U$15*C31+$V$15*C32</f>
        <v>0</v>
      </c>
      <c r="D46">
        <f t="shared" ref="D46" si="1497">$T$15*D30+$U$15*D31+$V$15*D32</f>
        <v>0</v>
      </c>
      <c r="E46">
        <f t="shared" ref="E46:BP46" si="1498">$T$15*E30+$U$15*E31+$V$15*E32</f>
        <v>0</v>
      </c>
      <c r="F46">
        <f t="shared" si="1498"/>
        <v>0</v>
      </c>
      <c r="G46">
        <f t="shared" si="1498"/>
        <v>0</v>
      </c>
      <c r="H46">
        <f t="shared" si="1498"/>
        <v>-2.1792681437204919E-6</v>
      </c>
      <c r="I46">
        <f t="shared" si="1498"/>
        <v>-1.2789822029901643E-5</v>
      </c>
      <c r="J46">
        <f t="shared" si="1498"/>
        <v>-4.2687655113837764E-5</v>
      </c>
      <c r="K46">
        <f t="shared" si="1498"/>
        <v>-1.0664565412454863E-4</v>
      </c>
      <c r="L46">
        <f t="shared" si="1498"/>
        <v>-2.2200041252062874E-4</v>
      </c>
      <c r="M46">
        <f t="shared" si="1498"/>
        <v>-4.0713939571901392E-4</v>
      </c>
      <c r="N46">
        <f t="shared" si="1498"/>
        <v>-6.8015001496846139E-4</v>
      </c>
      <c r="O46">
        <f t="shared" si="1498"/>
        <v>-1.0577783203196134E-3</v>
      </c>
      <c r="P46">
        <f t="shared" si="1498"/>
        <v>-1.5547268458924179E-3</v>
      </c>
      <c r="Q46">
        <f t="shared" si="1498"/>
        <v>-2.1832566824429023E-3</v>
      </c>
      <c r="R46">
        <f t="shared" si="1498"/>
        <v>-2.9530324322486479E-3</v>
      </c>
      <c r="S46">
        <f t="shared" si="1498"/>
        <v>-3.8711447608328342E-3</v>
      </c>
      <c r="T46">
        <f t="shared" si="1498"/>
        <v>-4.942252461336949E-3</v>
      </c>
      <c r="U46">
        <f t="shared" si="1498"/>
        <v>-6.1687972705186667E-3</v>
      </c>
      <c r="V46">
        <f t="shared" si="1498"/>
        <v>-7.5512563166775237E-3</v>
      </c>
      <c r="W46">
        <f t="shared" si="1498"/>
        <v>-9.0884072892194467E-3</v>
      </c>
      <c r="X46">
        <f t="shared" si="1498"/>
        <v>-1.0777589624048289E-2</v>
      </c>
      <c r="Y46">
        <f t="shared" si="1498"/>
        <v>-1.2614951214292347E-2</v>
      </c>
      <c r="Z46">
        <f t="shared" si="1498"/>
        <v>-1.4595674659201308E-2</v>
      </c>
      <c r="AA46">
        <f t="shared" si="1498"/>
        <v>-1.6714180199556949E-2</v>
      </c>
      <c r="AB46">
        <f t="shared" si="1498"/>
        <v>-1.8964304587736791E-2</v>
      </c>
      <c r="AC46">
        <f t="shared" si="1498"/>
        <v>-2.133945648250446E-2</v>
      </c>
      <c r="AD46">
        <f t="shared" si="1498"/>
        <v>-2.3832749764462591E-2</v>
      </c>
      <c r="AE46">
        <f t="shared" si="1498"/>
        <v>-2.6437116605102062E-2</v>
      </c>
      <c r="AF46">
        <f t="shared" si="1498"/>
        <v>-2.9145402311147706E-2</v>
      </c>
      <c r="AG46">
        <f t="shared" si="1498"/>
        <v>-3.1950443995885536E-2</v>
      </c>
      <c r="AH46">
        <f t="shared" si="1498"/>
        <v>-3.4845135058841237E-2</v>
      </c>
      <c r="AI46">
        <f t="shared" si="1498"/>
        <v>-3.7822477328564474E-2</v>
      </c>
      <c r="AJ46">
        <f t="shared" si="1498"/>
        <v>-4.0875622565696546E-2</v>
      </c>
      <c r="AK46">
        <f t="shared" si="1498"/>
        <v>-4.3997904856091452E-2</v>
      </c>
      <c r="AL46">
        <f t="shared" si="1498"/>
        <v>-4.7182865254974615E-2</v>
      </c>
      <c r="AM46">
        <f t="shared" si="1498"/>
        <v>-5.0424269882693551E-2</v>
      </c>
      <c r="AN46">
        <f t="shared" si="1498"/>
        <v>-5.3716122522683207E-2</v>
      </c>
      <c r="AO46">
        <f t="shared" si="1498"/>
        <v>-5.7052672634991808E-2</v>
      </c>
      <c r="AP46">
        <f t="shared" si="1498"/>
        <v>-6.0428419576133763E-2</v>
      </c>
      <c r="AQ46">
        <f t="shared" si="1498"/>
        <v>-6.3838113705195099E-2</v>
      </c>
      <c r="AR46">
        <f t="shared" si="1498"/>
        <v>-6.7276754959880947E-2</v>
      </c>
      <c r="AS46">
        <f t="shared" si="1498"/>
        <v>-7.0739589400016456E-2</v>
      </c>
      <c r="AT46">
        <f t="shared" si="1498"/>
        <v>-7.4222104141881573E-2</v>
      </c>
      <c r="AU46">
        <f t="shared" si="1498"/>
        <v>-7.7720021041599807E-2</v>
      </c>
      <c r="AV46">
        <f t="shared" si="1498"/>
        <v>-8.1229289429600726E-2</v>
      </c>
      <c r="AW46">
        <f t="shared" si="1498"/>
        <v>-8.4746078149329662E-2</v>
      </c>
      <c r="AX46">
        <f t="shared" si="1498"/>
        <v>-8.8266767111853994E-2</v>
      </c>
      <c r="AY46">
        <f t="shared" si="1498"/>
        <v>-9.1787938541497027E-2</v>
      </c>
      <c r="AZ46">
        <f t="shared" si="1498"/>
        <v>-9.5306368057261892E-2</v>
      </c>
      <c r="BA46">
        <f t="shared" si="1498"/>
        <v>-9.8819015708109248E-2</v>
      </c>
      <c r="BB46">
        <f t="shared" si="1498"/>
        <v>-0.10232301705789837</v>
      </c>
      <c r="BC46">
        <f t="shared" si="1498"/>
        <v>-0.10581567439667339</v>
      </c>
      <c r="BD46">
        <f t="shared" si="1498"/>
        <v>-0.10929444813890044</v>
      </c>
      <c r="BE46">
        <f t="shared" si="1498"/>
        <v>-0.11275694845540229</v>
      </c>
      <c r="BF46">
        <f t="shared" si="1498"/>
        <v>-0.11620092717474861</v>
      </c>
      <c r="BG46">
        <f t="shared" si="1498"/>
        <v>-0.11962426997979492</v>
      </c>
      <c r="BH46">
        <f t="shared" si="1498"/>
        <v>-0.12302498891744662</v>
      </c>
      <c r="BI46">
        <f t="shared" si="1498"/>
        <v>-0.12640121523287462</v>
      </c>
      <c r="BJ46">
        <f t="shared" si="1498"/>
        <v>-0.12975119253426115</v>
      </c>
      <c r="BK46">
        <f t="shared" si="1498"/>
        <v>-0.1330732702894224</v>
      </c>
      <c r="BL46">
        <f t="shared" si="1498"/>
        <v>-0.13636589765226859</v>
      </c>
      <c r="BM46">
        <f t="shared" si="1498"/>
        <v>-0.13962761761413489</v>
      </c>
      <c r="BN46">
        <f t="shared" si="1498"/>
        <v>-0.14285706147282795</v>
      </c>
      <c r="BO46">
        <f t="shared" si="1498"/>
        <v>-0.14605294361032506</v>
      </c>
      <c r="BP46">
        <f t="shared" si="1498"/>
        <v>-0.1492140565690292</v>
      </c>
      <c r="BQ46">
        <f t="shared" ref="BQ46:CU46" si="1499">$T$15*BQ30+$U$15*BQ31+$V$15*BQ32</f>
        <v>-0.15233926641525386</v>
      </c>
      <c r="BR46">
        <f t="shared" si="1499"/>
        <v>-0.15542750837811781</v>
      </c>
      <c r="BS46">
        <f t="shared" si="1499"/>
        <v>-0.15847778275154312</v>
      </c>
      <c r="BT46">
        <f t="shared" si="1499"/>
        <v>-0.16148915104708905</v>
      </c>
      <c r="BU46">
        <f t="shared" si="1499"/>
        <v>-0.16446073238472181</v>
      </c>
      <c r="BV46">
        <f t="shared" si="1499"/>
        <v>-0.16739170010962212</v>
      </c>
      <c r="BW46">
        <f t="shared" si="1499"/>
        <v>-0.17028127862238662</v>
      </c>
      <c r="BX46">
        <f t="shared" si="1499"/>
        <v>-0.17312874041098425</v>
      </c>
      <c r="BY46">
        <f t="shared" si="1499"/>
        <v>-0.17593340327277573</v>
      </c>
      <c r="BZ46">
        <f t="shared" si="1499"/>
        <v>-0.17869462771541222</v>
      </c>
      <c r="CA46">
        <f t="shared" si="1499"/>
        <v>-0.18141181452605082</v>
      </c>
      <c r="CB46">
        <f t="shared" si="1499"/>
        <v>-0.18408440249827507</v>
      </c>
      <c r="CC46">
        <f t="shared" si="1499"/>
        <v>-0.18671186630737324</v>
      </c>
      <c r="CD46">
        <f t="shared" si="1499"/>
        <v>-0.1892937145241369</v>
      </c>
      <c r="CE46">
        <f t="shared" si="1499"/>
        <v>-0.19182948775863906</v>
      </c>
      <c r="CF46">
        <f t="shared" si="1499"/>
        <v>-0.19431875692561462</v>
      </c>
      <c r="CG46">
        <f t="shared" si="1499"/>
        <v>-0.19676112162330384</v>
      </c>
      <c r="CH46">
        <f t="shared" si="1499"/>
        <v>-0.19915620861846861</v>
      </c>
      <c r="CI46">
        <f t="shared" si="1499"/>
        <v>-0.20150367043051531</v>
      </c>
      <c r="CJ46">
        <f t="shared" si="1499"/>
        <v>-0.20380318400800235</v>
      </c>
      <c r="CK46">
        <f t="shared" si="1499"/>
        <v>-0.2060544494915284</v>
      </c>
      <c r="CL46">
        <f t="shared" si="1499"/>
        <v>-0.20825718905695467</v>
      </c>
      <c r="CM46">
        <f t="shared" si="1499"/>
        <v>-0.21041114583372078</v>
      </c>
      <c r="CN46">
        <f t="shared" si="1499"/>
        <v>-0.21251608289297153</v>
      </c>
      <c r="CO46">
        <f t="shared" si="1499"/>
        <v>-0.21457178230086882</v>
      </c>
      <c r="CP46">
        <f t="shared" si="1499"/>
        <v>-0.21657804423261595</v>
      </c>
      <c r="CQ46">
        <f t="shared" si="1499"/>
        <v>-0.21853468614294513</v>
      </c>
      <c r="CR46">
        <f t="shared" si="1499"/>
        <v>-0.2204415419892598</v>
      </c>
      <c r="CS46">
        <f t="shared" si="1499"/>
        <v>-0.22229846150394295</v>
      </c>
      <c r="CT46">
        <f t="shared" si="1499"/>
        <v>-0.22410530951220053</v>
      </c>
      <c r="CU46">
        <f t="shared" si="1499"/>
        <v>-0.22586196529254821</v>
      </c>
      <c r="CV46">
        <f t="shared" ref="CV46:FG46" si="1500">$T$15*CV30+$U$15*CV31+$V$15*CV32</f>
        <v>-0.22756832197692134</v>
      </c>
      <c r="CW46">
        <f t="shared" si="1500"/>
        <v>-0.22922428598772271</v>
      </c>
      <c r="CX46">
        <f t="shared" si="1500"/>
        <v>-0.23082977650919645</v>
      </c>
      <c r="CY46">
        <f t="shared" si="1500"/>
        <v>-0.23238472499098251</v>
      </c>
      <c r="CZ46">
        <f t="shared" si="1500"/>
        <v>-0.23388907468148545</v>
      </c>
      <c r="DA46">
        <f t="shared" si="1500"/>
        <v>-0.2353427801890291</v>
      </c>
      <c r="DB46">
        <f t="shared" si="1500"/>
        <v>-0.23674580706910575</v>
      </c>
      <c r="DC46">
        <f t="shared" si="1500"/>
        <v>-0.23809813143576619</v>
      </c>
      <c r="DD46">
        <f t="shared" si="1500"/>
        <v>-0.23939973959553384</v>
      </c>
      <c r="DE46">
        <f t="shared" si="1500"/>
        <v>-0.24065062770253576</v>
      </c>
      <c r="DF46">
        <f t="shared" si="1500"/>
        <v>-0.2418508014331735</v>
      </c>
      <c r="DG46">
        <f t="shared" si="1500"/>
        <v>-0.24300027567918647</v>
      </c>
      <c r="DH46">
        <f t="shared" si="1500"/>
        <v>-0.24409907425792454</v>
      </c>
      <c r="DI46">
        <f t="shared" si="1500"/>
        <v>-0.24514722963849422</v>
      </c>
      <c r="DJ46">
        <f t="shared" si="1500"/>
        <v>-0.24614478268301454</v>
      </c>
      <c r="DK46">
        <f t="shared" si="1500"/>
        <v>-0.24709178240179241</v>
      </c>
      <c r="DL46">
        <f t="shared" si="1500"/>
        <v>-0.24798828572156495</v>
      </c>
      <c r="DM46">
        <f t="shared" si="1500"/>
        <v>-0.24883435726596304</v>
      </c>
      <c r="DN46">
        <f t="shared" si="1500"/>
        <v>-0.24963006914756036</v>
      </c>
      <c r="DO46">
        <f t="shared" si="1500"/>
        <v>-0.25037550077038162</v>
      </c>
      <c r="DP46">
        <f t="shared" si="1500"/>
        <v>-0.25107073864273133</v>
      </c>
      <c r="DQ46">
        <f t="shared" si="1500"/>
        <v>-0.25171587619920288</v>
      </c>
      <c r="DR46">
        <f t="shared" si="1500"/>
        <v>-0.25231101363161201</v>
      </c>
      <c r="DS46">
        <f t="shared" si="1500"/>
        <v>-0.25285625772813347</v>
      </c>
      <c r="DT46">
        <f t="shared" si="1500"/>
        <v>-0.25335172172025011</v>
      </c>
      <c r="DU46">
        <f t="shared" si="1500"/>
        <v>-0.2537975251368394</v>
      </c>
      <c r="DV46">
        <f t="shared" si="1500"/>
        <v>-0.25419379366524808</v>
      </c>
      <c r="DW46">
        <f t="shared" si="1500"/>
        <v>-0.25454065901858058</v>
      </c>
      <c r="DX46">
        <f t="shared" si="1500"/>
        <v>-0.25483825880917621</v>
      </c>
      <c r="DY46">
        <f t="shared" si="1500"/>
        <v>-0.25508673642756108</v>
      </c>
      <c r="DZ46">
        <f t="shared" si="1500"/>
        <v>-0.25528624092683572</v>
      </c>
      <c r="EA46">
        <f t="shared" si="1500"/>
        <v>-0.25543692691196895</v>
      </c>
      <c r="EB46">
        <f t="shared" si="1500"/>
        <v>-0.25553895443381691</v>
      </c>
      <c r="EC46">
        <f t="shared" si="1500"/>
        <v>-0.25559248888753672</v>
      </c>
      <c r="ED46">
        <f t="shared" si="1500"/>
        <v>-0.2555977009151249</v>
      </c>
      <c r="EE46">
        <f t="shared" si="1500"/>
        <v>-0.25555476631186025</v>
      </c>
      <c r="EF46">
        <f t="shared" si="1500"/>
        <v>-0.25546386593649473</v>
      </c>
      <c r="EG46">
        <f t="shared" si="1500"/>
        <v>-0.25532518562475559</v>
      </c>
      <c r="EH46">
        <f t="shared" si="1500"/>
        <v>-0.255138916106187</v>
      </c>
      <c r="EI46">
        <f t="shared" si="1500"/>
        <v>-0.25490525292405763</v>
      </c>
      <c r="EJ46">
        <f t="shared" si="1500"/>
        <v>-0.25462439635814249</v>
      </c>
      <c r="EK46">
        <f t="shared" si="1500"/>
        <v>-0.2542965513501585</v>
      </c>
      <c r="EL46">
        <f t="shared" si="1500"/>
        <v>-0.25392192743182562</v>
      </c>
      <c r="EM46">
        <f t="shared" si="1500"/>
        <v>-0.25350073865530831</v>
      </c>
      <c r="EN46">
        <f t="shared" si="1500"/>
        <v>-0.25303320352591996</v>
      </c>
      <c r="EO46">
        <f t="shared" si="1500"/>
        <v>-0.25251954493694839</v>
      </c>
      <c r="EP46">
        <f t="shared" si="1500"/>
        <v>-0.2519599901065277</v>
      </c>
      <c r="EQ46">
        <f t="shared" si="1500"/>
        <v>-0.25135477051635746</v>
      </c>
      <c r="ER46">
        <f t="shared" si="1500"/>
        <v>-0.25070412185221969</v>
      </c>
      <c r="ES46">
        <f t="shared" si="1500"/>
        <v>-0.25000828394617258</v>
      </c>
      <c r="ET46">
        <f t="shared" si="1500"/>
        <v>-0.2492675007203502</v>
      </c>
      <c r="EU46">
        <f t="shared" si="1500"/>
        <v>-0.24848202013215115</v>
      </c>
      <c r="EV46">
        <f t="shared" si="1500"/>
        <v>-0.24765209412096567</v>
      </c>
      <c r="EW46">
        <f t="shared" si="1500"/>
        <v>-0.24677797855604666</v>
      </c>
      <c r="EX46">
        <f t="shared" si="1500"/>
        <v>-0.24585993318573074</v>
      </c>
      <c r="EY46">
        <f t="shared" si="1500"/>
        <v>-0.24489822158782815</v>
      </c>
      <c r="EZ46">
        <f t="shared" si="1500"/>
        <v>-0.24389311112099321</v>
      </c>
      <c r="FA46">
        <f t="shared" si="1500"/>
        <v>-0.24284487287717482</v>
      </c>
      <c r="FB46">
        <f t="shared" si="1500"/>
        <v>-0.24175378163506167</v>
      </c>
      <c r="FC46">
        <f t="shared" si="1500"/>
        <v>-0.2406201158143233</v>
      </c>
      <c r="FD46">
        <f t="shared" si="1500"/>
        <v>-0.23944415743081748</v>
      </c>
      <c r="FE46">
        <f t="shared" si="1500"/>
        <v>-0.23822619205240869</v>
      </c>
      <c r="FF46">
        <f t="shared" si="1500"/>
        <v>-0.23696650875572445</v>
      </c>
      <c r="FG46">
        <f t="shared" si="1500"/>
        <v>-0.23566540008340553</v>
      </c>
      <c r="FH46">
        <f t="shared" ref="FH46:HS46" si="1501">$T$15*FH30+$U$15*FH31+$V$15*FH32</f>
        <v>-0.23432316200210224</v>
      </c>
      <c r="FI46">
        <f t="shared" si="1501"/>
        <v>-0.2329400938610604</v>
      </c>
      <c r="FJ46">
        <f t="shared" si="1501"/>
        <v>-0.23151649835119059</v>
      </c>
      <c r="FK46">
        <f t="shared" si="1501"/>
        <v>-0.23005268146469149</v>
      </c>
      <c r="FL46">
        <f t="shared" si="1501"/>
        <v>-0.22854895245519558</v>
      </c>
      <c r="FM46">
        <f t="shared" si="1501"/>
        <v>-0.22700562379824873</v>
      </c>
      <c r="FN46">
        <f t="shared" si="1501"/>
        <v>-0.22542301115227659</v>
      </c>
      <c r="FO46">
        <f t="shared" si="1501"/>
        <v>-0.2238014333198528</v>
      </c>
      <c r="FP46">
        <f t="shared" si="1501"/>
        <v>-0.22214121220940797</v>
      </c>
      <c r="FQ46">
        <f t="shared" si="1501"/>
        <v>-0.22044267279715157</v>
      </c>
      <c r="FR46">
        <f t="shared" si="1501"/>
        <v>-0.21870614308931735</v>
      </c>
      <c r="FS46">
        <f t="shared" si="1501"/>
        <v>-0.21693195408466082</v>
      </c>
      <c r="FT46">
        <f t="shared" si="1501"/>
        <v>-0.21512043973723394</v>
      </c>
      <c r="FU46">
        <f t="shared" si="1501"/>
        <v>-0.21327193691928414</v>
      </c>
      <c r="FV46">
        <f t="shared" si="1501"/>
        <v>-0.21138678538438427</v>
      </c>
      <c r="FW46">
        <f t="shared" si="1501"/>
        <v>-0.20946532773077919</v>
      </c>
      <c r="FX46">
        <f t="shared" si="1501"/>
        <v>-0.20750790936476804</v>
      </c>
      <c r="FY46">
        <f t="shared" si="1501"/>
        <v>-0.20551487846432792</v>
      </c>
      <c r="FZ46">
        <f t="shared" si="1501"/>
        <v>-0.20348658594274838</v>
      </c>
      <c r="GA46">
        <f t="shared" si="1501"/>
        <v>-0.20142338541240434</v>
      </c>
      <c r="GB46">
        <f t="shared" si="1501"/>
        <v>-0.19932563314865348</v>
      </c>
      <c r="GC46">
        <f t="shared" si="1501"/>
        <v>-0.19719368805363402</v>
      </c>
      <c r="GD46">
        <f t="shared" si="1501"/>
        <v>-0.19502791162030064</v>
      </c>
      <c r="GE46">
        <f t="shared" si="1501"/>
        <v>-0.19282866789640352</v>
      </c>
      <c r="GF46">
        <f t="shared" si="1501"/>
        <v>-0.19059632344839983</v>
      </c>
      <c r="GG46">
        <f t="shared" si="1501"/>
        <v>-0.18833124732554651</v>
      </c>
      <c r="GH46">
        <f t="shared" si="1501"/>
        <v>-0.18603381102384731</v>
      </c>
      <c r="GI46">
        <f t="shared" si="1501"/>
        <v>-0.18370438845003534</v>
      </c>
      <c r="GJ46">
        <f t="shared" si="1501"/>
        <v>-0.18134335588555217</v>
      </c>
      <c r="GK46">
        <f t="shared" si="1501"/>
        <v>-0.17895109195043091</v>
      </c>
      <c r="GL46">
        <f t="shared" si="1501"/>
        <v>-0.17652797756717931</v>
      </c>
      <c r="GM46">
        <f t="shared" si="1501"/>
        <v>-0.17407439592460605</v>
      </c>
      <c r="GN46">
        <f t="shared" si="1501"/>
        <v>-0.1715907324415582</v>
      </c>
      <c r="GO46">
        <f t="shared" si="1501"/>
        <v>-0.1690773747306018</v>
      </c>
      <c r="GP46">
        <f t="shared" si="1501"/>
        <v>-0.16653471256163499</v>
      </c>
      <c r="GQ46">
        <f t="shared" si="1501"/>
        <v>-0.16396313782543714</v>
      </c>
      <c r="GR46">
        <f t="shared" si="1501"/>
        <v>-0.16136304449705108</v>
      </c>
      <c r="GS46">
        <f t="shared" si="1501"/>
        <v>-0.15873482859917942</v>
      </c>
      <c r="GT46">
        <f t="shared" si="1501"/>
        <v>-0.15607888816539628</v>
      </c>
      <c r="GU46">
        <f t="shared" si="1501"/>
        <v>-0.15339562320324873</v>
      </c>
      <c r="GV46">
        <f t="shared" si="1501"/>
        <v>-0.1506854356573939</v>
      </c>
      <c r="GW46">
        <f t="shared" si="1501"/>
        <v>-0.14794872937237713</v>
      </c>
      <c r="GX46">
        <f t="shared" si="1501"/>
        <v>-0.14518591005555237</v>
      </c>
      <c r="GY46">
        <f t="shared" si="1501"/>
        <v>-0.14239738523965784</v>
      </c>
      <c r="GZ46">
        <f t="shared" si="1501"/>
        <v>-0.13958356424546636</v>
      </c>
      <c r="HA46">
        <f t="shared" si="1501"/>
        <v>-0.13674485814414084</v>
      </c>
      <c r="HB46">
        <f t="shared" si="1501"/>
        <v>-0.13388167971959675</v>
      </c>
      <c r="HC46">
        <f t="shared" si="1501"/>
        <v>-0.13099444343064093</v>
      </c>
      <c r="HD46">
        <f t="shared" si="1501"/>
        <v>-0.12808356537304277</v>
      </c>
      <c r="HE46">
        <f t="shared" si="1501"/>
        <v>-0.12514946324142784</v>
      </c>
      <c r="HF46">
        <f t="shared" si="1501"/>
        <v>-0.12219255629104708</v>
      </c>
      <c r="HG46">
        <f t="shared" si="1501"/>
        <v>-0.11921326529947507</v>
      </c>
      <c r="HH46">
        <f t="shared" si="1501"/>
        <v>-0.1162120125280417</v>
      </c>
      <c r="HI46">
        <f t="shared" si="1501"/>
        <v>-0.11318922168329593</v>
      </c>
      <c r="HJ46">
        <f t="shared" si="1501"/>
        <v>-0.1101453178781604</v>
      </c>
      <c r="HK46">
        <f t="shared" si="1501"/>
        <v>-0.10708072759308962</v>
      </c>
      <c r="HL46">
        <f t="shared" si="1501"/>
        <v>-0.10399587863700432</v>
      </c>
      <c r="HM46">
        <f t="shared" si="1501"/>
        <v>-0.10089120010817254</v>
      </c>
      <c r="HN46">
        <f t="shared" si="1501"/>
        <v>-9.7767122354849079E-2</v>
      </c>
      <c r="HO46">
        <f t="shared" si="1501"/>
        <v>-9.4624076935893697E-2</v>
      </c>
      <c r="HP46">
        <f t="shared" si="1501"/>
        <v>-9.1462496581158348E-2</v>
      </c>
      <c r="HQ46">
        <f t="shared" si="1501"/>
        <v>-8.8282815151824678E-2</v>
      </c>
      <c r="HR46">
        <f t="shared" si="1501"/>
        <v>-8.5085467600563902E-2</v>
      </c>
      <c r="HS46">
        <f t="shared" si="1501"/>
        <v>-8.1870889931590085E-2</v>
      </c>
      <c r="HT46">
        <f t="shared" ref="HT46:JI46" si="1502">$T$15*HT30+$U$15*HT31+$V$15*HT32</f>
        <v>-7.8639519160553562E-2</v>
      </c>
      <c r="HU46">
        <f t="shared" si="1502"/>
        <v>-7.5391793274356189E-2</v>
      </c>
      <c r="HV46">
        <f t="shared" si="1502"/>
        <v>-7.2128151190817391E-2</v>
      </c>
      <c r="HW46">
        <f t="shared" si="1502"/>
        <v>-6.8849032718222958E-2</v>
      </c>
      <c r="HX46">
        <f t="shared" si="1502"/>
        <v>-6.5554878514728188E-2</v>
      </c>
      <c r="HY46">
        <f t="shared" si="1502"/>
        <v>-6.2246130047729054E-2</v>
      </c>
      <c r="HZ46">
        <f t="shared" si="1502"/>
        <v>-5.8923229553013101E-2</v>
      </c>
      <c r="IA46">
        <f t="shared" si="1502"/>
        <v>-5.558661999387482E-2</v>
      </c>
      <c r="IB46">
        <f t="shared" si="1502"/>
        <v>-5.2236745020074693E-2</v>
      </c>
      <c r="IC46">
        <f t="shared" si="1502"/>
        <v>-4.8874048926734304E-2</v>
      </c>
      <c r="ID46">
        <f t="shared" si="1502"/>
        <v>-4.5498976613096431E-2</v>
      </c>
      <c r="IE46">
        <f t="shared" si="1502"/>
        <v>-4.2111973541224756E-2</v>
      </c>
      <c r="IF46">
        <f t="shared" si="1502"/>
        <v>-3.8713485694536587E-2</v>
      </c>
      <c r="IG46">
        <f t="shared" si="1502"/>
        <v>-3.5303959536307161E-2</v>
      </c>
      <c r="IH46">
        <f t="shared" si="1502"/>
        <v>-3.1883841968095794E-2</v>
      </c>
      <c r="II46">
        <f t="shared" si="1502"/>
        <v>-2.8453580287965963E-2</v>
      </c>
      <c r="IJ46">
        <f t="shared" si="1502"/>
        <v>-2.5013622148819081E-2</v>
      </c>
      <c r="IK46">
        <f t="shared" si="1502"/>
        <v>-2.1564415516436952E-2</v>
      </c>
      <c r="IL46">
        <f t="shared" si="1502"/>
        <v>-1.8106408627623694E-2</v>
      </c>
      <c r="IM46">
        <f t="shared" si="1502"/>
        <v>-1.464004994815582E-2</v>
      </c>
      <c r="IN46">
        <f t="shared" si="1502"/>
        <v>-1.1165788130721666E-2</v>
      </c>
      <c r="IO46">
        <f t="shared" si="1502"/>
        <v>-7.6840719727968576E-3</v>
      </c>
      <c r="IP46">
        <f t="shared" si="1502"/>
        <v>-4.1953503744238674E-3</v>
      </c>
      <c r="IQ46">
        <f t="shared" si="1502"/>
        <v>-7.000722959595862E-4</v>
      </c>
      <c r="IR46">
        <f t="shared" si="1502"/>
        <v>2.8013132842374944E-3</v>
      </c>
      <c r="IS46">
        <f t="shared" si="1502"/>
        <v>6.3083574121058916E-3</v>
      </c>
      <c r="IT46">
        <f t="shared" si="1502"/>
        <v>9.8206112004106672E-3</v>
      </c>
      <c r="IU46">
        <f t="shared" si="1502"/>
        <v>1.3337625871052694E-2</v>
      </c>
      <c r="IV46">
        <f t="shared" si="1502"/>
        <v>1.6858952797644378E-2</v>
      </c>
      <c r="IW46">
        <f t="shared" si="1502"/>
        <v>2.0384143547971689E-2</v>
      </c>
      <c r="IX46">
        <f t="shared" si="1502"/>
        <v>2.3912749926552124E-2</v>
      </c>
      <c r="IY46">
        <f t="shared" si="1502"/>
        <v>2.7444324017178445E-2</v>
      </c>
      <c r="IZ46">
        <f t="shared" si="1502"/>
        <v>3.0978418225551252E-2</v>
      </c>
      <c r="JA46">
        <f t="shared" si="1502"/>
        <v>3.4514585321826274E-2</v>
      </c>
      <c r="JB46">
        <f t="shared" si="1502"/>
        <v>3.8052378483222071E-2</v>
      </c>
      <c r="JC46">
        <f t="shared" si="1502"/>
        <v>4.1591351336684568E-2</v>
      </c>
      <c r="JD46">
        <f t="shared" si="1502"/>
        <v>4.5131058001459223E-2</v>
      </c>
      <c r="JE46">
        <f t="shared" si="1502"/>
        <v>4.867105313170228E-2</v>
      </c>
      <c r="JF46">
        <f t="shared" si="1502"/>
        <v>5.2210891959113326E-2</v>
      </c>
      <c r="JG46">
        <f t="shared" si="1502"/>
        <v>5.5750130335511017E-2</v>
      </c>
      <c r="JH46">
        <f t="shared" si="1502"/>
        <v>5.9288324775398138E-2</v>
      </c>
      <c r="JI46">
        <f t="shared" si="1502"/>
        <v>6.2825032498523115E-2</v>
      </c>
      <c r="JJ46">
        <f t="shared" ref="JJ46:LU46" si="1503">$T$15*JJ30+$U$15*JJ31+$V$15*JJ32</f>
        <v>6.6359811472437968E-2</v>
      </c>
      <c r="JK46">
        <f t="shared" si="1503"/>
        <v>6.9892220454928378E-2</v>
      </c>
      <c r="JL46">
        <f t="shared" si="1503"/>
        <v>7.3421819036546765E-2</v>
      </c>
      <c r="JM46">
        <f t="shared" si="1503"/>
        <v>7.6948167682989066E-2</v>
      </c>
      <c r="JN46">
        <f t="shared" si="1503"/>
        <v>8.0470827777492815E-2</v>
      </c>
      <c r="JO46">
        <f t="shared" si="1503"/>
        <v>8.3989361663121542E-2</v>
      </c>
      <c r="JP46">
        <f t="shared" si="1503"/>
        <v>8.7503332685120228E-2</v>
      </c>
      <c r="JQ46">
        <f t="shared" si="1503"/>
        <v>9.1012305233022062E-2</v>
      </c>
      <c r="JR46">
        <f t="shared" si="1503"/>
        <v>9.4515844782883107E-2</v>
      </c>
      <c r="JS46">
        <f t="shared" si="1503"/>
        <v>9.8013517939332218E-2</v>
      </c>
      <c r="JT46">
        <f t="shared" si="1503"/>
        <v>0.10150489247755701</v>
      </c>
      <c r="JU46">
        <f t="shared" si="1503"/>
        <v>0.1049895373852614</v>
      </c>
      <c r="JV46">
        <f t="shared" si="1503"/>
        <v>0.10846702290450949</v>
      </c>
      <c r="JW46">
        <f t="shared" si="1503"/>
        <v>0.11193692057346993</v>
      </c>
      <c r="JX46">
        <f t="shared" si="1503"/>
        <v>0.11539880326806085</v>
      </c>
      <c r="JY46">
        <f t="shared" si="1503"/>
        <v>0.11885224524357341</v>
      </c>
      <c r="JZ46">
        <f t="shared" si="1503"/>
        <v>0.1222968221760965</v>
      </c>
      <c r="KA46">
        <f t="shared" si="1503"/>
        <v>0.12573211120388805</v>
      </c>
      <c r="KB46">
        <f t="shared" si="1503"/>
        <v>0.12915769096861496</v>
      </c>
      <c r="KC46">
        <f t="shared" si="1503"/>
        <v>0.13257314165646505</v>
      </c>
      <c r="KD46">
        <f t="shared" si="1503"/>
        <v>0.13597804503920585</v>
      </c>
      <c r="KE46">
        <f t="shared" si="1503"/>
        <v>0.13937198451503363</v>
      </c>
      <c r="KF46">
        <f t="shared" si="1503"/>
        <v>0.14275454514933728</v>
      </c>
      <c r="KG46">
        <f t="shared" si="1503"/>
        <v>0.14612531371529869</v>
      </c>
      <c r="KH46">
        <f t="shared" si="1503"/>
        <v>0.14948387873438307</v>
      </c>
      <c r="KI46">
        <f t="shared" si="1503"/>
        <v>0.15282983051665511</v>
      </c>
      <c r="KJ46">
        <f t="shared" si="1503"/>
        <v>0.15616276120100281</v>
      </c>
      <c r="KK46">
        <f t="shared" si="1503"/>
        <v>0.15948226479510907</v>
      </c>
      <c r="KL46">
        <f t="shared" si="1503"/>
        <v>0.1627879372153771</v>
      </c>
      <c r="KM46">
        <f t="shared" si="1503"/>
        <v>0.16607937632655023</v>
      </c>
      <c r="KN46">
        <f t="shared" si="1503"/>
        <v>0.16935618198136027</v>
      </c>
      <c r="KO46">
        <f t="shared" si="1503"/>
        <v>0.17261795605981334</v>
      </c>
      <c r="KP46">
        <f t="shared" si="1503"/>
        <v>0.17586430250837992</v>
      </c>
      <c r="KQ46">
        <f t="shared" si="1503"/>
        <v>0.1790948273790427</v>
      </c>
      <c r="KR46">
        <f t="shared" si="1503"/>
        <v>0.1823091388680389</v>
      </c>
      <c r="KS46">
        <f t="shared" si="1503"/>
        <v>0.18550684735457423</v>
      </c>
      <c r="KT46">
        <f t="shared" si="1503"/>
        <v>0.18868756543919574</v>
      </c>
      <c r="KU46">
        <f t="shared" si="1503"/>
        <v>0.19185090798200477</v>
      </c>
      <c r="KV46">
        <f t="shared" si="1503"/>
        <v>0.19499431287259128</v>
      </c>
      <c r="KW46">
        <f t="shared" si="1503"/>
        <v>0.19811114758651271</v>
      </c>
      <c r="KX46">
        <f t="shared" si="1503"/>
        <v>0.20119017799644467</v>
      </c>
      <c r="KY46">
        <f t="shared" si="1503"/>
        <v>0.20421625549223421</v>
      </c>
      <c r="KZ46">
        <f t="shared" si="1503"/>
        <v>0.20717167020450233</v>
      </c>
      <c r="LA46">
        <f t="shared" si="1503"/>
        <v>0.21003766387645229</v>
      </c>
      <c r="LB46">
        <f t="shared" si="1503"/>
        <v>0.21279578082659256</v>
      </c>
      <c r="LC46">
        <f t="shared" si="1503"/>
        <v>0.21542890929229586</v>
      </c>
      <c r="LD46">
        <f t="shared" si="1503"/>
        <v>0.21792198362071247</v>
      </c>
      <c r="LE46">
        <f t="shared" si="1503"/>
        <v>0.22026238223224226</v>
      </c>
      <c r="LF46">
        <f t="shared" si="1503"/>
        <v>0.22244008270129711</v>
      </c>
      <c r="LG46">
        <f t="shared" si="1503"/>
        <v>0.22444763924008271</v>
      </c>
      <c r="LH46">
        <f t="shared" si="1503"/>
        <v>0.22628004066949714</v>
      </c>
      <c r="LI46">
        <f t="shared" si="1503"/>
        <v>0.22793449563796031</v>
      </c>
      <c r="LJ46">
        <f t="shared" si="1503"/>
        <v>0.22941018020834392</v>
      </c>
      <c r="LK46">
        <f t="shared" si="1503"/>
        <v>0.23070797272269417</v>
      </c>
      <c r="LL46">
        <f t="shared" si="1503"/>
        <v>0.231830192651028</v>
      </c>
      <c r="LM46">
        <f t="shared" si="1503"/>
        <v>0.2327803539144746</v>
      </c>
      <c r="LN46">
        <f t="shared" si="1503"/>
        <v>0.23356293866999067</v>
      </c>
      <c r="LO46">
        <f t="shared" si="1503"/>
        <v>0.23418319440819246</v>
      </c>
      <c r="LP46">
        <f t="shared" si="1503"/>
        <v>0.23464695511632172</v>
      </c>
      <c r="LQ46">
        <f t="shared" si="1503"/>
        <v>0.23496048591622554</v>
      </c>
      <c r="LR46">
        <f t="shared" si="1503"/>
        <v>0.23513034978119407</v>
      </c>
      <c r="LS46">
        <f t="shared" si="1503"/>
        <v>0.2351632944991664</v>
      </c>
      <c r="LT46">
        <f t="shared" si="1503"/>
        <v>0.23506615786008922</v>
      </c>
      <c r="LU46">
        <f t="shared" si="1503"/>
        <v>0.23484578901612352</v>
      </c>
      <c r="LV46">
        <f t="shared" ref="LV46:OG46" si="1504">$T$15*LV30+$U$15*LV31+$V$15*LV32</f>
        <v>0.2345089840331589</v>
      </c>
      <c r="LW46">
        <f t="shared" si="1504"/>
        <v>0.23406243377888458</v>
      </c>
      <c r="LX46">
        <f t="shared" si="1504"/>
        <v>0.23351268245025025</v>
      </c>
      <c r="LY46">
        <f t="shared" si="1504"/>
        <v>0.23286609521061408</v>
      </c>
      <c r="LZ46">
        <f t="shared" si="1504"/>
        <v>0.23212883357545522</v>
      </c>
      <c r="MA46">
        <f t="shared" si="1504"/>
        <v>0.23130683734612489</v>
      </c>
      <c r="MB46">
        <f t="shared" si="1504"/>
        <v>0.2304058120412229</v>
      </c>
      <c r="MC46">
        <f t="shared" si="1504"/>
        <v>0.2294312209118452</v>
      </c>
      <c r="MD46">
        <f t="shared" si="1504"/>
        <v>0.22838828075039075</v>
      </c>
      <c r="ME46">
        <f t="shared" si="1504"/>
        <v>0.22728196081250829</v>
      </c>
      <c r="MF46">
        <f t="shared" si="1504"/>
        <v>0.22611698426904425</v>
      </c>
      <c r="MG46">
        <f t="shared" si="1504"/>
        <v>0.22489783168995103</v>
      </c>
      <c r="MH46">
        <f t="shared" si="1504"/>
        <v>0.22362874613714112</v>
      </c>
      <c r="MI46">
        <f t="shared" si="1504"/>
        <v>0.22231373950780409</v>
      </c>
      <c r="MJ46">
        <f t="shared" si="1504"/>
        <v>0.22095659982649707</v>
      </c>
      <c r="MK46">
        <f t="shared" si="1504"/>
        <v>0.21956089923234146</v>
      </c>
      <c r="ML46">
        <f t="shared" si="1504"/>
        <v>0.21813000245021641</v>
      </c>
      <c r="MM46">
        <f t="shared" si="1504"/>
        <v>0.21666707557035636</v>
      </c>
      <c r="MN46">
        <f t="shared" si="1504"/>
        <v>0.21517509499194176</v>
      </c>
      <c r="MO46">
        <f t="shared" si="1504"/>
        <v>0.21365685641231735</v>
      </c>
      <c r="MP46">
        <f t="shared" si="1504"/>
        <v>0.21211498376627702</v>
      </c>
      <c r="MQ46">
        <f t="shared" si="1504"/>
        <v>0.2105519380385239</v>
      </c>
      <c r="MR46">
        <f t="shared" si="1504"/>
        <v>0.20897002588892377</v>
      </c>
      <c r="MS46">
        <f t="shared" si="1504"/>
        <v>0.20737140804347831</v>
      </c>
      <c r="MT46">
        <f t="shared" si="1504"/>
        <v>0.20575810741567935</v>
      </c>
      <c r="MU46">
        <f t="shared" si="1504"/>
        <v>0.20413201693212102</v>
      </c>
      <c r="MV46">
        <f t="shared" si="1504"/>
        <v>0.20249490704461692</v>
      </c>
      <c r="MW46">
        <f t="shared" si="1504"/>
        <v>0.20084843291736831</v>
      </c>
      <c r="MX46">
        <f t="shared" si="1504"/>
        <v>0.19919414128330359</v>
      </c>
      <c r="MY46">
        <f t="shared" si="1504"/>
        <v>0.19753347696807211</v>
      </c>
      <c r="MZ46">
        <f t="shared" si="1504"/>
        <v>0.19586778908376701</v>
      </c>
      <c r="NA46">
        <f t="shared" si="1504"/>
        <v>0.19419833689741495</v>
      </c>
      <c r="NB46">
        <f t="shared" si="1504"/>
        <v>0.19252629538137711</v>
      </c>
      <c r="NC46">
        <f t="shared" si="1504"/>
        <v>0.19085276045453625</v>
      </c>
      <c r="ND46">
        <f t="shared" si="1504"/>
        <v>0.18917875392465433</v>
      </c>
      <c r="NE46">
        <f t="shared" si="1504"/>
        <v>0.18750522814304915</v>
      </c>
      <c r="NF46">
        <f t="shared" si="1504"/>
        <v>0.18583307038339925</v>
      </c>
      <c r="NG46">
        <f t="shared" si="1504"/>
        <v>0.18416310695696225</v>
      </c>
      <c r="NH46">
        <f t="shared" si="1504"/>
        <v>0.18249610707679054</v>
      </c>
      <c r="NI46">
        <f t="shared" si="1504"/>
        <v>0.18083278648318668</v>
      </c>
      <c r="NJ46">
        <f t="shared" si="1504"/>
        <v>0.17917381084306072</v>
      </c>
      <c r="NK46">
        <f t="shared" si="1504"/>
        <v>0.17751979893521153</v>
      </c>
      <c r="NL46">
        <f t="shared" si="1504"/>
        <v>0.17587132563358665</v>
      </c>
      <c r="NM46">
        <f t="shared" si="1504"/>
        <v>0.17422892469992135</v>
      </c>
      <c r="NN46">
        <f t="shared" si="1504"/>
        <v>0.17259309139708634</v>
      </c>
      <c r="NO46">
        <f t="shared" si="1504"/>
        <v>0.17096428493374916</v>
      </c>
      <c r="NP46">
        <f t="shared" si="1504"/>
        <v>0.16934293075075146</v>
      </c>
      <c r="NQ46">
        <f t="shared" si="1504"/>
        <v>0.16772942265891899</v>
      </c>
      <c r="NR46">
        <f t="shared" si="1504"/>
        <v>0.16612412483761574</v>
      </c>
      <c r="NS46">
        <f t="shared" si="1504"/>
        <v>0.16452737370305925</v>
      </c>
      <c r="NT46">
        <f t="shared" si="1504"/>
        <v>0.16293947965456113</v>
      </c>
      <c r="NU46">
        <f t="shared" si="1504"/>
        <v>0.16136072870680351</v>
      </c>
      <c r="NV46">
        <f t="shared" si="1504"/>
        <v>0.15979138401554493</v>
      </c>
      <c r="NW46">
        <f t="shared" si="1504"/>
        <v>0.15823168730373638</v>
      </c>
      <c r="NX46">
        <f t="shared" si="1504"/>
        <v>0.15668186019475172</v>
      </c>
      <c r="NY46">
        <f t="shared" si="1504"/>
        <v>0.15514210545894613</v>
      </c>
      <c r="NZ46">
        <f t="shared" si="1504"/>
        <v>0.15361260817918776</v>
      </c>
      <c r="OA46">
        <f t="shared" si="1504"/>
        <v>0.15209353684108251</v>
      </c>
      <c r="OB46">
        <f t="shared" si="1504"/>
        <v>0.15058504435270947</v>
      </c>
      <c r="OC46">
        <f t="shared" si="1504"/>
        <v>0.14908726899884428</v>
      </c>
      <c r="OD46">
        <f t="shared" si="1504"/>
        <v>0.14760033533402606</v>
      </c>
      <c r="OE46">
        <f t="shared" si="1504"/>
        <v>0.14612435501858556</v>
      </c>
      <c r="OF46">
        <f t="shared" si="1504"/>
        <v>0.1446594276016242</v>
      </c>
      <c r="OG46">
        <f t="shared" si="1504"/>
        <v>0.14320564125439006</v>
      </c>
      <c r="OH46">
        <f t="shared" ref="OH46:QS46" si="1505">$T$15*OH30+$U$15*OH31+$V$15*OH32</f>
        <v>0.14176307345762496</v>
      </c>
      <c r="OI46">
        <f t="shared" si="1505"/>
        <v>0.14033179164576381</v>
      </c>
      <c r="OJ46">
        <f t="shared" si="1505"/>
        <v>0.13891185381110205</v>
      </c>
      <c r="OK46">
        <f t="shared" si="1505"/>
        <v>0.13750330907055996</v>
      </c>
      <c r="OL46">
        <f t="shared" si="1505"/>
        <v>0.13610619819758085</v>
      </c>
      <c r="OM46">
        <f t="shared" si="1505"/>
        <v>0.1347205541214862</v>
      </c>
      <c r="ON46">
        <f t="shared" si="1505"/>
        <v>0.13334640239646944</v>
      </c>
      <c r="OO46">
        <f t="shared" si="1505"/>
        <v>0.13198376164233139</v>
      </c>
      <c r="OP46">
        <f t="shared" si="1505"/>
        <v>0.13063264395875507</v>
      </c>
      <c r="OQ46">
        <f t="shared" si="1505"/>
        <v>0.12929305531482527</v>
      </c>
      <c r="OR46">
        <f t="shared" si="1505"/>
        <v>0.12796499591563659</v>
      </c>
      <c r="OS46">
        <f t="shared" si="1505"/>
        <v>0.12664846054725132</v>
      </c>
      <c r="OT46">
        <f t="shared" si="1505"/>
        <v>0.1253434389015311</v>
      </c>
      <c r="OU46">
        <f t="shared" si="1505"/>
        <v>0.12404991588220682</v>
      </c>
      <c r="OV46">
        <f t="shared" si="1505"/>
        <v>0.12276787189329497</v>
      </c>
      <c r="OW46">
        <f t="shared" si="1505"/>
        <v>0.12149728311096908</v>
      </c>
      <c r="OX46">
        <f t="shared" si="1505"/>
        <v>0.12023812174010828</v>
      </c>
      <c r="OY46">
        <f t="shared" si="1505"/>
        <v>0.11899035625634369</v>
      </c>
      <c r="OZ46">
        <f t="shared" si="1505"/>
        <v>0.11775395163449076</v>
      </c>
      <c r="PA46">
        <f t="shared" si="1505"/>
        <v>0.11652886956437669</v>
      </c>
      <c r="PB46">
        <f t="shared" si="1505"/>
        <v>0.11531506865472707</v>
      </c>
      <c r="PC46">
        <f t="shared" si="1505"/>
        <v>0.11411250462579048</v>
      </c>
      <c r="PD46">
        <f t="shared" si="1505"/>
        <v>0.11292113049156427</v>
      </c>
      <c r="PE46">
        <f t="shared" si="1505"/>
        <v>0.11174089673209409</v>
      </c>
      <c r="PF46">
        <f t="shared" si="1505"/>
        <v>0.11057175145649367</v>
      </c>
      <c r="PG46">
        <f t="shared" si="1505"/>
        <v>0.109413640557257</v>
      </c>
      <c r="PH46">
        <f t="shared" si="1505"/>
        <v>0.10826650785639202</v>
      </c>
      <c r="PI46">
        <f t="shared" si="1505"/>
        <v>0.10713029524374207</v>
      </c>
      <c r="PJ46">
        <f t="shared" si="1505"/>
        <v>0.10600494280809869</v>
      </c>
      <c r="PK46">
        <f t="shared" si="1505"/>
        <v>0.10489038896142233</v>
      </c>
      <c r="PL46">
        <f t="shared" si="1505"/>
        <v>0.10378657055660767</v>
      </c>
      <c r="PM46">
        <f t="shared" si="1505"/>
        <v>0.10269342299908502</v>
      </c>
      <c r="PN46">
        <f t="shared" si="1505"/>
        <v>0.10161088035275156</v>
      </c>
      <c r="PO46">
        <f t="shared" si="1505"/>
        <v>0.10053887544035689</v>
      </c>
      <c r="PP46">
        <f t="shared" si="1505"/>
        <v>9.9477339938850662E-2</v>
      </c>
      <c r="PQ46">
        <f t="shared" si="1505"/>
        <v>9.8426204469721057E-2</v>
      </c>
      <c r="PR46">
        <f t="shared" si="1505"/>
        <v>9.7385398684917135E-2</v>
      </c>
      <c r="PS46">
        <f t="shared" si="1505"/>
        <v>9.635485134818822E-2</v>
      </c>
      <c r="PT46">
        <f t="shared" si="1505"/>
        <v>9.5334490412561479E-2</v>
      </c>
      <c r="PU46">
        <f t="shared" si="1505"/>
        <v>9.4324243093641513E-2</v>
      </c>
      <c r="PV46">
        <f t="shared" si="1505"/>
        <v>9.332403593943539E-2</v>
      </c>
      <c r="PW46">
        <f t="shared" si="1505"/>
        <v>9.2333794896493515E-2</v>
      </c>
      <c r="PX46">
        <f t="shared" si="1505"/>
        <v>9.1353445372853059E-2</v>
      </c>
      <c r="PY46">
        <f t="shared" si="1505"/>
        <v>9.038291229772355E-2</v>
      </c>
      <c r="PZ46">
        <f t="shared" si="1505"/>
        <v>8.9422120178213049E-2</v>
      </c>
      <c r="QA46">
        <f t="shared" si="1505"/>
        <v>8.8470993153183741E-2</v>
      </c>
      <c r="QB46">
        <f t="shared" si="1505"/>
        <v>8.7529455044435878E-2</v>
      </c>
      <c r="QC46">
        <f t="shared" si="1505"/>
        <v>8.6597429405269821E-2</v>
      </c>
      <c r="QD46">
        <f t="shared" si="1505"/>
        <v>8.5674839566603822E-2</v>
      </c>
      <c r="QE46">
        <f t="shared" si="1505"/>
        <v>8.476160868082161E-2</v>
      </c>
      <c r="QF46">
        <f t="shared" si="1505"/>
        <v>8.3857659763307169E-2</v>
      </c>
      <c r="QG46">
        <f t="shared" si="1505"/>
        <v>8.2962915731915388E-2</v>
      </c>
      <c r="QH46">
        <f t="shared" si="1505"/>
        <v>8.2077299444531349E-2</v>
      </c>
      <c r="QI46">
        <f t="shared" si="1505"/>
        <v>8.120073373446246E-2</v>
      </c>
      <c r="QJ46">
        <f t="shared" si="1505"/>
        <v>8.0333141444295819E-2</v>
      </c>
      <c r="QK46">
        <f t="shared" si="1505"/>
        <v>7.9474445457801579E-2</v>
      </c>
      <c r="QL46">
        <f t="shared" si="1505"/>
        <v>7.8624568730326416E-2</v>
      </c>
      <c r="QM46">
        <f t="shared" si="1505"/>
        <v>7.778343431747814E-2</v>
      </c>
      <c r="QN46">
        <f t="shared" si="1505"/>
        <v>7.6950965402442506E-2</v>
      </c>
      <c r="QO46">
        <f t="shared" si="1505"/>
        <v>7.6127085321690657E-2</v>
      </c>
      <c r="QP46">
        <f t="shared" si="1505"/>
        <v>7.5311717589510607E-2</v>
      </c>
      <c r="QQ46">
        <f t="shared" si="1505"/>
        <v>7.4504785921057248E-2</v>
      </c>
      <c r="QR46">
        <f t="shared" si="1505"/>
        <v>7.3706214254254832E-2</v>
      </c>
      <c r="QS46">
        <f t="shared" si="1505"/>
        <v>7.2915926770491524E-2</v>
      </c>
      <c r="QT46">
        <f t="shared" ref="QT46:TE46" si="1506">$T$15*QT30+$U$15*QT31+$V$15*QT32</f>
        <v>7.2133847914120253E-2</v>
      </c>
      <c r="QU46">
        <f t="shared" si="1506"/>
        <v>7.1359902410975451E-2</v>
      </c>
      <c r="QV46">
        <f t="shared" si="1506"/>
        <v>7.0594015285728062E-2</v>
      </c>
      <c r="QW46">
        <f t="shared" si="1506"/>
        <v>6.9836111878320395E-2</v>
      </c>
      <c r="QX46">
        <f t="shared" si="1506"/>
        <v>6.9086117859495033E-2</v>
      </c>
      <c r="QY46">
        <f t="shared" si="1506"/>
        <v>6.834395924526504E-2</v>
      </c>
      <c r="QZ46">
        <f t="shared" si="1506"/>
        <v>6.7609562410734014E-2</v>
      </c>
      <c r="RA46">
        <f t="shared" si="1506"/>
        <v>6.6882854102907174E-2</v>
      </c>
      <c r="RB46">
        <f t="shared" si="1506"/>
        <v>6.6163761452770586E-2</v>
      </c>
      <c r="RC46">
        <f t="shared" si="1506"/>
        <v>6.5452211986698927E-2</v>
      </c>
      <c r="RD46">
        <f t="shared" si="1506"/>
        <v>6.47481336369502E-2</v>
      </c>
      <c r="RE46">
        <f t="shared" si="1506"/>
        <v>6.4051454751734127E-2</v>
      </c>
      <c r="RF46">
        <f t="shared" si="1506"/>
        <v>6.3362104104374595E-2</v>
      </c>
      <c r="RG46">
        <f t="shared" si="1506"/>
        <v>6.2680010901964067E-2</v>
      </c>
      <c r="RH46">
        <f t="shared" si="1506"/>
        <v>6.2005104793449561E-2</v>
      </c>
      <c r="RI46">
        <f t="shared" si="1506"/>
        <v>6.1337315877050713E-2</v>
      </c>
      <c r="RJ46">
        <f t="shared" si="1506"/>
        <v>6.0676574707176911E-2</v>
      </c>
      <c r="RK46">
        <f t="shared" si="1506"/>
        <v>6.002281230083284E-2</v>
      </c>
      <c r="RL46">
        <f t="shared" si="1506"/>
        <v>5.9375960143505324E-2</v>
      </c>
      <c r="RM46">
        <f t="shared" si="1506"/>
        <v>5.87359501945528E-2</v>
      </c>
      <c r="RN46">
        <f t="shared" si="1506"/>
        <v>5.8102714892182661E-2</v>
      </c>
      <c r="RO46">
        <f t="shared" si="1506"/>
        <v>5.7476187157970315E-2</v>
      </c>
      <c r="RP46">
        <f t="shared" si="1506"/>
        <v>5.6856300400923487E-2</v>
      </c>
      <c r="RQ46">
        <f t="shared" si="1506"/>
        <v>5.6242988521244541E-2</v>
      </c>
      <c r="RR46">
        <f t="shared" si="1506"/>
        <v>5.5636185913581215E-2</v>
      </c>
      <c r="RS46">
        <f t="shared" si="1506"/>
        <v>5.5035827470042875E-2</v>
      </c>
      <c r="RT46">
        <f t="shared" si="1506"/>
        <v>5.4441848582786889E-2</v>
      </c>
      <c r="RU46">
        <f t="shared" si="1506"/>
        <v>5.3854185146327893E-2</v>
      </c>
      <c r="RV46">
        <f t="shared" si="1506"/>
        <v>5.3272773559456255E-2</v>
      </c>
      <c r="RW46">
        <f t="shared" si="1506"/>
        <v>5.2697550726964693E-2</v>
      </c>
      <c r="RX46">
        <f t="shared" si="1506"/>
        <v>5.2128454060998308E-2</v>
      </c>
      <c r="RY46">
        <f t="shared" si="1506"/>
        <v>5.1565421482148821E-2</v>
      </c>
      <c r="RZ46">
        <f t="shared" si="1506"/>
        <v>5.1008391420349852E-2</v>
      </c>
      <c r="SA46">
        <f t="shared" si="1506"/>
        <v>5.0457302815427596E-2</v>
      </c>
      <c r="SB46">
        <f t="shared" si="1506"/>
        <v>4.9912095117505828E-2</v>
      </c>
      <c r="SC46">
        <f t="shared" si="1506"/>
        <v>4.937270828710183E-2</v>
      </c>
      <c r="SD46">
        <f t="shared" si="1506"/>
        <v>4.8839082795101518E-2</v>
      </c>
      <c r="SE46">
        <f t="shared" si="1506"/>
        <v>4.8311159622439703E-2</v>
      </c>
      <c r="SF46">
        <f t="shared" si="1506"/>
        <v>4.7788880259655997E-2</v>
      </c>
      <c r="SG46">
        <f t="shared" si="1506"/>
        <v>4.7272186706212693E-2</v>
      </c>
      <c r="SH46">
        <f t="shared" si="1506"/>
        <v>4.6761021469691855E-2</v>
      </c>
      <c r="SI46">
        <f t="shared" si="1506"/>
        <v>4.6255327564782789E-2</v>
      </c>
      <c r="SJ46">
        <f t="shared" si="1506"/>
        <v>4.5755048512109653E-2</v>
      </c>
      <c r="SK46">
        <f t="shared" si="1506"/>
        <v>4.5260128336966687E-2</v>
      </c>
      <c r="SL46">
        <f t="shared" si="1506"/>
        <v>4.4770511567840288E-2</v>
      </c>
      <c r="SM46">
        <f t="shared" si="1506"/>
        <v>4.4286143234835151E-2</v>
      </c>
      <c r="SN46">
        <f t="shared" si="1506"/>
        <v>4.3806968867976082E-2</v>
      </c>
      <c r="SO46">
        <f t="shared" si="1506"/>
        <v>4.3332934495360576E-2</v>
      </c>
      <c r="SP46">
        <f t="shared" si="1506"/>
        <v>4.2863986641236806E-2</v>
      </c>
      <c r="SQ46">
        <f t="shared" si="1506"/>
        <v>4.2400072323911076E-2</v>
      </c>
      <c r="SR46">
        <f t="shared" si="1506"/>
        <v>4.1941139053662368E-2</v>
      </c>
      <c r="SS46">
        <f t="shared" si="1506"/>
        <v>4.1487134830418881E-2</v>
      </c>
      <c r="ST46">
        <f t="shared" si="1506"/>
        <v>4.1038008141477178E-2</v>
      </c>
      <c r="SU46">
        <f t="shared" si="1506"/>
        <v>4.0593707959033054E-2</v>
      </c>
      <c r="SV46">
        <f t="shared" si="1506"/>
        <v>4.0154183737712401E-2</v>
      </c>
      <c r="SW46">
        <f t="shared" si="1506"/>
        <v>3.9719385411967068E-2</v>
      </c>
      <c r="SX46">
        <f t="shared" si="1506"/>
        <v>3.9289263393420981E-2</v>
      </c>
      <c r="SY46">
        <f t="shared" si="1506"/>
        <v>3.8863768568162982E-2</v>
      </c>
      <c r="SZ46">
        <f t="shared" si="1506"/>
        <v>3.8442852293993468E-2</v>
      </c>
      <c r="TA46">
        <f t="shared" si="1506"/>
        <v>3.8026466397507619E-2</v>
      </c>
      <c r="TB46">
        <f t="shared" si="1506"/>
        <v>3.7614563171306514E-2</v>
      </c>
      <c r="TC46">
        <f t="shared" si="1506"/>
        <v>3.7207095370963117E-2</v>
      </c>
      <c r="TD46">
        <f t="shared" si="1506"/>
        <v>3.6804016212094837E-2</v>
      </c>
      <c r="TE46">
        <f t="shared" si="1506"/>
        <v>3.6405279367301091E-2</v>
      </c>
      <c r="TF46">
        <f t="shared" ref="TF46:VQ46" si="1507">$T$15*TF30+$U$15*TF31+$V$15*TF32</f>
        <v>3.6010838963104419E-2</v>
      </c>
      <c r="TG46">
        <f t="shared" si="1507"/>
        <v>3.5620649576827645E-2</v>
      </c>
      <c r="TH46">
        <f t="shared" si="1507"/>
        <v>3.5234666233485257E-2</v>
      </c>
      <c r="TI46">
        <f t="shared" si="1507"/>
        <v>3.4852844402571748E-2</v>
      </c>
      <c r="TJ46">
        <f t="shared" si="1507"/>
        <v>3.4475139994874837E-2</v>
      </c>
      <c r="TK46">
        <f t="shared" si="1507"/>
        <v>3.4101509359242499E-2</v>
      </c>
      <c r="TL46">
        <f t="shared" si="1507"/>
        <v>3.373190927936065E-2</v>
      </c>
      <c r="TM46">
        <f t="shared" si="1507"/>
        <v>3.3366296970442022E-2</v>
      </c>
      <c r="TN46">
        <f t="shared" si="1507"/>
        <v>3.3004630075961217E-2</v>
      </c>
      <c r="TO46">
        <f t="shared" si="1507"/>
        <v>3.2646866664368446E-2</v>
      </c>
      <c r="TP46">
        <f t="shared" si="1507"/>
        <v>3.2292965225703796E-2</v>
      </c>
      <c r="TQ46">
        <f t="shared" si="1507"/>
        <v>3.1942884668357152E-2</v>
      </c>
      <c r="TR46">
        <f t="shared" si="1507"/>
        <v>3.1596584315636278E-2</v>
      </c>
      <c r="TS46">
        <f t="shared" si="1507"/>
        <v>3.1254023902498318E-2</v>
      </c>
      <c r="TT46">
        <f t="shared" si="1507"/>
        <v>3.0915163572146298E-2</v>
      </c>
      <c r="TU46">
        <f t="shared" si="1507"/>
        <v>3.0579963872678917E-2</v>
      </c>
      <c r="TV46">
        <f t="shared" si="1507"/>
        <v>3.0248385753715468E-2</v>
      </c>
      <c r="TW46">
        <f t="shared" si="1507"/>
        <v>2.9920390563063393E-2</v>
      </c>
      <c r="TX46">
        <f t="shared" si="1507"/>
        <v>2.9595940043314783E-2</v>
      </c>
      <c r="TY46">
        <f t="shared" si="1507"/>
        <v>2.9274996328521041E-2</v>
      </c>
      <c r="TZ46">
        <f t="shared" si="1507"/>
        <v>2.8957521940782271E-2</v>
      </c>
      <c r="UA46">
        <f t="shared" si="1507"/>
        <v>2.8643479786939707E-2</v>
      </c>
      <c r="UB46">
        <f t="shared" si="1507"/>
        <v>2.8332833155175763E-2</v>
      </c>
      <c r="UC46">
        <f t="shared" si="1507"/>
        <v>2.8025545711688693E-2</v>
      </c>
      <c r="UD46">
        <f t="shared" si="1507"/>
        <v>2.7721581497356595E-2</v>
      </c>
      <c r="UE46">
        <f t="shared" si="1507"/>
        <v>2.7420904924404965E-2</v>
      </c>
      <c r="UF46">
        <f t="shared" si="1507"/>
        <v>2.7123480773063591E-2</v>
      </c>
      <c r="UG46">
        <f t="shared" si="1507"/>
        <v>2.6829274188255425E-2</v>
      </c>
      <c r="UH46">
        <f t="shared" si="1507"/>
        <v>2.653825067632809E-2</v>
      </c>
      <c r="UI46">
        <f t="shared" si="1507"/>
        <v>2.6250376101700112E-2</v>
      </c>
      <c r="UJ46">
        <f t="shared" si="1507"/>
        <v>2.5965616683649273E-2</v>
      </c>
      <c r="UK46">
        <f t="shared" si="1507"/>
        <v>2.5683938992990818E-2</v>
      </c>
      <c r="UL46">
        <f t="shared" si="1507"/>
        <v>2.5405309948858701E-2</v>
      </c>
      <c r="UM46">
        <f t="shared" si="1507"/>
        <v>2.5129696815451297E-2</v>
      </c>
      <c r="UN46">
        <f t="shared" si="1507"/>
        <v>2.485706719879488E-2</v>
      </c>
      <c r="UO46">
        <f t="shared" si="1507"/>
        <v>2.4587389043585262E-2</v>
      </c>
      <c r="UP46">
        <f t="shared" si="1507"/>
        <v>2.4320630629944162E-2</v>
      </c>
      <c r="UQ46">
        <f t="shared" si="1507"/>
        <v>2.4056760570264402E-2</v>
      </c>
      <c r="UR46">
        <f t="shared" si="1507"/>
        <v>2.3795747806044432E-2</v>
      </c>
      <c r="US46">
        <f t="shared" si="1507"/>
        <v>2.3537561604783264E-2</v>
      </c>
      <c r="UT46">
        <f t="shared" si="1507"/>
        <v>2.3282171556793685E-2</v>
      </c>
      <c r="UU46">
        <f t="shared" si="1507"/>
        <v>2.3029547572171793E-2</v>
      </c>
      <c r="UV46">
        <f t="shared" si="1507"/>
        <v>2.2779659877635083E-2</v>
      </c>
      <c r="UW46">
        <f t="shared" si="1507"/>
        <v>2.2532479013531059E-2</v>
      </c>
      <c r="UX46">
        <f t="shared" si="1507"/>
        <v>2.2287975830746376E-2</v>
      </c>
      <c r="UY46">
        <f t="shared" si="1507"/>
        <v>2.2046121487690584E-2</v>
      </c>
      <c r="UZ46">
        <f t="shared" si="1507"/>
        <v>2.180688744728343E-2</v>
      </c>
      <c r="VA46">
        <f t="shared" si="1507"/>
        <v>2.1570245473977678E-2</v>
      </c>
      <c r="VB46">
        <f t="shared" si="1507"/>
        <v>2.1336167630813918E-2</v>
      </c>
      <c r="VC46">
        <f t="shared" si="1507"/>
        <v>2.1104626276418514E-2</v>
      </c>
      <c r="VD46">
        <f t="shared" si="1507"/>
        <v>2.0875594062143676E-2</v>
      </c>
      <c r="VE46">
        <f t="shared" si="1507"/>
        <v>2.0649043929115152E-2</v>
      </c>
      <c r="VF46">
        <f t="shared" si="1507"/>
        <v>2.0424949105390056E-2</v>
      </c>
      <c r="VG46">
        <f t="shared" si="1507"/>
        <v>2.0203283103068514E-2</v>
      </c>
      <c r="VH46">
        <f t="shared" si="1507"/>
        <v>1.9984019715465706E-2</v>
      </c>
      <c r="VI46">
        <f t="shared" si="1507"/>
        <v>1.9767133014301663E-2</v>
      </c>
      <c r="VJ46">
        <f t="shared" si="1507"/>
        <v>1.9552597346891076E-2</v>
      </c>
      <c r="VK46">
        <f t="shared" si="1507"/>
        <v>1.9340387333386388E-2</v>
      </c>
      <c r="VL46">
        <f t="shared" si="1507"/>
        <v>1.9130477864013784E-2</v>
      </c>
      <c r="VM46">
        <f t="shared" si="1507"/>
        <v>1.8922844096373126E-2</v>
      </c>
      <c r="VN46">
        <f t="shared" si="1507"/>
        <v>1.8717461452673945E-2</v>
      </c>
      <c r="VO46">
        <f t="shared" si="1507"/>
        <v>1.8514305617102877E-2</v>
      </c>
      <c r="VP46">
        <f t="shared" si="1507"/>
        <v>1.8313352533169791E-2</v>
      </c>
      <c r="VQ46">
        <f t="shared" si="1507"/>
        <v>1.8114578400986403E-2</v>
      </c>
      <c r="VR46">
        <f t="shared" ref="VR46:YC46" si="1508">$T$15*VR30+$U$15*VR31+$V$15*VR32</f>
        <v>1.7917959674758066E-2</v>
      </c>
      <c r="VS46">
        <f t="shared" si="1508"/>
        <v>1.7723473060090811E-2</v>
      </c>
      <c r="VT46">
        <f t="shared" si="1508"/>
        <v>1.7531095511490236E-2</v>
      </c>
      <c r="VU46">
        <f t="shared" si="1508"/>
        <v>1.734080422976092E-2</v>
      </c>
      <c r="VV46">
        <f t="shared" si="1508"/>
        <v>1.7152576659505314E-2</v>
      </c>
      <c r="VW46">
        <f t="shared" si="1508"/>
        <v>1.6966390486619076E-2</v>
      </c>
      <c r="VX46">
        <f t="shared" si="1508"/>
        <v>1.6782223635765092E-2</v>
      </c>
      <c r="VY46">
        <f t="shared" si="1508"/>
        <v>1.6600054267954079E-2</v>
      </c>
      <c r="VZ46">
        <f t="shared" si="1508"/>
        <v>1.6419860778082551E-2</v>
      </c>
      <c r="WA46">
        <f t="shared" si="1508"/>
        <v>1.6241621792531191E-2</v>
      </c>
      <c r="WB46">
        <f t="shared" si="1508"/>
        <v>1.6065316166738342E-2</v>
      </c>
      <c r="WC46">
        <f t="shared" si="1508"/>
        <v>1.589092298284811E-2</v>
      </c>
      <c r="WD46">
        <f t="shared" si="1508"/>
        <v>1.5718421547358474E-2</v>
      </c>
      <c r="WE46">
        <f t="shared" si="1508"/>
        <v>1.5547791388748067E-2</v>
      </c>
      <c r="WF46">
        <f t="shared" si="1508"/>
        <v>1.5379012255230862E-2</v>
      </c>
      <c r="WG46">
        <f t="shared" si="1508"/>
        <v>1.5212064112404278E-2</v>
      </c>
      <c r="WH46">
        <f t="shared" si="1508"/>
        <v>1.5046927141021627E-2</v>
      </c>
      <c r="WI46">
        <f t="shared" si="1508"/>
        <v>1.4883581734718376E-2</v>
      </c>
      <c r="WJ46">
        <f t="shared" si="1508"/>
        <v>1.471982922965509E-2</v>
      </c>
      <c r="WK46">
        <f t="shared" si="1508"/>
        <v>1.4549398421046078E-2</v>
      </c>
      <c r="WL46">
        <f t="shared" si="1508"/>
        <v>1.4361414334455702E-2</v>
      </c>
      <c r="WM46">
        <f t="shared" si="1508"/>
        <v>1.4141085306338397E-2</v>
      </c>
      <c r="WN46">
        <f t="shared" si="1508"/>
        <v>1.3871056168355267E-2</v>
      </c>
      <c r="WO46">
        <f t="shared" si="1508"/>
        <v>1.3532921080102511E-2</v>
      </c>
      <c r="WP46">
        <f t="shared" si="1508"/>
        <v>1.3108574453067234E-2</v>
      </c>
      <c r="WQ46">
        <f t="shared" si="1508"/>
        <v>1.2581252255589703E-2</v>
      </c>
      <c r="WR46">
        <f t="shared" si="1508"/>
        <v>1.193623416557088E-2</v>
      </c>
      <c r="WS46">
        <f t="shared" si="1508"/>
        <v>1.1161241495873497E-2</v>
      </c>
      <c r="WT46">
        <f t="shared" si="1508"/>
        <v>1.0246592237276531E-2</v>
      </c>
      <c r="WU46">
        <f t="shared" si="1508"/>
        <v>9.185178504953484E-3</v>
      </c>
      <c r="WV46">
        <f t="shared" si="1508"/>
        <v>7.9723244719964725E-3</v>
      </c>
      <c r="WW46">
        <f t="shared" si="1508"/>
        <v>6.6055715514146129E-3</v>
      </c>
      <c r="WX46">
        <f t="shared" si="1508"/>
        <v>5.0844259464390973E-3</v>
      </c>
      <c r="WY46">
        <f t="shared" si="1508"/>
        <v>3.4100934788199311E-3</v>
      </c>
      <c r="WZ46">
        <f t="shared" si="1508"/>
        <v>1.5852184017290938E-3</v>
      </c>
      <c r="XA46">
        <f t="shared" si="1508"/>
        <v>-3.8636331305852423E-4</v>
      </c>
      <c r="XB46">
        <f t="shared" si="1508"/>
        <v>-2.4998502256927679E-3</v>
      </c>
      <c r="XC46">
        <f t="shared" si="1508"/>
        <v>-4.7496783657265951E-3</v>
      </c>
      <c r="XD46">
        <f t="shared" si="1508"/>
        <v>-7.1297001038743701E-3</v>
      </c>
      <c r="XE46">
        <f t="shared" si="1508"/>
        <v>-9.633339548653197E-3</v>
      </c>
      <c r="XF46">
        <f t="shared" si="1508"/>
        <v>-1.2253725863647702E-2</v>
      </c>
      <c r="XG46">
        <f t="shared" si="1508"/>
        <v>-1.498380633828944E-2</v>
      </c>
      <c r="XH46">
        <f t="shared" si="1508"/>
        <v>-1.7816441234021596E-2</v>
      </c>
      <c r="XI46">
        <f t="shared" si="1508"/>
        <v>-2.0744482457292435E-2</v>
      </c>
      <c r="XJ46">
        <f t="shared" si="1508"/>
        <v>-2.3760838041031462E-2</v>
      </c>
      <c r="XK46">
        <f t="shared" si="1508"/>
        <v>-2.6858524289071539E-2</v>
      </c>
      <c r="XL46">
        <f t="shared" si="1508"/>
        <v>-3.0030707280950253E-2</v>
      </c>
      <c r="XM46">
        <f t="shared" si="1508"/>
        <v>-3.3270735266665241E-2</v>
      </c>
      <c r="XN46">
        <f t="shared" si="1508"/>
        <v>-3.6572163312523998E-2</v>
      </c>
      <c r="XO46">
        <f t="shared" si="1508"/>
        <v>-3.9928771398493268E-2</v>
      </c>
      <c r="XP46">
        <f t="shared" si="1508"/>
        <v>-4.3334577017795084E-2</v>
      </c>
      <c r="XQ46">
        <f t="shared" si="1508"/>
        <v>-4.6783843192066854E-2</v>
      </c>
      <c r="XR46">
        <f t="shared" si="1508"/>
        <v>-5.0271082692724178E-2</v>
      </c>
      <c r="XS46">
        <f t="shared" si="1508"/>
        <v>-5.3791059148739606E-2</v>
      </c>
      <c r="XT46">
        <f t="shared" si="1508"/>
        <v>-5.7338785624160948E-2</v>
      </c>
      <c r="XU46">
        <f t="shared" si="1508"/>
        <v>-6.0909521163161173E-2</v>
      </c>
      <c r="XV46">
        <f t="shared" si="1508"/>
        <v>-6.4498765725911511E-2</v>
      </c>
      <c r="XW46">
        <f t="shared" si="1508"/>
        <v>-6.8102253873522756E-2</v>
      </c>
      <c r="XX46">
        <f t="shared" si="1508"/>
        <v>-7.1715947503868449E-2</v>
      </c>
      <c r="XY46">
        <f t="shared" si="1508"/>
        <v>-7.5336027891918178E-2</v>
      </c>
      <c r="XZ46">
        <f t="shared" si="1508"/>
        <v>-7.8958887245683229E-2</v>
      </c>
      <c r="YA46">
        <f t="shared" si="1508"/>
        <v>-8.2581119953399451E-2</v>
      </c>
      <c r="YB46">
        <f t="shared" si="1508"/>
        <v>-8.6199513666272765E-2</v>
      </c>
      <c r="YC46">
        <f t="shared" si="1508"/>
        <v>-8.981104033523124E-2</v>
      </c>
      <c r="YD46">
        <f t="shared" ref="YD46:AAO46" si="1509">$T$15*YD30+$U$15*YD31+$V$15*YD32</f>
        <v>-9.3412847297276613E-2</v>
      </c>
      <c r="YE46">
        <f t="shared" si="1509"/>
        <v>-9.7002248488159637E-2</v>
      </c>
      <c r="YF46">
        <f t="shared" si="1509"/>
        <v>-0.10057671584188199</v>
      </c>
      <c r="YG46">
        <f t="shared" si="1509"/>
        <v>-0.10413387092414794</v>
      </c>
      <c r="YH46">
        <f t="shared" si="1509"/>
        <v>-0.10767147683496958</v>
      </c>
      <c r="YI46">
        <f t="shared" si="1509"/>
        <v>-0.11118743040661627</v>
      </c>
      <c r="YJ46">
        <f t="shared" si="1509"/>
        <v>-0.11467975471462566</v>
      </c>
      <c r="YK46">
        <f t="shared" si="1509"/>
        <v>-0.11814659191334798</v>
      </c>
      <c r="YL46">
        <f t="shared" si="1509"/>
        <v>-0.1215861964019993</v>
      </c>
      <c r="YM46">
        <f t="shared" si="1509"/>
        <v>-0.12499692832252052</v>
      </c>
      <c r="YN46">
        <f t="shared" si="1509"/>
        <v>-0.12837724738731282</v>
      </c>
      <c r="YO46">
        <f t="shared" si="1509"/>
        <v>-0.13172570703182984</v>
      </c>
      <c r="YP46">
        <f t="shared" si="1509"/>
        <v>-0.13504094888479656</v>
      </c>
      <c r="YQ46">
        <f t="shared" si="1509"/>
        <v>-0.13832169754721946</v>
      </c>
      <c r="YR46">
        <f t="shared" si="1509"/>
        <v>-0.14156675566978194</v>
      </c>
      <c r="YS46">
        <f t="shared" si="1509"/>
        <v>-0.14477499931753712</v>
      </c>
      <c r="YT46">
        <f t="shared" si="1509"/>
        <v>-0.14794537360997495</v>
      </c>
      <c r="YU46">
        <f t="shared" si="1509"/>
        <v>-0.15107688862424951</v>
      </c>
      <c r="YV46">
        <f t="shared" si="1509"/>
        <v>-0.1541686155490396</v>
      </c>
      <c r="YW46">
        <f t="shared" si="1509"/>
        <v>-0.15721968307661882</v>
      </c>
      <c r="YX46">
        <f t="shared" si="1509"/>
        <v>-0.16022927402068632</v>
      </c>
      <c r="YY46">
        <f t="shared" si="1509"/>
        <v>-0.16319662214774056</v>
      </c>
      <c r="YZ46">
        <f t="shared" si="1509"/>
        <v>-0.16612100921009798</v>
      </c>
      <c r="ZA46">
        <f t="shared" si="1509"/>
        <v>-0.16900176216903873</v>
      </c>
      <c r="ZB46">
        <f t="shared" si="1509"/>
        <v>-0.17183825059682079</v>
      </c>
      <c r="ZC46">
        <f t="shared" si="1509"/>
        <v>-0.17462988424687609</v>
      </c>
      <c r="ZD46">
        <f t="shared" si="1509"/>
        <v>-0.17737611078192472</v>
      </c>
      <c r="ZE46">
        <f t="shared" si="1509"/>
        <v>-0.18007641365016624</v>
      </c>
      <c r="ZF46">
        <f t="shared" si="1509"/>
        <v>-0.18273031010017604</v>
      </c>
      <c r="ZG46">
        <f t="shared" si="1509"/>
        <v>-0.18533734932578128</v>
      </c>
      <c r="ZH46">
        <f t="shared" si="1509"/>
        <v>-0.18789711073232951</v>
      </c>
      <c r="ZI46">
        <f t="shared" si="1509"/>
        <v>-0.19040920231662284</v>
      </c>
      <c r="ZJ46">
        <f t="shared" si="1509"/>
        <v>-0.1928732591529041</v>
      </c>
      <c r="ZK46">
        <f t="shared" si="1509"/>
        <v>-0.19528894197797442</v>
      </c>
      <c r="ZL46">
        <f t="shared" si="1509"/>
        <v>-0.19765593586866359</v>
      </c>
      <c r="ZM46">
        <f t="shared" si="1509"/>
        <v>-0.19997394900568111</v>
      </c>
      <c r="ZN46">
        <f t="shared" si="1509"/>
        <v>-0.20224271151778694</v>
      </c>
      <c r="ZO46">
        <f t="shared" si="1509"/>
        <v>-0.2044619744010987</v>
      </c>
      <c r="ZP46">
        <f t="shared" si="1509"/>
        <v>-0.20663150850807099</v>
      </c>
      <c r="ZQ46">
        <f t="shared" si="1509"/>
        <v>-0.2087511036017986</v>
      </c>
      <c r="ZR46">
        <f t="shared" si="1509"/>
        <v>-0.21082056747092537</v>
      </c>
      <c r="ZS46">
        <f t="shared" si="1509"/>
        <v>-0.21283972510101279</v>
      </c>
      <c r="ZT46">
        <f t="shared" si="1509"/>
        <v>-0.21480841789863803</v>
      </c>
      <c r="ZU46">
        <f t="shared" si="1509"/>
        <v>-0.21672650296451934</v>
      </c>
      <c r="ZV46">
        <f t="shared" si="1509"/>
        <v>-0.21859385241228324</v>
      </c>
      <c r="ZW46">
        <f t="shared" si="1509"/>
        <v>-0.22041035272979315</v>
      </c>
      <c r="ZX46">
        <f t="shared" si="1509"/>
        <v>-0.22217590418011568</v>
      </c>
      <c r="ZY46">
        <f t="shared" si="1509"/>
        <v>-0.22389042023938543</v>
      </c>
      <c r="ZZ46">
        <f t="shared" si="1509"/>
        <v>-0.22555382706913463</v>
      </c>
      <c r="AAA46">
        <f t="shared" si="1509"/>
        <v>-0.22716606302052256</v>
      </c>
      <c r="AAB46">
        <f t="shared" si="1509"/>
        <v>-0.22872707816858195</v>
      </c>
      <c r="AAC46">
        <f t="shared" si="1509"/>
        <v>-0.2302368338742582</v>
      </c>
      <c r="AAD46">
        <f t="shared" si="1509"/>
        <v>-0.23169530237234071</v>
      </c>
      <c r="AAE46">
        <f t="shared" si="1509"/>
        <v>-0.23310246638372334</v>
      </c>
      <c r="AAF46">
        <f t="shared" si="1509"/>
        <v>-0.23445831875011436</v>
      </c>
      <c r="AAG46">
        <f t="shared" si="1509"/>
        <v>-0.23576286208985309</v>
      </c>
      <c r="AAH46">
        <f t="shared" si="1509"/>
        <v>-0.23701610847345478</v>
      </c>
      <c r="AAI46">
        <f t="shared" si="1509"/>
        <v>-0.23821807911738802</v>
      </c>
      <c r="AAJ46">
        <f t="shared" si="1509"/>
        <v>-0.2393688040950579</v>
      </c>
      <c r="AAK46">
        <f t="shared" si="1509"/>
        <v>-0.24046832206377999</v>
      </c>
      <c r="AAL46">
        <f t="shared" si="1509"/>
        <v>-0.24151668000671833</v>
      </c>
      <c r="AAM46">
        <f t="shared" si="1509"/>
        <v>-0.24251393298879975</v>
      </c>
      <c r="AAN46">
        <f t="shared" si="1509"/>
        <v>-0.24346014392563831</v>
      </c>
      <c r="AAO46">
        <f t="shared" si="1509"/>
        <v>-0.24435538336483731</v>
      </c>
    </row>
    <row r="47" spans="1:719">
      <c r="A47" s="4">
        <f t="shared" si="1444"/>
        <v>8</v>
      </c>
      <c r="B47" s="1">
        <f>$U$16*B31+$V$16*B32+$W$16*B33</f>
        <v>0</v>
      </c>
      <c r="C47">
        <f>$U$16*C31+$V$16*C32+$W$16*C33</f>
        <v>0</v>
      </c>
      <c r="D47">
        <f t="shared" ref="D47" si="1510">$U$16*D31+$V$16*D32+$W$16*D33</f>
        <v>0</v>
      </c>
      <c r="E47">
        <f t="shared" ref="E47:BP47" si="1511">$U$16*E31+$V$16*E32+$W$16*E33</f>
        <v>0</v>
      </c>
      <c r="F47">
        <f t="shared" si="1511"/>
        <v>0</v>
      </c>
      <c r="G47">
        <f t="shared" si="1511"/>
        <v>0</v>
      </c>
      <c r="H47">
        <f t="shared" si="1511"/>
        <v>0</v>
      </c>
      <c r="I47">
        <f t="shared" si="1511"/>
        <v>-2.8564286935761629E-7</v>
      </c>
      <c r="J47">
        <f t="shared" si="1511"/>
        <v>-1.8871611260351528E-6</v>
      </c>
      <c r="K47">
        <f t="shared" si="1511"/>
        <v>-6.9884835909306275E-6</v>
      </c>
      <c r="L47">
        <f t="shared" si="1511"/>
        <v>-1.9141146147205745E-5</v>
      </c>
      <c r="M47">
        <f t="shared" si="1511"/>
        <v>-4.3247863857232005E-5</v>
      </c>
      <c r="N47">
        <f t="shared" si="1511"/>
        <v>-8.5355554062971351E-5</v>
      </c>
      <c r="O47">
        <f t="shared" si="1511"/>
        <v>-1.5232862098457645E-4</v>
      </c>
      <c r="P47">
        <f t="shared" si="1511"/>
        <v>-2.5147360259936136E-4</v>
      </c>
      <c r="Q47">
        <f t="shared" si="1511"/>
        <v>-3.9017125869733604E-4</v>
      </c>
      <c r="R47">
        <f t="shared" si="1511"/>
        <v>-5.7555287384047915E-4</v>
      </c>
      <c r="S47">
        <f t="shared" si="1511"/>
        <v>-8.1424000098095917E-4</v>
      </c>
      <c r="T47">
        <f t="shared" si="1511"/>
        <v>-1.1121534960309987E-3</v>
      </c>
      <c r="U47">
        <f t="shared" si="1511"/>
        <v>-1.4743887973907022E-3</v>
      </c>
      <c r="V47">
        <f t="shared" si="1511"/>
        <v>-1.9051493147728138E-3</v>
      </c>
      <c r="W47">
        <f t="shared" si="1511"/>
        <v>-2.4077275290856903E-3</v>
      </c>
      <c r="X47">
        <f t="shared" si="1511"/>
        <v>-2.9845230298768399E-3</v>
      </c>
      <c r="Y47">
        <f t="shared" si="1511"/>
        <v>-3.6370874717377433E-3</v>
      </c>
      <c r="Z47">
        <f t="shared" si="1511"/>
        <v>-4.3661877615406297E-3</v>
      </c>
      <c r="AA47">
        <f t="shared" si="1511"/>
        <v>-5.1718803268308022E-3</v>
      </c>
      <c r="AB47">
        <f t="shared" si="1511"/>
        <v>-6.0535908343446465E-3</v>
      </c>
      <c r="AC47">
        <f t="shared" si="1511"/>
        <v>-7.0101951037457866E-3</v>
      </c>
      <c r="AD47">
        <f t="shared" si="1511"/>
        <v>-8.0400981389594506E-3</v>
      </c>
      <c r="AE47">
        <f t="shared" si="1511"/>
        <v>-9.1413091643062216E-3</v>
      </c>
      <c r="AF47">
        <f t="shared" si="1511"/>
        <v>-1.0311511317198097E-2</v>
      </c>
      <c r="AG47">
        <f t="shared" si="1511"/>
        <v>-1.1548125235091078E-2</v>
      </c>
      <c r="AH47">
        <f t="shared" si="1511"/>
        <v>-1.2848366211223095E-2</v>
      </c>
      <c r="AI47">
        <f t="shared" si="1511"/>
        <v>-1.420929490713263E-2</v>
      </c>
      <c r="AJ47">
        <f t="shared" si="1511"/>
        <v>-1.5627861827574918E-2</v>
      </c>
      <c r="AK47">
        <f t="shared" si="1511"/>
        <v>-1.7100945905461629E-2</v>
      </c>
      <c r="AL47">
        <f t="shared" si="1511"/>
        <v>-1.8625387630283541E-2</v>
      </c>
      <c r="AM47">
        <f t="shared" si="1511"/>
        <v>-2.0198017197909479E-2</v>
      </c>
      <c r="AN47">
        <f t="shared" si="1511"/>
        <v>-2.1815678173478403E-2</v>
      </c>
      <c r="AO47">
        <f t="shared" si="1511"/>
        <v>-2.3475247153395884E-2</v>
      </c>
      <c r="AP47">
        <f t="shared" si="1511"/>
        <v>-2.5173649891343075E-2</v>
      </c>
      <c r="AQ47">
        <f t="shared" si="1511"/>
        <v>-2.6907874325001302E-2</v>
      </c>
      <c r="AR47">
        <f t="shared" si="1511"/>
        <v>-2.8674980905780245E-2</v>
      </c>
      <c r="AS47">
        <f t="shared" si="1511"/>
        <v>-3.0472110598058322E-2</v>
      </c>
      <c r="AT47">
        <f t="shared" si="1511"/>
        <v>-3.2296490878231054E-2</v>
      </c>
      <c r="AU47">
        <f t="shared" si="1511"/>
        <v>-3.4145440028133578E-2</v>
      </c>
      <c r="AV47">
        <f t="shared" si="1511"/>
        <v>-3.6016369984338326E-2</v>
      </c>
      <c r="AW47">
        <f t="shared" si="1511"/>
        <v>-3.7906787973298606E-2</v>
      </c>
      <c r="AX47">
        <f t="shared" si="1511"/>
        <v>-3.981429713369522E-2</v>
      </c>
      <c r="AY47">
        <f t="shared" si="1511"/>
        <v>-4.1736596301504392E-2</v>
      </c>
      <c r="AZ47">
        <f t="shared" si="1511"/>
        <v>-4.3671479109576694E-2</v>
      </c>
      <c r="BA47">
        <f t="shared" si="1511"/>
        <v>-4.5616832532889617E-2</v>
      </c>
      <c r="BB47">
        <f t="shared" si="1511"/>
        <v>-4.7570634991938476E-2</v>
      </c>
      <c r="BC47">
        <f t="shared" si="1511"/>
        <v>-4.9530954110416303E-2</v>
      </c>
      <c r="BD47">
        <f t="shared" si="1511"/>
        <v>-5.1495944208891586E-2</v>
      </c>
      <c r="BE47">
        <f t="shared" si="1511"/>
        <v>-5.3463843603747563E-2</v>
      </c>
      <c r="BF47">
        <f t="shared" si="1511"/>
        <v>-5.5432971769576511E-2</v>
      </c>
      <c r="BG47">
        <f t="shared" si="1511"/>
        <v>-5.7401726413754517E-2</v>
      </c>
      <c r="BH47">
        <f t="shared" si="1511"/>
        <v>-5.9368580503747381E-2</v>
      </c>
      <c r="BI47">
        <f t="shared" si="1511"/>
        <v>-6.1332079280632001E-2</v>
      </c>
      <c r="BJ47">
        <f t="shared" si="1511"/>
        <v>-6.329083728607543E-2</v>
      </c>
      <c r="BK47">
        <f t="shared" si="1511"/>
        <v>-6.5243535425054233E-2</v>
      </c>
      <c r="BL47">
        <f t="shared" si="1511"/>
        <v>-6.7188918081878768E-2</v>
      </c>
      <c r="BM47">
        <f t="shared" si="1511"/>
        <v>-6.9125790303608881E-2</v>
      </c>
      <c r="BN47">
        <f t="shared" si="1511"/>
        <v>-7.1053015061391278E-2</v>
      </c>
      <c r="BO47">
        <f t="shared" si="1511"/>
        <v>-7.296951059795731E-2</v>
      </c>
      <c r="BP47">
        <f t="shared" si="1511"/>
        <v>-7.4874247866819843E-2</v>
      </c>
      <c r="BQ47">
        <f t="shared" ref="BQ47:CU47" si="1512">$U$16*BQ31+$V$16*BQ32+$W$16*BQ33</f>
        <v>-7.6766248067226428E-2</v>
      </c>
      <c r="BR47">
        <f t="shared" si="1512"/>
        <v>-7.8644580277046572E-2</v>
      </c>
      <c r="BS47">
        <f t="shared" si="1512"/>
        <v>-8.0508359184669587E-2</v>
      </c>
      <c r="BT47">
        <f t="shared" si="1512"/>
        <v>-8.235674291970696E-2</v>
      </c>
      <c r="BU47">
        <f t="shared" si="1512"/>
        <v>-8.4188930981909493E-2</v>
      </c>
      <c r="BV47">
        <f t="shared" si="1512"/>
        <v>-8.6004162266256401E-2</v>
      </c>
      <c r="BW47">
        <f t="shared" si="1512"/>
        <v>-8.7801713182418695E-2</v>
      </c>
      <c r="BX47">
        <f t="shared" si="1512"/>
        <v>-8.9580895865957189E-2</v>
      </c>
      <c r="BY47">
        <f t="shared" si="1512"/>
        <v>-9.1341056478203342E-2</v>
      </c>
      <c r="BZ47">
        <f t="shared" si="1512"/>
        <v>-9.3081573592041167E-2</v>
      </c>
      <c r="CA47">
        <f t="shared" si="1512"/>
        <v>-9.4801856659930905E-2</v>
      </c>
      <c r="CB47">
        <f t="shared" si="1512"/>
        <v>-9.6501344561286118E-2</v>
      </c>
      <c r="CC47">
        <f t="shared" si="1512"/>
        <v>-9.8179504225250014E-2</v>
      </c>
      <c r="CD47">
        <f t="shared" si="1512"/>
        <v>-9.9835829325996883E-2</v>
      </c>
      <c r="CE47">
        <f t="shared" si="1512"/>
        <v>-0.10146983904684959</v>
      </c>
      <c r="CF47">
        <f t="shared" si="1512"/>
        <v>-0.10308107690989132</v>
      </c>
      <c r="CG47">
        <f t="shared" si="1512"/>
        <v>-0.1046691096679595</v>
      </c>
      <c r="CH47">
        <f t="shared" si="1512"/>
        <v>-0.10623352625575322</v>
      </c>
      <c r="CI47">
        <f t="shared" si="1512"/>
        <v>-0.10777393679694924</v>
      </c>
      <c r="CJ47">
        <f t="shared" si="1512"/>
        <v>-0.1092899716644844</v>
      </c>
      <c r="CK47">
        <f t="shared" si="1512"/>
        <v>-0.11078128059099868</v>
      </c>
      <c r="CL47">
        <f t="shared" si="1512"/>
        <v>-0.11224753182685276</v>
      </c>
      <c r="CM47">
        <f t="shared" si="1512"/>
        <v>-0.11368841134300567</v>
      </c>
      <c r="CN47">
        <f t="shared" si="1512"/>
        <v>-0.11510362207637215</v>
      </c>
      <c r="CO47">
        <f t="shared" si="1512"/>
        <v>-0.11649288321514462</v>
      </c>
      <c r="CP47">
        <f t="shared" si="1512"/>
        <v>-0.11785592952198698</v>
      </c>
      <c r="CQ47">
        <f t="shared" si="1512"/>
        <v>-0.11919251069287284</v>
      </c>
      <c r="CR47">
        <f t="shared" si="1512"/>
        <v>-0.12050239074958924</v>
      </c>
      <c r="CS47">
        <f t="shared" si="1512"/>
        <v>-0.12178534746394476</v>
      </c>
      <c r="CT47">
        <f t="shared" si="1512"/>
        <v>-0.12304117181196261</v>
      </c>
      <c r="CU47">
        <f t="shared" si="1512"/>
        <v>-0.12426966745627865</v>
      </c>
      <c r="CV47">
        <f t="shared" ref="CV47:FG47" si="1513">$U$16*CV31+$V$16*CV32+$W$16*CV33</f>
        <v>-0.12547065025517412</v>
      </c>
      <c r="CW47">
        <f t="shared" si="1513"/>
        <v>-0.12664394779668342</v>
      </c>
      <c r="CX47">
        <f t="shared" si="1513"/>
        <v>-0.12778939895645536</v>
      </c>
      <c r="CY47">
        <f t="shared" si="1513"/>
        <v>-0.12890685347787922</v>
      </c>
      <c r="CZ47">
        <f t="shared" si="1513"/>
        <v>-0.12999617157331045</v>
      </c>
      <c r="DA47">
        <f t="shared" si="1513"/>
        <v>-0.13105722354521632</v>
      </c>
      <c r="DB47">
        <f t="shared" si="1513"/>
        <v>-0.13208988942600897</v>
      </c>
      <c r="DC47">
        <f t="shared" si="1513"/>
        <v>-0.13309405863563128</v>
      </c>
      <c r="DD47">
        <f t="shared" si="1513"/>
        <v>-0.13406962965591518</v>
      </c>
      <c r="DE47">
        <f t="shared" si="1513"/>
        <v>-0.13501650972058243</v>
      </c>
      <c r="DF47">
        <f t="shared" si="1513"/>
        <v>-0.13593461452030198</v>
      </c>
      <c r="DG47">
        <f t="shared" si="1513"/>
        <v>-0.13682386792178747</v>
      </c>
      <c r="DH47">
        <f t="shared" si="1513"/>
        <v>-0.13768420170017137</v>
      </c>
      <c r="DI47">
        <f t="shared" si="1513"/>
        <v>-0.13851555528404802</v>
      </c>
      <c r="DJ47">
        <f t="shared" si="1513"/>
        <v>-0.13931787551234365</v>
      </c>
      <c r="DK47">
        <f t="shared" si="1513"/>
        <v>-0.14009111640248406</v>
      </c>
      <c r="DL47">
        <f t="shared" si="1513"/>
        <v>-0.14083523892924887</v>
      </c>
      <c r="DM47">
        <f t="shared" si="1513"/>
        <v>-0.1415502108136657</v>
      </c>
      <c r="DN47">
        <f t="shared" si="1513"/>
        <v>-0.14223600632143629</v>
      </c>
      <c r="DO47">
        <f t="shared" si="1513"/>
        <v>-0.14289260607052157</v>
      </c>
      <c r="DP47">
        <f t="shared" si="1513"/>
        <v>-0.14351999684714656</v>
      </c>
      <c r="DQ47">
        <f t="shared" si="1513"/>
        <v>-0.14411817143004058</v>
      </c>
      <c r="DR47">
        <f t="shared" si="1513"/>
        <v>-0.14468712842237252</v>
      </c>
      <c r="DS47">
        <f t="shared" si="1513"/>
        <v>-0.14522687209089113</v>
      </c>
      <c r="DT47">
        <f t="shared" si="1513"/>
        <v>-0.14573741221213865</v>
      </c>
      <c r="DU47">
        <f t="shared" si="1513"/>
        <v>-0.14621876392511979</v>
      </c>
      <c r="DV47">
        <f t="shared" si="1513"/>
        <v>-0.14667094759027677</v>
      </c>
      <c r="DW47">
        <f t="shared" si="1513"/>
        <v>-0.14709398865438672</v>
      </c>
      <c r="DX47">
        <f t="shared" si="1513"/>
        <v>-0.14748791752103685</v>
      </c>
      <c r="DY47">
        <f t="shared" si="1513"/>
        <v>-0.14785276942652814</v>
      </c>
      <c r="DZ47">
        <f t="shared" si="1513"/>
        <v>-0.14818858432079907</v>
      </c>
      <c r="EA47">
        <f t="shared" si="1513"/>
        <v>-0.14849540675321649</v>
      </c>
      <c r="EB47">
        <f t="shared" si="1513"/>
        <v>-0.14877328576289628</v>
      </c>
      <c r="EC47">
        <f t="shared" si="1513"/>
        <v>-0.14902227477346486</v>
      </c>
      <c r="ED47">
        <f t="shared" si="1513"/>
        <v>-0.14924243149193472</v>
      </c>
      <c r="EE47">
        <f t="shared" si="1513"/>
        <v>-0.14943381781156262</v>
      </c>
      <c r="EF47">
        <f t="shared" si="1513"/>
        <v>-0.14959649971838118</v>
      </c>
      <c r="EG47">
        <f t="shared" si="1513"/>
        <v>-0.14973054720140055</v>
      </c>
      <c r="EH47">
        <f t="shared" si="1513"/>
        <v>-0.14983603416620639</v>
      </c>
      <c r="EI47">
        <f t="shared" si="1513"/>
        <v>-0.14991303835173397</v>
      </c>
      <c r="EJ47">
        <f t="shared" si="1513"/>
        <v>-0.14996164125015454</v>
      </c>
      <c r="EK47">
        <f t="shared" si="1513"/>
        <v>-0.14998192802976362</v>
      </c>
      <c r="EL47">
        <f t="shared" si="1513"/>
        <v>-0.14997398746054813</v>
      </c>
      <c r="EM47">
        <f t="shared" si="1513"/>
        <v>-0.14993791184253524</v>
      </c>
      <c r="EN47">
        <f t="shared" si="1513"/>
        <v>-0.14987379693658553</v>
      </c>
      <c r="EO47">
        <f t="shared" si="1513"/>
        <v>-0.14978174189764459</v>
      </c>
      <c r="EP47">
        <f t="shared" si="1513"/>
        <v>-0.14966184921031456</v>
      </c>
      <c r="EQ47">
        <f t="shared" si="1513"/>
        <v>-0.14951422462656083</v>
      </c>
      <c r="ER47">
        <f t="shared" si="1513"/>
        <v>-0.14933897710555399</v>
      </c>
      <c r="ES47">
        <f t="shared" si="1513"/>
        <v>-0.14913621875550476</v>
      </c>
      <c r="ET47">
        <f t="shared" si="1513"/>
        <v>-0.14890606477729662</v>
      </c>
      <c r="EU47">
        <f t="shared" si="1513"/>
        <v>-0.14864863341007961</v>
      </c>
      <c r="EV47">
        <f t="shared" si="1513"/>
        <v>-0.14836404587843788</v>
      </c>
      <c r="EW47">
        <f t="shared" si="1513"/>
        <v>-0.14805242634128746</v>
      </c>
      <c r="EX47">
        <f t="shared" si="1513"/>
        <v>-0.1477139018422875</v>
      </c>
      <c r="EY47">
        <f t="shared" si="1513"/>
        <v>-0.14734860226169744</v>
      </c>
      <c r="EZ47">
        <f t="shared" si="1513"/>
        <v>-0.14695666026973342</v>
      </c>
      <c r="FA47">
        <f t="shared" si="1513"/>
        <v>-0.14653821128121081</v>
      </c>
      <c r="FB47">
        <f t="shared" si="1513"/>
        <v>-0.14609339341144789</v>
      </c>
      <c r="FC47">
        <f t="shared" si="1513"/>
        <v>-0.14562234743344504</v>
      </c>
      <c r="FD47">
        <f t="shared" si="1513"/>
        <v>-0.14512521673612611</v>
      </c>
      <c r="FE47">
        <f t="shared" si="1513"/>
        <v>-0.14460214728382326</v>
      </c>
      <c r="FF47">
        <f t="shared" si="1513"/>
        <v>-0.14405328757663582</v>
      </c>
      <c r="FG47">
        <f t="shared" si="1513"/>
        <v>-0.14347878861188335</v>
      </c>
      <c r="FH47">
        <f t="shared" ref="FH47:HS47" si="1514">$U$16*FH31+$V$16*FH32+$W$16*FH33</f>
        <v>-0.14287880384653917</v>
      </c>
      <c r="FI47">
        <f t="shared" si="1514"/>
        <v>-0.14225348916041014</v>
      </c>
      <c r="FJ47">
        <f t="shared" si="1514"/>
        <v>-0.14160300282033944</v>
      </c>
      <c r="FK47">
        <f t="shared" si="1514"/>
        <v>-0.14092750544510579</v>
      </c>
      <c r="FL47">
        <f t="shared" si="1514"/>
        <v>-0.14022715997110069</v>
      </c>
      <c r="FM47">
        <f t="shared" si="1514"/>
        <v>-0.13950213161877301</v>
      </c>
      <c r="FN47">
        <f t="shared" si="1514"/>
        <v>-0.13875258785973799</v>
      </c>
      <c r="FO47">
        <f t="shared" si="1514"/>
        <v>-0.13797869838452215</v>
      </c>
      <c r="FP47">
        <f t="shared" si="1514"/>
        <v>-0.13718063507094413</v>
      </c>
      <c r="FQ47">
        <f t="shared" si="1514"/>
        <v>-0.13635857195309242</v>
      </c>
      <c r="FR47">
        <f t="shared" si="1514"/>
        <v>-0.1355126851908004</v>
      </c>
      <c r="FS47">
        <f t="shared" si="1514"/>
        <v>-0.13464315303973606</v>
      </c>
      <c r="FT47">
        <f t="shared" si="1514"/>
        <v>-0.13375015582185412</v>
      </c>
      <c r="FU47">
        <f t="shared" si="1514"/>
        <v>-0.1328338758964378</v>
      </c>
      <c r="FV47">
        <f t="shared" si="1514"/>
        <v>-0.13189449763153149</v>
      </c>
      <c r="FW47">
        <f t="shared" si="1514"/>
        <v>-0.13093220737574995</v>
      </c>
      <c r="FX47">
        <f t="shared" si="1514"/>
        <v>-0.12994719343051742</v>
      </c>
      <c r="FY47">
        <f t="shared" si="1514"/>
        <v>-0.12893964602265129</v>
      </c>
      <c r="FZ47">
        <f t="shared" si="1514"/>
        <v>-0.12790975727734022</v>
      </c>
      <c r="GA47">
        <f t="shared" si="1514"/>
        <v>-0.12685772119133532</v>
      </c>
      <c r="GB47">
        <f t="shared" si="1514"/>
        <v>-0.12578373360653927</v>
      </c>
      <c r="GC47">
        <f t="shared" si="1514"/>
        <v>-0.12468799218388682</v>
      </c>
      <c r="GD47">
        <f t="shared" si="1514"/>
        <v>-0.12357069637737439</v>
      </c>
      <c r="GE47">
        <f t="shared" si="1514"/>
        <v>-0.12243204740841662</v>
      </c>
      <c r="GF47">
        <f t="shared" si="1514"/>
        <v>-0.12127224824049421</v>
      </c>
      <c r="GG47">
        <f t="shared" si="1514"/>
        <v>-0.12009150355385856</v>
      </c>
      <c r="GH47">
        <f t="shared" si="1514"/>
        <v>-0.11889001972055979</v>
      </c>
      <c r="GI47">
        <f t="shared" si="1514"/>
        <v>-0.11766800477959194</v>
      </c>
      <c r="GJ47">
        <f t="shared" si="1514"/>
        <v>-0.11642566841225843</v>
      </c>
      <c r="GK47">
        <f t="shared" si="1514"/>
        <v>-0.11516322191761219</v>
      </c>
      <c r="GL47">
        <f t="shared" si="1514"/>
        <v>-0.11388087818812309</v>
      </c>
      <c r="GM47">
        <f t="shared" si="1514"/>
        <v>-0.1125788516854449</v>
      </c>
      <c r="GN47">
        <f t="shared" si="1514"/>
        <v>-0.11125735841623907</v>
      </c>
      <c r="GO47">
        <f t="shared" si="1514"/>
        <v>-0.10991661590823654</v>
      </c>
      <c r="GP47">
        <f t="shared" si="1514"/>
        <v>-0.10855684318626757</v>
      </c>
      <c r="GQ47">
        <f t="shared" si="1514"/>
        <v>-0.10717826074843018</v>
      </c>
      <c r="GR47">
        <f t="shared" si="1514"/>
        <v>-0.10578109054237927</v>
      </c>
      <c r="GS47">
        <f t="shared" si="1514"/>
        <v>-0.10436555594157682</v>
      </c>
      <c r="GT47">
        <f t="shared" si="1514"/>
        <v>-0.10293188172172307</v>
      </c>
      <c r="GU47">
        <f t="shared" si="1514"/>
        <v>-0.10148029403717018</v>
      </c>
      <c r="GV47">
        <f t="shared" si="1514"/>
        <v>-0.10001102039734633</v>
      </c>
      <c r="GW47">
        <f t="shared" si="1514"/>
        <v>-9.8524289643325602E-2</v>
      </c>
      <c r="GX47">
        <f t="shared" si="1514"/>
        <v>-9.7020331924309033E-2</v>
      </c>
      <c r="GY47">
        <f t="shared" si="1514"/>
        <v>-9.5499378674237079E-2</v>
      </c>
      <c r="GZ47">
        <f t="shared" si="1514"/>
        <v>-9.3961662588320394E-2</v>
      </c>
      <c r="HA47">
        <f t="shared" si="1514"/>
        <v>-9.2407417599648767E-2</v>
      </c>
      <c r="HB47">
        <f t="shared" si="1514"/>
        <v>-9.0836878855782288E-2</v>
      </c>
      <c r="HC47">
        <f t="shared" si="1514"/>
        <v>-8.9250282695346073E-2</v>
      </c>
      <c r="HD47">
        <f t="shared" si="1514"/>
        <v>-8.7647866624617876E-2</v>
      </c>
      <c r="HE47">
        <f t="shared" si="1514"/>
        <v>-8.6029869294101502E-2</v>
      </c>
      <c r="HF47">
        <f t="shared" si="1514"/>
        <v>-8.4396530475139286E-2</v>
      </c>
      <c r="HG47">
        <f t="shared" si="1514"/>
        <v>-8.2748091036403792E-2</v>
      </c>
      <c r="HH47">
        <f t="shared" si="1514"/>
        <v>-8.1084792920485427E-2</v>
      </c>
      <c r="HI47">
        <f t="shared" si="1514"/>
        <v>-7.9406879120348606E-2</v>
      </c>
      <c r="HJ47">
        <f t="shared" si="1514"/>
        <v>-7.771459365587674E-2</v>
      </c>
      <c r="HK47">
        <f t="shared" si="1514"/>
        <v>-7.6008181550275111E-2</v>
      </c>
      <c r="HL47">
        <f t="shared" si="1514"/>
        <v>-7.4287888806537694E-2</v>
      </c>
      <c r="HM47">
        <f t="shared" si="1514"/>
        <v>-7.2553962383768322E-2</v>
      </c>
      <c r="HN47">
        <f t="shared" si="1514"/>
        <v>-7.0806650173597774E-2</v>
      </c>
      <c r="HO47">
        <f t="shared" si="1514"/>
        <v>-6.9046200976458749E-2</v>
      </c>
      <c r="HP47">
        <f t="shared" si="1514"/>
        <v>-6.7272864477875061E-2</v>
      </c>
      <c r="HQ47">
        <f t="shared" si="1514"/>
        <v>-6.5486891224665555E-2</v>
      </c>
      <c r="HR47">
        <f t="shared" si="1514"/>
        <v>-6.368853260114804E-2</v>
      </c>
      <c r="HS47">
        <f t="shared" si="1514"/>
        <v>-6.1878040805279255E-2</v>
      </c>
      <c r="HT47">
        <f t="shared" ref="HT47:JI47" si="1515">$U$16*HT31+$V$16*HT32+$W$16*HT33</f>
        <v>-6.0055668824720243E-2</v>
      </c>
      <c r="HU47">
        <f t="shared" si="1515"/>
        <v>-5.822167041293369E-2</v>
      </c>
      <c r="HV47">
        <f t="shared" si="1515"/>
        <v>-5.6376300065124951E-2</v>
      </c>
      <c r="HW47">
        <f t="shared" si="1515"/>
        <v>-5.4519812994218597E-2</v>
      </c>
      <c r="HX47">
        <f t="shared" si="1515"/>
        <v>-5.2652465106774571E-2</v>
      </c>
      <c r="HY47">
        <f t="shared" si="1515"/>
        <v>-5.0774512978804864E-2</v>
      </c>
      <c r="HZ47">
        <f t="shared" si="1515"/>
        <v>-4.8886213831597303E-2</v>
      </c>
      <c r="IA47">
        <f t="shared" si="1515"/>
        <v>-4.698782550746472E-2</v>
      </c>
      <c r="IB47">
        <f t="shared" si="1515"/>
        <v>-4.5079606445430187E-2</v>
      </c>
      <c r="IC47">
        <f t="shared" si="1515"/>
        <v>-4.3161815656905134E-2</v>
      </c>
      <c r="ID47">
        <f t="shared" si="1515"/>
        <v>-4.1234712701289311E-2</v>
      </c>
      <c r="IE47">
        <f t="shared" si="1515"/>
        <v>-3.9298557661492595E-2</v>
      </c>
      <c r="IF47">
        <f t="shared" si="1515"/>
        <v>-3.7353611119506525E-2</v>
      </c>
      <c r="IG47">
        <f t="shared" si="1515"/>
        <v>-3.5400134131780447E-2</v>
      </c>
      <c r="IH47">
        <f t="shared" si="1515"/>
        <v>-3.3438388204697134E-2</v>
      </c>
      <c r="II47">
        <f t="shared" si="1515"/>
        <v>-3.1468635269952472E-2</v>
      </c>
      <c r="IJ47">
        <f t="shared" si="1515"/>
        <v>-2.9491137659775291E-2</v>
      </c>
      <c r="IK47">
        <f t="shared" si="1515"/>
        <v>-2.7506158082353238E-2</v>
      </c>
      <c r="IL47">
        <f t="shared" si="1515"/>
        <v>-2.551395959692826E-2</v>
      </c>
      <c r="IM47">
        <f t="shared" si="1515"/>
        <v>-2.3514805589087473E-2</v>
      </c>
      <c r="IN47">
        <f t="shared" si="1515"/>
        <v>-2.1508959745872858E-2</v>
      </c>
      <c r="IO47">
        <f t="shared" si="1515"/>
        <v>-1.9496686030869625E-2</v>
      </c>
      <c r="IP47">
        <f t="shared" si="1515"/>
        <v>-1.7478248659344331E-2</v>
      </c>
      <c r="IQ47">
        <f t="shared" si="1515"/>
        <v>-1.5453912073255083E-2</v>
      </c>
      <c r="IR47">
        <f t="shared" si="1515"/>
        <v>-1.3423940916243993E-2</v>
      </c>
      <c r="IS47">
        <f t="shared" si="1515"/>
        <v>-1.1388600008583438E-2</v>
      </c>
      <c r="IT47">
        <f t="shared" si="1515"/>
        <v>-9.3481543222075913E-3</v>
      </c>
      <c r="IU47">
        <f t="shared" si="1515"/>
        <v>-7.3028689555165727E-3</v>
      </c>
      <c r="IV47">
        <f t="shared" si="1515"/>
        <v>-5.2530091083227148E-3</v>
      </c>
      <c r="IW47">
        <f t="shared" si="1515"/>
        <v>-3.1988400567009023E-3</v>
      </c>
      <c r="IX47">
        <f t="shared" si="1515"/>
        <v>-1.1406271277820679E-3</v>
      </c>
      <c r="IY47">
        <f t="shared" si="1515"/>
        <v>9.2136432541067848E-4</v>
      </c>
      <c r="IZ47">
        <f t="shared" si="1515"/>
        <v>2.9868689491614475E-3</v>
      </c>
      <c r="JA47">
        <f t="shared" si="1515"/>
        <v>5.0556214142929434E-3</v>
      </c>
      <c r="JB47">
        <f t="shared" si="1515"/>
        <v>7.1273564414866541E-3</v>
      </c>
      <c r="JC47">
        <f t="shared" si="1515"/>
        <v>9.2018088264254061E-3</v>
      </c>
      <c r="JD47">
        <f t="shared" si="1515"/>
        <v>1.1278713465138424E-2</v>
      </c>
      <c r="JE47">
        <f t="shared" si="1515"/>
        <v>1.3357805379268228E-2</v>
      </c>
      <c r="JF47">
        <f t="shared" si="1515"/>
        <v>1.5438819741365961E-2</v>
      </c>
      <c r="JG47">
        <f t="shared" si="1515"/>
        <v>1.7521491900172492E-2</v>
      </c>
      <c r="JH47">
        <f t="shared" si="1515"/>
        <v>1.9605557405935059E-2</v>
      </c>
      <c r="JI47">
        <f t="shared" si="1515"/>
        <v>2.1690752035691929E-2</v>
      </c>
      <c r="JJ47">
        <f t="shared" ref="JJ47:LU47" si="1516">$U$16*JJ31+$V$16*JJ32+$W$16*JJ33</f>
        <v>2.3776811818549959E-2</v>
      </c>
      <c r="JK47">
        <f t="shared" si="1516"/>
        <v>2.5863473061043862E-2</v>
      </c>
      <c r="JL47">
        <f t="shared" si="1516"/>
        <v>2.7950472372332058E-2</v>
      </c>
      <c r="JM47">
        <f t="shared" si="1516"/>
        <v>3.0037546689541728E-2</v>
      </c>
      <c r="JN47">
        <f t="shared" si="1516"/>
        <v>3.2124433303007294E-2</v>
      </c>
      <c r="JO47">
        <f t="shared" si="1516"/>
        <v>3.4210869881544426E-2</v>
      </c>
      <c r="JP47">
        <f t="shared" si="1516"/>
        <v>3.6296594497631673E-2</v>
      </c>
      <c r="JQ47">
        <f t="shared" si="1516"/>
        <v>3.8381345652691579E-2</v>
      </c>
      <c r="JR47">
        <f t="shared" si="1516"/>
        <v>4.0464862302258098E-2</v>
      </c>
      <c r="JS47">
        <f t="shared" si="1516"/>
        <v>4.2546883881126263E-2</v>
      </c>
      <c r="JT47">
        <f t="shared" si="1516"/>
        <v>4.4627150328533816E-2</v>
      </c>
      <c r="JU47">
        <f t="shared" si="1516"/>
        <v>4.6705402113243366E-2</v>
      </c>
      <c r="JV47">
        <f t="shared" si="1516"/>
        <v>4.8781380258645868E-2</v>
      </c>
      <c r="JW47">
        <f t="shared" si="1516"/>
        <v>5.0854826367793038E-2</v>
      </c>
      <c r="JX47">
        <f t="shared" si="1516"/>
        <v>5.2925482648436883E-2</v>
      </c>
      <c r="JY47">
        <f t="shared" si="1516"/>
        <v>5.4993091937962646E-2</v>
      </c>
      <c r="JZ47">
        <f t="shared" si="1516"/>
        <v>5.7057397728332404E-2</v>
      </c>
      <c r="KA47">
        <f t="shared" si="1516"/>
        <v>5.9118144190982491E-2</v>
      </c>
      <c r="KB47">
        <f t="shared" si="1516"/>
        <v>6.1175076201621437E-2</v>
      </c>
      <c r="KC47">
        <f t="shared" si="1516"/>
        <v>6.3227939365091856E-2</v>
      </c>
      <c r="KD47">
        <f t="shared" si="1516"/>
        <v>6.5276480039994311E-2</v>
      </c>
      <c r="KE47">
        <f t="shared" si="1516"/>
        <v>6.7320445363439063E-2</v>
      </c>
      <c r="KF47">
        <f t="shared" si="1516"/>
        <v>6.9359583275637959E-2</v>
      </c>
      <c r="KG47">
        <f t="shared" si="1516"/>
        <v>7.1393642544464342E-2</v>
      </c>
      <c r="KH47">
        <f t="shared" si="1516"/>
        <v>7.3422372789941903E-2</v>
      </c>
      <c r="KI47">
        <f t="shared" si="1516"/>
        <v>7.5445524508687356E-2</v>
      </c>
      <c r="KJ47">
        <f t="shared" si="1516"/>
        <v>7.7462849098210995E-2</v>
      </c>
      <c r="KK47">
        <f t="shared" si="1516"/>
        <v>7.9474098881259891E-2</v>
      </c>
      <c r="KL47">
        <f t="shared" si="1516"/>
        <v>8.1479027129969239E-2</v>
      </c>
      <c r="KM47">
        <f t="shared" si="1516"/>
        <v>8.3477388090077653E-2</v>
      </c>
      <c r="KN47">
        <f t="shared" si="1516"/>
        <v>8.5468937004865353E-2</v>
      </c>
      <c r="KO47">
        <f t="shared" si="1516"/>
        <v>8.7453430139198929E-2</v>
      </c>
      <c r="KP47">
        <f t="shared" si="1516"/>
        <v>8.9430624803387815E-2</v>
      </c>
      <c r="KQ47">
        <f t="shared" si="1516"/>
        <v>9.1400279376951943E-2</v>
      </c>
      <c r="KR47">
        <f t="shared" si="1516"/>
        <v>9.3362153332400055E-2</v>
      </c>
      <c r="KS47">
        <f t="shared" si="1516"/>
        <v>9.5316007258716695E-2</v>
      </c>
      <c r="KT47">
        <f t="shared" si="1516"/>
        <v>9.7261602884969989E-2</v>
      </c>
      <c r="KU47">
        <f t="shared" si="1516"/>
        <v>9.9198703103670738E-2</v>
      </c>
      <c r="KV47">
        <f t="shared" si="1516"/>
        <v>0.10112707199409599</v>
      </c>
      <c r="KW47">
        <f t="shared" si="1516"/>
        <v>0.10304618920265085</v>
      </c>
      <c r="KX47">
        <f t="shared" si="1516"/>
        <v>0.10495479101910377</v>
      </c>
      <c r="KY47">
        <f t="shared" si="1516"/>
        <v>0.1068504612929857</v>
      </c>
      <c r="KZ47">
        <f t="shared" si="1516"/>
        <v>0.10872941754573873</v>
      </c>
      <c r="LA47">
        <f t="shared" si="1516"/>
        <v>0.11058652742121211</v>
      </c>
      <c r="LB47">
        <f t="shared" si="1516"/>
        <v>0.11241551568537389</v>
      </c>
      <c r="LC47">
        <f t="shared" si="1516"/>
        <v>0.11420929096408017</v>
      </c>
      <c r="LD47">
        <f t="shared" si="1516"/>
        <v>0.11596032111871679</v>
      </c>
      <c r="LE47">
        <f t="shared" si="1516"/>
        <v>0.1176610011803092</v>
      </c>
      <c r="LF47">
        <f t="shared" si="1516"/>
        <v>0.11930397706876761</v>
      </c>
      <c r="LG47">
        <f t="shared" si="1516"/>
        <v>0.12088240587126364</v>
      </c>
      <c r="LH47">
        <f t="shared" si="1516"/>
        <v>0.12239014682951677</v>
      </c>
      <c r="LI47">
        <f t="shared" si="1516"/>
        <v>0.12382188608205169</v>
      </c>
      <c r="LJ47">
        <f t="shared" si="1516"/>
        <v>0.12517320329688175</v>
      </c>
      <c r="LK47">
        <f t="shared" si="1516"/>
        <v>0.12644059059317669</v>
      </c>
      <c r="LL47">
        <f t="shared" si="1516"/>
        <v>0.12762143452513186</v>
      </c>
      <c r="LM47">
        <f t="shared" si="1516"/>
        <v>0.12871397114667005</v>
      </c>
      <c r="LN47">
        <f t="shared" si="1516"/>
        <v>0.1297172228452439</v>
      </c>
      <c r="LO47">
        <f t="shared" si="1516"/>
        <v>0.13063092409434418</v>
      </c>
      <c r="LP47">
        <f t="shared" si="1516"/>
        <v>0.13145544175568347</v>
      </c>
      <c r="LQ47">
        <f t="shared" si="1516"/>
        <v>0.13219169418599108</v>
      </c>
      <c r="LR47">
        <f t="shared" si="1516"/>
        <v>0.13284107222613173</v>
      </c>
      <c r="LS47">
        <f t="shared" si="1516"/>
        <v>0.13340536418512272</v>
      </c>
      <c r="LT47">
        <f t="shared" si="1516"/>
        <v>0.13388668616761024</v>
      </c>
      <c r="LU47">
        <f t="shared" si="1516"/>
        <v>0.13428741850677994</v>
      </c>
      <c r="LV47">
        <f t="shared" ref="LV47:OG47" si="1517">$U$16*LV31+$V$16*LV32+$W$16*LV33</f>
        <v>0.13461014862835796</v>
      </c>
      <c r="LW47">
        <f t="shared" si="1517"/>
        <v>0.13485762035766413</v>
      </c>
      <c r="LX47">
        <f t="shared" si="1517"/>
        <v>0.13503268946410785</v>
      </c>
      <c r="LY47">
        <f t="shared" si="1517"/>
        <v>0.13513828509545078</v>
      </c>
      <c r="LZ47">
        <f t="shared" si="1517"/>
        <v>0.13517737666841256</v>
      </c>
      <c r="MA47">
        <f t="shared" si="1517"/>
        <v>0.13515294573783621</v>
      </c>
      <c r="MB47">
        <f t="shared" si="1517"/>
        <v>0.1350679623523483</v>
      </c>
      <c r="MC47">
        <f t="shared" si="1517"/>
        <v>0.13492536541093614</v>
      </c>
      <c r="MD47">
        <f t="shared" si="1517"/>
        <v>0.13472804655521387</v>
      </c>
      <c r="ME47">
        <f t="shared" si="1517"/>
        <v>0.13447883716088427</v>
      </c>
      <c r="MF47">
        <f t="shared" si="1517"/>
        <v>0.13418049802588072</v>
      </c>
      <c r="MG47">
        <f t="shared" si="1517"/>
        <v>0.13383571138888328</v>
      </c>
      <c r="MH47">
        <f t="shared" si="1517"/>
        <v>0.13344707494782782</v>
      </c>
      <c r="MI47">
        <f t="shared" si="1517"/>
        <v>0.13301709758384561</v>
      </c>
      <c r="MJ47">
        <f t="shared" si="1517"/>
        <v>0.13254819652905425</v>
      </c>
      <c r="MK47">
        <f t="shared" si="1517"/>
        <v>0.13204269574844929</v>
      </c>
      <c r="ML47">
        <f t="shared" si="1517"/>
        <v>0.13150282533420565</v>
      </c>
      <c r="MM47">
        <f t="shared" si="1517"/>
        <v>0.13093072173724707</v>
      </c>
      <c r="MN47">
        <f t="shared" si="1517"/>
        <v>0.13032842868392436</v>
      </c>
      <c r="MO47">
        <f t="shared" si="1517"/>
        <v>0.12969789864693126</v>
      </c>
      <c r="MP47">
        <f t="shared" si="1517"/>
        <v>0.12904099475776931</v>
      </c>
      <c r="MQ47">
        <f t="shared" si="1517"/>
        <v>0.12835949306485972</v>
      </c>
      <c r="MR47">
        <f t="shared" si="1517"/>
        <v>0.12765508505524892</v>
      </c>
      <c r="MS47">
        <f t="shared" si="1517"/>
        <v>0.12692938037100632</v>
      </c>
      <c r="MT47">
        <f t="shared" si="1517"/>
        <v>0.12618390966185089</v>
      </c>
      <c r="MU47">
        <f t="shared" si="1517"/>
        <v>0.12542012752539478</v>
      </c>
      <c r="MV47">
        <f t="shared" si="1517"/>
        <v>0.12463941549447455</v>
      </c>
      <c r="MW47">
        <f t="shared" si="1517"/>
        <v>0.1238430850379757</v>
      </c>
      <c r="MX47">
        <f t="shared" si="1517"/>
        <v>0.12303238054803245</v>
      </c>
      <c r="MY47">
        <f t="shared" si="1517"/>
        <v>0.12220848229122794</v>
      </c>
      <c r="MZ47">
        <f t="shared" si="1517"/>
        <v>0.12137250930627985</v>
      </c>
      <c r="NA47">
        <f t="shared" si="1517"/>
        <v>0.12052552223408952</v>
      </c>
      <c r="NB47">
        <f t="shared" si="1517"/>
        <v>0.11966852606959932</v>
      </c>
      <c r="NC47">
        <f t="shared" si="1517"/>
        <v>0.1188024728273902</v>
      </c>
      <c r="ND47">
        <f t="shared" si="1517"/>
        <v>0.11792826411515023</v>
      </c>
      <c r="NE47">
        <f t="shared" si="1517"/>
        <v>0.11704675361131223</v>
      </c>
      <c r="NF47">
        <f t="shared" si="1517"/>
        <v>0.1161587494444305</v>
      </c>
      <c r="NG47">
        <f t="shared" si="1517"/>
        <v>0.1152650164733835</v>
      </c>
      <c r="NH47">
        <f t="shared" si="1517"/>
        <v>0.11436627846834568</v>
      </c>
      <c r="NI47">
        <f t="shared" si="1517"/>
        <v>0.11346322019363697</v>
      </c>
      <c r="NJ47">
        <f t="shared" si="1517"/>
        <v>0.1125564893937856</v>
      </c>
      <c r="NK47">
        <f t="shared" si="1517"/>
        <v>0.11164669868520249</v>
      </c>
      <c r="NL47">
        <f t="shared" si="1517"/>
        <v>0.11073442735582972</v>
      </c>
      <c r="NM47">
        <f t="shared" si="1517"/>
        <v>0.10982022307578276</v>
      </c>
      <c r="NN47">
        <f t="shared" si="1517"/>
        <v>0.10890460352198517</v>
      </c>
      <c r="NO47">
        <f t="shared" si="1517"/>
        <v>0.10798805792009603</v>
      </c>
      <c r="NP47">
        <f t="shared" si="1517"/>
        <v>0.10707104850714089</v>
      </c>
      <c r="NQ47">
        <f t="shared" si="1517"/>
        <v>0.10615401191807905</v>
      </c>
      <c r="NR47">
        <f t="shared" si="1517"/>
        <v>0.10523736049999499</v>
      </c>
      <c r="NS47">
        <f t="shared" si="1517"/>
        <v>0.10432148355700832</v>
      </c>
      <c r="NT47">
        <f t="shared" si="1517"/>
        <v>0.10340674852940523</v>
      </c>
      <c r="NU47">
        <f t="shared" si="1517"/>
        <v>0.10249350211022801</v>
      </c>
      <c r="NV47">
        <f t="shared" si="1517"/>
        <v>0.10158207130247021</v>
      </c>
      <c r="NW47">
        <f t="shared" si="1517"/>
        <v>0.10067276441994721</v>
      </c>
      <c r="NX47">
        <f t="shared" si="1517"/>
        <v>9.9765872034829783E-2</v>
      </c>
      <c r="NY47">
        <f t="shared" si="1517"/>
        <v>9.8861667874633241E-2</v>
      </c>
      <c r="NZ47">
        <f t="shared" si="1517"/>
        <v>9.7960409671522086E-2</v>
      </c>
      <c r="OA47">
        <f t="shared" si="1517"/>
        <v>9.7062339966317523E-2</v>
      </c>
      <c r="OB47">
        <f t="shared" si="1517"/>
        <v>9.6167686869936375E-2</v>
      </c>
      <c r="OC47">
        <f t="shared" si="1517"/>
        <v>9.5276664784439191E-2</v>
      </c>
      <c r="OD47">
        <f t="shared" si="1517"/>
        <v>9.4389475086057217E-2</v>
      </c>
      <c r="OE47">
        <f t="shared" si="1517"/>
        <v>9.350630677223748E-2</v>
      </c>
      <c r="OF47">
        <f t="shared" si="1517"/>
        <v>9.2627337074816296E-2</v>
      </c>
      <c r="OG47">
        <f t="shared" si="1517"/>
        <v>9.17527320411331E-2</v>
      </c>
      <c r="OH47">
        <f t="shared" ref="OH47:QS47" si="1518">$U$16*OH31+$V$16*OH32+$W$16*OH33</f>
        <v>9.0882647084978174E-2</v>
      </c>
      <c r="OI47">
        <f t="shared" si="1518"/>
        <v>9.0017227508994324E-2</v>
      </c>
      <c r="OJ47">
        <f t="shared" si="1518"/>
        <v>8.9156609000244913E-2</v>
      </c>
      <c r="OK47">
        <f t="shared" si="1518"/>
        <v>8.8300918100348014E-2</v>
      </c>
      <c r="OL47">
        <f t="shared" si="1518"/>
        <v>8.7450272651672378E-2</v>
      </c>
      <c r="OM47">
        <f t="shared" si="1518"/>
        <v>8.6604782220909726E-2</v>
      </c>
      <c r="ON47">
        <f t="shared" si="1518"/>
        <v>8.5764548501352067E-2</v>
      </c>
      <c r="OO47">
        <f t="shared" si="1518"/>
        <v>8.4929665694939871E-2</v>
      </c>
      <c r="OP47">
        <f t="shared" si="1518"/>
        <v>8.4100220875324538E-2</v>
      </c>
      <c r="OQ47">
        <f t="shared" si="1518"/>
        <v>8.327629433295769E-2</v>
      </c>
      <c r="OR47">
        <f t="shared" si="1518"/>
        <v>8.2457959903095457E-2</v>
      </c>
      <c r="OS47">
        <f t="shared" si="1518"/>
        <v>8.1645285277872404E-2</v>
      </c>
      <c r="OT47">
        <f t="shared" si="1518"/>
        <v>8.0838332303088123E-2</v>
      </c>
      <c r="OU47">
        <f t="shared" si="1518"/>
        <v>8.003715726064442E-2</v>
      </c>
      <c r="OV47">
        <f t="shared" si="1518"/>
        <v>7.9241811137414686E-2</v>
      </c>
      <c r="OW47">
        <f t="shared" si="1518"/>
        <v>7.8452339881255995E-2</v>
      </c>
      <c r="OX47">
        <f t="shared" si="1518"/>
        <v>7.7668784644782107E-2</v>
      </c>
      <c r="OY47">
        <f t="shared" si="1518"/>
        <v>7.6891182017629234E-2</v>
      </c>
      <c r="OZ47">
        <f t="shared" si="1518"/>
        <v>7.6119564247839833E-2</v>
      </c>
      <c r="PA47">
        <f t="shared" si="1518"/>
        <v>7.535395945278367E-2</v>
      </c>
      <c r="PB47">
        <f t="shared" si="1518"/>
        <v>7.4594391820301809E-2</v>
      </c>
      <c r="PC47">
        <f t="shared" si="1518"/>
        <v>7.3840881800556701E-2</v>
      </c>
      <c r="PD47">
        <f t="shared" si="1518"/>
        <v>7.3093446288975628E-2</v>
      </c>
      <c r="PE47">
        <f t="shared" si="1518"/>
        <v>7.235209880079907E-2</v>
      </c>
      <c r="PF47">
        <f t="shared" si="1518"/>
        <v>7.1616849637702984E-2</v>
      </c>
      <c r="PG47">
        <f t="shared" si="1518"/>
        <v>7.0887706046789845E-2</v>
      </c>
      <c r="PH47">
        <f t="shared" si="1518"/>
        <v>7.0164672372374781E-2</v>
      </c>
      <c r="PI47">
        <f t="shared" si="1518"/>
        <v>6.9447750200929192E-2</v>
      </c>
      <c r="PJ47">
        <f t="shared" si="1518"/>
        <v>6.873693849951934E-2</v>
      </c>
      <c r="PK47">
        <f t="shared" si="1518"/>
        <v>6.8032233748031246E-2</v>
      </c>
      <c r="PL47">
        <f t="shared" si="1518"/>
        <v>6.7333630065444794E-2</v>
      </c>
      <c r="PM47">
        <f t="shared" si="1518"/>
        <v>6.6641119330583365E-2</v>
      </c>
      <c r="PN47">
        <f t="shared" si="1518"/>
        <v>6.5954691297431367E-2</v>
      </c>
      <c r="PO47">
        <f t="shared" si="1518"/>
        <v>6.5274333705321652E-2</v>
      </c>
      <c r="PP47">
        <f t="shared" si="1518"/>
        <v>6.4600032384362294E-2</v>
      </c>
      <c r="PQ47">
        <f t="shared" si="1518"/>
        <v>6.3931771356127598E-2</v>
      </c>
      <c r="PR47">
        <f t="shared" si="1518"/>
        <v>6.3269532929922434E-2</v>
      </c>
      <c r="PS47">
        <f t="shared" si="1518"/>
        <v>6.2613297794914757E-2</v>
      </c>
      <c r="PT47">
        <f t="shared" si="1518"/>
        <v>6.1963045108125669E-2</v>
      </c>
      <c r="PU47">
        <f t="shared" si="1518"/>
        <v>6.1318752578635838E-2</v>
      </c>
      <c r="PV47">
        <f t="shared" si="1518"/>
        <v>6.0680396548104198E-2</v>
      </c>
      <c r="PW47">
        <f t="shared" si="1518"/>
        <v>6.0047952067737498E-2</v>
      </c>
      <c r="PX47">
        <f t="shared" si="1518"/>
        <v>5.9421392971973575E-2</v>
      </c>
      <c r="PY47">
        <f t="shared" si="1518"/>
        <v>5.8800691948874828E-2</v>
      </c>
      <c r="PZ47">
        <f t="shared" si="1518"/>
        <v>5.8185820607508987E-2</v>
      </c>
      <c r="QA47">
        <f t="shared" si="1518"/>
        <v>5.7576749542423755E-2</v>
      </c>
      <c r="QB47">
        <f t="shared" si="1518"/>
        <v>5.6973448395201132E-2</v>
      </c>
      <c r="QC47">
        <f t="shared" si="1518"/>
        <v>5.6375885913453772E-2</v>
      </c>
      <c r="QD47">
        <f t="shared" si="1518"/>
        <v>5.5784030007220764E-2</v>
      </c>
      <c r="QE47">
        <f t="shared" si="1518"/>
        <v>5.5197847802809008E-2</v>
      </c>
      <c r="QF47">
        <f t="shared" si="1518"/>
        <v>5.4617305694442564E-2</v>
      </c>
      <c r="QG47">
        <f t="shared" si="1518"/>
        <v>5.404236939354945E-2</v>
      </c>
      <c r="QH47">
        <f t="shared" si="1518"/>
        <v>5.3473003975867073E-2</v>
      </c>
      <c r="QI47">
        <f t="shared" si="1518"/>
        <v>5.2909173926632747E-2</v>
      </c>
      <c r="QJ47">
        <f t="shared" si="1518"/>
        <v>5.235084318361416E-2</v>
      </c>
      <c r="QK47">
        <f t="shared" si="1518"/>
        <v>5.1797975178377698E-2</v>
      </c>
      <c r="QL47">
        <f t="shared" si="1518"/>
        <v>5.1250532875634747E-2</v>
      </c>
      <c r="QM47">
        <f t="shared" si="1518"/>
        <v>5.0708478810975066E-2</v>
      </c>
      <c r="QN47">
        <f t="shared" si="1518"/>
        <v>5.0171775126788276E-2</v>
      </c>
      <c r="QO47">
        <f t="shared" si="1518"/>
        <v>4.9640383606703864E-2</v>
      </c>
      <c r="QP47">
        <f t="shared" si="1518"/>
        <v>4.911426570843247E-2</v>
      </c>
      <c r="QQ47">
        <f t="shared" si="1518"/>
        <v>4.859338259517898E-2</v>
      </c>
      <c r="QR47">
        <f t="shared" si="1518"/>
        <v>4.8077695165567036E-2</v>
      </c>
      <c r="QS47">
        <f t="shared" si="1518"/>
        <v>4.7567164082352065E-2</v>
      </c>
      <c r="QT47">
        <f t="shared" ref="QT47:TE47" si="1519">$U$16*QT31+$V$16*QT32+$W$16*QT33</f>
        <v>4.7061749799699015E-2</v>
      </c>
      <c r="QU47">
        <f t="shared" si="1519"/>
        <v>4.6561412589291251E-2</v>
      </c>
      <c r="QV47">
        <f t="shared" si="1519"/>
        <v>4.6066112565242179E-2</v>
      </c>
      <c r="QW47">
        <f t="shared" si="1519"/>
        <v>4.5575809707880666E-2</v>
      </c>
      <c r="QX47">
        <f t="shared" si="1519"/>
        <v>4.5090463886339194E-2</v>
      </c>
      <c r="QY47">
        <f t="shared" si="1519"/>
        <v>4.4610034880268046E-2</v>
      </c>
      <c r="QZ47">
        <f t="shared" si="1519"/>
        <v>4.4134482400359332E-2</v>
      </c>
      <c r="RA47">
        <f t="shared" si="1519"/>
        <v>4.3663766108036128E-2</v>
      </c>
      <c r="RB47">
        <f t="shared" si="1519"/>
        <v>4.3197845634129095E-2</v>
      </c>
      <c r="RC47">
        <f t="shared" si="1519"/>
        <v>4.2736680596732413E-2</v>
      </c>
      <c r="RD47">
        <f t="shared" si="1519"/>
        <v>4.2280230618178649E-2</v>
      </c>
      <c r="RE47">
        <f t="shared" si="1519"/>
        <v>4.1828455341125448E-2</v>
      </c>
      <c r="RF47">
        <f t="shared" si="1519"/>
        <v>4.1381314443992068E-2</v>
      </c>
      <c r="RG47">
        <f t="shared" si="1519"/>
        <v>4.0938767655546826E-2</v>
      </c>
      <c r="RH47">
        <f t="shared" si="1519"/>
        <v>4.0500774768783998E-2</v>
      </c>
      <c r="RI47">
        <f t="shared" si="1519"/>
        <v>4.0067295654107937E-2</v>
      </c>
      <c r="RJ47">
        <f t="shared" si="1519"/>
        <v>3.9638290271927445E-2</v>
      </c>
      <c r="RK47">
        <f t="shared" si="1519"/>
        <v>3.9213718684464993E-2</v>
      </c>
      <c r="RL47">
        <f t="shared" si="1519"/>
        <v>3.8793541067114745E-2</v>
      </c>
      <c r="RM47">
        <f t="shared" si="1519"/>
        <v>3.837771771908649E-2</v>
      </c>
      <c r="RN47">
        <f t="shared" si="1519"/>
        <v>3.796620907354864E-2</v>
      </c>
      <c r="RO47">
        <f t="shared" si="1519"/>
        <v>3.7558975707234765E-2</v>
      </c>
      <c r="RP47">
        <f t="shared" si="1519"/>
        <v>3.7155978349513674E-2</v>
      </c>
      <c r="RQ47">
        <f t="shared" si="1519"/>
        <v>3.6757177890965664E-2</v>
      </c>
      <c r="RR47">
        <f t="shared" si="1519"/>
        <v>3.6362535391500472E-2</v>
      </c>
      <c r="RS47">
        <f t="shared" si="1519"/>
        <v>3.5972012087970739E-2</v>
      </c>
      <c r="RT47">
        <f t="shared" si="1519"/>
        <v>3.5585569401437311E-2</v>
      </c>
      <c r="RU47">
        <f t="shared" si="1519"/>
        <v>3.5203168943883867E-2</v>
      </c>
      <c r="RV47">
        <f t="shared" si="1519"/>
        <v>3.4824772524707726E-2</v>
      </c>
      <c r="RW47">
        <f t="shared" si="1519"/>
        <v>3.4450342156624458E-2</v>
      </c>
      <c r="RX47">
        <f t="shared" si="1519"/>
        <v>3.4079840061384203E-2</v>
      </c>
      <c r="RY47">
        <f t="shared" si="1519"/>
        <v>3.3713228675008367E-2</v>
      </c>
      <c r="RZ47">
        <f t="shared" si="1519"/>
        <v>3.3350470652738551E-2</v>
      </c>
      <c r="SA47">
        <f t="shared" si="1519"/>
        <v>3.2991528873679954E-2</v>
      </c>
      <c r="SB47">
        <f t="shared" si="1519"/>
        <v>3.2636366445082388E-2</v>
      </c>
      <c r="SC47">
        <f t="shared" si="1519"/>
        <v>3.2284946706372608E-2</v>
      </c>
      <c r="SD47">
        <f t="shared" si="1519"/>
        <v>3.1937233232870454E-2</v>
      </c>
      <c r="SE47">
        <f t="shared" si="1519"/>
        <v>3.1593189839249192E-2</v>
      </c>
      <c r="SF47">
        <f t="shared" si="1519"/>
        <v>3.12527805827294E-2</v>
      </c>
      <c r="SG47">
        <f t="shared" si="1519"/>
        <v>3.0915969765988649E-2</v>
      </c>
      <c r="SH47">
        <f t="shared" si="1519"/>
        <v>3.0582721939921953E-2</v>
      </c>
      <c r="SI47">
        <f t="shared" si="1519"/>
        <v>3.0253001906078936E-2</v>
      </c>
      <c r="SJ47">
        <f t="shared" si="1519"/>
        <v>2.9926774718941118E-2</v>
      </c>
      <c r="SK47">
        <f t="shared" si="1519"/>
        <v>2.9604005687936308E-2</v>
      </c>
      <c r="SL47">
        <f t="shared" si="1519"/>
        <v>2.9284660379307326E-2</v>
      </c>
      <c r="SM47">
        <f t="shared" si="1519"/>
        <v>2.8968704617756913E-2</v>
      </c>
      <c r="SN47">
        <f t="shared" si="1519"/>
        <v>2.8656104487946976E-2</v>
      </c>
      <c r="SO47">
        <f t="shared" si="1519"/>
        <v>2.83468263357598E-2</v>
      </c>
      <c r="SP47">
        <f t="shared" si="1519"/>
        <v>2.8040836769442024E-2</v>
      </c>
      <c r="SQ47">
        <f t="shared" si="1519"/>
        <v>2.7738102660581632E-2</v>
      </c>
      <c r="SR47">
        <f t="shared" si="1519"/>
        <v>2.7438591144914426E-2</v>
      </c>
      <c r="SS47">
        <f t="shared" si="1519"/>
        <v>2.7142269623013249E-2</v>
      </c>
      <c r="ST47">
        <f t="shared" si="1519"/>
        <v>2.6849105760781811E-2</v>
      </c>
      <c r="SU47">
        <f t="shared" si="1519"/>
        <v>2.655906748993786E-2</v>
      </c>
      <c r="SV47">
        <f t="shared" si="1519"/>
        <v>2.627212300819437E-2</v>
      </c>
      <c r="SW47">
        <f t="shared" si="1519"/>
        <v>2.5988240779465599E-2</v>
      </c>
      <c r="SX47">
        <f t="shared" si="1519"/>
        <v>2.5707389533909719E-2</v>
      </c>
      <c r="SY47">
        <f t="shared" si="1519"/>
        <v>2.5429538267868423E-2</v>
      </c>
      <c r="SZ47">
        <f t="shared" si="1519"/>
        <v>2.5154656243635998E-2</v>
      </c>
      <c r="TA47">
        <f t="shared" si="1519"/>
        <v>2.4882712989278133E-2</v>
      </c>
      <c r="TB47">
        <f t="shared" si="1519"/>
        <v>2.4613678298173625E-2</v>
      </c>
      <c r="TC47">
        <f t="shared" si="1519"/>
        <v>2.4347522228641338E-2</v>
      </c>
      <c r="TD47">
        <f t="shared" si="1519"/>
        <v>2.4084215103346907E-2</v>
      </c>
      <c r="TE47">
        <f t="shared" si="1519"/>
        <v>2.3823727508695214E-2</v>
      </c>
      <c r="TF47">
        <f t="shared" ref="TF47:VQ47" si="1520">$U$16*TF31+$V$16*TF32+$W$16*TF33</f>
        <v>2.3566030294169593E-2</v>
      </c>
      <c r="TG47">
        <f t="shared" si="1520"/>
        <v>2.3311094571507596E-2</v>
      </c>
      <c r="TH47">
        <f t="shared" si="1520"/>
        <v>2.3058891713869656E-2</v>
      </c>
      <c r="TI47">
        <f t="shared" si="1520"/>
        <v>2.2809393354982888E-2</v>
      </c>
      <c r="TJ47">
        <f t="shared" si="1520"/>
        <v>2.2562571388128561E-2</v>
      </c>
      <c r="TK47">
        <f t="shared" si="1520"/>
        <v>2.231839796513313E-2</v>
      </c>
      <c r="TL47">
        <f t="shared" si="1520"/>
        <v>2.2076845495295316E-2</v>
      </c>
      <c r="TM47">
        <f t="shared" si="1520"/>
        <v>2.1837886644235027E-2</v>
      </c>
      <c r="TN47">
        <f t="shared" si="1520"/>
        <v>2.1601494332738724E-2</v>
      </c>
      <c r="TO47">
        <f t="shared" si="1520"/>
        <v>2.1367641735498211E-2</v>
      </c>
      <c r="TP47">
        <f t="shared" si="1520"/>
        <v>2.1136302279870733E-2</v>
      </c>
      <c r="TQ47">
        <f t="shared" si="1520"/>
        <v>2.0907449644539611E-2</v>
      </c>
      <c r="TR47">
        <f t="shared" si="1520"/>
        <v>2.0681057758206833E-2</v>
      </c>
      <c r="TS47">
        <f t="shared" si="1520"/>
        <v>2.0457100798132899E-2</v>
      </c>
      <c r="TT47">
        <f t="shared" si="1520"/>
        <v>2.0235553188779676E-2</v>
      </c>
      <c r="TU47">
        <f t="shared" si="1520"/>
        <v>2.0016389600328921E-2</v>
      </c>
      <c r="TV47">
        <f t="shared" si="1520"/>
        <v>1.9799584947204352E-2</v>
      </c>
      <c r="TW47">
        <f t="shared" si="1520"/>
        <v>1.9585114386540425E-2</v>
      </c>
      <c r="TX47">
        <f t="shared" si="1520"/>
        <v>1.9372953316679542E-2</v>
      </c>
      <c r="TY47">
        <f t="shared" si="1520"/>
        <v>1.9163077375580428E-2</v>
      </c>
      <c r="TZ47">
        <f t="shared" si="1520"/>
        <v>1.8955462439276261E-2</v>
      </c>
      <c r="UA47">
        <f t="shared" si="1520"/>
        <v>1.8750084620201335E-2</v>
      </c>
      <c r="UB47">
        <f t="shared" si="1520"/>
        <v>1.8546920265631428E-2</v>
      </c>
      <c r="UC47">
        <f t="shared" si="1520"/>
        <v>1.8345945956031784E-2</v>
      </c>
      <c r="UD47">
        <f t="shared" si="1520"/>
        <v>1.814713850336247E-2</v>
      </c>
      <c r="UE47">
        <f t="shared" si="1520"/>
        <v>1.7950474949451234E-2</v>
      </c>
      <c r="UF47">
        <f t="shared" si="1520"/>
        <v>1.7755932564291754E-2</v>
      </c>
      <c r="UG47">
        <f t="shared" si="1520"/>
        <v>1.7563488844356101E-2</v>
      </c>
      <c r="UH47">
        <f t="shared" si="1520"/>
        <v>1.737312151087167E-2</v>
      </c>
      <c r="UI47">
        <f t="shared" si="1520"/>
        <v>1.7184808508122984E-2</v>
      </c>
      <c r="UJ47">
        <f t="shared" si="1520"/>
        <v>1.6998528001717972E-2</v>
      </c>
      <c r="UK47">
        <f t="shared" si="1520"/>
        <v>1.6814258376882663E-2</v>
      </c>
      <c r="UL47">
        <f t="shared" si="1520"/>
        <v>1.6631978236659961E-2</v>
      </c>
      <c r="UM47">
        <f t="shared" si="1520"/>
        <v>1.645166640023632E-2</v>
      </c>
      <c r="UN47">
        <f t="shared" si="1520"/>
        <v>1.6273301901193804E-2</v>
      </c>
      <c r="UO47">
        <f t="shared" si="1520"/>
        <v>1.6096863985680443E-2</v>
      </c>
      <c r="UP47">
        <f t="shared" si="1520"/>
        <v>1.5922332110765325E-2</v>
      </c>
      <c r="UQ47">
        <f t="shared" si="1520"/>
        <v>1.5749685942605396E-2</v>
      </c>
      <c r="UR47">
        <f t="shared" si="1520"/>
        <v>1.5578905354736605E-2</v>
      </c>
      <c r="US47">
        <f t="shared" si="1520"/>
        <v>1.5409970426283337E-2</v>
      </c>
      <c r="UT47">
        <f t="shared" si="1520"/>
        <v>1.524286144024245E-2</v>
      </c>
      <c r="UU47">
        <f t="shared" si="1520"/>
        <v>1.5077558881703368E-2</v>
      </c>
      <c r="UV47">
        <f t="shared" si="1520"/>
        <v>1.4914043436114355E-2</v>
      </c>
      <c r="UW47">
        <f t="shared" si="1520"/>
        <v>1.4752295987527475E-2</v>
      </c>
      <c r="UX47">
        <f t="shared" si="1520"/>
        <v>1.459229761684E-2</v>
      </c>
      <c r="UY47">
        <f t="shared" si="1520"/>
        <v>1.4434029600074894E-2</v>
      </c>
      <c r="UZ47">
        <f t="shared" si="1520"/>
        <v>1.4277473406643537E-2</v>
      </c>
      <c r="VA47">
        <f t="shared" si="1520"/>
        <v>1.4122610697604898E-2</v>
      </c>
      <c r="VB47">
        <f t="shared" si="1520"/>
        <v>1.3969423323914043E-2</v>
      </c>
      <c r="VC47">
        <f t="shared" si="1520"/>
        <v>1.3817893324766573E-2</v>
      </c>
      <c r="VD47">
        <f t="shared" si="1520"/>
        <v>1.3668002925818712E-2</v>
      </c>
      <c r="VE47">
        <f t="shared" si="1520"/>
        <v>1.3519734537517536E-2</v>
      </c>
      <c r="VF47">
        <f t="shared" si="1520"/>
        <v>1.3373070753367244E-2</v>
      </c>
      <c r="VG47">
        <f t="shared" si="1520"/>
        <v>1.3227994348259386E-2</v>
      </c>
      <c r="VH47">
        <f t="shared" si="1520"/>
        <v>1.308448827679598E-2</v>
      </c>
      <c r="VI47">
        <f t="shared" si="1520"/>
        <v>1.2942535671559341E-2</v>
      </c>
      <c r="VJ47">
        <f t="shared" si="1520"/>
        <v>1.2802119841506254E-2</v>
      </c>
      <c r="VK47">
        <f t="shared" si="1520"/>
        <v>1.2663224270252016E-2</v>
      </c>
      <c r="VL47">
        <f t="shared" si="1520"/>
        <v>1.2525832614461052E-2</v>
      </c>
      <c r="VM47">
        <f t="shared" si="1520"/>
        <v>1.2389928702148723E-2</v>
      </c>
      <c r="VN47">
        <f t="shared" si="1520"/>
        <v>1.225549653109681E-2</v>
      </c>
      <c r="VO47">
        <f t="shared" si="1520"/>
        <v>1.2122520267212167E-2</v>
      </c>
      <c r="VP47">
        <f t="shared" si="1520"/>
        <v>1.1990984242867597E-2</v>
      </c>
      <c r="VQ47">
        <f t="shared" si="1520"/>
        <v>1.1860872955381296E-2</v>
      </c>
      <c r="VR47">
        <f t="shared" ref="VR47:YC47" si="1521">$U$16*VR31+$V$16*VR32+$W$16*VR33</f>
        <v>1.1732171065332864E-2</v>
      </c>
      <c r="VS47">
        <f t="shared" si="1521"/>
        <v>1.1604863395032083E-2</v>
      </c>
      <c r="VT47">
        <f t="shared" si="1521"/>
        <v>1.1478934926916651E-2</v>
      </c>
      <c r="VU47">
        <f t="shared" si="1521"/>
        <v>1.135437080199253E-2</v>
      </c>
      <c r="VV47">
        <f t="shared" si="1521"/>
        <v>1.1231156318281421E-2</v>
      </c>
      <c r="VW47">
        <f t="shared" si="1521"/>
        <v>1.1109276929278877E-2</v>
      </c>
      <c r="VX47">
        <f t="shared" si="1521"/>
        <v>1.0988718242419537E-2</v>
      </c>
      <c r="VY47">
        <f t="shared" si="1521"/>
        <v>1.0869466017538798E-2</v>
      </c>
      <c r="VZ47">
        <f t="shared" si="1521"/>
        <v>1.0751506165384228E-2</v>
      </c>
      <c r="WA47">
        <f t="shared" si="1521"/>
        <v>1.0634824746098559E-2</v>
      </c>
      <c r="WB47">
        <f t="shared" si="1521"/>
        <v>1.0519407967738204E-2</v>
      </c>
      <c r="WC47">
        <f t="shared" si="1521"/>
        <v>1.0405242184795327E-2</v>
      </c>
      <c r="WD47">
        <f t="shared" si="1521"/>
        <v>1.029231389670926E-2</v>
      </c>
      <c r="WE47">
        <f t="shared" si="1521"/>
        <v>1.0180609746470282E-2</v>
      </c>
      <c r="WF47">
        <f t="shared" si="1521"/>
        <v>1.0070116519091954E-2</v>
      </c>
      <c r="WG47">
        <f t="shared" si="1521"/>
        <v>9.9608211402362201E-3</v>
      </c>
      <c r="WH47">
        <f t="shared" si="1521"/>
        <v>9.852710674802978E-3</v>
      </c>
      <c r="WI47">
        <f t="shared" si="1521"/>
        <v>9.7457723254628092E-3</v>
      </c>
      <c r="WJ47">
        <f t="shared" si="1521"/>
        <v>9.6399934312927371E-3</v>
      </c>
      <c r="WK47">
        <f t="shared" si="1521"/>
        <v>9.5350758235390742E-3</v>
      </c>
      <c r="WL47">
        <f t="shared" si="1521"/>
        <v>9.4299768774277481E-3</v>
      </c>
      <c r="WM47">
        <f t="shared" si="1521"/>
        <v>9.3225004041528337E-3</v>
      </c>
      <c r="WN47">
        <f t="shared" si="1521"/>
        <v>9.2090827388204843E-3</v>
      </c>
      <c r="WO47">
        <f t="shared" si="1521"/>
        <v>9.0848091668647157E-3</v>
      </c>
      <c r="WP47">
        <f t="shared" si="1521"/>
        <v>8.9436208997817346E-3</v>
      </c>
      <c r="WQ47">
        <f t="shared" si="1521"/>
        <v>8.7786417890889368E-3</v>
      </c>
      <c r="WR47">
        <f t="shared" si="1521"/>
        <v>8.5825536781740652E-3</v>
      </c>
      <c r="WS47">
        <f t="shared" si="1521"/>
        <v>8.3479643129464876E-3</v>
      </c>
      <c r="WT47">
        <f t="shared" si="1521"/>
        <v>8.0677310376806588E-3</v>
      </c>
      <c r="WU47">
        <f t="shared" si="1521"/>
        <v>7.7352210499483931E-3</v>
      </c>
      <c r="WV47">
        <f t="shared" si="1521"/>
        <v>7.3445023649192365E-3</v>
      </c>
      <c r="WW47">
        <f t="shared" si="1521"/>
        <v>6.8904685346105055E-3</v>
      </c>
      <c r="WX47">
        <f t="shared" si="1521"/>
        <v>6.3689052576769711E-3</v>
      </c>
      <c r="WY47">
        <f t="shared" si="1521"/>
        <v>5.776509278462072E-3</v>
      </c>
      <c r="WZ47">
        <f t="shared" si="1521"/>
        <v>5.110870348215002E-3</v>
      </c>
      <c r="XA47">
        <f t="shared" si="1521"/>
        <v>4.3704262676200756E-3</v>
      </c>
      <c r="XB47">
        <f t="shared" si="1521"/>
        <v>3.5543996981957093E-3</v>
      </c>
      <c r="XC47">
        <f t="shared" si="1521"/>
        <v>2.6627238928540464E-3</v>
      </c>
      <c r="XD47">
        <f t="shared" si="1521"/>
        <v>1.6959629761679196E-3</v>
      </c>
      <c r="XE47">
        <f t="shared" si="1521"/>
        <v>6.5523102948716883E-4</v>
      </c>
      <c r="XF47">
        <f t="shared" si="1521"/>
        <v>-4.5788694158233056E-4</v>
      </c>
      <c r="XG47">
        <f t="shared" si="1521"/>
        <v>-1.6414100444137603E-3</v>
      </c>
      <c r="XH47">
        <f t="shared" si="1521"/>
        <v>-2.8930311931709696E-3</v>
      </c>
      <c r="XI47">
        <f t="shared" si="1521"/>
        <v>-4.2101806969192523E-3</v>
      </c>
      <c r="XJ47">
        <f t="shared" si="1521"/>
        <v>-5.5900834164290814E-3</v>
      </c>
      <c r="XK47">
        <f t="shared" si="1521"/>
        <v>-7.0298094777925257E-3</v>
      </c>
      <c r="XL47">
        <f t="shared" si="1521"/>
        <v>-8.5263187484905245E-3</v>
      </c>
      <c r="XM47">
        <f t="shared" si="1521"/>
        <v>-1.007649942329536E-2</v>
      </c>
      <c r="XN47">
        <f t="shared" si="1521"/>
        <v>-1.1677201153837302E-2</v>
      </c>
      <c r="XO47">
        <f t="shared" si="1521"/>
        <v>-1.3325263199426729E-2</v>
      </c>
      <c r="XP47">
        <f t="shared" si="1521"/>
        <v>-1.5017538090994265E-2</v>
      </c>
      <c r="XQ47">
        <f t="shared" si="1521"/>
        <v>-1.6750911294103332E-2</v>
      </c>
      <c r="XR47">
        <f t="shared" si="1521"/>
        <v>-1.8522317336042704E-2</v>
      </c>
      <c r="XS47">
        <f t="shared" si="1521"/>
        <v>-2.0328752833457031E-2</v>
      </c>
      <c r="XT47">
        <f t="shared" si="1521"/>
        <v>-2.21672868231515E-2</v>
      </c>
      <c r="XU47">
        <f t="shared" si="1521"/>
        <v>-2.4035068762355394E-2</v>
      </c>
      <c r="XV47">
        <f t="shared" si="1521"/>
        <v>-2.5929334528647985E-2</v>
      </c>
      <c r="XW47">
        <f t="shared" si="1521"/>
        <v>-2.7847410714421983E-2</v>
      </c>
      <c r="XX47">
        <f t="shared" si="1521"/>
        <v>-2.978671747715822E-2</v>
      </c>
      <c r="XY47">
        <f t="shared" si="1521"/>
        <v>-3.1744770175460957E-2</v>
      </c>
      <c r="XZ47">
        <f t="shared" si="1521"/>
        <v>-3.3719179992438342E-2</v>
      </c>
      <c r="YA47">
        <f t="shared" si="1521"/>
        <v>-3.5707653721576804E-2</v>
      </c>
      <c r="YB47">
        <f t="shared" si="1521"/>
        <v>-3.770799286737514E-2</v>
      </c>
      <c r="YC47">
        <f t="shared" si="1521"/>
        <v>-3.9718092191417753E-2</v>
      </c>
      <c r="YD47">
        <f t="shared" ref="YD47:AAO47" si="1522">$U$16*YD31+$V$16*YD32+$W$16*YD33</f>
        <v>-4.17359378167248E-2</v>
      </c>
      <c r="YE47">
        <f t="shared" si="1522"/>
        <v>-4.3759604986284728E-2</v>
      </c>
      <c r="YF47">
        <f t="shared" si="1522"/>
        <v>-4.5787255557694806E-2</v>
      </c>
      <c r="YG47">
        <f t="shared" si="1522"/>
        <v>-4.7817135302889113E-2</v>
      </c>
      <c r="YH47">
        <f t="shared" si="1522"/>
        <v>-4.9847571071460095E-2</v>
      </c>
      <c r="YI47">
        <f t="shared" si="1522"/>
        <v>-5.187696786605045E-2</v>
      </c>
      <c r="YJ47">
        <f t="shared" si="1522"/>
        <v>-5.390380587056498E-2</v>
      </c>
      <c r="YK47">
        <f t="shared" si="1522"/>
        <v>-5.5926637464498441E-2</v>
      </c>
      <c r="YL47">
        <f t="shared" si="1522"/>
        <v>-5.7944084250760142E-2</v>
      </c>
      <c r="YM47">
        <f t="shared" si="1522"/>
        <v>-5.9954834119203326E-2</v>
      </c>
      <c r="YN47">
        <f t="shared" si="1522"/>
        <v>-6.1957638363487888E-2</v>
      </c>
      <c r="YO47">
        <f t="shared" si="1522"/>
        <v>-6.3951308865288325E-2</v>
      </c>
      <c r="YP47">
        <f t="shared" si="1522"/>
        <v>-6.5934715356444684E-2</v>
      </c>
      <c r="YQ47">
        <f t="shared" si="1522"/>
        <v>-6.7906782767256146E-2</v>
      </c>
      <c r="YR47">
        <f t="shared" si="1522"/>
        <v>-6.9866488666441739E-2</v>
      </c>
      <c r="YS47">
        <f t="shared" si="1522"/>
        <v>-7.1812860796871547E-2</v>
      </c>
      <c r="YT47">
        <f t="shared" si="1522"/>
        <v>-7.3744974709260447E-2</v>
      </c>
      <c r="YU47">
        <f t="shared" si="1522"/>
        <v>-7.566195149473387E-2</v>
      </c>
      <c r="YV47">
        <f t="shared" si="1522"/>
        <v>-7.7562955616443219E-2</v>
      </c>
      <c r="YW47">
        <f t="shared" si="1522"/>
        <v>-7.944719283902657E-2</v>
      </c>
      <c r="YX47">
        <f t="shared" si="1522"/>
        <v>-8.1313908254596612E-2</v>
      </c>
      <c r="YY47">
        <f t="shared" si="1522"/>
        <v>-8.3162384402847067E-2</v>
      </c>
      <c r="YZ47">
        <f t="shared" si="1522"/>
        <v>-8.4991939482989665E-2</v>
      </c>
      <c r="ZA47">
        <f t="shared" si="1522"/>
        <v>-8.6801925654391709E-2</v>
      </c>
      <c r="ZB47">
        <f t="shared" si="1522"/>
        <v>-8.859172742297261E-2</v>
      </c>
      <c r="ZC47">
        <f t="shared" si="1522"/>
        <v>-9.0360760110030469E-2</v>
      </c>
      <c r="ZD47">
        <f t="shared" si="1522"/>
        <v>-9.2108468400201815E-2</v>
      </c>
      <c r="ZE47">
        <f t="shared" si="1522"/>
        <v>-9.3834324965037297E-2</v>
      </c>
      <c r="ZF47">
        <f t="shared" si="1522"/>
        <v>-9.5537829158914178E-2</v>
      </c>
      <c r="ZG47">
        <f t="shared" si="1522"/>
        <v>-9.7218505783772002E-2</v>
      </c>
      <c r="ZH47">
        <f t="shared" si="1522"/>
        <v>-9.8875903919513064E-2</v>
      </c>
      <c r="ZI47">
        <f t="shared" si="1522"/>
        <v>-0.10050959581655405</v>
      </c>
      <c r="ZJ47">
        <f t="shared" si="1522"/>
        <v>-0.10211917584763341</v>
      </c>
      <c r="ZK47">
        <f t="shared" si="1522"/>
        <v>-0.10370425951551354</v>
      </c>
      <c r="ZL47">
        <f t="shared" si="1522"/>
        <v>-0.10526448251395948</v>
      </c>
      <c r="ZM47">
        <f t="shared" si="1522"/>
        <v>-0.1067994998387789</v>
      </c>
      <c r="ZN47">
        <f t="shared" si="1522"/>
        <v>-0.10830898494648622</v>
      </c>
      <c r="ZO47">
        <f t="shared" si="1522"/>
        <v>-0.10979262895773445</v>
      </c>
      <c r="ZP47">
        <f t="shared" si="1522"/>
        <v>-0.11125013990332633</v>
      </c>
      <c r="ZQ47">
        <f t="shared" si="1522"/>
        <v>-0.11268124201017926</v>
      </c>
      <c r="ZR47">
        <f t="shared" si="1522"/>
        <v>-0.11408567502502365</v>
      </c>
      <c r="ZS47">
        <f t="shared" si="1522"/>
        <v>-0.11546319357390189</v>
      </c>
      <c r="ZT47">
        <f t="shared" si="1522"/>
        <v>-0.11681356655520858</v>
      </c>
      <c r="ZU47">
        <f t="shared" si="1522"/>
        <v>-0.11813657656451326</v>
      </c>
      <c r="ZV47">
        <f t="shared" si="1522"/>
        <v>-0.11943201934930769</v>
      </c>
      <c r="ZW47">
        <f t="shared" si="1522"/>
        <v>-0.12069970329195456</v>
      </c>
      <c r="ZX47">
        <f t="shared" si="1522"/>
        <v>-0.12193944891928865</v>
      </c>
      <c r="ZY47">
        <f t="shared" si="1522"/>
        <v>-0.12315108843732858</v>
      </c>
      <c r="ZZ47">
        <f t="shared" si="1522"/>
        <v>-0.12433446528955727</v>
      </c>
      <c r="AAA47">
        <f t="shared" si="1522"/>
        <v>-0.12548943373772303</v>
      </c>
      <c r="AAB47">
        <f t="shared" si="1522"/>
        <v>-0.12661585846356971</v>
      </c>
      <c r="AAC47">
        <f t="shared" si="1522"/>
        <v>-0.12771361419041227</v>
      </c>
      <c r="AAD47">
        <f t="shared" si="1522"/>
        <v>-0.12878258532364129</v>
      </c>
      <c r="AAE47">
        <f t="shared" si="1522"/>
        <v>-0.12982266560872802</v>
      </c>
      <c r="AAF47">
        <f t="shared" si="1522"/>
        <v>-0.13083375780609074</v>
      </c>
      <c r="AAG47">
        <f t="shared" si="1522"/>
        <v>-0.13181577338169603</v>
      </c>
      <c r="AAH47">
        <f t="shared" si="1522"/>
        <v>-0.13276863221251389</v>
      </c>
      <c r="AAI47">
        <f t="shared" si="1522"/>
        <v>-0.13369226230617315</v>
      </c>
      <c r="AAJ47">
        <f t="shared" si="1522"/>
        <v>-0.13458659953381158</v>
      </c>
      <c r="AAK47">
        <f t="shared" si="1522"/>
        <v>-0.13545158737557372</v>
      </c>
      <c r="AAL47">
        <f t="shared" si="1522"/>
        <v>-0.13628717667802093</v>
      </c>
      <c r="AAM47">
        <f t="shared" si="1522"/>
        <v>-0.1370933254227289</v>
      </c>
      <c r="AAN47">
        <f t="shared" si="1522"/>
        <v>-0.13786999850562864</v>
      </c>
      <c r="AAO47">
        <f t="shared" si="1522"/>
        <v>-0.13861716752634834</v>
      </c>
    </row>
    <row r="48" spans="1:719">
      <c r="A48" s="4">
        <f t="shared" si="1444"/>
        <v>9</v>
      </c>
      <c r="B48" s="1">
        <f>$V$17*B32+$W$17*B33+$X$17*B34</f>
        <v>0</v>
      </c>
      <c r="C48">
        <f>$V$17*C32+$W$17*C33+$X$17*C34</f>
        <v>0</v>
      </c>
      <c r="D48">
        <f t="shared" ref="D48" si="1523">$V$17*D32+$W$17*D33+$X$17*D34</f>
        <v>0</v>
      </c>
      <c r="E48">
        <f t="shared" ref="E48:BP48" si="1524">$V$17*E32+$W$17*E33+$X$17*E34</f>
        <v>0</v>
      </c>
      <c r="F48">
        <f t="shared" si="1524"/>
        <v>0</v>
      </c>
      <c r="G48">
        <f t="shared" si="1524"/>
        <v>0</v>
      </c>
      <c r="H48">
        <f t="shared" si="1524"/>
        <v>0</v>
      </c>
      <c r="I48">
        <f t="shared" si="1524"/>
        <v>0</v>
      </c>
      <c r="J48">
        <f t="shared" si="1524"/>
        <v>-3.7440017308654205E-8</v>
      </c>
      <c r="K48">
        <f t="shared" si="1524"/>
        <v>-2.8097413462546683E-7</v>
      </c>
      <c r="L48">
        <f t="shared" si="1524"/>
        <v>-1.1685553005236216E-6</v>
      </c>
      <c r="M48">
        <f t="shared" si="1524"/>
        <v>-3.5603168555553566E-6</v>
      </c>
      <c r="N48">
        <f t="shared" si="1524"/>
        <v>-8.8753209439573766E-6</v>
      </c>
      <c r="O48">
        <f t="shared" si="1524"/>
        <v>-1.9189551437648333E-5</v>
      </c>
      <c r="P48">
        <f t="shared" si="1524"/>
        <v>-3.7283854069869449E-5</v>
      </c>
      <c r="Q48">
        <f t="shared" si="1524"/>
        <v>-6.664063437256118E-5</v>
      </c>
      <c r="R48">
        <f t="shared" si="1524"/>
        <v>-1.1139523316217037E-4</v>
      </c>
      <c r="S48">
        <f t="shared" si="1524"/>
        <v>-1.7625182049130217E-4</v>
      </c>
      <c r="T48">
        <f t="shared" si="1524"/>
        <v>-2.6637497849435476E-4</v>
      </c>
      <c r="U48">
        <f t="shared" si="1524"/>
        <v>-3.8726768879371321E-4</v>
      </c>
      <c r="V48">
        <f t="shared" si="1524"/>
        <v>-5.44644964378449E-4</v>
      </c>
      <c r="W48">
        <f t="shared" si="1524"/>
        <v>-7.4431044149037007E-4</v>
      </c>
      <c r="X48">
        <f t="shared" si="1524"/>
        <v>-9.9204126934182568E-4</v>
      </c>
      <c r="Y48">
        <f t="shared" si="1524"/>
        <v>-1.2934848329848592E-3</v>
      </c>
      <c r="Z48">
        <f t="shared" si="1524"/>
        <v>-1.6540693264488482E-3</v>
      </c>
      <c r="AA48">
        <f t="shared" si="1524"/>
        <v>-2.0789289982729997E-3</v>
      </c>
      <c r="AB48">
        <f t="shared" si="1524"/>
        <v>-2.572843997896257E-3</v>
      </c>
      <c r="AC48">
        <f t="shared" si="1524"/>
        <v>-3.1401941298128122E-3</v>
      </c>
      <c r="AD48">
        <f t="shared" si="1524"/>
        <v>-3.784925417477325E-3</v>
      </c>
      <c r="AE48">
        <f t="shared" si="1524"/>
        <v>-4.5105281483586168E-3</v>
      </c>
      <c r="AF48">
        <f t="shared" si="1524"/>
        <v>-5.3200249706009117E-3</v>
      </c>
      <c r="AG48">
        <f t="shared" si="1524"/>
        <v>-6.2159676020741017E-3</v>
      </c>
      <c r="AH48">
        <f t="shared" si="1524"/>
        <v>-7.2004407672778825E-3</v>
      </c>
      <c r="AI48">
        <f t="shared" si="1524"/>
        <v>-8.2750720716688875E-3</v>
      </c>
      <c r="AJ48">
        <f t="shared" si="1524"/>
        <v>-9.4410466404610816E-3</v>
      </c>
      <c r="AK48">
        <f t="shared" si="1524"/>
        <v>-1.0699125476179461E-2</v>
      </c>
      <c r="AL48">
        <f t="shared" si="1524"/>
        <v>-1.2049666618878518E-2</v>
      </c>
      <c r="AM48">
        <f t="shared" si="1524"/>
        <v>-1.3492648317352973E-2</v>
      </c>
      <c r="AN48">
        <f t="shared" si="1524"/>
        <v>-1.5027693537788878E-2</v>
      </c>
      <c r="AO48">
        <f t="shared" si="1524"/>
        <v>-1.6654095242643052E-2</v>
      </c>
      <c r="AP48">
        <f t="shared" si="1524"/>
        <v>-1.8370841969911567E-2</v>
      </c>
      <c r="AQ48">
        <f t="shared" si="1524"/>
        <v>-2.0176643327644683E-2</v>
      </c>
      <c r="AR48">
        <f t="shared" si="1524"/>
        <v>-2.2069955093982685E-2</v>
      </c>
      <c r="AS48">
        <f t="shared" si="1524"/>
        <v>-2.4049003677731662E-2</v>
      </c>
      <c r="AT48">
        <f t="shared" si="1524"/>
        <v>-2.6111809749394865E-2</v>
      </c>
      <c r="AU48">
        <f t="shared" si="1524"/>
        <v>-2.8256210900607925E-2</v>
      </c>
      <c r="AV48">
        <f t="shared" si="1524"/>
        <v>-3.0479883229233451E-2</v>
      </c>
      <c r="AW48">
        <f t="shared" si="1524"/>
        <v>-3.2780361781007628E-2</v>
      </c>
      <c r="AX48">
        <f t="shared" si="1524"/>
        <v>-3.5155059805447308E-2</v>
      </c>
      <c r="AY48">
        <f t="shared" si="1524"/>
        <v>-3.7601286807429801E-2</v>
      </c>
      <c r="AZ48">
        <f t="shared" si="1524"/>
        <v>-4.0116265393209005E-2</v>
      </c>
      <c r="BA48">
        <f t="shared" si="1524"/>
        <v>-4.2697146924894014E-2</v>
      </c>
      <c r="BB48">
        <f t="shared" si="1524"/>
        <v>-4.5341026008685503E-2</v>
      </c>
      <c r="BC48">
        <f t="shared" si="1524"/>
        <v>-4.8044953851714922E-2</v>
      </c>
      <c r="BD48">
        <f t="shared" si="1524"/>
        <v>-5.0805950528243216E-2</v>
      </c>
      <c r="BE48">
        <f t="shared" si="1524"/>
        <v>-5.3621016201830685E-2</v>
      </c>
      <c r="BF48">
        <f t="shared" si="1524"/>
        <v>-5.6487141352789649E-2</v>
      </c>
      <c r="BG48">
        <f t="shared" si="1524"/>
        <v>-5.9401316062789533E-2</v>
      </c>
      <c r="BH48">
        <f t="shared" si="1524"/>
        <v>-6.2360538409777178E-2</v>
      </c>
      <c r="BI48">
        <f t="shared" si="1524"/>
        <v>-6.536182202597729E-2</v>
      </c>
      <c r="BJ48">
        <f t="shared" si="1524"/>
        <v>-6.8402202871922668E-2</v>
      </c>
      <c r="BK48">
        <f t="shared" si="1524"/>
        <v>-7.1478745278653832E-2</v>
      </c>
      <c r="BL48">
        <f t="shared" si="1524"/>
        <v>-7.4588547308181319E-2</v>
      </c>
      <c r="BM48">
        <f t="shared" si="1524"/>
        <v>-7.7728745481593364E-2</v>
      </c>
      <c r="BN48">
        <f t="shared" si="1524"/>
        <v>-8.0896518921562688E-2</v>
      </c>
      <c r="BO48">
        <f t="shared" si="1524"/>
        <v>-8.408909295394551E-2</v>
      </c>
      <c r="BP48">
        <f t="shared" si="1524"/>
        <v>-8.7303742212071711E-2</v>
      </c>
      <c r="BQ48">
        <f t="shared" ref="BQ48:CU48" si="1525">$V$17*BQ32+$W$17*BQ33+$X$17*BQ34</f>
        <v>-9.0537793283488099E-2</v>
      </c>
      <c r="BR48">
        <f t="shared" si="1525"/>
        <v>-9.3788626937765684E-2</v>
      </c>
      <c r="BS48">
        <f t="shared" si="1525"/>
        <v>-9.705367997176495E-2</v>
      </c>
      <c r="BT48">
        <f t="shared" si="1525"/>
        <v>-0.10033044670586833</v>
      </c>
      <c r="BU48">
        <f t="shared" si="1525"/>
        <v>-0.10361648016261427</v>
      </c>
      <c r="BV48">
        <f t="shared" si="1525"/>
        <v>-0.1069093929583147</v>
      </c>
      <c r="BW48">
        <f t="shared" si="1525"/>
        <v>-0.11020685793401697</v>
      </c>
      <c r="BX48">
        <f t="shared" si="1525"/>
        <v>-0.11350660855210037</v>
      </c>
      <c r="BY48">
        <f t="shared" si="1525"/>
        <v>-0.11680643908239574</v>
      </c>
      <c r="BZ48">
        <f t="shared" si="1525"/>
        <v>-0.12010420459905902</v>
      </c>
      <c r="CA48">
        <f t="shared" si="1525"/>
        <v>-0.12339782080925943</v>
      </c>
      <c r="CB48">
        <f t="shared" si="1525"/>
        <v>-0.12668526373190048</v>
      </c>
      <c r="CC48">
        <f t="shared" si="1525"/>
        <v>-0.12996456924392419</v>
      </c>
      <c r="CD48">
        <f t="shared" si="1525"/>
        <v>-0.13323383250941845</v>
      </c>
      <c r="CE48">
        <f t="shared" si="1525"/>
        <v>-0.1364912073068183</v>
      </c>
      <c r="CF48">
        <f t="shared" si="1525"/>
        <v>-0.13973490526682042</v>
      </c>
      <c r="CG48">
        <f t="shared" si="1525"/>
        <v>-0.14296319503336008</v>
      </c>
      <c r="CH48">
        <f t="shared" si="1525"/>
        <v>-0.14617440135862125</v>
      </c>
      <c r="CI48">
        <f t="shared" si="1525"/>
        <v>-0.14936690414214127</v>
      </c>
      <c r="CJ48">
        <f t="shared" si="1525"/>
        <v>-0.15253913742333225</v>
      </c>
      <c r="CK48">
        <f t="shared" si="1525"/>
        <v>-0.15568958833522117</v>
      </c>
      <c r="CL48">
        <f t="shared" si="1525"/>
        <v>-0.15881679602725285</v>
      </c>
      <c r="CM48">
        <f t="shared" si="1525"/>
        <v>-0.16191935056407658</v>
      </c>
      <c r="CN48">
        <f t="shared" si="1525"/>
        <v>-0.16499589180565977</v>
      </c>
      <c r="CO48">
        <f t="shared" si="1525"/>
        <v>-0.16804510827509489</v>
      </c>
      <c r="CP48">
        <f t="shared" si="1525"/>
        <v>-0.17106573601837738</v>
      </c>
      <c r="CQ48">
        <f t="shared" si="1525"/>
        <v>-0.17405655746060233</v>
      </c>
      <c r="CR48">
        <f t="shared" si="1525"/>
        <v>-0.17701640026278653</v>
      </c>
      <c r="CS48">
        <f t="shared" si="1525"/>
        <v>-0.17994413618252736</v>
      </c>
      <c r="CT48">
        <f t="shared" si="1525"/>
        <v>-0.18283867994132663</v>
      </c>
      <c r="CU48">
        <f t="shared" si="1525"/>
        <v>-0.18569898810189045</v>
      </c>
      <c r="CV48">
        <f t="shared" ref="CV48:FG48" si="1526">$V$17*CV32+$W$17*CV33+$X$17*CV34</f>
        <v>-0.18852405795708194</v>
      </c>
      <c r="CW48">
        <f t="shared" si="1526"/>
        <v>-0.19131292643298536</v>
      </c>
      <c r="CX48">
        <f t="shared" si="1526"/>
        <v>-0.19406466900787223</v>
      </c>
      <c r="CY48">
        <f t="shared" si="1526"/>
        <v>-0.19677839864813507</v>
      </c>
      <c r="CZ48">
        <f t="shared" si="1526"/>
        <v>-0.19945326476320702</v>
      </c>
      <c r="DA48">
        <f t="shared" si="1526"/>
        <v>-0.20208845217975124</v>
      </c>
      <c r="DB48">
        <f t="shared" si="1526"/>
        <v>-0.20468318013676878</v>
      </c>
      <c r="DC48">
        <f t="shared" si="1526"/>
        <v>-0.20723670130175265</v>
      </c>
      <c r="DD48">
        <f t="shared" si="1526"/>
        <v>-0.20974830080886875</v>
      </c>
      <c r="DE48">
        <f t="shared" si="1526"/>
        <v>-0.21221729531941946</v>
      </c>
      <c r="DF48">
        <f t="shared" si="1526"/>
        <v>-0.21464303210494506</v>
      </c>
      <c r="DG48">
        <f t="shared" si="1526"/>
        <v>-0.21702488815326149</v>
      </c>
      <c r="DH48">
        <f t="shared" si="1526"/>
        <v>-0.21936226929730651</v>
      </c>
      <c r="DI48">
        <f t="shared" si="1526"/>
        <v>-0.22165460936732018</v>
      </c>
      <c r="DJ48">
        <f t="shared" si="1526"/>
        <v>-0.22390136936557781</v>
      </c>
      <c r="DK48">
        <f t="shared" si="1526"/>
        <v>-0.22610203666440043</v>
      </c>
      <c r="DL48">
        <f t="shared" si="1526"/>
        <v>-0.22825612422654729</v>
      </c>
      <c r="DM48">
        <f t="shared" si="1526"/>
        <v>-0.23036316984824623</v>
      </c>
      <c r="DN48">
        <f t="shared" si="1526"/>
        <v>-0.23242273542429359</v>
      </c>
      <c r="DO48">
        <f t="shared" si="1526"/>
        <v>-0.23443440623516665</v>
      </c>
      <c r="DP48">
        <f t="shared" si="1526"/>
        <v>-0.23639779025555185</v>
      </c>
      <c r="DQ48">
        <f t="shared" si="1526"/>
        <v>-0.23831251748413251</v>
      </c>
      <c r="DR48">
        <f t="shared" si="1526"/>
        <v>-0.24017823929411009</v>
      </c>
      <c r="DS48">
        <f t="shared" si="1526"/>
        <v>-0.24199462780417491</v>
      </c>
      <c r="DT48">
        <f t="shared" si="1526"/>
        <v>-0.24376137526911634</v>
      </c>
      <c r="DU48">
        <f t="shared" si="1526"/>
        <v>-0.24547819349038491</v>
      </c>
      <c r="DV48">
        <f t="shared" si="1526"/>
        <v>-0.24714481324518545</v>
      </c>
      <c r="DW48">
        <f t="shared" si="1526"/>
        <v>-0.2487609837345417</v>
      </c>
      <c r="DX48">
        <f t="shared" si="1526"/>
        <v>-0.25032647204916714</v>
      </c>
      <c r="DY48">
        <f t="shared" si="1526"/>
        <v>-0.25184106265308515</v>
      </c>
      <c r="DZ48">
        <f t="shared" si="1526"/>
        <v>-0.25330455688438747</v>
      </c>
      <c r="EA48">
        <f t="shared" si="1526"/>
        <v>-0.25471677247256252</v>
      </c>
      <c r="EB48">
        <f t="shared" si="1526"/>
        <v>-0.25607754307222308</v>
      </c>
      <c r="EC48">
        <f t="shared" si="1526"/>
        <v>-0.25738671781236633</v>
      </c>
      <c r="ED48">
        <f t="shared" si="1526"/>
        <v>-0.25864416086096753</v>
      </c>
      <c r="EE48">
        <f t="shared" si="1526"/>
        <v>-0.25984975100443819</v>
      </c>
      <c r="EF48">
        <f t="shared" si="1526"/>
        <v>-0.26100338124136613</v>
      </c>
      <c r="EG48">
        <f t="shared" si="1526"/>
        <v>-0.26210495839021064</v>
      </c>
      <c r="EH48">
        <f t="shared" si="1526"/>
        <v>-0.26315440271028478</v>
      </c>
      <c r="EI48">
        <f t="shared" si="1526"/>
        <v>-0.26415164753605325</v>
      </c>
      <c r="EJ48">
        <f t="shared" si="1526"/>
        <v>-0.26509663892397839</v>
      </c>
      <c r="EK48">
        <f t="shared" si="1526"/>
        <v>-0.26598933531120394</v>
      </c>
      <c r="EL48">
        <f t="shared" si="1526"/>
        <v>-0.26682970718655952</v>
      </c>
      <c r="EM48">
        <f t="shared" si="1526"/>
        <v>-0.26761773677255007</v>
      </c>
      <c r="EN48">
        <f t="shared" si="1526"/>
        <v>-0.2683534177185436</v>
      </c>
      <c r="EO48">
        <f t="shared" si="1526"/>
        <v>-0.2690367548045316</v>
      </c>
      <c r="EP48">
        <f t="shared" si="1526"/>
        <v>-0.26966776365516409</v>
      </c>
      <c r="EQ48">
        <f t="shared" si="1526"/>
        <v>-0.27024647046359007</v>
      </c>
      <c r="ER48">
        <f t="shared" si="1526"/>
        <v>-0.27077291172490447</v>
      </c>
      <c r="ES48">
        <f t="shared" si="1526"/>
        <v>-0.27124713397897438</v>
      </c>
      <c r="ET48">
        <f t="shared" si="1526"/>
        <v>-0.27166919356176322</v>
      </c>
      <c r="EU48">
        <f t="shared" si="1526"/>
        <v>-0.27203915636550846</v>
      </c>
      <c r="EV48">
        <f t="shared" si="1526"/>
        <v>-0.2723570976070846</v>
      </c>
      <c r="EW48">
        <f t="shared" si="1526"/>
        <v>-0.27262310160428171</v>
      </c>
      <c r="EX48">
        <f t="shared" si="1526"/>
        <v>-0.27283726155957311</v>
      </c>
      <c r="EY48">
        <f t="shared" si="1526"/>
        <v>-0.27299967935162783</v>
      </c>
      <c r="EZ48">
        <f t="shared" si="1526"/>
        <v>-0.27311046533344552</v>
      </c>
      <c r="FA48">
        <f t="shared" si="1526"/>
        <v>-0.27316973813776713</v>
      </c>
      <c r="FB48">
        <f t="shared" si="1526"/>
        <v>-0.27317762448859639</v>
      </c>
      <c r="FC48">
        <f t="shared" si="1526"/>
        <v>-0.27313425901947141</v>
      </c>
      <c r="FD48">
        <f t="shared" si="1526"/>
        <v>-0.27303978409743479</v>
      </c>
      <c r="FE48">
        <f t="shared" si="1526"/>
        <v>-0.27289434965301496</v>
      </c>
      <c r="FF48">
        <f t="shared" si="1526"/>
        <v>-0.27269811301590607</v>
      </c>
      <c r="FG48">
        <f t="shared" si="1526"/>
        <v>-0.27245123875580646</v>
      </c>
      <c r="FH48">
        <f t="shared" ref="FH48:HS48" si="1527">$V$17*FH32+$W$17*FH33+$X$17*FH34</f>
        <v>-0.27215389852861449</v>
      </c>
      <c r="FI48">
        <f t="shared" si="1527"/>
        <v>-0.27180627092749887</v>
      </c>
      <c r="FJ48">
        <f t="shared" si="1527"/>
        <v>-0.2714085413388716</v>
      </c>
      <c r="FK48">
        <f t="shared" si="1527"/>
        <v>-0.27096090180273791</v>
      </c>
      <c r="FL48">
        <f t="shared" si="1527"/>
        <v>-0.2704635508776505</v>
      </c>
      <c r="FM48">
        <f t="shared" si="1527"/>
        <v>-0.26991669350984182</v>
      </c>
      <c r="FN48">
        <f t="shared" si="1527"/>
        <v>-0.26932054090625002</v>
      </c>
      <c r="FO48">
        <f t="shared" si="1527"/>
        <v>-0.26867531041166615</v>
      </c>
      <c r="FP48">
        <f t="shared" si="1527"/>
        <v>-0.26798122538950508</v>
      </c>
      <c r="FQ48">
        <f t="shared" si="1527"/>
        <v>-0.26723851510601548</v>
      </c>
      <c r="FR48">
        <f t="shared" si="1527"/>
        <v>-0.26644741461828403</v>
      </c>
      <c r="FS48">
        <f t="shared" si="1527"/>
        <v>-0.26560816466498238</v>
      </c>
      <c r="FT48">
        <f t="shared" si="1527"/>
        <v>-0.26472101156085159</v>
      </c>
      <c r="FU48">
        <f t="shared" si="1527"/>
        <v>-0.26378620709374445</v>
      </c>
      <c r="FV48">
        <f t="shared" si="1527"/>
        <v>-0.2628040084247516</v>
      </c>
      <c r="FW48">
        <f t="shared" si="1527"/>
        <v>-0.2617746779910135</v>
      </c>
      <c r="FX48">
        <f t="shared" si="1527"/>
        <v>-0.26069848341133195</v>
      </c>
      <c r="FY48">
        <f t="shared" si="1527"/>
        <v>-0.25957569739412634</v>
      </c>
      <c r="FZ48">
        <f t="shared" si="1527"/>
        <v>-0.25840659764776319</v>
      </c>
      <c r="GA48">
        <f t="shared" si="1527"/>
        <v>-0.25719146679359994</v>
      </c>
      <c r="GB48">
        <f t="shared" si="1527"/>
        <v>-0.2559305922805919</v>
      </c>
      <c r="GC48">
        <f t="shared" si="1527"/>
        <v>-0.25462426630265611</v>
      </c>
      <c r="GD48">
        <f t="shared" si="1527"/>
        <v>-0.25327278571765532</v>
      </c>
      <c r="GE48">
        <f t="shared" si="1527"/>
        <v>-0.25187645196837138</v>
      </c>
      <c r="GF48">
        <f t="shared" si="1527"/>
        <v>-0.25043557100541136</v>
      </c>
      <c r="GG48">
        <f t="shared" si="1527"/>
        <v>-0.24895045321187581</v>
      </c>
      <c r="GH48">
        <f t="shared" si="1527"/>
        <v>-0.24742141332954759</v>
      </c>
      <c r="GI48">
        <f t="shared" si="1527"/>
        <v>-0.24584877038681441</v>
      </c>
      <c r="GJ48">
        <f t="shared" si="1527"/>
        <v>-0.2442328476280835</v>
      </c>
      <c r="GK48">
        <f t="shared" si="1527"/>
        <v>-0.24257397244466006</v>
      </c>
      <c r="GL48">
        <f t="shared" si="1527"/>
        <v>-0.24087247630691877</v>
      </c>
      <c r="GM48">
        <f t="shared" si="1527"/>
        <v>-0.23912869469785392</v>
      </c>
      <c r="GN48">
        <f t="shared" si="1527"/>
        <v>-0.23734296704802205</v>
      </c>
      <c r="GO48">
        <f t="shared" si="1527"/>
        <v>-0.23551563667122366</v>
      </c>
      <c r="GP48">
        <f t="shared" si="1527"/>
        <v>-0.23364705070206071</v>
      </c>
      <c r="GQ48">
        <f t="shared" si="1527"/>
        <v>-0.23173756003367885</v>
      </c>
      <c r="GR48">
        <f t="shared" si="1527"/>
        <v>-0.22978751925728602</v>
      </c>
      <c r="GS48">
        <f t="shared" si="1527"/>
        <v>-0.22779728660215426</v>
      </c>
      <c r="GT48">
        <f t="shared" si="1527"/>
        <v>-0.22576722387685777</v>
      </c>
      <c r="GU48">
        <f t="shared" si="1527"/>
        <v>-0.22369769641112214</v>
      </c>
      <c r="GV48">
        <f t="shared" si="1527"/>
        <v>-0.22158907299863984</v>
      </c>
      <c r="GW48">
        <f t="shared" si="1527"/>
        <v>-0.21944172584066735</v>
      </c>
      <c r="GX48">
        <f t="shared" si="1527"/>
        <v>-0.21725603049036124</v>
      </c>
      <c r="GY48">
        <f t="shared" si="1527"/>
        <v>-0.21503236579771112</v>
      </c>
      <c r="GZ48">
        <f t="shared" si="1527"/>
        <v>-0.21277111385516889</v>
      </c>
      <c r="HA48">
        <f t="shared" si="1527"/>
        <v>-0.2104726599440454</v>
      </c>
      <c r="HB48">
        <f t="shared" si="1527"/>
        <v>-0.20813739248127661</v>
      </c>
      <c r="HC48">
        <f t="shared" si="1527"/>
        <v>-0.20576570296691443</v>
      </c>
      <c r="HD48">
        <f t="shared" si="1527"/>
        <v>-0.20335798593198717</v>
      </c>
      <c r="HE48">
        <f t="shared" si="1527"/>
        <v>-0.20091463888701355</v>
      </c>
      <c r="HF48">
        <f t="shared" si="1527"/>
        <v>-0.19843606227075838</v>
      </c>
      <c r="HG48">
        <f t="shared" si="1527"/>
        <v>-0.19592265939968456</v>
      </c>
      <c r="HH48">
        <f t="shared" si="1527"/>
        <v>-0.19337483641754716</v>
      </c>
      <c r="HI48">
        <f t="shared" si="1527"/>
        <v>-0.19079300224555595</v>
      </c>
      <c r="HJ48">
        <f t="shared" si="1527"/>
        <v>-0.18817756853276535</v>
      </c>
      <c r="HK48">
        <f t="shared" si="1527"/>
        <v>-0.18552894960684796</v>
      </c>
      <c r="HL48">
        <f t="shared" si="1527"/>
        <v>-0.18284756242518085</v>
      </c>
      <c r="HM48">
        <f t="shared" si="1527"/>
        <v>-0.18013382652621601</v>
      </c>
      <c r="HN48">
        <f t="shared" si="1527"/>
        <v>-0.17738816398102131</v>
      </c>
      <c r="HO48">
        <f t="shared" si="1527"/>
        <v>-0.17461099934520519</v>
      </c>
      <c r="HP48">
        <f t="shared" si="1527"/>
        <v>-0.17180275961101188</v>
      </c>
      <c r="HQ48">
        <f t="shared" si="1527"/>
        <v>-0.16896387415951608</v>
      </c>
      <c r="HR48">
        <f t="shared" si="1527"/>
        <v>-0.1660947747131587</v>
      </c>
      <c r="HS48">
        <f t="shared" si="1527"/>
        <v>-0.16319589528842471</v>
      </c>
      <c r="HT48">
        <f t="shared" ref="HT48:JI48" si="1528">$V$17*HT32+$W$17*HT33+$X$17*HT34</f>
        <v>-0.16026767214863469</v>
      </c>
      <c r="HU48">
        <f t="shared" si="1528"/>
        <v>-0.15731054375682163</v>
      </c>
      <c r="HV48">
        <f t="shared" si="1528"/>
        <v>-0.15432495072890617</v>
      </c>
      <c r="HW48">
        <f t="shared" si="1528"/>
        <v>-0.15131133578692868</v>
      </c>
      <c r="HX48">
        <f t="shared" si="1528"/>
        <v>-0.14827014371222447</v>
      </c>
      <c r="HY48">
        <f t="shared" si="1528"/>
        <v>-0.14520182129885484</v>
      </c>
      <c r="HZ48">
        <f t="shared" si="1528"/>
        <v>-0.14210681730720864</v>
      </c>
      <c r="IA48">
        <f t="shared" si="1528"/>
        <v>-0.13898558241740488</v>
      </c>
      <c r="IB48">
        <f t="shared" si="1528"/>
        <v>-0.13583856918299375</v>
      </c>
      <c r="IC48">
        <f t="shared" si="1528"/>
        <v>-0.13266623198460081</v>
      </c>
      <c r="ID48">
        <f t="shared" si="1528"/>
        <v>-0.12946902698364227</v>
      </c>
      <c r="IE48">
        <f t="shared" si="1528"/>
        <v>-0.12624741207611123</v>
      </c>
      <c r="IF48">
        <f t="shared" si="1528"/>
        <v>-0.12300184684625037</v>
      </c>
      <c r="IG48">
        <f t="shared" si="1528"/>
        <v>-0.11973279252046609</v>
      </c>
      <c r="IH48">
        <f t="shared" si="1528"/>
        <v>-0.11644071192115746</v>
      </c>
      <c r="II48">
        <f t="shared" si="1528"/>
        <v>-0.11312606942037462</v>
      </c>
      <c r="IJ48">
        <f t="shared" si="1528"/>
        <v>-0.10978933089388931</v>
      </c>
      <c r="IK48">
        <f t="shared" si="1528"/>
        <v>-0.10643096367482485</v>
      </c>
      <c r="IL48">
        <f t="shared" si="1528"/>
        <v>-0.10305143650765558</v>
      </c>
      <c r="IM48">
        <f t="shared" si="1528"/>
        <v>-9.9651219501907917E-2</v>
      </c>
      <c r="IN48">
        <f t="shared" si="1528"/>
        <v>-9.6230784085975074E-2</v>
      </c>
      <c r="IO48">
        <f t="shared" si="1528"/>
        <v>-9.2790602960945989E-2</v>
      </c>
      <c r="IP48">
        <f t="shared" si="1528"/>
        <v>-8.9331150054348996E-2</v>
      </c>
      <c r="IQ48">
        <f t="shared" si="1528"/>
        <v>-8.5852900473867066E-2</v>
      </c>
      <c r="IR48">
        <f t="shared" si="1528"/>
        <v>-8.2356330461109906E-2</v>
      </c>
      <c r="IS48">
        <f t="shared" si="1528"/>
        <v>-7.8841917345329193E-2</v>
      </c>
      <c r="IT48">
        <f t="shared" si="1528"/>
        <v>-7.5310139496963302E-2</v>
      </c>
      <c r="IU48">
        <f t="shared" si="1528"/>
        <v>-7.1761476281352543E-2</v>
      </c>
      <c r="IV48">
        <f t="shared" si="1528"/>
        <v>-6.8196408012354937E-2</v>
      </c>
      <c r="IW48">
        <f t="shared" si="1528"/>
        <v>-6.4615415905805662E-2</v>
      </c>
      <c r="IX48">
        <f t="shared" si="1528"/>
        <v>-6.101898203314704E-2</v>
      </c>
      <c r="IY48">
        <f t="shared" si="1528"/>
        <v>-5.7407589274902193E-2</v>
      </c>
      <c r="IZ48">
        <f t="shared" si="1528"/>
        <v>-5.3781721274106076E-2</v>
      </c>
      <c r="JA48">
        <f t="shared" si="1528"/>
        <v>-5.0141862389679659E-2</v>
      </c>
      <c r="JB48">
        <f t="shared" si="1528"/>
        <v>-4.6488497650003069E-2</v>
      </c>
      <c r="JC48">
        <f t="shared" si="1528"/>
        <v>-4.2822112706062399E-2</v>
      </c>
      <c r="JD48">
        <f t="shared" si="1528"/>
        <v>-3.9143193784838104E-2</v>
      </c>
      <c r="JE48">
        <f t="shared" si="1528"/>
        <v>-3.545222764267919E-2</v>
      </c>
      <c r="JF48">
        <f t="shared" si="1528"/>
        <v>-3.1749701518393181E-2</v>
      </c>
      <c r="JG48">
        <f t="shared" si="1528"/>
        <v>-2.8036103086662933E-2</v>
      </c>
      <c r="JH48">
        <f t="shared" si="1528"/>
        <v>-2.4311920411079768E-2</v>
      </c>
      <c r="JI48">
        <f t="shared" si="1528"/>
        <v>-2.0577641897403964E-2</v>
      </c>
      <c r="JJ48">
        <f t="shared" ref="JJ48:LU48" si="1529">$V$17*JJ32+$W$17*JJ33+$X$17*JJ34</f>
        <v>-1.6833756246612097E-2</v>
      </c>
      <c r="JK48">
        <f t="shared" si="1529"/>
        <v>-1.3080752408185958E-2</v>
      </c>
      <c r="JL48">
        <f t="shared" si="1529"/>
        <v>-9.3191195329893617E-3</v>
      </c>
      <c r="JM48">
        <f t="shared" si="1529"/>
        <v>-5.5493469264860096E-3</v>
      </c>
      <c r="JN48">
        <f t="shared" si="1529"/>
        <v>-1.7719240018152504E-3</v>
      </c>
      <c r="JO48">
        <f t="shared" si="1529"/>
        <v>2.0126597672742719E-3</v>
      </c>
      <c r="JP48">
        <f t="shared" si="1529"/>
        <v>5.8039148933062279E-3</v>
      </c>
      <c r="JQ48">
        <f t="shared" si="1529"/>
        <v>9.6013519221429533E-3</v>
      </c>
      <c r="JR48">
        <f t="shared" si="1529"/>
        <v>1.3404481479852848E-2</v>
      </c>
      <c r="JS48">
        <f t="shared" si="1529"/>
        <v>1.7212814319776726E-2</v>
      </c>
      <c r="JT48">
        <f t="shared" si="1529"/>
        <v>2.1025861369551535E-2</v>
      </c>
      <c r="JU48">
        <f t="shared" si="1529"/>
        <v>2.4843133778034598E-2</v>
      </c>
      <c r="JV48">
        <f t="shared" si="1529"/>
        <v>2.8664142962298911E-2</v>
      </c>
      <c r="JW48">
        <f t="shared" si="1529"/>
        <v>3.2488400654585803E-2</v>
      </c>
      <c r="JX48">
        <f t="shared" si="1529"/>
        <v>3.6315418949385503E-2</v>
      </c>
      <c r="JY48">
        <f t="shared" si="1529"/>
        <v>4.014471035020506E-2</v>
      </c>
      <c r="JZ48">
        <f t="shared" si="1529"/>
        <v>4.3975787816677325E-2</v>
      </c>
      <c r="KA48">
        <f t="shared" si="1529"/>
        <v>4.7808164811272036E-2</v>
      </c>
      <c r="KB48">
        <f t="shared" si="1529"/>
        <v>5.164135534634795E-2</v>
      </c>
      <c r="KC48">
        <f t="shared" si="1529"/>
        <v>5.5474874030934984E-2</v>
      </c>
      <c r="KD48">
        <f t="shared" si="1529"/>
        <v>5.9308236117416868E-2</v>
      </c>
      <c r="KE48">
        <f t="shared" si="1529"/>
        <v>6.3140957548569077E-2</v>
      </c>
      <c r="KF48">
        <f t="shared" si="1529"/>
        <v>6.6972555004014112E-2</v>
      </c>
      <c r="KG48">
        <f t="shared" si="1529"/>
        <v>7.0802545947131534E-2</v>
      </c>
      <c r="KH48">
        <f t="shared" si="1529"/>
        <v>7.4630448671427985E-2</v>
      </c>
      <c r="KI48">
        <f t="shared" si="1529"/>
        <v>7.8455782347447212E-2</v>
      </c>
      <c r="KJ48">
        <f t="shared" si="1529"/>
        <v>8.2278067068941141E-2</v>
      </c>
      <c r="KK48">
        <f t="shared" si="1529"/>
        <v>8.6096823899580954E-2</v>
      </c>
      <c r="KL48">
        <f t="shared" si="1529"/>
        <v>8.9911574919185E-2</v>
      </c>
      <c r="KM48">
        <f t="shared" si="1529"/>
        <v>9.3721843270074601E-2</v>
      </c>
      <c r="KN48">
        <f t="shared" si="1529"/>
        <v>9.7527153203344596E-2</v>
      </c>
      <c r="KO48">
        <f t="shared" si="1529"/>
        <v>0.10132703012496336</v>
      </c>
      <c r="KP48">
        <f t="shared" si="1529"/>
        <v>0.10512100064180174</v>
      </c>
      <c r="KQ48">
        <f t="shared" si="1529"/>
        <v>0.1089085926077189</v>
      </c>
      <c r="KR48">
        <f t="shared" si="1529"/>
        <v>0.11268933516930701</v>
      </c>
      <c r="KS48">
        <f t="shared" si="1529"/>
        <v>0.11646275881179236</v>
      </c>
      <c r="KT48">
        <f t="shared" si="1529"/>
        <v>0.12022839540463792</v>
      </c>
      <c r="KU48">
        <f t="shared" si="1529"/>
        <v>0.12398577824710344</v>
      </c>
      <c r="KV48">
        <f t="shared" si="1529"/>
        <v>0.12773444211367746</v>
      </c>
      <c r="KW48">
        <f t="shared" si="1529"/>
        <v>0.13147392329940999</v>
      </c>
      <c r="KX48">
        <f t="shared" si="1529"/>
        <v>0.13520372222519939</v>
      </c>
      <c r="KY48">
        <f t="shared" si="1529"/>
        <v>0.13892320970873584</v>
      </c>
      <c r="KZ48">
        <f t="shared" si="1529"/>
        <v>0.14263148892459299</v>
      </c>
      <c r="LA48">
        <f t="shared" si="1529"/>
        <v>0.14632724256759388</v>
      </c>
      <c r="LB48">
        <f t="shared" si="1529"/>
        <v>0.15000859614904982</v>
      </c>
      <c r="LC48">
        <f t="shared" si="1529"/>
        <v>0.15367302004834471</v>
      </c>
      <c r="LD48">
        <f t="shared" si="1529"/>
        <v>0.15731728161719616</v>
      </c>
      <c r="LE48">
        <f t="shared" si="1529"/>
        <v>0.16093744852568648</v>
      </c>
      <c r="LF48">
        <f t="shared" si="1529"/>
        <v>0.16452893743135633</v>
      </c>
      <c r="LG48">
        <f t="shared" si="1529"/>
        <v>0.1680865981285109</v>
      </c>
      <c r="LH48">
        <f t="shared" si="1529"/>
        <v>0.17160482200951321</v>
      </c>
      <c r="LI48">
        <f t="shared" si="1529"/>
        <v>0.1750776641207068</v>
      </c>
      <c r="LJ48">
        <f t="shared" si="1529"/>
        <v>0.1784989695739938</v>
      </c>
      <c r="LK48">
        <f t="shared" si="1529"/>
        <v>0.18186249699809309</v>
      </c>
      <c r="LL48">
        <f t="shared" si="1529"/>
        <v>0.18516203369161133</v>
      </c>
      <c r="LM48">
        <f t="shared" si="1529"/>
        <v>0.18839149894330376</v>
      </c>
      <c r="LN48">
        <f t="shared" si="1529"/>
        <v>0.19154503350117125</v>
      </c>
      <c r="LO48">
        <f t="shared" si="1529"/>
        <v>0.19461707436957454</v>
      </c>
      <c r="LP48">
        <f t="shared" si="1529"/>
        <v>0.19760241500479481</v>
      </c>
      <c r="LQ48">
        <f t="shared" si="1529"/>
        <v>0.20049625160287121</v>
      </c>
      <c r="LR48">
        <f t="shared" si="1529"/>
        <v>0.20329421657763191</v>
      </c>
      <c r="LS48">
        <f t="shared" si="1529"/>
        <v>0.20599240055686607</v>
      </c>
      <c r="LT48">
        <f t="shared" si="1529"/>
        <v>0.20858736432708724</v>
      </c>
      <c r="LU48">
        <f t="shared" si="1529"/>
        <v>0.21107614216549564</v>
      </c>
      <c r="LV48">
        <f t="shared" ref="LV48:OG48" si="1530">$V$17*LV32+$W$17*LV33+$X$17*LV34</f>
        <v>0.21345623794388757</v>
      </c>
      <c r="LW48">
        <f t="shared" si="1530"/>
        <v>0.21572561529487189</v>
      </c>
      <c r="LX48">
        <f t="shared" si="1530"/>
        <v>0.2178826830134426</v>
      </c>
      <c r="LY48">
        <f t="shared" si="1530"/>
        <v>0.21992627673940035</v>
      </c>
      <c r="LZ48">
        <f t="shared" si="1530"/>
        <v>0.22185563783709483</v>
      </c>
      <c r="MA48">
        <f t="shared" si="1530"/>
        <v>0.2236703902635071</v>
      </c>
      <c r="MB48">
        <f t="shared" si="1530"/>
        <v>0.22537051609913306</v>
      </c>
      <c r="MC48">
        <f t="shared" si="1530"/>
        <v>0.22695633030797069</v>
      </c>
      <c r="MD48">
        <f t="shared" si="1530"/>
        <v>0.22842845519704724</v>
      </c>
      <c r="ME48">
        <f t="shared" si="1530"/>
        <v>0.22978779496041568</v>
      </c>
      <c r="MF48">
        <f t="shared" si="1530"/>
        <v>0.23103551061709027</v>
      </c>
      <c r="MG48">
        <f t="shared" si="1530"/>
        <v>0.23217299558854165</v>
      </c>
      <c r="MH48">
        <f t="shared" si="1530"/>
        <v>0.23320185210528166</v>
      </c>
      <c r="MI48">
        <f t="shared" si="1530"/>
        <v>0.23412386858454681</v>
      </c>
      <c r="MJ48">
        <f t="shared" si="1530"/>
        <v>0.23494099808232249</v>
      </c>
      <c r="MK48">
        <f t="shared" si="1530"/>
        <v>0.23565533788840298</v>
      </c>
      <c r="ML48">
        <f t="shared" si="1530"/>
        <v>0.23626911030682152</v>
      </c>
      <c r="MM48">
        <f t="shared" si="1530"/>
        <v>0.23678464464026661</v>
      </c>
      <c r="MN48">
        <f t="shared" si="1530"/>
        <v>0.23720436037997672</v>
      </c>
      <c r="MO48">
        <f t="shared" si="1530"/>
        <v>0.23753075158660408</v>
      </c>
      <c r="MP48">
        <f t="shared" si="1530"/>
        <v>0.23776637243697962</v>
      </c>
      <c r="MQ48">
        <f t="shared" si="1530"/>
        <v>0.23791382390220406</v>
      </c>
      <c r="MR48">
        <f t="shared" si="1530"/>
        <v>0.23797574151579681</v>
      </c>
      <c r="MS48">
        <f t="shared" si="1530"/>
        <v>0.23795478418557536</v>
      </c>
      <c r="MT48">
        <f t="shared" si="1530"/>
        <v>0.2378536240001381</v>
      </c>
      <c r="MU48">
        <f t="shared" si="1530"/>
        <v>0.23767493697741315</v>
      </c>
      <c r="MV48">
        <f t="shared" si="1530"/>
        <v>0.23742139470292045</v>
      </c>
      <c r="MW48">
        <f t="shared" si="1530"/>
        <v>0.23709565680455569</v>
      </c>
      <c r="MX48">
        <f t="shared" si="1530"/>
        <v>0.23670036421070506</v>
      </c>
      <c r="MY48">
        <f t="shared" si="1530"/>
        <v>0.23623813314021902</v>
      </c>
      <c r="MZ48">
        <f t="shared" si="1530"/>
        <v>0.23571154977332753</v>
      </c>
      <c r="NA48">
        <f t="shared" si="1530"/>
        <v>0.23512316555500945</v>
      </c>
      <c r="NB48">
        <f t="shared" si="1530"/>
        <v>0.23447549308329485</v>
      </c>
      <c r="NC48">
        <f t="shared" si="1530"/>
        <v>0.23377100253794936</v>
      </c>
      <c r="ND48">
        <f t="shared" si="1530"/>
        <v>0.23301211860660942</v>
      </c>
      <c r="NE48">
        <f t="shared" si="1530"/>
        <v>0.23220121786754078</v>
      </c>
      <c r="NF48">
        <f t="shared" si="1530"/>
        <v>0.23134062659120502</v>
      </c>
      <c r="NG48">
        <f t="shared" si="1530"/>
        <v>0.23043261892397027</v>
      </c>
      <c r="NH48">
        <f t="shared" si="1530"/>
        <v>0.22947941542052774</v>
      </c>
      <c r="NI48">
        <f t="shared" si="1530"/>
        <v>0.22848318189312522</v>
      </c>
      <c r="NJ48">
        <f t="shared" si="1530"/>
        <v>0.22744602854797336</v>
      </c>
      <c r="NK48">
        <f t="shared" si="1530"/>
        <v>0.22637000938156859</v>
      </c>
      <c r="NL48">
        <f t="shared" si="1530"/>
        <v>0.22525712181081303</v>
      </c>
      <c r="NM48">
        <f t="shared" si="1530"/>
        <v>0.22410930651376759</v>
      </c>
      <c r="NN48">
        <f t="shared" si="1530"/>
        <v>0.22292844745858531</v>
      </c>
      <c r="NO48">
        <f t="shared" si="1530"/>
        <v>0.22171637210065853</v>
      </c>
      <c r="NP48">
        <f t="shared" si="1530"/>
        <v>0.22047485172909376</v>
      </c>
      <c r="NQ48">
        <f t="shared" si="1530"/>
        <v>0.2192056019454327</v>
      </c>
      <c r="NR48">
        <f t="shared" si="1530"/>
        <v>0.21791028325863238</v>
      </c>
      <c r="NS48">
        <f t="shared" si="1530"/>
        <v>0.2165905017821359</v>
      </c>
      <c r="NT48">
        <f t="shared" si="1530"/>
        <v>0.21524781001934912</v>
      </c>
      <c r="NU48">
        <f t="shared" si="1530"/>
        <v>0.21388370772586995</v>
      </c>
      <c r="NV48">
        <f t="shared" si="1530"/>
        <v>0.21249964283713041</v>
      </c>
      <c r="NW48">
        <f t="shared" si="1530"/>
        <v>0.21109701245143242</v>
      </c>
      <c r="NX48">
        <f t="shared" si="1530"/>
        <v>0.20967716385936797</v>
      </c>
      <c r="NY48">
        <f t="shared" si="1530"/>
        <v>0.20824139561139532</v>
      </c>
      <c r="NZ48">
        <f t="shared" si="1530"/>
        <v>0.20679095861571284</v>
      </c>
      <c r="OA48">
        <f t="shared" si="1530"/>
        <v>0.20532705726024858</v>
      </c>
      <c r="OB48">
        <f t="shared" si="1530"/>
        <v>0.20385085055227137</v>
      </c>
      <c r="OC48">
        <f t="shared" si="1530"/>
        <v>0.20236345327026584</v>
      </c>
      <c r="OD48">
        <f t="shared" si="1530"/>
        <v>0.20086593712312606</v>
      </c>
      <c r="OE48">
        <f t="shared" si="1530"/>
        <v>0.19935933191266031</v>
      </c>
      <c r="OF48">
        <f t="shared" si="1530"/>
        <v>0.19784462669473157</v>
      </c>
      <c r="OG48">
        <f t="shared" si="1530"/>
        <v>0.19632277093654693</v>
      </c>
      <c r="OH48">
        <f t="shared" ref="OH48:QS48" si="1531">$V$17*OH32+$W$17*OH33+$X$17*OH34</f>
        <v>0.19479467566630149</v>
      </c>
      <c r="OI48">
        <f t="shared" si="1531"/>
        <v>0.19326121461277523</v>
      </c>
      <c r="OJ48">
        <f t="shared" si="1531"/>
        <v>0.19172322533253805</v>
      </c>
      <c r="OK48">
        <f t="shared" si="1531"/>
        <v>0.19018151032267383</v>
      </c>
      <c r="OL48">
        <f t="shared" si="1531"/>
        <v>0.18863683811726162</v>
      </c>
      <c r="OM48">
        <f t="shared" si="1531"/>
        <v>0.18708994436610737</v>
      </c>
      <c r="ON48">
        <f t="shared" si="1531"/>
        <v>0.18554153289427688</v>
      </c>
      <c r="OO48">
        <f t="shared" si="1531"/>
        <v>0.18399227674174767</v>
      </c>
      <c r="OP48">
        <f t="shared" si="1531"/>
        <v>0.18244281918168781</v>
      </c>
      <c r="OQ48">
        <f t="shared" si="1531"/>
        <v>0.18089377471724788</v>
      </c>
      <c r="OR48">
        <f t="shared" si="1531"/>
        <v>0.17934573005558718</v>
      </c>
      <c r="OS48">
        <f t="shared" si="1531"/>
        <v>0.17779924505968836</v>
      </c>
      <c r="OT48">
        <f t="shared" si="1531"/>
        <v>0.17625485367638305</v>
      </c>
      <c r="OU48">
        <f t="shared" si="1531"/>
        <v>0.17471306484139859</v>
      </c>
      <c r="OV48">
        <f t="shared" si="1531"/>
        <v>0.17317436336091419</v>
      </c>
      <c r="OW48">
        <f t="shared" si="1531"/>
        <v>0.17163921076932809</v>
      </c>
      <c r="OX48">
        <f t="shared" si="1531"/>
        <v>0.17010804616394637</v>
      </c>
      <c r="OY48">
        <f t="shared" si="1531"/>
        <v>0.16858128701605324</v>
      </c>
      <c r="OZ48">
        <f t="shared" si="1531"/>
        <v>0.16705932995884609</v>
      </c>
      <c r="PA48">
        <f t="shared" si="1531"/>
        <v>0.16554255155242004</v>
      </c>
      <c r="PB48">
        <f t="shared" si="1531"/>
        <v>0.16403130902614294</v>
      </c>
      <c r="PC48">
        <f t="shared" si="1531"/>
        <v>0.16252594099842099</v>
      </c>
      <c r="PD48">
        <f t="shared" si="1531"/>
        <v>0.16102676817470751</v>
      </c>
      <c r="PE48">
        <f t="shared" si="1531"/>
        <v>0.15953409402364116</v>
      </c>
      <c r="PF48">
        <f t="shared" si="1531"/>
        <v>0.15804820543186793</v>
      </c>
      <c r="PG48">
        <f t="shared" si="1531"/>
        <v>0.15656937333824317</v>
      </c>
      <c r="PH48">
        <f t="shared" si="1531"/>
        <v>0.15509785334737103</v>
      </c>
      <c r="PI48">
        <f t="shared" si="1531"/>
        <v>0.15363388632313502</v>
      </c>
      <c r="PJ48">
        <f t="shared" si="1531"/>
        <v>0.15217769896293021</v>
      </c>
      <c r="PK48">
        <f t="shared" si="1531"/>
        <v>0.15072950435261134</v>
      </c>
      <c r="PL48">
        <f t="shared" si="1531"/>
        <v>0.14928950250303785</v>
      </c>
      <c r="PM48">
        <f t="shared" si="1531"/>
        <v>0.14785788086818741</v>
      </c>
      <c r="PN48">
        <f t="shared" si="1531"/>
        <v>0.14643481484580434</v>
      </c>
      <c r="PO48">
        <f t="shared" si="1531"/>
        <v>0.1450204682611087</v>
      </c>
      <c r="PP48">
        <f t="shared" si="1531"/>
        <v>0.14361499383322496</v>
      </c>
      <c r="PQ48">
        <f t="shared" si="1531"/>
        <v>0.14221853362592185</v>
      </c>
      <c r="PR48">
        <f t="shared" si="1531"/>
        <v>0.14083121948226562</v>
      </c>
      <c r="PS48">
        <f t="shared" si="1531"/>
        <v>0.13945317344398234</v>
      </c>
      <c r="PT48">
        <f t="shared" si="1531"/>
        <v>0.13808450815614037</v>
      </c>
      <c r="PU48">
        <f t="shared" si="1531"/>
        <v>0.13672532725719577</v>
      </c>
      <c r="PV48">
        <f t="shared" si="1531"/>
        <v>0.13537572575515355</v>
      </c>
      <c r="PW48">
        <f t="shared" si="1531"/>
        <v>0.1340357903903282</v>
      </c>
      <c r="PX48">
        <f t="shared" si="1531"/>
        <v>0.13270559998464648</v>
      </c>
      <c r="PY48">
        <f t="shared" si="1531"/>
        <v>0.13138522577861522</v>
      </c>
      <c r="PZ48">
        <f t="shared" si="1531"/>
        <v>0.13007473175576933</v>
      </c>
      <c r="QA48">
        <f t="shared" si="1531"/>
        <v>0.12877417495525378</v>
      </c>
      <c r="QB48">
        <f t="shared" si="1531"/>
        <v>0.12748360577293738</v>
      </c>
      <c r="QC48">
        <f t="shared" si="1531"/>
        <v>0.12620306825151317</v>
      </c>
      <c r="QD48">
        <f t="shared" si="1531"/>
        <v>0.12493260035935805</v>
      </c>
      <c r="QE48">
        <f t="shared" si="1531"/>
        <v>0.12367223425972895</v>
      </c>
      <c r="QF48">
        <f t="shared" si="1531"/>
        <v>0.12242199656930097</v>
      </c>
      <c r="QG48">
        <f t="shared" si="1531"/>
        <v>0.12118190860711309</v>
      </c>
      <c r="QH48">
        <f t="shared" si="1531"/>
        <v>0.11995198663451845</v>
      </c>
      <c r="QI48">
        <f t="shared" si="1531"/>
        <v>0.11873224208551392</v>
      </c>
      <c r="QJ48">
        <f t="shared" si="1531"/>
        <v>0.11752268178864256</v>
      </c>
      <c r="QK48">
        <f t="shared" si="1531"/>
        <v>0.11632330818055436</v>
      </c>
      <c r="QL48">
        <f t="shared" si="1531"/>
        <v>0.11513411951105468</v>
      </c>
      <c r="QM48">
        <f t="shared" si="1531"/>
        <v>0.11395511004057823</v>
      </c>
      <c r="QN48">
        <f t="shared" si="1531"/>
        <v>0.1127862702300888</v>
      </c>
      <c r="QO48">
        <f t="shared" si="1531"/>
        <v>0.11162758692340446</v>
      </c>
      <c r="QP48">
        <f t="shared" si="1531"/>
        <v>0.11047904352280113</v>
      </c>
      <c r="QQ48">
        <f t="shared" si="1531"/>
        <v>0.10934062015748225</v>
      </c>
      <c r="QR48">
        <f t="shared" si="1531"/>
        <v>0.10821229384569619</v>
      </c>
      <c r="QS48">
        <f t="shared" si="1531"/>
        <v>0.10709403865055833</v>
      </c>
      <c r="QT48">
        <f t="shared" ref="QT48:TE48" si="1532">$V$17*QT32+$W$17*QT33+$X$17*QT34</f>
        <v>0.1059858258295634</v>
      </c>
      <c r="QU48">
        <f t="shared" si="1532"/>
        <v>0.10488762397831408</v>
      </c>
      <c r="QV48">
        <f t="shared" si="1532"/>
        <v>0.10379939916873582</v>
      </c>
      <c r="QW48">
        <f t="shared" si="1532"/>
        <v>0.10272111508159298</v>
      </c>
      <c r="QX48">
        <f t="shared" si="1532"/>
        <v>0.10165273313393186</v>
      </c>
      <c r="QY48">
        <f t="shared" si="1532"/>
        <v>0.10059421260125134</v>
      </c>
      <c r="QZ48">
        <f t="shared" si="1532"/>
        <v>9.9545510735069342E-2</v>
      </c>
      <c r="RA48">
        <f t="shared" si="1532"/>
        <v>9.8506582875430126E-2</v>
      </c>
      <c r="RB48">
        <f t="shared" si="1532"/>
        <v>9.7477382559276293E-2</v>
      </c>
      <c r="RC48">
        <f t="shared" si="1532"/>
        <v>9.645786162414538E-2</v>
      </c>
      <c r="RD48">
        <f t="shared" si="1532"/>
        <v>9.5447970307688479E-2</v>
      </c>
      <c r="RE48">
        <f t="shared" si="1532"/>
        <v>9.4447657343437186E-2</v>
      </c>
      <c r="RF48">
        <f t="shared" si="1532"/>
        <v>9.3456870052250451E-2</v>
      </c>
      <c r="RG48">
        <f t="shared" si="1532"/>
        <v>9.2475554430393458E-2</v>
      </c>
      <c r="RH48">
        <f t="shared" si="1532"/>
        <v>9.1503655233722725E-2</v>
      </c>
      <c r="RI48">
        <f t="shared" si="1532"/>
        <v>9.0541116058517446E-2</v>
      </c>
      <c r="RJ48">
        <f t="shared" si="1532"/>
        <v>8.9587879419013916E-2</v>
      </c>
      <c r="RK48">
        <f t="shared" si="1532"/>
        <v>8.864388682154356E-2</v>
      </c>
      <c r="RL48">
        <f t="shared" si="1532"/>
        <v>8.7709078835828791E-2</v>
      </c>
      <c r="RM48">
        <f t="shared" si="1532"/>
        <v>8.6783395163010368E-2</v>
      </c>
      <c r="RN48">
        <f t="shared" si="1532"/>
        <v>8.5866774701074178E-2</v>
      </c>
      <c r="RO48">
        <f t="shared" si="1532"/>
        <v>8.4959155607265302E-2</v>
      </c>
      <c r="RP48">
        <f t="shared" si="1532"/>
        <v>8.4060475358057829E-2</v>
      </c>
      <c r="RQ48">
        <f t="shared" si="1532"/>
        <v>8.3170670806410385E-2</v>
      </c>
      <c r="RR48">
        <f t="shared" si="1532"/>
        <v>8.2289678236705299E-2</v>
      </c>
      <c r="RS48">
        <f t="shared" si="1532"/>
        <v>8.1417433417172447E-2</v>
      </c>
      <c r="RT48">
        <f t="shared" si="1532"/>
        <v>8.0553871650153042E-2</v>
      </c>
      <c r="RU48">
        <f t="shared" si="1532"/>
        <v>7.9698927820146537E-2</v>
      </c>
      <c r="RV48">
        <f t="shared" si="1532"/>
        <v>7.8852536439669052E-2</v>
      </c>
      <c r="RW48">
        <f t="shared" si="1532"/>
        <v>7.8014631693292813E-2</v>
      </c>
      <c r="RX48">
        <f t="shared" si="1532"/>
        <v>7.7185147479426064E-2</v>
      </c>
      <c r="RY48">
        <f t="shared" si="1532"/>
        <v>7.6364017450501365E-2</v>
      </c>
      <c r="RZ48">
        <f t="shared" si="1532"/>
        <v>7.5551175051401742E-2</v>
      </c>
      <c r="SA48">
        <f t="shared" si="1532"/>
        <v>7.474655355571258E-2</v>
      </c>
      <c r="SB48">
        <f t="shared" si="1532"/>
        <v>7.3950086100921908E-2</v>
      </c>
      <c r="SC48">
        <f t="shared" si="1532"/>
        <v>7.3161705721517478E-2</v>
      </c>
      <c r="SD48">
        <f t="shared" si="1532"/>
        <v>7.2381345380861717E-2</v>
      </c>
      <c r="SE48">
        <f t="shared" si="1532"/>
        <v>7.1608938001432421E-2</v>
      </c>
      <c r="SF48">
        <f t="shared" si="1532"/>
        <v>7.0844416493741846E-2</v>
      </c>
      <c r="SG48">
        <f t="shared" si="1532"/>
        <v>7.0087713783763661E-2</v>
      </c>
      <c r="SH48">
        <f t="shared" si="1532"/>
        <v>6.9338762839194601E-2</v>
      </c>
      <c r="SI48">
        <f t="shared" si="1532"/>
        <v>6.8597496694394522E-2</v>
      </c>
      <c r="SJ48">
        <f t="shared" si="1532"/>
        <v>6.7863848474118527E-2</v>
      </c>
      <c r="SK48">
        <f t="shared" si="1532"/>
        <v>6.7137751415998537E-2</v>
      </c>
      <c r="SL48">
        <f t="shared" si="1532"/>
        <v>6.6419138892172214E-2</v>
      </c>
      <c r="SM48">
        <f t="shared" si="1532"/>
        <v>6.5707944429519216E-2</v>
      </c>
      <c r="SN48">
        <f t="shared" si="1532"/>
        <v>6.5004101729073227E-2</v>
      </c>
      <c r="SO48">
        <f t="shared" si="1532"/>
        <v>6.4307544684368168E-2</v>
      </c>
      <c r="SP48">
        <f t="shared" si="1532"/>
        <v>6.3618207398874915E-2</v>
      </c>
      <c r="SQ48">
        <f t="shared" si="1532"/>
        <v>6.2936024202585372E-2</v>
      </c>
      <c r="SR48">
        <f t="shared" si="1532"/>
        <v>6.2260929667473874E-2</v>
      </c>
      <c r="SS48">
        <f t="shared" si="1532"/>
        <v>6.1592858622461222E-2</v>
      </c>
      <c r="ST48">
        <f t="shared" si="1532"/>
        <v>6.0931746167312895E-2</v>
      </c>
      <c r="SU48">
        <f t="shared" si="1532"/>
        <v>6.0277527685911991E-2</v>
      </c>
      <c r="SV48">
        <f t="shared" si="1532"/>
        <v>5.9630138858679516E-2</v>
      </c>
      <c r="SW48">
        <f t="shared" si="1532"/>
        <v>5.898951567444044E-2</v>
      </c>
      <c r="SX48">
        <f t="shared" si="1532"/>
        <v>5.8355594441422909E-2</v>
      </c>
      <c r="SY48">
        <f t="shared" si="1532"/>
        <v>5.7728311797660581E-2</v>
      </c>
      <c r="SZ48">
        <f t="shared" si="1532"/>
        <v>5.710760472092602E-2</v>
      </c>
      <c r="TA48">
        <f t="shared" si="1532"/>
        <v>5.649341053783985E-2</v>
      </c>
      <c r="TB48">
        <f t="shared" si="1532"/>
        <v>5.5885666932510958E-2</v>
      </c>
      <c r="TC48">
        <f t="shared" si="1532"/>
        <v>5.5284311954565624E-2</v>
      </c>
      <c r="TD48">
        <f t="shared" si="1532"/>
        <v>5.4689284026878227E-2</v>
      </c>
      <c r="TE48">
        <f t="shared" si="1532"/>
        <v>5.4100521952364033E-2</v>
      </c>
      <c r="TF48">
        <f t="shared" ref="TF48:VQ48" si="1533">$V$17*TF32+$W$17*TF33+$X$17*TF34</f>
        <v>5.3517964920615668E-2</v>
      </c>
      <c r="TG48">
        <f t="shared" si="1533"/>
        <v>5.2941552514070622E-2</v>
      </c>
      <c r="TH48">
        <f t="shared" si="1533"/>
        <v>5.2371224713553488E-2</v>
      </c>
      <c r="TI48">
        <f t="shared" si="1533"/>
        <v>5.1806921903548186E-2</v>
      </c>
      <c r="TJ48">
        <f t="shared" si="1533"/>
        <v>5.124858487691597E-2</v>
      </c>
      <c r="TK48">
        <f t="shared" si="1533"/>
        <v>5.0696154839400265E-2</v>
      </c>
      <c r="TL48">
        <f t="shared" si="1533"/>
        <v>5.0149573413534654E-2</v>
      </c>
      <c r="TM48">
        <f t="shared" si="1533"/>
        <v>4.960878264247981E-2</v>
      </c>
      <c r="TN48">
        <f t="shared" si="1533"/>
        <v>4.9073724993220935E-2</v>
      </c>
      <c r="TO48">
        <f t="shared" si="1533"/>
        <v>4.8544343359608888E-2</v>
      </c>
      <c r="TP48">
        <f t="shared" si="1533"/>
        <v>4.8020581065117085E-2</v>
      </c>
      <c r="TQ48">
        <f t="shared" si="1533"/>
        <v>4.7502381865086818E-2</v>
      </c>
      <c r="TR48">
        <f t="shared" si="1533"/>
        <v>4.6989689948929936E-2</v>
      </c>
      <c r="TS48">
        <f t="shared" si="1533"/>
        <v>4.6482449941976256E-2</v>
      </c>
      <c r="TT48">
        <f t="shared" si="1533"/>
        <v>4.5980606906965704E-2</v>
      </c>
      <c r="TU48">
        <f t="shared" si="1533"/>
        <v>4.5484106345384134E-2</v>
      </c>
      <c r="TV48">
        <f t="shared" si="1533"/>
        <v>4.4992894198571776E-2</v>
      </c>
      <c r="TW48">
        <f t="shared" si="1533"/>
        <v>4.450691684851904E-2</v>
      </c>
      <c r="TX48">
        <f t="shared" si="1533"/>
        <v>4.4026121118605488E-2</v>
      </c>
      <c r="TY48">
        <f t="shared" si="1533"/>
        <v>4.3550454273855621E-2</v>
      </c>
      <c r="TZ48">
        <f t="shared" si="1533"/>
        <v>4.3079864021308367E-2</v>
      </c>
      <c r="UA48">
        <f t="shared" si="1533"/>
        <v>4.2614298509960236E-2</v>
      </c>
      <c r="UB48">
        <f t="shared" si="1533"/>
        <v>4.2153706330736895E-2</v>
      </c>
      <c r="UC48">
        <f t="shared" si="1533"/>
        <v>4.1698036516024217E-2</v>
      </c>
      <c r="UD48">
        <f t="shared" si="1533"/>
        <v>4.1247238539341424E-2</v>
      </c>
      <c r="UE48">
        <f t="shared" si="1533"/>
        <v>4.0801262314644759E-2</v>
      </c>
      <c r="UF48">
        <f t="shared" si="1533"/>
        <v>4.0360058195474835E-2</v>
      </c>
      <c r="UG48">
        <f t="shared" si="1533"/>
        <v>3.9923576974231878E-2</v>
      </c>
      <c r="UH48">
        <f t="shared" si="1533"/>
        <v>3.9491769880910965E-2</v>
      </c>
      <c r="UI48">
        <f t="shared" si="1533"/>
        <v>3.9064588582107262E-2</v>
      </c>
      <c r="UJ48">
        <f t="shared" si="1533"/>
        <v>3.8641985179609151E-2</v>
      </c>
      <c r="UK48">
        <f t="shared" si="1533"/>
        <v>3.8223912208948718E-2</v>
      </c>
      <c r="UL48">
        <f t="shared" si="1533"/>
        <v>3.7810322638136995E-2</v>
      </c>
      <c r="UM48">
        <f t="shared" si="1533"/>
        <v>3.7401169865674433E-2</v>
      </c>
      <c r="UN48">
        <f t="shared" si="1533"/>
        <v>3.6996407719158242E-2</v>
      </c>
      <c r="UO48">
        <f t="shared" si="1533"/>
        <v>3.659599045327866E-2</v>
      </c>
      <c r="UP48">
        <f t="shared" si="1533"/>
        <v>3.6199872748028383E-2</v>
      </c>
      <c r="UQ48">
        <f t="shared" si="1533"/>
        <v>3.5808009706684629E-2</v>
      </c>
      <c r="UR48">
        <f t="shared" si="1533"/>
        <v>3.5420356853748558E-2</v>
      </c>
      <c r="US48">
        <f t="shared" si="1533"/>
        <v>3.5036870132913123E-2</v>
      </c>
      <c r="UT48">
        <f t="shared" si="1533"/>
        <v>3.465750590476091E-2</v>
      </c>
      <c r="UU48">
        <f t="shared" si="1533"/>
        <v>3.428222094457567E-2</v>
      </c>
      <c r="UV48">
        <f t="shared" si="1533"/>
        <v>3.3910972439997522E-2</v>
      </c>
      <c r="UW48">
        <f t="shared" si="1533"/>
        <v>3.3543717988678168E-2</v>
      </c>
      <c r="UX48">
        <f t="shared" si="1533"/>
        <v>3.3180415595879253E-2</v>
      </c>
      <c r="UY48">
        <f t="shared" si="1533"/>
        <v>3.2821023671942839E-2</v>
      </c>
      <c r="UZ48">
        <f t="shared" si="1533"/>
        <v>3.2465501029818711E-2</v>
      </c>
      <c r="VA48">
        <f t="shared" si="1533"/>
        <v>3.2113806882549056E-2</v>
      </c>
      <c r="VB48">
        <f t="shared" si="1533"/>
        <v>3.1765900840554195E-2</v>
      </c>
      <c r="VC48">
        <f t="shared" si="1533"/>
        <v>3.1421742909060413E-2</v>
      </c>
      <c r="VD48">
        <f t="shared" si="1533"/>
        <v>3.1081293485513584E-2</v>
      </c>
      <c r="VE48">
        <f t="shared" si="1533"/>
        <v>3.0744513356737002E-2</v>
      </c>
      <c r="VF48">
        <f t="shared" si="1533"/>
        <v>3.0411363696302374E-2</v>
      </c>
      <c r="VG48">
        <f t="shared" si="1533"/>
        <v>3.0081806061730276E-2</v>
      </c>
      <c r="VH48">
        <f t="shared" si="1533"/>
        <v>2.9755802391761677E-2</v>
      </c>
      <c r="VI48">
        <f t="shared" si="1533"/>
        <v>2.9433315003501548E-2</v>
      </c>
      <c r="VJ48">
        <f t="shared" si="1533"/>
        <v>2.9114306589661965E-2</v>
      </c>
      <c r="VK48">
        <f t="shared" si="1533"/>
        <v>2.8798740215648877E-2</v>
      </c>
      <c r="VL48">
        <f t="shared" si="1533"/>
        <v>2.8486579316819416E-2</v>
      </c>
      <c r="VM48">
        <f t="shared" si="1533"/>
        <v>2.8177787695483403E-2</v>
      </c>
      <c r="VN48">
        <f t="shared" si="1533"/>
        <v>2.7872329518217498E-2</v>
      </c>
      <c r="VO48">
        <f t="shared" si="1533"/>
        <v>2.7570169312738813E-2</v>
      </c>
      <c r="VP48">
        <f t="shared" si="1533"/>
        <v>2.7271271965247479E-2</v>
      </c>
      <c r="VQ48">
        <f t="shared" si="1533"/>
        <v>2.6975602717357106E-2</v>
      </c>
      <c r="VR48">
        <f t="shared" ref="VR48:YC48" si="1534">$V$17*VR32+$W$17*VR33+$X$17*VR34</f>
        <v>2.668312716330945E-2</v>
      </c>
      <c r="VS48">
        <f t="shared" si="1534"/>
        <v>2.6393811246961718E-2</v>
      </c>
      <c r="VT48">
        <f t="shared" si="1534"/>
        <v>2.610762125891597E-2</v>
      </c>
      <c r="VU48">
        <f t="shared" si="1534"/>
        <v>2.5824523833676949E-2</v>
      </c>
      <c r="VV48">
        <f t="shared" si="1534"/>
        <v>2.5544485946710438E-2</v>
      </c>
      <c r="VW48">
        <f t="shared" si="1534"/>
        <v>2.5267474911345289E-2</v>
      </c>
      <c r="VX48">
        <f t="shared" si="1534"/>
        <v>2.4993458376101785E-2</v>
      </c>
      <c r="VY48">
        <f t="shared" si="1534"/>
        <v>2.4722404321792624E-2</v>
      </c>
      <c r="VZ48">
        <f t="shared" si="1534"/>
        <v>2.4454281058396532E-2</v>
      </c>
      <c r="WA48">
        <f t="shared" si="1534"/>
        <v>2.4189057222400834E-2</v>
      </c>
      <c r="WB48">
        <f t="shared" si="1534"/>
        <v>2.3926701773802961E-2</v>
      </c>
      <c r="WC48">
        <f t="shared" si="1534"/>
        <v>2.3667183993126173E-2</v>
      </c>
      <c r="WD48">
        <f t="shared" si="1534"/>
        <v>2.3410473478804761E-2</v>
      </c>
      <c r="WE48">
        <f t="shared" si="1534"/>
        <v>2.315654014410029E-2</v>
      </c>
      <c r="WF48">
        <f t="shared" si="1534"/>
        <v>2.2905354214287854E-2</v>
      </c>
      <c r="WG48">
        <f t="shared" si="1534"/>
        <v>2.2656886223956008E-2</v>
      </c>
      <c r="WH48">
        <f t="shared" si="1534"/>
        <v>2.2411107013894593E-2</v>
      </c>
      <c r="WI48">
        <f t="shared" si="1534"/>
        <v>2.2167987728508365E-2</v>
      </c>
      <c r="WJ48">
        <f t="shared" si="1534"/>
        <v>2.1927499813003237E-2</v>
      </c>
      <c r="WK48">
        <f t="shared" si="1534"/>
        <v>2.1689615010387797E-2</v>
      </c>
      <c r="WL48">
        <f t="shared" si="1534"/>
        <v>2.1454267918855408E-2</v>
      </c>
      <c r="WM48">
        <f t="shared" si="1534"/>
        <v>2.1221262214865533E-2</v>
      </c>
      <c r="WN48">
        <f t="shared" si="1534"/>
        <v>2.0990132565700037E-2</v>
      </c>
      <c r="WO48">
        <f t="shared" si="1534"/>
        <v>2.0759991745038064E-2</v>
      </c>
      <c r="WP48">
        <f t="shared" si="1534"/>
        <v>2.0529393881915325E-2</v>
      </c>
      <c r="WQ48">
        <f t="shared" si="1534"/>
        <v>2.0296236465085826E-2</v>
      </c>
      <c r="WR48">
        <f t="shared" si="1534"/>
        <v>2.0057712400202377E-2</v>
      </c>
      <c r="WS48">
        <f t="shared" si="1534"/>
        <v>1.9810313309065464E-2</v>
      </c>
      <c r="WT48">
        <f t="shared" si="1534"/>
        <v>1.9549878151636335E-2</v>
      </c>
      <c r="WU48">
        <f t="shared" si="1534"/>
        <v>1.9271677329342651E-2</v>
      </c>
      <c r="WV48">
        <f t="shared" si="1534"/>
        <v>1.897052109971753E-2</v>
      </c>
      <c r="WW48">
        <f t="shared" si="1534"/>
        <v>1.8640881586151181E-2</v>
      </c>
      <c r="WX48">
        <f t="shared" si="1534"/>
        <v>1.8277019143667417E-2</v>
      </c>
      <c r="WY48">
        <f t="shared" si="1534"/>
        <v>1.787310576436596E-2</v>
      </c>
      <c r="WZ48">
        <f t="shared" si="1534"/>
        <v>1.7423340184976155E-2</v>
      </c>
      <c r="XA48">
        <f t="shared" si="1534"/>
        <v>1.6922051161785134E-2</v>
      </c>
      <c r="XB48">
        <f t="shared" si="1534"/>
        <v>1.636378689457274E-2</v>
      </c>
      <c r="XC48">
        <f t="shared" si="1534"/>
        <v>1.5743389779004247E-2</v>
      </c>
      <c r="XD48">
        <f t="shared" si="1534"/>
        <v>1.5056056557327224E-2</v>
      </c>
      <c r="XE48">
        <f t="shared" si="1534"/>
        <v>1.4297384562041771E-2</v>
      </c>
      <c r="XF48">
        <f t="shared" si="1534"/>
        <v>1.3463405149479968E-2</v>
      </c>
      <c r="XG48">
        <f t="shared" si="1534"/>
        <v>1.2550605652279501E-2</v>
      </c>
      <c r="XH48">
        <f t="shared" si="1534"/>
        <v>1.1555941280235515E-2</v>
      </c>
      <c r="XI48">
        <f t="shared" si="1534"/>
        <v>1.047683840900504E-2</v>
      </c>
      <c r="XJ48">
        <f t="shared" si="1534"/>
        <v>9.3111906407870038E-3</v>
      </c>
      <c r="XK48">
        <f t="shared" si="1534"/>
        <v>8.0573489275082011E-3</v>
      </c>
      <c r="XL48">
        <f t="shared" si="1534"/>
        <v>6.7141069298912726E-3</v>
      </c>
      <c r="XM48">
        <f t="shared" si="1534"/>
        <v>5.2806826574425259E-3</v>
      </c>
      <c r="XN48">
        <f t="shared" si="1534"/>
        <v>3.7566973059881548E-3</v>
      </c>
      <c r="XO48">
        <f t="shared" si="1534"/>
        <v>2.1421520841187203E-3</v>
      </c>
      <c r="XP48">
        <f t="shared" si="1534"/>
        <v>4.3740370236378112E-4</v>
      </c>
      <c r="XQ48">
        <f t="shared" si="1534"/>
        <v>-1.3568609079896987E-3</v>
      </c>
      <c r="XR48">
        <f t="shared" si="1534"/>
        <v>-3.2396501762832486E-3</v>
      </c>
      <c r="XS48">
        <f t="shared" si="1534"/>
        <v>-5.2096933893892583E-3</v>
      </c>
      <c r="XT48">
        <f t="shared" si="1534"/>
        <v>-7.2654657938500122E-3</v>
      </c>
      <c r="XU48">
        <f t="shared" si="1534"/>
        <v>-9.4052130584572069E-3</v>
      </c>
      <c r="XV48">
        <f t="shared" si="1534"/>
        <v>-1.1626974907670728E-2</v>
      </c>
      <c r="XW48">
        <f t="shared" si="1534"/>
        <v>-1.3928607783100233E-2</v>
      </c>
      <c r="XX48">
        <f t="shared" si="1534"/>
        <v>-1.630780643064611E-2</v>
      </c>
      <c r="XY48">
        <f t="shared" si="1534"/>
        <v>-1.8762124344263498E-2</v>
      </c>
      <c r="XZ48">
        <f t="shared" si="1534"/>
        <v>-2.1288993023958369E-2</v>
      </c>
      <c r="YA48">
        <f t="shared" si="1534"/>
        <v>-2.3885740029484737E-2</v>
      </c>
      <c r="YB48">
        <f t="shared" si="1534"/>
        <v>-2.65496058282082E-2</v>
      </c>
      <c r="YC48">
        <f t="shared" si="1534"/>
        <v>-2.9277759451758811E-2</v>
      </c>
      <c r="YD48">
        <f t="shared" ref="YD48:AAO48" si="1535">$V$17*YD32+$W$17*YD33+$X$17*YD34</f>
        <v>-3.206731298627119E-2</v>
      </c>
      <c r="YE48">
        <f t="shared" si="1535"/>
        <v>-3.4915334931127973E-2</v>
      </c>
      <c r="YF48">
        <f t="shared" si="1535"/>
        <v>-3.7818862467091208E-2</v>
      </c>
      <c r="YG48">
        <f t="shared" si="1535"/>
        <v>-4.0774912680433317E-2</v>
      </c>
      <c r="YH48">
        <f t="shared" si="1535"/>
        <v>-4.3780492792393488E-2</v>
      </c>
      <c r="YI48">
        <f t="shared" si="1535"/>
        <v>-4.683260944564438E-2</v>
      </c>
      <c r="YJ48">
        <f t="shared" si="1535"/>
        <v>-4.9928277101017216E-2</v>
      </c>
      <c r="YK48">
        <f t="shared" si="1535"/>
        <v>-5.3064525597477541E-2</v>
      </c>
      <c r="YL48">
        <f t="shared" si="1535"/>
        <v>-5.6238406927931806E-2</v>
      </c>
      <c r="YM48">
        <f t="shared" si="1535"/>
        <v>-5.9447001283302825E-2</v>
      </c>
      <c r="YN48">
        <f t="shared" si="1535"/>
        <v>-6.2687422414839489E-2</v>
      </c>
      <c r="YO48">
        <f t="shared" si="1535"/>
        <v>-6.5956822363929746E-2</v>
      </c>
      <c r="YP48">
        <f t="shared" si="1535"/>
        <v>-6.9252395606426376E-2</v>
      </c>
      <c r="YQ48">
        <f t="shared" si="1535"/>
        <v>-7.2571382656036576E-2</v>
      </c>
      <c r="YR48">
        <f t="shared" si="1535"/>
        <v>-7.5911073170317422E-2</v>
      </c>
      <c r="YS48">
        <f t="shared" si="1535"/>
        <v>-7.9268808599152862E-2</v>
      </c>
      <c r="YT48">
        <f t="shared" si="1535"/>
        <v>-8.2641984414365766E-2</v>
      </c>
      <c r="YU48">
        <f t="shared" si="1535"/>
        <v>-8.602805195651797E-2</v>
      </c>
      <c r="YV48">
        <f t="shared" si="1535"/>
        <v>-8.9424519932833846E-2</v>
      </c>
      <c r="YW48">
        <f t="shared" si="1535"/>
        <v>-9.2828955597752838E-2</v>
      </c>
      <c r="YX48">
        <f t="shared" si="1535"/>
        <v>-9.623898564579747E-2</v>
      </c>
      <c r="YY48">
        <f t="shared" si="1535"/>
        <v>-9.9652296844467969E-2</v>
      </c>
      <c r="YZ48">
        <f t="shared" si="1535"/>
        <v>-0.10306663643240199</v>
      </c>
      <c r="ZA48">
        <f t="shared" si="1535"/>
        <v>-0.10647981230688686</v>
      </c>
      <c r="ZB48">
        <f t="shared" si="1535"/>
        <v>-0.10988969302255214</v>
      </c>
      <c r="ZC48">
        <f t="shared" si="1535"/>
        <v>-0.11329420762152154</v>
      </c>
      <c r="ZD48">
        <f t="shared" si="1535"/>
        <v>-0.11669134531369707</v>
      </c>
      <c r="ZE48">
        <f t="shared" si="1535"/>
        <v>-0.12007915502452704</v>
      </c>
      <c r="ZF48">
        <f t="shared" si="1535"/>
        <v>-0.1234557448257334</v>
      </c>
      <c r="ZG48">
        <f t="shared" si="1535"/>
        <v>-0.12681928126406206</v>
      </c>
      <c r="ZH48">
        <f t="shared" si="1535"/>
        <v>-0.13016798860041945</v>
      </c>
      <c r="ZI48">
        <f t="shared" si="1535"/>
        <v>-0.13350014797261167</v>
      </c>
      <c r="ZJ48">
        <f t="shared" si="1535"/>
        <v>-0.13681409649163356</v>
      </c>
      <c r="ZK48">
        <f t="shared" si="1535"/>
        <v>-0.14010822628239339</v>
      </c>
      <c r="ZL48">
        <f t="shared" si="1535"/>
        <v>-0.14338098347738537</v>
      </c>
      <c r="ZM48">
        <f t="shared" si="1535"/>
        <v>-0.1466308671721066</v>
      </c>
      <c r="ZN48">
        <f t="shared" si="1535"/>
        <v>-0.14985642834906798</v>
      </c>
      <c r="ZO48">
        <f t="shared" si="1535"/>
        <v>-0.15305626877810141</v>
      </c>
      <c r="ZP48">
        <f t="shared" si="1535"/>
        <v>-0.15622903989786607</v>
      </c>
      <c r="ZQ48">
        <f t="shared" si="1535"/>
        <v>-0.15937344168477807</v>
      </c>
      <c r="ZR48">
        <f t="shared" si="1535"/>
        <v>-0.16248822151429465</v>
      </c>
      <c r="ZS48">
        <f t="shared" si="1535"/>
        <v>-0.16557217301851779</v>
      </c>
      <c r="ZT48">
        <f t="shared" si="1535"/>
        <v>-0.16862413494423834</v>
      </c>
      <c r="ZU48">
        <f t="shared" si="1535"/>
        <v>-0.17164299001480288</v>
      </c>
      <c r="ZV48">
        <f t="shared" si="1535"/>
        <v>-0.17462766379887285</v>
      </c>
      <c r="ZW48">
        <f t="shared" si="1535"/>
        <v>-0.1775771235889323</v>
      </c>
      <c r="ZX48">
        <f t="shared" si="1535"/>
        <v>-0.18049037729150541</v>
      </c>
      <c r="ZY48">
        <f t="shared" si="1535"/>
        <v>-0.18336647233144276</v>
      </c>
      <c r="ZZ48">
        <f t="shared" si="1535"/>
        <v>-0.18620449457218058</v>
      </c>
      <c r="AAA48">
        <f t="shared" si="1535"/>
        <v>-0.18900356725286827</v>
      </c>
      <c r="AAB48">
        <f t="shared" si="1535"/>
        <v>-0.19176284994441062</v>
      </c>
      <c r="AAC48">
        <f t="shared" si="1535"/>
        <v>-0.19448153752497888</v>
      </c>
      <c r="AAD48">
        <f t="shared" si="1535"/>
        <v>-0.19715885917629805</v>
      </c>
      <c r="AAE48">
        <f t="shared" si="1535"/>
        <v>-0.19979407740082422</v>
      </c>
      <c r="AAF48">
        <f t="shared" si="1535"/>
        <v>-0.20238648706130391</v>
      </c>
      <c r="AAG48">
        <f t="shared" si="1535"/>
        <v>-0.20493541444213292</v>
      </c>
      <c r="AAH48">
        <f t="shared" si="1535"/>
        <v>-0.20744021633383625</v>
      </c>
      <c r="AAI48">
        <f t="shared" si="1535"/>
        <v>-0.20990027913998688</v>
      </c>
      <c r="AAJ48">
        <f t="shared" si="1535"/>
        <v>-0.21231501800740205</v>
      </c>
      <c r="AAK48">
        <f t="shared" si="1535"/>
        <v>-0.21468387597930416</v>
      </c>
      <c r="AAL48">
        <f t="shared" si="1535"/>
        <v>-0.21700632317103441</v>
      </c>
      <c r="AAM48">
        <f t="shared" si="1535"/>
        <v>-0.21928185596941319</v>
      </c>
      <c r="AAN48">
        <f t="shared" si="1535"/>
        <v>-0.22150999625384316</v>
      </c>
      <c r="AAO48">
        <f t="shared" si="1535"/>
        <v>-0.22369029064070389</v>
      </c>
    </row>
    <row r="49" spans="1:717">
      <c r="A49" s="4">
        <f t="shared" si="1444"/>
        <v>10</v>
      </c>
      <c r="B49" s="1">
        <f>$W$18*B33+$X$18*B34+$Y$18*B35</f>
        <v>0</v>
      </c>
      <c r="C49">
        <f>$W$18*C33+$X$18*C34+$Y$18*C35</f>
        <v>0</v>
      </c>
      <c r="D49">
        <f t="shared" ref="D49" si="1536">$W$18*D33+$X$18*D34+$Y$18*D35</f>
        <v>0</v>
      </c>
      <c r="E49">
        <f t="shared" ref="E49:BP49" si="1537">$W$18*E33+$X$18*E34+$Y$18*E35</f>
        <v>0</v>
      </c>
      <c r="F49">
        <f t="shared" si="1537"/>
        <v>0</v>
      </c>
      <c r="G49">
        <f t="shared" si="1537"/>
        <v>0</v>
      </c>
      <c r="H49">
        <f t="shared" si="1537"/>
        <v>0</v>
      </c>
      <c r="I49">
        <f t="shared" si="1537"/>
        <v>0</v>
      </c>
      <c r="J49">
        <f t="shared" si="1537"/>
        <v>0</v>
      </c>
      <c r="K49">
        <f t="shared" si="1537"/>
        <v>-2.9800446554872906E-9</v>
      </c>
      <c r="L49">
        <f t="shared" si="1537"/>
        <v>-2.4697143885532569E-8</v>
      </c>
      <c r="M49">
        <f t="shared" si="1537"/>
        <v>-1.1234632779633102E-7</v>
      </c>
      <c r="N49">
        <f t="shared" si="1537"/>
        <v>-3.7133872865524609E-7</v>
      </c>
      <c r="O49">
        <f t="shared" si="1537"/>
        <v>-9.9715050794202398E-7</v>
      </c>
      <c r="P49">
        <f t="shared" si="1537"/>
        <v>-2.308057389655005E-6</v>
      </c>
      <c r="Q49">
        <f t="shared" si="1537"/>
        <v>-4.774577945454439E-6</v>
      </c>
      <c r="R49">
        <f t="shared" si="1537"/>
        <v>-9.0422621354946386E-6</v>
      </c>
      <c r="S49">
        <f t="shared" si="1537"/>
        <v>-1.5945661886007656E-5</v>
      </c>
      <c r="T49">
        <f t="shared" si="1537"/>
        <v>-2.6512574478942952E-5</v>
      </c>
      <c r="U49">
        <f t="shared" si="1537"/>
        <v>-4.1958735053526652E-5</v>
      </c>
      <c r="V49">
        <f t="shared" si="1537"/>
        <v>-6.367394991002584E-5</v>
      </c>
      <c r="W49">
        <f t="shared" si="1537"/>
        <v>-9.3201181996960258E-5</v>
      </c>
      <c r="X49">
        <f t="shared" si="1537"/>
        <v>-1.3221035436572492E-4</v>
      </c>
      <c r="Y49">
        <f t="shared" si="1537"/>
        <v>-1.8246867865912009E-4</v>
      </c>
      <c r="Z49">
        <f t="shared" si="1537"/>
        <v>-2.4580920515404614E-4</v>
      </c>
      <c r="AA49">
        <f t="shared" si="1537"/>
        <v>-3.2409908241959329E-4</v>
      </c>
      <c r="AB49">
        <f t="shared" si="1537"/>
        <v>-4.1920875818846071E-4</v>
      </c>
      <c r="AC49">
        <f t="shared" si="1537"/>
        <v>-5.3298307859961369E-4</v>
      </c>
      <c r="AD49">
        <f t="shared" si="1537"/>
        <v>-6.6721498070876351E-4</v>
      </c>
      <c r="AE49">
        <f t="shared" si="1537"/>
        <v>-8.236222356572398E-4</v>
      </c>
      <c r="AF49">
        <f t="shared" si="1537"/>
        <v>-1.0038274926813529E-3</v>
      </c>
      <c r="AG49">
        <f t="shared" si="1537"/>
        <v>-1.2093417089147351E-3</v>
      </c>
      <c r="AH49">
        <f t="shared" si="1537"/>
        <v>-1.4415509139524829E-3</v>
      </c>
      <c r="AI49">
        <f t="shared" si="1537"/>
        <v>-1.7017061616684259E-3</v>
      </c>
      <c r="AJ49">
        <f t="shared" si="1537"/>
        <v>-1.9909164493441267E-3</v>
      </c>
      <c r="AK49">
        <f t="shared" si="1537"/>
        <v>-2.3101443392050669E-3</v>
      </c>
      <c r="AL49">
        <f t="shared" si="1537"/>
        <v>-2.6602039915530895E-3</v>
      </c>
      <c r="AM49">
        <f t="shared" si="1537"/>
        <v>-3.0417613095750085E-3</v>
      </c>
      <c r="AN49">
        <f t="shared" si="1537"/>
        <v>-3.4553358965609959E-3</v>
      </c>
      <c r="AO49">
        <f t="shared" si="1537"/>
        <v>-3.9013045391556034E-3</v>
      </c>
      <c r="AP49">
        <f t="shared" si="1537"/>
        <v>-4.3799059465072787E-3</v>
      </c>
      <c r="AQ49">
        <f t="shared" si="1537"/>
        <v>-4.8912464964985247E-3</v>
      </c>
      <c r="AR49">
        <f t="shared" si="1537"/>
        <v>-5.4353067636583319E-3</v>
      </c>
      <c r="AS49">
        <f t="shared" si="1537"/>
        <v>-6.0119486276306588E-3</v>
      </c>
      <c r="AT49">
        <f t="shared" si="1537"/>
        <v>-6.6209227854727715E-3</v>
      </c>
      <c r="AU49">
        <f t="shared" si="1537"/>
        <v>-7.2618765138798835E-3</v>
      </c>
      <c r="AV49">
        <f t="shared" si="1537"/>
        <v>-7.9343615496156872E-3</v>
      </c>
      <c r="AW49">
        <f t="shared" si="1537"/>
        <v>-8.6378419774320037E-3</v>
      </c>
      <c r="AX49">
        <f t="shared" si="1537"/>
        <v>-9.3717020323680345E-3</v>
      </c>
      <c r="AY49">
        <f t="shared" si="1537"/>
        <v>-1.013525374089852E-2</v>
      </c>
      <c r="AZ49">
        <f t="shared" si="1537"/>
        <v>-1.0927744340037293E-2</v>
      </c>
      <c r="BA49">
        <f t="shared" si="1537"/>
        <v>-1.1748363426391961E-2</v>
      </c>
      <c r="BB49">
        <f t="shared" si="1537"/>
        <v>-1.2596249799472048E-2</v>
      </c>
      <c r="BC49">
        <f t="shared" si="1537"/>
        <v>-1.3470497972321027E-2</v>
      </c>
      <c r="BD49">
        <f t="shared" si="1537"/>
        <v>-1.4370164331694468E-2</v>
      </c>
      <c r="BE49">
        <f t="shared" si="1537"/>
        <v>-1.5294272937410369E-2</v>
      </c>
      <c r="BF49">
        <f t="shared" si="1537"/>
        <v>-1.6241820955826825E-2</v>
      </c>
      <c r="BG49">
        <f t="shared" si="1537"/>
        <v>-1.721178372766019E-2</v>
      </c>
      <c r="BH49">
        <f t="shared" si="1537"/>
        <v>-1.8203119474662799E-2</v>
      </c>
      <c r="BI49">
        <f t="shared" si="1537"/>
        <v>-1.9214773652564077E-2</v>
      </c>
      <c r="BJ49">
        <f t="shared" si="1537"/>
        <v>-2.0245682960748468E-2</v>
      </c>
      <c r="BK49">
        <f t="shared" si="1537"/>
        <v>-2.1294779020394117E-2</v>
      </c>
      <c r="BL49">
        <f t="shared" si="1537"/>
        <v>-2.2360991735183688E-2</v>
      </c>
      <c r="BM49">
        <f t="shared" si="1537"/>
        <v>-2.3443252348911869E-2</v>
      </c>
      <c r="BN49">
        <f t="shared" si="1537"/>
        <v>-2.4540496215706753E-2</v>
      </c>
      <c r="BO49">
        <f t="shared" si="1537"/>
        <v>-2.5651665298667581E-2</v>
      </c>
      <c r="BP49">
        <f t="shared" si="1537"/>
        <v>-2.6775710412309195E-2</v>
      </c>
      <c r="BQ49">
        <f t="shared" ref="BQ49:CU49" si="1538">$W$18*BQ33+$X$18*BQ34+$Y$18*BQ35</f>
        <v>-2.7911593225766751E-2</v>
      </c>
      <c r="BR49">
        <f t="shared" si="1538"/>
        <v>-2.905828804151156E-2</v>
      </c>
      <c r="BS49">
        <f t="shared" si="1538"/>
        <v>-3.0214783365096309E-2</v>
      </c>
      <c r="BT49">
        <f t="shared" si="1538"/>
        <v>-3.138008328122055E-2</v>
      </c>
      <c r="BU49">
        <f t="shared" si="1538"/>
        <v>-3.2553208650185184E-2</v>
      </c>
      <c r="BV49">
        <f t="shared" si="1538"/>
        <v>-3.3733198137937848E-2</v>
      </c>
      <c r="BW49">
        <f t="shared" si="1538"/>
        <v>-3.4919109094204259E-2</v>
      </c>
      <c r="BX49">
        <f t="shared" si="1538"/>
        <v>-3.6110018289420509E-2</v>
      </c>
      <c r="BY49">
        <f t="shared" si="1538"/>
        <v>-3.7305022523938192E-2</v>
      </c>
      <c r="BZ49">
        <f t="shared" si="1538"/>
        <v>-3.8503239119137334E-2</v>
      </c>
      <c r="CA49">
        <f t="shared" si="1538"/>
        <v>-3.9703806302298972E-2</v>
      </c>
      <c r="CB49">
        <f t="shared" si="1538"/>
        <v>-4.0905883493834949E-2</v>
      </c>
      <c r="CC49">
        <f t="shared" si="1538"/>
        <v>-4.2108651506609363E-2</v>
      </c>
      <c r="CD49">
        <f t="shared" si="1538"/>
        <v>-4.3311312666304502E-2</v>
      </c>
      <c r="CE49">
        <f t="shared" si="1538"/>
        <v>-4.4513090859567228E-2</v>
      </c>
      <c r="CF49">
        <f t="shared" si="1538"/>
        <v>-4.5713231518831776E-2</v>
      </c>
      <c r="CG49">
        <f t="shared" si="1538"/>
        <v>-4.6911001549062803E-2</v>
      </c>
      <c r="CH49">
        <f t="shared" si="1538"/>
        <v>-4.8105689204348323E-2</v>
      </c>
      <c r="CI49">
        <f t="shared" si="1538"/>
        <v>-4.9296603918733695E-2</v>
      </c>
      <c r="CJ49">
        <f t="shared" si="1538"/>
        <v>-5.0483076097435742E-2</v>
      </c>
      <c r="CK49">
        <f t="shared" si="1538"/>
        <v>-5.1664456873268705E-2</v>
      </c>
      <c r="CL49">
        <f t="shared" si="1538"/>
        <v>-5.2840117832758438E-2</v>
      </c>
      <c r="CM49">
        <f t="shared" si="1538"/>
        <v>-5.4009450715540197E-2</v>
      </c>
      <c r="CN49">
        <f t="shared" si="1538"/>
        <v>-5.5171867092056459E-2</v>
      </c>
      <c r="CO49">
        <f t="shared" si="1538"/>
        <v>-5.6326798021402169E-2</v>
      </c>
      <c r="CP49">
        <f t="shared" si="1538"/>
        <v>-5.747369369382227E-2</v>
      </c>
      <c r="CQ49">
        <f t="shared" si="1538"/>
        <v>-5.8612023059822604E-2</v>
      </c>
      <c r="CR49">
        <f t="shared" si="1538"/>
        <v>-5.9741273448807419E-2</v>
      </c>
      <c r="CS49">
        <f t="shared" si="1538"/>
        <v>-6.0860950179588258E-2</v>
      </c>
      <c r="CT49">
        <f t="shared" si="1538"/>
        <v>-6.1970576164696922E-2</v>
      </c>
      <c r="CU49">
        <f t="shared" si="1538"/>
        <v>-6.3069691510506232E-2</v>
      </c>
      <c r="CV49">
        <f t="shared" ref="CV49:FG49" si="1539">$W$18*CV33+$X$18*CV34+$Y$18*CV35</f>
        <v>-6.4157853114664931E-2</v>
      </c>
      <c r="CW49">
        <f t="shared" si="1539"/>
        <v>-6.5234634262751001E-2</v>
      </c>
      <c r="CX49">
        <f t="shared" si="1539"/>
        <v>-6.6299624224868126E-2</v>
      </c>
      <c r="CY49">
        <f t="shared" si="1539"/>
        <v>-6.7352427854004304E-2</v>
      </c>
      <c r="CZ49">
        <f t="shared" si="1539"/>
        <v>-6.8392665186905788E-2</v>
      </c>
      <c r="DA49">
        <f t="shared" si="1539"/>
        <v>-6.9419971048191087E-2</v>
      </c>
      <c r="DB49">
        <f t="shared" si="1539"/>
        <v>-7.0433994659111931E-2</v>
      </c>
      <c r="DC49">
        <f t="shared" si="1539"/>
        <v>-7.1434399250762226E-2</v>
      </c>
      <c r="DD49">
        <f t="shared" si="1539"/>
        <v>-7.2420861683539783E-2</v>
      </c>
      <c r="DE49">
        <f t="shared" si="1539"/>
        <v>-7.339307207232082E-2</v>
      </c>
      <c r="DF49">
        <f t="shared" si="1539"/>
        <v>-7.4350733418242498E-2</v>
      </c>
      <c r="DG49">
        <f t="shared" si="1539"/>
        <v>-7.5293561247349317E-2</v>
      </c>
      <c r="DH49">
        <f t="shared" si="1539"/>
        <v>-7.622128325704125E-2</v>
      </c>
      <c r="DI49">
        <f t="shared" si="1539"/>
        <v>-7.7133638969257845E-2</v>
      </c>
      <c r="DJ49">
        <f t="shared" si="1539"/>
        <v>-7.8030379391961446E-2</v>
      </c>
      <c r="DK49">
        <f t="shared" si="1539"/>
        <v>-7.8911266688194814E-2</v>
      </c>
      <c r="DL49">
        <f t="shared" si="1539"/>
        <v>-7.9776073853182083E-2</v>
      </c>
      <c r="DM49">
        <f t="shared" si="1539"/>
        <v>-8.0624584399586752E-2</v>
      </c>
      <c r="DN49">
        <f t="shared" si="1539"/>
        <v>-8.1456592050798804E-2</v>
      </c>
      <c r="DO49">
        <f t="shared" si="1539"/>
        <v>-8.2271900442165702E-2</v>
      </c>
      <c r="DP49">
        <f t="shared" si="1539"/>
        <v>-8.3070322830636201E-2</v>
      </c>
      <c r="DQ49">
        <f t="shared" si="1539"/>
        <v>-8.3851681812049605E-2</v>
      </c>
      <c r="DR49">
        <f t="shared" si="1539"/>
        <v>-8.4615809046837853E-2</v>
      </c>
      <c r="DS49">
        <f t="shared" si="1539"/>
        <v>-8.5362544993174083E-2</v>
      </c>
      <c r="DT49">
        <f t="shared" si="1539"/>
        <v>-8.6091738648562455E-2</v>
      </c>
      <c r="DU49">
        <f t="shared" si="1539"/>
        <v>-8.6803247298206543E-2</v>
      </c>
      <c r="DV49">
        <f t="shared" si="1539"/>
        <v>-8.7496936271904246E-2</v>
      </c>
      <c r="DW49">
        <f t="shared" si="1539"/>
        <v>-8.8172678707749697E-2</v>
      </c>
      <c r="DX49">
        <f t="shared" si="1539"/>
        <v>-8.8830355323494814E-2</v>
      </c>
      <c r="DY49">
        <f t="shared" si="1539"/>
        <v>-8.9469854194774712E-2</v>
      </c>
      <c r="DZ49">
        <f t="shared" si="1539"/>
        <v>-9.0091070540651685E-2</v>
      </c>
      <c r="EA49">
        <f t="shared" si="1539"/>
        <v>-9.0693906515866729E-2</v>
      </c>
      <c r="EB49">
        <f t="shared" si="1539"/>
        <v>-9.1278271009656464E-2</v>
      </c>
      <c r="EC49">
        <f t="shared" si="1539"/>
        <v>-9.1844079451362859E-2</v>
      </c>
      <c r="ED49">
        <f t="shared" si="1539"/>
        <v>-9.2391253622125191E-2</v>
      </c>
      <c r="EE49">
        <f t="shared" si="1539"/>
        <v>-9.2919721472966899E-2</v>
      </c>
      <c r="EF49">
        <f t="shared" si="1539"/>
        <v>-9.3429416948964672E-2</v>
      </c>
      <c r="EG49">
        <f t="shared" si="1539"/>
        <v>-9.3920279818917152E-2</v>
      </c>
      <c r="EH49">
        <f t="shared" si="1539"/>
        <v>-9.439225551129482E-2</v>
      </c>
      <c r="EI49">
        <f t="shared" si="1539"/>
        <v>-9.4845294955106851E-2</v>
      </c>
      <c r="EJ49">
        <f t="shared" si="1539"/>
        <v>-9.5279354426466512E-2</v>
      </c>
      <c r="EK49">
        <f t="shared" si="1539"/>
        <v>-9.5694395400400367E-2</v>
      </c>
      <c r="EL49">
        <f t="shared" si="1539"/>
        <v>-9.6090384407673923E-2</v>
      </c>
      <c r="EM49">
        <f t="shared" si="1539"/>
        <v>-9.6467292896193158E-2</v>
      </c>
      <c r="EN49">
        <f t="shared" si="1539"/>
        <v>-9.6825097097678281E-2</v>
      </c>
      <c r="EO49">
        <f t="shared" si="1539"/>
        <v>-9.7163777898416015E-2</v>
      </c>
      <c r="EP49">
        <f t="shared" si="1539"/>
        <v>-9.7483320714843558E-2</v>
      </c>
      <c r="EQ49">
        <f t="shared" si="1539"/>
        <v>-9.7783715373068958E-2</v>
      </c>
      <c r="ER49">
        <f t="shared" si="1539"/>
        <v>-9.8064955992938962E-2</v>
      </c>
      <c r="ES49">
        <f t="shared" si="1539"/>
        <v>-9.832704087554589E-2</v>
      </c>
      <c r="ET49">
        <f t="shared" si="1539"/>
        <v>-9.856997239528198E-2</v>
      </c>
      <c r="EU49">
        <f t="shared" si="1539"/>
        <v>-9.8793756895091178E-2</v>
      </c>
      <c r="EV49">
        <f t="shared" si="1539"/>
        <v>-9.8998404585501021E-2</v>
      </c>
      <c r="EW49">
        <f t="shared" si="1539"/>
        <v>-9.9183929447121955E-2</v>
      </c>
      <c r="EX49">
        <f t="shared" si="1539"/>
        <v>-9.9350349136798854E-2</v>
      </c>
      <c r="EY49">
        <f t="shared" si="1539"/>
        <v>-9.9497684896320493E-2</v>
      </c>
      <c r="EZ49">
        <f t="shared" si="1539"/>
        <v>-9.9625961464994361E-2</v>
      </c>
      <c r="FA49">
        <f t="shared" si="1539"/>
        <v>-9.973520699467997E-2</v>
      </c>
      <c r="FB49">
        <f t="shared" si="1539"/>
        <v>-9.9825452967920114E-2</v>
      </c>
      <c r="FC49">
        <f t="shared" si="1539"/>
        <v>-9.9896734118985364E-2</v>
      </c>
      <c r="FD49">
        <f t="shared" si="1539"/>
        <v>-9.9949088357391247E-2</v>
      </c>
      <c r="FE49">
        <f t="shared" si="1539"/>
        <v>-9.9982556694186542E-2</v>
      </c>
      <c r="FF49">
        <f t="shared" si="1539"/>
        <v>-9.9997183170529524E-2</v>
      </c>
      <c r="FG49">
        <f t="shared" si="1539"/>
        <v>-9.9993014788765322E-2</v>
      </c>
      <c r="FH49">
        <f t="shared" ref="FH49:HS49" si="1540">$W$18*FH33+$X$18*FH34+$Y$18*FH35</f>
        <v>-9.9970101445933324E-2</v>
      </c>
      <c r="FI49">
        <f t="shared" si="1540"/>
        <v>-9.99284958692499E-2</v>
      </c>
      <c r="FJ49">
        <f t="shared" si="1540"/>
        <v>-9.9868253553893283E-2</v>
      </c>
      <c r="FK49">
        <f t="shared" si="1540"/>
        <v>-9.9789432702664271E-2</v>
      </c>
      <c r="FL49">
        <f t="shared" si="1540"/>
        <v>-9.9692094168005951E-2</v>
      </c>
      <c r="FM49">
        <f t="shared" si="1540"/>
        <v>-9.9576301395330802E-2</v>
      </c>
      <c r="FN49">
        <f t="shared" si="1540"/>
        <v>-9.9442120368621545E-2</v>
      </c>
      <c r="FO49">
        <f t="shared" si="1540"/>
        <v>-9.9289619557708875E-2</v>
      </c>
      <c r="FP49">
        <f t="shared" si="1540"/>
        <v>-9.9118869867012904E-2</v>
      </c>
      <c r="FQ49">
        <f t="shared" si="1540"/>
        <v>-9.8929944586060969E-2</v>
      </c>
      <c r="FR49">
        <f t="shared" si="1540"/>
        <v>-9.8722919341540205E-2</v>
      </c>
      <c r="FS49">
        <f t="shared" si="1540"/>
        <v>-9.8497872050799629E-2</v>
      </c>
      <c r="FT49">
        <f t="shared" si="1540"/>
        <v>-9.825488287680173E-2</v>
      </c>
      <c r="FU49">
        <f t="shared" si="1540"/>
        <v>-9.7994034184381462E-2</v>
      </c>
      <c r="FV49">
        <f t="shared" si="1540"/>
        <v>-9.7715410497812627E-2</v>
      </c>
      <c r="FW49">
        <f t="shared" si="1540"/>
        <v>-9.7419098459894826E-2</v>
      </c>
      <c r="FX49">
        <f t="shared" si="1540"/>
        <v>-9.7105186791608844E-2</v>
      </c>
      <c r="FY49">
        <f t="shared" si="1540"/>
        <v>-9.677376625357681E-2</v>
      </c>
      <c r="FZ49">
        <f t="shared" si="1540"/>
        <v>-9.6424929608488696E-2</v>
      </c>
      <c r="GA49">
        <f t="shared" si="1540"/>
        <v>-9.6058771584168312E-2</v>
      </c>
      <c r="GB49">
        <f t="shared" si="1540"/>
        <v>-9.5675388838074582E-2</v>
      </c>
      <c r="GC49">
        <f t="shared" si="1540"/>
        <v>-9.5274879922726541E-2</v>
      </c>
      <c r="GD49">
        <f t="shared" si="1540"/>
        <v>-9.4857345251824654E-2</v>
      </c>
      <c r="GE49">
        <f t="shared" si="1540"/>
        <v>-9.4422887067480588E-2</v>
      </c>
      <c r="GF49">
        <f t="shared" si="1540"/>
        <v>-9.3971609408200152E-2</v>
      </c>
      <c r="GG49">
        <f t="shared" si="1540"/>
        <v>-9.3503618077704687E-2</v>
      </c>
      <c r="GH49">
        <f t="shared" si="1540"/>
        <v>-9.301902061432088E-2</v>
      </c>
      <c r="GI49">
        <f t="shared" si="1540"/>
        <v>-9.2517926261663774E-2</v>
      </c>
      <c r="GJ49">
        <f t="shared" si="1540"/>
        <v>-9.2000445939291353E-2</v>
      </c>
      <c r="GK49">
        <f t="shared" si="1540"/>
        <v>-9.146669221462389E-2</v>
      </c>
      <c r="GL49">
        <f t="shared" si="1540"/>
        <v>-9.0916779275119097E-2</v>
      </c>
      <c r="GM49">
        <f t="shared" si="1540"/>
        <v>-9.0350822901413608E-2</v>
      </c>
      <c r="GN49">
        <f t="shared" si="1540"/>
        <v>-8.9768940440620781E-2</v>
      </c>
      <c r="GO49">
        <f t="shared" si="1540"/>
        <v>-8.9171250780637479E-2</v>
      </c>
      <c r="GP49">
        <f t="shared" si="1540"/>
        <v>-8.8557874324550312E-2</v>
      </c>
      <c r="GQ49">
        <f t="shared" si="1540"/>
        <v>-8.7928932965922968E-2</v>
      </c>
      <c r="GR49">
        <f t="shared" si="1540"/>
        <v>-8.7284550064296695E-2</v>
      </c>
      <c r="GS49">
        <f t="shared" si="1540"/>
        <v>-8.6624850421443966E-2</v>
      </c>
      <c r="GT49">
        <f t="shared" si="1540"/>
        <v>-8.5949960257551083E-2</v>
      </c>
      <c r="GU49">
        <f t="shared" si="1540"/>
        <v>-8.5260007188338705E-2</v>
      </c>
      <c r="GV49">
        <f t="shared" si="1540"/>
        <v>-8.4555120202452372E-2</v>
      </c>
      <c r="GW49">
        <f t="shared" si="1540"/>
        <v>-8.383542963881041E-2</v>
      </c>
      <c r="GX49">
        <f t="shared" si="1540"/>
        <v>-8.3101067165060272E-2</v>
      </c>
      <c r="GY49">
        <f t="shared" si="1540"/>
        <v>-8.2352165755551709E-2</v>
      </c>
      <c r="GZ49">
        <f t="shared" si="1540"/>
        <v>-8.1588859670262082E-2</v>
      </c>
      <c r="HA49">
        <f t="shared" si="1540"/>
        <v>-8.0811284433821129E-2</v>
      </c>
      <c r="HB49">
        <f t="shared" si="1540"/>
        <v>-8.0019576814493121E-2</v>
      </c>
      <c r="HC49">
        <f t="shared" si="1540"/>
        <v>-7.921387480413955E-2</v>
      </c>
      <c r="HD49">
        <f t="shared" si="1540"/>
        <v>-7.8394317597627605E-2</v>
      </c>
      <c r="HE49">
        <f t="shared" si="1540"/>
        <v>-7.7561045573105503E-2</v>
      </c>
      <c r="HF49">
        <f t="shared" si="1540"/>
        <v>-7.6714200272220978E-2</v>
      </c>
      <c r="HG49">
        <f t="shared" si="1540"/>
        <v>-7.585392438056715E-2</v>
      </c>
      <c r="HH49">
        <f t="shared" si="1540"/>
        <v>-7.4980361708426813E-2</v>
      </c>
      <c r="HI49">
        <f t="shared" si="1540"/>
        <v>-7.4093657171630412E-2</v>
      </c>
      <c r="HJ49">
        <f t="shared" si="1540"/>
        <v>-7.319395677248508E-2</v>
      </c>
      <c r="HK49">
        <f t="shared" si="1540"/>
        <v>-7.2281407581286317E-2</v>
      </c>
      <c r="HL49">
        <f t="shared" si="1540"/>
        <v>-7.1356157717374913E-2</v>
      </c>
      <c r="HM49">
        <f t="shared" si="1540"/>
        <v>-7.0418356330861798E-2</v>
      </c>
      <c r="HN49">
        <f t="shared" si="1540"/>
        <v>-6.9468153584310244E-2</v>
      </c>
      <c r="HO49">
        <f t="shared" si="1540"/>
        <v>-6.8505700634432287E-2</v>
      </c>
      <c r="HP49">
        <f t="shared" si="1540"/>
        <v>-6.7531149613955677E-2</v>
      </c>
      <c r="HQ49">
        <f t="shared" si="1540"/>
        <v>-6.6544653613831883E-2</v>
      </c>
      <c r="HR49">
        <f t="shared" si="1540"/>
        <v>-6.5546366665287792E-2</v>
      </c>
      <c r="HS49">
        <f t="shared" si="1540"/>
        <v>-6.4536443721962655E-2</v>
      </c>
      <c r="HT49">
        <f t="shared" ref="HT49:JI49" si="1541">$W$18*HT33+$X$18*HT34+$Y$18*HT35</f>
        <v>-6.3515040642400322E-2</v>
      </c>
      <c r="HU49">
        <f t="shared" si="1541"/>
        <v>-6.2482314172243036E-2</v>
      </c>
      <c r="HV49">
        <f t="shared" si="1541"/>
        <v>-6.1438421926865772E-2</v>
      </c>
      <c r="HW49">
        <f t="shared" si="1541"/>
        <v>-6.0383522373911092E-2</v>
      </c>
      <c r="HX49">
        <f t="shared" si="1541"/>
        <v>-5.9317774815781377E-2</v>
      </c>
      <c r="HY49">
        <f t="shared" si="1541"/>
        <v>-5.8241339372500533E-2</v>
      </c>
      <c r="HZ49">
        <f t="shared" si="1541"/>
        <v>-5.7154376964263065E-2</v>
      </c>
      <c r="IA49">
        <f t="shared" si="1541"/>
        <v>-5.6057049294196304E-2</v>
      </c>
      <c r="IB49">
        <f t="shared" si="1541"/>
        <v>-5.494951883136423E-2</v>
      </c>
      <c r="IC49">
        <f t="shared" si="1541"/>
        <v>-5.3831948793501283E-2</v>
      </c>
      <c r="ID49">
        <f t="shared" si="1541"/>
        <v>-5.2704503129803015E-2</v>
      </c>
      <c r="IE49">
        <f t="shared" si="1541"/>
        <v>-5.1567346504029388E-2</v>
      </c>
      <c r="IF49">
        <f t="shared" si="1541"/>
        <v>-5.0420644277267002E-2</v>
      </c>
      <c r="IG49">
        <f t="shared" si="1541"/>
        <v>-4.926456249114608E-2</v>
      </c>
      <c r="IH49">
        <f t="shared" si="1541"/>
        <v>-4.8099267850560068E-2</v>
      </c>
      <c r="II49">
        <f t="shared" si="1541"/>
        <v>-4.6924927706854191E-2</v>
      </c>
      <c r="IJ49">
        <f t="shared" si="1541"/>
        <v>-4.5741710040772432E-2</v>
      </c>
      <c r="IK49">
        <f t="shared" si="1541"/>
        <v>-4.4549783445532398E-2</v>
      </c>
      <c r="IL49">
        <f t="shared" si="1541"/>
        <v>-4.3349317109743879E-2</v>
      </c>
      <c r="IM49">
        <f t="shared" si="1541"/>
        <v>-4.2140480800597402E-2</v>
      </c>
      <c r="IN49">
        <f t="shared" si="1541"/>
        <v>-4.0923444846995949E-2</v>
      </c>
      <c r="IO49">
        <f t="shared" si="1541"/>
        <v>-3.9698380122317189E-2</v>
      </c>
      <c r="IP49">
        <f t="shared" si="1541"/>
        <v>-3.8465458027687305E-2</v>
      </c>
      <c r="IQ49">
        <f t="shared" si="1541"/>
        <v>-3.7224850474970594E-2</v>
      </c>
      <c r="IR49">
        <f t="shared" si="1541"/>
        <v>-3.5976729869986457E-2</v>
      </c>
      <c r="IS49">
        <f t="shared" si="1541"/>
        <v>-3.4721269095157936E-2</v>
      </c>
      <c r="IT49">
        <f t="shared" si="1541"/>
        <v>-3.3458641493041341E-2</v>
      </c>
      <c r="IU49">
        <f t="shared" si="1541"/>
        <v>-3.218902084894637E-2</v>
      </c>
      <c r="IV49">
        <f t="shared" si="1541"/>
        <v>-3.0912581374224146E-2</v>
      </c>
      <c r="IW49">
        <f t="shared" si="1541"/>
        <v>-2.9629497689143136E-2</v>
      </c>
      <c r="IX49">
        <f t="shared" si="1541"/>
        <v>-2.8339944806006656E-2</v>
      </c>
      <c r="IY49">
        <f t="shared" si="1541"/>
        <v>-2.7044098112114057E-2</v>
      </c>
      <c r="IZ49">
        <f t="shared" si="1541"/>
        <v>-2.5742133352693486E-2</v>
      </c>
      <c r="JA49">
        <f t="shared" si="1541"/>
        <v>-2.443422661394834E-2</v>
      </c>
      <c r="JB49">
        <f t="shared" si="1541"/>
        <v>-2.3120554305904761E-2</v>
      </c>
      <c r="JC49">
        <f t="shared" si="1541"/>
        <v>-2.1801293145571776E-2</v>
      </c>
      <c r="JD49">
        <f t="shared" si="1541"/>
        <v>-2.0476620139760371E-2</v>
      </c>
      <c r="JE49">
        <f t="shared" si="1541"/>
        <v>-1.9146712567945201E-2</v>
      </c>
      <c r="JF49">
        <f t="shared" si="1541"/>
        <v>-1.7811747965353675E-2</v>
      </c>
      <c r="JG49">
        <f t="shared" si="1541"/>
        <v>-1.647190410562871E-2</v>
      </c>
      <c r="JH49">
        <f t="shared" si="1541"/>
        <v>-1.512735898398887E-2</v>
      </c>
      <c r="JI49">
        <f t="shared" si="1541"/>
        <v>-1.3778290799947968E-2</v>
      </c>
      <c r="JJ49">
        <f t="shared" ref="JJ49:LU49" si="1542">$W$18*JJ33+$X$18*JJ34+$Y$18*JJ35</f>
        <v>-1.2424877940233614E-2</v>
      </c>
      <c r="JK49">
        <f t="shared" si="1542"/>
        <v>-1.1067298961705774E-2</v>
      </c>
      <c r="JL49">
        <f t="shared" si="1542"/>
        <v>-9.7057325739484668E-3</v>
      </c>
      <c r="JM49">
        <f t="shared" si="1542"/>
        <v>-8.3403576225578036E-3</v>
      </c>
      <c r="JN49">
        <f t="shared" si="1542"/>
        <v>-6.9713530715063143E-3</v>
      </c>
      <c r="JO49">
        <f t="shared" si="1542"/>
        <v>-5.5988979862462429E-3</v>
      </c>
      <c r="JP49">
        <f t="shared" si="1542"/>
        <v>-4.2231715165286232E-3</v>
      </c>
      <c r="JQ49">
        <f t="shared" si="1542"/>
        <v>-2.8443528789949823E-3</v>
      </c>
      <c r="JR49">
        <f t="shared" si="1542"/>
        <v>-1.4626213401527366E-3</v>
      </c>
      <c r="JS49">
        <f t="shared" si="1542"/>
        <v>-7.8156199194268083E-5</v>
      </c>
      <c r="JT49">
        <f t="shared" si="1542"/>
        <v>1.3088632293261071E-3</v>
      </c>
      <c r="JU49">
        <f t="shared" si="1542"/>
        <v>2.6982576326588514E-3</v>
      </c>
      <c r="JV49">
        <f t="shared" si="1542"/>
        <v>4.089847717068551E-3</v>
      </c>
      <c r="JW49">
        <f t="shared" si="1542"/>
        <v>5.4834542251143148E-3</v>
      </c>
      <c r="JX49">
        <f t="shared" si="1542"/>
        <v>6.8788979527880656E-3</v>
      </c>
      <c r="JY49">
        <f t="shared" si="1542"/>
        <v>8.2759997667096741E-3</v>
      </c>
      <c r="JZ49">
        <f t="shared" si="1542"/>
        <v>9.6745806214499908E-3</v>
      </c>
      <c r="KA49">
        <f t="shared" si="1542"/>
        <v>1.107446157672598E-2</v>
      </c>
      <c r="KB49">
        <f t="shared" si="1542"/>
        <v>1.247546381451059E-2</v>
      </c>
      <c r="KC49">
        <f t="shared" si="1542"/>
        <v>1.3877408656384205E-2</v>
      </c>
      <c r="KD49">
        <f t="shared" si="1542"/>
        <v>1.5280117580545038E-2</v>
      </c>
      <c r="KE49">
        <f t="shared" si="1542"/>
        <v>1.6683412239231643E-2</v>
      </c>
      <c r="KF49">
        <f t="shared" si="1542"/>
        <v>1.8087114475775934E-2</v>
      </c>
      <c r="KG49">
        <f t="shared" si="1542"/>
        <v>1.9491046341642004E-2</v>
      </c>
      <c r="KH49">
        <f t="shared" si="1542"/>
        <v>2.0895030113891266E-2</v>
      </c>
      <c r="KI49">
        <f t="shared" si="1542"/>
        <v>2.2298888312036524E-2</v>
      </c>
      <c r="KJ49">
        <f t="shared" si="1542"/>
        <v>2.370244371540764E-2</v>
      </c>
      <c r="KK49">
        <f t="shared" si="1542"/>
        <v>2.5105519380019814E-2</v>
      </c>
      <c r="KL49">
        <f t="shared" si="1542"/>
        <v>2.6507938655896623E-2</v>
      </c>
      <c r="KM49">
        <f t="shared" si="1542"/>
        <v>2.790952520408041E-2</v>
      </c>
      <c r="KN49">
        <f t="shared" si="1542"/>
        <v>2.9310103013514777E-2</v>
      </c>
      <c r="KO49">
        <f t="shared" si="1542"/>
        <v>3.0709496418367621E-2</v>
      </c>
      <c r="KP49">
        <f t="shared" si="1542"/>
        <v>3.2107530114814153E-2</v>
      </c>
      <c r="KQ49">
        <f t="shared" si="1542"/>
        <v>3.3504029178061501E-2</v>
      </c>
      <c r="KR49">
        <f t="shared" si="1542"/>
        <v>3.4898819079401733E-2</v>
      </c>
      <c r="KS49">
        <f t="shared" si="1542"/>
        <v>3.6291725703037514E-2</v>
      </c>
      <c r="KT49">
        <f t="shared" si="1542"/>
        <v>3.768257536299302E-2</v>
      </c>
      <c r="KU49">
        <f t="shared" si="1542"/>
        <v>3.9071194819968014E-2</v>
      </c>
      <c r="KV49">
        <f t="shared" si="1542"/>
        <v>4.0457411298220336E-2</v>
      </c>
      <c r="KW49">
        <f t="shared" si="1542"/>
        <v>4.184105250234893E-2</v>
      </c>
      <c r="KX49">
        <f t="shared" si="1542"/>
        <v>4.3221946633991593E-2</v>
      </c>
      <c r="KY49">
        <f t="shared" si="1542"/>
        <v>4.4599919428463863E-2</v>
      </c>
      <c r="KZ49">
        <f t="shared" si="1542"/>
        <v>4.5974784374621436E-2</v>
      </c>
      <c r="LA49">
        <f t="shared" si="1542"/>
        <v>4.734632407037509E-2</v>
      </c>
      <c r="LB49">
        <f t="shared" si="1542"/>
        <v>4.8714263461363316E-2</v>
      </c>
      <c r="LC49">
        <f t="shared" si="1542"/>
        <v>5.0078238008097742E-2</v>
      </c>
      <c r="LD49">
        <f t="shared" si="1542"/>
        <v>5.1437760968468638E-2</v>
      </c>
      <c r="LE49">
        <f t="shared" si="1542"/>
        <v>5.2792193970617518E-2</v>
      </c>
      <c r="LF49">
        <f t="shared" si="1542"/>
        <v>5.4140724240795635E-2</v>
      </c>
      <c r="LG49">
        <f t="shared" si="1542"/>
        <v>5.548235064919993E-2</v>
      </c>
      <c r="LH49">
        <f t="shared" si="1542"/>
        <v>5.6815879482897458E-2</v>
      </c>
      <c r="LI49">
        <f t="shared" si="1542"/>
        <v>5.8139929769453147E-2</v>
      </c>
      <c r="LJ49">
        <f t="shared" si="1542"/>
        <v>5.9452947159755354E-2</v>
      </c>
      <c r="LK49">
        <f t="shared" si="1542"/>
        <v>6.075322485878587E-2</v>
      </c>
      <c r="LL49">
        <f t="shared" si="1542"/>
        <v>6.2038929838152512E-2</v>
      </c>
      <c r="LM49">
        <f t="shared" si="1542"/>
        <v>6.3308132523616223E-2</v>
      </c>
      <c r="LN49">
        <f t="shared" si="1542"/>
        <v>6.4558838260865059E-2</v>
      </c>
      <c r="LO49">
        <f t="shared" si="1542"/>
        <v>6.5789019071715416E-2</v>
      </c>
      <c r="LP49">
        <f t="shared" si="1542"/>
        <v>6.6996644469213606E-2</v>
      </c>
      <c r="LQ49">
        <f t="shared" si="1542"/>
        <v>6.8179710373968305E-2</v>
      </c>
      <c r="LR49">
        <f t="shared" si="1542"/>
        <v>6.9336265437158318E-2</v>
      </c>
      <c r="LS49">
        <f t="shared" si="1542"/>
        <v>7.0464434313180391E-2</v>
      </c>
      <c r="LT49">
        <f t="shared" si="1542"/>
        <v>7.1562437630873887E-2</v>
      </c>
      <c r="LU49">
        <f t="shared" si="1542"/>
        <v>7.2628608579393017E-2</v>
      </c>
      <c r="LV49">
        <f t="shared" ref="LV49:OG49" si="1543">$W$18*LV33+$X$18*LV34+$Y$18*LV35</f>
        <v>7.3661406158848308E-2</v>
      </c>
      <c r="LW49">
        <f t="shared" si="1543"/>
        <v>7.4659425243666533E-2</v>
      </c>
      <c r="LX49">
        <f t="shared" si="1543"/>
        <v>7.5621403678695742E-2</v>
      </c>
      <c r="LY49">
        <f t="shared" si="1543"/>
        <v>7.6546226672874695E-2</v>
      </c>
      <c r="LZ49">
        <f t="shared" si="1543"/>
        <v>7.7432928780837074E-2</v>
      </c>
      <c r="MA49">
        <f t="shared" si="1543"/>
        <v>7.8280693773280063E-2</v>
      </c>
      <c r="MB49">
        <f t="shared" si="1543"/>
        <v>7.9088852694496836E-2</v>
      </c>
      <c r="MC49">
        <f t="shared" si="1543"/>
        <v>7.9856880393720076E-2</v>
      </c>
      <c r="MD49">
        <f t="shared" si="1543"/>
        <v>8.0584390800723327E-2</v>
      </c>
      <c r="ME49">
        <f t="shared" si="1543"/>
        <v>8.12711311940717E-2</v>
      </c>
      <c r="MF49">
        <f t="shared" si="1543"/>
        <v>8.1916975687875038E-2</v>
      </c>
      <c r="MG49">
        <f t="shared" si="1543"/>
        <v>8.2521918137246075E-2</v>
      </c>
      <c r="MH49">
        <f t="shared" si="1543"/>
        <v>8.3086064640696122E-2</v>
      </c>
      <c r="MI49">
        <f t="shared" si="1543"/>
        <v>8.3609625791794429E-2</v>
      </c>
      <c r="MJ49">
        <f t="shared" si="1543"/>
        <v>8.409290881282061E-2</v>
      </c>
      <c r="MK49">
        <f t="shared" si="1543"/>
        <v>8.4536309680856903E-2</v>
      </c>
      <c r="ML49">
        <f t="shared" si="1543"/>
        <v>8.4940305339273436E-2</v>
      </c>
      <c r="MM49">
        <f t="shared" si="1543"/>
        <v>8.5305446070307767E-2</v>
      </c>
      <c r="MN49">
        <f t="shared" si="1543"/>
        <v>8.5632348089617949E-2</v>
      </c>
      <c r="MO49">
        <f t="shared" si="1543"/>
        <v>8.5921686410557641E-2</v>
      </c>
      <c r="MP49">
        <f t="shared" si="1543"/>
        <v>8.6174188014581432E-2</v>
      </c>
      <c r="MQ49">
        <f t="shared" si="1543"/>
        <v>8.6390625353686801E-2</v>
      </c>
      <c r="MR49">
        <f t="shared" si="1543"/>
        <v>8.6571810203366795E-2</v>
      </c>
      <c r="MS49">
        <f t="shared" si="1543"/>
        <v>8.6718587876319475E-2</v>
      </c>
      <c r="MT49">
        <f t="shared" si="1543"/>
        <v>8.6831831802058446E-2</v>
      </c>
      <c r="MU49">
        <f t="shared" si="1543"/>
        <v>8.6912438471756559E-2</v>
      </c>
      <c r="MV49">
        <f t="shared" si="1543"/>
        <v>8.6961322744315339E-2</v>
      </c>
      <c r="MW49">
        <f t="shared" si="1543"/>
        <v>8.6979413505815728E-2</v>
      </c>
      <c r="MX49">
        <f t="shared" si="1543"/>
        <v>8.6967649672629932E-2</v>
      </c>
      <c r="MY49">
        <f t="shared" si="1543"/>
        <v>8.6926976525191435E-2</v>
      </c>
      <c r="MZ49">
        <f t="shared" si="1543"/>
        <v>8.6858342359818153E-2</v>
      </c>
      <c r="NA49">
        <f t="shared" si="1543"/>
        <v>8.6762695442914151E-2</v>
      </c>
      <c r="NB49">
        <f t="shared" si="1543"/>
        <v>8.66409812527138E-2</v>
      </c>
      <c r="NC49">
        <f t="shared" si="1543"/>
        <v>8.6494139992694841E-2</v>
      </c>
      <c r="ND49">
        <f t="shared" si="1543"/>
        <v>8.6323104360289449E-2</v>
      </c>
      <c r="NE49">
        <f t="shared" si="1543"/>
        <v>8.6128797555659276E-2</v>
      </c>
      <c r="NF49">
        <f t="shared" si="1543"/>
        <v>8.5912131514334078E-2</v>
      </c>
      <c r="NG49">
        <f t="shared" si="1543"/>
        <v>8.5674005348280957E-2</v>
      </c>
      <c r="NH49">
        <f t="shared" si="1543"/>
        <v>8.5415303981477564E-2</v>
      </c>
      <c r="NI49">
        <f t="shared" si="1543"/>
        <v>8.5136896964172593E-2</v>
      </c>
      <c r="NJ49">
        <f t="shared" si="1543"/>
        <v>8.4839637453598016E-2</v>
      </c>
      <c r="NK49">
        <f t="shared" si="1543"/>
        <v>8.452436134683694E-2</v>
      </c>
      <c r="NL49">
        <f t="shared" si="1543"/>
        <v>8.4191886554023654E-2</v>
      </c>
      <c r="NM49">
        <f t="shared" si="1543"/>
        <v>8.3843012399839267E-2</v>
      </c>
      <c r="NN49">
        <f t="shared" si="1543"/>
        <v>8.3478519142531127E-2</v>
      </c>
      <c r="NO49">
        <f t="shared" si="1543"/>
        <v>8.3099167599257839E-2</v>
      </c>
      <c r="NP49">
        <f t="shared" si="1543"/>
        <v>8.2705698868650757E-2</v>
      </c>
      <c r="NQ49">
        <f t="shared" si="1543"/>
        <v>8.2298834141269595E-2</v>
      </c>
      <c r="NR49">
        <f t="shared" si="1543"/>
        <v>8.1879274589212514E-2</v>
      </c>
      <c r="NS49">
        <f t="shared" si="1543"/>
        <v>8.1447701327050481E-2</v>
      </c>
      <c r="NT49">
        <f t="shared" si="1543"/>
        <v>8.1004775436738896E-2</v>
      </c>
      <c r="NU49">
        <f t="shared" si="1543"/>
        <v>8.0551138049600013E-2</v>
      </c>
      <c r="NV49">
        <f t="shared" si="1543"/>
        <v>8.008741047932233E-2</v>
      </c>
      <c r="NW49">
        <f t="shared" si="1543"/>
        <v>7.9614194399681537E-2</v>
      </c>
      <c r="NX49">
        <f t="shared" si="1543"/>
        <v>7.9132072061966596E-2</v>
      </c>
      <c r="NY49">
        <f t="shared" si="1543"/>
        <v>7.8641606547293463E-2</v>
      </c>
      <c r="NZ49">
        <f t="shared" si="1543"/>
        <v>7.8143342049003195E-2</v>
      </c>
      <c r="OA49">
        <f t="shared" si="1543"/>
        <v>7.7637804181009074E-2</v>
      </c>
      <c r="OB49">
        <f t="shared" si="1543"/>
        <v>7.7125500308895312E-2</v>
      </c>
      <c r="OC49">
        <f t="shared" si="1543"/>
        <v>7.6606919899390391E-2</v>
      </c>
      <c r="OD49">
        <f t="shared" si="1543"/>
        <v>7.6082534885841824E-2</v>
      </c>
      <c r="OE49">
        <f t="shared" si="1543"/>
        <v>7.5552800046779112E-2</v>
      </c>
      <c r="OF49">
        <f t="shared" si="1543"/>
        <v>7.5018153394495357E-2</v>
      </c>
      <c r="OG49">
        <f t="shared" si="1543"/>
        <v>7.4479016572055912E-2</v>
      </c>
      <c r="OH49">
        <f t="shared" ref="OH49:QS49" si="1544">$W$18*OH33+$X$18*OH34+$Y$18*OH35</f>
        <v>7.3935795255778203E-2</v>
      </c>
      <c r="OI49">
        <f t="shared" si="1544"/>
        <v>7.3388879562216403E-2</v>
      </c>
      <c r="OJ49">
        <f t="shared" si="1544"/>
        <v>7.283864445739141E-2</v>
      </c>
      <c r="OK49">
        <f t="shared" si="1544"/>
        <v>7.2285450166887699E-2</v>
      </c>
      <c r="OL49">
        <f t="shared" si="1544"/>
        <v>7.1729642585381725E-2</v>
      </c>
      <c r="OM49">
        <f t="shared" si="1544"/>
        <v>7.1171553684621358E-2</v>
      </c>
      <c r="ON49">
        <f t="shared" si="1544"/>
        <v>7.0611501918833142E-2</v>
      </c>
      <c r="OO49">
        <f t="shared" si="1544"/>
        <v>7.004979262615052E-2</v>
      </c>
      <c r="OP49">
        <f t="shared" si="1544"/>
        <v>6.9486718425892491E-2</v>
      </c>
      <c r="OQ49">
        <f t="shared" si="1544"/>
        <v>6.8922559610484768E-2</v>
      </c>
      <c r="OR49">
        <f t="shared" si="1544"/>
        <v>6.8357584531838711E-2</v>
      </c>
      <c r="OS49">
        <f t="shared" si="1544"/>
        <v>6.7792049981065361E-2</v>
      </c>
      <c r="OT49">
        <f t="shared" si="1544"/>
        <v>6.7226201561751964E-2</v>
      </c>
      <c r="OU49">
        <f t="shared" si="1544"/>
        <v>6.6660274056062008E-2</v>
      </c>
      <c r="OV49">
        <f t="shared" si="1544"/>
        <v>6.6094491783189824E-2</v>
      </c>
      <c r="OW49">
        <f t="shared" si="1544"/>
        <v>6.5529068950496594E-2</v>
      </c>
      <c r="OX49">
        <f t="shared" si="1544"/>
        <v>6.4964209996276168E-2</v>
      </c>
      <c r="OY49">
        <f t="shared" si="1544"/>
        <v>6.4400109924960702E-2</v>
      </c>
      <c r="OZ49">
        <f t="shared" si="1544"/>
        <v>6.3836954633643472E-2</v>
      </c>
      <c r="PA49">
        <f t="shared" si="1544"/>
        <v>6.3274921230942027E-2</v>
      </c>
      <c r="PB49">
        <f t="shared" si="1544"/>
        <v>6.2714178347206939E-2</v>
      </c>
      <c r="PC49">
        <f t="shared" si="1544"/>
        <v>6.2154886436431411E-2</v>
      </c>
      <c r="PD49">
        <f t="shared" si="1544"/>
        <v>6.1597198070174386E-2</v>
      </c>
      <c r="PE49">
        <f t="shared" si="1544"/>
        <v>6.1041258222900296E-2</v>
      </c>
      <c r="PF49">
        <f t="shared" si="1544"/>
        <v>6.048720454953127E-2</v>
      </c>
      <c r="PG49">
        <f t="shared" si="1544"/>
        <v>5.9935167654543875E-2</v>
      </c>
      <c r="PH49">
        <f t="shared" si="1544"/>
        <v>5.9385271353335156E-2</v>
      </c>
      <c r="PI49">
        <f t="shared" si="1544"/>
        <v>5.8837632925673233E-2</v>
      </c>
      <c r="PJ49">
        <f t="shared" si="1544"/>
        <v>5.8292363361189814E-2</v>
      </c>
      <c r="PK49">
        <f t="shared" si="1544"/>
        <v>5.7749567597454643E-2</v>
      </c>
      <c r="PL49">
        <f t="shared" si="1544"/>
        <v>5.7209344750475566E-2</v>
      </c>
      <c r="PM49">
        <f t="shared" si="1544"/>
        <v>5.6671788337808948E-2</v>
      </c>
      <c r="PN49">
        <f t="shared" si="1544"/>
        <v>5.6136986494692565E-2</v>
      </c>
      <c r="PO49">
        <f t="shared" si="1544"/>
        <v>5.5605022182788844E-2</v>
      </c>
      <c r="PP49">
        <f t="shared" si="1544"/>
        <v>5.5075973392263222E-2</v>
      </c>
      <c r="PQ49">
        <f t="shared" si="1544"/>
        <v>5.4549913337197609E-2</v>
      </c>
      <c r="PR49">
        <f t="shared" si="1544"/>
        <v>5.4026910644353165E-2</v>
      </c>
      <c r="PS49">
        <f t="shared" si="1544"/>
        <v>5.3507029535467154E-2</v>
      </c>
      <c r="PT49">
        <f t="shared" si="1544"/>
        <v>5.2990330003623853E-2</v>
      </c>
      <c r="PU49">
        <f t="shared" si="1544"/>
        <v>5.2476867983287434E-2</v>
      </c>
      <c r="PV49">
        <f t="shared" si="1544"/>
        <v>5.1966695514494177E-2</v>
      </c>
      <c r="PW49">
        <f t="shared" si="1544"/>
        <v>5.145986090145982E-2</v>
      </c>
      <c r="PX49">
        <f t="shared" si="1544"/>
        <v>5.095640886571573E-2</v>
      </c>
      <c r="PY49">
        <f t="shared" si="1544"/>
        <v>5.0456380693248093E-2</v>
      </c>
      <c r="PZ49">
        <f t="shared" si="1544"/>
        <v>4.9959814377373846E-2</v>
      </c>
      <c r="QA49">
        <f t="shared" si="1544"/>
        <v>4.9466744755690684E-2</v>
      </c>
      <c r="QB49">
        <f t="shared" si="1544"/>
        <v>4.8977203642522227E-2</v>
      </c>
      <c r="QC49">
        <f t="shared" si="1544"/>
        <v>4.8491219956531495E-2</v>
      </c>
      <c r="QD49">
        <f t="shared" si="1544"/>
        <v>4.8008819843659012E-2</v>
      </c>
      <c r="QE49">
        <f t="shared" si="1544"/>
        <v>4.7530026795612912E-2</v>
      </c>
      <c r="QF49">
        <f t="shared" si="1544"/>
        <v>4.7054861763996314E-2</v>
      </c>
      <c r="QG49">
        <f t="shared" si="1544"/>
        <v>4.6583343270455657E-2</v>
      </c>
      <c r="QH49">
        <f t="shared" si="1544"/>
        <v>4.6115487512338404E-2</v>
      </c>
      <c r="QI49">
        <f t="shared" si="1544"/>
        <v>4.56513084648833E-2</v>
      </c>
      <c r="QJ49">
        <f t="shared" si="1544"/>
        <v>4.5190817979374742E-2</v>
      </c>
      <c r="QK49">
        <f t="shared" si="1544"/>
        <v>4.4734025877701811E-2</v>
      </c>
      <c r="QL49">
        <f t="shared" si="1544"/>
        <v>4.4280940043293526E-2</v>
      </c>
      <c r="QM49">
        <f t="shared" si="1544"/>
        <v>4.3831566508757192E-2</v>
      </c>
      <c r="QN49">
        <f t="shared" si="1544"/>
        <v>4.3385909540262446E-2</v>
      </c>
      <c r="QO49">
        <f t="shared" si="1544"/>
        <v>4.2943971718514717E-2</v>
      </c>
      <c r="QP49">
        <f t="shared" si="1544"/>
        <v>4.2505754016701758E-2</v>
      </c>
      <c r="QQ49">
        <f t="shared" si="1544"/>
        <v>4.207125587572591E-2</v>
      </c>
      <c r="QR49">
        <f t="shared" si="1544"/>
        <v>4.1640475276153666E-2</v>
      </c>
      <c r="QS49">
        <f t="shared" si="1544"/>
        <v>4.1213408807863061E-2</v>
      </c>
      <c r="QT49">
        <f t="shared" ref="QT49:TE49" si="1545">$W$18*QT33+$X$18*QT34+$Y$18*QT35</f>
        <v>4.0790051736522059E-2</v>
      </c>
      <c r="QU49">
        <f t="shared" si="1545"/>
        <v>4.0370398067935298E-2</v>
      </c>
      <c r="QV49">
        <f t="shared" si="1545"/>
        <v>3.9954440609648145E-2</v>
      </c>
      <c r="QW49">
        <f t="shared" si="1545"/>
        <v>3.9542171030134909E-2</v>
      </c>
      <c r="QX49">
        <f t="shared" si="1545"/>
        <v>3.9133579915883843E-2</v>
      </c>
      <c r="QY49">
        <f t="shared" si="1545"/>
        <v>3.8728656826094721E-2</v>
      </c>
      <c r="QZ49">
        <f t="shared" si="1545"/>
        <v>3.8327390345074264E-2</v>
      </c>
      <c r="RA49">
        <f t="shared" si="1545"/>
        <v>3.7929768133082575E-2</v>
      </c>
      <c r="RB49">
        <f t="shared" si="1545"/>
        <v>3.7535776974578994E-2</v>
      </c>
      <c r="RC49">
        <f t="shared" si="1545"/>
        <v>3.7145402824947382E-2</v>
      </c>
      <c r="RD49">
        <f t="shared" si="1545"/>
        <v>3.6758630855217689E-2</v>
      </c>
      <c r="RE49">
        <f t="shared" si="1545"/>
        <v>3.6375445494883252E-2</v>
      </c>
      <c r="RF49">
        <f t="shared" si="1545"/>
        <v>3.5995830473339652E-2</v>
      </c>
      <c r="RG49">
        <f t="shared" si="1545"/>
        <v>3.5619768859461942E-2</v>
      </c>
      <c r="RH49">
        <f t="shared" si="1545"/>
        <v>3.5247243099277625E-2</v>
      </c>
      <c r="RI49">
        <f t="shared" si="1545"/>
        <v>3.4878235052815398E-2</v>
      </c>
      <c r="RJ49">
        <f t="shared" si="1545"/>
        <v>3.451272602879385E-2</v>
      </c>
      <c r="RK49">
        <f t="shared" si="1545"/>
        <v>3.4150696818244342E-2</v>
      </c>
      <c r="RL49">
        <f t="shared" si="1545"/>
        <v>3.3792127726826493E-2</v>
      </c>
      <c r="RM49">
        <f t="shared" si="1545"/>
        <v>3.3436998605381518E-2</v>
      </c>
      <c r="RN49">
        <f t="shared" si="1545"/>
        <v>3.308528887976081E-2</v>
      </c>
      <c r="RO49">
        <f t="shared" si="1545"/>
        <v>3.2736977579062909E-2</v>
      </c>
      <c r="RP49">
        <f t="shared" si="1545"/>
        <v>3.2392043362818868E-2</v>
      </c>
      <c r="RQ49">
        <f t="shared" si="1545"/>
        <v>3.2050464547126012E-2</v>
      </c>
      <c r="RR49">
        <f t="shared" si="1545"/>
        <v>3.1712219129417463E-2</v>
      </c>
      <c r="RS49">
        <f t="shared" si="1545"/>
        <v>3.1377284812549533E-2</v>
      </c>
      <c r="RT49">
        <f t="shared" si="1545"/>
        <v>3.1045639027567518E-2</v>
      </c>
      <c r="RU49">
        <f t="shared" si="1545"/>
        <v>3.0717258955732518E-2</v>
      </c>
      <c r="RV49">
        <f t="shared" si="1545"/>
        <v>3.0392121549297713E-2</v>
      </c>
      <c r="RW49">
        <f t="shared" si="1545"/>
        <v>3.0070203551815666E-2</v>
      </c>
      <c r="RX49">
        <f t="shared" si="1545"/>
        <v>2.9751481517322986E-2</v>
      </c>
      <c r="RY49">
        <f t="shared" si="1545"/>
        <v>2.9435931828658113E-2</v>
      </c>
      <c r="RZ49">
        <f t="shared" si="1545"/>
        <v>2.9123530715011725E-2</v>
      </c>
      <c r="SA49">
        <f t="shared" si="1545"/>
        <v>2.8814254268766604E-2</v>
      </c>
      <c r="SB49">
        <f t="shared" si="1545"/>
        <v>2.8508078461740638E-2</v>
      </c>
      <c r="SC49">
        <f t="shared" si="1545"/>
        <v>2.8204979160236121E-2</v>
      </c>
      <c r="SD49">
        <f t="shared" si="1545"/>
        <v>2.7904932140032201E-2</v>
      </c>
      <c r="SE49">
        <f t="shared" si="1545"/>
        <v>2.7607913100183623E-2</v>
      </c>
      <c r="SF49">
        <f t="shared" si="1545"/>
        <v>2.7313897676535248E-2</v>
      </c>
      <c r="SG49">
        <f t="shared" si="1545"/>
        <v>2.7022861454341296E-2</v>
      </c>
      <c r="SH49">
        <f t="shared" si="1545"/>
        <v>2.6734779980728263E-2</v>
      </c>
      <c r="SI49">
        <f t="shared" si="1545"/>
        <v>2.6449628776092027E-2</v>
      </c>
      <c r="SJ49">
        <f t="shared" si="1545"/>
        <v>2.6167383345224948E-2</v>
      </c>
      <c r="SK49">
        <f t="shared" si="1545"/>
        <v>2.588801918798822E-2</v>
      </c>
      <c r="SL49">
        <f t="shared" si="1545"/>
        <v>2.5611511809273679E-2</v>
      </c>
      <c r="SM49">
        <f t="shared" si="1545"/>
        <v>2.5337836728766661E-2</v>
      </c>
      <c r="SN49">
        <f t="shared" si="1545"/>
        <v>2.5066969489813573E-2</v>
      </c>
      <c r="SO49">
        <f t="shared" si="1545"/>
        <v>2.4798885668346315E-2</v>
      </c>
      <c r="SP49">
        <f t="shared" si="1545"/>
        <v>2.4533560881081939E-2</v>
      </c>
      <c r="SQ49">
        <f t="shared" si="1545"/>
        <v>2.4270970793295987E-2</v>
      </c>
      <c r="SR49">
        <f t="shared" si="1545"/>
        <v>2.4011091126453721E-2</v>
      </c>
      <c r="SS49">
        <f t="shared" si="1545"/>
        <v>2.3753897665145018E-2</v>
      </c>
      <c r="ST49">
        <f t="shared" si="1545"/>
        <v>2.3499366263862953E-2</v>
      </c>
      <c r="SU49">
        <f t="shared" si="1545"/>
        <v>2.3247472853384465E-2</v>
      </c>
      <c r="SV49">
        <f t="shared" si="1545"/>
        <v>2.2998193446909454E-2</v>
      </c>
      <c r="SW49">
        <f t="shared" si="1545"/>
        <v>2.2751504145688273E-2</v>
      </c>
      <c r="SX49">
        <f t="shared" si="1545"/>
        <v>2.2507381144421856E-2</v>
      </c>
      <c r="SY49">
        <f t="shared" si="1545"/>
        <v>2.2265800736491315E-2</v>
      </c>
      <c r="SZ49">
        <f t="shared" si="1545"/>
        <v>2.2026739318619093E-2</v>
      </c>
      <c r="TA49">
        <f t="shared" si="1545"/>
        <v>2.1790173395729084E-2</v>
      </c>
      <c r="TB49">
        <f t="shared" si="1545"/>
        <v>2.1556079585025145E-2</v>
      </c>
      <c r="TC49">
        <f t="shared" si="1545"/>
        <v>2.1324434620126453E-2</v>
      </c>
      <c r="TD49">
        <f t="shared" si="1545"/>
        <v>2.1095215354847596E-2</v>
      </c>
      <c r="TE49">
        <f t="shared" si="1545"/>
        <v>2.0868398766893392E-2</v>
      </c>
      <c r="TF49">
        <f t="shared" ref="TF49:VQ49" si="1546">$W$18*TF33+$X$18*TF34+$Y$18*TF35</f>
        <v>2.0643961961198443E-2</v>
      </c>
      <c r="TG49">
        <f t="shared" si="1546"/>
        <v>2.0421882172982464E-2</v>
      </c>
      <c r="TH49">
        <f t="shared" si="1546"/>
        <v>2.0202136770890888E-2</v>
      </c>
      <c r="TI49">
        <f t="shared" si="1546"/>
        <v>1.9984703259567027E-2</v>
      </c>
      <c r="TJ49">
        <f t="shared" si="1546"/>
        <v>1.9769559282366345E-2</v>
      </c>
      <c r="TK49">
        <f t="shared" si="1546"/>
        <v>1.9556682623800725E-2</v>
      </c>
      <c r="TL49">
        <f t="shared" si="1546"/>
        <v>1.9346051211513782E-2</v>
      </c>
      <c r="TM49">
        <f t="shared" si="1546"/>
        <v>1.9137643118710912E-2</v>
      </c>
      <c r="TN49">
        <f t="shared" si="1546"/>
        <v>1.8931436565793547E-2</v>
      </c>
      <c r="TO49">
        <f t="shared" si="1546"/>
        <v>1.8727409922192351E-2</v>
      </c>
      <c r="TP49">
        <f t="shared" si="1546"/>
        <v>1.852554170801568E-2</v>
      </c>
      <c r="TQ49">
        <f t="shared" si="1546"/>
        <v>1.8325810595584358E-2</v>
      </c>
      <c r="TR49">
        <f t="shared" si="1546"/>
        <v>1.8128195410696435E-2</v>
      </c>
      <c r="TS49">
        <f t="shared" si="1546"/>
        <v>1.7932675133764064E-2</v>
      </c>
      <c r="TT49">
        <f t="shared" si="1546"/>
        <v>1.773922890119195E-2</v>
      </c>
      <c r="TU49">
        <f t="shared" si="1546"/>
        <v>1.7547836006045259E-2</v>
      </c>
      <c r="TV49">
        <f t="shared" si="1546"/>
        <v>1.7358475899200698E-2</v>
      </c>
      <c r="TW49">
        <f t="shared" si="1546"/>
        <v>1.7171128189929163E-2</v>
      </c>
      <c r="TX49">
        <f t="shared" si="1546"/>
        <v>1.69857726466347E-2</v>
      </c>
      <c r="TY49">
        <f t="shared" si="1546"/>
        <v>1.6802389197493994E-2</v>
      </c>
      <c r="TZ49">
        <f t="shared" si="1546"/>
        <v>1.6620957930769009E-2</v>
      </c>
      <c r="UA49">
        <f t="shared" si="1546"/>
        <v>1.644145909551753E-2</v>
      </c>
      <c r="UB49">
        <f t="shared" si="1546"/>
        <v>1.6263873101493687E-2</v>
      </c>
      <c r="UC49">
        <f t="shared" si="1546"/>
        <v>1.6088180519730599E-2</v>
      </c>
      <c r="UD49">
        <f t="shared" si="1546"/>
        <v>1.59143620825688E-2</v>
      </c>
      <c r="UE49">
        <f t="shared" si="1546"/>
        <v>1.5742398683656234E-2</v>
      </c>
      <c r="UF49">
        <f t="shared" si="1546"/>
        <v>1.5572271378147207E-2</v>
      </c>
      <c r="UG49">
        <f t="shared" si="1546"/>
        <v>1.5403961382503439E-2</v>
      </c>
      <c r="UH49">
        <f t="shared" si="1546"/>
        <v>1.5237450074494063E-2</v>
      </c>
      <c r="UI49">
        <f t="shared" si="1546"/>
        <v>1.5072718992868772E-2</v>
      </c>
      <c r="UJ49">
        <f t="shared" si="1546"/>
        <v>1.4909749837357822E-2</v>
      </c>
      <c r="UK49">
        <f t="shared" si="1546"/>
        <v>1.4748524468188862E-2</v>
      </c>
      <c r="UL49">
        <f t="shared" si="1546"/>
        <v>1.458902490585956E-2</v>
      </c>
      <c r="UM49">
        <f t="shared" si="1546"/>
        <v>1.443123333072549E-2</v>
      </c>
      <c r="UN49">
        <f t="shared" si="1546"/>
        <v>1.4275132082602227E-2</v>
      </c>
      <c r="UO49">
        <f t="shared" si="1546"/>
        <v>1.4120703660196909E-2</v>
      </c>
      <c r="UP49">
        <f t="shared" si="1546"/>
        <v>1.3967930720809818E-2</v>
      </c>
      <c r="UQ49">
        <f t="shared" si="1546"/>
        <v>1.3816796079481719E-2</v>
      </c>
      <c r="UR49">
        <f t="shared" si="1546"/>
        <v>1.3667282708695438E-2</v>
      </c>
      <c r="US49">
        <f t="shared" si="1546"/>
        <v>1.3519373737551632E-2</v>
      </c>
      <c r="UT49">
        <f t="shared" si="1546"/>
        <v>1.3373052451228773E-2</v>
      </c>
      <c r="UU49">
        <f t="shared" si="1546"/>
        <v>1.3228302290201555E-2</v>
      </c>
      <c r="UV49">
        <f t="shared" si="1546"/>
        <v>1.3085106849644035E-2</v>
      </c>
      <c r="UW49">
        <f t="shared" si="1546"/>
        <v>1.2943449878562774E-2</v>
      </c>
      <c r="UX49">
        <f t="shared" si="1546"/>
        <v>1.2803315279015237E-2</v>
      </c>
      <c r="UY49">
        <f t="shared" si="1546"/>
        <v>1.266468710552715E-2</v>
      </c>
      <c r="UZ49">
        <f t="shared" si="1546"/>
        <v>1.2527549563912999E-2</v>
      </c>
      <c r="VA49">
        <f t="shared" si="1546"/>
        <v>1.2391887010693381E-2</v>
      </c>
      <c r="VB49">
        <f t="shared" si="1546"/>
        <v>1.2257683952313414E-2</v>
      </c>
      <c r="VC49">
        <f t="shared" si="1546"/>
        <v>1.2124925043906387E-2</v>
      </c>
      <c r="VD49">
        <f t="shared" si="1546"/>
        <v>1.1993595088767961E-2</v>
      </c>
      <c r="VE49">
        <f t="shared" si="1546"/>
        <v>1.1863679037176666E-2</v>
      </c>
      <c r="VF49">
        <f t="shared" si="1546"/>
        <v>1.1735161985598097E-2</v>
      </c>
      <c r="VG49">
        <f t="shared" si="1546"/>
        <v>1.1608029175604884E-2</v>
      </c>
      <c r="VH49">
        <f t="shared" si="1546"/>
        <v>1.1482265993222995E-2</v>
      </c>
      <c r="VI49">
        <f t="shared" si="1546"/>
        <v>1.1357857967468021E-2</v>
      </c>
      <c r="VJ49">
        <f t="shared" si="1546"/>
        <v>1.1234790769805159E-2</v>
      </c>
      <c r="VK49">
        <f t="shared" si="1546"/>
        <v>1.1113050212998132E-2</v>
      </c>
      <c r="VL49">
        <f t="shared" si="1546"/>
        <v>1.0992622249972328E-2</v>
      </c>
      <c r="VM49">
        <f t="shared" si="1546"/>
        <v>1.0873492973018983E-2</v>
      </c>
      <c r="VN49">
        <f t="shared" si="1546"/>
        <v>1.075564861267253E-2</v>
      </c>
      <c r="VO49">
        <f t="shared" si="1546"/>
        <v>1.063907553661636E-2</v>
      </c>
      <c r="VP49">
        <f t="shared" si="1546"/>
        <v>1.0523760248744907E-2</v>
      </c>
      <c r="VQ49">
        <f t="shared" si="1546"/>
        <v>1.0409689388112042E-2</v>
      </c>
      <c r="VR49">
        <f t="shared" ref="VR49:YC49" si="1547">$W$18*VR33+$X$18*VR34+$Y$18*VR35</f>
        <v>1.0296849727836843E-2</v>
      </c>
      <c r="VS49">
        <f t="shared" si="1547"/>
        <v>1.0185228174165672E-2</v>
      </c>
      <c r="VT49">
        <f t="shared" si="1547"/>
        <v>1.0074811765221625E-2</v>
      </c>
      <c r="VU49">
        <f t="shared" si="1547"/>
        <v>9.965587670194509E-3</v>
      </c>
      <c r="VV49">
        <f t="shared" si="1547"/>
        <v>9.8575431879339703E-3</v>
      </c>
      <c r="VW49">
        <f t="shared" si="1547"/>
        <v>9.7506657463952706E-3</v>
      </c>
      <c r="VX49">
        <f t="shared" si="1547"/>
        <v>9.6449429011187249E-3</v>
      </c>
      <c r="VY49">
        <f t="shared" si="1547"/>
        <v>9.5403623343770505E-3</v>
      </c>
      <c r="VZ49">
        <f t="shared" si="1547"/>
        <v>9.4369118540100771E-3</v>
      </c>
      <c r="WA49">
        <f t="shared" si="1547"/>
        <v>9.3345793925436737E-3</v>
      </c>
      <c r="WB49">
        <f t="shared" si="1547"/>
        <v>9.2333530058823499E-3</v>
      </c>
      <c r="WC49">
        <f t="shared" si="1547"/>
        <v>9.133220872499237E-3</v>
      </c>
      <c r="WD49">
        <f t="shared" si="1547"/>
        <v>9.0341712921571116E-3</v>
      </c>
      <c r="WE49">
        <f t="shared" si="1547"/>
        <v>8.9361926849278461E-3</v>
      </c>
      <c r="WF49">
        <f t="shared" si="1547"/>
        <v>8.8392735902118602E-3</v>
      </c>
      <c r="WG49">
        <f t="shared" si="1547"/>
        <v>8.7434026655301977E-3</v>
      </c>
      <c r="WH49">
        <f t="shared" si="1547"/>
        <v>8.6485686857002975E-3</v>
      </c>
      <c r="WI49">
        <f t="shared" si="1547"/>
        <v>8.5547605415285943E-3</v>
      </c>
      <c r="WJ49">
        <f t="shared" si="1547"/>
        <v>8.4619672388441813E-3</v>
      </c>
      <c r="WK49">
        <f t="shared" si="1547"/>
        <v>8.37017789767458E-3</v>
      </c>
      <c r="WL49">
        <f t="shared" si="1547"/>
        <v>8.2793817507962331E-3</v>
      </c>
      <c r="WM49">
        <f t="shared" si="1547"/>
        <v>8.1895651631072042E-3</v>
      </c>
      <c r="WN49">
        <f t="shared" si="1547"/>
        <v>8.100701833200219E-3</v>
      </c>
      <c r="WO49">
        <f t="shared" si="1547"/>
        <v>8.0127341317250966E-3</v>
      </c>
      <c r="WP49">
        <f t="shared" si="1547"/>
        <v>7.9255463221556965E-3</v>
      </c>
      <c r="WQ49">
        <f t="shared" si="1547"/>
        <v>7.8389327104986251E-3</v>
      </c>
      <c r="WR49">
        <f t="shared" si="1547"/>
        <v>7.7525649101914951E-3</v>
      </c>
      <c r="WS49">
        <f t="shared" si="1547"/>
        <v>7.6659623976524927E-3</v>
      </c>
      <c r="WT49">
        <f t="shared" si="1547"/>
        <v>7.5784697227305742E-3</v>
      </c>
      <c r="WU49">
        <f t="shared" si="1547"/>
        <v>7.4892425371331228E-3</v>
      </c>
      <c r="WV49">
        <f t="shared" si="1547"/>
        <v>7.3972433499989165E-3</v>
      </c>
      <c r="WW49">
        <f t="shared" si="1547"/>
        <v>7.301246834487074E-3</v>
      </c>
      <c r="WX49">
        <f t="shared" si="1547"/>
        <v>7.1998536934643198E-3</v>
      </c>
      <c r="WY49">
        <f t="shared" si="1547"/>
        <v>7.0915115730230127E-3</v>
      </c>
      <c r="WZ49">
        <f t="shared" si="1547"/>
        <v>6.9745412580886068E-3</v>
      </c>
      <c r="XA49">
        <f t="shared" si="1547"/>
        <v>6.8471663429647833E-3</v>
      </c>
      <c r="XB49">
        <f t="shared" si="1547"/>
        <v>6.7075446803528394E-3</v>
      </c>
      <c r="XC49">
        <f t="shared" si="1547"/>
        <v>6.5538001206846275E-3</v>
      </c>
      <c r="XD49">
        <f t="shared" si="1547"/>
        <v>6.3840533102990094E-3</v>
      </c>
      <c r="XE49">
        <f t="shared" si="1547"/>
        <v>6.1964505914602341E-3</v>
      </c>
      <c r="XF49">
        <f t="shared" si="1547"/>
        <v>5.9891903086253251E-3</v>
      </c>
      <c r="XG49">
        <f t="shared" si="1547"/>
        <v>5.7605460645646644E-3</v>
      </c>
      <c r="XH49">
        <f t="shared" si="1547"/>
        <v>5.5088866753010279E-3</v>
      </c>
      <c r="XI49">
        <f t="shared" si="1547"/>
        <v>5.2326927395682787E-3</v>
      </c>
      <c r="XJ49">
        <f t="shared" si="1547"/>
        <v>4.930569873167201E-3</v>
      </c>
      <c r="XK49">
        <f t="shared" si="1547"/>
        <v>4.6012587563382112E-3</v>
      </c>
      <c r="XL49">
        <f t="shared" si="1547"/>
        <v>4.2436422137512864E-3</v>
      </c>
      <c r="XM49">
        <f t="shared" si="1547"/>
        <v>3.8567495920460715E-3</v>
      </c>
      <c r="XN49">
        <f t="shared" si="1547"/>
        <v>3.4397587258183648E-3</v>
      </c>
      <c r="XO49">
        <f t="shared" si="1547"/>
        <v>2.9919957920299112E-3</v>
      </c>
      <c r="XP49">
        <f t="shared" si="1547"/>
        <v>2.512933351951574E-3</v>
      </c>
      <c r="XQ49">
        <f t="shared" si="1547"/>
        <v>2.0021868667612353E-3</v>
      </c>
      <c r="XR49">
        <f t="shared" si="1547"/>
        <v>1.4595099578968984E-3</v>
      </c>
      <c r="XS49">
        <f t="shared" si="1547"/>
        <v>8.8478865984598087E-4</v>
      </c>
      <c r="XT49">
        <f t="shared" si="1547"/>
        <v>2.7803489143707338E-4</v>
      </c>
      <c r="XU49">
        <f t="shared" si="1547"/>
        <v>-3.6062065355224604E-4</v>
      </c>
      <c r="XV49">
        <f t="shared" si="1547"/>
        <v>-1.0309360195037698E-3</v>
      </c>
      <c r="XW49">
        <f t="shared" si="1547"/>
        <v>-1.7325657516948922E-3</v>
      </c>
      <c r="XX49">
        <f t="shared" si="1547"/>
        <v>-2.4650687779939062E-3</v>
      </c>
      <c r="XY49">
        <f t="shared" si="1547"/>
        <v>-3.2279162973622988E-3</v>
      </c>
      <c r="XZ49">
        <f t="shared" si="1547"/>
        <v>-4.0204995828077017E-3</v>
      </c>
      <c r="YA49">
        <f t="shared" si="1547"/>
        <v>-4.8421376235694424E-3</v>
      </c>
      <c r="YB49">
        <f t="shared" si="1547"/>
        <v>-5.6920845447905322E-3</v>
      </c>
      <c r="YC49">
        <f t="shared" si="1547"/>
        <v>-6.569536757481842E-3</v>
      </c>
      <c r="YD49">
        <f t="shared" ref="YD49:AAO49" si="1548">$W$18*YD33+$X$18*YD34+$Y$18*YD35</f>
        <v>-7.4736398025976314E-3</v>
      </c>
      <c r="YE49">
        <f t="shared" si="1548"/>
        <v>-8.4034948621791727E-3</v>
      </c>
      <c r="YF49">
        <f t="shared" si="1548"/>
        <v>-9.3581649206555539E-3</v>
      </c>
      <c r="YG49">
        <f t="shared" si="1548"/>
        <v>-1.0336680564805079E-2</v>
      </c>
      <c r="YH49">
        <f t="shared" si="1548"/>
        <v>-1.1338045417730314E-2</v>
      </c>
      <c r="YI49">
        <f t="shared" si="1548"/>
        <v>-1.2361241207699436E-2</v>
      </c>
      <c r="YJ49">
        <f t="shared" si="1548"/>
        <v>-1.3405232475392381E-2</v>
      </c>
      <c r="YK49">
        <f t="shared" si="1548"/>
        <v>-1.4468970927723035E-2</v>
      </c>
      <c r="YL49">
        <f t="shared" si="1548"/>
        <v>-1.5551399447971903E-2</v>
      </c>
      <c r="YM49">
        <f t="shared" si="1548"/>
        <v>-1.665145577483429E-2</v>
      </c>
      <c r="YN49">
        <f t="shared" si="1548"/>
        <v>-1.7768075863727972E-2</v>
      </c>
      <c r="YO49">
        <f t="shared" si="1548"/>
        <v>-1.8900196945111247E-2</v>
      </c>
      <c r="YP49">
        <f t="shared" si="1548"/>
        <v>-2.004676029548591E-2</v>
      </c>
      <c r="YQ49">
        <f t="shared" si="1548"/>
        <v>-2.1206713736418692E-2</v>
      </c>
      <c r="YR49">
        <f t="shared" si="1548"/>
        <v>-2.2379013878136789E-2</v>
      </c>
      <c r="YS49">
        <f t="shared" si="1548"/>
        <v>-2.3562628122888896E-2</v>
      </c>
      <c r="YT49">
        <f t="shared" si="1548"/>
        <v>-2.4756536444584754E-2</v>
      </c>
      <c r="YU49">
        <f t="shared" si="1548"/>
        <v>-2.5959732959194071E-2</v>
      </c>
      <c r="YV49">
        <f t="shared" si="1548"/>
        <v>-2.7171227301522549E-2</v>
      </c>
      <c r="YW49">
        <f t="shared" si="1548"/>
        <v>-2.839004582189375E-2</v>
      </c>
      <c r="YX49">
        <f t="shared" si="1548"/>
        <v>-2.9615232617501874E-2</v>
      </c>
      <c r="YY49">
        <f t="shared" si="1548"/>
        <v>-3.0845850410386788E-2</v>
      </c>
      <c r="YZ49">
        <f t="shared" si="1548"/>
        <v>-3.2080981285730559E-2</v>
      </c>
      <c r="ZA49">
        <f t="shared" si="1548"/>
        <v>-3.3319727301091007E-2</v>
      </c>
      <c r="ZB49">
        <f t="shared" si="1548"/>
        <v>-3.4561210978580448E-2</v>
      </c>
      <c r="ZC49">
        <f t="shared" si="1548"/>
        <v>-3.5804575689951434E-2</v>
      </c>
      <c r="ZD49">
        <f t="shared" si="1548"/>
        <v>-3.7048985944664992E-2</v>
      </c>
      <c r="ZE49">
        <f t="shared" si="1548"/>
        <v>-3.8293627589752077E-2</v>
      </c>
      <c r="ZF49">
        <f t="shared" si="1548"/>
        <v>-3.9537707930662691E-2</v>
      </c>
      <c r="ZG49">
        <f t="shared" si="1548"/>
        <v>-4.0780455780193847E-2</v>
      </c>
      <c r="ZH49">
        <f t="shared" si="1548"/>
        <v>-4.2021121443553966E-2</v>
      </c>
      <c r="ZI49">
        <f t="shared" si="1548"/>
        <v>-4.3258976646129099E-2</v>
      </c>
      <c r="ZJ49">
        <f t="shared" si="1548"/>
        <v>-4.4493314410246398E-2</v>
      </c>
      <c r="ZK49">
        <f t="shared" si="1548"/>
        <v>-4.5723448886576534E-2</v>
      </c>
      <c r="ZL49">
        <f t="shared" si="1548"/>
        <v>-4.6948715146257314E-2</v>
      </c>
      <c r="ZM49">
        <f t="shared" si="1548"/>
        <v>-4.8168468937490161E-2</v>
      </c>
      <c r="ZN49">
        <f t="shared" si="1548"/>
        <v>-4.9382086412293802E-2</v>
      </c>
      <c r="ZO49">
        <f t="shared" si="1548"/>
        <v>-5.0588963826655231E-2</v>
      </c>
      <c r="ZP49">
        <f t="shared" si="1548"/>
        <v>-5.1788517218227526E-2</v>
      </c>
      <c r="ZQ49">
        <f t="shared" si="1548"/>
        <v>-5.2980182065354597E-2</v>
      </c>
      <c r="ZR49">
        <f t="shared" si="1548"/>
        <v>-5.4163412929653987E-2</v>
      </c>
      <c r="ZS49">
        <f t="shared" si="1548"/>
        <v>-5.5337683085653566E-2</v>
      </c>
      <c r="ZT49">
        <f t="shared" si="1548"/>
        <v>-5.650248414021064E-2</v>
      </c>
      <c r="ZU49">
        <f t="shared" si="1548"/>
        <v>-5.7657325643134527E-2</v>
      </c>
      <c r="ZV49">
        <f t="shared" si="1548"/>
        <v>-5.8801734692337959E-2</v>
      </c>
      <c r="ZW49">
        <f t="shared" si="1548"/>
        <v>-5.9935255534270482E-2</v>
      </c>
      <c r="ZX49">
        <f t="shared" si="1548"/>
        <v>-6.1057449161864952E-2</v>
      </c>
      <c r="ZY49">
        <f t="shared" si="1548"/>
        <v>-6.2167892911645595E-2</v>
      </c>
      <c r="ZZ49">
        <f t="shared" si="1548"/>
        <v>-6.326618006094975E-2</v>
      </c>
      <c r="AAA49">
        <f t="shared" si="1548"/>
        <v>-6.4351919426556492E-2</v>
      </c>
      <c r="AAB49">
        <f t="shared" si="1548"/>
        <v>-6.5424734966086362E-2</v>
      </c>
      <c r="AAC49">
        <f t="shared" si="1548"/>
        <v>-6.648426538275487E-2</v>
      </c>
      <c r="AAD49">
        <f t="shared" si="1548"/>
        <v>-6.7530163734147663E-2</v>
      </c>
      <c r="AAE49">
        <f t="shared" si="1548"/>
        <v>-6.8562097046495296E-2</v>
      </c>
      <c r="AAF49">
        <f t="shared" si="1548"/>
        <v>-6.9579745934035486E-2</v>
      </c>
      <c r="AAG49">
        <f t="shared" si="1548"/>
        <v>-7.0582804224883944E-2</v>
      </c>
      <c r="AAH49">
        <f t="shared" si="1548"/>
        <v>-7.1570978593214818E-2</v>
      </c>
      <c r="AAI49">
        <f t="shared" si="1548"/>
        <v>-7.2543988198532361E-2</v>
      </c>
      <c r="AAJ49">
        <f t="shared" si="1548"/>
        <v>-7.350156433206223E-2</v>
      </c>
      <c r="AAK49">
        <f t="shared" si="1548"/>
        <v>-7.4443450070759809E-2</v>
      </c>
      <c r="AAL49">
        <f t="shared" si="1548"/>
        <v>-7.5369399939134496E-2</v>
      </c>
      <c r="AAM49">
        <f t="shared" si="1548"/>
        <v>-7.6279179578676803E-2</v>
      </c>
      <c r="AAN49">
        <f t="shared" si="1548"/>
        <v>-7.7172565425428274E-2</v>
      </c>
      <c r="AAO49">
        <f t="shared" si="1548"/>
        <v>-7.8049344395552112E-2</v>
      </c>
    </row>
    <row r="50" spans="1:717">
      <c r="A50" s="4" t="s">
        <v>18</v>
      </c>
      <c r="B50" s="1">
        <f>$X$19*B34+$Y$19*B35+$Z$19*B37</f>
        <v>2.7984718063281093</v>
      </c>
      <c r="C50">
        <f>$X$19*C34+$Y$19*C35</f>
        <v>2.7984718063281093</v>
      </c>
      <c r="D50">
        <f t="shared" ref="D50" si="1549">$X$19*D34+$Y$19*D35+$Z$19*D37</f>
        <v>2.7984718063281093</v>
      </c>
      <c r="E50">
        <f t="shared" ref="E50:BP50" si="1550">$X$19*E34+$Y$19*E35+$Z$19*E37</f>
        <v>2.7984718063281093</v>
      </c>
      <c r="F50">
        <f t="shared" si="1550"/>
        <v>2.7984718063281093</v>
      </c>
      <c r="G50">
        <f t="shared" si="1550"/>
        <v>2.7984718063281093</v>
      </c>
      <c r="H50">
        <f t="shared" si="1550"/>
        <v>2.7984718063281093</v>
      </c>
      <c r="I50">
        <f t="shared" si="1550"/>
        <v>2.7984718063281093</v>
      </c>
      <c r="J50">
        <f t="shared" si="1550"/>
        <v>2.7984718063281093</v>
      </c>
      <c r="K50">
        <f t="shared" si="1550"/>
        <v>2.7984718063281093</v>
      </c>
      <c r="L50">
        <f t="shared" si="1550"/>
        <v>2.7984718059405651</v>
      </c>
      <c r="M50">
        <f t="shared" si="1550"/>
        <v>2.7984718027288693</v>
      </c>
      <c r="N50">
        <f t="shared" si="1550"/>
        <v>2.7984717881190164</v>
      </c>
      <c r="O50">
        <f t="shared" si="1550"/>
        <v>2.7984717398289973</v>
      </c>
      <c r="P50">
        <f t="shared" si="1550"/>
        <v>2.7984716101564686</v>
      </c>
      <c r="Q50">
        <f t="shared" si="1550"/>
        <v>2.798471310009603</v>
      </c>
      <c r="R50">
        <f t="shared" si="1550"/>
        <v>2.7984706891087825</v>
      </c>
      <c r="S50">
        <f t="shared" si="1550"/>
        <v>2.7984695132251716</v>
      </c>
      <c r="T50">
        <f t="shared" si="1550"/>
        <v>2.7984674396022342</v>
      </c>
      <c r="U50">
        <f t="shared" si="1550"/>
        <v>2.7984639918254857</v>
      </c>
      <c r="V50">
        <f t="shared" si="1550"/>
        <v>2.7984585353824656</v>
      </c>
      <c r="W50">
        <f t="shared" si="1550"/>
        <v>2.7984502550261112</v>
      </c>
      <c r="X50">
        <f t="shared" si="1550"/>
        <v>2.7984381348576193</v>
      </c>
      <c r="Y50">
        <f t="shared" si="1550"/>
        <v>2.7984209418163175</v>
      </c>
      <c r="Z50">
        <f t="shared" si="1550"/>
        <v>2.7983972130279113</v>
      </c>
      <c r="AA50">
        <f t="shared" si="1550"/>
        <v>2.7983652472425291</v>
      </c>
      <c r="AB50">
        <f t="shared" si="1550"/>
        <v>2.7983231004006228</v>
      </c>
      <c r="AC50">
        <f t="shared" si="1550"/>
        <v>2.7982685852038429</v>
      </c>
      <c r="AD50">
        <f t="shared" si="1550"/>
        <v>2.7981992744443716</v>
      </c>
      <c r="AE50">
        <f t="shared" si="1550"/>
        <v>2.7981125077553202</v>
      </c>
      <c r="AF50">
        <f t="shared" si="1550"/>
        <v>2.7980054013855664</v>
      </c>
      <c r="AG50">
        <f t="shared" si="1550"/>
        <v>2.7978748605697206</v>
      </c>
      <c r="AH50">
        <f t="shared" si="1550"/>
        <v>2.7977175940528554</v>
      </c>
      <c r="AI50">
        <f t="shared" si="1550"/>
        <v>2.7975301303364688</v>
      </c>
      <c r="AJ50">
        <f t="shared" si="1550"/>
        <v>2.7973088352311919</v>
      </c>
      <c r="AK50">
        <f t="shared" si="1550"/>
        <v>2.7970499303302319</v>
      </c>
      <c r="AL50">
        <f t="shared" si="1550"/>
        <v>2.7967495120522159</v>
      </c>
      <c r="AM50">
        <f t="shared" si="1550"/>
        <v>2.7964035709399013</v>
      </c>
      <c r="AN50">
        <f t="shared" si="1550"/>
        <v>2.7960080109399286</v>
      </c>
      <c r="AO50">
        <f t="shared" si="1550"/>
        <v>2.7955586684281428</v>
      </c>
      <c r="AP50">
        <f t="shared" si="1550"/>
        <v>2.7950513307818596</v>
      </c>
      <c r="AQ50">
        <f t="shared" si="1550"/>
        <v>2.7944817543359477</v>
      </c>
      <c r="AR50">
        <f t="shared" si="1550"/>
        <v>2.7938456815915487</v>
      </c>
      <c r="AS50">
        <f t="shared" si="1550"/>
        <v>2.7931388575759826</v>
      </c>
      <c r="AT50">
        <f t="shared" si="1550"/>
        <v>2.7923570452781377</v>
      </c>
      <c r="AU50">
        <f t="shared" si="1550"/>
        <v>2.7914960401070488</v>
      </c>
      <c r="AV50">
        <f t="shared" si="1550"/>
        <v>2.7905516833409507</v>
      </c>
      <c r="AW50">
        <f t="shared" si="1550"/>
        <v>2.7895198745516296</v>
      </c>
      <c r="AX50">
        <f t="shared" si="1550"/>
        <v>2.7883965830029211</v>
      </c>
      <c r="AY50">
        <f t="shared" si="1550"/>
        <v>2.7871778580346103</v>
      </c>
      <c r="AZ50">
        <f t="shared" si="1550"/>
        <v>2.7858598384527653</v>
      </c>
      <c r="BA50">
        <f t="shared" si="1550"/>
        <v>2.7844387609549415</v>
      </c>
      <c r="BB50">
        <f t="shared" si="1550"/>
        <v>2.7829109676261652</v>
      </c>
      <c r="BC50">
        <f t="shared" si="1550"/>
        <v>2.7812729125445514</v>
      </c>
      <c r="BD50">
        <f t="shared" si="1550"/>
        <v>2.7795211675405511</v>
      </c>
      <c r="BE50">
        <f t="shared" si="1550"/>
        <v>2.7776524271549761</v>
      </c>
      <c r="BF50">
        <f t="shared" si="1550"/>
        <v>2.7756635128428968</v>
      </c>
      <c r="BG50">
        <f t="shared" si="1550"/>
        <v>2.7735513764709765</v>
      </c>
      <c r="BH50">
        <f t="shared" si="1550"/>
        <v>2.7713131031556912</v>
      </c>
      <c r="BI50">
        <f t="shared" si="1550"/>
        <v>2.7689459134895884</v>
      </c>
      <c r="BJ50">
        <f t="shared" si="1550"/>
        <v>2.7664471652014413</v>
      </c>
      <c r="BK50">
        <f t="shared" si="1550"/>
        <v>2.7638143542948086</v>
      </c>
      <c r="BL50">
        <f t="shared" si="1550"/>
        <v>2.7610451157085976</v>
      </c>
      <c r="BM50">
        <f t="shared" si="1550"/>
        <v>2.7581372235403023</v>
      </c>
      <c r="BN50">
        <f t="shared" si="1550"/>
        <v>2.7550885908717646</v>
      </c>
      <c r="BO50">
        <f t="shared" si="1550"/>
        <v>2.751897269234675</v>
      </c>
      <c r="BP50">
        <f t="shared" si="1550"/>
        <v>2.7485614477510296</v>
      </c>
      <c r="BQ50">
        <f t="shared" ref="BQ50:CU50" si="1551">$X$19*BQ34+$Y$19*BQ35+$Z$19*BQ37</f>
        <v>2.7450794519822068</v>
      </c>
      <c r="BR50">
        <f t="shared" si="1551"/>
        <v>2.7414497425173039</v>
      </c>
      <c r="BS50">
        <f t="shared" si="1551"/>
        <v>2.737670913330291</v>
      </c>
      <c r="BT50">
        <f t="shared" si="1551"/>
        <v>2.7337416899329128</v>
      </c>
      <c r="BU50">
        <f t="shared" si="1551"/>
        <v>2.729660927348931</v>
      </c>
      <c r="BV50">
        <f t="shared" si="1551"/>
        <v>2.7254276079323319</v>
      </c>
      <c r="BW50">
        <f t="shared" si="1551"/>
        <v>2.7210408390520371</v>
      </c>
      <c r="BX50">
        <f t="shared" si="1551"/>
        <v>2.7164998506620037</v>
      </c>
      <c r="BY50">
        <f t="shared" si="1551"/>
        <v>2.7118039927758986</v>
      </c>
      <c r="BZ50">
        <f t="shared" si="1551"/>
        <v>2.7069527328621916</v>
      </c>
      <c r="CA50">
        <f t="shared" si="1551"/>
        <v>2.7019456531756418</v>
      </c>
      <c r="CB50">
        <f t="shared" si="1551"/>
        <v>2.6967824480385474</v>
      </c>
      <c r="CC50">
        <f t="shared" si="1551"/>
        <v>2.6914629210847352</v>
      </c>
      <c r="CD50">
        <f t="shared" si="1551"/>
        <v>2.6859869824777292</v>
      </c>
      <c r="CE50">
        <f t="shared" si="1551"/>
        <v>2.6803546461130168</v>
      </c>
      <c r="CF50">
        <f t="shared" si="1551"/>
        <v>2.6745660268142899</v>
      </c>
      <c r="CG50">
        <f t="shared" si="1551"/>
        <v>2.6686213375314765</v>
      </c>
      <c r="CH50">
        <f t="shared" si="1551"/>
        <v>2.662520886548478</v>
      </c>
      <c r="CI50">
        <f t="shared" si="1551"/>
        <v>2.6562650747068517</v>
      </c>
      <c r="CJ50">
        <f t="shared" si="1551"/>
        <v>2.649854392651406</v>
      </c>
      <c r="CK50">
        <f t="shared" si="1551"/>
        <v>2.6432894181031514</v>
      </c>
      <c r="CL50">
        <f t="shared" si="1551"/>
        <v>2.6365708131637859</v>
      </c>
      <c r="CM50">
        <f t="shared" si="1551"/>
        <v>2.6296993216558349</v>
      </c>
      <c r="CN50">
        <f t="shared" si="1551"/>
        <v>2.6226757665018567</v>
      </c>
      <c r="CO50">
        <f t="shared" si="1551"/>
        <v>2.6155010471456279</v>
      </c>
      <c r="CP50">
        <f t="shared" si="1551"/>
        <v>2.6081761370176935</v>
      </c>
      <c r="CQ50">
        <f t="shared" si="1551"/>
        <v>2.6007020810476149</v>
      </c>
      <c r="CR50">
        <f t="shared" si="1551"/>
        <v>2.5930799932242365</v>
      </c>
      <c r="CS50">
        <f t="shared" si="1551"/>
        <v>2.585311054205647</v>
      </c>
      <c r="CT50">
        <f t="shared" si="1551"/>
        <v>2.577396508979831</v>
      </c>
      <c r="CU50">
        <f t="shared" si="1551"/>
        <v>2.5693376645766932</v>
      </c>
      <c r="CV50">
        <f t="shared" ref="CV50:FG50" si="1552">$X$19*CV34+$Y$19*CV35+$Z$19*CV37</f>
        <v>2.5611358878320658</v>
      </c>
      <c r="CW50">
        <f t="shared" si="1552"/>
        <v>2.5527926032042672</v>
      </c>
      <c r="CX50">
        <f t="shared" si="1552"/>
        <v>2.5443092906427864</v>
      </c>
      <c r="CY50">
        <f t="shared" si="1552"/>
        <v>2.5356874835097472</v>
      </c>
      <c r="CZ50">
        <f t="shared" si="1552"/>
        <v>2.526928766553354</v>
      </c>
      <c r="DA50">
        <f t="shared" si="1552"/>
        <v>2.5180347739334792</v>
      </c>
      <c r="DB50">
        <f t="shared" si="1552"/>
        <v>2.5090071872984652</v>
      </c>
      <c r="DC50">
        <f t="shared" si="1552"/>
        <v>2.4998477339130147</v>
      </c>
      <c r="DD50">
        <f t="shared" si="1552"/>
        <v>2.4905581848362885</v>
      </c>
      <c r="DE50">
        <f t="shared" si="1552"/>
        <v>2.4811403531495415</v>
      </c>
      <c r="DF50">
        <f t="shared" si="1552"/>
        <v>2.4715960922324314</v>
      </c>
      <c r="DG50">
        <f t="shared" si="1552"/>
        <v>2.4619272940872179</v>
      </c>
      <c r="DH50">
        <f t="shared" si="1552"/>
        <v>2.4521358877101136</v>
      </c>
      <c r="DI50">
        <f t="shared" si="1552"/>
        <v>2.4422238375083225</v>
      </c>
      <c r="DJ50">
        <f t="shared" si="1552"/>
        <v>2.4321931417624967</v>
      </c>
      <c r="DK50">
        <f t="shared" si="1552"/>
        <v>2.4220458311328912</v>
      </c>
      <c r="DL50">
        <f t="shared" si="1552"/>
        <v>2.4117839672088621</v>
      </c>
      <c r="DM50">
        <f t="shared" si="1552"/>
        <v>2.4014096411001589</v>
      </c>
      <c r="DN50">
        <f t="shared" si="1552"/>
        <v>2.3909249720691861</v>
      </c>
      <c r="DO50">
        <f t="shared" si="1552"/>
        <v>2.380332106203241</v>
      </c>
      <c r="DP50">
        <f t="shared" si="1552"/>
        <v>2.3696332151254467</v>
      </c>
      <c r="DQ50">
        <f t="shared" si="1552"/>
        <v>2.3588304947435574</v>
      </c>
      <c r="DR50">
        <f t="shared" si="1552"/>
        <v>2.347926164035556</v>
      </c>
      <c r="DS50">
        <f t="shared" si="1552"/>
        <v>2.3369224638707493</v>
      </c>
      <c r="DT50">
        <f t="shared" si="1552"/>
        <v>2.3258216558658518</v>
      </c>
      <c r="DU50">
        <f t="shared" si="1552"/>
        <v>2.3146260212743357</v>
      </c>
      <c r="DV50">
        <f t="shared" si="1552"/>
        <v>2.3033378599087655</v>
      </c>
      <c r="DW50">
        <f t="shared" si="1552"/>
        <v>2.2919594890946229</v>
      </c>
      <c r="DX50">
        <f t="shared" si="1552"/>
        <v>2.2804932426549271</v>
      </c>
      <c r="DY50">
        <f t="shared" si="1552"/>
        <v>2.2689414699244992</v>
      </c>
      <c r="DZ50">
        <f t="shared" si="1552"/>
        <v>2.2573065347931447</v>
      </c>
      <c r="EA50">
        <f t="shared" si="1552"/>
        <v>2.2455908147767474</v>
      </c>
      <c r="EB50">
        <f t="shared" si="1552"/>
        <v>2.2337967001152492</v>
      </c>
      <c r="EC50">
        <f t="shared" si="1552"/>
        <v>2.2219265928969349</v>
      </c>
      <c r="ED50">
        <f t="shared" si="1552"/>
        <v>2.2099829062079266</v>
      </c>
      <c r="EE50">
        <f t="shared" si="1552"/>
        <v>2.1979680633061349</v>
      </c>
      <c r="EF50">
        <f t="shared" si="1552"/>
        <v>2.1858844968189572</v>
      </c>
      <c r="EG50">
        <f t="shared" si="1552"/>
        <v>2.1737346479637836</v>
      </c>
      <c r="EH50">
        <f t="shared" si="1552"/>
        <v>2.1615209657906433</v>
      </c>
      <c r="EI50">
        <f t="shared" si="1552"/>
        <v>2.1492459064462537</v>
      </c>
      <c r="EJ50">
        <f t="shared" si="1552"/>
        <v>2.1369119324586165</v>
      </c>
      <c r="EK50">
        <f t="shared" si="1552"/>
        <v>2.1245215120417384</v>
      </c>
      <c r="EL50">
        <f t="shared" si="1552"/>
        <v>2.1120771184195775</v>
      </c>
      <c r="EM50">
        <f t="shared" si="1552"/>
        <v>2.0995812291684786</v>
      </c>
      <c r="EN50">
        <f t="shared" si="1552"/>
        <v>2.087036325577813</v>
      </c>
      <c r="EO50">
        <f t="shared" si="1552"/>
        <v>2.0744448920278558</v>
      </c>
      <c r="EP50">
        <f t="shared" si="1552"/>
        <v>2.0618094153844879</v>
      </c>
      <c r="EQ50">
        <f t="shared" si="1552"/>
        <v>2.0491323844100435</v>
      </c>
      <c r="ER50">
        <f t="shared" si="1552"/>
        <v>2.0364162891899582</v>
      </c>
      <c r="ES50">
        <f t="shared" si="1552"/>
        <v>2.023663620574311</v>
      </c>
      <c r="ET50">
        <f t="shared" si="1552"/>
        <v>2.0108768696341031</v>
      </c>
      <c r="EU50">
        <f t="shared" si="1552"/>
        <v>1.9980585271316187</v>
      </c>
      <c r="EV50">
        <f t="shared" si="1552"/>
        <v>1.9852110830042022</v>
      </c>
      <c r="EW50">
        <f t="shared" si="1552"/>
        <v>1.9723370258614068</v>
      </c>
      <c r="EX50">
        <f t="shared" si="1552"/>
        <v>1.9594388424947766</v>
      </c>
      <c r="EY50">
        <f t="shared" si="1552"/>
        <v>1.9465190173996376</v>
      </c>
      <c r="EZ50">
        <f t="shared" si="1552"/>
        <v>1.9335800323089956</v>
      </c>
      <c r="FA50">
        <f t="shared" si="1552"/>
        <v>1.920624365738675</v>
      </c>
      <c r="FB50">
        <f t="shared" si="1552"/>
        <v>1.9076544925435428</v>
      </c>
      <c r="FC50">
        <f t="shared" si="1552"/>
        <v>1.8946728834843469</v>
      </c>
      <c r="FD50">
        <f t="shared" si="1552"/>
        <v>1.8816820048049436</v>
      </c>
      <c r="FE50">
        <f t="shared" si="1552"/>
        <v>1.8686843178192731</v>
      </c>
      <c r="FF50">
        <f t="shared" si="1552"/>
        <v>1.8556822785081408</v>
      </c>
      <c r="FG50">
        <f t="shared" si="1552"/>
        <v>1.842678337124994</v>
      </c>
      <c r="FH50">
        <f t="shared" ref="FH50:HS50" si="1553">$X$19*FH34+$Y$19*FH35+$Z$19*FH37</f>
        <v>1.8296749378110491</v>
      </c>
      <c r="FI50">
        <f t="shared" si="1553"/>
        <v>1.8166745182187043</v>
      </c>
      <c r="FJ50">
        <f t="shared" si="1553"/>
        <v>1.8036795091435636</v>
      </c>
      <c r="FK50">
        <f t="shared" si="1553"/>
        <v>1.7906923341644898</v>
      </c>
      <c r="FL50">
        <f t="shared" si="1553"/>
        <v>1.7777154092914316</v>
      </c>
      <c r="FM50">
        <f t="shared" si="1553"/>
        <v>1.7647511426209235</v>
      </c>
      <c r="FN50">
        <f t="shared" si="1553"/>
        <v>1.7518019339988484</v>
      </c>
      <c r="FO50">
        <f t="shared" si="1553"/>
        <v>1.7388701746903479</v>
      </c>
      <c r="FP50">
        <f t="shared" si="1553"/>
        <v>1.7259582470565391</v>
      </c>
      <c r="FQ50">
        <f t="shared" si="1553"/>
        <v>1.7130685242378831</v>
      </c>
      <c r="FR50">
        <f t="shared" si="1553"/>
        <v>1.7002033698440897</v>
      </c>
      <c r="FS50">
        <f t="shared" si="1553"/>
        <v>1.6873651376500902</v>
      </c>
      <c r="FT50">
        <f t="shared" si="1553"/>
        <v>1.6745561712982493</v>
      </c>
      <c r="FU50">
        <f t="shared" si="1553"/>
        <v>1.6617788040062322</v>
      </c>
      <c r="FV50">
        <f t="shared" si="1553"/>
        <v>1.64903535828077</v>
      </c>
      <c r="FW50">
        <f t="shared" si="1553"/>
        <v>1.6363281456368526</v>
      </c>
      <c r="FX50">
        <f t="shared" si="1553"/>
        <v>1.6236594663220671</v>
      </c>
      <c r="FY50">
        <f t="shared" si="1553"/>
        <v>1.6110316090464778</v>
      </c>
      <c r="FZ50">
        <f t="shared" si="1553"/>
        <v>1.598446850717437</v>
      </c>
      <c r="GA50">
        <f t="shared" si="1553"/>
        <v>1.5859074561790578</v>
      </c>
      <c r="GB50">
        <f t="shared" si="1553"/>
        <v>1.5734156779567883</v>
      </c>
      <c r="GC50">
        <f t="shared" si="1553"/>
        <v>1.5609737560064758</v>
      </c>
      <c r="GD50">
        <f t="shared" si="1553"/>
        <v>1.5485839174678517</v>
      </c>
      <c r="GE50">
        <f t="shared" si="1553"/>
        <v>1.5362483764225487</v>
      </c>
      <c r="GF50">
        <f t="shared" si="1553"/>
        <v>1.5239693336563249</v>
      </c>
      <c r="GG50">
        <f t="shared" si="1553"/>
        <v>1.5117489764254799</v>
      </c>
      <c r="GH50">
        <f t="shared" si="1553"/>
        <v>1.4995894782272217</v>
      </c>
      <c r="GI50">
        <f t="shared" si="1553"/>
        <v>1.4874929985741829</v>
      </c>
      <c r="GJ50">
        <f t="shared" si="1553"/>
        <v>1.4754616827725755</v>
      </c>
      <c r="GK50">
        <f t="shared" si="1553"/>
        <v>1.4634976617043236</v>
      </c>
      <c r="GL50">
        <f t="shared" si="1553"/>
        <v>1.4516030516127501</v>
      </c>
      <c r="GM50">
        <f t="shared" si="1553"/>
        <v>1.4397799538918719</v>
      </c>
      <c r="GN50">
        <f t="shared" si="1553"/>
        <v>1.4280304548792344</v>
      </c>
      <c r="GO50">
        <f t="shared" si="1553"/>
        <v>1.4163566256522131</v>
      </c>
      <c r="GP50">
        <f t="shared" si="1553"/>
        <v>1.404760521827626</v>
      </c>
      <c r="GQ50">
        <f t="shared" si="1553"/>
        <v>1.3932441833647005</v>
      </c>
      <c r="GR50">
        <f t="shared" si="1553"/>
        <v>1.3818096343712511</v>
      </c>
      <c r="GS50">
        <f t="shared" si="1553"/>
        <v>1.3704588829130415</v>
      </c>
      <c r="GT50">
        <f t="shared" si="1553"/>
        <v>1.3591939208262431</v>
      </c>
      <c r="GU50">
        <f t="shared" si="1553"/>
        <v>1.3480167235329361</v>
      </c>
      <c r="GV50">
        <f t="shared" si="1553"/>
        <v>1.3369292498596792</v>
      </c>
      <c r="GW50">
        <f t="shared" si="1553"/>
        <v>1.3259334418589503</v>
      </c>
      <c r="GX50">
        <f t="shared" si="1553"/>
        <v>1.3150312246335432</v>
      </c>
      <c r="GY50">
        <f t="shared" si="1553"/>
        <v>1.3042245061638198</v>
      </c>
      <c r="GZ50">
        <f t="shared" si="1553"/>
        <v>1.2935151771376781</v>
      </c>
      <c r="HA50">
        <f t="shared" si="1553"/>
        <v>1.282905110783517</v>
      </c>
      <c r="HB50">
        <f t="shared" si="1553"/>
        <v>1.2723961627056184</v>
      </c>
      <c r="HC50">
        <f t="shared" si="1553"/>
        <v>1.2619901707225978</v>
      </c>
      <c r="HD50">
        <f t="shared" si="1553"/>
        <v>1.2516889547080581</v>
      </c>
      <c r="HE50">
        <f t="shared" si="1553"/>
        <v>1.2414943164343697</v>
      </c>
      <c r="HF50">
        <f t="shared" si="1553"/>
        <v>1.2314080394186675</v>
      </c>
      <c r="HG50">
        <f t="shared" si="1553"/>
        <v>1.2214318887715621</v>
      </c>
      <c r="HH50">
        <f t="shared" si="1553"/>
        <v>1.211567611048423</v>
      </c>
      <c r="HI50">
        <f t="shared" si="1553"/>
        <v>1.2018169341030642</v>
      </c>
      <c r="HJ50">
        <f t="shared" si="1553"/>
        <v>1.1921815669439866</v>
      </c>
      <c r="HK50">
        <f t="shared" si="1553"/>
        <v>1.1826631995931223</v>
      </c>
      <c r="HL50">
        <f t="shared" si="1553"/>
        <v>1.1732635029469236</v>
      </c>
      <c r="HM50">
        <f t="shared" si="1553"/>
        <v>1.1639841286399388</v>
      </c>
      <c r="HN50">
        <f t="shared" si="1553"/>
        <v>1.1548267089108037</v>
      </c>
      <c r="HO50">
        <f t="shared" si="1553"/>
        <v>1.1457928564705497</v>
      </c>
      <c r="HP50">
        <f t="shared" si="1553"/>
        <v>1.1368841643732708</v>
      </c>
      <c r="HQ50">
        <f t="shared" si="1553"/>
        <v>1.1281022058893058</v>
      </c>
      <c r="HR50">
        <f t="shared" si="1553"/>
        <v>1.1194485343805809</v>
      </c>
      <c r="HS50">
        <f t="shared" si="1553"/>
        <v>1.1109246831782968</v>
      </c>
      <c r="HT50">
        <f t="shared" ref="HT50:JI50" si="1554">$X$19*HT34+$Y$19*HT35+$Z$19*HT37</f>
        <v>1.1025321654630318</v>
      </c>
      <c r="HU50">
        <f t="shared" si="1554"/>
        <v>1.0942724741470045</v>
      </c>
      <c r="HV50">
        <f t="shared" si="1554"/>
        <v>1.0861470817587815</v>
      </c>
      <c r="HW50">
        <f t="shared" si="1554"/>
        <v>1.0781574403301164</v>
      </c>
      <c r="HX50">
        <f t="shared" si="1554"/>
        <v>1.0703049812851475</v>
      </c>
      <c r="HY50">
        <f t="shared" si="1554"/>
        <v>1.0625911153318839</v>
      </c>
      <c r="HZ50">
        <f t="shared" si="1554"/>
        <v>1.0550172323557661</v>
      </c>
      <c r="IA50">
        <f t="shared" si="1554"/>
        <v>1.0475847013156994</v>
      </c>
      <c r="IB50">
        <f t="shared" si="1554"/>
        <v>1.0402948701422474</v>
      </c>
      <c r="IC50">
        <f t="shared" si="1554"/>
        <v>1.0331490656379856</v>
      </c>
      <c r="ID50">
        <f t="shared" si="1554"/>
        <v>1.0261485933801282</v>
      </c>
      <c r="IE50">
        <f t="shared" si="1554"/>
        <v>1.0192947376254153</v>
      </c>
      <c r="IF50">
        <f t="shared" si="1554"/>
        <v>1.0125887612172733</v>
      </c>
      <c r="IG50">
        <f t="shared" si="1554"/>
        <v>1.0060319054950071</v>
      </c>
      <c r="IH50">
        <f t="shared" si="1554"/>
        <v>0.99962539020538088</v>
      </c>
      <c r="II50">
        <f t="shared" si="1554"/>
        <v>0.99337041341634347</v>
      </c>
      <c r="IJ50">
        <f t="shared" si="1554"/>
        <v>0.9872681514329571</v>
      </c>
      <c r="IK50">
        <f t="shared" si="1554"/>
        <v>0.98131975871554289</v>
      </c>
      <c r="IL50">
        <f t="shared" si="1554"/>
        <v>0.97552636780002899</v>
      </c>
      <c r="IM50">
        <f t="shared" si="1554"/>
        <v>0.96988908922055828</v>
      </c>
      <c r="IN50">
        <f t="shared" si="1554"/>
        <v>0.96440901143422764</v>
      </c>
      <c r="IO50">
        <f t="shared" si="1554"/>
        <v>0.95908720074804421</v>
      </c>
      <c r="IP50">
        <f t="shared" si="1554"/>
        <v>0.95392470124808426</v>
      </c>
      <c r="IQ50">
        <f t="shared" si="1554"/>
        <v>0.94892253473091159</v>
      </c>
      <c r="IR50">
        <f t="shared" si="1554"/>
        <v>0.94408170063714181</v>
      </c>
      <c r="IS50">
        <f t="shared" si="1554"/>
        <v>0.93940317598720924</v>
      </c>
      <c r="IT50">
        <f t="shared" si="1554"/>
        <v>0.93488791531939341</v>
      </c>
      <c r="IU50">
        <f t="shared" si="1554"/>
        <v>0.93053685062997715</v>
      </c>
      <c r="IV50">
        <f t="shared" si="1554"/>
        <v>0.92635089131564996</v>
      </c>
      <c r="IW50">
        <f t="shared" si="1554"/>
        <v>0.92233092411809992</v>
      </c>
      <c r="IX50">
        <f t="shared" si="1554"/>
        <v>0.91847781307092191</v>
      </c>
      <c r="IY50">
        <f t="shared" si="1554"/>
        <v>0.91479239944850121</v>
      </c>
      <c r="IZ50">
        <f t="shared" si="1554"/>
        <v>0.91127550171739813</v>
      </c>
      <c r="JA50">
        <f t="shared" si="1554"/>
        <v>0.90792791548965113</v>
      </c>
      <c r="JB50">
        <f t="shared" si="1554"/>
        <v>0.90475041347853846</v>
      </c>
      <c r="JC50">
        <f t="shared" si="1554"/>
        <v>0.90174374545642877</v>
      </c>
      <c r="JD50">
        <f t="shared" si="1554"/>
        <v>0.89890863821487699</v>
      </c>
      <c r="JE50">
        <f t="shared" si="1554"/>
        <v>0.89624579552690875</v>
      </c>
      <c r="JF50">
        <f t="shared" si="1554"/>
        <v>0.89375589811160694</v>
      </c>
      <c r="JG50">
        <f t="shared" si="1554"/>
        <v>0.89143960360082986</v>
      </c>
      <c r="JH50">
        <f t="shared" si="1554"/>
        <v>0.8892975465081463</v>
      </c>
      <c r="JI50">
        <f t="shared" si="1554"/>
        <v>0.88733033820014384</v>
      </c>
      <c r="JJ50">
        <f t="shared" ref="JJ50:LU50" si="1555">$X$19*JJ34+$Y$19*JJ35+$Z$19*JJ37</f>
        <v>0.88553856686976928</v>
      </c>
      <c r="JK50">
        <f t="shared" si="1555"/>
        <v>0.88392279751204228</v>
      </c>
      <c r="JL50">
        <f t="shared" si="1555"/>
        <v>0.88248357190181537</v>
      </c>
      <c r="JM50">
        <f t="shared" si="1555"/>
        <v>0.88122140857412035</v>
      </c>
      <c r="JN50">
        <f t="shared" si="1555"/>
        <v>0.88013680280623419</v>
      </c>
      <c r="JO50">
        <f t="shared" si="1555"/>
        <v>0.87923022660248762</v>
      </c>
      <c r="JP50">
        <f t="shared" si="1555"/>
        <v>0.87850212868097799</v>
      </c>
      <c r="JQ50">
        <f t="shared" si="1555"/>
        <v>0.87795293446259848</v>
      </c>
      <c r="JR50">
        <f t="shared" si="1555"/>
        <v>0.87758304606234105</v>
      </c>
      <c r="JS50">
        <f t="shared" si="1555"/>
        <v>0.87739284228288739</v>
      </c>
      <c r="JT50">
        <f t="shared" si="1555"/>
        <v>0.87738267861026031</v>
      </c>
      <c r="JU50">
        <f t="shared" si="1555"/>
        <v>0.87755288721187696</v>
      </c>
      <c r="JV50">
        <f t="shared" si="1555"/>
        <v>0.87790377693676191</v>
      </c>
      <c r="JW50">
        <f t="shared" si="1555"/>
        <v>0.87843563331803409</v>
      </c>
      <c r="JX50">
        <f t="shared" si="1555"/>
        <v>0.87914871857762478</v>
      </c>
      <c r="JY50">
        <f t="shared" si="1555"/>
        <v>0.88004327163324092</v>
      </c>
      <c r="JZ50">
        <f t="shared" si="1555"/>
        <v>0.88111950810753115</v>
      </c>
      <c r="KA50">
        <f t="shared" si="1555"/>
        <v>0.88237762033946865</v>
      </c>
      <c r="KB50">
        <f t="shared" si="1555"/>
        <v>0.88381777739817835</v>
      </c>
      <c r="KC50">
        <f t="shared" si="1555"/>
        <v>0.88544012509866832</v>
      </c>
      <c r="KD50">
        <f t="shared" si="1555"/>
        <v>0.88724478602006229</v>
      </c>
      <c r="KE50">
        <f t="shared" si="1555"/>
        <v>0.88923185952599226</v>
      </c>
      <c r="KF50">
        <f t="shared" si="1555"/>
        <v>0.89140142178715109</v>
      </c>
      <c r="KG50">
        <f t="shared" si="1555"/>
        <v>0.89375352580623257</v>
      </c>
      <c r="KH50">
        <f t="shared" si="1555"/>
        <v>0.89628820144494625</v>
      </c>
      <c r="KI50">
        <f t="shared" si="1555"/>
        <v>0.89900545545334865</v>
      </c>
      <c r="KJ50">
        <f t="shared" si="1555"/>
        <v>0.90190527150140554</v>
      </c>
      <c r="KK50">
        <f t="shared" si="1555"/>
        <v>0.90498761021275698</v>
      </c>
      <c r="KL50">
        <f t="shared" si="1555"/>
        <v>0.90825240920068495</v>
      </c>
      <c r="KM50">
        <f t="shared" si="1555"/>
        <v>0.91169958310639743</v>
      </c>
      <c r="KN50">
        <f t="shared" si="1555"/>
        <v>0.91532902363940138</v>
      </c>
      <c r="KO50">
        <f t="shared" si="1555"/>
        <v>0.91914059962020644</v>
      </c>
      <c r="KP50">
        <f t="shared" si="1555"/>
        <v>0.92313415702521695</v>
      </c>
      <c r="KQ50">
        <f t="shared" si="1555"/>
        <v>0.92730951903375569</v>
      </c>
      <c r="KR50">
        <f t="shared" si="1555"/>
        <v>0.93166648607738978</v>
      </c>
      <c r="KS50">
        <f t="shared" si="1555"/>
        <v>0.9362048358914592</v>
      </c>
      <c r="KT50">
        <f t="shared" si="1555"/>
        <v>0.9409243235687228</v>
      </c>
      <c r="KU50">
        <f t="shared" si="1555"/>
        <v>0.94582468161530642</v>
      </c>
      <c r="KV50">
        <f t="shared" si="1555"/>
        <v>0.95090562000876844</v>
      </c>
      <c r="KW50">
        <f t="shared" si="1555"/>
        <v>0.95616682625832539</v>
      </c>
      <c r="KX50">
        <f t="shared" si="1555"/>
        <v>0.96160796546742233</v>
      </c>
      <c r="KY50">
        <f t="shared" si="1555"/>
        <v>0.96722868039830701</v>
      </c>
      <c r="KZ50">
        <f t="shared" si="1555"/>
        <v>0.97302859115129081</v>
      </c>
      <c r="LA50">
        <f t="shared" si="1555"/>
        <v>0.97900729357225202</v>
      </c>
      <c r="LB50">
        <f t="shared" si="1555"/>
        <v>0.98516435523535506</v>
      </c>
      <c r="LC50">
        <f t="shared" si="1555"/>
        <v>0.99149930794590091</v>
      </c>
      <c r="LD50">
        <f t="shared" si="1555"/>
        <v>0.99801163610337085</v>
      </c>
      <c r="LE50">
        <f t="shared" si="1555"/>
        <v>1.0047007608097402</v>
      </c>
      <c r="LF50">
        <f t="shared" si="1555"/>
        <v>1.0115660201512071</v>
      </c>
      <c r="LG50">
        <f t="shared" si="1555"/>
        <v>1.0186066465183217</v>
      </c>
      <c r="LH50">
        <f t="shared" si="1555"/>
        <v>1.025821742111674</v>
      </c>
      <c r="LI50">
        <f t="shared" si="1555"/>
        <v>1.033210253897721</v>
      </c>
      <c r="LJ50">
        <f t="shared" si="1555"/>
        <v>1.0407709492570234</v>
      </c>
      <c r="LK50">
        <f t="shared" si="1555"/>
        <v>1.048502393437829</v>
      </c>
      <c r="LL50">
        <f t="shared" si="1555"/>
        <v>1.0564029297314619</v>
      </c>
      <c r="LM50">
        <f t="shared" si="1555"/>
        <v>1.064470663056639</v>
      </c>
      <c r="LN50">
        <f t="shared" si="1555"/>
        <v>1.0727034474042512</v>
      </c>
      <c r="LO50">
        <f t="shared" si="1555"/>
        <v>1.0810988773742878</v>
      </c>
      <c r="LP50">
        <f t="shared" si="1555"/>
        <v>1.0896542838421226</v>
      </c>
      <c r="LQ50">
        <f t="shared" si="1555"/>
        <v>1.0983667336324316</v>
      </c>
      <c r="LR50">
        <f t="shared" si="1555"/>
        <v>1.1072330329531752</v>
      </c>
      <c r="LS50">
        <f t="shared" si="1555"/>
        <v>1.1162497342529747</v>
      </c>
      <c r="LT50">
        <f t="shared" si="1555"/>
        <v>1.1254131461047052</v>
      </c>
      <c r="LU50">
        <f t="shared" si="1555"/>
        <v>1.1347193456863494</v>
      </c>
      <c r="LV50">
        <f t="shared" ref="LV50:OG50" si="1556">$X$19*LV34+$Y$19*LV35+$Z$19*LV37</f>
        <v>1.1441641934186606</v>
      </c>
      <c r="LW50">
        <f t="shared" si="1556"/>
        <v>1.1537433493260352</v>
      </c>
      <c r="LX50">
        <f t="shared" si="1556"/>
        <v>1.163452290706033</v>
      </c>
      <c r="LY50">
        <f t="shared" si="1556"/>
        <v>1.1732863307216519</v>
      </c>
      <c r="LZ50">
        <f t="shared" si="1556"/>
        <v>1.1832406375650351</v>
      </c>
      <c r="MA50">
        <f t="shared" si="1556"/>
        <v>1.1933102538788631</v>
      </c>
      <c r="MB50">
        <f t="shared" si="1556"/>
        <v>1.2034901161608218</v>
      </c>
      <c r="MC50">
        <f t="shared" si="1556"/>
        <v>1.213775073915528</v>
      </c>
      <c r="MD50">
        <f t="shared" si="1556"/>
        <v>1.2241599083553893</v>
      </c>
      <c r="ME50">
        <f t="shared" si="1556"/>
        <v>1.2346393504870719</v>
      </c>
      <c r="MF50">
        <f t="shared" si="1556"/>
        <v>1.2452080984525651</v>
      </c>
      <c r="MG50">
        <f t="shared" si="1556"/>
        <v>1.2558608340232382</v>
      </c>
      <c r="MH50">
        <f t="shared" si="1556"/>
        <v>1.2665922381713983</v>
      </c>
      <c r="MI50">
        <f t="shared" si="1556"/>
        <v>1.2773970056666997</v>
      </c>
      <c r="MJ50">
        <f t="shared" si="1556"/>
        <v>1.2882698586650605</v>
      </c>
      <c r="MK50">
        <f t="shared" si="1556"/>
        <v>1.2992055592744975</v>
      </c>
      <c r="ML50">
        <f t="shared" si="1556"/>
        <v>1.3101989210971112</v>
      </c>
      <c r="MM50">
        <f t="shared" si="1556"/>
        <v>1.3212448197582205</v>
      </c>
      <c r="MN50">
        <f t="shared" si="1556"/>
        <v>1.3323382024434949</v>
      </c>
      <c r="MO50">
        <f t="shared" si="1556"/>
        <v>1.3434740964732299</v>
      </c>
      <c r="MP50">
        <f t="shared" si="1556"/>
        <v>1.3546476169484833</v>
      </c>
      <c r="MQ50">
        <f t="shared" si="1556"/>
        <v>1.3658539735092603</v>
      </c>
      <c r="MR50">
        <f t="shared" si="1556"/>
        <v>1.3770884762475646</v>
      </c>
      <c r="MS50">
        <f t="shared" si="1556"/>
        <v>1.3883465408212174</v>
      </c>
      <c r="MT50">
        <f t="shared" si="1556"/>
        <v>1.3996236928150836</v>
      </c>
      <c r="MU50">
        <f t="shared" si="1556"/>
        <v>1.4109155713975099</v>
      </c>
      <c r="MV50">
        <f t="shared" si="1556"/>
        <v>1.4222179323192705</v>
      </c>
      <c r="MW50">
        <f t="shared" si="1556"/>
        <v>1.433526650302241</v>
      </c>
      <c r="MX50">
        <f t="shared" si="1556"/>
        <v>1.4448377208634895</v>
      </c>
      <c r="MY50">
        <f t="shared" si="1556"/>
        <v>1.4561472616196909</v>
      </c>
      <c r="MZ50">
        <f t="shared" si="1556"/>
        <v>1.4674515131146393</v>
      </c>
      <c r="NA50">
        <f t="shared" si="1556"/>
        <v>1.4787468392115528</v>
      </c>
      <c r="NB50">
        <f t="shared" si="1556"/>
        <v>1.4900297270890803</v>
      </c>
      <c r="NC50">
        <f t="shared" si="1556"/>
        <v>1.501296786878811</v>
      </c>
      <c r="ND50">
        <f t="shared" si="1556"/>
        <v>1.5125447509792878</v>
      </c>
      <c r="NE50">
        <f t="shared" si="1556"/>
        <v>1.523770473079864</v>
      </c>
      <c r="NF50">
        <f t="shared" si="1556"/>
        <v>1.5349709269256806</v>
      </c>
      <c r="NG50">
        <f t="shared" si="1556"/>
        <v>1.5461432048528252</v>
      </c>
      <c r="NH50">
        <f t="shared" si="1556"/>
        <v>1.5572845161206317</v>
      </c>
      <c r="NI50">
        <f t="shared" si="1556"/>
        <v>1.5683921850667133</v>
      </c>
      <c r="NJ50">
        <f t="shared" si="1556"/>
        <v>1.5794636491076091</v>
      </c>
      <c r="NK50">
        <f t="shared" si="1556"/>
        <v>1.5904964566071129</v>
      </c>
      <c r="NL50">
        <f t="shared" si="1556"/>
        <v>1.6014882646316124</v>
      </c>
      <c r="NM50">
        <f t="shared" si="1556"/>
        <v>1.6124368366110673</v>
      </c>
      <c r="NN50">
        <f t="shared" si="1556"/>
        <v>1.6233400399220557</v>
      </c>
      <c r="NO50">
        <f t="shared" si="1556"/>
        <v>1.6341958434083352</v>
      </c>
      <c r="NP50">
        <f t="shared" si="1556"/>
        <v>1.6450023148527038</v>
      </c>
      <c r="NQ50">
        <f t="shared" si="1556"/>
        <v>1.6557576184126646</v>
      </c>
      <c r="NR50">
        <f t="shared" si="1556"/>
        <v>1.666460012031564</v>
      </c>
      <c r="NS50">
        <f t="shared" si="1556"/>
        <v>1.677107844835362</v>
      </c>
      <c r="NT50">
        <f t="shared" si="1556"/>
        <v>1.6876995545242437</v>
      </c>
      <c r="NU50">
        <f t="shared" si="1556"/>
        <v>1.6982336647674998</v>
      </c>
      <c r="NV50">
        <f t="shared" si="1556"/>
        <v>1.7087087826091363</v>
      </c>
      <c r="NW50">
        <f t="shared" si="1556"/>
        <v>1.7191235958906788</v>
      </c>
      <c r="NX50">
        <f t="shared" si="1556"/>
        <v>1.7294768706971695</v>
      </c>
      <c r="NY50">
        <f t="shared" si="1556"/>
        <v>1.7397674488313868</v>
      </c>
      <c r="NZ50">
        <f t="shared" si="1556"/>
        <v>1.7499942453209627</v>
      </c>
      <c r="OA50">
        <f t="shared" si="1556"/>
        <v>1.7601562459620652</v>
      </c>
      <c r="OB50">
        <f t="shared" si="1556"/>
        <v>1.7702525049033113</v>
      </c>
      <c r="OC50">
        <f t="shared" si="1556"/>
        <v>1.7802821422727106</v>
      </c>
      <c r="OD50">
        <f t="shared" si="1556"/>
        <v>1.7902443418500127</v>
      </c>
      <c r="OE50">
        <f t="shared" si="1556"/>
        <v>1.8001383487866889</v>
      </c>
      <c r="OF50">
        <f t="shared" si="1556"/>
        <v>1.8099634673749279</v>
      </c>
      <c r="OG50">
        <f t="shared" si="1556"/>
        <v>1.8197190588674204</v>
      </c>
      <c r="OH50">
        <f t="shared" ref="OH50:QS50" si="1557">$X$19*OH34+$Y$19*OH35+$Z$19*OH37</f>
        <v>1.8294045393486584</v>
      </c>
      <c r="OI50">
        <f t="shared" si="1557"/>
        <v>1.8390193776584738</v>
      </c>
      <c r="OJ50">
        <f t="shared" si="1557"/>
        <v>1.8485630933686821</v>
      </c>
      <c r="OK50">
        <f t="shared" si="1557"/>
        <v>1.8580352548128332</v>
      </c>
      <c r="OL50">
        <f t="shared" si="1557"/>
        <v>1.8674354771692947</v>
      </c>
      <c r="OM50">
        <f t="shared" si="1557"/>
        <v>1.8767634205976975</v>
      </c>
      <c r="ON50">
        <f t="shared" si="1557"/>
        <v>1.8860187884282453</v>
      </c>
      <c r="OO50">
        <f t="shared" si="1557"/>
        <v>1.8952013254039173</v>
      </c>
      <c r="OP50">
        <f t="shared" si="1557"/>
        <v>1.904310815974867</v>
      </c>
      <c r="OQ50">
        <f t="shared" si="1557"/>
        <v>1.9133470826442505</v>
      </c>
      <c r="OR50">
        <f t="shared" si="1557"/>
        <v>1.9223099843654126</v>
      </c>
      <c r="OS50">
        <f t="shared" si="1557"/>
        <v>1.9311994149889529</v>
      </c>
      <c r="OT50">
        <f t="shared" si="1557"/>
        <v>1.9400153017594022</v>
      </c>
      <c r="OU50">
        <f t="shared" si="1557"/>
        <v>1.9487576038603436</v>
      </c>
      <c r="OV50">
        <f t="shared" si="1557"/>
        <v>1.9574263110071399</v>
      </c>
      <c r="OW50">
        <f t="shared" si="1557"/>
        <v>1.9660214420863014</v>
      </c>
      <c r="OX50">
        <f t="shared" si="1557"/>
        <v>1.9745430438405407</v>
      </c>
      <c r="OY50">
        <f t="shared" si="1557"/>
        <v>1.982991189598323</v>
      </c>
      <c r="OZ50">
        <f t="shared" si="1557"/>
        <v>1.9913659780471278</v>
      </c>
      <c r="PA50">
        <f t="shared" si="1557"/>
        <v>1.999667532049088</v>
      </c>
      <c r="PB50">
        <f t="shared" si="1557"/>
        <v>2.0078959974980251</v>
      </c>
      <c r="PC50">
        <f t="shared" si="1557"/>
        <v>2.0160515422169851</v>
      </c>
      <c r="PD50">
        <f t="shared" si="1557"/>
        <v>2.0241343548949828</v>
      </c>
      <c r="PE50">
        <f t="shared" si="1557"/>
        <v>2.0321446440618729</v>
      </c>
      <c r="PF50">
        <f t="shared" si="1557"/>
        <v>2.0400826371004257</v>
      </c>
      <c r="PG50">
        <f t="shared" si="1557"/>
        <v>2.0479485792945269</v>
      </c>
      <c r="PH50">
        <f t="shared" si="1557"/>
        <v>2.0557427329122362</v>
      </c>
      <c r="PI50">
        <f t="shared" si="1557"/>
        <v>2.0634653763229522</v>
      </c>
      <c r="PJ50">
        <f t="shared" si="1557"/>
        <v>2.0711168031474756</v>
      </c>
      <c r="PK50">
        <f t="shared" si="1557"/>
        <v>2.0786973214400746</v>
      </c>
      <c r="PL50">
        <f t="shared" si="1557"/>
        <v>2.0862072529014313</v>
      </c>
      <c r="PM50">
        <f t="shared" si="1557"/>
        <v>2.0936469321215299</v>
      </c>
      <c r="PN50">
        <f t="shared" si="1557"/>
        <v>2.1010167058517197</v>
      </c>
      <c r="PO50">
        <f t="shared" si="1557"/>
        <v>2.1083169323046747</v>
      </c>
      <c r="PP50">
        <f t="shared" si="1557"/>
        <v>2.1155479804816935</v>
      </c>
      <c r="PQ50">
        <f t="shared" si="1557"/>
        <v>2.1227102295261489</v>
      </c>
      <c r="PR50">
        <f t="shared" si="1557"/>
        <v>2.1298040681024162</v>
      </c>
      <c r="PS50">
        <f t="shared" si="1557"/>
        <v>2.1368298937992449</v>
      </c>
      <c r="PT50">
        <f t="shared" si="1557"/>
        <v>2.1437881125570613</v>
      </c>
      <c r="PU50">
        <f t="shared" si="1557"/>
        <v>2.1506791381179085</v>
      </c>
      <c r="PV50">
        <f t="shared" si="1557"/>
        <v>2.1575033914977411</v>
      </c>
      <c r="PW50">
        <f t="shared" si="1557"/>
        <v>2.1642613004799784</v>
      </c>
      <c r="PX50">
        <f t="shared" si="1557"/>
        <v>2.1709532991296214</v>
      </c>
      <c r="PY50">
        <f t="shared" si="1557"/>
        <v>2.1775798273274773</v>
      </c>
      <c r="PZ50">
        <f t="shared" si="1557"/>
        <v>2.1841413303232287</v>
      </c>
      <c r="QA50">
        <f t="shared" si="1557"/>
        <v>2.1906382583073594</v>
      </c>
      <c r="QB50">
        <f t="shared" si="1557"/>
        <v>2.1970710660007597</v>
      </c>
      <c r="QC50">
        <f t="shared" si="1557"/>
        <v>2.2034402122615262</v>
      </c>
      <c r="QD50">
        <f t="shared" si="1557"/>
        <v>2.2097461597084305</v>
      </c>
      <c r="QE50">
        <f t="shared" si="1557"/>
        <v>2.2159893743603476</v>
      </c>
      <c r="QF50">
        <f t="shared" si="1557"/>
        <v>2.2221703252910885</v>
      </c>
      <c r="QG50">
        <f t="shared" si="1557"/>
        <v>2.2282894842990828</v>
      </c>
      <c r="QH50">
        <f t="shared" si="1557"/>
        <v>2.2343473255913295</v>
      </c>
      <c r="QI50">
        <f t="shared" si="1557"/>
        <v>2.2403443254812601</v>
      </c>
      <c r="QJ50">
        <f t="shared" si="1557"/>
        <v>2.2462809620995898</v>
      </c>
      <c r="QK50">
        <f t="shared" si="1557"/>
        <v>2.2521577151182868</v>
      </c>
      <c r="QL50">
        <f t="shared" si="1557"/>
        <v>2.2579750654865762</v>
      </c>
      <c r="QM50">
        <f t="shared" si="1557"/>
        <v>2.2637334951788546</v>
      </c>
      <c r="QN50">
        <f t="shared" si="1557"/>
        <v>2.2694334869540285</v>
      </c>
      <c r="QO50">
        <f t="shared" si="1557"/>
        <v>2.2750755241257394</v>
      </c>
      <c r="QP50">
        <f t="shared" si="1557"/>
        <v>2.2806600903433178</v>
      </c>
      <c r="QQ50">
        <f t="shared" si="1557"/>
        <v>2.2861876693825707</v>
      </c>
      <c r="QR50">
        <f t="shared" si="1557"/>
        <v>2.2916587449466732</v>
      </c>
      <c r="QS50">
        <f t="shared" si="1557"/>
        <v>2.2970738004761131</v>
      </c>
      <c r="QT50">
        <f t="shared" ref="QT50:TE50" si="1558">$X$19*QT34+$Y$19*QT35+$Z$19*QT37</f>
        <v>2.3024333189679709</v>
      </c>
      <c r="QU50">
        <f t="shared" si="1558"/>
        <v>2.307737782803656</v>
      </c>
      <c r="QV50">
        <f t="shared" si="1558"/>
        <v>2.3129876735850274</v>
      </c>
      <c r="QW50">
        <f t="shared" si="1558"/>
        <v>2.3181834719786423</v>
      </c>
      <c r="QX50">
        <f t="shared" si="1558"/>
        <v>2.3233256575676222</v>
      </c>
      <c r="QY50">
        <f t="shared" si="1558"/>
        <v>2.3284147087108806</v>
      </c>
      <c r="QZ50">
        <f t="shared" si="1558"/>
        <v>2.33345110240964</v>
      </c>
      <c r="RA50">
        <f t="shared" si="1558"/>
        <v>2.3384353141805434</v>
      </c>
      <c r="RB50">
        <f t="shared" si="1558"/>
        <v>2.3433678179355439</v>
      </c>
      <c r="RC50">
        <f t="shared" si="1558"/>
        <v>2.3482490858680194</v>
      </c>
      <c r="RD50">
        <f t="shared" si="1558"/>
        <v>2.35307958834494</v>
      </c>
      <c r="RE50">
        <f t="shared" si="1558"/>
        <v>2.3578597938048347</v>
      </c>
      <c r="RF50">
        <f t="shared" si="1558"/>
        <v>2.3625901686614412</v>
      </c>
      <c r="RG50">
        <f t="shared" si="1558"/>
        <v>2.3672711772126007</v>
      </c>
      <c r="RH50">
        <f t="shared" si="1558"/>
        <v>2.371903281554367</v>
      </c>
      <c r="RI50">
        <f t="shared" si="1558"/>
        <v>2.3764869415000476</v>
      </c>
      <c r="RJ50">
        <f t="shared" si="1558"/>
        <v>2.3810226145039479</v>
      </c>
      <c r="RK50">
        <f t="shared" si="1558"/>
        <v>2.3855107555897348</v>
      </c>
      <c r="RL50">
        <f t="shared" si="1558"/>
        <v>2.3899518172830341</v>
      </c>
      <c r="RM50">
        <f t="shared" si="1558"/>
        <v>2.3943462495484056</v>
      </c>
      <c r="RN50">
        <f t="shared" si="1558"/>
        <v>2.3986944997301265</v>
      </c>
      <c r="RO50">
        <f t="shared" si="1558"/>
        <v>2.4029970124969395</v>
      </c>
      <c r="RP50">
        <f t="shared" si="1558"/>
        <v>2.4072542297904818</v>
      </c>
      <c r="RQ50">
        <f t="shared" si="1558"/>
        <v>2.4114665907772235</v>
      </c>
      <c r="RR50">
        <f t="shared" si="1558"/>
        <v>2.4156345318037467</v>
      </c>
      <c r="RS50">
        <f t="shared" si="1558"/>
        <v>2.4197584863553914</v>
      </c>
      <c r="RT50">
        <f t="shared" si="1558"/>
        <v>2.4238388850179007</v>
      </c>
      <c r="RU50">
        <f t="shared" si="1558"/>
        <v>2.4278761554420782</v>
      </c>
      <c r="RV50">
        <f t="shared" si="1558"/>
        <v>2.4318707223113165</v>
      </c>
      <c r="RW50">
        <f t="shared" si="1558"/>
        <v>2.4358230073118108</v>
      </c>
      <c r="RX50">
        <f t="shared" si="1558"/>
        <v>2.4397334291054023</v>
      </c>
      <c r="RY50">
        <f t="shared" si="1558"/>
        <v>2.4436024033049364</v>
      </c>
      <c r="RZ50">
        <f t="shared" si="1558"/>
        <v>2.447430342452023</v>
      </c>
      <c r="SA50">
        <f t="shared" si="1558"/>
        <v>2.4512176559970698</v>
      </c>
      <c r="SB50">
        <f t="shared" si="1558"/>
        <v>2.4549647502814196</v>
      </c>
      <c r="SC50">
        <f t="shared" si="1558"/>
        <v>2.4586720285217609</v>
      </c>
      <c r="SD50">
        <f t="shared" si="1558"/>
        <v>2.4623398907963008</v>
      </c>
      <c r="SE50">
        <f t="shared" si="1558"/>
        <v>2.4659687340331118</v>
      </c>
      <c r="SF50">
        <f t="shared" si="1558"/>
        <v>2.4695589520000851</v>
      </c>
      <c r="SG50">
        <f t="shared" si="1558"/>
        <v>2.4731109352967025</v>
      </c>
      <c r="SH50">
        <f t="shared" si="1558"/>
        <v>2.4766250713474989</v>
      </c>
      <c r="SI50">
        <f t="shared" si="1558"/>
        <v>2.4801017443970466</v>
      </c>
      <c r="SJ50">
        <f t="shared" si="1558"/>
        <v>2.4835413355065583</v>
      </c>
      <c r="SK50">
        <f t="shared" si="1558"/>
        <v>2.4869442225517986</v>
      </c>
      <c r="SL50">
        <f t="shared" si="1558"/>
        <v>2.4903107802224582</v>
      </c>
      <c r="SM50">
        <f t="shared" si="1558"/>
        <v>2.4936413800227939</v>
      </c>
      <c r="SN50">
        <f t="shared" si="1558"/>
        <v>2.4969363902735751</v>
      </c>
      <c r="SO50">
        <f t="shared" si="1558"/>
        <v>2.5001961761151676</v>
      </c>
      <c r="SP50">
        <f t="shared" si="1558"/>
        <v>2.5034210995117547</v>
      </c>
      <c r="SQ50">
        <f t="shared" si="1558"/>
        <v>2.506611519256623</v>
      </c>
      <c r="SR50">
        <f t="shared" si="1558"/>
        <v>2.5097677909784863</v>
      </c>
      <c r="SS50">
        <f t="shared" si="1558"/>
        <v>2.5128902671488476</v>
      </c>
      <c r="ST50">
        <f t="shared" si="1558"/>
        <v>2.5159792970901265</v>
      </c>
      <c r="SU50">
        <f t="shared" si="1558"/>
        <v>2.5190352269848262</v>
      </c>
      <c r="SV50">
        <f t="shared" si="1558"/>
        <v>2.5220583998853812</v>
      </c>
      <c r="SW50">
        <f t="shared" si="1558"/>
        <v>2.5250491557249006</v>
      </c>
      <c r="SX50">
        <f t="shared" si="1558"/>
        <v>2.5280078313286225</v>
      </c>
      <c r="SY50">
        <f t="shared" si="1558"/>
        <v>2.5309347604261205</v>
      </c>
      <c r="SZ50">
        <f t="shared" si="1558"/>
        <v>2.5338302736640514</v>
      </c>
      <c r="TA50">
        <f t="shared" si="1558"/>
        <v>2.5366946986196268</v>
      </c>
      <c r="TB50">
        <f t="shared" si="1558"/>
        <v>2.5395283598146818</v>
      </c>
      <c r="TC50">
        <f t="shared" si="1558"/>
        <v>2.5423315787302982</v>
      </c>
      <c r="TD50">
        <f t="shared" si="1558"/>
        <v>2.5451046738219389</v>
      </c>
      <c r="TE50">
        <f t="shared" si="1558"/>
        <v>2.5478479605350373</v>
      </c>
      <c r="TF50">
        <f t="shared" ref="TF50:VQ50" si="1559">$X$19*TF34+$Y$19*TF35+$Z$19*TF37</f>
        <v>2.5505617513211405</v>
      </c>
      <c r="TG50">
        <f t="shared" si="1559"/>
        <v>2.5532463556544656</v>
      </c>
      <c r="TH50">
        <f t="shared" si="1559"/>
        <v>2.5559020800487957</v>
      </c>
      <c r="TI50">
        <f t="shared" si="1559"/>
        <v>2.5585292280749172</v>
      </c>
      <c r="TJ50">
        <f t="shared" si="1559"/>
        <v>2.5611281003781698</v>
      </c>
      <c r="TK50">
        <f t="shared" si="1559"/>
        <v>2.5636989946966651</v>
      </c>
      <c r="TL50">
        <f t="shared" si="1559"/>
        <v>2.566242205879476</v>
      </c>
      <c r="TM50">
        <f t="shared" si="1559"/>
        <v>2.5687580259053249</v>
      </c>
      <c r="TN50">
        <f t="shared" si="1559"/>
        <v>2.5712467439015541</v>
      </c>
      <c r="TO50">
        <f t="shared" si="1559"/>
        <v>2.5737086461631264</v>
      </c>
      <c r="TP50">
        <f t="shared" si="1559"/>
        <v>2.576144016172222</v>
      </c>
      <c r="TQ50">
        <f t="shared" si="1559"/>
        <v>2.5785531346176072</v>
      </c>
      <c r="TR50">
        <f t="shared" si="1559"/>
        <v>2.5809362794145727</v>
      </c>
      <c r="TS50">
        <f t="shared" si="1559"/>
        <v>2.5832937257248432</v>
      </c>
      <c r="TT50">
        <f t="shared" si="1559"/>
        <v>2.5856257459766994</v>
      </c>
      <c r="TU50">
        <f t="shared" si="1559"/>
        <v>2.5879326098852573</v>
      </c>
      <c r="TV50">
        <f t="shared" si="1559"/>
        <v>2.5902145844728182</v>
      </c>
      <c r="TW50">
        <f t="shared" si="1559"/>
        <v>2.5924719340894455</v>
      </c>
      <c r="TX50">
        <f t="shared" si="1559"/>
        <v>2.5947049204335002</v>
      </c>
      <c r="TY50">
        <f t="shared" si="1559"/>
        <v>2.5969138025723879</v>
      </c>
      <c r="TZ50">
        <f t="shared" si="1559"/>
        <v>2.599098836963293</v>
      </c>
      <c r="UA50">
        <f t="shared" si="1559"/>
        <v>2.6012602774740117</v>
      </c>
      <c r="UB50">
        <f t="shared" si="1559"/>
        <v>2.6033983754038985</v>
      </c>
      <c r="UC50">
        <f t="shared" si="1559"/>
        <v>2.6055133795047141</v>
      </c>
      <c r="UD50">
        <f t="shared" si="1559"/>
        <v>2.6076055360015857</v>
      </c>
      <c r="UE50">
        <f t="shared" si="1559"/>
        <v>2.6096750886140825</v>
      </c>
      <c r="UF50">
        <f t="shared" si="1559"/>
        <v>2.611722278577048</v>
      </c>
      <c r="UG50">
        <f t="shared" si="1559"/>
        <v>2.6137473446617463</v>
      </c>
      <c r="UH50">
        <f t="shared" si="1559"/>
        <v>2.6157505231967377</v>
      </c>
      <c r="UI50">
        <f t="shared" si="1559"/>
        <v>2.6177320480888824</v>
      </c>
      <c r="UJ50">
        <f t="shared" si="1559"/>
        <v>2.6196921508443154</v>
      </c>
      <c r="UK50">
        <f t="shared" si="1559"/>
        <v>2.6216310605893085</v>
      </c>
      <c r="UL50">
        <f t="shared" si="1559"/>
        <v>2.623549004091231</v>
      </c>
      <c r="UM50">
        <f t="shared" si="1559"/>
        <v>2.6254462057792978</v>
      </c>
      <c r="UN50">
        <f t="shared" si="1559"/>
        <v>2.6273228877654162</v>
      </c>
      <c r="UO50">
        <f t="shared" si="1559"/>
        <v>2.6291792698649203</v>
      </c>
      <c r="UP50">
        <f t="shared" si="1559"/>
        <v>2.6310155696172188</v>
      </c>
      <c r="UQ50">
        <f t="shared" si="1559"/>
        <v>2.6328320023064009</v>
      </c>
      <c r="UR50">
        <f t="shared" si="1559"/>
        <v>2.6346287809817852</v>
      </c>
      <c r="US50">
        <f t="shared" si="1559"/>
        <v>2.6364061164784118</v>
      </c>
      <c r="UT50">
        <f t="shared" si="1559"/>
        <v>2.6381642174373354</v>
      </c>
      <c r="UU50">
        <f t="shared" si="1559"/>
        <v>2.6399032903259467</v>
      </c>
      <c r="UV50">
        <f t="shared" si="1559"/>
        <v>2.6416235394582515</v>
      </c>
      <c r="UW50">
        <f t="shared" si="1559"/>
        <v>2.6433251670148508</v>
      </c>
      <c r="UX50">
        <f t="shared" si="1559"/>
        <v>2.6450083730630638</v>
      </c>
      <c r="UY50">
        <f t="shared" si="1559"/>
        <v>2.6466733555767519</v>
      </c>
      <c r="UZ50">
        <f t="shared" si="1559"/>
        <v>2.6483203104562136</v>
      </c>
      <c r="VA50">
        <f t="shared" si="1559"/>
        <v>2.6499494315478103</v>
      </c>
      <c r="VB50">
        <f t="shared" si="1559"/>
        <v>2.6515609106635765</v>
      </c>
      <c r="VC50">
        <f t="shared" si="1559"/>
        <v>2.6531549376006893</v>
      </c>
      <c r="VD50">
        <f t="shared" si="1559"/>
        <v>2.6547317001608519</v>
      </c>
      <c r="VE50">
        <f t="shared" si="1559"/>
        <v>2.6562913841695774</v>
      </c>
      <c r="VF50">
        <f t="shared" si="1559"/>
        <v>2.6578341734951891</v>
      </c>
      <c r="VG50">
        <f t="shared" si="1559"/>
        <v>2.6593602500679765</v>
      </c>
      <c r="VH50">
        <f t="shared" si="1559"/>
        <v>2.6608697938989678</v>
      </c>
      <c r="VI50">
        <f t="shared" si="1559"/>
        <v>2.6623629830987738</v>
      </c>
      <c r="VJ50">
        <f t="shared" si="1559"/>
        <v>2.6638399938961186</v>
      </c>
      <c r="VK50">
        <f t="shared" si="1559"/>
        <v>2.6653010006563989</v>
      </c>
      <c r="VL50">
        <f t="shared" si="1559"/>
        <v>2.6667461759001156</v>
      </c>
      <c r="VM50">
        <f t="shared" si="1559"/>
        <v>2.6681756903209362</v>
      </c>
      <c r="VN50">
        <f t="shared" si="1559"/>
        <v>2.6695897128040542</v>
      </c>
      <c r="VO50">
        <f t="shared" si="1559"/>
        <v>2.6709884104439396</v>
      </c>
      <c r="VP50">
        <f t="shared" si="1559"/>
        <v>2.6723719485623292</v>
      </c>
      <c r="VQ50">
        <f t="shared" si="1559"/>
        <v>2.6737404907258764</v>
      </c>
      <c r="VR50">
        <f t="shared" ref="VR50:YC50" si="1560">$X$19*VR34+$Y$19*VR35+$Z$19*VR37</f>
        <v>2.6750941987637162</v>
      </c>
      <c r="VS50">
        <f t="shared" si="1560"/>
        <v>2.6764332327849445</v>
      </c>
      <c r="VT50">
        <f t="shared" si="1560"/>
        <v>2.6777577511958697</v>
      </c>
      <c r="VU50">
        <f t="shared" si="1560"/>
        <v>2.6790679107172366</v>
      </c>
      <c r="VV50">
        <f t="shared" si="1560"/>
        <v>2.6803638664012226</v>
      </c>
      <c r="VW50">
        <f t="shared" si="1560"/>
        <v>2.6816457716482915</v>
      </c>
      <c r="VX50">
        <f t="shared" si="1560"/>
        <v>2.6829137782240053</v>
      </c>
      <c r="VY50">
        <f t="shared" si="1560"/>
        <v>2.6841680362755937</v>
      </c>
      <c r="VZ50">
        <f t="shared" si="1560"/>
        <v>2.6854086943485243</v>
      </c>
      <c r="WA50">
        <f t="shared" si="1560"/>
        <v>2.6866358994026882</v>
      </c>
      <c r="WB50">
        <f t="shared" si="1560"/>
        <v>2.6878497968286865</v>
      </c>
      <c r="WC50">
        <f t="shared" si="1560"/>
        <v>2.6890505304638879</v>
      </c>
      <c r="WD50">
        <f t="shared" si="1560"/>
        <v>2.6902382426083449</v>
      </c>
      <c r="WE50">
        <f t="shared" si="1560"/>
        <v>2.691413074040625</v>
      </c>
      <c r="WF50">
        <f t="shared" si="1560"/>
        <v>2.6925751640333431</v>
      </c>
      <c r="WG50">
        <f t="shared" si="1560"/>
        <v>2.6937246503687788</v>
      </c>
      <c r="WH50">
        <f t="shared" si="1560"/>
        <v>2.694861669354168</v>
      </c>
      <c r="WI50">
        <f t="shared" si="1560"/>
        <v>2.6959863558370358</v>
      </c>
      <c r="WJ50">
        <f t="shared" si="1560"/>
        <v>2.6970988432202034</v>
      </c>
      <c r="WK50">
        <f t="shared" si="1560"/>
        <v>2.6981992634767664</v>
      </c>
      <c r="WL50">
        <f t="shared" si="1560"/>
        <v>2.6992877471649734</v>
      </c>
      <c r="WM50">
        <f t="shared" si="1560"/>
        <v>2.7003644234428634</v>
      </c>
      <c r="WN50">
        <f t="shared" si="1560"/>
        <v>2.7014294196953443</v>
      </c>
      <c r="WO50">
        <f t="shared" si="1560"/>
        <v>2.7024828598869703</v>
      </c>
      <c r="WP50">
        <f t="shared" si="1560"/>
        <v>2.7035248604880167</v>
      </c>
      <c r="WQ50">
        <f t="shared" si="1560"/>
        <v>2.7045555229180565</v>
      </c>
      <c r="WR50">
        <f t="shared" si="1560"/>
        <v>2.7055749218475142</v>
      </c>
      <c r="WS50">
        <f t="shared" si="1560"/>
        <v>2.7065830892424856</v>
      </c>
      <c r="WT50">
        <f t="shared" si="1560"/>
        <v>2.7075799945802572</v>
      </c>
      <c r="WU50">
        <f t="shared" si="1560"/>
        <v>2.7085655221013667</v>
      </c>
      <c r="WV50">
        <f t="shared" si="1560"/>
        <v>2.7095394462447189</v>
      </c>
      <c r="WW50">
        <f t="shared" si="1560"/>
        <v>2.7105014065306818</v>
      </c>
      <c r="WX50">
        <f t="shared" si="1560"/>
        <v>2.7114508831344182</v>
      </c>
      <c r="WY50">
        <f t="shared" si="1560"/>
        <v>2.7123871742621048</v>
      </c>
      <c r="WZ50">
        <f t="shared" si="1560"/>
        <v>2.7133093762471105</v>
      </c>
      <c r="XA50">
        <f t="shared" si="1560"/>
        <v>2.7142163670524297</v>
      </c>
      <c r="XB50">
        <f t="shared" si="1560"/>
        <v>2.7151067936318753</v>
      </c>
      <c r="XC50">
        <f t="shared" si="1560"/>
        <v>2.7159790633807148</v>
      </c>
      <c r="XD50">
        <f t="shared" si="1560"/>
        <v>2.7168313397139485</v>
      </c>
      <c r="XE50">
        <f t="shared" si="1560"/>
        <v>2.7176615416496617</v>
      </c>
      <c r="XF50">
        <f t="shared" si="1560"/>
        <v>2.7184673471505789</v>
      </c>
      <c r="XG50">
        <f t="shared" si="1560"/>
        <v>2.7192461998865838</v>
      </c>
      <c r="XH50">
        <f t="shared" si="1560"/>
        <v>2.7199953190215638</v>
      </c>
      <c r="XI50">
        <f t="shared" si="1560"/>
        <v>2.7207117115952286</v>
      </c>
      <c r="XJ50">
        <f t="shared" si="1560"/>
        <v>2.7213921870596778</v>
      </c>
      <c r="XK50">
        <f t="shared" si="1560"/>
        <v>2.7220333735369877</v>
      </c>
      <c r="XL50">
        <f t="shared" si="1560"/>
        <v>2.7226317353833593</v>
      </c>
      <c r="XM50">
        <f t="shared" si="1560"/>
        <v>2.7231835916742</v>
      </c>
      <c r="XN50">
        <f t="shared" si="1560"/>
        <v>2.7236851352580658</v>
      </c>
      <c r="XO50">
        <f t="shared" si="1560"/>
        <v>2.7241324520666268</v>
      </c>
      <c r="XP50">
        <f t="shared" si="1560"/>
        <v>2.7245215404055614</v>
      </c>
      <c r="XQ50">
        <f t="shared" si="1560"/>
        <v>2.7248483299907633</v>
      </c>
      <c r="XR50">
        <f t="shared" si="1560"/>
        <v>2.7251087005314929</v>
      </c>
      <c r="XS50">
        <f t="shared" si="1560"/>
        <v>2.7252984996972174</v>
      </c>
      <c r="XT50">
        <f t="shared" si="1560"/>
        <v>2.7254135603369747</v>
      </c>
      <c r="XU50">
        <f t="shared" si="1560"/>
        <v>2.725449716849738</v>
      </c>
      <c r="XV50">
        <f t="shared" si="1560"/>
        <v>2.7254028206303502</v>
      </c>
      <c r="XW50">
        <f t="shared" si="1560"/>
        <v>2.7252687545382628</v>
      </c>
      <c r="XX50">
        <f t="shared" si="1560"/>
        <v>2.7250434463569349</v>
      </c>
      <c r="XY50">
        <f t="shared" si="1560"/>
        <v>2.7247228812282032</v>
      </c>
      <c r="XZ50">
        <f t="shared" si="1560"/>
        <v>2.7243031130608415</v>
      </c>
      <c r="YA50">
        <f t="shared" si="1560"/>
        <v>2.723780274924323</v>
      </c>
      <c r="YB50">
        <f t="shared" si="1560"/>
        <v>2.7231505884488598</v>
      </c>
      <c r="YC50">
        <f t="shared" si="1560"/>
        <v>2.7224103722605548</v>
      </c>
      <c r="YD50">
        <f t="shared" ref="YD50:AAO50" si="1561">$X$19*YD34+$Y$19*YD35+$Z$19*YD37</f>
        <v>2.7215560494866651</v>
      </c>
      <c r="YE50">
        <f t="shared" si="1561"/>
        <v>2.7205841543709113</v>
      </c>
      <c r="YF50">
        <f t="shared" si="1561"/>
        <v>2.7194913380421326</v>
      </c>
      <c r="YG50">
        <f t="shared" si="1561"/>
        <v>2.718274373481492</v>
      </c>
      <c r="YH50">
        <f t="shared" si="1561"/>
        <v>2.7169301597356821</v>
      </c>
      <c r="YI50">
        <f t="shared" si="1561"/>
        <v>2.7154557254232543</v>
      </c>
      <c r="YJ50">
        <f t="shared" si="1561"/>
        <v>2.7138482315820056</v>
      </c>
      <c r="YK50">
        <f t="shared" si="1561"/>
        <v>2.712104973904033</v>
      </c>
      <c r="YL50">
        <f t="shared" si="1561"/>
        <v>2.710223384404685</v>
      </c>
      <c r="YM50">
        <f t="shared" si="1561"/>
        <v>2.7082010325700168</v>
      </c>
      <c r="YN50">
        <f t="shared" si="1561"/>
        <v>2.7060356260258089</v>
      </c>
      <c r="YO50">
        <f t="shared" si="1561"/>
        <v>2.7037250107694746</v>
      </c>
      <c r="YP50">
        <f t="shared" si="1561"/>
        <v>2.7012671710042895</v>
      </c>
      <c r="YQ50">
        <f t="shared" si="1561"/>
        <v>2.6986602286131358</v>
      </c>
      <c r="YR50">
        <f t="shared" si="1561"/>
        <v>2.6959024423074283</v>
      </c>
      <c r="YS50">
        <f t="shared" si="1561"/>
        <v>2.6929922064842202</v>
      </c>
      <c r="YT50">
        <f t="shared" si="1561"/>
        <v>2.6899280498227256</v>
      </c>
      <c r="YU50">
        <f t="shared" si="1561"/>
        <v>2.6867086336495021</v>
      </c>
      <c r="YV50">
        <f t="shared" si="1561"/>
        <v>2.6833327500993818</v>
      </c>
      <c r="YW50">
        <f t="shared" si="1561"/>
        <v>2.6797993200973025</v>
      </c>
      <c r="YX50">
        <f t="shared" si="1561"/>
        <v>2.6761073911846438</v>
      </c>
      <c r="YY50">
        <f t="shared" si="1561"/>
        <v>2.6722561352112706</v>
      </c>
      <c r="YZ50">
        <f t="shared" si="1561"/>
        <v>2.6682448459136054</v>
      </c>
      <c r="ZA50">
        <f t="shared" si="1561"/>
        <v>2.6640729363964937</v>
      </c>
      <c r="ZB50">
        <f t="shared" si="1561"/>
        <v>2.6597399365360275</v>
      </c>
      <c r="ZC50">
        <f t="shared" si="1561"/>
        <v>2.6552454903181797</v>
      </c>
      <c r="ZD50">
        <f t="shared" si="1561"/>
        <v>2.6505893531275433</v>
      </c>
      <c r="ZE50">
        <f t="shared" si="1561"/>
        <v>2.6457713889984262</v>
      </c>
      <c r="ZF50">
        <f t="shared" si="1561"/>
        <v>2.6407915678400968</v>
      </c>
      <c r="ZG50">
        <f t="shared" si="1561"/>
        <v>2.6356499626463119</v>
      </c>
      <c r="ZH50">
        <f t="shared" si="1561"/>
        <v>2.6303467466983221</v>
      </c>
      <c r="ZI50">
        <f t="shared" si="1561"/>
        <v>2.6248821907700517</v>
      </c>
      <c r="ZJ50">
        <f t="shared" si="1561"/>
        <v>2.6192566603424439</v>
      </c>
      <c r="ZK50">
        <f t="shared" si="1561"/>
        <v>2.6134706128340497</v>
      </c>
      <c r="ZL50">
        <f t="shared" si="1561"/>
        <v>2.6075245948532881</v>
      </c>
      <c r="ZM50">
        <f t="shared" si="1561"/>
        <v>2.6014192394780764</v>
      </c>
      <c r="ZN50">
        <f t="shared" si="1561"/>
        <v>2.5951552635667809</v>
      </c>
      <c r="ZO50">
        <f t="shared" si="1561"/>
        <v>2.5887334651048519</v>
      </c>
      <c r="ZP50">
        <f t="shared" si="1561"/>
        <v>2.5821547205904665</v>
      </c>
      <c r="ZQ50">
        <f t="shared" si="1561"/>
        <v>2.5754199824621224</v>
      </c>
      <c r="ZR50">
        <f t="shared" si="1561"/>
        <v>2.5685302765703995</v>
      </c>
      <c r="ZS50">
        <f t="shared" si="1561"/>
        <v>2.5614866996963599</v>
      </c>
      <c r="ZT50">
        <f t="shared" si="1561"/>
        <v>2.5542904171181249</v>
      </c>
      <c r="ZU50">
        <f t="shared" si="1561"/>
        <v>2.5469426602267475</v>
      </c>
      <c r="ZV50">
        <f t="shared" si="1561"/>
        <v>2.539444724192947</v>
      </c>
      <c r="ZW50">
        <f t="shared" si="1561"/>
        <v>2.5317979656851577</v>
      </c>
      <c r="ZX50">
        <f t="shared" si="1561"/>
        <v>2.5240038006393064</v>
      </c>
      <c r="ZY50">
        <f t="shared" si="1561"/>
        <v>2.516063702081226</v>
      </c>
      <c r="ZZ50">
        <f t="shared" si="1561"/>
        <v>2.5079791980011805</v>
      </c>
      <c r="AAA50">
        <f t="shared" si="1561"/>
        <v>2.4997518692808853</v>
      </c>
      <c r="AAB50">
        <f t="shared" si="1561"/>
        <v>2.4913833476727518</v>
      </c>
      <c r="AAC50">
        <f t="shared" si="1561"/>
        <v>2.4828753138308883</v>
      </c>
      <c r="AAD50">
        <f t="shared" si="1561"/>
        <v>2.4742294953935442</v>
      </c>
      <c r="AAE50">
        <f t="shared" si="1561"/>
        <v>2.4654476651164572</v>
      </c>
      <c r="AAF50">
        <f t="shared" si="1561"/>
        <v>2.4565316390562231</v>
      </c>
      <c r="AAG50">
        <f t="shared" si="1561"/>
        <v>2.4474832748034316</v>
      </c>
      <c r="AAH50">
        <f t="shared" si="1561"/>
        <v>2.4383044697641623</v>
      </c>
      <c r="AAI50">
        <f t="shared" si="1561"/>
        <v>2.4289971594895121</v>
      </c>
      <c r="AAJ50">
        <f t="shared" si="1561"/>
        <v>2.4195633160519066</v>
      </c>
      <c r="AAK50">
        <f t="shared" si="1561"/>
        <v>2.4100049464675095</v>
      </c>
      <c r="AAL50">
        <f t="shared" si="1561"/>
        <v>2.400324091163526</v>
      </c>
      <c r="AAM50">
        <f t="shared" si="1561"/>
        <v>2.3905228224895865</v>
      </c>
      <c r="AAN50">
        <f t="shared" si="1561"/>
        <v>2.3806032432720201</v>
      </c>
      <c r="AAO50">
        <f t="shared" si="1561"/>
        <v>2.3705674854100351</v>
      </c>
    </row>
    <row r="52" spans="1:717">
      <c r="A52" t="s">
        <v>29</v>
      </c>
    </row>
    <row r="53" spans="1:717">
      <c r="A53" s="4" t="s">
        <v>28</v>
      </c>
    </row>
    <row r="54" spans="1:717">
      <c r="A54" s="4">
        <v>1</v>
      </c>
    </row>
    <row r="55" spans="1:717">
      <c r="A55" s="4">
        <f>A54+1</f>
        <v>2</v>
      </c>
    </row>
    <row r="56" spans="1:717">
      <c r="A56" s="4">
        <f t="shared" ref="A56:A63" si="1562">A55+1</f>
        <v>3</v>
      </c>
    </row>
    <row r="57" spans="1:717">
      <c r="A57" s="4">
        <f t="shared" si="1562"/>
        <v>4</v>
      </c>
    </row>
    <row r="58" spans="1:717">
      <c r="A58" s="4">
        <f t="shared" si="1562"/>
        <v>5</v>
      </c>
    </row>
    <row r="59" spans="1:717">
      <c r="A59" s="4">
        <f t="shared" si="1562"/>
        <v>6</v>
      </c>
    </row>
    <row r="60" spans="1:717">
      <c r="A60" s="4">
        <f t="shared" si="1562"/>
        <v>7</v>
      </c>
    </row>
    <row r="61" spans="1:717">
      <c r="A61" s="4">
        <f t="shared" si="1562"/>
        <v>8</v>
      </c>
    </row>
    <row r="62" spans="1:717">
      <c r="A62" s="4">
        <f t="shared" si="1562"/>
        <v>9</v>
      </c>
    </row>
    <row r="63" spans="1:717">
      <c r="A63" s="4">
        <f t="shared" si="1562"/>
        <v>10</v>
      </c>
    </row>
    <row r="64" spans="1:717">
      <c r="A64" s="4" t="s">
        <v>18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Q26"/>
  <sheetViews>
    <sheetView topLeftCell="A4" workbookViewId="0">
      <selection activeCell="C11" sqref="C11"/>
    </sheetView>
  </sheetViews>
  <sheetFormatPr defaultRowHeight="15"/>
  <cols>
    <col min="1" max="1" width="56.140625" style="19" customWidth="1"/>
    <col min="2" max="2" width="38.42578125" customWidth="1"/>
    <col min="3" max="3" width="13.42578125" customWidth="1"/>
    <col min="4" max="4" width="5.140625" customWidth="1"/>
    <col min="5" max="6" width="8.28515625" customWidth="1"/>
    <col min="7" max="7" width="9.28515625" customWidth="1"/>
    <col min="8" max="9" width="8.28515625" customWidth="1"/>
    <col min="10" max="10" width="13.42578125" customWidth="1"/>
    <col min="11" max="11" width="8.28515625" customWidth="1"/>
    <col min="12" max="12" width="12.140625" customWidth="1"/>
    <col min="13" max="13" width="14.7109375" customWidth="1"/>
    <col min="14" max="14" width="12.140625" customWidth="1"/>
    <col min="15" max="16" width="8.28515625" customWidth="1"/>
    <col min="17" max="17" width="13.28515625" customWidth="1"/>
  </cols>
  <sheetData>
    <row r="2" spans="1:17" ht="60.75" customHeight="1"/>
    <row r="3" spans="1:17">
      <c r="D3" s="3"/>
      <c r="E3" s="3" t="s">
        <v>28</v>
      </c>
      <c r="F3" s="3">
        <v>1</v>
      </c>
      <c r="G3" s="3">
        <v>2</v>
      </c>
      <c r="H3" s="3">
        <v>3</v>
      </c>
      <c r="I3" s="3">
        <v>4</v>
      </c>
      <c r="J3" s="3">
        <v>5</v>
      </c>
      <c r="K3" s="3" t="s">
        <v>77</v>
      </c>
      <c r="L3" s="3" t="s">
        <v>83</v>
      </c>
      <c r="M3" s="3" t="s">
        <v>80</v>
      </c>
      <c r="N3" s="3" t="s">
        <v>53</v>
      </c>
      <c r="O3" s="3" t="s">
        <v>49</v>
      </c>
      <c r="P3" s="3" t="s">
        <v>18</v>
      </c>
    </row>
    <row r="4" spans="1:17" ht="33.75" customHeight="1">
      <c r="A4" s="24" t="s">
        <v>98</v>
      </c>
      <c r="B4" s="20" t="s">
        <v>97</v>
      </c>
      <c r="C4" s="21"/>
      <c r="D4" s="20" t="s">
        <v>28</v>
      </c>
      <c r="E4" s="22" t="s">
        <v>96</v>
      </c>
      <c r="F4" s="22" t="str">
        <f>"-ho "</f>
        <v xml:space="preserve">-ho 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0" t="s">
        <v>71</v>
      </c>
    </row>
    <row r="5" spans="1:17" ht="33.75" customHeight="1">
      <c r="A5" s="24" t="s">
        <v>95</v>
      </c>
      <c r="B5" s="20" t="s">
        <v>94</v>
      </c>
      <c r="C5" s="21"/>
      <c r="D5" s="20">
        <v>1</v>
      </c>
      <c r="E5" s="22" t="str">
        <f>"-ho "</f>
        <v xml:space="preserve">-ho </v>
      </c>
      <c r="F5" s="22" t="str">
        <f>"ho + K1"</f>
        <v>ho + K1</v>
      </c>
      <c r="G5" s="22" t="str">
        <f>"-K1"</f>
        <v>-K1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0" t="s">
        <v>68</v>
      </c>
    </row>
    <row r="6" spans="1:17" ht="33.75" customHeight="1">
      <c r="A6" s="24" t="s">
        <v>93</v>
      </c>
      <c r="B6" s="20" t="s">
        <v>92</v>
      </c>
      <c r="C6" s="21"/>
      <c r="D6" s="20">
        <v>2</v>
      </c>
      <c r="E6" s="22">
        <v>0</v>
      </c>
      <c r="F6" s="22" t="str">
        <f>G5</f>
        <v>-K1</v>
      </c>
      <c r="G6" s="22" t="str">
        <f>"K1 + K2"</f>
        <v>K1 + K2</v>
      </c>
      <c r="H6" s="22" t="str">
        <f>"-K2"</f>
        <v>-K2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0" t="s">
        <v>65</v>
      </c>
    </row>
    <row r="7" spans="1:17" ht="33.75" customHeight="1">
      <c r="A7" s="24" t="s">
        <v>77</v>
      </c>
      <c r="B7" s="20" t="s">
        <v>91</v>
      </c>
      <c r="C7" s="21"/>
      <c r="D7" s="20">
        <v>3</v>
      </c>
      <c r="E7" s="22">
        <v>0</v>
      </c>
      <c r="F7" s="22">
        <v>0</v>
      </c>
      <c r="G7" s="22" t="str">
        <f>H6</f>
        <v>-K2</v>
      </c>
      <c r="H7" s="22" t="str">
        <f>"K2 + K3"</f>
        <v>K2 + K3</v>
      </c>
      <c r="I7" s="22" t="str">
        <f>"-K3"</f>
        <v>-K3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0" t="s">
        <v>61</v>
      </c>
    </row>
    <row r="8" spans="1:17" ht="33.75" customHeight="1">
      <c r="A8" s="24" t="s">
        <v>77</v>
      </c>
      <c r="B8" s="20" t="s">
        <v>90</v>
      </c>
      <c r="C8" s="21"/>
      <c r="D8" s="20">
        <v>4</v>
      </c>
      <c r="E8" s="22">
        <v>0</v>
      </c>
      <c r="F8" s="22">
        <v>0</v>
      </c>
      <c r="G8" s="22">
        <v>0</v>
      </c>
      <c r="H8" s="22" t="str">
        <f>I7</f>
        <v>-K3</v>
      </c>
      <c r="I8" s="22" t="str">
        <f>"K3 + K4"</f>
        <v>K3 + K4</v>
      </c>
      <c r="J8" s="22" t="str">
        <f>"-K4"</f>
        <v>-K4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0" t="s">
        <v>89</v>
      </c>
    </row>
    <row r="9" spans="1:17" ht="33.75" customHeight="1">
      <c r="A9" s="24" t="s">
        <v>77</v>
      </c>
      <c r="B9" s="20" t="s">
        <v>88</v>
      </c>
      <c r="C9" s="3" t="str">
        <f>"= [K]{T} ="</f>
        <v>= [K]{T} =</v>
      </c>
      <c r="D9" s="20">
        <v>5</v>
      </c>
      <c r="E9" s="22">
        <v>0</v>
      </c>
      <c r="F9" s="22">
        <v>0</v>
      </c>
      <c r="G9" s="22">
        <v>0</v>
      </c>
      <c r="H9" s="22">
        <v>0</v>
      </c>
      <c r="I9" s="22" t="str">
        <f>J8</f>
        <v>-K4</v>
      </c>
      <c r="J9" s="22" t="str">
        <f>"K4 + K5"</f>
        <v>K4 + K5</v>
      </c>
      <c r="K9" s="22" t="str">
        <f>"-K5"</f>
        <v>-K5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0" t="s">
        <v>87</v>
      </c>
    </row>
    <row r="10" spans="1:17" ht="33.75" customHeight="1">
      <c r="A10" s="24" t="s">
        <v>77</v>
      </c>
      <c r="B10" s="20" t="s">
        <v>86</v>
      </c>
      <c r="C10" s="21"/>
      <c r="D10" s="20" t="s">
        <v>77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 t="str">
        <f>"-K(n-1)"</f>
        <v>-K(n-1)</v>
      </c>
      <c r="K10" s="22" t="str">
        <f>"K(n-1) +Kn"</f>
        <v>K(n-1) +Kn</v>
      </c>
      <c r="L10" s="22" t="str">
        <f>"-Kn"</f>
        <v>-Kn</v>
      </c>
      <c r="M10" s="22">
        <v>0</v>
      </c>
      <c r="N10" s="22">
        <v>0</v>
      </c>
      <c r="O10" s="22">
        <v>0</v>
      </c>
      <c r="P10" s="22">
        <v>0</v>
      </c>
      <c r="Q10" s="20" t="s">
        <v>85</v>
      </c>
    </row>
    <row r="11" spans="1:17" ht="33.75" customHeight="1">
      <c r="A11" s="24" t="s">
        <v>77</v>
      </c>
      <c r="B11" s="20" t="s">
        <v>84</v>
      </c>
      <c r="C11" s="21"/>
      <c r="D11" s="20" t="s">
        <v>83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 t="str">
        <f>"-K(N-4)"</f>
        <v>-K(N-4)</v>
      </c>
      <c r="L11" s="22" t="str">
        <f>"K(N-4) +K(N-3)"</f>
        <v>K(N-4) +K(N-3)</v>
      </c>
      <c r="M11" s="22" t="str">
        <f>"-K(N-3)"</f>
        <v>-K(N-3)</v>
      </c>
      <c r="N11" s="22">
        <v>0</v>
      </c>
      <c r="O11" s="22">
        <v>0</v>
      </c>
      <c r="P11" s="22">
        <v>0</v>
      </c>
      <c r="Q11" s="20" t="s">
        <v>82</v>
      </c>
    </row>
    <row r="12" spans="1:17" ht="33.75" customHeight="1">
      <c r="A12" s="24" t="s">
        <v>77</v>
      </c>
      <c r="B12" s="20" t="s">
        <v>81</v>
      </c>
      <c r="C12" s="21"/>
      <c r="D12" s="20" t="s">
        <v>80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 t="str">
        <f>M11</f>
        <v>-K(N-3)</v>
      </c>
      <c r="M12" s="22" t="str">
        <f>"K(N-3) +K(N-2)"</f>
        <v>K(N-3) +K(N-2)</v>
      </c>
      <c r="N12" s="22" t="str">
        <f>"-K(N-2)"</f>
        <v>-K(N-2)</v>
      </c>
      <c r="O12" s="22">
        <v>0</v>
      </c>
      <c r="P12" s="22">
        <v>0</v>
      </c>
      <c r="Q12" s="20" t="s">
        <v>79</v>
      </c>
    </row>
    <row r="13" spans="1:17" ht="33.75" customHeight="1">
      <c r="A13" s="24" t="s">
        <v>77</v>
      </c>
      <c r="B13" s="20" t="s">
        <v>78</v>
      </c>
      <c r="C13" s="21"/>
      <c r="D13" s="20" t="s">
        <v>53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 t="str">
        <f>N12</f>
        <v>-K(N-2)</v>
      </c>
      <c r="N13" s="22" t="str">
        <f>"K(N-2) +K(N-1)"</f>
        <v>K(N-2) +K(N-1)</v>
      </c>
      <c r="O13" s="22" t="str">
        <f>"-K(N-1)"</f>
        <v>-K(N-1)</v>
      </c>
      <c r="P13" s="22">
        <v>0</v>
      </c>
      <c r="Q13" s="20" t="s">
        <v>54</v>
      </c>
    </row>
    <row r="14" spans="1:17" ht="33.75" customHeight="1">
      <c r="A14" s="24" t="s">
        <v>77</v>
      </c>
      <c r="B14" s="20" t="s">
        <v>76</v>
      </c>
      <c r="C14" s="21"/>
      <c r="D14" s="20" t="s">
        <v>49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 t="str">
        <f>"-K(N-1)"</f>
        <v>-K(N-1)</v>
      </c>
      <c r="O14" s="22" t="str">
        <f>" K(N-1) +hi"</f>
        <v xml:space="preserve"> K(N-1) +hi</v>
      </c>
      <c r="P14" s="22" t="str">
        <f>O15</f>
        <v xml:space="preserve">-hi </v>
      </c>
      <c r="Q14" s="20" t="s">
        <v>50</v>
      </c>
    </row>
    <row r="15" spans="1:17" ht="33.75" customHeight="1">
      <c r="A15" s="24" t="s">
        <v>75</v>
      </c>
      <c r="B15" s="20" t="s">
        <v>74</v>
      </c>
      <c r="C15" s="21"/>
      <c r="D15" s="20" t="s">
        <v>18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 t="str">
        <f>"-hi "</f>
        <v xml:space="preserve">-hi </v>
      </c>
      <c r="P15" s="22" t="s">
        <v>73</v>
      </c>
      <c r="Q15" s="20" t="s">
        <v>46</v>
      </c>
    </row>
    <row r="16" spans="1:17">
      <c r="Q16" s="3"/>
    </row>
    <row r="18" spans="1:16">
      <c r="H18" s="3"/>
      <c r="I18" s="3"/>
      <c r="J18" s="3"/>
      <c r="K18" s="3"/>
      <c r="L18" s="3"/>
      <c r="M18" s="3"/>
      <c r="N18" s="3"/>
      <c r="O18" s="3"/>
    </row>
    <row r="19" spans="1:16" ht="33.75" customHeight="1">
      <c r="A19" s="21"/>
      <c r="B19" s="20" t="s">
        <v>28</v>
      </c>
      <c r="C19" s="20" t="s">
        <v>72</v>
      </c>
      <c r="E19" s="20" t="s">
        <v>71</v>
      </c>
      <c r="H19" s="21"/>
      <c r="I19" s="20" t="s">
        <v>28</v>
      </c>
      <c r="J19" s="20" t="s">
        <v>70</v>
      </c>
      <c r="O19" s="22"/>
    </row>
    <row r="20" spans="1:16" ht="49.5" customHeight="1">
      <c r="A20" s="21"/>
      <c r="B20" s="20">
        <v>1</v>
      </c>
      <c r="C20" s="22" t="s">
        <v>69</v>
      </c>
      <c r="E20" s="20" t="s">
        <v>68</v>
      </c>
      <c r="H20" s="21"/>
      <c r="I20" s="20">
        <v>1</v>
      </c>
      <c r="J20" s="22" t="s">
        <v>67</v>
      </c>
      <c r="O20" s="22"/>
    </row>
    <row r="21" spans="1:16" ht="49.5" customHeight="1">
      <c r="A21" s="21"/>
      <c r="B21" s="20">
        <v>2</v>
      </c>
      <c r="C21" s="22" t="s">
        <v>66</v>
      </c>
      <c r="E21" s="20" t="s">
        <v>65</v>
      </c>
      <c r="H21" s="21"/>
      <c r="I21" s="20">
        <v>2</v>
      </c>
      <c r="J21" s="22" t="s">
        <v>64</v>
      </c>
      <c r="O21" s="22"/>
    </row>
    <row r="22" spans="1:16" ht="57.75" customHeight="1">
      <c r="A22" s="23" t="s">
        <v>63</v>
      </c>
      <c r="B22" s="20" t="s">
        <v>58</v>
      </c>
      <c r="C22" s="22" t="s">
        <v>62</v>
      </c>
      <c r="E22" s="20" t="s">
        <v>61</v>
      </c>
      <c r="F22" s="20" t="s">
        <v>60</v>
      </c>
      <c r="H22" s="23" t="s">
        <v>59</v>
      </c>
      <c r="I22" s="20" t="s">
        <v>58</v>
      </c>
      <c r="J22" s="22" t="s">
        <v>57</v>
      </c>
      <c r="K22" s="20" t="s">
        <v>56</v>
      </c>
      <c r="O22" s="22"/>
    </row>
    <row r="23" spans="1:16" ht="49.5" customHeight="1">
      <c r="A23" s="21"/>
      <c r="B23" s="20" t="s">
        <v>53</v>
      </c>
      <c r="C23" s="22" t="s">
        <v>55</v>
      </c>
      <c r="E23" s="20" t="s">
        <v>54</v>
      </c>
      <c r="H23" s="21"/>
      <c r="I23" s="20" t="s">
        <v>53</v>
      </c>
      <c r="J23" s="22" t="s">
        <v>52</v>
      </c>
      <c r="O23" s="22"/>
    </row>
    <row r="24" spans="1:16" ht="49.5" customHeight="1">
      <c r="A24" s="21"/>
      <c r="B24" s="20" t="s">
        <v>49</v>
      </c>
      <c r="C24" s="22" t="s">
        <v>51</v>
      </c>
      <c r="E24" s="20" t="s">
        <v>50</v>
      </c>
      <c r="H24" s="21"/>
      <c r="I24" s="20" t="s">
        <v>49</v>
      </c>
      <c r="J24" s="22" t="s">
        <v>48</v>
      </c>
      <c r="O24" s="22"/>
    </row>
    <row r="25" spans="1:16" ht="37.5" customHeight="1">
      <c r="A25" s="21"/>
      <c r="B25" s="20" t="s">
        <v>18</v>
      </c>
      <c r="C25" s="20" t="s">
        <v>47</v>
      </c>
      <c r="E25" s="20" t="s">
        <v>46</v>
      </c>
      <c r="H25" s="21"/>
      <c r="I25" s="20" t="s">
        <v>18</v>
      </c>
      <c r="J25" s="20" t="s">
        <v>45</v>
      </c>
    </row>
    <row r="26" spans="1:16">
      <c r="P26" s="3"/>
    </row>
  </sheetData>
  <pageMargins left="0.7" right="0.7" top="0.75" bottom="0.75" header="0.3" footer="0.3"/>
  <pageSetup orientation="portrait" r:id="rId1"/>
  <drawing r:id="rId2"/>
  <legacyDrawing r:id="rId3"/>
  <oleObjects>
    <oleObject progId="Word.Document.12" shapeId="2051" r:id="rId4"/>
  </oleObject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A6" sqref="A6"/>
    </sheetView>
  </sheetViews>
  <sheetFormatPr defaultRowHeight="15"/>
  <cols>
    <col min="1" max="1" width="14.5703125" customWidth="1"/>
  </cols>
  <sheetData>
    <row r="1" spans="1:4">
      <c r="A1" t="s">
        <v>99</v>
      </c>
      <c r="B1" t="s">
        <v>4</v>
      </c>
      <c r="C1" t="s">
        <v>5</v>
      </c>
      <c r="D1" t="s">
        <v>6</v>
      </c>
    </row>
    <row r="2" spans="1:4">
      <c r="A2" s="29" t="s">
        <v>114</v>
      </c>
    </row>
    <row r="3" spans="1:4">
      <c r="A3" t="s">
        <v>100</v>
      </c>
      <c r="B3">
        <f>1.07*0.75</f>
        <v>0.80249999999999999</v>
      </c>
    </row>
    <row r="4" spans="1:4">
      <c r="A4" t="s">
        <v>105</v>
      </c>
      <c r="B4">
        <v>0.8</v>
      </c>
    </row>
    <row r="5" spans="1:4">
      <c r="A5" t="s">
        <v>106</v>
      </c>
    </row>
    <row r="6" spans="1:4">
      <c r="A6" t="s">
        <v>107</v>
      </c>
    </row>
    <row r="7" spans="1:4">
      <c r="A7" t="s">
        <v>108</v>
      </c>
    </row>
    <row r="8" spans="1:4">
      <c r="A8" s="29" t="s">
        <v>109</v>
      </c>
    </row>
    <row r="9" spans="1:4">
      <c r="A9" t="s">
        <v>110</v>
      </c>
    </row>
    <row r="10" spans="1:4">
      <c r="A10" t="s">
        <v>111</v>
      </c>
    </row>
    <row r="11" spans="1:4">
      <c r="A11" t="s">
        <v>112</v>
      </c>
    </row>
    <row r="12" spans="1:4">
      <c r="A12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Calculations</vt:lpstr>
      <vt:lpstr>Formulas</vt:lpstr>
      <vt:lpstr>Materials</vt:lpstr>
      <vt:lpstr>Sheet3</vt:lpstr>
      <vt:lpstr>dt</vt:lpstr>
      <vt:lpstr>dx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jamesa</cp:lastModifiedBy>
  <dcterms:created xsi:type="dcterms:W3CDTF">2013-11-25T05:45:35Z</dcterms:created>
  <dcterms:modified xsi:type="dcterms:W3CDTF">2013-12-10T22:50:30Z</dcterms:modified>
</cp:coreProperties>
</file>