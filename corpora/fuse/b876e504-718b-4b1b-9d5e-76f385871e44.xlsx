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195" windowWidth="15300" windowHeight="7890" tabRatio="845"/>
  </bookViews>
  <sheets>
    <sheet name="Non-GAAP Financial Measures" sheetId="51" r:id="rId1"/>
    <sheet name="QTD P&amp;L - 12 quarters" sheetId="2" r:id="rId2"/>
    <sheet name="TTM P&amp;L - 12 quarters" sheetId="1" r:id="rId3"/>
    <sheet name="QTD Net Rev - 12 quarters" sheetId="58" r:id="rId4"/>
    <sheet name="BneWorkBookProperties" sheetId="60" state="veryHidden" r:id="rId5"/>
    <sheet name="TTM Net Rev - 12 quarters" sheetId="61" r:id="rId6"/>
    <sheet name="Balance Sheet - 12 quarters" sheetId="3" r:id="rId7"/>
    <sheet name="Cashflow - 12 Quarters" sheetId="4" r:id="rId8"/>
    <sheet name="QTD Recon Q3FY13" sheetId="74" r:id="rId9"/>
    <sheet name="QTD Recon Q2FY13" sheetId="79" r:id="rId10"/>
    <sheet name="QTD Recon Q1FY13" sheetId="72" r:id="rId11"/>
    <sheet name="QTD Recon Q4FY12" sheetId="69" r:id="rId12"/>
    <sheet name="QTD Recon Q3FY12" sheetId="67" r:id="rId13"/>
    <sheet name="QTD Recon Q2FY12" sheetId="65" r:id="rId14"/>
    <sheet name="QTD Recon Q1FY12" sheetId="63" r:id="rId15"/>
    <sheet name="QTD Recon Q4FY11" sheetId="55" r:id="rId16"/>
    <sheet name="QTD Recon Q3FY11" sheetId="53" r:id="rId17"/>
    <sheet name="QTD Recon Q2FY11" sheetId="39" r:id="rId18"/>
    <sheet name="QTD Recon Q1FY11" sheetId="5" r:id="rId19"/>
    <sheet name="QTD Recon Q4FY10" sheetId="29" r:id="rId20"/>
    <sheet name="TTM Recon Q3FY13" sheetId="80" r:id="rId21"/>
    <sheet name="TTM Recon Q2FY13" sheetId="78" r:id="rId22"/>
    <sheet name="TTM Recon Q1FY13" sheetId="73" r:id="rId23"/>
    <sheet name="TTM Recon Q4FY12" sheetId="70" r:id="rId24"/>
    <sheet name="TTM Recon Q3FY12" sheetId="68" r:id="rId25"/>
    <sheet name="TTM Recon Q2FY12" sheetId="66" r:id="rId26"/>
    <sheet name="TTM Recon Q1FY12" sheetId="64" r:id="rId27"/>
    <sheet name="TTM Recon Q4FY11" sheetId="56" r:id="rId28"/>
    <sheet name="TTM Recon Q3FY11" sheetId="54" r:id="rId29"/>
    <sheet name="TTM Recon Q2FY11" sheetId="40" r:id="rId30"/>
    <sheet name="TTM Recon Q1FY11" sheetId="6" r:id="rId31"/>
    <sheet name="TTM Recon Q4FY10" sheetId="41" r:id="rId32"/>
  </sheets>
  <externalReferences>
    <externalReference r:id="rId33"/>
    <externalReference r:id="rId34"/>
    <externalReference r:id="rId35"/>
    <externalReference r:id="rId36"/>
  </externalReferences>
  <definedNames>
    <definedName name="_FYE2006">[1]QtrComp!$AW1</definedName>
    <definedName name="_FYE2007">[1]QtrComp!$AX1</definedName>
    <definedName name="_FYE2008">[1]QtrComp!$AY1</definedName>
    <definedName name="_PS2" localSheetId="10">#REF!</definedName>
    <definedName name="_PS2" localSheetId="9">#REF!</definedName>
    <definedName name="_PS2" localSheetId="8">#REF!</definedName>
    <definedName name="_PS2" localSheetId="22">#REF!</definedName>
    <definedName name="_PS2" localSheetId="21">#REF!</definedName>
    <definedName name="_PS2">#REF!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DV_98" localSheetId="10">#REF!</definedName>
    <definedName name="ADV_98" localSheetId="9">#REF!</definedName>
    <definedName name="ADV_98" localSheetId="8">#REF!</definedName>
    <definedName name="ADV_98" localSheetId="22">#REF!</definedName>
    <definedName name="ADV_98" localSheetId="21">#REF!</definedName>
    <definedName name="ADV_98">#REF!</definedName>
    <definedName name="ADV98_TITLE" localSheetId="10">#REF!</definedName>
    <definedName name="ADV98_TITLE" localSheetId="9">#REF!</definedName>
    <definedName name="ADV98_TITLE" localSheetId="8">#REF!</definedName>
    <definedName name="ADV98_TITLE" localSheetId="22">#REF!</definedName>
    <definedName name="ADV98_TITLE" localSheetId="21">#REF!</definedName>
    <definedName name="ADV98_TITLE">#REF!</definedName>
    <definedName name="advance" localSheetId="10">#REF!</definedName>
    <definedName name="advance" localSheetId="9">#REF!</definedName>
    <definedName name="advance" localSheetId="8">#REF!</definedName>
    <definedName name="advance" localSheetId="22">#REF!</definedName>
    <definedName name="advance" localSheetId="21">#REF!</definedName>
    <definedName name="advance">#REF!</definedName>
    <definedName name="advwo" localSheetId="10">#REF!</definedName>
    <definedName name="advwo" localSheetId="9">#REF!</definedName>
    <definedName name="advwo" localSheetId="8">#REF!</definedName>
    <definedName name="advwo" localSheetId="22">#REF!</definedName>
    <definedName name="advwo" localSheetId="21">#REF!</definedName>
    <definedName name="advwo">#REF!</definedName>
    <definedName name="AL" localSheetId="10">#REF!</definedName>
    <definedName name="AL" localSheetId="9">#REF!</definedName>
    <definedName name="AL" localSheetId="8">#REF!</definedName>
    <definedName name="AL" localSheetId="22">#REF!</definedName>
    <definedName name="AL" localSheetId="21">#REF!</definedName>
    <definedName name="AL">#REF!</definedName>
    <definedName name="asdsa" localSheetId="22" hidden="1">{"barthelet detail",#N/A,FALSE,"96 plan Q1";"barthelet summ",#N/A,FALSE,"96 plan Q1"}</definedName>
    <definedName name="asdsa" localSheetId="21" hidden="1">{"barthelet detail",#N/A,FALSE,"96 plan Q1";"barthelet summ",#N/A,FALSE,"96 plan Q1"}</definedName>
    <definedName name="asdsa" localSheetId="23" hidden="1">{"barthelet detail",#N/A,FALSE,"96 plan Q1";"barthelet summ",#N/A,FALSE,"96 plan Q1"}</definedName>
    <definedName name="asdsa" hidden="1">{"barthelet detail",#N/A,FALSE,"96 plan Q1";"barthelet summ",#N/A,FALSE,"96 plan Q1"}</definedName>
    <definedName name="AUD">'[2]FX Rate'!$B$7</definedName>
    <definedName name="awp" localSheetId="22" hidden="1">{"barthelet detail",#N/A,FALSE,"96 plan Q1";"barthelet summ",#N/A,FALSE,"96 plan Q1"}</definedName>
    <definedName name="awp" localSheetId="21" hidden="1">{"barthelet detail",#N/A,FALSE,"96 plan Q1";"barthelet summ",#N/A,FALSE,"96 plan Q1"}</definedName>
    <definedName name="awp" localSheetId="23" hidden="1">{"barthelet detail",#N/A,FALSE,"96 plan Q1";"barthelet summ",#N/A,FALSE,"96 plan Q1"}</definedName>
    <definedName name="awp" hidden="1">{"barthelet detail",#N/A,FALSE,"96 plan Q1";"barthelet summ",#N/A,FALSE,"96 plan Q1"}</definedName>
    <definedName name="Co">#REF!</definedName>
    <definedName name="CoPub" localSheetId="10">#REF!</definedName>
    <definedName name="CoPub" localSheetId="9">#REF!</definedName>
    <definedName name="CoPub" localSheetId="8">#REF!</definedName>
    <definedName name="CoPub" localSheetId="22">#REF!</definedName>
    <definedName name="CoPub" localSheetId="21">#REF!</definedName>
    <definedName name="CoPub">#REF!</definedName>
    <definedName name="d" localSheetId="22" hidden="1">{"barthelet detail",#N/A,FALSE,"96 plan Q1";"barthelet summ",#N/A,FALSE,"96 plan Q1"}</definedName>
    <definedName name="d" localSheetId="21" hidden="1">{"barthelet detail",#N/A,FALSE,"96 plan Q1";"barthelet summ",#N/A,FALSE,"96 plan Q1"}</definedName>
    <definedName name="d" localSheetId="23" hidden="1">{"barthelet detail",#N/A,FALSE,"96 plan Q1";"barthelet summ",#N/A,FALSE,"96 plan Q1"}</definedName>
    <definedName name="d" hidden="1">{"barthelet detail",#N/A,FALSE,"96 plan Q1";"barthelet summ",#N/A,FALSE,"96 plan Q1"}</definedName>
    <definedName name="data" localSheetId="10">#REF!</definedName>
    <definedName name="data" localSheetId="9">#REF!</definedName>
    <definedName name="data" localSheetId="8">#REF!</definedName>
    <definedName name="data" localSheetId="22">#REF!</definedName>
    <definedName name="data" localSheetId="21">#REF!</definedName>
    <definedName name="data">#REF!</definedName>
    <definedName name="_xlnm.Database" localSheetId="10">#REF!</definedName>
    <definedName name="_xlnm.Database" localSheetId="9">#REF!</definedName>
    <definedName name="_xlnm.Database" localSheetId="8">#REF!</definedName>
    <definedName name="_xlnm.Database" localSheetId="22">#REF!</definedName>
    <definedName name="_xlnm.Database" localSheetId="21">#REF!</definedName>
    <definedName name="_xlnm.Database">#REF!</definedName>
    <definedName name="DB" localSheetId="10">#REF!</definedName>
    <definedName name="DB" localSheetId="9">#REF!</definedName>
    <definedName name="DB" localSheetId="8">#REF!</definedName>
    <definedName name="DB" localSheetId="22">#REF!</definedName>
    <definedName name="DB" localSheetId="21">#REF!</definedName>
    <definedName name="DB">#REF!</definedName>
    <definedName name="DBPC" localSheetId="10">#REF!</definedName>
    <definedName name="DBPC" localSheetId="9">#REF!</definedName>
    <definedName name="DBPC" localSheetId="8">#REF!</definedName>
    <definedName name="DBPC" localSheetId="22">#REF!</definedName>
    <definedName name="DBPC" localSheetId="21">#REF!</definedName>
    <definedName name="DBPC">#REF!</definedName>
    <definedName name="DBPY" localSheetId="10">#REF!</definedName>
    <definedName name="DBPY" localSheetId="9">#REF!</definedName>
    <definedName name="DBPY" localSheetId="8">#REF!</definedName>
    <definedName name="DBPY" localSheetId="22">#REF!</definedName>
    <definedName name="DBPY" localSheetId="21">#REF!</definedName>
    <definedName name="DBPY">#REF!</definedName>
    <definedName name="Denom">[3]Key!$B$1</definedName>
    <definedName name="Denominator" localSheetId="10">#REF!</definedName>
    <definedName name="Denominator" localSheetId="9">#REF!</definedName>
    <definedName name="Denominator" localSheetId="8">#REF!</definedName>
    <definedName name="Denominator" localSheetId="22">#REF!</definedName>
    <definedName name="Denominator" localSheetId="21">#REF!</definedName>
    <definedName name="Denominator">#REF!</definedName>
    <definedName name="DEVELOPMENT" localSheetId="10">#REF!</definedName>
    <definedName name="DEVELOPMENT" localSheetId="9">#REF!</definedName>
    <definedName name="DEVELOPMENT" localSheetId="8">#REF!</definedName>
    <definedName name="DEVELOPMENT" localSheetId="22">#REF!</definedName>
    <definedName name="DEVELOPMENT" localSheetId="21">#REF!</definedName>
    <definedName name="DEVELOPMENT">#REF!</definedName>
    <definedName name="Distribution" localSheetId="10">#REF!</definedName>
    <definedName name="Distribution" localSheetId="9">#REF!</definedName>
    <definedName name="Distribution" localSheetId="8">#REF!</definedName>
    <definedName name="Distribution" localSheetId="22">#REF!</definedName>
    <definedName name="Distribution" localSheetId="21">#REF!</definedName>
    <definedName name="Distribution">#REF!</definedName>
    <definedName name="dsadfa" localSheetId="22" hidden="1">{"barthelet detail",#N/A,FALSE,"96 plan Q1";"barthelet summ",#N/A,FALSE,"96 plan Q1"}</definedName>
    <definedName name="dsadfa" localSheetId="21" hidden="1">{"barthelet detail",#N/A,FALSE,"96 plan Q1";"barthelet summ",#N/A,FALSE,"96 plan Q1"}</definedName>
    <definedName name="dsadfa" localSheetId="23" hidden="1">{"barthelet detail",#N/A,FALSE,"96 plan Q1";"barthelet summ",#N/A,FALSE,"96 plan Q1"}</definedName>
    <definedName name="dsadfa" hidden="1">{"barthelet detail",#N/A,FALSE,"96 plan Q1";"barthelet summ",#N/A,FALSE,"96 plan Q1"}</definedName>
    <definedName name="dsafasd" localSheetId="22" hidden="1">{"barthelet detail",#N/A,FALSE,"96 plan Q1";"barthelet summ",#N/A,FALSE,"96 plan Q1"}</definedName>
    <definedName name="dsafasd" localSheetId="21" hidden="1">{"barthelet detail",#N/A,FALSE,"96 plan Q1";"barthelet summ",#N/A,FALSE,"96 plan Q1"}</definedName>
    <definedName name="dsafasd" localSheetId="23" hidden="1">{"barthelet detail",#N/A,FALSE,"96 plan Q1";"barthelet summ",#N/A,FALSE,"96 plan Q1"}</definedName>
    <definedName name="dsafasd" hidden="1">{"barthelet detail",#N/A,FALSE,"96 plan Q1";"barthelet summ",#N/A,FALSE,"96 plan Q1"}</definedName>
    <definedName name="Europe" localSheetId="10">#REF!</definedName>
    <definedName name="Europe" localSheetId="9">#REF!</definedName>
    <definedName name="Europe" localSheetId="8">#REF!</definedName>
    <definedName name="Europe" localSheetId="22">#REF!</definedName>
    <definedName name="Europe" localSheetId="21">#REF!</definedName>
    <definedName name="Europe">#REF!</definedName>
    <definedName name="fy99fcvpl" localSheetId="10">#REF!</definedName>
    <definedName name="fy99fcvpl" localSheetId="9">#REF!</definedName>
    <definedName name="fy99fcvpl" localSheetId="8">#REF!</definedName>
    <definedName name="fy99fcvpl" localSheetId="22">#REF!</definedName>
    <definedName name="fy99fcvpl" localSheetId="21">#REF!</definedName>
    <definedName name="fy99fcvpl">#REF!</definedName>
    <definedName name="GameBoy" localSheetId="10">#REF!</definedName>
    <definedName name="GameBoy" localSheetId="9">#REF!</definedName>
    <definedName name="GameBoy" localSheetId="8">#REF!</definedName>
    <definedName name="GameBoy" localSheetId="22">#REF!</definedName>
    <definedName name="GameBoy" localSheetId="21">#REF!</definedName>
    <definedName name="GameBoy">#REF!</definedName>
    <definedName name="HKD">'[2]FX Rate'!$B$1</definedName>
    <definedName name="KRW">'[2]FX Rate'!$B$3</definedName>
    <definedName name="NGC" localSheetId="10">#REF!</definedName>
    <definedName name="NGC" localSheetId="9">#REF!</definedName>
    <definedName name="NGC" localSheetId="8">#REF!</definedName>
    <definedName name="NGC" localSheetId="22">#REF!</definedName>
    <definedName name="NGC" localSheetId="21">#REF!</definedName>
    <definedName name="NGC">#REF!</definedName>
    <definedName name="North_America" localSheetId="10">#REF!</definedName>
    <definedName name="North_America" localSheetId="9">#REF!</definedName>
    <definedName name="North_America" localSheetId="8">#REF!</definedName>
    <definedName name="North_America" localSheetId="22">#REF!</definedName>
    <definedName name="North_America" localSheetId="21">#REF!</definedName>
    <definedName name="North_America">#REF!</definedName>
    <definedName name="NZD">'[2]FX Rate'!$B$8</definedName>
    <definedName name="ONLINE_COST_OF_REVENUE" localSheetId="10">#REF!</definedName>
    <definedName name="ONLINE_COST_OF_REVENUE" localSheetId="9">#REF!</definedName>
    <definedName name="ONLINE_COST_OF_REVENUE" localSheetId="8">#REF!</definedName>
    <definedName name="ONLINE_COST_OF_REVENUE" localSheetId="22">#REF!</definedName>
    <definedName name="ONLINE_COST_OF_REVENUE" localSheetId="21">#REF!</definedName>
    <definedName name="ONLINE_COST_OF_REVENUE">#REF!</definedName>
    <definedName name="PC" localSheetId="10">#REF!</definedName>
    <definedName name="PC" localSheetId="9">#REF!</definedName>
    <definedName name="PC" localSheetId="8">#REF!</definedName>
    <definedName name="PC" localSheetId="22">#REF!</definedName>
    <definedName name="PC" localSheetId="21">#REF!</definedName>
    <definedName name="PC">#REF!</definedName>
    <definedName name="_xlnm.Print_Area" localSheetId="6">'Balance Sheet - 12 quarters'!$A$1:$N$45</definedName>
    <definedName name="_xlnm.Print_Area" localSheetId="7">'Cashflow - 12 Quarters'!$A$1:$P$18</definedName>
    <definedName name="_xlnm.Print_Area" localSheetId="0">'Non-GAAP Financial Measures'!$A$1:$R$24</definedName>
    <definedName name="_xlnm.Print_Area" localSheetId="3">'QTD Net Rev - 12 quarters'!$A$1:$O$110</definedName>
    <definedName name="_xlnm.Print_Area" localSheetId="1">'QTD P&amp;L - 12 quarters'!$A$1:$P$118</definedName>
    <definedName name="_xlnm.Print_Area" localSheetId="14">'QTD Recon Q1FY12'!$A$1:$N$37</definedName>
    <definedName name="_xlnm.Print_Area" localSheetId="10">'QTD Recon Q1FY13'!$A$1:$U$37</definedName>
    <definedName name="_xlnm.Print_Area" localSheetId="17">'QTD Recon Q2FY11'!$A$1:$R$38</definedName>
    <definedName name="_xlnm.Print_Area" localSheetId="13">'QTD Recon Q2FY12'!$A$1:$P$37</definedName>
    <definedName name="_xlnm.Print_Area" localSheetId="9">'QTD Recon Q2FY13'!$A$1:$Q$36</definedName>
    <definedName name="_xlnm.Print_Area" localSheetId="12">'QTD Recon Q3FY12'!$A$1:$N$36</definedName>
    <definedName name="_xlnm.Print_Area" localSheetId="8">'QTD Recon Q3FY13'!$A$1:$S$38</definedName>
    <definedName name="_xlnm.Print_Area" localSheetId="19">'QTD Recon Q4FY10'!$A$1:$R$38</definedName>
    <definedName name="_xlnm.Print_Area" localSheetId="11">'QTD Recon Q4FY12'!$A$1:$U$37</definedName>
    <definedName name="_xlnm.Print_Area" localSheetId="5">'TTM Net Rev - 12 quarters'!$A$1:$O$111</definedName>
    <definedName name="_xlnm.Print_Area" localSheetId="2">'TTM P&amp;L - 12 quarters'!$A$1:$P$107</definedName>
    <definedName name="_xlnm.Print_Area" localSheetId="30">'TTM Recon Q1FY11'!$A$1:$T$31</definedName>
    <definedName name="_xlnm.Print_Area" localSheetId="26">'TTM Recon Q1FY12'!$A$1:$R$33</definedName>
    <definedName name="_xlnm.Print_Area" localSheetId="22">'TTM Recon Q1FY13'!$A$1:$Z$31</definedName>
    <definedName name="_xlnm.Print_Area" localSheetId="25">'TTM Recon Q2FY12'!$A$1:$P$33</definedName>
    <definedName name="_xlnm.Print_Area" localSheetId="21">'TTM Recon Q2FY13'!$A$1:$Q$30</definedName>
    <definedName name="_xlnm.Print_Area" localSheetId="24">'TTM Recon Q3FY12'!$A$1:$T$33</definedName>
    <definedName name="_xlnm.Print_Area" localSheetId="20">'TTM Recon Q3FY13'!$A$1:$R$32</definedName>
    <definedName name="_xlnm.Print_Area" localSheetId="31">'TTM Recon Q4FY10'!$A$1:$T$31</definedName>
    <definedName name="_xlnm.Print_Area" localSheetId="23">'TTM Recon Q4FY12'!$A$1:$Z$31</definedName>
    <definedName name="_xlnm.Print_Area">#REF!</definedName>
    <definedName name="_xlnm.Print_Titles" localSheetId="3">'QTD Net Rev - 12 quarters'!$1:$6</definedName>
    <definedName name="_xlnm.Print_Titles" localSheetId="5">'TTM Net Rev - 12 quarters'!$1:$7</definedName>
    <definedName name="PSX" localSheetId="10">#REF!</definedName>
    <definedName name="PSX" localSheetId="9">#REF!</definedName>
    <definedName name="PSX" localSheetId="8">#REF!</definedName>
    <definedName name="PSX" localSheetId="22">#REF!</definedName>
    <definedName name="PSX" localSheetId="21">#REF!</definedName>
    <definedName name="PSX">#REF!</definedName>
    <definedName name="Q4E2006">[1]QtrComp!$EQ1</definedName>
    <definedName name="Q4E2007">[1]QtrComp!$EU1</definedName>
    <definedName name="Q4E2008">[1]QtrComp!$EY1</definedName>
    <definedName name="Qtr" localSheetId="10">#REF!</definedName>
    <definedName name="Qtr" localSheetId="9">#REF!</definedName>
    <definedName name="Qtr" localSheetId="8">#REF!</definedName>
    <definedName name="Qtr" localSheetId="22">#REF!</definedName>
    <definedName name="Qtr" localSheetId="21">#REF!</definedName>
    <definedName name="Qtr">#REF!</definedName>
    <definedName name="Quarters2006">[1]QtrComp!$EN1:$EQ1</definedName>
    <definedName name="Quarters2007">[1]QtrComp!$ER1:$EU1</definedName>
    <definedName name="Quarters2008">[1]QtrComp!$EV1:$EY1</definedName>
    <definedName name="RevenuesTotal">[1]QtrComp!A$9</definedName>
    <definedName name="RMB">'[2]FX Rate'!$B$5</definedName>
    <definedName name="SGD">'[2]FX Rate'!$B$4</definedName>
    <definedName name="Tax" localSheetId="10">'[4]Key inputs'!#REF!</definedName>
    <definedName name="Tax" localSheetId="9">'[4]Key inputs'!#REF!</definedName>
    <definedName name="Tax" localSheetId="8">'[4]Key inputs'!#REF!</definedName>
    <definedName name="Tax" localSheetId="22">'[4]Key inputs'!#REF!</definedName>
    <definedName name="Tax" localSheetId="21">'[4]Key inputs'!#REF!</definedName>
    <definedName name="Tax">'[4]Key inputs'!#REF!</definedName>
    <definedName name="Taxrate" localSheetId="10">#REF!</definedName>
    <definedName name="Taxrate" localSheetId="9">#REF!</definedName>
    <definedName name="Taxrate" localSheetId="8">#REF!</definedName>
    <definedName name="Taxrate" localSheetId="22">#REF!</definedName>
    <definedName name="Taxrate" localSheetId="21">#REF!</definedName>
    <definedName name="Taxrate">#REF!</definedName>
    <definedName name="THB">'[2]FX Rate'!$B$2</definedName>
    <definedName name="title1" localSheetId="10">#REF!</definedName>
    <definedName name="title1" localSheetId="9">#REF!</definedName>
    <definedName name="title1" localSheetId="8">#REF!</definedName>
    <definedName name="title1" localSheetId="22">#REF!</definedName>
    <definedName name="title1" localSheetId="21">#REF!</definedName>
    <definedName name="title1">#REF!</definedName>
    <definedName name="title2" localSheetId="10">#REF!</definedName>
    <definedName name="title2" localSheetId="9">#REF!</definedName>
    <definedName name="title2" localSheetId="8">#REF!</definedName>
    <definedName name="title2" localSheetId="22">#REF!</definedName>
    <definedName name="title2" localSheetId="21">#REF!</definedName>
    <definedName name="title2">#REF!</definedName>
    <definedName name="TOTAL2006">SUM([1]QtrComp!$EN1:$EQ1)</definedName>
    <definedName name="TOTAL2007">SUM([1]QtrComp!$ER1:$EU1)</definedName>
    <definedName name="TOTAL2008">SUM([1]QtrComp!$EV1:$EY1)</definedName>
    <definedName name="Trate" localSheetId="10">#REF!</definedName>
    <definedName name="Trate" localSheetId="9">#REF!</definedName>
    <definedName name="Trate" localSheetId="8">#REF!</definedName>
    <definedName name="Trate" localSheetId="22">#REF!</definedName>
    <definedName name="Trate" localSheetId="21">#REF!</definedName>
    <definedName name="Trate">#REF!</definedName>
    <definedName name="TWD">'[2]FX Rate'!$B$6</definedName>
    <definedName name="WO_98" localSheetId="10">#REF!</definedName>
    <definedName name="WO_98" localSheetId="9">#REF!</definedName>
    <definedName name="WO_98" localSheetId="8">#REF!</definedName>
    <definedName name="WO_98" localSheetId="22">#REF!</definedName>
    <definedName name="WO_98" localSheetId="21">#REF!</definedName>
    <definedName name="WO_98">#REF!</definedName>
    <definedName name="WO98_TITLE" localSheetId="10">#REF!</definedName>
    <definedName name="WO98_TITLE" localSheetId="9">#REF!</definedName>
    <definedName name="WO98_TITLE" localSheetId="8">#REF!</definedName>
    <definedName name="WO98_TITLE" localSheetId="22">#REF!</definedName>
    <definedName name="WO98_TITLE" localSheetId="21">#REF!</definedName>
    <definedName name="WO98_TITLE">#REF!</definedName>
    <definedName name="Worldwide" localSheetId="10">#REF!</definedName>
    <definedName name="Worldwide" localSheetId="9">#REF!</definedName>
    <definedName name="Worldwide" localSheetId="8">#REF!</definedName>
    <definedName name="Worldwide" localSheetId="22">#REF!</definedName>
    <definedName name="Worldwide" localSheetId="21">#REF!</definedName>
    <definedName name="Worldwide">#REF!</definedName>
    <definedName name="wrn.barthelet._.resp._.profit." localSheetId="22" hidden="1">{"barthelet detail",#N/A,FALSE,"96 plan Q1";"barthelet summ",#N/A,FALSE,"96 plan Q1"}</definedName>
    <definedName name="wrn.barthelet._.resp._.profit." localSheetId="21" hidden="1">{"barthelet detail",#N/A,FALSE,"96 plan Q1";"barthelet summ",#N/A,FALSE,"96 plan Q1"}</definedName>
    <definedName name="wrn.barthelet._.resp._.profit." localSheetId="23" hidden="1">{"barthelet detail",#N/A,FALSE,"96 plan Q1";"barthelet summ",#N/A,FALSE,"96 plan Q1"}</definedName>
    <definedName name="wrn.barthelet._.resp._.profit." hidden="1">{"barthelet detail",#N/A,FALSE,"96 plan Q1";"barthelet summ",#N/A,FALSE,"96 plan Q1"}</definedName>
    <definedName name="wrn.dcf." localSheetId="22" hidden="1">{"mgmt forecast",#N/A,FALSE,"Mgmt Forecast";"dcf table",#N/A,FALSE,"Mgmt Forecast";"sensitivity",#N/A,FALSE,"Mgmt Forecast";"table inputs",#N/A,FALSE,"Mgmt Forecast";"calculations",#N/A,FALSE,"Mgmt Forecast"}</definedName>
    <definedName name="wrn.dcf." localSheetId="21" hidden="1">{"mgmt forecast",#N/A,FALSE,"Mgmt Forecast";"dcf table",#N/A,FALSE,"Mgmt Forecast";"sensitivity",#N/A,FALSE,"Mgmt Forecast";"table inputs",#N/A,FALSE,"Mgmt Forecast";"calculations",#N/A,FALSE,"Mgmt Forecast"}</definedName>
    <definedName name="wrn.dcf." localSheetId="23"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FORECAST._.PACK." localSheetId="22" hidden="1">{#N/A,#N/A,FALSE,"VAR TO LAST NET REV BY TER";#N/A,#N/A,FALSE,"VARIANCE SHEET";#N/A,#N/A,FALSE,"QTD VAR TO LAST";#N/A,#N/A,FALSE,"SGA VAR BY TERR";#N/A,#N/A,FALSE,"FY97 BY TERR";#N/A,#N/A,FALSE,"TERR VAR TO PLAN SUMM";#N/A,#N/A,FALSE,"TERRITORIES VERSUS PLAN";#N/A,#N/A,FALSE,"FY97 BY QTR"}</definedName>
    <definedName name="wrn.FORECAST._.PACK." localSheetId="21" hidden="1">{#N/A,#N/A,FALSE,"VAR TO LAST NET REV BY TER";#N/A,#N/A,FALSE,"VARIANCE SHEET";#N/A,#N/A,FALSE,"QTD VAR TO LAST";#N/A,#N/A,FALSE,"SGA VAR BY TERR";#N/A,#N/A,FALSE,"FY97 BY TERR";#N/A,#N/A,FALSE,"TERR VAR TO PLAN SUMM";#N/A,#N/A,FALSE,"TERRITORIES VERSUS PLAN";#N/A,#N/A,FALSE,"FY97 BY QTR"}</definedName>
    <definedName name="wrn.FORECAST._.PACK." localSheetId="23" hidden="1">{#N/A,#N/A,FALSE,"VAR TO LAST NET REV BY TER";#N/A,#N/A,FALSE,"VARIANCE SHEET";#N/A,#N/A,FALSE,"QTD VAR TO LAST";#N/A,#N/A,FALSE,"SGA VAR BY TERR";#N/A,#N/A,FALSE,"FY97 BY TERR";#N/A,#N/A,FALSE,"TERR VAR TO PLAN SUMM";#N/A,#N/A,FALSE,"TERRITORIES VERSUS PLAN";#N/A,#N/A,FALSE,"FY97 BY QTR"}</definedName>
    <definedName name="wrn.FORECAST._.PACK." hidden="1">{#N/A,#N/A,FALSE,"VAR TO LAST NET REV BY TER";#N/A,#N/A,FALSE,"VARIANCE SHEET";#N/A,#N/A,FALSE,"QTD VAR TO LAST";#N/A,#N/A,FALSE,"SGA VAR BY TERR";#N/A,#N/A,FALSE,"FY97 BY TERR";#N/A,#N/A,FALSE,"TERR VAR TO PLAN SUMM";#N/A,#N/A,FALSE,"TERRITORIES VERSUS PLAN";#N/A,#N/A,FALSE,"FY97 BY QTR"}</definedName>
    <definedName name="Xbox" localSheetId="10">#REF!</definedName>
    <definedName name="Xbox" localSheetId="9">#REF!</definedName>
    <definedName name="Xbox" localSheetId="8">#REF!</definedName>
    <definedName name="Xbox" localSheetId="22">#REF!</definedName>
    <definedName name="Xbox" localSheetId="21">#REF!</definedName>
    <definedName name="Xbox">#REF!</definedName>
    <definedName name="Z_D938C261_2F9F_11D7_B261_000102C85FAF_.wvu.PrintArea" localSheetId="10" hidden="1">'QTD Recon Q1FY13'!$A$5:$A$37</definedName>
    <definedName name="Z_D938C261_2F9F_11D7_B261_000102C85FAF_.wvu.PrintArea" localSheetId="9" hidden="1">'QTD Recon Q2FY13'!$A$5:$A$36</definedName>
    <definedName name="Z_D938C261_2F9F_11D7_B261_000102C85FAF_.wvu.PrintArea" localSheetId="8" hidden="1">'QTD Recon Q3FY13'!$A$5:$A$38</definedName>
    <definedName name="Z_D938C261_2F9F_11D7_B261_000102C85FAF_.wvu.PrintArea" localSheetId="11" hidden="1">'QTD Recon Q4FY12'!$A$5:$A$37</definedName>
    <definedName name="Z_D938C261_2F9F_11D7_B261_000102C85FAF_.wvu.Rows" localSheetId="10" hidden="1">'QTD Recon Q1FY13'!#REF!</definedName>
    <definedName name="Z_D938C261_2F9F_11D7_B261_000102C85FAF_.wvu.Rows" localSheetId="9" hidden="1">'QTD Recon Q2FY13'!#REF!</definedName>
    <definedName name="Z_D938C261_2F9F_11D7_B261_000102C85FAF_.wvu.Rows" localSheetId="8" hidden="1">'QTD Recon Q3FY13'!#REF!</definedName>
    <definedName name="Z_D938C261_2F9F_11D7_B261_000102C85FAF_.wvu.Rows" localSheetId="11" hidden="1">'QTD Recon Q4FY12'!#REF!</definedName>
    <definedName name="Z_D938C262_2F9F_11D7_B261_000102C85FAF_.wvu.PrintArea" localSheetId="10" hidden="1">'QTD Recon Q1FY13'!$A$5:$A$37</definedName>
    <definedName name="Z_D938C262_2F9F_11D7_B261_000102C85FAF_.wvu.PrintArea" localSheetId="9" hidden="1">'QTD Recon Q2FY13'!$A$5:$A$36</definedName>
    <definedName name="Z_D938C262_2F9F_11D7_B261_000102C85FAF_.wvu.PrintArea" localSheetId="8" hidden="1">'QTD Recon Q3FY13'!$A$5:$A$38</definedName>
    <definedName name="Z_D938C262_2F9F_11D7_B261_000102C85FAF_.wvu.PrintArea" localSheetId="11" hidden="1">'QTD Recon Q4FY12'!$A$5:$A$37</definedName>
    <definedName name="Z_D938C262_2F9F_11D7_B261_000102C85FAF_.wvu.Rows" localSheetId="10" hidden="1">'QTD Recon Q1FY13'!#REF!</definedName>
    <definedName name="Z_D938C262_2F9F_11D7_B261_000102C85FAF_.wvu.Rows" localSheetId="9" hidden="1">'QTD Recon Q2FY13'!#REF!</definedName>
    <definedName name="Z_D938C262_2F9F_11D7_B261_000102C85FAF_.wvu.Rows" localSheetId="8" hidden="1">'QTD Recon Q3FY13'!#REF!</definedName>
    <definedName name="Z_D938C262_2F9F_11D7_B261_000102C85FAF_.wvu.Rows" localSheetId="11" hidden="1">'QTD Recon Q4FY12'!#REF!</definedName>
    <definedName name="ZAR">'[2]FX Rate'!$B$9</definedName>
  </definedNames>
  <calcPr calcId="145621"/>
</workbook>
</file>

<file path=xl/calcChain.xml><?xml version="1.0" encoding="utf-8"?>
<calcChain xmlns="http://schemas.openxmlformats.org/spreadsheetml/2006/main">
  <c r="P40" i="2" l="1"/>
  <c r="O105" i="2"/>
  <c r="O79" i="2"/>
  <c r="O78" i="2"/>
  <c r="O104" i="2" s="1"/>
  <c r="O60" i="2"/>
  <c r="O59" i="2"/>
  <c r="P59" i="2"/>
  <c r="P78" i="2" s="1"/>
  <c r="P60" i="2"/>
  <c r="P79" i="2" s="1"/>
  <c r="O36" i="2"/>
  <c r="O35" i="2"/>
  <c r="N60" i="2" l="1"/>
  <c r="N79" i="2" s="1"/>
  <c r="N105" i="2" s="1"/>
  <c r="N59" i="2"/>
  <c r="N78" i="2" s="1"/>
  <c r="N104" i="2" s="1"/>
  <c r="N36" i="2"/>
  <c r="N35" i="2"/>
  <c r="P36" i="2" l="1"/>
  <c r="P35" i="2"/>
  <c r="P105" i="2"/>
  <c r="P104" i="2"/>
</calcChain>
</file>

<file path=xl/sharedStrings.xml><?xml version="1.0" encoding="utf-8"?>
<sst xmlns="http://schemas.openxmlformats.org/spreadsheetml/2006/main" count="1778" uniqueCount="221">
  <si>
    <t xml:space="preserve">Net revenue </t>
  </si>
  <si>
    <t>Gross profit</t>
  </si>
  <si>
    <t>Operating expenses:</t>
  </si>
  <si>
    <t xml:space="preserve">Marketing and sales </t>
  </si>
  <si>
    <t xml:space="preserve">General and administrative </t>
  </si>
  <si>
    <t>Research and development</t>
  </si>
  <si>
    <t xml:space="preserve">Acquired in-process technology </t>
  </si>
  <si>
    <t>Acquisition-related contingent consideration</t>
  </si>
  <si>
    <t>Amortization of intangibles</t>
  </si>
  <si>
    <t>-</t>
  </si>
  <si>
    <t>Total operating expenses</t>
  </si>
  <si>
    <t>Operating income (loss)</t>
  </si>
  <si>
    <t>Loss on strategic investments</t>
  </si>
  <si>
    <t>Interest and other income, net</t>
  </si>
  <si>
    <t>Net income (loss)</t>
  </si>
  <si>
    <t>Q1</t>
  </si>
  <si>
    <t>Q2</t>
  </si>
  <si>
    <t>Q3</t>
  </si>
  <si>
    <t>Q4</t>
  </si>
  <si>
    <t xml:space="preserve"> FY10</t>
  </si>
  <si>
    <t xml:space="preserve"> FY11</t>
  </si>
  <si>
    <t>TTM</t>
  </si>
  <si>
    <t>Income (loss) before provision for (benefit from) income taxes</t>
  </si>
  <si>
    <t>Provision for (benefit from) income taxes</t>
  </si>
  <si>
    <t>ASSETS</t>
  </si>
  <si>
    <t>FY11</t>
  </si>
  <si>
    <t>FY10</t>
  </si>
  <si>
    <t>Goodwill</t>
  </si>
  <si>
    <t>Other assets</t>
  </si>
  <si>
    <t>Other liabilities</t>
  </si>
  <si>
    <t>Accumulated other comprehensive income</t>
  </si>
  <si>
    <t>CASH FLOW DATA</t>
  </si>
  <si>
    <t>Operating cash flow</t>
  </si>
  <si>
    <t>Operating cash flow - TTM</t>
  </si>
  <si>
    <t>Capital expenditures</t>
  </si>
  <si>
    <t>Capital expenditures - TTM</t>
  </si>
  <si>
    <t>Change in deferred net revenue (packaged goods and digital content)</t>
  </si>
  <si>
    <t>Loss on lease obligation (G&amp;A)</t>
  </si>
  <si>
    <t>Loss on licensed intellectual property commitment (COGS)</t>
  </si>
  <si>
    <t xml:space="preserve">Stock-based compensation </t>
  </si>
  <si>
    <t>Income tax adjustments</t>
  </si>
  <si>
    <t>Acquisition-related expenses</t>
  </si>
  <si>
    <t>Deferred income taxes, net</t>
  </si>
  <si>
    <t xml:space="preserve">      Total current assets</t>
  </si>
  <si>
    <t>Current assets:</t>
  </si>
  <si>
    <t xml:space="preserve">    Cash and cash equivalents</t>
  </si>
  <si>
    <t xml:space="preserve">    Short-term investments</t>
  </si>
  <si>
    <t xml:space="preserve">    Marketable equity securities</t>
  </si>
  <si>
    <t xml:space="preserve">    Receivables, net of allowances</t>
  </si>
  <si>
    <t xml:space="preserve">    Inventories</t>
  </si>
  <si>
    <t xml:space="preserve">    Deferred income taxes, net</t>
  </si>
  <si>
    <t xml:space="preserve">    Other current assets</t>
  </si>
  <si>
    <t>Property and equipment, net</t>
  </si>
  <si>
    <t>Acquisition-related intangibles, net</t>
  </si>
  <si>
    <t>LIABILITIES AND STOCKHOLDERS' EQUITY</t>
  </si>
  <si>
    <t>Current liabilities:</t>
  </si>
  <si>
    <t xml:space="preserve">    Accrued and other current liabilities</t>
  </si>
  <si>
    <t xml:space="preserve">    Deferred net revenue (packaged goods and digital content)</t>
  </si>
  <si>
    <t>Income tax obligations</t>
  </si>
  <si>
    <t xml:space="preserve">      Total liabilities</t>
  </si>
  <si>
    <t>Common stock</t>
  </si>
  <si>
    <t>Paid-in capital</t>
  </si>
  <si>
    <t xml:space="preserve">      TOTAL ASSETS</t>
  </si>
  <si>
    <t xml:space="preserve">      Total current liabilities</t>
  </si>
  <si>
    <t xml:space="preserve">      Total stockholders' equity</t>
  </si>
  <si>
    <t xml:space="preserve">      TOTAL LIABILITIES AND STOCKHOLEDERS' EQUITY</t>
  </si>
  <si>
    <t xml:space="preserve">    Accounts payable</t>
  </si>
  <si>
    <t xml:space="preserve"> </t>
  </si>
  <si>
    <t>ELECTRONIC ARTS INC. AND SUBSIDIARIES</t>
  </si>
  <si>
    <t xml:space="preserve">Reconciliation of GAAP to Non-GAAP Unaudited Condensed Consolidated Statements of Operations </t>
  </si>
  <si>
    <t>(in millions, except per share data)</t>
  </si>
  <si>
    <t>Three Months Ended June 30, 2010</t>
  </si>
  <si>
    <t>GAAP
Results</t>
  </si>
  <si>
    <t>Change in Deferred Net Revenue (Packaged Goods and Digital Content)</t>
  </si>
  <si>
    <t>Loss on Lease Obligation (G&amp;A)</t>
  </si>
  <si>
    <t>Loss on Licensed Intellectual Property Commitment (COGS)</t>
  </si>
  <si>
    <t>Non-GAAP
Results</t>
  </si>
  <si>
    <t xml:space="preserve">    Marketing and sales </t>
  </si>
  <si>
    <t xml:space="preserve">    General and administrative </t>
  </si>
  <si>
    <t xml:space="preserve">    Research and development</t>
  </si>
  <si>
    <t xml:space="preserve">    Acquisition-related contingent consideration</t>
  </si>
  <si>
    <t xml:space="preserve">    Amortization of intangibles</t>
  </si>
  <si>
    <t xml:space="preserve">       Total operating expenses</t>
  </si>
  <si>
    <t>Interest and other income (expense), net</t>
  </si>
  <si>
    <t>Income (loss) before benefit from income taxes</t>
  </si>
  <si>
    <t>Benefit from income taxes</t>
  </si>
  <si>
    <t>Income (loss) before provison for (benefit from) income taxes</t>
  </si>
  <si>
    <t>Three Months Ended March 31, 2010</t>
  </si>
  <si>
    <t>Operating income</t>
  </si>
  <si>
    <t>Income before provision for income taxes</t>
  </si>
  <si>
    <t>Provision for income taxes</t>
  </si>
  <si>
    <t>Net income</t>
  </si>
  <si>
    <t>Income (loss) before provision for income taxes</t>
  </si>
  <si>
    <t>Gain on strategic investments</t>
  </si>
  <si>
    <t>Trailing Twelve Months Ended June 30, 2010</t>
  </si>
  <si>
    <t>Trailing Twelve Months Ended March 30, 2010</t>
  </si>
  <si>
    <t>Income (loss) before provison for income taxes</t>
  </si>
  <si>
    <t xml:space="preserve">Unaudited Condensed Consolidated Statements of Operations </t>
  </si>
  <si>
    <t>Non-GAAP Income Statements</t>
  </si>
  <si>
    <t>(in millions)</t>
  </si>
  <si>
    <t xml:space="preserve">ELECTRONIC ARTS INC. AND SUBSIDIARIES  </t>
  </si>
  <si>
    <t>Unaudited Condensed Consolidated Balance Sheets</t>
  </si>
  <si>
    <t>Unaudited Supplemental Financial Information</t>
  </si>
  <si>
    <t>GAAP earnings (loss) per share</t>
  </si>
  <si>
    <t>Number of shares used in computation</t>
  </si>
  <si>
    <t>Basic</t>
  </si>
  <si>
    <t>Diluted</t>
  </si>
  <si>
    <t xml:space="preserve">     Basic</t>
  </si>
  <si>
    <t xml:space="preserve">     Diluted</t>
  </si>
  <si>
    <t xml:space="preserve">     Basic and diluted</t>
  </si>
  <si>
    <t xml:space="preserve">  Number of shares used in computation</t>
  </si>
  <si>
    <t xml:space="preserve">  Earnings per share</t>
  </si>
  <si>
    <t xml:space="preserve">  Loss per share</t>
  </si>
  <si>
    <t>Non-GAAP Results (in millions)</t>
  </si>
  <si>
    <t>Non-GAAP Net income (loss)</t>
  </si>
  <si>
    <t>•Acquisition-related expenses</t>
  </si>
  <si>
    <t>•Change in deferred net revenue (packaged goods and digital content)</t>
  </si>
  <si>
    <t>•Loss on licensed intellectual property commitment (COGS)</t>
  </si>
  <si>
    <t>•Stock-based compensation</t>
  </si>
  <si>
    <t>•Income tax adjustments</t>
  </si>
  <si>
    <t>The Company uses a fixed, long-term projected tax rate of 28 percent internally to evaluate its operating performance, to forecast, plan and analyze future periods, and to assess the performance of its management team.  Accordingly, the Company has applied the same 28 percent tax rate to its non-GAAP financial results.</t>
  </si>
  <si>
    <t>Non-GAAP Financial Measures</t>
  </si>
  <si>
    <t xml:space="preserve">Electronic Arts may consider whether other significant non-recurring items that arise in the future should also be excluded in calculating the non-GAAP financial measures it uses. Electronic Arts believes that these non-GAAP financial measures, when taken together with the corresponding GAAP financial measures, provide meaningful supplemental information regarding the Company’s performance by excluding certain items that may not be indicative of the Company’s core business, operating results or future outlook. Electronic Arts’ management uses, and believes that investors benefit from referring to, these non- GAAP financial measures in assessing the Company’s operating results both as a consolidated entity and at the business unit level, as well as when planning, forecasting and analyzing future periods. These non-GAAP financial measures also facilitate comparisons of the Company’s performance to prior periods. </t>
  </si>
  <si>
    <t>Three Months Ended September 30, 2010</t>
  </si>
  <si>
    <t xml:space="preserve"> Loss per share</t>
  </si>
  <si>
    <t>Trailing Twelve Months Ended September 30, 2010</t>
  </si>
  <si>
    <t>Gain on Strategic Investments</t>
  </si>
  <si>
    <t>Unaudited Condensed Consolidated Statements of Operations - Trailing Twelve Months (TTM)</t>
  </si>
  <si>
    <t>Reconciliation of GAAP to Non-GAAP Unaudited Condensed Consolidated Statements of Operations - Trailing Twelve Months (TTM)</t>
  </si>
  <si>
    <t xml:space="preserve">Reconciliation of GAAP to Non-GAAP Unaudited Condensed Consolidated Statements of Operations  - Trailing Twelve Months (TTM) </t>
  </si>
  <si>
    <t>Free cash flow</t>
  </si>
  <si>
    <t>Free cash flow - TTM</t>
  </si>
  <si>
    <t>Non-GAAP Income Statements - as a % of Revenue</t>
  </si>
  <si>
    <t>GAAP Income Statements - as a % of Revenue</t>
  </si>
  <si>
    <t>In this model, Electronic Arts has provided a reconciliation of the most comparable GAAP financial measure to the historical non-GAAP measures.  Please refer to the reconciliation tables that follow.  </t>
  </si>
  <si>
    <t>The historical financial information is provided herein for reference only.  Please refer to the financial statements included in Electronic Arts’ filings with the SEC.</t>
  </si>
  <si>
    <t>Non-GAAP earnings (loss) per share</t>
  </si>
  <si>
    <t xml:space="preserve">     -</t>
  </si>
  <si>
    <t>Three Months Ended December 31, 2010</t>
  </si>
  <si>
    <t>Loss per share</t>
  </si>
  <si>
    <t xml:space="preserve"> Earnings per share</t>
  </si>
  <si>
    <t>Trailing Twelve Months Ended December 31, 2010</t>
  </si>
  <si>
    <t>Earnings per share</t>
  </si>
  <si>
    <t>Retained earnings (accumulated deficit)</t>
  </si>
  <si>
    <t>Restructuring and other</t>
  </si>
  <si>
    <t>Three Months Ended March 31, 2011</t>
  </si>
  <si>
    <t>Trailing Twelve Months Ended March 31, 2011</t>
  </si>
  <si>
    <t>Income before provision for (benefit from) income taxes</t>
  </si>
  <si>
    <t>Xbox 360</t>
  </si>
  <si>
    <t>PLAYSTATION 3</t>
  </si>
  <si>
    <t>Wii</t>
  </si>
  <si>
    <t>PlayStation 2</t>
  </si>
  <si>
    <t xml:space="preserve">Total Consoles </t>
  </si>
  <si>
    <t>Mobile</t>
  </si>
  <si>
    <t>Total Mobile and Handhelds</t>
  </si>
  <si>
    <t xml:space="preserve">PC </t>
  </si>
  <si>
    <t>Other</t>
  </si>
  <si>
    <t>Total GAAP Net Revenue</t>
  </si>
  <si>
    <t>PC</t>
  </si>
  <si>
    <t>Total Non-GAAP Net Revenue</t>
  </si>
  <si>
    <t>Publishing and Other</t>
  </si>
  <si>
    <t>Wireless, Internet-derived, and Advertising (Digital)</t>
  </si>
  <si>
    <t>Distribution</t>
  </si>
  <si>
    <t>Change In Deferred Net Revenue (Packaged Goods and Digital Content)</t>
  </si>
  <si>
    <t>North America</t>
  </si>
  <si>
    <t>Europe</t>
  </si>
  <si>
    <t xml:space="preserve">Asia </t>
  </si>
  <si>
    <t>Asia</t>
  </si>
  <si>
    <t xml:space="preserve">North America </t>
  </si>
  <si>
    <t>Geography Net Revenue</t>
  </si>
  <si>
    <t>Total GAAP Net Revenue %</t>
  </si>
  <si>
    <t>Total Non-GAAP Net Revenue %</t>
  </si>
  <si>
    <t>Platform Net Revenue</t>
  </si>
  <si>
    <t>Net Revenue Composition</t>
  </si>
  <si>
    <t>FY12</t>
  </si>
  <si>
    <t xml:space="preserve"> FY12</t>
  </si>
  <si>
    <t>Quarterly Net Revenue Presentations</t>
  </si>
  <si>
    <t>Quarterly Net Revenue Presentations - Trailing Twelve Months (TTM)</t>
  </si>
  <si>
    <t>Three Months Ended June 30, 2011</t>
  </si>
  <si>
    <t>Trailing Twelve Months Ended June 30, 2011</t>
  </si>
  <si>
    <t>•Amortization of debt discount</t>
  </si>
  <si>
    <t>0.75% convertible senior notes due 2016, net</t>
  </si>
  <si>
    <t>Amortization of debt discount</t>
  </si>
  <si>
    <t xml:space="preserve">     Basic and Diluted</t>
  </si>
  <si>
    <t>Three Months Ended September 30, 2011</t>
  </si>
  <si>
    <t>Trailing Twelve Months Ended September 30, 2011</t>
  </si>
  <si>
    <t xml:space="preserve">To supplement the Company’s unaudited condensed consolidated financial statements presented in accordance with GAAP, Electronic Arts uses certain non-GAAP measures of financial performance. The presentation of these non-GAAP financial measures is not intended to be considered in isolation from, as a substitute for, or superior to, the financial information prepared and presented in accordance with GAAP, and may be different from non-GAAP financial measures used by other companies. In addition, these non-GAAP measures have limitations in that they do not reflect all of the amounts associated with the Company’s results of operations as determined in accordance with GAAP. The non-GAAP financial measures used by Electronic Arts include: non-GAAP net revenue, non-GAAP gross profit, non-GAAP operating income (loss), non-GAAP net income (loss) and historical and estimated non-GAAP earnings (loss) per share. These non-GAAP financial measures exclude the following items, as applicable in a given reporting period, from the Company’s unaudited condensed consolidated statements of operations: </t>
  </si>
  <si>
    <t>The following tables reconcile the Company's net income (loss) and earnings (loss) per share as presented in its Unaudited Condensed Consolidated Statements of Operations and prepared in accordance with Generally Accepted Accounting Principles ("GAAP") to its non-GAAP net income (loss) and non-GAAP earnings (loss) per share.</t>
  </si>
  <si>
    <t>Three Months Ended December 31, 2011</t>
  </si>
  <si>
    <t>Trailing Twelve Months Ended December 31, 2011</t>
  </si>
  <si>
    <t>Non-GAAP Net income</t>
  </si>
  <si>
    <t>PlayStation Handhelds</t>
  </si>
  <si>
    <t>Nintendo Handhelds</t>
  </si>
  <si>
    <t>Three Months Ended March 31, 2012</t>
  </si>
  <si>
    <t>Gain (loss) on strategic investments, net</t>
  </si>
  <si>
    <t>Loss (gain) on strategic investments, net</t>
  </si>
  <si>
    <t>The following tables reconcile the Company's net income (loss) and earnings (loss) per share as presented in its Unaudited Condensed Consolidated Statements of Operations - TTM and prepared in accordance with Generally Accepted Accounting Principles ("GAAP") to its non-GAAP net income and non-GAAP earnings per share.</t>
  </si>
  <si>
    <t>•Certain non-recurring litigation expenses</t>
  </si>
  <si>
    <t>Certain non-recurring litigation expenses</t>
  </si>
  <si>
    <t>FY13</t>
  </si>
  <si>
    <t xml:space="preserve"> FY13</t>
  </si>
  <si>
    <t>Cost of revenue</t>
  </si>
  <si>
    <t xml:space="preserve">     Cost of revenue</t>
  </si>
  <si>
    <t>•Loss (gain) on strategic investments</t>
  </si>
  <si>
    <t>•Loss on lease obligation (G&amp;A)</t>
  </si>
  <si>
    <t>Trailing Twelve Months Ended March 31, 2012</t>
  </si>
  <si>
    <t>Trailing Twelve Months Ended June 30, 2012</t>
  </si>
  <si>
    <t xml:space="preserve">    Restructuring and other</t>
  </si>
  <si>
    <t>•Restructuring charges</t>
  </si>
  <si>
    <t xml:space="preserve"> - </t>
  </si>
  <si>
    <t>Three Months Ended September 30, 2012</t>
  </si>
  <si>
    <t>Three Months Ended June 30, 2012</t>
  </si>
  <si>
    <t>Trailing Twelve Months Ended September 30, 2012</t>
  </si>
  <si>
    <t>Three Months Ended December 31, 2012</t>
  </si>
  <si>
    <t xml:space="preserve"> Acquisition-related contingent consideration</t>
  </si>
  <si>
    <t>The preliminary financial results for the fiscal quarter ended December 31, 2012 are estimates based on information currently available to Electronic Arts on January 30, 2013.  While Electronic Arts believes these estimates are meaningful, they could differ from the actual amounts that Electronic Arts ultimately reports in its Quarterly Report on Form 10-Q for the fiscal quarter ended December 31, 2012.  Electronic Arts assumes no obligation and does not intend to update these estimates prior to filing its Form 10-Q for the quarter ended December 31, 2012.</t>
  </si>
  <si>
    <t>Trailing Twelve Months Ended December 31, 2012</t>
  </si>
  <si>
    <t>Stock-based
compensation</t>
  </si>
  <si>
    <t>Income tax
adjustments</t>
  </si>
  <si>
    <t>Gain on strategic Investments</t>
  </si>
  <si>
    <t>Loss on strategic Investments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</si>
</sst>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4">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00_);_(* \(#,##0.0000\);_(* &quot;-&quot;??_);_(@_)"/>
    <numFmt numFmtId="165" formatCode="0.00000%"/>
    <numFmt numFmtId="166" formatCode="_(&quot;$&quot;* #,##0_);_(&quot;$&quot;* \(#,##0\);_(&quot;$&quot;* &quot;-&quot;??_);_(@_)"/>
    <numFmt numFmtId="167" formatCode="_(* #,##0_);_(* \(#,##0\);_(* &quot;-&quot;??_);_(@_)"/>
    <numFmt numFmtId="168" formatCode="0%;\(0%\)"/>
    <numFmt numFmtId="169" formatCode="0.0%;\(0.0%\)"/>
    <numFmt numFmtId="170" formatCode="0.0%"/>
    <numFmt numFmtId="171" formatCode="0.0%_);\(0.0%\)"/>
    <numFmt numFmtId="172" formatCode="#,##0.0\ ;\(#,##0.0\)"/>
    <numFmt numFmtId="173" formatCode="0.0_)\%;\(0.0\)\%;0.0_)\%;@_)_%"/>
    <numFmt numFmtId="174" formatCode="#,##0.0_)_%;\(#,##0.0\)_%;0.0_)_%;@_)_%"/>
    <numFmt numFmtId="175" formatCode="#,##0.0_);\(#,##0.0\)"/>
    <numFmt numFmtId="176" formatCode="&quot;$&quot;_(#,##0.00_);&quot;$&quot;\(#,##0.00\)"/>
    <numFmt numFmtId="177" formatCode="\€_(#,##0.00_);\€\(#,##0.00\);\€_(0.00_);@_)"/>
    <numFmt numFmtId="178" formatCode="#,##0.0_)\x;\(#,##0.0\)\x"/>
    <numFmt numFmtId="179" formatCode="#,##0.0_)_x;\(#,##0.0\)_x"/>
    <numFmt numFmtId="180" formatCode="0.0_)\%;\(0.0\)\%"/>
    <numFmt numFmtId="181" formatCode="#,##0.0_)_%;\(#,##0.0\)_%"/>
    <numFmt numFmtId="182" formatCode="#,##0.000_);[Red]\(#,##0.000\)"/>
    <numFmt numFmtId="183" formatCode="#,##0,_);\(#,##0,\)"/>
    <numFmt numFmtId="184" formatCode="0.0%;[Red]\(0.0%\)"/>
    <numFmt numFmtId="185" formatCode="0%;[Red]\(0%\)"/>
    <numFmt numFmtId="186" formatCode="yyyy"/>
    <numFmt numFmtId="187" formatCode="_-* #,##0.00_-;\-* #,##0.00_-;_-* &quot;-&quot;??_-;_-@_-"/>
    <numFmt numFmtId="188" formatCode="&quot;$&quot;#,##0.00&quot;A&quot;;[Red]\(&quot;$&quot;#,##0.00\)&quot;A&quot;"/>
    <numFmt numFmtId="189" formatCode="&quot;$&quot;#,##0.00&quot;E&quot;;[Red]\(&quot;$&quot;#,##0.00\)&quot;E&quot;"/>
    <numFmt numFmtId="190" formatCode="_([$€]* #,##0.00_);_([$€]* \(#,##0.00\);_([$€]* &quot;-&quot;??_);_(@_)"/>
    <numFmt numFmtId="191" formatCode="#,##0.0_);[Red]\(#,##0.0\)"/>
    <numFmt numFmtId="192" formatCode="0.0%_);[Red]\(0.0%\)"/>
    <numFmt numFmtId="193" formatCode="General_)dd\-mmm\-yy_)\.\.\.\,"/>
    <numFmt numFmtId="194" formatCode="General_)"/>
    <numFmt numFmtId="195" formatCode="#,##0.00\x_);[Red]\(#,##0.00\x\)"/>
    <numFmt numFmtId="196" formatCode="0%\ ;[Red]\(0%\)\ ;&quot;-  &quot;"/>
    <numFmt numFmtId="197" formatCode="&quot;   &quot;@"/>
    <numFmt numFmtId="198" formatCode="0.00_)"/>
    <numFmt numFmtId="199" formatCode="0.000%"/>
    <numFmt numFmtId="200" formatCode="0.0000%"/>
  </numFmts>
  <fonts count="74">
    <font>
      <sz val="11"/>
      <color theme="1"/>
      <name val="Calibri"/>
      <family val="2"/>
      <scheme val="minor"/>
    </font>
    <font>
      <sz val="11"/>
      <color indexed="8"/>
      <name val="Calibri"/>
      <family val="2"/>
    </font>
    <font>
      <sz val="9"/>
      <name val="Arial"/>
      <family val="2"/>
    </font>
    <font>
      <b/>
      <sz val="9"/>
      <name val="Arial"/>
      <family val="2"/>
    </font>
    <font>
      <sz val="10"/>
      <name val="Arial"/>
      <family val="2"/>
    </font>
    <font>
      <u val="singleAccounting"/>
      <sz val="9"/>
      <name val="Arial"/>
      <family val="2"/>
    </font>
    <font>
      <b/>
      <u val="doubleAccounting"/>
      <sz val="9"/>
      <name val="Arial"/>
      <family val="2"/>
    </font>
    <font>
      <b/>
      <u/>
      <sz val="9"/>
      <name val="Arial"/>
      <family val="2"/>
    </font>
    <font>
      <b/>
      <sz val="10"/>
      <name val="Arial"/>
      <family val="2"/>
    </font>
    <font>
      <b/>
      <sz val="12"/>
      <name val="Arial"/>
      <family val="2"/>
    </font>
    <font>
      <b/>
      <u/>
      <sz val="12"/>
      <name val="Arial"/>
      <family val="2"/>
    </font>
    <font>
      <sz val="12"/>
      <name val="Arial"/>
      <family val="2"/>
    </font>
    <font>
      <b/>
      <i/>
      <sz val="9"/>
      <name val="Arial"/>
      <family val="2"/>
    </font>
    <font>
      <i/>
      <sz val="9"/>
      <name val="Arial"/>
      <family val="2"/>
    </font>
    <font>
      <sz val="11"/>
      <color indexed="8"/>
      <name val="Calibri"/>
      <family val="2"/>
    </font>
    <font>
      <sz val="8"/>
      <name val="Calibri"/>
      <family val="2"/>
    </font>
    <font>
      <sz val="9"/>
      <color indexed="8"/>
      <name val="Arial"/>
      <family val="2"/>
    </font>
    <font>
      <sz val="10.5"/>
      <color indexed="8"/>
      <name val="Arial"/>
      <family val="2"/>
    </font>
    <font>
      <sz val="10.5"/>
      <color indexed="8"/>
      <name val="Arial"/>
      <family val="2"/>
    </font>
    <font>
      <b/>
      <sz val="32"/>
      <color indexed="8"/>
      <name val="Arial Black"/>
      <family val="2"/>
    </font>
    <font>
      <u/>
      <sz val="9"/>
      <name val="Arial"/>
      <family val="2"/>
    </font>
    <font>
      <sz val="11"/>
      <name val="Calibri"/>
      <family val="2"/>
    </font>
    <font>
      <sz val="8"/>
      <color indexed="49"/>
      <name val="Times New Roman"/>
      <family val="1"/>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sz val="8"/>
      <name val="Times New Roman"/>
      <family val="1"/>
    </font>
    <font>
      <sz val="10"/>
      <name val="Helv"/>
      <family val="2"/>
    </font>
    <font>
      <b/>
      <sz val="10"/>
      <name val="Tms Rmn"/>
      <family val="1"/>
    </font>
    <font>
      <sz val="10"/>
      <name val="Arial"/>
      <family val="2"/>
    </font>
    <font>
      <sz val="10"/>
      <name val="MS Serif"/>
      <family val="1"/>
    </font>
    <font>
      <sz val="10"/>
      <color indexed="8"/>
      <name val="Arial"/>
      <family val="2"/>
    </font>
    <font>
      <b/>
      <sz val="8"/>
      <name val="Times New Roman"/>
      <family val="1"/>
    </font>
    <font>
      <sz val="10"/>
      <name val="Times New Roman"/>
      <family val="1"/>
    </font>
    <font>
      <sz val="8"/>
      <name val="Arial"/>
      <family val="2"/>
    </font>
    <font>
      <i/>
      <sz val="8"/>
      <color indexed="17"/>
      <name val="Times New Roman"/>
      <family val="1"/>
    </font>
    <font>
      <sz val="8"/>
      <color indexed="21"/>
      <name val="Arial"/>
      <family val="2"/>
    </font>
    <font>
      <b/>
      <sz val="16"/>
      <name val="Tahoma"/>
      <family val="2"/>
    </font>
    <font>
      <u/>
      <sz val="10"/>
      <color indexed="12"/>
      <name val="Arial"/>
      <family val="2"/>
    </font>
    <font>
      <b/>
      <sz val="8"/>
      <name val="Tms Rmn"/>
      <family val="1"/>
    </font>
    <font>
      <sz val="8"/>
      <color indexed="18"/>
      <name val="Times New Roman"/>
      <family val="1"/>
    </font>
    <font>
      <sz val="10"/>
      <name val="MS Sans Serif"/>
      <family val="2"/>
    </font>
    <font>
      <sz val="9"/>
      <color indexed="8"/>
      <name val="Helvetica 45"/>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8"/>
      <name val="Times New Roman"/>
      <family val="1"/>
    </font>
    <font>
      <sz val="6"/>
      <name val="Times New Roman"/>
      <family val="1"/>
    </font>
    <font>
      <sz val="11"/>
      <name val="ＭＳ Ｐゴシック"/>
      <family val="3"/>
      <charset val="128"/>
    </font>
    <font>
      <b/>
      <u val="singleAccounting"/>
      <sz val="9"/>
      <name val="Arial"/>
      <family val="2"/>
    </font>
    <font>
      <i/>
      <u/>
      <sz val="9"/>
      <name val="Arial"/>
      <family val="2"/>
    </font>
    <font>
      <b/>
      <i/>
      <u val="doubleAccounting"/>
      <sz val="9"/>
      <name val="Arial"/>
      <family val="2"/>
    </font>
    <font>
      <sz val="10"/>
      <name val="Arial"/>
      <family val="2"/>
    </font>
    <font>
      <b/>
      <sz val="11"/>
      <name val="Calibri"/>
      <family val="2"/>
    </font>
    <font>
      <sz val="11"/>
      <color indexed="12"/>
      <name val="Calibri"/>
      <family val="2"/>
    </font>
    <font>
      <sz val="11"/>
      <color theme="1"/>
      <name val="Calibri"/>
      <family val="2"/>
      <scheme val="minor"/>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33">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51"/>
        <bgColor indexed="64"/>
      </patternFill>
    </fill>
    <fill>
      <patternFill patternType="solid">
        <fgColor indexed="9"/>
        <bgColor indexed="9"/>
      </patternFill>
    </fill>
    <fill>
      <patternFill patternType="gray125">
        <fgColor indexed="9"/>
        <bgColor indexed="9"/>
      </patternFill>
    </fill>
    <fill>
      <patternFill patternType="gray125">
        <fgColor indexed="9"/>
      </patternFill>
    </fill>
    <fill>
      <patternFill patternType="solid">
        <fgColor indexed="42"/>
        <bgColor indexed="64"/>
      </patternFill>
    </fill>
    <fill>
      <patternFill patternType="solid">
        <fgColor indexed="65"/>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s>
  <borders count="22">
    <border>
      <left/>
      <right/>
      <top/>
      <bottom/>
      <diagonal/>
    </border>
    <border>
      <left/>
      <right/>
      <top style="hair">
        <color indexed="8"/>
      </top>
      <bottom style="hair">
        <color indexed="8"/>
      </bottom>
      <diagonal/>
    </border>
    <border>
      <left/>
      <right/>
      <top/>
      <bottom style="medium">
        <color indexed="18"/>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medium">
        <color indexed="64"/>
      </top>
      <bottom/>
      <diagonal/>
    </border>
    <border>
      <left style="thin">
        <color indexed="64"/>
      </left>
      <right/>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374">
    <xf numFmtId="0" fontId="0" fillId="0" borderId="0"/>
    <xf numFmtId="172" fontId="2" fillId="0" borderId="0"/>
    <xf numFmtId="172" fontId="2" fillId="0" borderId="0"/>
    <xf numFmtId="172" fontId="2" fillId="0" borderId="0"/>
    <xf numFmtId="172" fontId="2" fillId="0" borderId="0"/>
    <xf numFmtId="172" fontId="2" fillId="0" borderId="0"/>
    <xf numFmtId="172" fontId="2" fillId="0" borderId="0"/>
    <xf numFmtId="172" fontId="2" fillId="0" borderId="0"/>
    <xf numFmtId="171" fontId="2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39" fontId="4" fillId="0" borderId="0" applyFont="0" applyFill="0" applyBorder="0" applyAlignment="0" applyProtection="0"/>
    <xf numFmtId="177" fontId="2" fillId="0" borderId="0" applyFont="0" applyFill="0" applyBorder="0" applyAlignment="0" applyProtection="0"/>
    <xf numFmtId="0" fontId="23" fillId="0" borderId="0" applyNumberFormat="0" applyFill="0" applyBorder="0" applyAlignment="0" applyProtection="0"/>
    <xf numFmtId="0" fontId="2" fillId="2" borderId="0" applyNumberFormat="0" applyFont="0" applyAlignment="0" applyProtection="0"/>
    <xf numFmtId="178" fontId="4" fillId="0" borderId="0" applyFont="0" applyFill="0" applyBorder="0" applyAlignment="0" applyProtection="0"/>
    <xf numFmtId="179"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0" fontId="24" fillId="0" borderId="0" applyNumberFormat="0" applyFill="0" applyBorder="0" applyProtection="0">
      <alignment vertical="top"/>
    </xf>
    <xf numFmtId="0" fontId="16" fillId="0" borderId="1" applyNumberFormat="0" applyFill="0" applyAlignment="0" applyProtection="0"/>
    <xf numFmtId="0" fontId="25" fillId="0" borderId="2" applyNumberFormat="0" applyFill="0" applyProtection="0">
      <alignment horizontal="center"/>
    </xf>
    <xf numFmtId="0" fontId="25" fillId="0" borderId="0" applyNumberFormat="0" applyFill="0" applyBorder="0" applyProtection="0">
      <alignment horizontal="left"/>
    </xf>
    <xf numFmtId="0" fontId="26" fillId="0" borderId="0" applyNumberFormat="0" applyFill="0" applyBorder="0" applyProtection="0">
      <alignment horizontal="centerContinuous"/>
    </xf>
    <xf numFmtId="38" fontId="27" fillId="0" borderId="0" applyFill="0" applyBorder="0" applyAlignment="0" applyProtection="0">
      <alignment horizontal="left"/>
      <protection locked="0"/>
    </xf>
    <xf numFmtId="182" fontId="27" fillId="0" borderId="0" applyFill="0" applyBorder="0" applyAlignment="0" applyProtection="0">
      <protection locked="0"/>
    </xf>
    <xf numFmtId="183" fontId="4" fillId="0" borderId="0" applyFill="0" applyBorder="0" applyAlignment="0"/>
    <xf numFmtId="175" fontId="28" fillId="0" borderId="0" applyFill="0" applyBorder="0" applyAlignment="0"/>
    <xf numFmtId="164" fontId="28" fillId="0" borderId="0" applyFill="0" applyBorder="0" applyAlignment="0"/>
    <xf numFmtId="184" fontId="28" fillId="0" borderId="0" applyFill="0" applyBorder="0" applyAlignment="0"/>
    <xf numFmtId="185" fontId="28" fillId="0" borderId="0" applyFill="0" applyBorder="0" applyAlignment="0"/>
    <xf numFmtId="44" fontId="28" fillId="0" borderId="0" applyFill="0" applyBorder="0" applyAlignment="0"/>
    <xf numFmtId="169" fontId="28" fillId="0" borderId="0" applyFill="0" applyBorder="0" applyAlignment="0"/>
    <xf numFmtId="175" fontId="28" fillId="0" borderId="0" applyFill="0" applyBorder="0" applyAlignment="0"/>
    <xf numFmtId="182" fontId="27" fillId="0" borderId="0" applyFont="0" applyFill="0" applyBorder="0" applyAlignment="0" applyProtection="0">
      <protection locked="0"/>
    </xf>
    <xf numFmtId="43" fontId="14" fillId="0" borderId="0" applyFont="0" applyFill="0" applyBorder="0" applyAlignment="0" applyProtection="0"/>
    <xf numFmtId="0" fontId="29" fillId="0" borderId="0"/>
    <xf numFmtId="44" fontId="2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1" fillId="0" borderId="0" applyNumberFormat="0" applyAlignment="0">
      <alignment horizontal="left"/>
    </xf>
    <xf numFmtId="0" fontId="29" fillId="0" borderId="0"/>
    <xf numFmtId="0" fontId="29" fillId="0" borderId="0"/>
    <xf numFmtId="44" fontId="14" fillId="0" borderId="0" applyFont="0" applyFill="0" applyBorder="0" applyAlignment="0" applyProtection="0"/>
    <xf numFmtId="175" fontId="28"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14" fontId="32" fillId="0" borderId="0" applyFill="0" applyBorder="0" applyAlignment="0"/>
    <xf numFmtId="14" fontId="33" fillId="0" borderId="0" applyFont="0" applyFill="0" applyBorder="0" applyAlignment="0" applyProtection="0">
      <alignment horizontal="center"/>
    </xf>
    <xf numFmtId="186" fontId="33" fillId="0" borderId="0" applyFont="0" applyFill="0" applyBorder="0" applyAlignment="0" applyProtection="0">
      <alignment horizontal="center"/>
    </xf>
    <xf numFmtId="187" fontId="4" fillId="0" borderId="0" applyFont="0" applyFill="0" applyBorder="0" applyAlignment="0" applyProtection="0"/>
    <xf numFmtId="8" fontId="27" fillId="0" borderId="0" applyFont="0" applyFill="0" applyBorder="0" applyAlignment="0" applyProtection="0"/>
    <xf numFmtId="6" fontId="27" fillId="0" borderId="0" applyFont="0" applyFill="0" applyBorder="0" applyAlignment="0" applyProtection="0">
      <alignment horizontal="right"/>
    </xf>
    <xf numFmtId="0" fontId="4" fillId="0" borderId="0" applyNumberFormat="0" applyFont="0" applyFill="0" applyBorder="0" applyAlignment="0"/>
    <xf numFmtId="44" fontId="28" fillId="0" borderId="0" applyFill="0" applyBorder="0" applyAlignment="0"/>
    <xf numFmtId="175" fontId="28" fillId="0" borderId="0" applyFill="0" applyBorder="0" applyAlignment="0"/>
    <xf numFmtId="44" fontId="28" fillId="0" borderId="0" applyFill="0" applyBorder="0" applyAlignment="0"/>
    <xf numFmtId="169" fontId="28" fillId="0" borderId="0" applyFill="0" applyBorder="0" applyAlignment="0"/>
    <xf numFmtId="175" fontId="28" fillId="0" borderId="0" applyFill="0" applyBorder="0" applyAlignment="0"/>
    <xf numFmtId="0" fontId="34" fillId="0" borderId="0" applyNumberFormat="0" applyAlignment="0">
      <alignment horizontal="left"/>
    </xf>
    <xf numFmtId="8" fontId="27" fillId="0" borderId="0" applyFont="0" applyFill="0" applyBorder="0" applyAlignment="0" applyProtection="0">
      <alignment horizontal="right"/>
    </xf>
    <xf numFmtId="188" fontId="34" fillId="0" borderId="0" applyFont="0" applyFill="0" applyBorder="0" applyProtection="0">
      <alignment horizontal="left"/>
      <protection locked="0"/>
    </xf>
    <xf numFmtId="189" fontId="34" fillId="0" borderId="0" applyFont="0" applyFill="0" applyBorder="0" applyProtection="0">
      <alignment horizontal="left"/>
      <protection locked="0"/>
    </xf>
    <xf numFmtId="190" fontId="4" fillId="0" borderId="0" applyFont="0" applyFill="0" applyBorder="0" applyAlignment="0" applyProtection="0"/>
    <xf numFmtId="190" fontId="4" fillId="0" borderId="0" applyFont="0" applyFill="0" applyBorder="0" applyAlignment="0" applyProtection="0"/>
    <xf numFmtId="191" fontId="27" fillId="0" borderId="0" applyFill="0" applyBorder="0" applyAlignment="0" applyProtection="0">
      <protection locked="0"/>
    </xf>
    <xf numFmtId="38" fontId="35" fillId="3" borderId="0" applyNumberFormat="0" applyBorder="0" applyAlignment="0" applyProtection="0"/>
    <xf numFmtId="192" fontId="36" fillId="0" borderId="0" applyFill="0" applyBorder="0" applyAlignment="0" applyProtection="0"/>
    <xf numFmtId="171" fontId="37" fillId="0" borderId="0" applyAlignment="0">
      <alignment horizontal="left"/>
      <protection locked="0"/>
    </xf>
    <xf numFmtId="0" fontId="9" fillId="0" borderId="3" applyNumberFormat="0" applyAlignment="0" applyProtection="0">
      <alignment horizontal="left" vertical="center"/>
    </xf>
    <xf numFmtId="0" fontId="9" fillId="0" borderId="4">
      <alignment horizontal="left" vertical="center"/>
    </xf>
    <xf numFmtId="193" fontId="38" fillId="0" borderId="0">
      <alignment horizontal="centerContinuous" vertical="center" wrapText="1"/>
      <protection locked="0"/>
    </xf>
    <xf numFmtId="0" fontId="39" fillId="0" borderId="0" applyNumberFormat="0" applyFill="0" applyBorder="0" applyAlignment="0" applyProtection="0">
      <alignment vertical="top"/>
      <protection locked="0"/>
    </xf>
    <xf numFmtId="182" fontId="27" fillId="0" borderId="0" applyFill="0" applyBorder="0" applyAlignment="0" applyProtection="0">
      <alignment horizontal="right"/>
      <protection locked="0"/>
    </xf>
    <xf numFmtId="10" fontId="35" fillId="4" borderId="5" applyNumberFormat="0" applyBorder="0" applyAlignment="0" applyProtection="0"/>
    <xf numFmtId="194" fontId="40" fillId="0" borderId="0">
      <alignment horizontal="left"/>
    </xf>
    <xf numFmtId="44" fontId="28" fillId="0" borderId="0" applyFill="0" applyBorder="0" applyAlignment="0"/>
    <xf numFmtId="175" fontId="28" fillId="0" borderId="0" applyFill="0" applyBorder="0" applyAlignment="0"/>
    <xf numFmtId="44" fontId="28" fillId="0" borderId="0" applyFill="0" applyBorder="0" applyAlignment="0"/>
    <xf numFmtId="169" fontId="28" fillId="0" borderId="0" applyFill="0" applyBorder="0" applyAlignment="0"/>
    <xf numFmtId="175" fontId="28" fillId="0" borderId="0" applyFill="0" applyBorder="0" applyAlignment="0"/>
    <xf numFmtId="192" fontId="41" fillId="0" borderId="0" applyFill="0" applyBorder="0" applyAlignment="0" applyProtection="0">
      <alignment horizontal="right"/>
    </xf>
    <xf numFmtId="171" fontId="41" fillId="0" borderId="0" applyFill="0" applyBorder="0" applyAlignment="0" applyProtection="0"/>
    <xf numFmtId="38" fontId="42" fillId="0" borderId="0" applyFont="0" applyFill="0" applyBorder="0" applyAlignment="0" applyProtection="0"/>
    <xf numFmtId="40" fontId="42" fillId="0" borderId="0" applyFont="0" applyFill="0" applyBorder="0" applyAlignment="0" applyProtection="0"/>
    <xf numFmtId="6" fontId="42" fillId="0" borderId="0" applyFont="0" applyFill="0" applyBorder="0" applyAlignment="0" applyProtection="0"/>
    <xf numFmtId="8" fontId="42" fillId="0" borderId="0" applyFont="0" applyFill="0" applyBorder="0" applyAlignment="0" applyProtection="0"/>
    <xf numFmtId="195" fontId="27" fillId="0" borderId="0" applyFont="0" applyFill="0" applyBorder="0" applyAlignment="0" applyProtection="0"/>
    <xf numFmtId="196" fontId="4" fillId="0" borderId="0"/>
    <xf numFmtId="0" fontId="29" fillId="0" borderId="0"/>
    <xf numFmtId="0" fontId="4" fillId="0" borderId="0"/>
    <xf numFmtId="0" fontId="54" fillId="0" borderId="0"/>
    <xf numFmtId="0" fontId="30" fillId="0" borderId="0"/>
    <xf numFmtId="0" fontId="30" fillId="0" borderId="0"/>
    <xf numFmtId="0" fontId="54" fillId="0" borderId="0"/>
    <xf numFmtId="0" fontId="54" fillId="0" borderId="0"/>
    <xf numFmtId="0" fontId="54" fillId="0" borderId="0"/>
    <xf numFmtId="0" fontId="4" fillId="0" borderId="0"/>
    <xf numFmtId="0" fontId="43" fillId="0" borderId="0" applyNumberFormat="0" applyAlignment="0"/>
    <xf numFmtId="40" fontId="44" fillId="5" borderId="0">
      <alignment horizontal="right"/>
    </xf>
    <xf numFmtId="0" fontId="45" fillId="5" borderId="0">
      <alignment horizontal="right"/>
    </xf>
    <xf numFmtId="0" fontId="46" fillId="5" borderId="6"/>
    <xf numFmtId="0" fontId="46" fillId="0" borderId="0" applyBorder="0">
      <alignment horizontal="centerContinuous"/>
    </xf>
    <xf numFmtId="0" fontId="47" fillId="0" borderId="0" applyBorder="0">
      <alignment horizontal="centerContinuous"/>
    </xf>
    <xf numFmtId="9" fontId="14" fillId="0" borderId="0" applyFont="0" applyFill="0" applyBorder="0" applyAlignment="0" applyProtection="0"/>
    <xf numFmtId="185" fontId="28" fillId="0" borderId="0" applyFont="0" applyFill="0" applyBorder="0" applyAlignment="0" applyProtection="0"/>
    <xf numFmtId="168" fontId="4" fillId="0" borderId="0" applyFont="0" applyFill="0" applyBorder="0" applyAlignment="0" applyProtection="0"/>
    <xf numFmtId="10"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2" fillId="0" borderId="7" applyNumberFormat="0" applyBorder="0"/>
    <xf numFmtId="8" fontId="27" fillId="0" borderId="0" applyFont="0" applyFill="0" applyBorder="0" applyAlignment="0" applyProtection="0"/>
    <xf numFmtId="0" fontId="34" fillId="0" borderId="0"/>
    <xf numFmtId="0" fontId="34" fillId="0" borderId="0"/>
    <xf numFmtId="0" fontId="34" fillId="0" borderId="0"/>
    <xf numFmtId="0" fontId="34" fillId="0" borderId="0"/>
    <xf numFmtId="44" fontId="28" fillId="0" borderId="0" applyFill="0" applyBorder="0" applyAlignment="0"/>
    <xf numFmtId="175" fontId="28" fillId="0" borderId="0" applyFill="0" applyBorder="0" applyAlignment="0"/>
    <xf numFmtId="44" fontId="28" fillId="0" borderId="0" applyFill="0" applyBorder="0" applyAlignment="0"/>
    <xf numFmtId="169" fontId="28" fillId="0" borderId="0" applyFill="0" applyBorder="0" applyAlignment="0"/>
    <xf numFmtId="175" fontId="28" fillId="0" borderId="0" applyFill="0" applyBorder="0" applyAlignment="0"/>
    <xf numFmtId="191" fontId="27" fillId="0" borderId="0" applyFill="0" applyBorder="0" applyAlignment="0" applyProtection="0"/>
    <xf numFmtId="191" fontId="33" fillId="0" borderId="0" applyFont="0" applyFill="0" applyBorder="0" applyAlignment="0" applyProtection="0"/>
    <xf numFmtId="0" fontId="34" fillId="0" borderId="0" applyNumberFormat="0" applyFill="0" applyBorder="0" applyAlignment="0" applyProtection="0">
      <alignment horizontal="left"/>
    </xf>
    <xf numFmtId="182" fontId="27" fillId="0" borderId="0" applyFill="0" applyBorder="0" applyAlignment="0" applyProtection="0">
      <protection locked="0"/>
    </xf>
    <xf numFmtId="0" fontId="4" fillId="0" borderId="0"/>
    <xf numFmtId="0" fontId="4" fillId="0" borderId="0" applyFont="0" applyFill="0" applyBorder="0" applyAlignment="0" applyProtection="0"/>
    <xf numFmtId="40" fontId="34" fillId="0" borderId="0" applyBorder="0">
      <alignment horizontal="right"/>
    </xf>
    <xf numFmtId="49" fontId="32" fillId="0" borderId="0" applyFill="0" applyBorder="0" applyAlignment="0"/>
    <xf numFmtId="197" fontId="28" fillId="0" borderId="0" applyFill="0" applyBorder="0" applyAlignment="0"/>
    <xf numFmtId="183" fontId="4" fillId="0" borderId="0" applyFill="0" applyBorder="0" applyAlignment="0"/>
    <xf numFmtId="38" fontId="48" fillId="0" borderId="0" applyFill="0" applyBorder="0" applyAlignment="0" applyProtection="0">
      <alignment horizontal="left"/>
    </xf>
    <xf numFmtId="0" fontId="49" fillId="6" borderId="8" applyNumberFormat="0" applyFont="0" applyBorder="0" applyAlignment="0">
      <alignment horizontal="right"/>
    </xf>
    <xf numFmtId="198" fontId="2" fillId="0" borderId="0"/>
    <xf numFmtId="198" fontId="2" fillId="0" borderId="0"/>
    <xf numFmtId="198" fontId="2" fillId="0" borderId="0"/>
    <xf numFmtId="198" fontId="2" fillId="0" borderId="0"/>
    <xf numFmtId="198" fontId="2" fillId="0" borderId="0"/>
    <xf numFmtId="198" fontId="2" fillId="0" borderId="0"/>
    <xf numFmtId="198" fontId="2" fillId="0" borderId="0"/>
    <xf numFmtId="5" fontId="42" fillId="0" borderId="0" applyFont="0" applyFill="0" applyBorder="0" applyAlignment="0" applyProtection="0">
      <alignment vertical="top"/>
    </xf>
    <xf numFmtId="43" fontId="4" fillId="0" borderId="0" applyFont="0" applyFill="0" applyBorder="0" applyAlignment="0" applyProtection="0"/>
    <xf numFmtId="38" fontId="50" fillId="0" borderId="0" applyFont="0" applyFill="0" applyBorder="0" applyAlignment="0" applyProtection="0">
      <alignment vertical="center"/>
    </xf>
    <xf numFmtId="0" fontId="50" fillId="0" borderId="0">
      <alignment vertical="center"/>
    </xf>
    <xf numFmtId="40" fontId="42" fillId="0" borderId="0" applyFont="0" applyFill="0" applyBorder="0" applyAlignment="0" applyProtection="0">
      <alignment vertical="top"/>
    </xf>
    <xf numFmtId="0" fontId="58" fillId="0" borderId="0"/>
    <xf numFmtId="44" fontId="4" fillId="0" borderId="0" applyFont="0" applyFill="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59" fillId="22" borderId="0" applyNumberFormat="0" applyBorder="0" applyAlignment="0" applyProtection="0"/>
    <xf numFmtId="0" fontId="59" fillId="19" borderId="0" applyNumberFormat="0" applyBorder="0" applyAlignment="0" applyProtection="0"/>
    <xf numFmtId="0" fontId="59" fillId="20" borderId="0" applyNumberFormat="0" applyBorder="0" applyAlignment="0" applyProtection="0"/>
    <xf numFmtId="0" fontId="59" fillId="23" borderId="0" applyNumberFormat="0" applyBorder="0" applyAlignment="0" applyProtection="0"/>
    <xf numFmtId="0" fontId="59" fillId="24" borderId="0" applyNumberFormat="0" applyBorder="0" applyAlignment="0" applyProtection="0"/>
    <xf numFmtId="0" fontId="59" fillId="25" borderId="0" applyNumberFormat="0" applyBorder="0" applyAlignment="0" applyProtection="0"/>
    <xf numFmtId="0" fontId="59" fillId="26" borderId="0" applyNumberFormat="0" applyBorder="0" applyAlignment="0" applyProtection="0"/>
    <xf numFmtId="0" fontId="59" fillId="27" borderId="0" applyNumberFormat="0" applyBorder="0" applyAlignment="0" applyProtection="0"/>
    <xf numFmtId="0" fontId="59" fillId="28" borderId="0" applyNumberFormat="0" applyBorder="0" applyAlignment="0" applyProtection="0"/>
    <xf numFmtId="0" fontId="59" fillId="23" borderId="0" applyNumberFormat="0" applyBorder="0" applyAlignment="0" applyProtection="0"/>
    <xf numFmtId="0" fontId="59" fillId="24" borderId="0" applyNumberFormat="0" applyBorder="0" applyAlignment="0" applyProtection="0"/>
    <xf numFmtId="0" fontId="59" fillId="29" borderId="0" applyNumberFormat="0" applyBorder="0" applyAlignment="0" applyProtection="0"/>
    <xf numFmtId="0" fontId="60" fillId="13" borderId="0" applyNumberFormat="0" applyBorder="0" applyAlignment="0" applyProtection="0"/>
    <xf numFmtId="170" fontId="34" fillId="0" borderId="0" applyAlignment="0">
      <protection locked="0"/>
    </xf>
    <xf numFmtId="9" fontId="4" fillId="0" borderId="0" applyFont="0" applyFill="0" applyBorder="0" applyAlignment="0" applyProtection="0"/>
    <xf numFmtId="0" fontId="61" fillId="30" borderId="13" applyNumberFormat="0" applyAlignment="0" applyProtection="0"/>
    <xf numFmtId="0" fontId="62" fillId="31" borderId="14" applyNumberFormat="0" applyAlignment="0" applyProtection="0"/>
    <xf numFmtId="43" fontId="4" fillId="0" borderId="0" applyFont="0" applyFill="0" applyBorder="0" applyAlignment="0" applyProtection="0"/>
    <xf numFmtId="44" fontId="4" fillId="0" borderId="0" applyFont="0" applyFill="0" applyBorder="0" applyAlignment="0" applyProtection="0"/>
    <xf numFmtId="0" fontId="58" fillId="0" borderId="0"/>
    <xf numFmtId="44" fontId="4" fillId="0" borderId="0" applyFont="0" applyFill="0" applyBorder="0" applyAlignment="0" applyProtection="0"/>
    <xf numFmtId="0" fontId="63" fillId="0" borderId="0" applyNumberFormat="0" applyFill="0" applyBorder="0" applyAlignment="0" applyProtection="0"/>
    <xf numFmtId="0" fontId="64" fillId="14" borderId="0" applyNumberFormat="0" applyBorder="0" applyAlignment="0" applyProtection="0"/>
    <xf numFmtId="43" fontId="4" fillId="0" borderId="0" applyFont="0" applyFill="0" applyBorder="0" applyAlignment="0" applyProtection="0"/>
    <xf numFmtId="0" fontId="65" fillId="0" borderId="15" applyNumberFormat="0" applyFill="0" applyAlignment="0" applyProtection="0"/>
    <xf numFmtId="0" fontId="66" fillId="0" borderId="16" applyNumberFormat="0" applyFill="0" applyAlignment="0" applyProtection="0"/>
    <xf numFmtId="0" fontId="67" fillId="0" borderId="17" applyNumberFormat="0" applyFill="0" applyAlignment="0" applyProtection="0"/>
    <xf numFmtId="0" fontId="67" fillId="0" borderId="0" applyNumberFormat="0" applyFill="0" applyBorder="0" applyAlignment="0" applyProtection="0"/>
    <xf numFmtId="170" fontId="34" fillId="0" borderId="0" applyAlignment="0">
      <protection locked="0"/>
    </xf>
    <xf numFmtId="0" fontId="68" fillId="0" borderId="18" applyNumberFormat="0" applyFill="0" applyAlignment="0" applyProtection="0"/>
    <xf numFmtId="0" fontId="69" fillId="2" borderId="0" applyNumberFormat="0" applyBorder="0" applyAlignment="0" applyProtection="0"/>
    <xf numFmtId="0" fontId="4" fillId="32" borderId="19" applyNumberFormat="0" applyFont="0" applyAlignment="0" applyProtection="0"/>
    <xf numFmtId="0" fontId="70" fillId="30" borderId="20" applyNumberFormat="0" applyAlignment="0" applyProtection="0"/>
    <xf numFmtId="9" fontId="4" fillId="0" borderId="0" applyFont="0" applyFill="0" applyBorder="0" applyAlignment="0" applyProtection="0"/>
    <xf numFmtId="0" fontId="71" fillId="0" borderId="0" applyNumberFormat="0" applyFill="0" applyBorder="0" applyAlignment="0" applyProtection="0"/>
    <xf numFmtId="0" fontId="72" fillId="0" borderId="21" applyNumberFormat="0" applyFill="0" applyAlignment="0" applyProtection="0"/>
    <xf numFmtId="0" fontId="73" fillId="0" borderId="0" applyNumberFormat="0" applyFill="0" applyBorder="0" applyAlignment="0" applyProtection="0"/>
    <xf numFmtId="0" fontId="58" fillId="0" borderId="0"/>
    <xf numFmtId="0" fontId="4" fillId="0" borderId="0"/>
    <xf numFmtId="172" fontId="2" fillId="0" borderId="0"/>
    <xf numFmtId="173" fontId="2" fillId="0" borderId="0" applyFont="0" applyFill="0" applyBorder="0" applyAlignment="0" applyProtection="0"/>
    <xf numFmtId="174" fontId="2" fillId="0" borderId="0" applyFont="0" applyFill="0" applyBorder="0" applyAlignment="0" applyProtection="0"/>
    <xf numFmtId="175" fontId="4" fillId="0" borderId="0" applyFont="0" applyFill="0" applyBorder="0" applyAlignment="0" applyProtection="0"/>
    <xf numFmtId="176" fontId="4" fillId="0" borderId="0" applyFont="0" applyFill="0" applyBorder="0" applyAlignment="0" applyProtection="0"/>
    <xf numFmtId="39" fontId="4" fillId="0" borderId="0" applyFont="0" applyFill="0" applyBorder="0" applyAlignment="0" applyProtection="0"/>
    <xf numFmtId="177" fontId="2" fillId="0" borderId="0" applyFont="0" applyFill="0" applyBorder="0" applyAlignment="0" applyProtection="0"/>
    <xf numFmtId="0" fontId="2" fillId="2" borderId="0" applyNumberFormat="0" applyFont="0" applyAlignment="0" applyProtection="0"/>
    <xf numFmtId="178" fontId="4" fillId="0" borderId="0" applyFont="0" applyFill="0" applyBorder="0" applyAlignment="0" applyProtection="0"/>
    <xf numFmtId="179" fontId="4" fillId="0" borderId="0" applyFont="0" applyFill="0" applyBorder="0" applyAlignment="0" applyProtection="0"/>
    <xf numFmtId="180" fontId="4" fillId="0" borderId="0" applyFont="0" applyFill="0" applyBorder="0" applyAlignment="0" applyProtection="0"/>
    <xf numFmtId="181" fontId="4" fillId="0" borderId="0" applyFont="0" applyFill="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183" fontId="4" fillId="0" borderId="0" applyFill="0" applyBorder="0" applyAlignment="0"/>
    <xf numFmtId="43" fontId="4" fillId="0" borderId="0" applyFont="0" applyFill="0" applyBorder="0" applyAlignment="0" applyProtection="0"/>
    <xf numFmtId="43" fontId="4" fillId="0" borderId="0" applyFont="0" applyFill="0" applyBorder="0" applyAlignment="0" applyProtection="0"/>
    <xf numFmtId="44" fontId="1" fillId="0" borderId="0" applyFont="0" applyFill="0" applyBorder="0" applyAlignment="0" applyProtection="0"/>
    <xf numFmtId="0" fontId="4" fillId="0" borderId="0" applyNumberFormat="0" applyFont="0" applyFill="0" applyBorder="0" applyAlignment="0"/>
    <xf numFmtId="188" fontId="34" fillId="0" borderId="0" applyFont="0" applyFill="0" applyBorder="0" applyProtection="0">
      <alignment horizontal="left"/>
      <protection locked="0"/>
    </xf>
    <xf numFmtId="189" fontId="34" fillId="0" borderId="0" applyFont="0" applyFill="0" applyBorder="0" applyProtection="0">
      <alignment horizontal="left"/>
      <protection locked="0"/>
    </xf>
    <xf numFmtId="0" fontId="4" fillId="32" borderId="19" applyNumberFormat="0" applyFont="0" applyAlignment="0" applyProtection="0"/>
    <xf numFmtId="168" fontId="4" fillId="0" borderId="0" applyFont="0" applyFill="0" applyBorder="0" applyAlignment="0" applyProtection="0"/>
    <xf numFmtId="10" fontId="4" fillId="0" borderId="0" applyFont="0" applyFill="0" applyBorder="0" applyAlignment="0" applyProtection="0"/>
    <xf numFmtId="9" fontId="1" fillId="0" borderId="0" applyFont="0" applyFill="0" applyBorder="0" applyAlignment="0" applyProtection="0"/>
    <xf numFmtId="0" fontId="34" fillId="0" borderId="0"/>
    <xf numFmtId="0" fontId="34" fillId="0" borderId="0"/>
    <xf numFmtId="0" fontId="34" fillId="0" borderId="0"/>
    <xf numFmtId="0" fontId="34" fillId="0" borderId="0"/>
    <xf numFmtId="0" fontId="4" fillId="0" borderId="0" applyFont="0" applyFill="0" applyBorder="0" applyAlignment="0" applyProtection="0"/>
    <xf numFmtId="183" fontId="4" fillId="0" borderId="0" applyFill="0" applyBorder="0" applyAlignment="0"/>
    <xf numFmtId="198" fontId="2" fillId="0" borderId="0"/>
    <xf numFmtId="0" fontId="4" fillId="0" borderId="0"/>
    <xf numFmtId="0" fontId="4" fillId="0" borderId="0"/>
    <xf numFmtId="0" fontId="4" fillId="0" borderId="0"/>
    <xf numFmtId="0" fontId="4" fillId="0" borderId="0"/>
    <xf numFmtId="0" fontId="4" fillId="0" borderId="0"/>
    <xf numFmtId="0" fontId="57"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7" fillId="0" borderId="0"/>
    <xf numFmtId="44" fontId="1" fillId="0" borderId="0" applyFont="0" applyFill="0" applyBorder="0" applyAlignment="0" applyProtection="0"/>
    <xf numFmtId="0" fontId="57" fillId="0" borderId="0"/>
    <xf numFmtId="0" fontId="57" fillId="0" borderId="0"/>
    <xf numFmtId="0" fontId="57" fillId="0" borderId="0"/>
    <xf numFmtId="0" fontId="57" fillId="0" borderId="0"/>
    <xf numFmtId="0" fontId="4" fillId="0" borderId="0"/>
    <xf numFmtId="0" fontId="4" fillId="0" borderId="0"/>
    <xf numFmtId="0" fontId="4" fillId="0" borderId="0"/>
    <xf numFmtId="0" fontId="4" fillId="0" borderId="0"/>
    <xf numFmtId="0" fontId="4" fillId="0" borderId="0"/>
    <xf numFmtId="0" fontId="57"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57" fillId="0" borderId="0"/>
    <xf numFmtId="0" fontId="57"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57" fillId="0" borderId="0"/>
    <xf numFmtId="0" fontId="4" fillId="0" borderId="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59" fillId="22" borderId="0" applyNumberFormat="0" applyBorder="0" applyAlignment="0" applyProtection="0"/>
    <xf numFmtId="0" fontId="59" fillId="19" borderId="0" applyNumberFormat="0" applyBorder="0" applyAlignment="0" applyProtection="0"/>
    <xf numFmtId="0" fontId="59" fillId="20" borderId="0" applyNumberFormat="0" applyBorder="0" applyAlignment="0" applyProtection="0"/>
    <xf numFmtId="0" fontId="59" fillId="23" borderId="0" applyNumberFormat="0" applyBorder="0" applyAlignment="0" applyProtection="0"/>
    <xf numFmtId="0" fontId="59" fillId="24" borderId="0" applyNumberFormat="0" applyBorder="0" applyAlignment="0" applyProtection="0"/>
    <xf numFmtId="0" fontId="59" fillId="25" borderId="0" applyNumberFormat="0" applyBorder="0" applyAlignment="0" applyProtection="0"/>
    <xf numFmtId="0" fontId="59" fillId="26" borderId="0" applyNumberFormat="0" applyBorder="0" applyAlignment="0" applyProtection="0"/>
    <xf numFmtId="0" fontId="59" fillId="27" borderId="0" applyNumberFormat="0" applyBorder="0" applyAlignment="0" applyProtection="0"/>
    <xf numFmtId="0" fontId="59" fillId="28" borderId="0" applyNumberFormat="0" applyBorder="0" applyAlignment="0" applyProtection="0"/>
    <xf numFmtId="0" fontId="59" fillId="23" borderId="0" applyNumberFormat="0" applyBorder="0" applyAlignment="0" applyProtection="0"/>
    <xf numFmtId="0" fontId="59" fillId="24" borderId="0" applyNumberFormat="0" applyBorder="0" applyAlignment="0" applyProtection="0"/>
    <xf numFmtId="0" fontId="59" fillId="29" borderId="0" applyNumberFormat="0" applyBorder="0" applyAlignment="0" applyProtection="0"/>
    <xf numFmtId="0" fontId="60" fillId="13" borderId="0" applyNumberFormat="0" applyBorder="0" applyAlignment="0" applyProtection="0"/>
    <xf numFmtId="0" fontId="61" fillId="30" borderId="13" applyNumberFormat="0" applyAlignment="0" applyProtection="0"/>
    <xf numFmtId="0" fontId="62" fillId="31" borderId="14" applyNumberFormat="0" applyAlignment="0" applyProtection="0"/>
    <xf numFmtId="43" fontId="4" fillId="0" borderId="0" applyFont="0" applyFill="0" applyBorder="0" applyAlignment="0" applyProtection="0"/>
    <xf numFmtId="44" fontId="4" fillId="0" borderId="0" applyFont="0" applyFill="0" applyBorder="0" applyAlignment="0" applyProtection="0"/>
    <xf numFmtId="0" fontId="63" fillId="0" borderId="0" applyNumberFormat="0" applyFill="0" applyBorder="0" applyAlignment="0" applyProtection="0"/>
    <xf numFmtId="0" fontId="64" fillId="14" borderId="0" applyNumberFormat="0" applyBorder="0" applyAlignment="0" applyProtection="0"/>
    <xf numFmtId="0" fontId="65" fillId="0" borderId="15" applyNumberFormat="0" applyFill="0" applyAlignment="0" applyProtection="0"/>
    <xf numFmtId="0" fontId="66" fillId="0" borderId="16" applyNumberFormat="0" applyFill="0" applyAlignment="0" applyProtection="0"/>
    <xf numFmtId="0" fontId="67" fillId="0" borderId="17" applyNumberFormat="0" applyFill="0" applyAlignment="0" applyProtection="0"/>
    <xf numFmtId="0" fontId="67" fillId="0" borderId="0" applyNumberFormat="0" applyFill="0" applyBorder="0" applyAlignment="0" applyProtection="0"/>
    <xf numFmtId="0" fontId="4" fillId="0" borderId="0"/>
    <xf numFmtId="0" fontId="57" fillId="0" borderId="0"/>
    <xf numFmtId="44" fontId="1" fillId="0" borderId="0" applyFont="0" applyFill="0" applyBorder="0" applyAlignment="0" applyProtection="0"/>
    <xf numFmtId="43" fontId="1" fillId="0" borderId="0" applyFont="0" applyFill="0" applyBorder="0" applyAlignment="0" applyProtection="0"/>
    <xf numFmtId="0" fontId="4" fillId="0" borderId="0"/>
    <xf numFmtId="170" fontId="34" fillId="0" borderId="0" applyAlignment="0">
      <protection locked="0"/>
    </xf>
    <xf numFmtId="0" fontId="68" fillId="0" borderId="18" applyNumberFormat="0" applyFill="0" applyAlignment="0" applyProtection="0"/>
    <xf numFmtId="0" fontId="4" fillId="0" borderId="0"/>
    <xf numFmtId="0" fontId="4" fillId="0" borderId="0"/>
    <xf numFmtId="0" fontId="4" fillId="0" borderId="0"/>
    <xf numFmtId="0" fontId="57" fillId="0" borderId="0"/>
    <xf numFmtId="0" fontId="69" fillId="2" borderId="0" applyNumberFormat="0" applyBorder="0" applyAlignment="0" applyProtection="0"/>
    <xf numFmtId="0" fontId="4" fillId="32" borderId="19" applyNumberFormat="0" applyFont="0" applyAlignment="0" applyProtection="0"/>
    <xf numFmtId="0" fontId="70" fillId="30" borderId="20" applyNumberFormat="0" applyAlignment="0" applyProtection="0"/>
    <xf numFmtId="9" fontId="4" fillId="0" borderId="0" applyFont="0" applyFill="0" applyBorder="0" applyAlignment="0" applyProtection="0"/>
    <xf numFmtId="0" fontId="71" fillId="0" borderId="0" applyNumberFormat="0" applyFill="0" applyBorder="0" applyAlignment="0" applyProtection="0"/>
    <xf numFmtId="0" fontId="72" fillId="0" borderId="21" applyNumberFormat="0" applyFill="0" applyAlignment="0" applyProtection="0"/>
    <xf numFmtId="0" fontId="73" fillId="0" borderId="0" applyNumberFormat="0" applyFill="0" applyBorder="0" applyAlignment="0" applyProtection="0"/>
    <xf numFmtId="0" fontId="57" fillId="0" borderId="0"/>
    <xf numFmtId="44" fontId="1"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58" fillId="0" borderId="0"/>
    <xf numFmtId="170" fontId="34" fillId="0" borderId="0" applyAlignment="0">
      <protection locked="0"/>
    </xf>
    <xf numFmtId="9" fontId="4" fillId="0" borderId="0" applyFont="0" applyFill="0" applyBorder="0" applyAlignment="0" applyProtection="0"/>
    <xf numFmtId="170" fontId="34" fillId="0" borderId="0" applyAlignment="0">
      <protection locked="0"/>
    </xf>
    <xf numFmtId="43" fontId="4"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0" fontId="4" fillId="0" borderId="0"/>
    <xf numFmtId="0" fontId="4" fillId="0" borderId="0"/>
    <xf numFmtId="0" fontId="4" fillId="0" borderId="0"/>
  </cellStyleXfs>
  <cellXfs count="385">
    <xf numFmtId="0" fontId="0" fillId="0" borderId="0" xfId="0"/>
    <xf numFmtId="0" fontId="3" fillId="5" borderId="0" xfId="0" applyFont="1" applyFill="1" applyBorder="1" applyAlignment="1">
      <alignment horizontal="left"/>
    </xf>
    <xf numFmtId="0" fontId="2" fillId="5" borderId="0" xfId="0" applyFont="1" applyFill="1" applyBorder="1" applyAlignment="1">
      <alignment horizontal="left"/>
    </xf>
    <xf numFmtId="41" fontId="3" fillId="7" borderId="0" xfId="0" applyNumberFormat="1" applyFont="1" applyFill="1" applyBorder="1" applyAlignment="1">
      <alignment horizontal="left"/>
    </xf>
    <xf numFmtId="41" fontId="2" fillId="7" borderId="0" xfId="0" applyNumberFormat="1" applyFont="1" applyFill="1" applyBorder="1" applyAlignment="1">
      <alignment horizontal="left"/>
    </xf>
    <xf numFmtId="0" fontId="3" fillId="7" borderId="0" xfId="0" applyFont="1" applyFill="1" applyBorder="1" applyAlignment="1"/>
    <xf numFmtId="0" fontId="3" fillId="5" borderId="0" xfId="0" applyFont="1" applyFill="1" applyAlignment="1">
      <alignment horizontal="center"/>
    </xf>
    <xf numFmtId="0" fontId="2" fillId="5" borderId="0" xfId="0" applyFont="1" applyFill="1" applyAlignment="1"/>
    <xf numFmtId="0" fontId="2" fillId="5" borderId="0" xfId="0" applyFont="1" applyFill="1" applyBorder="1" applyAlignment="1"/>
    <xf numFmtId="41" fontId="3" fillId="5" borderId="0" xfId="0" applyNumberFormat="1" applyFont="1" applyFill="1" applyBorder="1" applyAlignment="1"/>
    <xf numFmtId="42" fontId="3" fillId="5" borderId="0" xfId="0" applyNumberFormat="1" applyFont="1" applyFill="1" applyBorder="1" applyAlignment="1"/>
    <xf numFmtId="42" fontId="3" fillId="7" borderId="0" xfId="0" applyNumberFormat="1" applyFont="1" applyFill="1" applyBorder="1" applyAlignment="1"/>
    <xf numFmtId="41" fontId="2" fillId="5" borderId="0" xfId="0" applyNumberFormat="1" applyFont="1" applyFill="1" applyBorder="1" applyAlignment="1"/>
    <xf numFmtId="41" fontId="3" fillId="7" borderId="0" xfId="0" applyNumberFormat="1" applyFont="1" applyFill="1" applyBorder="1" applyAlignment="1"/>
    <xf numFmtId="41" fontId="2" fillId="7" borderId="0" xfId="0" applyNumberFormat="1" applyFont="1" applyFill="1" applyBorder="1" applyAlignment="1"/>
    <xf numFmtId="42" fontId="3" fillId="5" borderId="0" xfId="106" applyNumberFormat="1" applyFont="1" applyFill="1" applyBorder="1" applyAlignment="1"/>
    <xf numFmtId="41" fontId="5" fillId="5" borderId="0" xfId="106" applyNumberFormat="1" applyFont="1" applyFill="1" applyBorder="1" applyAlignment="1"/>
    <xf numFmtId="41" fontId="3" fillId="5" borderId="0" xfId="37" applyNumberFormat="1" applyFont="1" applyFill="1" applyBorder="1" applyAlignment="1"/>
    <xf numFmtId="41" fontId="2" fillId="5" borderId="0" xfId="37" applyNumberFormat="1" applyFont="1" applyFill="1" applyBorder="1" applyAlignment="1"/>
    <xf numFmtId="41" fontId="5" fillId="5" borderId="0" xfId="37" applyNumberFormat="1" applyFont="1" applyFill="1" applyBorder="1" applyAlignment="1"/>
    <xf numFmtId="42" fontId="6" fillId="5" borderId="0" xfId="0" applyNumberFormat="1" applyFont="1" applyFill="1" applyBorder="1" applyAlignment="1"/>
    <xf numFmtId="165" fontId="3" fillId="5" borderId="0" xfId="106" applyNumberFormat="1" applyFont="1" applyFill="1" applyBorder="1" applyAlignment="1"/>
    <xf numFmtId="44" fontId="3" fillId="5" borderId="0" xfId="0" applyNumberFormat="1" applyFont="1" applyFill="1" applyBorder="1" applyAlignment="1"/>
    <xf numFmtId="0" fontId="2" fillId="5" borderId="0" xfId="0" applyFont="1" applyFill="1"/>
    <xf numFmtId="0" fontId="3" fillId="5" borderId="0" xfId="0" applyFont="1" applyFill="1" applyBorder="1" applyAlignment="1">
      <alignment horizontal="center"/>
    </xf>
    <xf numFmtId="0" fontId="8" fillId="5" borderId="0" xfId="0" applyFont="1" applyFill="1" applyBorder="1" applyAlignment="1">
      <alignment vertical="top"/>
    </xf>
    <xf numFmtId="0" fontId="2" fillId="5" borderId="0" xfId="0" applyFont="1" applyFill="1" applyAlignment="1">
      <alignment vertical="top"/>
    </xf>
    <xf numFmtId="0" fontId="2" fillId="5" borderId="0" xfId="0" applyFont="1" applyFill="1" applyBorder="1" applyAlignment="1">
      <alignment vertical="top"/>
    </xf>
    <xf numFmtId="0" fontId="3" fillId="5" borderId="0" xfId="0" applyFont="1" applyFill="1" applyBorder="1" applyAlignment="1">
      <alignment horizontal="center" vertical="top"/>
    </xf>
    <xf numFmtId="0" fontId="3" fillId="5" borderId="0" xfId="0" applyFont="1" applyFill="1" applyBorder="1" applyAlignment="1">
      <alignment vertical="top"/>
    </xf>
    <xf numFmtId="41" fontId="3" fillId="5" borderId="0" xfId="0" applyNumberFormat="1" applyFont="1" applyFill="1" applyBorder="1" applyAlignment="1">
      <alignment horizontal="right" vertical="top"/>
    </xf>
    <xf numFmtId="42" fontId="3" fillId="5" borderId="0" xfId="0" applyNumberFormat="1" applyFont="1" applyFill="1" applyBorder="1" applyAlignment="1">
      <alignment vertical="top"/>
    </xf>
    <xf numFmtId="42" fontId="3" fillId="7" borderId="0" xfId="0" applyNumberFormat="1" applyFont="1" applyFill="1" applyBorder="1" applyAlignment="1">
      <alignment vertical="top"/>
    </xf>
    <xf numFmtId="41" fontId="2" fillId="5" borderId="0" xfId="0" applyNumberFormat="1" applyFont="1" applyFill="1" applyBorder="1" applyAlignment="1">
      <alignment horizontal="right" vertical="top"/>
    </xf>
    <xf numFmtId="41" fontId="5" fillId="5" borderId="0" xfId="0" applyNumberFormat="1" applyFont="1" applyFill="1" applyBorder="1" applyAlignment="1">
      <alignment horizontal="right" vertical="top"/>
    </xf>
    <xf numFmtId="41" fontId="2" fillId="5" borderId="0" xfId="0" applyNumberFormat="1" applyFont="1" applyFill="1" applyBorder="1" applyAlignment="1">
      <alignment vertical="top"/>
    </xf>
    <xf numFmtId="41" fontId="3" fillId="5" borderId="0" xfId="0" applyNumberFormat="1" applyFont="1" applyFill="1" applyBorder="1" applyAlignment="1">
      <alignment vertical="top"/>
    </xf>
    <xf numFmtId="41" fontId="3" fillId="7" borderId="0" xfId="0" applyNumberFormat="1" applyFont="1" applyFill="1" applyBorder="1" applyAlignment="1">
      <alignment vertical="top"/>
    </xf>
    <xf numFmtId="41" fontId="2" fillId="7" borderId="0" xfId="0" applyNumberFormat="1" applyFont="1" applyFill="1" applyBorder="1" applyAlignment="1">
      <alignment vertical="top"/>
    </xf>
    <xf numFmtId="41" fontId="6" fillId="5" borderId="0" xfId="0" applyNumberFormat="1" applyFont="1" applyFill="1" applyBorder="1" applyAlignment="1">
      <alignment horizontal="right" vertical="top"/>
    </xf>
    <xf numFmtId="0" fontId="3" fillId="5" borderId="0" xfId="0" quotePrefix="1" applyFont="1" applyFill="1" applyBorder="1" applyAlignment="1">
      <alignment horizontal="center" vertical="top"/>
    </xf>
    <xf numFmtId="0" fontId="3" fillId="5" borderId="0" xfId="0" applyFont="1" applyFill="1" applyBorder="1"/>
    <xf numFmtId="0" fontId="3" fillId="5" borderId="9" xfId="0" applyFont="1" applyFill="1" applyBorder="1" applyAlignment="1">
      <alignment horizontal="center"/>
    </xf>
    <xf numFmtId="0" fontId="3" fillId="5" borderId="0" xfId="0" applyFont="1" applyFill="1"/>
    <xf numFmtId="41" fontId="2" fillId="5" borderId="0" xfId="37" applyNumberFormat="1" applyFont="1" applyFill="1" applyBorder="1"/>
    <xf numFmtId="0" fontId="3" fillId="7" borderId="0" xfId="0" applyFont="1" applyFill="1" applyBorder="1"/>
    <xf numFmtId="0" fontId="2" fillId="7" borderId="0" xfId="0" applyFont="1" applyFill="1" applyBorder="1"/>
    <xf numFmtId="0" fontId="2" fillId="5" borderId="0" xfId="0" applyNumberFormat="1" applyFont="1" applyFill="1" applyAlignment="1">
      <alignment horizontal="left"/>
    </xf>
    <xf numFmtId="0" fontId="2" fillId="5" borderId="0" xfId="0" applyFont="1" applyFill="1" applyBorder="1"/>
    <xf numFmtId="42" fontId="3" fillId="5" borderId="0" xfId="0" applyNumberFormat="1" applyFont="1" applyFill="1" applyBorder="1"/>
    <xf numFmtId="41" fontId="2" fillId="5" borderId="0" xfId="0" applyNumberFormat="1" applyFont="1" applyFill="1" applyBorder="1"/>
    <xf numFmtId="41" fontId="5" fillId="5" borderId="0" xfId="0" applyNumberFormat="1" applyFont="1" applyFill="1" applyBorder="1"/>
    <xf numFmtId="166" fontId="6" fillId="5" borderId="0" xfId="45" applyNumberFormat="1" applyFont="1" applyFill="1" applyBorder="1" applyAlignment="1">
      <alignment horizontal="right"/>
    </xf>
    <xf numFmtId="0" fontId="3" fillId="5" borderId="0" xfId="0" applyFont="1" applyFill="1" applyAlignment="1">
      <alignment vertical="top"/>
    </xf>
    <xf numFmtId="0" fontId="3" fillId="5" borderId="0" xfId="0" applyFont="1" applyFill="1" applyAlignment="1"/>
    <xf numFmtId="0" fontId="3" fillId="5" borderId="9" xfId="0" applyFont="1" applyFill="1" applyBorder="1" applyAlignment="1">
      <alignment horizontal="center" wrapText="1"/>
    </xf>
    <xf numFmtId="0" fontId="3" fillId="0" borderId="9" xfId="0" applyFont="1" applyBorder="1" applyAlignment="1">
      <alignment horizontal="center" wrapText="1"/>
    </xf>
    <xf numFmtId="41" fontId="5" fillId="5" borderId="0" xfId="37" applyNumberFormat="1" applyFont="1" applyFill="1" applyBorder="1"/>
    <xf numFmtId="0" fontId="0" fillId="5" borderId="0" xfId="0" applyFill="1" applyAlignment="1"/>
    <xf numFmtId="37" fontId="2" fillId="8" borderId="0" xfId="0" applyNumberFormat="1" applyFont="1" applyFill="1" applyBorder="1" applyAlignment="1"/>
    <xf numFmtId="0" fontId="2" fillId="7" borderId="0" xfId="0" applyFont="1" applyFill="1" applyAlignment="1"/>
    <xf numFmtId="0" fontId="12" fillId="5" borderId="0" xfId="0" applyFont="1" applyFill="1" applyBorder="1" applyAlignment="1">
      <alignment horizontal="center" wrapText="1"/>
    </xf>
    <xf numFmtId="0" fontId="3" fillId="5" borderId="0" xfId="0" applyFont="1" applyFill="1" applyBorder="1" applyAlignment="1">
      <alignment horizontal="center" wrapText="1"/>
    </xf>
    <xf numFmtId="42" fontId="3" fillId="7" borderId="0" xfId="0" applyNumberFormat="1" applyFont="1" applyFill="1" applyBorder="1"/>
    <xf numFmtId="42" fontId="3" fillId="5" borderId="0" xfId="106" applyNumberFormat="1" applyFont="1" applyFill="1" applyBorder="1"/>
    <xf numFmtId="9" fontId="13" fillId="5" borderId="0" xfId="106" applyFont="1" applyFill="1" applyBorder="1" applyAlignment="1">
      <alignment horizontal="center"/>
    </xf>
    <xf numFmtId="41" fontId="3" fillId="5" borderId="0" xfId="0" applyNumberFormat="1" applyFont="1" applyFill="1" applyBorder="1"/>
    <xf numFmtId="41" fontId="3" fillId="5" borderId="0" xfId="37" applyNumberFormat="1" applyFont="1" applyFill="1" applyBorder="1"/>
    <xf numFmtId="9" fontId="12" fillId="5" borderId="0" xfId="106" applyFont="1" applyFill="1" applyBorder="1" applyAlignment="1">
      <alignment horizontal="center"/>
    </xf>
    <xf numFmtId="41" fontId="12" fillId="5" borderId="0" xfId="37" applyNumberFormat="1" applyFont="1" applyFill="1" applyBorder="1" applyAlignment="1">
      <alignment horizontal="center"/>
    </xf>
    <xf numFmtId="41" fontId="13" fillId="5" borderId="0" xfId="37" applyNumberFormat="1" applyFont="1" applyFill="1" applyBorder="1" applyAlignment="1">
      <alignment horizontal="center"/>
    </xf>
    <xf numFmtId="41" fontId="3" fillId="7" borderId="0" xfId="0" applyNumberFormat="1" applyFont="1" applyFill="1" applyBorder="1"/>
    <xf numFmtId="41" fontId="3" fillId="8" borderId="0" xfId="0" quotePrefix="1" applyNumberFormat="1" applyFont="1" applyFill="1" applyBorder="1" applyAlignment="1">
      <alignment horizontal="left"/>
    </xf>
    <xf numFmtId="41" fontId="2" fillId="8" borderId="0" xfId="0" applyNumberFormat="1" applyFont="1" applyFill="1" applyBorder="1" applyAlignment="1">
      <alignment horizontal="left"/>
    </xf>
    <xf numFmtId="41" fontId="2" fillId="7" borderId="0" xfId="0" applyNumberFormat="1" applyFont="1" applyFill="1" applyBorder="1"/>
    <xf numFmtId="9" fontId="2" fillId="7" borderId="0" xfId="106" applyFont="1" applyFill="1" applyBorder="1"/>
    <xf numFmtId="42" fontId="3" fillId="8" borderId="0" xfId="0" applyNumberFormat="1" applyFont="1" applyFill="1" applyBorder="1"/>
    <xf numFmtId="42" fontId="6" fillId="5" borderId="0" xfId="0" applyNumberFormat="1" applyFont="1" applyFill="1" applyBorder="1"/>
    <xf numFmtId="0" fontId="0" fillId="5" borderId="9" xfId="0" applyFill="1" applyBorder="1" applyAlignment="1"/>
    <xf numFmtId="37" fontId="2" fillId="8" borderId="0" xfId="0" applyNumberFormat="1" applyFont="1" applyFill="1" applyBorder="1"/>
    <xf numFmtId="0" fontId="2" fillId="8" borderId="0" xfId="0" applyFont="1" applyFill="1" applyBorder="1"/>
    <xf numFmtId="3" fontId="2" fillId="5" borderId="0" xfId="37" applyNumberFormat="1" applyFont="1" applyFill="1" applyBorder="1"/>
    <xf numFmtId="0" fontId="2" fillId="7" borderId="0" xfId="0" applyFont="1" applyFill="1" applyBorder="1" applyAlignment="1">
      <alignment horizontal="left" wrapText="1"/>
    </xf>
    <xf numFmtId="37" fontId="2" fillId="7" borderId="0" xfId="0" applyNumberFormat="1" applyFont="1" applyFill="1" applyBorder="1"/>
    <xf numFmtId="41" fontId="5" fillId="5" borderId="0" xfId="37" applyNumberFormat="1" applyFont="1" applyFill="1" applyBorder="1" applyAlignment="1">
      <alignment horizontal="right"/>
    </xf>
    <xf numFmtId="0" fontId="2" fillId="5" borderId="0" xfId="0" applyFont="1" applyFill="1" applyAlignment="1">
      <alignment horizontal="center"/>
    </xf>
    <xf numFmtId="0" fontId="12" fillId="5" borderId="0" xfId="0" applyFont="1" applyFill="1"/>
    <xf numFmtId="44" fontId="3" fillId="5" borderId="0" xfId="45" applyFont="1" applyFill="1" applyBorder="1"/>
    <xf numFmtId="0" fontId="3" fillId="9" borderId="0" xfId="0" applyFont="1" applyFill="1" applyBorder="1" applyAlignment="1"/>
    <xf numFmtId="0" fontId="3" fillId="9" borderId="0" xfId="0" applyFont="1" applyFill="1" applyBorder="1"/>
    <xf numFmtId="0" fontId="2" fillId="9" borderId="0" xfId="0" applyFont="1" applyFill="1" applyBorder="1"/>
    <xf numFmtId="44" fontId="3" fillId="5" borderId="0" xfId="0" applyNumberFormat="1" applyFont="1" applyFill="1"/>
    <xf numFmtId="41" fontId="2" fillId="5" borderId="0" xfId="37" applyNumberFormat="1" applyFont="1" applyFill="1" applyBorder="1" applyAlignment="1">
      <alignment horizontal="right"/>
    </xf>
    <xf numFmtId="0" fontId="17" fillId="0" borderId="0" xfId="0" applyFont="1" applyAlignment="1">
      <alignment horizontal="left" indent="5" readingOrder="1"/>
    </xf>
    <xf numFmtId="0" fontId="18" fillId="0" borderId="0" xfId="0" applyFont="1" applyAlignment="1">
      <alignment horizontal="left" wrapText="1" readingOrder="1"/>
    </xf>
    <xf numFmtId="0" fontId="0" fillId="0" borderId="0" xfId="0" applyAlignment="1">
      <alignment wrapText="1" readingOrder="1"/>
    </xf>
    <xf numFmtId="0" fontId="19" fillId="0" borderId="0" xfId="0" applyFont="1"/>
    <xf numFmtId="0" fontId="0" fillId="0" borderId="10" xfId="0" applyBorder="1"/>
    <xf numFmtId="0" fontId="0" fillId="0" borderId="0" xfId="0" applyAlignment="1"/>
    <xf numFmtId="167" fontId="2" fillId="5" borderId="0" xfId="37" applyNumberFormat="1" applyFont="1" applyFill="1" applyBorder="1"/>
    <xf numFmtId="170" fontId="2" fillId="5" borderId="0" xfId="106" applyNumberFormat="1" applyFont="1" applyFill="1" applyBorder="1" applyAlignment="1">
      <alignment horizontal="center"/>
    </xf>
    <xf numFmtId="170" fontId="3" fillId="5" borderId="0" xfId="106" applyNumberFormat="1" applyFont="1" applyFill="1" applyBorder="1" applyAlignment="1">
      <alignment horizontal="center"/>
    </xf>
    <xf numFmtId="41" fontId="3" fillId="5" borderId="0" xfId="37" applyNumberFormat="1" applyFont="1" applyFill="1" applyBorder="1" applyAlignment="1">
      <alignment horizontal="center"/>
    </xf>
    <xf numFmtId="41" fontId="2" fillId="5" borderId="0" xfId="37" applyNumberFormat="1" applyFont="1" applyFill="1" applyBorder="1" applyAlignment="1">
      <alignment horizontal="center"/>
    </xf>
    <xf numFmtId="0" fontId="3" fillId="8" borderId="0" xfId="0" applyFont="1" applyFill="1" applyBorder="1" applyAlignment="1"/>
    <xf numFmtId="0" fontId="3" fillId="8" borderId="0" xfId="0" applyFont="1" applyFill="1" applyBorder="1"/>
    <xf numFmtId="44" fontId="3" fillId="5" borderId="0" xfId="0" applyNumberFormat="1" applyFont="1" applyFill="1" applyBorder="1"/>
    <xf numFmtId="42" fontId="3" fillId="10" borderId="0" xfId="106" applyNumberFormat="1" applyFont="1" applyFill="1" applyBorder="1"/>
    <xf numFmtId="41" fontId="5" fillId="10" borderId="0" xfId="37" applyNumberFormat="1" applyFont="1" applyFill="1" applyBorder="1"/>
    <xf numFmtId="41" fontId="3" fillId="10" borderId="0" xfId="37" applyNumberFormat="1" applyFont="1" applyFill="1" applyBorder="1"/>
    <xf numFmtId="41" fontId="2" fillId="10" borderId="0" xfId="37" applyNumberFormat="1" applyFont="1" applyFill="1" applyBorder="1"/>
    <xf numFmtId="41" fontId="5" fillId="10" borderId="0" xfId="37" applyNumberFormat="1" applyFont="1" applyFill="1" applyBorder="1" applyAlignment="1"/>
    <xf numFmtId="42" fontId="6" fillId="10" borderId="0" xfId="0" applyNumberFormat="1" applyFont="1" applyFill="1" applyBorder="1"/>
    <xf numFmtId="42" fontId="3" fillId="10" borderId="0" xfId="0" applyNumberFormat="1" applyFont="1" applyFill="1" applyBorder="1"/>
    <xf numFmtId="44" fontId="3" fillId="10" borderId="0" xfId="0" applyNumberFormat="1" applyFont="1" applyFill="1" applyBorder="1"/>
    <xf numFmtId="3" fontId="2" fillId="10" borderId="0" xfId="37" applyNumberFormat="1" applyFont="1" applyFill="1" applyBorder="1"/>
    <xf numFmtId="167" fontId="2" fillId="10" borderId="0" xfId="37" applyNumberFormat="1" applyFont="1" applyFill="1" applyBorder="1"/>
    <xf numFmtId="41" fontId="5" fillId="10" borderId="0" xfId="37" applyNumberFormat="1" applyFont="1" applyFill="1" applyBorder="1" applyAlignment="1">
      <alignment horizontal="right"/>
    </xf>
    <xf numFmtId="170" fontId="13" fillId="10" borderId="0" xfId="106" applyNumberFormat="1" applyFont="1" applyFill="1" applyBorder="1"/>
    <xf numFmtId="0" fontId="2" fillId="10" borderId="0" xfId="0" applyFont="1" applyFill="1"/>
    <xf numFmtId="44" fontId="3" fillId="10" borderId="0" xfId="45" applyFont="1" applyFill="1" applyBorder="1"/>
    <xf numFmtId="0" fontId="2" fillId="5" borderId="0" xfId="0" applyFont="1" applyFill="1" applyAlignment="1">
      <alignment horizontal="left"/>
    </xf>
    <xf numFmtId="0" fontId="7" fillId="5" borderId="0" xfId="0" applyFont="1" applyFill="1" applyBorder="1" applyAlignment="1">
      <alignment horizontal="center"/>
    </xf>
    <xf numFmtId="167" fontId="2" fillId="5" borderId="0" xfId="37" applyNumberFormat="1" applyFont="1" applyFill="1"/>
    <xf numFmtId="167" fontId="2" fillId="5" borderId="0" xfId="37" applyNumberFormat="1" applyFont="1" applyFill="1" applyAlignment="1"/>
    <xf numFmtId="170" fontId="3" fillId="5" borderId="0" xfId="106" applyNumberFormat="1" applyFont="1" applyFill="1" applyBorder="1" applyAlignment="1">
      <alignment horizontal="right" vertical="top"/>
    </xf>
    <xf numFmtId="170" fontId="2" fillId="5" borderId="0" xfId="106" applyNumberFormat="1" applyFont="1" applyFill="1" applyBorder="1" applyAlignment="1">
      <alignment horizontal="right" vertical="top"/>
    </xf>
    <xf numFmtId="170" fontId="5" fillId="5" borderId="0" xfId="106" applyNumberFormat="1" applyFont="1" applyFill="1" applyBorder="1" applyAlignment="1">
      <alignment horizontal="right" vertical="top"/>
    </xf>
    <xf numFmtId="170" fontId="6" fillId="5" borderId="0" xfId="106" applyNumberFormat="1" applyFont="1" applyFill="1" applyBorder="1" applyAlignment="1">
      <alignment horizontal="right" vertical="top"/>
    </xf>
    <xf numFmtId="170" fontId="3" fillId="5" borderId="0" xfId="106" applyNumberFormat="1" applyFont="1" applyFill="1" applyBorder="1" applyAlignment="1"/>
    <xf numFmtId="170" fontId="2" fillId="5" borderId="0" xfId="106" applyNumberFormat="1" applyFont="1" applyFill="1" applyBorder="1" applyAlignment="1"/>
    <xf numFmtId="170" fontId="5" fillId="5" borderId="0" xfId="106" applyNumberFormat="1" applyFont="1" applyFill="1" applyBorder="1" applyAlignment="1"/>
    <xf numFmtId="170" fontId="6" fillId="5" borderId="0" xfId="106" applyNumberFormat="1" applyFont="1" applyFill="1" applyBorder="1" applyAlignment="1"/>
    <xf numFmtId="170" fontId="2" fillId="5" borderId="0" xfId="106" applyNumberFormat="1" applyFont="1" applyFill="1" applyBorder="1" applyAlignment="1">
      <alignment horizontal="right"/>
    </xf>
    <xf numFmtId="0" fontId="17" fillId="0" borderId="0" xfId="0" applyFont="1" applyAlignment="1">
      <alignment readingOrder="1"/>
    </xf>
    <xf numFmtId="0" fontId="4" fillId="5" borderId="0" xfId="0" applyFont="1" applyFill="1" applyBorder="1"/>
    <xf numFmtId="0" fontId="8" fillId="5" borderId="0" xfId="0" applyFont="1" applyFill="1" applyBorder="1"/>
    <xf numFmtId="0" fontId="9" fillId="5" borderId="0" xfId="0" applyFont="1" applyFill="1" applyBorder="1"/>
    <xf numFmtId="0" fontId="10" fillId="5" borderId="0" xfId="0" applyFont="1" applyFill="1" applyBorder="1"/>
    <xf numFmtId="43" fontId="9" fillId="5" borderId="0" xfId="0" applyNumberFormat="1" applyFont="1" applyFill="1" applyBorder="1" applyAlignment="1">
      <alignment horizontal="center"/>
    </xf>
    <xf numFmtId="0" fontId="11" fillId="5" borderId="0" xfId="0" applyFont="1" applyFill="1" applyBorder="1"/>
    <xf numFmtId="5" fontId="11" fillId="5" borderId="0" xfId="0" applyNumberFormat="1" applyFont="1" applyFill="1" applyBorder="1"/>
    <xf numFmtId="41" fontId="9" fillId="5" borderId="0" xfId="0" applyNumberFormat="1" applyFont="1" applyFill="1" applyBorder="1"/>
    <xf numFmtId="41" fontId="11" fillId="5" borderId="0" xfId="0" applyNumberFormat="1" applyFont="1" applyFill="1" applyBorder="1"/>
    <xf numFmtId="41" fontId="11" fillId="5" borderId="9" xfId="0" applyNumberFormat="1" applyFont="1" applyFill="1" applyBorder="1"/>
    <xf numFmtId="5" fontId="9" fillId="5" borderId="11" xfId="0" applyNumberFormat="1" applyFont="1" applyFill="1" applyBorder="1"/>
    <xf numFmtId="37" fontId="9" fillId="5" borderId="12" xfId="0" applyNumberFormat="1" applyFont="1" applyFill="1" applyBorder="1"/>
    <xf numFmtId="43" fontId="11" fillId="5" borderId="0" xfId="0" applyNumberFormat="1" applyFont="1" applyFill="1" applyBorder="1"/>
    <xf numFmtId="43" fontId="4" fillId="5" borderId="0" xfId="0" applyNumberFormat="1" applyFont="1" applyFill="1" applyBorder="1"/>
    <xf numFmtId="170" fontId="20" fillId="5" borderId="0" xfId="106" applyNumberFormat="1" applyFont="1" applyFill="1" applyBorder="1" applyAlignment="1">
      <alignment horizontal="right"/>
    </xf>
    <xf numFmtId="0" fontId="21" fillId="5" borderId="0" xfId="0" applyFont="1" applyFill="1"/>
    <xf numFmtId="0" fontId="4" fillId="5" borderId="0" xfId="0" applyFont="1" applyFill="1" applyBorder="1" applyAlignment="1"/>
    <xf numFmtId="0" fontId="3" fillId="5" borderId="0" xfId="0" applyFont="1" applyFill="1" applyBorder="1" applyAlignment="1"/>
    <xf numFmtId="0" fontId="4" fillId="5" borderId="0" xfId="0" applyNumberFormat="1" applyFont="1" applyFill="1" applyBorder="1" applyAlignment="1"/>
    <xf numFmtId="0" fontId="8" fillId="5" borderId="0" xfId="0" applyFont="1" applyFill="1" applyAlignment="1">
      <alignment vertical="top"/>
    </xf>
    <xf numFmtId="0" fontId="4" fillId="5" borderId="0" xfId="0" applyFont="1" applyFill="1" applyAlignment="1">
      <alignment horizontal="left" vertical="top" indent="2"/>
    </xf>
    <xf numFmtId="0" fontId="8" fillId="5" borderId="0" xfId="0" applyFont="1" applyFill="1" applyAlignment="1">
      <alignment horizontal="left" vertical="top" indent="5"/>
    </xf>
    <xf numFmtId="38" fontId="4" fillId="5" borderId="0" xfId="0" quotePrefix="1" applyNumberFormat="1" applyFont="1" applyFill="1" applyAlignment="1">
      <alignment horizontal="right" vertical="top"/>
    </xf>
    <xf numFmtId="37" fontId="4" fillId="5" borderId="0" xfId="0" quotePrefix="1" applyNumberFormat="1" applyFont="1" applyFill="1" applyAlignment="1">
      <alignment horizontal="right" vertical="top"/>
    </xf>
    <xf numFmtId="37" fontId="8" fillId="5" borderId="0" xfId="0" quotePrefix="1" applyNumberFormat="1" applyFont="1" applyFill="1" applyBorder="1" applyAlignment="1">
      <alignment horizontal="right" vertical="top"/>
    </xf>
    <xf numFmtId="0" fontId="3" fillId="5" borderId="0" xfId="94" applyFont="1" applyFill="1"/>
    <xf numFmtId="0" fontId="13" fillId="5" borderId="0" xfId="94" applyFont="1" applyFill="1"/>
    <xf numFmtId="0" fontId="12" fillId="5" borderId="0" xfId="94" applyFont="1" applyFill="1"/>
    <xf numFmtId="0" fontId="2" fillId="5" borderId="0" xfId="94" applyFont="1" applyFill="1"/>
    <xf numFmtId="0" fontId="3" fillId="5" borderId="0" xfId="94" applyFont="1" applyFill="1" applyAlignment="1">
      <alignment horizontal="center"/>
    </xf>
    <xf numFmtId="0" fontId="3" fillId="5" borderId="0" xfId="94" applyFont="1" applyFill="1" applyBorder="1" applyAlignment="1">
      <alignment horizontal="left"/>
    </xf>
    <xf numFmtId="0" fontId="3" fillId="5" borderId="0" xfId="0" applyFont="1" applyFill="1" applyAlignment="1">
      <alignment horizontal="left" vertical="top" indent="5"/>
    </xf>
    <xf numFmtId="167" fontId="5" fillId="5" borderId="0" xfId="37" applyNumberFormat="1" applyFont="1" applyFill="1" applyBorder="1"/>
    <xf numFmtId="167" fontId="51" fillId="5" borderId="0" xfId="37" applyNumberFormat="1" applyFont="1" applyFill="1" applyBorder="1"/>
    <xf numFmtId="41" fontId="6" fillId="5" borderId="0" xfId="94" applyNumberFormat="1" applyFont="1" applyFill="1" applyBorder="1"/>
    <xf numFmtId="9" fontId="13" fillId="5" borderId="0" xfId="106" applyFont="1" applyFill="1"/>
    <xf numFmtId="9" fontId="52" fillId="5" borderId="0" xfId="106" applyFont="1" applyFill="1" applyBorder="1"/>
    <xf numFmtId="9" fontId="53" fillId="5" borderId="0" xfId="106" applyFont="1" applyFill="1" applyBorder="1"/>
    <xf numFmtId="41" fontId="5" fillId="5" borderId="0" xfId="37" applyNumberFormat="1" applyFont="1" applyFill="1" applyBorder="1" applyAlignment="1">
      <alignment horizontal="center"/>
    </xf>
    <xf numFmtId="9" fontId="13" fillId="5" borderId="0" xfId="106" applyNumberFormat="1" applyFont="1" applyFill="1"/>
    <xf numFmtId="9" fontId="52" fillId="5" borderId="0" xfId="106" applyNumberFormat="1" applyFont="1" applyFill="1"/>
    <xf numFmtId="9" fontId="53" fillId="5" borderId="0" xfId="106" applyNumberFormat="1" applyFont="1" applyFill="1" applyBorder="1"/>
    <xf numFmtId="0" fontId="3" fillId="5" borderId="0" xfId="95" applyFont="1" applyFill="1"/>
    <xf numFmtId="0" fontId="13" fillId="5" borderId="0" xfId="95" applyFont="1" applyFill="1"/>
    <xf numFmtId="0" fontId="2" fillId="5" borderId="0" xfId="95" applyFont="1" applyFill="1"/>
    <xf numFmtId="0" fontId="12" fillId="5" borderId="0" xfId="95" applyFont="1" applyFill="1"/>
    <xf numFmtId="0" fontId="2" fillId="5" borderId="0" xfId="0" quotePrefix="1" applyFont="1" applyFill="1" applyAlignment="1">
      <alignment vertical="top"/>
    </xf>
    <xf numFmtId="0" fontId="2" fillId="5" borderId="0" xfId="0" quotePrefix="1" applyFont="1" applyFill="1" applyAlignment="1">
      <alignment horizontal="left" vertical="top" indent="2"/>
    </xf>
    <xf numFmtId="0" fontId="2" fillId="5" borderId="0" xfId="0" applyFont="1" applyFill="1" applyAlignment="1">
      <alignment horizontal="left" vertical="top" indent="2"/>
    </xf>
    <xf numFmtId="0" fontId="3" fillId="5" borderId="0" xfId="0" quotePrefix="1" applyFont="1" applyFill="1" applyAlignment="1">
      <alignment horizontal="left" vertical="top" indent="2"/>
    </xf>
    <xf numFmtId="37" fontId="2" fillId="5" borderId="0" xfId="0" quotePrefix="1" applyNumberFormat="1" applyFont="1" applyFill="1" applyAlignment="1">
      <alignment horizontal="right" vertical="top"/>
    </xf>
    <xf numFmtId="9" fontId="52" fillId="5" borderId="0" xfId="106" applyFont="1" applyFill="1"/>
    <xf numFmtId="41" fontId="6" fillId="5" borderId="0" xfId="95" applyNumberFormat="1" applyFont="1" applyFill="1" applyBorder="1"/>
    <xf numFmtId="9" fontId="52" fillId="5" borderId="0" xfId="106" applyFont="1" applyFill="1" applyAlignment="1">
      <alignment horizontal="right"/>
    </xf>
    <xf numFmtId="9" fontId="52" fillId="5" borderId="0" xfId="106" applyNumberFormat="1" applyFont="1" applyFill="1" applyAlignment="1">
      <alignment horizontal="right"/>
    </xf>
    <xf numFmtId="41" fontId="2" fillId="0" borderId="0" xfId="0" applyNumberFormat="1" applyFont="1" applyBorder="1"/>
    <xf numFmtId="41" fontId="5" fillId="10" borderId="0" xfId="40" applyNumberFormat="1" applyFont="1" applyFill="1" applyBorder="1"/>
    <xf numFmtId="41" fontId="3" fillId="10" borderId="0" xfId="40" applyNumberFormat="1" applyFont="1" applyFill="1" applyBorder="1"/>
    <xf numFmtId="41" fontId="2" fillId="10" borderId="0" xfId="40" applyNumberFormat="1" applyFont="1" applyFill="1" applyBorder="1"/>
    <xf numFmtId="41" fontId="5" fillId="10" borderId="0" xfId="40" applyNumberFormat="1" applyFont="1" applyFill="1" applyBorder="1" applyAlignment="1"/>
    <xf numFmtId="41" fontId="5" fillId="5" borderId="0" xfId="40" applyNumberFormat="1" applyFont="1" applyFill="1" applyBorder="1"/>
    <xf numFmtId="41" fontId="5" fillId="10" borderId="0" xfId="40" applyNumberFormat="1" applyFont="1" applyFill="1" applyBorder="1" applyAlignment="1">
      <alignment horizontal="right"/>
    </xf>
    <xf numFmtId="3" fontId="2" fillId="10" borderId="0" xfId="40" applyNumberFormat="1" applyFont="1" applyFill="1" applyBorder="1"/>
    <xf numFmtId="167" fontId="2" fillId="10" borderId="0" xfId="40" applyNumberFormat="1" applyFont="1" applyFill="1" applyBorder="1"/>
    <xf numFmtId="41" fontId="3" fillId="5" borderId="0" xfId="40" applyNumberFormat="1" applyFont="1" applyFill="1" applyBorder="1"/>
    <xf numFmtId="41" fontId="2" fillId="5" borderId="0" xfId="40" applyNumberFormat="1" applyFont="1" applyFill="1" applyBorder="1"/>
    <xf numFmtId="41" fontId="5" fillId="5" borderId="0" xfId="40" applyNumberFormat="1" applyFont="1" applyFill="1" applyBorder="1" applyAlignment="1"/>
    <xf numFmtId="3" fontId="2" fillId="5" borderId="0" xfId="40" applyNumberFormat="1" applyFont="1" applyFill="1" applyBorder="1"/>
    <xf numFmtId="167" fontId="2" fillId="5" borderId="0" xfId="40" applyNumberFormat="1" applyFont="1" applyFill="1" applyBorder="1"/>
    <xf numFmtId="41" fontId="3" fillId="5" borderId="0" xfId="40" applyNumberFormat="1" applyFont="1" applyFill="1" applyBorder="1" applyAlignment="1"/>
    <xf numFmtId="41" fontId="2" fillId="5" borderId="0" xfId="40" applyNumberFormat="1" applyFont="1" applyFill="1" applyBorder="1" applyAlignment="1"/>
    <xf numFmtId="41" fontId="3" fillId="5" borderId="0" xfId="40" applyNumberFormat="1" applyFont="1" applyFill="1" applyBorder="1" applyAlignment="1">
      <alignment horizontal="center"/>
    </xf>
    <xf numFmtId="41" fontId="2" fillId="5" borderId="0" xfId="40" applyNumberFormat="1" applyFont="1" applyFill="1" applyBorder="1" applyAlignment="1">
      <alignment horizontal="center"/>
    </xf>
    <xf numFmtId="41" fontId="2" fillId="10" borderId="0" xfId="40" applyNumberFormat="1" applyFont="1" applyFill="1" applyBorder="1" applyAlignment="1">
      <alignment horizontal="right"/>
    </xf>
    <xf numFmtId="42" fontId="6" fillId="10" borderId="0" xfId="0" applyNumberFormat="1" applyFont="1" applyFill="1" applyBorder="1" applyAlignment="1"/>
    <xf numFmtId="41" fontId="20" fillId="10" borderId="0" xfId="37" applyNumberFormat="1" applyFont="1" applyFill="1" applyBorder="1"/>
    <xf numFmtId="9" fontId="52" fillId="5" borderId="0" xfId="106" applyFont="1" applyFill="1" applyBorder="1" applyAlignment="1">
      <alignment horizontal="center"/>
    </xf>
    <xf numFmtId="41" fontId="20" fillId="5" borderId="0" xfId="37" applyNumberFormat="1" applyFont="1" applyFill="1" applyBorder="1" applyAlignment="1"/>
    <xf numFmtId="41" fontId="20" fillId="5" borderId="0" xfId="37" applyNumberFormat="1" applyFont="1" applyFill="1" applyBorder="1"/>
    <xf numFmtId="41" fontId="20" fillId="7" borderId="0" xfId="0" applyNumberFormat="1" applyFont="1" applyFill="1" applyBorder="1"/>
    <xf numFmtId="0" fontId="2" fillId="5" borderId="0" xfId="96" applyFont="1" applyFill="1" applyBorder="1" applyAlignment="1">
      <alignment horizontal="left"/>
    </xf>
    <xf numFmtId="0" fontId="11" fillId="7" borderId="0" xfId="93" applyFont="1" applyFill="1" applyBorder="1"/>
    <xf numFmtId="0" fontId="3" fillId="0" borderId="9" xfId="97" applyFont="1" applyBorder="1" applyAlignment="1">
      <alignment horizontal="center" wrapText="1"/>
    </xf>
    <xf numFmtId="0" fontId="3" fillId="0" borderId="9" xfId="98" applyFont="1" applyBorder="1" applyAlignment="1">
      <alignment horizontal="center" wrapText="1"/>
    </xf>
    <xf numFmtId="9" fontId="4" fillId="5" borderId="0" xfId="106" applyFont="1" applyFill="1" applyBorder="1"/>
    <xf numFmtId="10" fontId="4" fillId="5" borderId="0" xfId="106" applyNumberFormat="1" applyFont="1" applyFill="1" applyBorder="1"/>
    <xf numFmtId="166" fontId="2" fillId="10" borderId="0" xfId="0" applyNumberFormat="1" applyFont="1" applyFill="1" applyBorder="1"/>
    <xf numFmtId="42" fontId="3" fillId="5" borderId="0" xfId="0" applyNumberFormat="1" applyFont="1" applyFill="1" applyBorder="1" applyAlignment="1">
      <alignment horizontal="right" vertical="top"/>
    </xf>
    <xf numFmtId="42" fontId="6" fillId="5" borderId="0" xfId="0" applyNumberFormat="1" applyFont="1" applyFill="1" applyBorder="1" applyAlignment="1">
      <alignment horizontal="right" vertical="top"/>
    </xf>
    <xf numFmtId="41" fontId="11" fillId="5" borderId="0" xfId="0" applyNumberFormat="1" applyFont="1" applyFill="1" applyBorder="1" applyAlignment="1">
      <alignment horizontal="right"/>
    </xf>
    <xf numFmtId="0" fontId="55" fillId="5" borderId="0" xfId="0" applyFont="1" applyFill="1"/>
    <xf numFmtId="170" fontId="2" fillId="0" borderId="0" xfId="106" applyNumberFormat="1" applyFont="1" applyFill="1" applyBorder="1" applyAlignment="1">
      <alignment horizontal="right" vertical="top"/>
    </xf>
    <xf numFmtId="9" fontId="30" fillId="5" borderId="0" xfId="106" applyFont="1" applyFill="1" applyBorder="1"/>
    <xf numFmtId="0" fontId="30" fillId="5" borderId="0" xfId="0" applyFont="1" applyFill="1" applyBorder="1"/>
    <xf numFmtId="10" fontId="30" fillId="5" borderId="0" xfId="106" applyNumberFormat="1" applyFont="1" applyFill="1" applyBorder="1"/>
    <xf numFmtId="0" fontId="30" fillId="5" borderId="0" xfId="0" applyFont="1" applyFill="1" applyAlignment="1">
      <alignment horizontal="left" vertical="top" indent="2"/>
    </xf>
    <xf numFmtId="43" fontId="30" fillId="5" borderId="0" xfId="0" applyNumberFormat="1" applyFont="1" applyFill="1" applyBorder="1"/>
    <xf numFmtId="0" fontId="3" fillId="0" borderId="9" xfId="99" applyFont="1" applyBorder="1" applyAlignment="1">
      <alignment horizontal="center" wrapText="1"/>
    </xf>
    <xf numFmtId="0" fontId="56" fillId="5" borderId="0" xfId="0" applyFont="1" applyFill="1"/>
    <xf numFmtId="0" fontId="54" fillId="5" borderId="0" xfId="0" applyFont="1" applyFill="1" applyBorder="1"/>
    <xf numFmtId="9" fontId="54" fillId="5" borderId="0" xfId="106" applyFont="1" applyFill="1" applyBorder="1"/>
    <xf numFmtId="43" fontId="54" fillId="5" borderId="0" xfId="0" applyNumberFormat="1" applyFont="1" applyFill="1" applyBorder="1"/>
    <xf numFmtId="10" fontId="54" fillId="5" borderId="0" xfId="106" applyNumberFormat="1" applyFont="1" applyFill="1" applyBorder="1"/>
    <xf numFmtId="37" fontId="9" fillId="5" borderId="0" xfId="0" applyNumberFormat="1" applyFont="1" applyFill="1" applyBorder="1"/>
    <xf numFmtId="41" fontId="20" fillId="10" borderId="0" xfId="40" applyNumberFormat="1" applyFont="1" applyFill="1" applyBorder="1"/>
    <xf numFmtId="41" fontId="20" fillId="5" borderId="0" xfId="40" applyNumberFormat="1" applyFont="1" applyFill="1" applyBorder="1"/>
    <xf numFmtId="41" fontId="20" fillId="5" borderId="0" xfId="40" applyNumberFormat="1" applyFont="1" applyFill="1" applyBorder="1" applyAlignment="1"/>
    <xf numFmtId="0" fontId="3" fillId="5" borderId="0" xfId="0" applyFont="1" applyFill="1" applyAlignment="1">
      <alignment horizontal="center"/>
    </xf>
    <xf numFmtId="0" fontId="3" fillId="5" borderId="9" xfId="0" applyFont="1" applyFill="1" applyBorder="1" applyAlignment="1">
      <alignment horizontal="center"/>
    </xf>
    <xf numFmtId="0" fontId="13" fillId="5" borderId="0" xfId="0" quotePrefix="1" applyFont="1" applyFill="1" applyAlignment="1">
      <alignment vertical="top"/>
    </xf>
    <xf numFmtId="167" fontId="4" fillId="5" borderId="0" xfId="106" applyNumberFormat="1" applyFont="1" applyFill="1" applyBorder="1"/>
    <xf numFmtId="41" fontId="4" fillId="5" borderId="0" xfId="0" applyNumberFormat="1" applyFont="1" applyFill="1" applyBorder="1"/>
    <xf numFmtId="0" fontId="3" fillId="5" borderId="0" xfId="92" applyFont="1" applyFill="1" applyAlignment="1"/>
    <xf numFmtId="0" fontId="2" fillId="5" borderId="0" xfId="92" applyFont="1" applyFill="1" applyAlignment="1"/>
    <xf numFmtId="0" fontId="3" fillId="5" borderId="0" xfId="92" applyFont="1" applyFill="1" applyAlignment="1">
      <alignment horizontal="center"/>
    </xf>
    <xf numFmtId="0" fontId="2" fillId="5" borderId="0" xfId="92" applyFont="1" applyFill="1" applyAlignment="1">
      <alignment horizontal="center"/>
    </xf>
    <xf numFmtId="37" fontId="2" fillId="8" borderId="0" xfId="92" applyNumberFormat="1" applyFont="1" applyFill="1" applyBorder="1" applyAlignment="1">
      <alignment horizontal="center"/>
    </xf>
    <xf numFmtId="0" fontId="2" fillId="7" borderId="0" xfId="92" applyFont="1" applyFill="1" applyAlignment="1">
      <alignment horizontal="center"/>
    </xf>
    <xf numFmtId="0" fontId="2" fillId="0" borderId="0" xfId="92" applyFont="1" applyAlignment="1">
      <alignment horizontal="center"/>
    </xf>
    <xf numFmtId="0" fontId="2" fillId="0" borderId="0" xfId="92" applyFont="1" applyAlignment="1"/>
    <xf numFmtId="0" fontId="2" fillId="0" borderId="0" xfId="92" applyFont="1" applyBorder="1"/>
    <xf numFmtId="0" fontId="3" fillId="5" borderId="9" xfId="92" applyFont="1" applyFill="1" applyBorder="1" applyAlignment="1">
      <alignment horizontal="center" wrapText="1"/>
    </xf>
    <xf numFmtId="0" fontId="12" fillId="5" borderId="0" xfId="92" applyFont="1" applyFill="1" applyBorder="1" applyAlignment="1">
      <alignment horizontal="center" wrapText="1"/>
    </xf>
    <xf numFmtId="0" fontId="3" fillId="0" borderId="9" xfId="92" applyFont="1" applyBorder="1" applyAlignment="1">
      <alignment horizontal="center" wrapText="1"/>
    </xf>
    <xf numFmtId="0" fontId="3" fillId="0" borderId="0" xfId="92" applyFont="1" applyBorder="1" applyAlignment="1">
      <alignment horizontal="center" wrapText="1"/>
    </xf>
    <xf numFmtId="42" fontId="3" fillId="11" borderId="0" xfId="92" applyNumberFormat="1" applyFont="1" applyFill="1" applyBorder="1"/>
    <xf numFmtId="42" fontId="3" fillId="10" borderId="0" xfId="111" applyNumberFormat="1" applyFont="1" applyFill="1" applyBorder="1"/>
    <xf numFmtId="42" fontId="3" fillId="0" borderId="0" xfId="111" applyNumberFormat="1" applyFont="1" applyFill="1" applyBorder="1"/>
    <xf numFmtId="42" fontId="3" fillId="5" borderId="0" xfId="111" applyNumberFormat="1" applyFont="1" applyFill="1" applyBorder="1" applyAlignment="1"/>
    <xf numFmtId="42" fontId="3" fillId="0" borderId="0" xfId="92" applyNumberFormat="1" applyFont="1" applyBorder="1"/>
    <xf numFmtId="41" fontId="2" fillId="0" borderId="0" xfId="92" applyNumberFormat="1" applyFont="1" applyBorder="1"/>
    <xf numFmtId="170" fontId="2" fillId="0" borderId="0" xfId="111" applyNumberFormat="1" applyFont="1" applyFill="1" applyBorder="1" applyAlignment="1">
      <alignment horizontal="center"/>
    </xf>
    <xf numFmtId="41" fontId="5" fillId="0" borderId="0" xfId="40" applyNumberFormat="1" applyFont="1" applyFill="1" applyBorder="1"/>
    <xf numFmtId="41" fontId="5" fillId="0" borderId="0" xfId="40" applyNumberFormat="1" applyFont="1" applyFill="1" applyBorder="1" applyAlignment="1"/>
    <xf numFmtId="41" fontId="3" fillId="0" borderId="0" xfId="92" applyNumberFormat="1" applyFont="1" applyBorder="1"/>
    <xf numFmtId="170" fontId="3" fillId="0" borderId="0" xfId="111" applyNumberFormat="1" applyFont="1" applyFill="1" applyBorder="1" applyAlignment="1">
      <alignment horizontal="center"/>
    </xf>
    <xf numFmtId="41" fontId="3" fillId="0" borderId="0" xfId="40" applyNumberFormat="1" applyFont="1" applyFill="1" applyBorder="1" applyAlignment="1"/>
    <xf numFmtId="41" fontId="3" fillId="0" borderId="0" xfId="40" applyNumberFormat="1" applyFont="1" applyFill="1" applyBorder="1"/>
    <xf numFmtId="41" fontId="3" fillId="0" borderId="0" xfId="40" applyNumberFormat="1" applyFont="1" applyFill="1" applyBorder="1" applyAlignment="1">
      <alignment horizontal="center"/>
    </xf>
    <xf numFmtId="41" fontId="2" fillId="0" borderId="0" xfId="40" applyNumberFormat="1" applyFont="1" applyFill="1" applyBorder="1" applyAlignment="1">
      <alignment horizontal="center"/>
    </xf>
    <xf numFmtId="41" fontId="2" fillId="0" borderId="0" xfId="40" applyNumberFormat="1" applyFont="1" applyFill="1" applyBorder="1"/>
    <xf numFmtId="41" fontId="2" fillId="0" borderId="0" xfId="40" applyNumberFormat="1" applyFont="1" applyFill="1" applyBorder="1" applyAlignment="1"/>
    <xf numFmtId="0" fontId="3" fillId="5" borderId="0" xfId="92" applyFont="1" applyFill="1" applyBorder="1" applyAlignment="1">
      <alignment horizontal="left"/>
    </xf>
    <xf numFmtId="41" fontId="3" fillId="11" borderId="0" xfId="92" applyNumberFormat="1" applyFont="1" applyFill="1" applyBorder="1"/>
    <xf numFmtId="41" fontId="3" fillId="9" borderId="0" xfId="92" quotePrefix="1" applyNumberFormat="1" applyFont="1" applyFill="1" applyBorder="1" applyAlignment="1">
      <alignment horizontal="left"/>
    </xf>
    <xf numFmtId="41" fontId="2" fillId="11" borderId="0" xfId="92" applyNumberFormat="1" applyFont="1" applyFill="1" applyBorder="1"/>
    <xf numFmtId="41" fontId="2" fillId="11" borderId="0" xfId="92" applyNumberFormat="1" applyFont="1" applyFill="1" applyBorder="1" applyAlignment="1">
      <alignment horizontal="left"/>
    </xf>
    <xf numFmtId="41" fontId="2" fillId="7" borderId="0" xfId="92" applyNumberFormat="1" applyFont="1" applyFill="1" applyBorder="1" applyAlignment="1">
      <alignment horizontal="left"/>
    </xf>
    <xf numFmtId="42" fontId="3" fillId="9" borderId="0" xfId="92" applyNumberFormat="1" applyFont="1" applyFill="1" applyBorder="1"/>
    <xf numFmtId="42" fontId="6" fillId="10" borderId="0" xfId="92" applyNumberFormat="1" applyFont="1" applyFill="1" applyBorder="1"/>
    <xf numFmtId="42" fontId="6" fillId="0" borderId="0" xfId="92" applyNumberFormat="1" applyFont="1" applyFill="1" applyBorder="1" applyAlignment="1"/>
    <xf numFmtId="42" fontId="6" fillId="0" borderId="0" xfId="92" applyNumberFormat="1" applyFont="1" applyFill="1" applyBorder="1"/>
    <xf numFmtId="42" fontId="3" fillId="10" borderId="0" xfId="92" applyNumberFormat="1" applyFont="1" applyFill="1" applyBorder="1"/>
    <xf numFmtId="42" fontId="3" fillId="0" borderId="0" xfId="92" applyNumberFormat="1" applyFont="1" applyFill="1" applyBorder="1"/>
    <xf numFmtId="0" fontId="3" fillId="9" borderId="0" xfId="92" applyFont="1" applyFill="1" applyBorder="1" applyAlignment="1"/>
    <xf numFmtId="0" fontId="3" fillId="9" borderId="0" xfId="92" applyFont="1" applyFill="1" applyBorder="1"/>
    <xf numFmtId="44" fontId="3" fillId="10" borderId="0" xfId="92" applyNumberFormat="1" applyFont="1" applyFill="1" applyBorder="1"/>
    <xf numFmtId="44" fontId="3" fillId="0" borderId="0" xfId="92" applyNumberFormat="1" applyFont="1" applyFill="1" applyBorder="1"/>
    <xf numFmtId="0" fontId="3" fillId="11" borderId="0" xfId="92" applyFont="1" applyFill="1" applyBorder="1"/>
    <xf numFmtId="0" fontId="2" fillId="9" borderId="0" xfId="92" applyFont="1" applyFill="1" applyBorder="1"/>
    <xf numFmtId="3" fontId="2" fillId="0" borderId="0" xfId="40" applyNumberFormat="1" applyFont="1" applyFill="1" applyBorder="1"/>
    <xf numFmtId="0" fontId="2" fillId="0" borderId="0" xfId="92" applyFont="1"/>
    <xf numFmtId="37" fontId="2" fillId="8" borderId="0" xfId="92" applyNumberFormat="1" applyFont="1" applyFill="1" applyBorder="1" applyAlignment="1"/>
    <xf numFmtId="0" fontId="2" fillId="7" borderId="0" xfId="92" applyFont="1" applyFill="1" applyAlignment="1"/>
    <xf numFmtId="0" fontId="2" fillId="5" borderId="0" xfId="92" applyFont="1" applyFill="1" applyBorder="1"/>
    <xf numFmtId="0" fontId="3" fillId="5" borderId="0" xfId="92" applyFont="1" applyFill="1" applyBorder="1" applyAlignment="1">
      <alignment horizontal="center" wrapText="1"/>
    </xf>
    <xf numFmtId="42" fontId="3" fillId="7" borderId="0" xfId="92" applyNumberFormat="1" applyFont="1" applyFill="1" applyBorder="1"/>
    <xf numFmtId="42" fontId="3" fillId="5" borderId="0" xfId="111" applyNumberFormat="1" applyFont="1" applyFill="1" applyBorder="1"/>
    <xf numFmtId="42" fontId="3" fillId="5" borderId="0" xfId="92" applyNumberFormat="1" applyFont="1" applyFill="1" applyBorder="1"/>
    <xf numFmtId="41" fontId="2" fillId="5" borderId="0" xfId="92" applyNumberFormat="1" applyFont="1" applyFill="1" applyBorder="1"/>
    <xf numFmtId="170" fontId="2" fillId="5" borderId="0" xfId="111" applyNumberFormat="1" applyFont="1" applyFill="1" applyBorder="1" applyAlignment="1">
      <alignment horizontal="center"/>
    </xf>
    <xf numFmtId="41" fontId="5" fillId="5" borderId="0" xfId="40" applyNumberFormat="1" applyFont="1" applyFill="1" applyBorder="1" applyAlignment="1">
      <alignment horizontal="right"/>
    </xf>
    <xf numFmtId="41" fontId="3" fillId="5" borderId="0" xfId="92" applyNumberFormat="1" applyFont="1" applyFill="1" applyBorder="1"/>
    <xf numFmtId="170" fontId="3" fillId="5" borderId="0" xfId="111" applyNumberFormat="1" applyFont="1" applyFill="1" applyBorder="1" applyAlignment="1">
      <alignment horizontal="center"/>
    </xf>
    <xf numFmtId="41" fontId="3" fillId="5" borderId="0" xfId="40" applyNumberFormat="1" applyFont="1" applyFill="1" applyBorder="1" applyAlignment="1">
      <alignment horizontal="right"/>
    </xf>
    <xf numFmtId="41" fontId="3" fillId="7" borderId="0" xfId="92" applyNumberFormat="1" applyFont="1" applyFill="1" applyBorder="1"/>
    <xf numFmtId="41" fontId="3" fillId="8" borderId="0" xfId="92" quotePrefix="1" applyNumberFormat="1" applyFont="1" applyFill="1" applyBorder="1" applyAlignment="1">
      <alignment horizontal="left"/>
    </xf>
    <xf numFmtId="41" fontId="2" fillId="8" borderId="0" xfId="92" applyNumberFormat="1" applyFont="1" applyFill="1" applyBorder="1" applyAlignment="1">
      <alignment horizontal="left"/>
    </xf>
    <xf numFmtId="41" fontId="2" fillId="7" borderId="0" xfId="92" applyNumberFormat="1" applyFont="1" applyFill="1" applyBorder="1"/>
    <xf numFmtId="42" fontId="6" fillId="5" borderId="0" xfId="92" applyNumberFormat="1" applyFont="1" applyFill="1" applyBorder="1" applyAlignment="1"/>
    <xf numFmtId="42" fontId="6" fillId="5" borderId="0" xfId="92" applyNumberFormat="1" applyFont="1" applyFill="1" applyBorder="1"/>
    <xf numFmtId="42" fontId="6" fillId="10" borderId="0" xfId="92" applyNumberFormat="1" applyFont="1" applyFill="1" applyBorder="1" applyAlignment="1"/>
    <xf numFmtId="42" fontId="3" fillId="8" borderId="0" xfId="92" applyNumberFormat="1" applyFont="1" applyFill="1" applyBorder="1"/>
    <xf numFmtId="0" fontId="2" fillId="8" borderId="0" xfId="92" applyFont="1" applyFill="1" applyBorder="1"/>
    <xf numFmtId="0" fontId="2" fillId="5" borderId="0" xfId="92" applyFont="1" applyFill="1"/>
    <xf numFmtId="0" fontId="3" fillId="5" borderId="0" xfId="92" applyFont="1" applyFill="1" applyAlignment="1">
      <alignment horizontal="center"/>
    </xf>
    <xf numFmtId="41" fontId="2" fillId="5" borderId="0" xfId="0" applyNumberFormat="1" applyFont="1" applyFill="1" applyBorder="1" applyAlignment="1">
      <alignment horizontal="right"/>
    </xf>
    <xf numFmtId="0" fontId="3" fillId="5" borderId="9" xfId="0" applyFont="1" applyFill="1" applyBorder="1" applyAlignment="1">
      <alignment horizontal="center"/>
    </xf>
    <xf numFmtId="0" fontId="3" fillId="5" borderId="9" xfId="0" applyFont="1" applyFill="1" applyBorder="1" applyAlignment="1">
      <alignment horizontal="center"/>
    </xf>
    <xf numFmtId="42" fontId="21" fillId="5" borderId="0" xfId="0" applyNumberFormat="1" applyFont="1" applyFill="1"/>
    <xf numFmtId="0" fontId="3" fillId="5" borderId="0" xfId="0" applyFont="1" applyFill="1" applyAlignment="1">
      <alignment horizontal="center"/>
    </xf>
    <xf numFmtId="0" fontId="3" fillId="5" borderId="9" xfId="0" applyFont="1" applyFill="1" applyBorder="1" applyAlignment="1">
      <alignment horizontal="center"/>
    </xf>
    <xf numFmtId="0" fontId="3" fillId="5" borderId="9" xfId="0" applyFont="1" applyFill="1" applyBorder="1" applyAlignment="1">
      <alignment horizontal="center"/>
    </xf>
    <xf numFmtId="0" fontId="3" fillId="5" borderId="0" xfId="92" applyFont="1" applyFill="1" applyAlignment="1">
      <alignment horizontal="center"/>
    </xf>
    <xf numFmtId="0" fontId="3" fillId="5" borderId="9" xfId="0" applyFont="1" applyFill="1" applyBorder="1" applyAlignment="1">
      <alignment horizontal="center"/>
    </xf>
    <xf numFmtId="0" fontId="3" fillId="5" borderId="0" xfId="0" applyFont="1" applyFill="1" applyAlignment="1">
      <alignment horizontal="center"/>
    </xf>
    <xf numFmtId="0" fontId="3" fillId="5" borderId="0" xfId="92" applyFont="1" applyFill="1" applyAlignment="1">
      <alignment horizontal="center"/>
    </xf>
    <xf numFmtId="0" fontId="3" fillId="5" borderId="9" xfId="0" applyFont="1" applyFill="1" applyBorder="1" applyAlignment="1">
      <alignment horizontal="center"/>
    </xf>
    <xf numFmtId="0" fontId="3" fillId="5" borderId="9" xfId="0" applyFont="1" applyFill="1" applyBorder="1" applyAlignment="1">
      <alignment horizontal="center"/>
    </xf>
    <xf numFmtId="0" fontId="3" fillId="5" borderId="9" xfId="0" applyFont="1" applyFill="1" applyBorder="1" applyAlignment="1">
      <alignment horizontal="center"/>
    </xf>
    <xf numFmtId="10" fontId="21" fillId="5" borderId="0" xfId="106" applyNumberFormat="1" applyFont="1" applyFill="1"/>
    <xf numFmtId="0" fontId="3" fillId="5" borderId="0" xfId="0" applyFont="1" applyFill="1" applyAlignment="1">
      <alignment horizontal="center"/>
    </xf>
    <xf numFmtId="0" fontId="3" fillId="5" borderId="0" xfId="92" applyFont="1" applyFill="1" applyAlignment="1">
      <alignment horizontal="center"/>
    </xf>
    <xf numFmtId="0" fontId="3" fillId="5" borderId="9" xfId="0" applyFont="1" applyFill="1" applyBorder="1" applyAlignment="1">
      <alignment horizontal="center"/>
    </xf>
    <xf numFmtId="10" fontId="2" fillId="5" borderId="0" xfId="106" applyNumberFormat="1" applyFont="1" applyFill="1" applyAlignment="1">
      <alignment vertical="top"/>
    </xf>
    <xf numFmtId="41" fontId="2" fillId="0" borderId="0" xfId="92" applyNumberFormat="1" applyFont="1" applyBorder="1" applyAlignment="1">
      <alignment horizontal="left" indent="1"/>
    </xf>
    <xf numFmtId="42" fontId="2" fillId="5" borderId="0" xfId="111" applyNumberFormat="1" applyFont="1" applyFill="1" applyBorder="1" applyAlignment="1"/>
    <xf numFmtId="41" fontId="5" fillId="10" borderId="0" xfId="40" applyNumberFormat="1" applyFont="1" applyFill="1" applyBorder="1"/>
    <xf numFmtId="41" fontId="2" fillId="10" borderId="0" xfId="40" applyNumberFormat="1" applyFont="1" applyFill="1" applyBorder="1"/>
    <xf numFmtId="41" fontId="5" fillId="5" borderId="0" xfId="40" applyNumberFormat="1" applyFont="1" applyFill="1" applyBorder="1"/>
    <xf numFmtId="41" fontId="3" fillId="5" borderId="0" xfId="40" applyNumberFormat="1" applyFont="1" applyFill="1" applyBorder="1"/>
    <xf numFmtId="41" fontId="2" fillId="5" borderId="0" xfId="40" applyNumberFormat="1" applyFont="1" applyFill="1" applyBorder="1"/>
    <xf numFmtId="41" fontId="5" fillId="5" borderId="0" xfId="40" applyNumberFormat="1" applyFont="1" applyFill="1" applyBorder="1" applyAlignment="1"/>
    <xf numFmtId="41" fontId="3" fillId="5" borderId="0" xfId="40" applyNumberFormat="1" applyFont="1" applyFill="1" applyBorder="1" applyAlignment="1"/>
    <xf numFmtId="41" fontId="2" fillId="5" borderId="0" xfId="40" applyNumberFormat="1" applyFont="1" applyFill="1" applyBorder="1" applyAlignment="1"/>
    <xf numFmtId="0" fontId="3" fillId="5" borderId="0" xfId="92" applyFont="1" applyFill="1" applyAlignment="1">
      <alignment horizontal="center"/>
    </xf>
    <xf numFmtId="0" fontId="3" fillId="5" borderId="9" xfId="92" applyFont="1" applyFill="1" applyBorder="1" applyAlignment="1">
      <alignment horizontal="center" wrapText="1"/>
    </xf>
    <xf numFmtId="0" fontId="3" fillId="0" borderId="9" xfId="92" applyFont="1" applyBorder="1" applyAlignment="1">
      <alignment horizontal="center" wrapText="1"/>
    </xf>
    <xf numFmtId="41" fontId="5" fillId="0" borderId="0" xfId="40" applyNumberFormat="1" applyFont="1" applyFill="1" applyBorder="1"/>
    <xf numFmtId="41" fontId="2" fillId="0" borderId="0" xfId="40" applyNumberFormat="1" applyFont="1" applyFill="1" applyBorder="1"/>
    <xf numFmtId="41" fontId="2" fillId="0" borderId="0" xfId="40" applyNumberFormat="1" applyFont="1" applyFill="1" applyBorder="1" applyAlignment="1"/>
    <xf numFmtId="41" fontId="2" fillId="11" borderId="0" xfId="92" applyNumberFormat="1" applyFont="1" applyFill="1" applyBorder="1"/>
    <xf numFmtId="0" fontId="2" fillId="7" borderId="0" xfId="92" applyFont="1" applyFill="1" applyAlignment="1"/>
    <xf numFmtId="42" fontId="3" fillId="7" borderId="0" xfId="92" applyNumberFormat="1" applyFont="1" applyFill="1" applyBorder="1"/>
    <xf numFmtId="42" fontId="3" fillId="5" borderId="0" xfId="111" applyNumberFormat="1" applyFont="1" applyFill="1" applyBorder="1"/>
    <xf numFmtId="42" fontId="6" fillId="5" borderId="0" xfId="92" applyNumberFormat="1" applyFont="1" applyFill="1" applyBorder="1" applyAlignment="1"/>
    <xf numFmtId="0" fontId="2" fillId="5" borderId="0" xfId="92" applyFont="1" applyFill="1"/>
    <xf numFmtId="167" fontId="3" fillId="5" borderId="0" xfId="37" applyNumberFormat="1" applyFont="1" applyFill="1" applyBorder="1" applyAlignment="1"/>
    <xf numFmtId="167" fontId="2" fillId="5" borderId="0" xfId="37" applyNumberFormat="1" applyFont="1" applyFill="1" applyBorder="1" applyAlignment="1"/>
    <xf numFmtId="199" fontId="4" fillId="5" borderId="0" xfId="106" applyNumberFormat="1" applyFont="1" applyFill="1" applyBorder="1"/>
    <xf numFmtId="200" fontId="4" fillId="5" borderId="0" xfId="106" applyNumberFormat="1" applyFont="1" applyFill="1" applyBorder="1"/>
    <xf numFmtId="167" fontId="4" fillId="5" borderId="0" xfId="37" applyNumberFormat="1" applyFont="1" applyFill="1" applyBorder="1"/>
    <xf numFmtId="167" fontId="30" fillId="5" borderId="0" xfId="37" applyNumberFormat="1" applyFont="1" applyFill="1" applyBorder="1"/>
    <xf numFmtId="167" fontId="54" fillId="5" borderId="0" xfId="37" applyNumberFormat="1" applyFont="1" applyFill="1" applyBorder="1"/>
    <xf numFmtId="0" fontId="17" fillId="0" borderId="0" xfId="0" applyFont="1" applyAlignment="1">
      <alignment horizontal="left" wrapText="1" readingOrder="1"/>
    </xf>
    <xf numFmtId="0" fontId="0" fillId="0" borderId="0" xfId="0" applyAlignment="1"/>
    <xf numFmtId="0" fontId="3" fillId="5" borderId="0" xfId="0" applyFont="1" applyFill="1" applyAlignment="1">
      <alignment horizontal="center"/>
    </xf>
    <xf numFmtId="0" fontId="21" fillId="0" borderId="0" xfId="0" applyFont="1" applyAlignment="1">
      <alignment horizontal="center"/>
    </xf>
    <xf numFmtId="0" fontId="2" fillId="7" borderId="0" xfId="0" applyFont="1" applyFill="1" applyBorder="1" applyAlignment="1">
      <alignment horizontal="left" wrapText="1"/>
    </xf>
    <xf numFmtId="0" fontId="21" fillId="0" borderId="0" xfId="0" applyFont="1" applyAlignment="1"/>
    <xf numFmtId="0" fontId="3" fillId="5" borderId="0" xfId="92" applyFont="1" applyFill="1" applyAlignment="1">
      <alignment horizontal="center"/>
    </xf>
    <xf numFmtId="0" fontId="3" fillId="0" borderId="9" xfId="92" applyFont="1" applyBorder="1" applyAlignment="1">
      <alignment horizontal="center"/>
    </xf>
    <xf numFmtId="0" fontId="0" fillId="0" borderId="0" xfId="0" applyAlignment="1">
      <alignment horizontal="center"/>
    </xf>
    <xf numFmtId="0" fontId="0" fillId="0" borderId="9" xfId="0" applyBorder="1" applyAlignment="1">
      <alignment horizontal="center"/>
    </xf>
    <xf numFmtId="0" fontId="3" fillId="5" borderId="9" xfId="0" applyFont="1" applyFill="1" applyBorder="1" applyAlignment="1">
      <alignment horizontal="center"/>
    </xf>
    <xf numFmtId="0" fontId="0" fillId="5" borderId="0" xfId="0" applyFill="1" applyAlignment="1"/>
    <xf numFmtId="0" fontId="0" fillId="5" borderId="9" xfId="0" applyFill="1" applyBorder="1" applyAlignment="1"/>
    <xf numFmtId="0" fontId="0" fillId="0" borderId="9" xfId="0" applyBorder="1" applyAlignment="1"/>
    <xf numFmtId="0" fontId="3" fillId="5" borderId="9" xfId="92" applyFont="1" applyFill="1" applyBorder="1" applyAlignment="1">
      <alignment horizontal="center"/>
    </xf>
    <xf numFmtId="0" fontId="21" fillId="0" borderId="9" xfId="0" applyFont="1" applyBorder="1" applyAlignment="1"/>
  </cellXfs>
  <cellStyles count="374">
    <cellStyle name="$" xfId="1"/>
    <cellStyle name="$ 2" xfId="201"/>
    <cellStyle name="$_5B" xfId="2"/>
    <cellStyle name="$_5B (2)" xfId="3"/>
    <cellStyle name="$_6A" xfId="4"/>
    <cellStyle name="$_6B" xfId="5"/>
    <cellStyle name="$_FY12 Q2 Press Tables" xfId="6"/>
    <cellStyle name="$_Index" xfId="7"/>
    <cellStyle name="%" xfId="8"/>
    <cellStyle name="_%(SignOnly)" xfId="9"/>
    <cellStyle name="_%(SignOnly) 2" xfId="202"/>
    <cellStyle name="_%(SignSpaceOnly)" xfId="10"/>
    <cellStyle name="_%(SignSpaceOnly) 2" xfId="203"/>
    <cellStyle name="_Comma" xfId="11"/>
    <cellStyle name="_Comma 2" xfId="204"/>
    <cellStyle name="_Currency" xfId="12"/>
    <cellStyle name="_Currency 2" xfId="205"/>
    <cellStyle name="_CurrencySpace" xfId="13"/>
    <cellStyle name="_CurrencySpace 2" xfId="206"/>
    <cellStyle name="_Euro" xfId="14"/>
    <cellStyle name="_Euro 2" xfId="207"/>
    <cellStyle name="_Heading" xfId="15"/>
    <cellStyle name="_Highlight" xfId="16"/>
    <cellStyle name="_Highlight 2" xfId="208"/>
    <cellStyle name="_Multiple" xfId="17"/>
    <cellStyle name="_Multiple 2" xfId="209"/>
    <cellStyle name="_MultipleSpace" xfId="18"/>
    <cellStyle name="_MultipleSpace 2" xfId="210"/>
    <cellStyle name="_Percent" xfId="19"/>
    <cellStyle name="_Percent 2" xfId="211"/>
    <cellStyle name="_PercentSpace" xfId="20"/>
    <cellStyle name="_PercentSpace 2" xfId="212"/>
    <cellStyle name="_SubHeading" xfId="21"/>
    <cellStyle name="_Table" xfId="22"/>
    <cellStyle name="_TableHead" xfId="23"/>
    <cellStyle name="_TableRowHead" xfId="24"/>
    <cellStyle name="_TableSuperHead" xfId="25"/>
    <cellStyle name="20% - Accent1 2" xfId="213"/>
    <cellStyle name="20% - Accent1 3" xfId="294"/>
    <cellStyle name="20% - Accent1 4" xfId="150"/>
    <cellStyle name="20% - Accent2 2" xfId="214"/>
    <cellStyle name="20% - Accent2 3" xfId="295"/>
    <cellStyle name="20% - Accent2 4" xfId="151"/>
    <cellStyle name="20% - Accent3 2" xfId="215"/>
    <cellStyle name="20% - Accent3 3" xfId="296"/>
    <cellStyle name="20% - Accent3 4" xfId="152"/>
    <cellStyle name="20% - Accent4 2" xfId="216"/>
    <cellStyle name="20% - Accent4 3" xfId="297"/>
    <cellStyle name="20% - Accent4 4" xfId="153"/>
    <cellStyle name="20% - Accent5 2" xfId="217"/>
    <cellStyle name="20% - Accent5 3" xfId="298"/>
    <cellStyle name="20% - Accent5 4" xfId="154"/>
    <cellStyle name="20% - Accent6 2" xfId="218"/>
    <cellStyle name="20% - Accent6 3" xfId="299"/>
    <cellStyle name="20% - Accent6 4" xfId="155"/>
    <cellStyle name="40% - Accent1 2" xfId="219"/>
    <cellStyle name="40% - Accent1 3" xfId="300"/>
    <cellStyle name="40% - Accent1 4" xfId="156"/>
    <cellStyle name="40% - Accent2 2" xfId="220"/>
    <cellStyle name="40% - Accent2 3" xfId="301"/>
    <cellStyle name="40% - Accent2 4" xfId="157"/>
    <cellStyle name="40% - Accent3 2" xfId="221"/>
    <cellStyle name="40% - Accent3 3" xfId="302"/>
    <cellStyle name="40% - Accent3 4" xfId="158"/>
    <cellStyle name="40% - Accent4 2" xfId="222"/>
    <cellStyle name="40% - Accent4 3" xfId="303"/>
    <cellStyle name="40% - Accent4 4" xfId="159"/>
    <cellStyle name="40% - Accent5 2" xfId="223"/>
    <cellStyle name="40% - Accent5 3" xfId="304"/>
    <cellStyle name="40% - Accent5 4" xfId="160"/>
    <cellStyle name="40% - Accent6 2" xfId="224"/>
    <cellStyle name="40% - Accent6 3" xfId="305"/>
    <cellStyle name="40% - Accent6 4" xfId="161"/>
    <cellStyle name="60% - Accent1 2" xfId="306"/>
    <cellStyle name="60% - Accent1 3" xfId="162"/>
    <cellStyle name="60% - Accent2 2" xfId="307"/>
    <cellStyle name="60% - Accent2 3" xfId="163"/>
    <cellStyle name="60% - Accent3 2" xfId="308"/>
    <cellStyle name="60% - Accent3 3" xfId="164"/>
    <cellStyle name="60% - Accent4 2" xfId="309"/>
    <cellStyle name="60% - Accent4 3" xfId="165"/>
    <cellStyle name="60% - Accent5 2" xfId="310"/>
    <cellStyle name="60% - Accent5 3" xfId="166"/>
    <cellStyle name="60% - Accent6 2" xfId="311"/>
    <cellStyle name="60% - Accent6 3" xfId="167"/>
    <cellStyle name="Accent1 2" xfId="312"/>
    <cellStyle name="Accent1 3" xfId="168"/>
    <cellStyle name="Accent2 2" xfId="313"/>
    <cellStyle name="Accent2 3" xfId="169"/>
    <cellStyle name="Accent3 2" xfId="314"/>
    <cellStyle name="Accent3 3" xfId="170"/>
    <cellStyle name="Accent4 2" xfId="315"/>
    <cellStyle name="Accent4 3" xfId="171"/>
    <cellStyle name="Accent5 2" xfId="316"/>
    <cellStyle name="Accent5 3" xfId="172"/>
    <cellStyle name="Accent6 2" xfId="317"/>
    <cellStyle name="Accent6 3" xfId="173"/>
    <cellStyle name="Bad 2" xfId="318"/>
    <cellStyle name="Bad 3" xfId="174"/>
    <cellStyle name="Balance Sheet" xfId="26"/>
    <cellStyle name="BalanceSheet" xfId="27"/>
    <cellStyle name="Calc Currency (0)" xfId="28"/>
    <cellStyle name="Calc Currency (0) 2" xfId="225"/>
    <cellStyle name="Calc Currency (2)" xfId="29"/>
    <cellStyle name="Calc Percent (0)" xfId="30"/>
    <cellStyle name="Calc Percent (1)" xfId="31"/>
    <cellStyle name="Calc Percent (2)" xfId="32"/>
    <cellStyle name="Calc Units (0)" xfId="33"/>
    <cellStyle name="Calc Units (1)" xfId="34"/>
    <cellStyle name="Calc Units (2)" xfId="35"/>
    <cellStyle name="Calculation 2" xfId="319"/>
    <cellStyle name="Calculation 3" xfId="177"/>
    <cellStyle name="CashFlow" xfId="36"/>
    <cellStyle name="Check Cell 2" xfId="320"/>
    <cellStyle name="Check Cell 3" xfId="178"/>
    <cellStyle name="Comma" xfId="37" builtinId="3"/>
    <cellStyle name="Comma  - Style1" xfId="38"/>
    <cellStyle name="Comma [00]" xfId="39"/>
    <cellStyle name="Comma 10" xfId="283"/>
    <cellStyle name="Comma 11" xfId="287"/>
    <cellStyle name="Comma 12" xfId="321"/>
    <cellStyle name="Comma 13" xfId="332"/>
    <cellStyle name="Comma 14" xfId="290"/>
    <cellStyle name="Comma 15" xfId="356"/>
    <cellStyle name="Comma 16" xfId="179"/>
    <cellStyle name="Comma 17" xfId="185"/>
    <cellStyle name="Comma 18" xfId="361"/>
    <cellStyle name="Comma 19" xfId="366"/>
    <cellStyle name="Comma 2" xfId="40"/>
    <cellStyle name="Comma 2 2" xfId="41"/>
    <cellStyle name="Comma 2 2 2" xfId="227"/>
    <cellStyle name="Comma 2 3" xfId="226"/>
    <cellStyle name="Comma 20" xfId="367"/>
    <cellStyle name="Comma 3" xfId="254"/>
    <cellStyle name="Comma 4" xfId="263"/>
    <cellStyle name="Comma 5" xfId="250"/>
    <cellStyle name="Comma 6" xfId="264"/>
    <cellStyle name="Comma 7" xfId="249"/>
    <cellStyle name="Comma 8" xfId="265"/>
    <cellStyle name="Comma 9" xfId="279"/>
    <cellStyle name="Copied" xfId="42"/>
    <cellStyle name="Curren - Style3" xfId="43"/>
    <cellStyle name="Curren - Style4" xfId="44"/>
    <cellStyle name="Currency" xfId="45" builtinId="4"/>
    <cellStyle name="Currency [00]" xfId="46"/>
    <cellStyle name="Currency 10" xfId="280"/>
    <cellStyle name="Currency 11" xfId="281"/>
    <cellStyle name="Currency 12" xfId="288"/>
    <cellStyle name="Currency 13" xfId="322"/>
    <cellStyle name="Currency 14" xfId="331"/>
    <cellStyle name="Currency 15" xfId="348"/>
    <cellStyle name="Currency 16" xfId="357"/>
    <cellStyle name="Currency 17" xfId="180"/>
    <cellStyle name="Currency 18" xfId="182"/>
    <cellStyle name="Currency 19" xfId="359"/>
    <cellStyle name="Currency 2" xfId="47"/>
    <cellStyle name="Currency 2 2" xfId="228"/>
    <cellStyle name="Currency 20" xfId="149"/>
    <cellStyle name="Currency 21" xfId="368"/>
    <cellStyle name="Currency 3" xfId="48"/>
    <cellStyle name="Currency 4" xfId="257"/>
    <cellStyle name="Currency 5" xfId="259"/>
    <cellStyle name="Currency 6" xfId="255"/>
    <cellStyle name="Currency 7" xfId="267"/>
    <cellStyle name="Currency 8" xfId="256"/>
    <cellStyle name="Currency 9" xfId="258"/>
    <cellStyle name="Date Short" xfId="49"/>
    <cellStyle name="Dates" xfId="50"/>
    <cellStyle name="DateYear" xfId="51"/>
    <cellStyle name="Dezimal_Tabelle1" xfId="52"/>
    <cellStyle name="Dollar" xfId="53"/>
    <cellStyle name="Dollars" xfId="54"/>
    <cellStyle name="EA.com Performance Report" xfId="55"/>
    <cellStyle name="EA.com Performance Report 2" xfId="229"/>
    <cellStyle name="Enter Currency (0)" xfId="56"/>
    <cellStyle name="Enter Currency (2)" xfId="57"/>
    <cellStyle name="Enter Units (0)" xfId="58"/>
    <cellStyle name="Enter Units (1)" xfId="59"/>
    <cellStyle name="Enter Units (2)" xfId="60"/>
    <cellStyle name="Entered" xfId="61"/>
    <cellStyle name="EPS" xfId="62"/>
    <cellStyle name="EPSActual" xfId="63"/>
    <cellStyle name="EPSActual 2" xfId="230"/>
    <cellStyle name="EPSEstimate" xfId="64"/>
    <cellStyle name="EPSEstimate 2" xfId="231"/>
    <cellStyle name="Euro" xfId="65"/>
    <cellStyle name="Euro 2" xfId="66"/>
    <cellStyle name="Explanatory Text 2" xfId="323"/>
    <cellStyle name="Explanatory Text 3" xfId="183"/>
    <cellStyle name="General" xfId="67"/>
    <cellStyle name="Good 2" xfId="324"/>
    <cellStyle name="Good 3" xfId="184"/>
    <cellStyle name="Grey" xfId="68"/>
    <cellStyle name="GrowthRate" xfId="69"/>
    <cellStyle name="GrowthSeq" xfId="70"/>
    <cellStyle name="Header1" xfId="71"/>
    <cellStyle name="Header2" xfId="72"/>
    <cellStyle name="Heading" xfId="73"/>
    <cellStyle name="Heading 1 2" xfId="325"/>
    <cellStyle name="Heading 1 3" xfId="186"/>
    <cellStyle name="Heading 2 2" xfId="326"/>
    <cellStyle name="Heading 2 3" xfId="187"/>
    <cellStyle name="Heading 3 2" xfId="327"/>
    <cellStyle name="Heading 3 3" xfId="188"/>
    <cellStyle name="Heading 4 2" xfId="328"/>
    <cellStyle name="Heading 4 3" xfId="189"/>
    <cellStyle name="Hyperlink 2" xfId="74"/>
    <cellStyle name="IncomeStatement" xfId="75"/>
    <cellStyle name="Input [yellow]" xfId="76"/>
    <cellStyle name="Input 2" xfId="334"/>
    <cellStyle name="Input 3" xfId="190"/>
    <cellStyle name="Input 4" xfId="175"/>
    <cellStyle name="Input 5" xfId="363"/>
    <cellStyle name="Input 6" xfId="365"/>
    <cellStyle name="kirmish" xfId="77"/>
    <cellStyle name="Link Currency (0)" xfId="78"/>
    <cellStyle name="Link Currency (2)" xfId="79"/>
    <cellStyle name="Link Units (0)" xfId="80"/>
    <cellStyle name="Link Units (1)" xfId="81"/>
    <cellStyle name="Link Units (2)" xfId="82"/>
    <cellStyle name="Linked Cell 2" xfId="335"/>
    <cellStyle name="Linked Cell 3" xfId="191"/>
    <cellStyle name="Margin" xfId="83"/>
    <cellStyle name="Margins" xfId="84"/>
    <cellStyle name="Milliers [0]_AR1194" xfId="85"/>
    <cellStyle name="Milliers_AR1194" xfId="86"/>
    <cellStyle name="Monétaire [0]_AR1194" xfId="87"/>
    <cellStyle name="Monétaire_AR1194" xfId="88"/>
    <cellStyle name="Multiple" xfId="89"/>
    <cellStyle name="Neutral 2" xfId="340"/>
    <cellStyle name="Neutral 3" xfId="192"/>
    <cellStyle name="Normal" xfId="0" builtinId="0"/>
    <cellStyle name="Normal - Style1" xfId="90"/>
    <cellStyle name="Normal - Style5" xfId="91"/>
    <cellStyle name="Normal 10" xfId="266"/>
    <cellStyle name="Normal 10 2" xfId="349"/>
    <cellStyle name="Normal 11" xfId="268"/>
    <cellStyle name="Normal 11 2" xfId="350"/>
    <cellStyle name="Normal 12" xfId="269"/>
    <cellStyle name="Normal 12 2" xfId="351"/>
    <cellStyle name="Normal 13" xfId="270"/>
    <cellStyle name="Normal 13 2" xfId="352"/>
    <cellStyle name="Normal 14" xfId="271"/>
    <cellStyle name="Normal 14 2" xfId="353"/>
    <cellStyle name="Normal 15" xfId="272"/>
    <cellStyle name="Normal 16" xfId="273"/>
    <cellStyle name="Normal 17" xfId="274"/>
    <cellStyle name="Normal 18" xfId="275"/>
    <cellStyle name="Normal 19" xfId="276"/>
    <cellStyle name="Normal 2" xfId="92"/>
    <cellStyle name="Normal 20" xfId="277"/>
    <cellStyle name="Normal 20 2" xfId="354"/>
    <cellStyle name="Normal 21" xfId="284"/>
    <cellStyle name="Normal 21 2" xfId="355"/>
    <cellStyle name="Normal 22" xfId="285"/>
    <cellStyle name="Normal 23" xfId="329"/>
    <cellStyle name="Normal 24" xfId="333"/>
    <cellStyle name="Normal 25" xfId="336"/>
    <cellStyle name="Normal 26" xfId="337"/>
    <cellStyle name="Normal 27" xfId="338"/>
    <cellStyle name="Normal 28" xfId="293"/>
    <cellStyle name="Normal 29" xfId="339"/>
    <cellStyle name="Normal 3" xfId="200"/>
    <cellStyle name="Normal 30" xfId="292"/>
    <cellStyle name="Normal 31" xfId="330"/>
    <cellStyle name="Normal 32" xfId="148"/>
    <cellStyle name="Normal 32 2" xfId="370"/>
    <cellStyle name="Normal 33" xfId="199"/>
    <cellStyle name="Normal 33 2" xfId="372"/>
    <cellStyle name="Normal 34" xfId="362"/>
    <cellStyle name="Normal 34 2" xfId="373"/>
    <cellStyle name="Normal 35" xfId="181"/>
    <cellStyle name="Normal 35 2" xfId="371"/>
    <cellStyle name="Normal 4" xfId="243"/>
    <cellStyle name="Normal 5" xfId="244"/>
    <cellStyle name="Normal 6" xfId="245"/>
    <cellStyle name="Normal 7" xfId="246"/>
    <cellStyle name="Normal 8" xfId="247"/>
    <cellStyle name="Normal 9" xfId="248"/>
    <cellStyle name="Normal 9 2" xfId="347"/>
    <cellStyle name="Normal_Balance Sheet - 12 quarters" xfId="93"/>
    <cellStyle name="Normal_QTD net rev - 12 quarters" xfId="94"/>
    <cellStyle name="Normal_QTD net rev - 12 quarters (2)" xfId="95"/>
    <cellStyle name="Normal_QTD P&amp;L - 12 quarters" xfId="96"/>
    <cellStyle name="Normal_QTD Recon Q2FY12" xfId="97"/>
    <cellStyle name="Normal_TTM Recon Q2FY12" xfId="98"/>
    <cellStyle name="Normal_TTM Recon Q2FY12_Q3 FY12_Downloadable model" xfId="99"/>
    <cellStyle name="Note 2" xfId="232"/>
    <cellStyle name="Note 3" xfId="341"/>
    <cellStyle name="Note 4" xfId="193"/>
    <cellStyle name="Original L2" xfId="100"/>
    <cellStyle name="Output 2" xfId="342"/>
    <cellStyle name="Output 3" xfId="194"/>
    <cellStyle name="Output Amounts" xfId="101"/>
    <cellStyle name="Output Column Headings" xfId="102"/>
    <cellStyle name="Output Line Items" xfId="103"/>
    <cellStyle name="Output Report Heading" xfId="104"/>
    <cellStyle name="Output Report Title" xfId="105"/>
    <cellStyle name="Percent" xfId="106" builtinId="5"/>
    <cellStyle name="Percent [0]" xfId="107"/>
    <cellStyle name="Percent [00]" xfId="108"/>
    <cellStyle name="Percent [00] 2" xfId="233"/>
    <cellStyle name="Percent [2]" xfId="109"/>
    <cellStyle name="Percent [2] 2" xfId="234"/>
    <cellStyle name="Percent 10" xfId="253"/>
    <cellStyle name="Percent 11" xfId="282"/>
    <cellStyle name="Percent 12" xfId="278"/>
    <cellStyle name="Percent 13" xfId="291"/>
    <cellStyle name="Percent 14" xfId="343"/>
    <cellStyle name="Percent 15" xfId="289"/>
    <cellStyle name="Percent 16" xfId="286"/>
    <cellStyle name="Percent 17" xfId="358"/>
    <cellStyle name="Percent 18" xfId="195"/>
    <cellStyle name="Percent 19" xfId="360"/>
    <cellStyle name="Percent 2" xfId="110"/>
    <cellStyle name="Percent 2 2" xfId="235"/>
    <cellStyle name="Percent 20" xfId="176"/>
    <cellStyle name="Percent 21" xfId="364"/>
    <cellStyle name="Percent 22" xfId="369"/>
    <cellStyle name="Percent 3" xfId="111"/>
    <cellStyle name="Percent 4" xfId="112"/>
    <cellStyle name="Percent 5" xfId="262"/>
    <cellStyle name="Percent 6" xfId="251"/>
    <cellStyle name="Percent 7" xfId="261"/>
    <cellStyle name="Percent 8" xfId="252"/>
    <cellStyle name="Percent 9" xfId="260"/>
    <cellStyle name="PERCENTAGE" xfId="113"/>
    <cellStyle name="PerShare" xfId="114"/>
    <cellStyle name="PillarData" xfId="115"/>
    <cellStyle name="PillarData 2" xfId="236"/>
    <cellStyle name="PillarHeading" xfId="116"/>
    <cellStyle name="PillarHeading 2" xfId="237"/>
    <cellStyle name="PillarText" xfId="117"/>
    <cellStyle name="PillarText 2" xfId="238"/>
    <cellStyle name="PillarTotal" xfId="118"/>
    <cellStyle name="PillarTotal 2" xfId="239"/>
    <cellStyle name="PrePop Currency (0)" xfId="119"/>
    <cellStyle name="PrePop Currency (2)" xfId="120"/>
    <cellStyle name="PrePop Units (0)" xfId="121"/>
    <cellStyle name="PrePop Units (1)" xfId="122"/>
    <cellStyle name="PrePop Units (2)" xfId="123"/>
    <cellStyle name="Presentation" xfId="124"/>
    <cellStyle name="Report" xfId="125"/>
    <cellStyle name="RevList" xfId="126"/>
    <cellStyle name="Shares" xfId="127"/>
    <cellStyle name="Standard_ROYALTY" xfId="128"/>
    <cellStyle name="Style 1" xfId="129"/>
    <cellStyle name="Style 1 2" xfId="240"/>
    <cellStyle name="Subtotal" xfId="130"/>
    <cellStyle name="Text Indent A" xfId="131"/>
    <cellStyle name="Text Indent B" xfId="132"/>
    <cellStyle name="Text Indent C" xfId="133"/>
    <cellStyle name="Text Indent C 2" xfId="241"/>
    <cellStyle name="Title 2" xfId="344"/>
    <cellStyle name="Title 3" xfId="196"/>
    <cellStyle name="TitleSub" xfId="134"/>
    <cellStyle name="Total 2" xfId="345"/>
    <cellStyle name="Total 3" xfId="197"/>
    <cellStyle name="v" xfId="135"/>
    <cellStyle name="Warning Text 2" xfId="346"/>
    <cellStyle name="Warning Text 3" xfId="198"/>
    <cellStyle name="x" xfId="136"/>
    <cellStyle name="x 2" xfId="242"/>
    <cellStyle name="x_5B" xfId="137"/>
    <cellStyle name="x_5B (2)" xfId="138"/>
    <cellStyle name="x_6A" xfId="139"/>
    <cellStyle name="x_6B" xfId="140"/>
    <cellStyle name="x_FY12 Q2 Press Tables" xfId="141"/>
    <cellStyle name="x_Index" xfId="142"/>
    <cellStyle name="パーセント_PLDT" xfId="143"/>
    <cellStyle name="桁区切り [0.00]_ME Inventory Template - Dec" xfId="144"/>
    <cellStyle name="桁区切り_IT Forecast MayD7xls" xfId="145"/>
    <cellStyle name="標準_IT Forecast MayD7xls" xfId="146"/>
    <cellStyle name="通貨 [0.00]_PLDT" xfId="147"/>
  </cellStyles>
  <dxfs count="2">
    <dxf>
      <font>
        <condense val="0"/>
        <extend val="0"/>
        <color indexed="43"/>
      </font>
      <fill>
        <patternFill>
          <bgColor indexed="10"/>
        </patternFill>
      </fill>
    </dxf>
    <dxf>
      <font>
        <condense val="0"/>
        <extend val="0"/>
        <color indexed="43"/>
      </font>
      <fill>
        <patternFill>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266700</xdr:colOff>
      <xdr:row>0</xdr:row>
      <xdr:rowOff>95250</xdr:rowOff>
    </xdr:from>
    <xdr:to>
      <xdr:col>17</xdr:col>
      <xdr:colOff>209550</xdr:colOff>
      <xdr:row>3</xdr:row>
      <xdr:rowOff>161925</xdr:rowOff>
    </xdr:to>
    <xdr:pic>
      <xdr:nvPicPr>
        <xdr:cNvPr id="1025" name="Picture 3"/>
        <xdr:cNvPicPr>
          <a:picLocks noChangeAspect="1" noChangeArrowheads="1"/>
        </xdr:cNvPicPr>
      </xdr:nvPicPr>
      <xdr:blipFill>
        <a:blip xmlns:r="http://schemas.openxmlformats.org/officeDocument/2006/relationships" r:embed="rId1"/>
        <a:srcRect/>
        <a:stretch>
          <a:fillRect/>
        </a:stretch>
      </xdr:blipFill>
      <xdr:spPr bwMode="auto">
        <a:xfrm>
          <a:off x="9410700" y="95250"/>
          <a:ext cx="1162050" cy="10668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ld%20Research%20Files/Erts/ERTSmod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jmtaylor/Local%20Settings/Temporary%20Internet%20Files/OLK89/From%20Regions/AP%207-12-2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ahq-emc\fpa\Estimate,%20Plan%20&amp;%20Actuals\Estimates\2006\October%20Estimate\October%20D7%20Estimate%20Packag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ahq-emc\FPA\Estimate,%20Plan%20&amp;%20Actuals\Plan\2005\Target%20Setting\Plan%20target%20model%2013jan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Cover"/>
      <sheetName val="ERTS mod"/>
      <sheetName val="Rev Model FY2005"/>
      <sheetName val="Guidance"/>
      <sheetName val="Charts and tables"/>
      <sheetName val="SeqHistory"/>
      <sheetName val="QtrComp"/>
      <sheetName val="QCompOUT"/>
      <sheetName val="IncStmtOUT"/>
      <sheetName val="BlncShtOUT"/>
      <sheetName val="CFStmtOUT"/>
      <sheetName val="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
      <sheetName val="HK"/>
      <sheetName val="TH"/>
      <sheetName val="KR"/>
      <sheetName val="SG"/>
      <sheetName val="CH"/>
      <sheetName val="TW"/>
      <sheetName val="AU"/>
      <sheetName val="NZ"/>
      <sheetName val="ZA"/>
      <sheetName val="FX Rate"/>
    </sheetNames>
    <sheetDataSet>
      <sheetData sheetId="0" refreshError="1"/>
      <sheetData sheetId="1"/>
      <sheetData sheetId="2"/>
      <sheetData sheetId="3"/>
      <sheetData sheetId="4"/>
      <sheetData sheetId="5"/>
      <sheetData sheetId="6"/>
      <sheetData sheetId="7"/>
      <sheetData sheetId="8"/>
      <sheetData sheetId="9"/>
      <sheetData sheetId="10" refreshError="1">
        <row r="1">
          <cell r="B1">
            <v>0.12772533899999999</v>
          </cell>
        </row>
        <row r="2">
          <cell r="B2">
            <v>2.5175980000000001E-2</v>
          </cell>
        </row>
        <row r="3">
          <cell r="B3">
            <v>9.5211099999999995E-4</v>
          </cell>
        </row>
        <row r="4">
          <cell r="B4">
            <v>0.60208320800000004</v>
          </cell>
        </row>
        <row r="5">
          <cell r="B5">
            <v>0.120332599</v>
          </cell>
        </row>
        <row r="6">
          <cell r="B6">
            <v>3.2017622000000003E-2</v>
          </cell>
        </row>
        <row r="7">
          <cell r="B7">
            <v>0.72650000000000003</v>
          </cell>
        </row>
        <row r="8">
          <cell r="B8">
            <v>0.67120000000000002</v>
          </cell>
        </row>
        <row r="9">
          <cell r="B9">
            <v>0.147368731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sheetName val="Shares"/>
      <sheetName val="Super"/>
      <sheetName val="FY banner"/>
      <sheetName val="WW FY"/>
      <sheetName val="Metrics PL"/>
      <sheetName val="Q banner"/>
      <sheetName val="Summary"/>
      <sheetName val="Months"/>
      <sheetName val="WW Q3"/>
      <sheetName val="WW_BO"/>
      <sheetName val="WW_Ess"/>
      <sheetName val="Rollup"/>
      <sheetName val="NAPD Q3"/>
      <sheetName val="Europe Q3"/>
      <sheetName val="Asia Q3"/>
      <sheetName val="FX rates"/>
      <sheetName val="Online Q3"/>
      <sheetName val="WW Studios Q3"/>
      <sheetName val="WWS Dev Royalty_Ess"/>
      <sheetName val="EA_EX_Ess"/>
      <sheetName val="EAP Q4"/>
      <sheetName val="Renderware Q3"/>
      <sheetName val="EAHQ Q3"/>
      <sheetName val="EAHQ data"/>
      <sheetName val="SKU banner"/>
      <sheetName val="WWS SKU Plan"/>
      <sheetName val="Heat Map"/>
      <sheetName val="BSCF banner"/>
      <sheetName val="CapEx"/>
      <sheetName val="HC banner"/>
      <sheetName val="Headcount "/>
      <sheetName val="EUR FY06 Plan Adj. M&amp;S-R&amp;D"/>
      <sheetName val="HC data"/>
      <sheetName val="NA_BO"/>
      <sheetName val="NA_Ess"/>
      <sheetName val="EU_BO"/>
      <sheetName val="EU_Ess"/>
      <sheetName val="Asia_BO"/>
      <sheetName val="JP_Ess"/>
      <sheetName val="AP_Ess"/>
      <sheetName val="OL_BO"/>
      <sheetName val="OL_Ess"/>
      <sheetName val="EAP_BO"/>
      <sheetName val="EAP_Ess"/>
      <sheetName val="RW_BO"/>
      <sheetName val="RW_Ess"/>
    </sheetNames>
    <sheetDataSet>
      <sheetData sheetId="0" refreshError="1">
        <row r="1">
          <cell r="B1">
            <v>1000000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enue Breakdown"/>
      <sheetName val="Adj JR targets"/>
      <sheetName val="Scenarios"/>
      <sheetName val="Adj WW targets"/>
      <sheetName val="WW Rollup"/>
      <sheetName val="NAPD Rollup"/>
      <sheetName val="NAPD Mktg"/>
      <sheetName val="NAPD Sales"/>
      <sheetName val="NAPD Ops"/>
      <sheetName val="NAPD Admin"/>
      <sheetName val="NAPD RD"/>
      <sheetName val="Europe Rollup"/>
      <sheetName val="Europe Mktg"/>
      <sheetName val="Europe Sales"/>
      <sheetName val="Europe Ops"/>
      <sheetName val="Europe Admin"/>
      <sheetName val="Europe RD"/>
      <sheetName val="AP Rollup"/>
      <sheetName val="AP Mktg"/>
      <sheetName val="AP Sales"/>
      <sheetName val="AP Ops"/>
      <sheetName val="AP Admin"/>
      <sheetName val="AP RD"/>
      <sheetName val="Japan Rollup"/>
      <sheetName val="Japan Mktg"/>
      <sheetName val="Japan Sales"/>
      <sheetName val="Japan Ops"/>
      <sheetName val="Japan Admin"/>
      <sheetName val="Japan RD"/>
      <sheetName val="Rent"/>
      <sheetName val="Online"/>
      <sheetName val="EAP"/>
      <sheetName val="Dev Allocation"/>
      <sheetName val="Corp reg"/>
      <sheetName val="Temp"/>
      <sheetName val="WW Studios"/>
      <sheetName val="JRHQ Rollup"/>
      <sheetName val="JRHQ PR"/>
      <sheetName val="JRHQ PM"/>
      <sheetName val="JRHQ COO"/>
      <sheetName val="JRHQ BizDev"/>
      <sheetName val="Finance"/>
      <sheetName val="IT"/>
      <sheetName val="HR"/>
      <sheetName val="Legal"/>
      <sheetName val="CEO"/>
      <sheetName val="Fac alloc"/>
      <sheetName val="Corp adj"/>
      <sheetName val="WW TTM"/>
      <sheetName val="Pre-adj targets"/>
      <sheetName val="WW detail"/>
      <sheetName val="NA detail"/>
      <sheetName val="Euro detail"/>
      <sheetName val="AP detail"/>
      <sheetName val="Japan detail"/>
      <sheetName val="Online detail"/>
      <sheetName val="Corp detail"/>
      <sheetName val="IT detail"/>
      <sheetName val="Finance detail"/>
      <sheetName val="HR detail"/>
      <sheetName val="JRHQ detail"/>
      <sheetName val="PR detail"/>
      <sheetName val="ML detail"/>
      <sheetName val="COO detail"/>
      <sheetName val="BizDev detail"/>
      <sheetName val="Legal detail"/>
      <sheetName val="CEO detail"/>
      <sheetName val="Studio admin detail"/>
      <sheetName val="Studio var detail"/>
      <sheetName val="EAP detail"/>
      <sheetName val="Other detail"/>
      <sheetName val="Key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R86"/>
  <sheetViews>
    <sheetView showGridLines="0" tabSelected="1" zoomScaleNormal="100" workbookViewId="0">
      <selection activeCell="A4" sqref="A4"/>
    </sheetView>
  </sheetViews>
  <sheetFormatPr defaultRowHeight="15"/>
  <sheetData>
    <row r="3" spans="1:18" ht="48.75">
      <c r="A3" s="96" t="s">
        <v>121</v>
      </c>
    </row>
    <row r="4" spans="1:18" ht="15.75" thickBot="1">
      <c r="A4" s="97"/>
      <c r="B4" s="97"/>
      <c r="C4" s="97"/>
      <c r="D4" s="97"/>
      <c r="E4" s="97"/>
      <c r="F4" s="97"/>
      <c r="G4" s="97"/>
      <c r="H4" s="97"/>
      <c r="I4" s="97"/>
      <c r="J4" s="97"/>
      <c r="K4" s="97"/>
      <c r="L4" s="97"/>
      <c r="M4" s="97"/>
      <c r="N4" s="97"/>
      <c r="O4" s="97"/>
      <c r="P4" s="97"/>
      <c r="Q4" s="97"/>
      <c r="R4" s="97"/>
    </row>
    <row r="6" spans="1:18" ht="106.15" customHeight="1">
      <c r="A6" s="369" t="s">
        <v>186</v>
      </c>
      <c r="B6" s="370"/>
      <c r="C6" s="370"/>
      <c r="D6" s="370"/>
      <c r="E6" s="370"/>
      <c r="F6" s="370"/>
      <c r="G6" s="370"/>
      <c r="H6" s="370"/>
      <c r="I6" s="370"/>
      <c r="J6" s="370"/>
      <c r="K6" s="370"/>
      <c r="L6" s="370"/>
      <c r="M6" s="370"/>
      <c r="N6" s="370"/>
      <c r="O6" s="370"/>
      <c r="P6" s="370"/>
      <c r="Q6" s="370"/>
      <c r="R6" s="370"/>
    </row>
    <row r="7" spans="1:18" ht="22.15" customHeight="1">
      <c r="A7" s="94"/>
      <c r="B7" s="95"/>
      <c r="C7" s="95"/>
      <c r="D7" s="95"/>
      <c r="E7" s="95"/>
      <c r="F7" s="95"/>
      <c r="G7" s="95"/>
      <c r="H7" s="95"/>
      <c r="I7" s="95"/>
      <c r="J7" s="95"/>
      <c r="K7" s="95"/>
      <c r="L7" s="95"/>
      <c r="M7" s="95"/>
      <c r="N7" s="95"/>
      <c r="O7" s="95"/>
    </row>
    <row r="8" spans="1:18">
      <c r="A8" s="93" t="s">
        <v>115</v>
      </c>
    </row>
    <row r="9" spans="1:18">
      <c r="A9" s="93" t="s">
        <v>180</v>
      </c>
    </row>
    <row r="10" spans="1:18">
      <c r="A10" s="93" t="s">
        <v>197</v>
      </c>
    </row>
    <row r="11" spans="1:18">
      <c r="A11" s="93" t="s">
        <v>116</v>
      </c>
    </row>
    <row r="12" spans="1:18">
      <c r="A12" s="93" t="s">
        <v>203</v>
      </c>
    </row>
    <row r="13" spans="1:18">
      <c r="A13" s="93" t="s">
        <v>204</v>
      </c>
    </row>
    <row r="14" spans="1:18">
      <c r="A14" s="93" t="s">
        <v>117</v>
      </c>
    </row>
    <row r="15" spans="1:18">
      <c r="A15" s="93" t="s">
        <v>208</v>
      </c>
    </row>
    <row r="16" spans="1:18">
      <c r="A16" s="93" t="s">
        <v>118</v>
      </c>
    </row>
    <row r="17" spans="1:18">
      <c r="A17" s="93" t="s">
        <v>119</v>
      </c>
    </row>
    <row r="18" spans="1:18" ht="45.6" customHeight="1">
      <c r="A18" s="369" t="s">
        <v>120</v>
      </c>
      <c r="B18" s="370"/>
      <c r="C18" s="370"/>
      <c r="D18" s="370"/>
      <c r="E18" s="370"/>
      <c r="F18" s="370"/>
      <c r="G18" s="370"/>
      <c r="H18" s="370"/>
      <c r="I18" s="370"/>
      <c r="J18" s="370"/>
      <c r="K18" s="370"/>
      <c r="L18" s="370"/>
      <c r="M18" s="370"/>
      <c r="N18" s="370"/>
      <c r="O18" s="370"/>
      <c r="P18" s="370"/>
      <c r="Q18" s="370"/>
      <c r="R18" s="370"/>
    </row>
    <row r="19" spans="1:18" ht="94.15" customHeight="1">
      <c r="A19" s="369" t="s">
        <v>122</v>
      </c>
      <c r="B19" s="370"/>
      <c r="C19" s="370"/>
      <c r="D19" s="370"/>
      <c r="E19" s="370"/>
      <c r="F19" s="370"/>
      <c r="G19" s="370"/>
      <c r="H19" s="370"/>
      <c r="I19" s="370"/>
      <c r="J19" s="370"/>
      <c r="K19" s="370"/>
      <c r="L19" s="370"/>
      <c r="M19" s="370"/>
      <c r="N19" s="370"/>
      <c r="O19" s="370"/>
      <c r="P19" s="370"/>
      <c r="Q19" s="370"/>
      <c r="R19" s="370"/>
    </row>
    <row r="20" spans="1:18" ht="39" customHeight="1">
      <c r="A20" s="369" t="s">
        <v>134</v>
      </c>
      <c r="B20" s="370"/>
      <c r="C20" s="370"/>
      <c r="D20" s="370"/>
      <c r="E20" s="370"/>
      <c r="F20" s="370"/>
      <c r="G20" s="370"/>
      <c r="H20" s="370"/>
      <c r="I20" s="370"/>
      <c r="J20" s="370"/>
      <c r="K20" s="370"/>
      <c r="L20" s="370"/>
      <c r="M20" s="370"/>
      <c r="N20" s="370"/>
      <c r="O20" s="370"/>
      <c r="P20" s="370"/>
      <c r="Q20" s="370"/>
      <c r="R20" s="370"/>
    </row>
    <row r="21" spans="1:18">
      <c r="A21" s="134"/>
      <c r="B21" s="98"/>
      <c r="C21" s="98"/>
      <c r="D21" s="98"/>
      <c r="E21" s="98"/>
      <c r="F21" s="98"/>
      <c r="G21" s="98"/>
      <c r="H21" s="98"/>
      <c r="I21" s="98"/>
      <c r="J21" s="98"/>
      <c r="K21" s="98"/>
      <c r="L21" s="98"/>
      <c r="M21" s="98"/>
      <c r="N21" s="98"/>
      <c r="O21" s="98"/>
    </row>
    <row r="22" spans="1:18">
      <c r="A22" s="369" t="s">
        <v>135</v>
      </c>
      <c r="B22" s="370"/>
      <c r="C22" s="370"/>
      <c r="D22" s="370"/>
      <c r="E22" s="370"/>
      <c r="F22" s="370"/>
      <c r="G22" s="370"/>
      <c r="H22" s="370"/>
      <c r="I22" s="370"/>
      <c r="J22" s="370"/>
      <c r="K22" s="370"/>
      <c r="L22" s="370"/>
      <c r="M22" s="370"/>
      <c r="N22" s="370"/>
      <c r="O22" s="370"/>
      <c r="P22" s="370"/>
      <c r="Q22" s="370"/>
      <c r="R22" s="370"/>
    </row>
    <row r="23" spans="1:18">
      <c r="A23" s="134"/>
      <c r="B23" s="98"/>
    </row>
    <row r="24" spans="1:18" ht="59.45" customHeight="1">
      <c r="A24" s="369" t="s">
        <v>215</v>
      </c>
      <c r="B24" s="370"/>
      <c r="C24" s="370"/>
      <c r="D24" s="370"/>
      <c r="E24" s="370"/>
      <c r="F24" s="370"/>
      <c r="G24" s="370"/>
      <c r="H24" s="370"/>
      <c r="I24" s="370"/>
      <c r="J24" s="370"/>
      <c r="K24" s="370"/>
      <c r="L24" s="370"/>
      <c r="M24" s="370"/>
      <c r="N24" s="370"/>
      <c r="O24" s="370"/>
      <c r="P24" s="370"/>
      <c r="Q24" s="370"/>
      <c r="R24" s="370"/>
    </row>
    <row r="86" spans="3:3">
      <c r="C86" t="s">
        <v>201</v>
      </c>
    </row>
  </sheetData>
  <mergeCells count="6">
    <mergeCell ref="A22:R22"/>
    <mergeCell ref="A24:R24"/>
    <mergeCell ref="A6:R6"/>
    <mergeCell ref="A18:R18"/>
    <mergeCell ref="A19:R19"/>
    <mergeCell ref="A20:R20"/>
  </mergeCells>
  <phoneticPr fontId="15" type="noConversion"/>
  <pageMargins left="0.7" right="0.7" top="0.25" bottom="0.75" header="0.3" footer="0.3"/>
  <pageSetup scale="74" orientation="landscape" r:id="rId1"/>
  <headerFooter>
    <oddFooter>&amp;LElectronic Arts Inc.&amp;R&amp;D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18"/>
  <sheetViews>
    <sheetView zoomScale="90" zoomScaleNormal="90" workbookViewId="0">
      <pane xSplit="4" ySplit="7" topLeftCell="J8" activePane="bottomRight" state="frozen"/>
      <selection activeCell="H54" sqref="H54"/>
      <selection pane="topRight" activeCell="H54" sqref="H54"/>
      <selection pane="bottomLeft" activeCell="H54" sqref="H54"/>
      <selection pane="bottomRight" activeCell="H54" sqref="H54"/>
    </sheetView>
  </sheetViews>
  <sheetFormatPr defaultColWidth="8.85546875" defaultRowHeight="15"/>
  <cols>
    <col min="1" max="3" width="2.7109375" style="7" customWidth="1"/>
    <col min="4" max="4" width="49.140625" style="7" customWidth="1"/>
    <col min="5" max="5" width="11.140625" style="150" customWidth="1"/>
    <col min="6" max="6" width="10.7109375" style="150" bestFit="1" customWidth="1"/>
    <col min="7" max="7" width="10.28515625" style="150" bestFit="1" customWidth="1"/>
    <col min="8" max="9" width="10.5703125" style="150" bestFit="1" customWidth="1"/>
    <col min="10" max="11" width="10.42578125" style="150" customWidth="1"/>
    <col min="12" max="12" width="10.140625" style="150" customWidth="1"/>
    <col min="13" max="14" width="10.140625" style="150" bestFit="1" customWidth="1"/>
    <col min="15" max="15" width="10.140625" style="150" customWidth="1"/>
    <col min="16" max="16" width="10.140625" style="150" bestFit="1" customWidth="1"/>
    <col min="17" max="16384" width="8.85546875" style="150"/>
  </cols>
  <sheetData>
    <row r="1" spans="1:25" s="85" customFormat="1" collapsed="1">
      <c r="A1" s="371" t="s">
        <v>68</v>
      </c>
      <c r="B1" s="372"/>
      <c r="C1" s="372"/>
      <c r="D1" s="372"/>
      <c r="E1" s="372"/>
      <c r="F1" s="372"/>
      <c r="G1" s="372"/>
      <c r="H1" s="372"/>
      <c r="I1" s="372"/>
      <c r="J1" s="372"/>
      <c r="K1" s="372"/>
      <c r="L1" s="372"/>
      <c r="M1" s="372"/>
      <c r="N1" s="372"/>
      <c r="O1" s="372"/>
      <c r="P1" s="372"/>
    </row>
    <row r="2" spans="1:25" s="85" customFormat="1">
      <c r="A2" s="371" t="s">
        <v>97</v>
      </c>
      <c r="B2" s="372"/>
      <c r="C2" s="372"/>
      <c r="D2" s="372"/>
      <c r="E2" s="372"/>
      <c r="F2" s="372"/>
      <c r="G2" s="372"/>
      <c r="H2" s="372"/>
      <c r="I2" s="372"/>
      <c r="J2" s="372"/>
      <c r="K2" s="372"/>
      <c r="L2" s="372"/>
      <c r="M2" s="372"/>
      <c r="N2" s="372"/>
      <c r="O2" s="372"/>
      <c r="P2" s="372"/>
    </row>
    <row r="3" spans="1:25" s="85" customFormat="1">
      <c r="A3" s="371" t="s">
        <v>70</v>
      </c>
      <c r="B3" s="372"/>
      <c r="C3" s="372"/>
      <c r="D3" s="372"/>
      <c r="E3" s="372"/>
      <c r="F3" s="372"/>
      <c r="G3" s="372"/>
      <c r="H3" s="372"/>
      <c r="I3" s="372"/>
      <c r="J3" s="372"/>
      <c r="K3" s="372"/>
      <c r="L3" s="372"/>
      <c r="M3" s="372"/>
      <c r="N3" s="372"/>
      <c r="O3" s="372"/>
      <c r="P3" s="372"/>
      <c r="Q3" s="6"/>
      <c r="U3" s="6"/>
      <c r="Y3" s="6"/>
    </row>
    <row r="5" spans="1:25">
      <c r="E5" s="24" t="s">
        <v>18</v>
      </c>
      <c r="F5" s="24" t="s">
        <v>15</v>
      </c>
      <c r="G5" s="24" t="s">
        <v>16</v>
      </c>
      <c r="H5" s="24" t="s">
        <v>17</v>
      </c>
      <c r="I5" s="24" t="s">
        <v>18</v>
      </c>
      <c r="J5" s="24" t="s">
        <v>15</v>
      </c>
      <c r="K5" s="24" t="s">
        <v>16</v>
      </c>
      <c r="L5" s="24" t="s">
        <v>17</v>
      </c>
      <c r="M5" s="24" t="s">
        <v>18</v>
      </c>
      <c r="N5" s="24" t="s">
        <v>15</v>
      </c>
      <c r="O5" s="24" t="s">
        <v>16</v>
      </c>
      <c r="P5" s="24" t="s">
        <v>17</v>
      </c>
    </row>
    <row r="6" spans="1:25">
      <c r="A6" s="6"/>
      <c r="B6" s="6"/>
      <c r="C6" s="6"/>
      <c r="D6" s="6"/>
      <c r="E6" s="42" t="s">
        <v>26</v>
      </c>
      <c r="F6" s="42" t="s">
        <v>25</v>
      </c>
      <c r="G6" s="42" t="s">
        <v>25</v>
      </c>
      <c r="H6" s="42" t="s">
        <v>25</v>
      </c>
      <c r="I6" s="42" t="s">
        <v>25</v>
      </c>
      <c r="J6" s="42" t="s">
        <v>174</v>
      </c>
      <c r="K6" s="42" t="s">
        <v>174</v>
      </c>
      <c r="L6" s="243" t="s">
        <v>174</v>
      </c>
      <c r="M6" s="322" t="s">
        <v>174</v>
      </c>
      <c r="N6" s="329" t="s">
        <v>199</v>
      </c>
      <c r="O6" s="333" t="s">
        <v>199</v>
      </c>
      <c r="P6" s="42" t="s">
        <v>199</v>
      </c>
    </row>
    <row r="7" spans="1:25" ht="5.25" customHeight="1">
      <c r="A7" s="8"/>
      <c r="B7" s="8"/>
      <c r="C7" s="8"/>
      <c r="D7" s="8"/>
    </row>
    <row r="8" spans="1:25">
      <c r="A8" s="10"/>
      <c r="B8" s="1" t="s">
        <v>0</v>
      </c>
      <c r="C8" s="11"/>
      <c r="D8" s="10"/>
      <c r="E8" s="15">
        <v>979</v>
      </c>
      <c r="F8" s="15">
        <v>815</v>
      </c>
      <c r="G8" s="15">
        <v>631</v>
      </c>
      <c r="H8" s="15">
        <v>1053</v>
      </c>
      <c r="I8" s="15">
        <v>1090</v>
      </c>
      <c r="J8" s="15">
        <v>999</v>
      </c>
      <c r="K8" s="15">
        <v>715</v>
      </c>
      <c r="L8" s="15">
        <v>1061</v>
      </c>
      <c r="M8" s="15">
        <v>1368</v>
      </c>
      <c r="N8" s="15">
        <v>955</v>
      </c>
      <c r="O8" s="15">
        <v>711</v>
      </c>
      <c r="P8" s="15">
        <v>922</v>
      </c>
      <c r="Q8" s="324"/>
    </row>
    <row r="9" spans="1:25" ht="16.5">
      <c r="A9" s="12"/>
      <c r="B9" s="12"/>
      <c r="C9" s="2" t="s">
        <v>201</v>
      </c>
      <c r="D9" s="12"/>
      <c r="E9" s="16">
        <v>298</v>
      </c>
      <c r="F9" s="16">
        <v>222</v>
      </c>
      <c r="G9" s="16">
        <v>363</v>
      </c>
      <c r="H9" s="16">
        <v>586</v>
      </c>
      <c r="I9" s="16">
        <v>328</v>
      </c>
      <c r="J9" s="16">
        <v>240</v>
      </c>
      <c r="K9" s="16">
        <v>432</v>
      </c>
      <c r="L9" s="16">
        <v>552</v>
      </c>
      <c r="M9" s="16">
        <v>374</v>
      </c>
      <c r="N9" s="16">
        <v>205</v>
      </c>
      <c r="O9" s="16">
        <v>445</v>
      </c>
      <c r="P9" s="16">
        <v>429</v>
      </c>
      <c r="Q9" s="324"/>
    </row>
    <row r="10" spans="1:25">
      <c r="A10" s="9"/>
      <c r="B10" s="1" t="s">
        <v>1</v>
      </c>
      <c r="C10" s="9"/>
      <c r="D10" s="9"/>
      <c r="E10" s="17">
        <v>681</v>
      </c>
      <c r="F10" s="17">
        <v>593</v>
      </c>
      <c r="G10" s="17">
        <v>268</v>
      </c>
      <c r="H10" s="17">
        <v>467</v>
      </c>
      <c r="I10" s="17">
        <v>762</v>
      </c>
      <c r="J10" s="17">
        <v>759</v>
      </c>
      <c r="K10" s="17">
        <v>283</v>
      </c>
      <c r="L10" s="17">
        <v>509</v>
      </c>
      <c r="M10" s="17">
        <v>994</v>
      </c>
      <c r="N10" s="17">
        <v>750</v>
      </c>
      <c r="O10" s="17">
        <v>266</v>
      </c>
      <c r="P10" s="17">
        <v>493</v>
      </c>
      <c r="Q10" s="324"/>
    </row>
    <row r="11" spans="1:25">
      <c r="A11" s="9"/>
      <c r="B11" s="2" t="s">
        <v>2</v>
      </c>
      <c r="C11" s="9"/>
      <c r="D11" s="9"/>
      <c r="E11" s="17"/>
      <c r="F11" s="17"/>
      <c r="G11" s="17"/>
      <c r="H11" s="17"/>
      <c r="I11" s="17"/>
      <c r="J11" s="17"/>
      <c r="K11" s="17"/>
      <c r="L11" s="17"/>
      <c r="M11" s="17"/>
      <c r="N11" s="17"/>
      <c r="O11" s="17"/>
      <c r="P11" s="17"/>
      <c r="Q11" s="324"/>
    </row>
    <row r="12" spans="1:25">
      <c r="A12" s="12"/>
      <c r="B12" s="12"/>
      <c r="C12" s="8" t="s">
        <v>3</v>
      </c>
      <c r="D12" s="12"/>
      <c r="E12" s="18">
        <v>171</v>
      </c>
      <c r="F12" s="18">
        <v>127</v>
      </c>
      <c r="G12" s="18">
        <v>173</v>
      </c>
      <c r="H12" s="18">
        <v>253</v>
      </c>
      <c r="I12" s="18">
        <v>194</v>
      </c>
      <c r="J12" s="18">
        <v>140</v>
      </c>
      <c r="K12" s="18">
        <v>222</v>
      </c>
      <c r="L12" s="18">
        <v>269</v>
      </c>
      <c r="M12" s="18">
        <v>222</v>
      </c>
      <c r="N12" s="18">
        <v>145</v>
      </c>
      <c r="O12" s="18">
        <v>212</v>
      </c>
      <c r="P12" s="18">
        <v>214</v>
      </c>
      <c r="Q12" s="324"/>
    </row>
    <row r="13" spans="1:25">
      <c r="A13" s="12"/>
      <c r="B13" s="12"/>
      <c r="C13" s="8" t="s">
        <v>4</v>
      </c>
      <c r="D13" s="12"/>
      <c r="E13" s="18">
        <v>79</v>
      </c>
      <c r="F13" s="18">
        <v>74</v>
      </c>
      <c r="G13" s="18">
        <v>77</v>
      </c>
      <c r="H13" s="18">
        <v>75</v>
      </c>
      <c r="I13" s="18">
        <v>75</v>
      </c>
      <c r="J13" s="18">
        <v>74</v>
      </c>
      <c r="K13" s="18">
        <v>88</v>
      </c>
      <c r="L13" s="18">
        <v>98</v>
      </c>
      <c r="M13" s="18">
        <v>115</v>
      </c>
      <c r="N13" s="18">
        <v>86</v>
      </c>
      <c r="O13" s="18">
        <v>99</v>
      </c>
      <c r="P13" s="18">
        <v>68</v>
      </c>
      <c r="Q13" s="324"/>
    </row>
    <row r="14" spans="1:25">
      <c r="A14" s="12"/>
      <c r="B14" s="12"/>
      <c r="C14" s="8" t="s">
        <v>5</v>
      </c>
      <c r="D14" s="12"/>
      <c r="E14" s="18">
        <v>311</v>
      </c>
      <c r="F14" s="18">
        <v>275</v>
      </c>
      <c r="G14" s="18">
        <v>277</v>
      </c>
      <c r="H14" s="18">
        <v>273</v>
      </c>
      <c r="I14" s="18">
        <v>328</v>
      </c>
      <c r="J14" s="18">
        <v>285</v>
      </c>
      <c r="K14" s="18">
        <v>318</v>
      </c>
      <c r="L14" s="18">
        <v>325</v>
      </c>
      <c r="M14" s="18">
        <v>284</v>
      </c>
      <c r="N14" s="18">
        <v>290</v>
      </c>
      <c r="O14" s="18">
        <v>314</v>
      </c>
      <c r="P14" s="18">
        <v>286</v>
      </c>
      <c r="Q14" s="324"/>
    </row>
    <row r="15" spans="1:25">
      <c r="A15" s="12"/>
      <c r="B15" s="12"/>
      <c r="C15" s="8" t="s">
        <v>7</v>
      </c>
      <c r="D15" s="12"/>
      <c r="E15" s="18">
        <v>2</v>
      </c>
      <c r="F15" s="18">
        <v>2</v>
      </c>
      <c r="G15" s="18">
        <v>-28</v>
      </c>
      <c r="H15" s="18">
        <v>1</v>
      </c>
      <c r="I15" s="18">
        <v>8</v>
      </c>
      <c r="J15" s="18">
        <v>2</v>
      </c>
      <c r="K15" s="18">
        <v>17</v>
      </c>
      <c r="L15" s="18">
        <v>-11</v>
      </c>
      <c r="M15" s="18">
        <v>3</v>
      </c>
      <c r="N15" s="18">
        <v>-20</v>
      </c>
      <c r="O15" s="18">
        <v>0</v>
      </c>
      <c r="P15" s="18">
        <v>-45</v>
      </c>
      <c r="Q15" s="324"/>
    </row>
    <row r="16" spans="1:25">
      <c r="A16" s="12"/>
      <c r="B16" s="12"/>
      <c r="C16" s="8" t="s">
        <v>8</v>
      </c>
      <c r="D16" s="12"/>
      <c r="E16" s="18">
        <v>15</v>
      </c>
      <c r="F16" s="18">
        <v>15</v>
      </c>
      <c r="G16" s="18">
        <v>15</v>
      </c>
      <c r="H16" s="18">
        <v>14</v>
      </c>
      <c r="I16" s="18">
        <v>13</v>
      </c>
      <c r="J16" s="18">
        <v>13</v>
      </c>
      <c r="K16" s="18">
        <v>13</v>
      </c>
      <c r="L16" s="18">
        <v>11</v>
      </c>
      <c r="M16" s="18">
        <v>6</v>
      </c>
      <c r="N16" s="18">
        <v>7</v>
      </c>
      <c r="O16" s="18">
        <v>7</v>
      </c>
      <c r="P16" s="18">
        <v>7</v>
      </c>
      <c r="Q16" s="324"/>
    </row>
    <row r="17" spans="1:17" ht="16.5">
      <c r="A17" s="12"/>
      <c r="B17" s="12"/>
      <c r="C17" s="8" t="s">
        <v>144</v>
      </c>
      <c r="D17" s="12"/>
      <c r="E17" s="19">
        <v>20</v>
      </c>
      <c r="F17" s="19">
        <v>2</v>
      </c>
      <c r="G17" s="19">
        <v>6</v>
      </c>
      <c r="H17" s="19">
        <v>154</v>
      </c>
      <c r="I17" s="19">
        <v>-1</v>
      </c>
      <c r="J17" s="19">
        <v>18</v>
      </c>
      <c r="K17" s="19">
        <v>-1</v>
      </c>
      <c r="L17" s="19">
        <v>0</v>
      </c>
      <c r="M17" s="19">
        <v>-1</v>
      </c>
      <c r="N17" s="19">
        <v>27</v>
      </c>
      <c r="O17" s="19">
        <v>-2</v>
      </c>
      <c r="P17" s="19">
        <v>2</v>
      </c>
      <c r="Q17" s="324"/>
    </row>
    <row r="18" spans="1:17" ht="16.5">
      <c r="A18" s="12"/>
      <c r="B18" s="12"/>
      <c r="C18" s="12"/>
      <c r="D18" s="12" t="s">
        <v>10</v>
      </c>
      <c r="E18" s="19">
        <v>598</v>
      </c>
      <c r="F18" s="19">
        <v>495</v>
      </c>
      <c r="G18" s="19">
        <v>520</v>
      </c>
      <c r="H18" s="19">
        <v>770</v>
      </c>
      <c r="I18" s="19">
        <v>617</v>
      </c>
      <c r="J18" s="19">
        <v>532</v>
      </c>
      <c r="K18" s="19">
        <v>657</v>
      </c>
      <c r="L18" s="19">
        <v>692</v>
      </c>
      <c r="M18" s="19">
        <v>629</v>
      </c>
      <c r="N18" s="19">
        <v>535</v>
      </c>
      <c r="O18" s="19">
        <v>630</v>
      </c>
      <c r="P18" s="19">
        <v>532</v>
      </c>
      <c r="Q18" s="324"/>
    </row>
    <row r="19" spans="1:17">
      <c r="A19" s="13"/>
      <c r="B19" s="29" t="s">
        <v>11</v>
      </c>
      <c r="C19" s="3"/>
      <c r="D19" s="13"/>
      <c r="E19" s="17">
        <v>83</v>
      </c>
      <c r="F19" s="17">
        <v>98</v>
      </c>
      <c r="G19" s="17">
        <v>-252</v>
      </c>
      <c r="H19" s="17">
        <v>-303</v>
      </c>
      <c r="I19" s="17">
        <v>145</v>
      </c>
      <c r="J19" s="17">
        <v>227</v>
      </c>
      <c r="K19" s="17">
        <v>-374</v>
      </c>
      <c r="L19" s="17">
        <v>-183</v>
      </c>
      <c r="M19" s="17">
        <v>365</v>
      </c>
      <c r="N19" s="17">
        <v>215</v>
      </c>
      <c r="O19" s="17">
        <v>-364</v>
      </c>
      <c r="P19" s="17">
        <v>-39</v>
      </c>
      <c r="Q19" s="324"/>
    </row>
    <row r="20" spans="1:17">
      <c r="A20" s="14"/>
      <c r="B20" s="2" t="s">
        <v>194</v>
      </c>
      <c r="C20" s="14"/>
      <c r="D20" s="14"/>
      <c r="E20" s="18">
        <v>-1</v>
      </c>
      <c r="F20" s="18">
        <v>-5</v>
      </c>
      <c r="G20" s="18">
        <v>28</v>
      </c>
      <c r="H20" s="18">
        <v>0</v>
      </c>
      <c r="I20" s="18">
        <v>0</v>
      </c>
      <c r="J20" s="18">
        <v>0</v>
      </c>
      <c r="K20" s="18">
        <v>0</v>
      </c>
      <c r="L20" s="18">
        <v>0</v>
      </c>
      <c r="M20" s="18">
        <v>0</v>
      </c>
      <c r="N20" s="18">
        <v>0</v>
      </c>
      <c r="O20" s="18">
        <v>0</v>
      </c>
      <c r="P20" s="18">
        <v>14</v>
      </c>
      <c r="Q20" s="324"/>
    </row>
    <row r="21" spans="1:17" ht="16.5">
      <c r="A21" s="14"/>
      <c r="B21" s="2" t="s">
        <v>83</v>
      </c>
      <c r="C21" s="14"/>
      <c r="D21" s="14"/>
      <c r="E21" s="19">
        <v>-2</v>
      </c>
      <c r="F21" s="19">
        <v>0</v>
      </c>
      <c r="G21" s="19">
        <v>6</v>
      </c>
      <c r="H21" s="19">
        <v>0</v>
      </c>
      <c r="I21" s="19">
        <v>4</v>
      </c>
      <c r="J21" s="19">
        <v>3</v>
      </c>
      <c r="K21" s="19">
        <v>-6</v>
      </c>
      <c r="L21" s="19">
        <v>-10</v>
      </c>
      <c r="M21" s="19">
        <v>-4</v>
      </c>
      <c r="N21" s="19">
        <v>-5</v>
      </c>
      <c r="O21" s="19">
        <v>-4</v>
      </c>
      <c r="P21" s="19">
        <v>-8</v>
      </c>
      <c r="Q21" s="324"/>
    </row>
    <row r="22" spans="1:17">
      <c r="A22" s="14"/>
      <c r="B22" s="27" t="s">
        <v>22</v>
      </c>
      <c r="C22" s="4"/>
      <c r="D22" s="14"/>
      <c r="E22" s="18">
        <v>80</v>
      </c>
      <c r="F22" s="18">
        <v>93</v>
      </c>
      <c r="G22" s="18">
        <v>-218</v>
      </c>
      <c r="H22" s="18">
        <v>-303</v>
      </c>
      <c r="I22" s="18">
        <v>149</v>
      </c>
      <c r="J22" s="18">
        <v>230</v>
      </c>
      <c r="K22" s="18">
        <v>-380</v>
      </c>
      <c r="L22" s="18">
        <v>-193</v>
      </c>
      <c r="M22" s="18">
        <v>361</v>
      </c>
      <c r="N22" s="18">
        <v>210</v>
      </c>
      <c r="O22" s="18">
        <v>-368</v>
      </c>
      <c r="P22" s="18">
        <v>-33</v>
      </c>
      <c r="Q22" s="324"/>
    </row>
    <row r="23" spans="1:17" ht="16.5">
      <c r="A23" s="14"/>
      <c r="B23" s="2" t="s">
        <v>23</v>
      </c>
      <c r="C23" s="4"/>
      <c r="D23" s="14"/>
      <c r="E23" s="19">
        <v>50</v>
      </c>
      <c r="F23" s="19">
        <v>-3</v>
      </c>
      <c r="G23" s="19">
        <v>-17</v>
      </c>
      <c r="H23" s="19">
        <v>19</v>
      </c>
      <c r="I23" s="19">
        <v>-2</v>
      </c>
      <c r="J23" s="19">
        <v>9</v>
      </c>
      <c r="K23" s="19">
        <v>-40</v>
      </c>
      <c r="L23" s="19">
        <v>12</v>
      </c>
      <c r="M23" s="19">
        <v>-39</v>
      </c>
      <c r="N23" s="19">
        <v>9</v>
      </c>
      <c r="O23" s="19">
        <v>13</v>
      </c>
      <c r="P23" s="19">
        <v>12</v>
      </c>
      <c r="Q23" s="324"/>
    </row>
    <row r="24" spans="1:17" ht="16.5">
      <c r="A24" s="11"/>
      <c r="B24" s="29" t="s">
        <v>14</v>
      </c>
      <c r="C24" s="11"/>
      <c r="D24" s="11"/>
      <c r="E24" s="20">
        <v>30</v>
      </c>
      <c r="F24" s="20">
        <v>96</v>
      </c>
      <c r="G24" s="20">
        <v>-201</v>
      </c>
      <c r="H24" s="20">
        <v>-322</v>
      </c>
      <c r="I24" s="20">
        <v>151</v>
      </c>
      <c r="J24" s="20">
        <v>221</v>
      </c>
      <c r="K24" s="20">
        <v>-340</v>
      </c>
      <c r="L24" s="20">
        <v>-205</v>
      </c>
      <c r="M24" s="20">
        <v>400</v>
      </c>
      <c r="N24" s="20">
        <v>201</v>
      </c>
      <c r="O24" s="20">
        <v>-381</v>
      </c>
      <c r="P24" s="20">
        <v>-45</v>
      </c>
      <c r="Q24" s="324"/>
    </row>
    <row r="25" spans="1:17" ht="9.75" customHeight="1">
      <c r="A25" s="11"/>
      <c r="B25" s="29"/>
      <c r="C25" s="11"/>
      <c r="D25" s="11"/>
      <c r="E25" s="20"/>
      <c r="F25" s="20"/>
      <c r="G25" s="20"/>
      <c r="H25" s="20"/>
      <c r="I25" s="20"/>
      <c r="J25" s="20"/>
      <c r="K25" s="20"/>
      <c r="L25" s="20"/>
      <c r="M25" s="20"/>
      <c r="N25" s="20"/>
      <c r="O25" s="20"/>
      <c r="P25" s="20"/>
    </row>
    <row r="26" spans="1:17">
      <c r="A26" s="86"/>
      <c r="B26" s="54" t="s">
        <v>103</v>
      </c>
      <c r="C26" s="54"/>
      <c r="D26" s="54"/>
      <c r="E26" s="87"/>
      <c r="F26" s="87"/>
      <c r="G26" s="87"/>
      <c r="H26" s="87"/>
      <c r="I26" s="87"/>
      <c r="J26" s="87"/>
      <c r="K26" s="87"/>
      <c r="L26" s="87"/>
      <c r="M26" s="87"/>
      <c r="N26" s="87"/>
      <c r="O26" s="87"/>
      <c r="P26" s="87"/>
    </row>
    <row r="27" spans="1:17">
      <c r="A27" s="86"/>
      <c r="B27" s="54"/>
      <c r="C27" s="23" t="s">
        <v>105</v>
      </c>
      <c r="D27" s="54"/>
      <c r="E27" s="91">
        <v>0.09</v>
      </c>
      <c r="F27" s="91">
        <v>0.28999999999999998</v>
      </c>
      <c r="G27" s="91">
        <v>-0.61</v>
      </c>
      <c r="H27" s="91">
        <v>-0.97</v>
      </c>
      <c r="I27" s="91">
        <v>0.45</v>
      </c>
      <c r="J27" s="91">
        <v>0.67</v>
      </c>
      <c r="K27" s="91">
        <v>-1.03</v>
      </c>
      <c r="L27" s="91">
        <v>-0.62</v>
      </c>
      <c r="M27" s="91">
        <v>1.22</v>
      </c>
      <c r="N27" s="91">
        <v>0.63</v>
      </c>
      <c r="O27" s="91">
        <v>-1.21</v>
      </c>
      <c r="P27" s="91">
        <v>-0.15</v>
      </c>
    </row>
    <row r="28" spans="1:17">
      <c r="A28" s="86"/>
      <c r="B28" s="54"/>
      <c r="C28" s="23" t="s">
        <v>106</v>
      </c>
      <c r="D28" s="54"/>
      <c r="E28" s="91">
        <v>0.09</v>
      </c>
      <c r="F28" s="91">
        <v>0.28999999999999998</v>
      </c>
      <c r="G28" s="91">
        <v>-0.61</v>
      </c>
      <c r="H28" s="91">
        <v>-0.97</v>
      </c>
      <c r="I28" s="91">
        <v>0.45</v>
      </c>
      <c r="J28" s="91">
        <v>0.66</v>
      </c>
      <c r="K28" s="91">
        <v>-1.03</v>
      </c>
      <c r="L28" s="91">
        <v>-0.62</v>
      </c>
      <c r="M28" s="91">
        <v>1.2</v>
      </c>
      <c r="N28" s="91">
        <v>0.63</v>
      </c>
      <c r="O28" s="91">
        <v>-1.21</v>
      </c>
      <c r="P28" s="91">
        <v>-0.15</v>
      </c>
    </row>
    <row r="29" spans="1:17" ht="4.1500000000000004" customHeight="1">
      <c r="A29" s="86"/>
      <c r="B29" s="54"/>
      <c r="C29" s="54"/>
      <c r="D29" s="54"/>
    </row>
    <row r="30" spans="1:17">
      <c r="A30" s="86"/>
      <c r="B30" s="7" t="s">
        <v>104</v>
      </c>
      <c r="C30" s="86"/>
      <c r="D30" s="54"/>
    </row>
    <row r="31" spans="1:17">
      <c r="A31" s="86"/>
      <c r="B31" s="54"/>
      <c r="C31" s="23" t="s">
        <v>105</v>
      </c>
      <c r="D31" s="54"/>
      <c r="E31" s="23">
        <v>327</v>
      </c>
      <c r="F31" s="23">
        <v>328</v>
      </c>
      <c r="G31" s="23">
        <v>329</v>
      </c>
      <c r="H31" s="23">
        <v>332</v>
      </c>
      <c r="I31" s="23">
        <v>333</v>
      </c>
      <c r="J31" s="23">
        <v>331</v>
      </c>
      <c r="K31" s="23">
        <v>331</v>
      </c>
      <c r="L31" s="23">
        <v>332</v>
      </c>
      <c r="M31" s="23">
        <v>329</v>
      </c>
      <c r="N31" s="23">
        <v>317</v>
      </c>
      <c r="O31" s="23">
        <v>316</v>
      </c>
      <c r="P31" s="23">
        <v>304</v>
      </c>
    </row>
    <row r="32" spans="1:17">
      <c r="A32" s="86"/>
      <c r="B32" s="54"/>
      <c r="C32" s="23" t="s">
        <v>106</v>
      </c>
      <c r="D32" s="54"/>
      <c r="E32" s="23">
        <v>330</v>
      </c>
      <c r="F32" s="23">
        <v>332</v>
      </c>
      <c r="G32" s="23">
        <v>329</v>
      </c>
      <c r="H32" s="23">
        <v>332</v>
      </c>
      <c r="I32" s="23">
        <v>336</v>
      </c>
      <c r="J32" s="23">
        <v>337</v>
      </c>
      <c r="K32" s="23">
        <v>331</v>
      </c>
      <c r="L32" s="23">
        <v>332</v>
      </c>
      <c r="M32" s="23">
        <v>332</v>
      </c>
      <c r="N32" s="23">
        <v>320</v>
      </c>
      <c r="O32" s="23">
        <v>316</v>
      </c>
      <c r="P32" s="23">
        <v>304</v>
      </c>
    </row>
    <row r="33" spans="1:16">
      <c r="A33" s="86"/>
      <c r="B33" s="54"/>
      <c r="C33" s="23"/>
      <c r="D33" s="54"/>
      <c r="E33" s="23"/>
      <c r="F33" s="23"/>
      <c r="G33" s="23"/>
      <c r="H33" s="23"/>
      <c r="I33" s="23"/>
      <c r="J33" s="23"/>
      <c r="K33" s="23"/>
      <c r="L33" s="23"/>
      <c r="M33" s="23"/>
      <c r="N33" s="23"/>
      <c r="O33" s="23"/>
      <c r="P33" s="23"/>
    </row>
    <row r="34" spans="1:16">
      <c r="A34" s="25" t="s">
        <v>133</v>
      </c>
      <c r="B34" s="54"/>
      <c r="C34" s="23"/>
      <c r="D34" s="54"/>
      <c r="E34" s="23"/>
      <c r="F34" s="23"/>
      <c r="G34" s="23"/>
      <c r="H34" s="23"/>
      <c r="I34" s="23"/>
      <c r="J34" s="23"/>
      <c r="K34" s="23"/>
      <c r="L34" s="23"/>
      <c r="M34" s="23"/>
      <c r="N34" s="23"/>
      <c r="O34" s="23"/>
      <c r="P34" s="23"/>
    </row>
    <row r="35" spans="1:16">
      <c r="A35" s="86"/>
      <c r="B35" s="54"/>
      <c r="C35" s="23"/>
      <c r="D35" s="54"/>
      <c r="E35" s="24" t="s">
        <v>18</v>
      </c>
      <c r="F35" s="24" t="s">
        <v>15</v>
      </c>
      <c r="G35" s="24" t="s">
        <v>16</v>
      </c>
      <c r="H35" s="24" t="s">
        <v>17</v>
      </c>
      <c r="I35" s="24" t="s">
        <v>18</v>
      </c>
      <c r="J35" s="24" t="s">
        <v>15</v>
      </c>
      <c r="K35" s="24" t="s">
        <v>16</v>
      </c>
      <c r="L35" s="24" t="s">
        <v>17</v>
      </c>
      <c r="M35" s="24" t="s">
        <v>18</v>
      </c>
      <c r="N35" s="24" t="str">
        <f t="shared" ref="N35:P36" si="0">N5</f>
        <v>Q1</v>
      </c>
      <c r="O35" s="24" t="str">
        <f t="shared" si="0"/>
        <v>Q2</v>
      </c>
      <c r="P35" s="24" t="str">
        <f t="shared" si="0"/>
        <v>Q3</v>
      </c>
    </row>
    <row r="36" spans="1:16">
      <c r="A36" s="86"/>
      <c r="B36" s="54"/>
      <c r="C36" s="23"/>
      <c r="D36" s="54"/>
      <c r="E36" s="42" t="s">
        <v>26</v>
      </c>
      <c r="F36" s="42" t="s">
        <v>25</v>
      </c>
      <c r="G36" s="42" t="s">
        <v>25</v>
      </c>
      <c r="H36" s="42" t="s">
        <v>25</v>
      </c>
      <c r="I36" s="42" t="s">
        <v>25</v>
      </c>
      <c r="J36" s="42" t="s">
        <v>174</v>
      </c>
      <c r="K36" s="42" t="s">
        <v>174</v>
      </c>
      <c r="L36" s="243" t="s">
        <v>174</v>
      </c>
      <c r="M36" s="322" t="s">
        <v>174</v>
      </c>
      <c r="N36" s="329" t="str">
        <f t="shared" si="0"/>
        <v>FY13</v>
      </c>
      <c r="O36" s="333" t="str">
        <f t="shared" si="0"/>
        <v>FY13</v>
      </c>
      <c r="P36" s="42" t="str">
        <f t="shared" si="0"/>
        <v>FY13</v>
      </c>
    </row>
    <row r="37" spans="1:16">
      <c r="A37" s="86"/>
      <c r="B37" s="54"/>
      <c r="C37" s="23"/>
      <c r="D37" s="54"/>
      <c r="E37" s="23"/>
      <c r="F37" s="23"/>
      <c r="G37" s="23"/>
      <c r="H37" s="23"/>
      <c r="I37" s="23"/>
      <c r="J37" s="23"/>
      <c r="K37" s="23"/>
      <c r="L37" s="23"/>
      <c r="M37" s="23"/>
      <c r="N37" s="23"/>
      <c r="O37" s="23"/>
      <c r="P37" s="23"/>
    </row>
    <row r="38" spans="1:16">
      <c r="A38" s="9"/>
      <c r="B38" s="1" t="s">
        <v>1</v>
      </c>
      <c r="C38" s="9"/>
      <c r="D38" s="9"/>
      <c r="E38" s="129">
        <v>0.69599999999999995</v>
      </c>
      <c r="F38" s="129">
        <v>0.72799999999999998</v>
      </c>
      <c r="G38" s="129">
        <v>0.42499999999999999</v>
      </c>
      <c r="H38" s="129">
        <v>0.443</v>
      </c>
      <c r="I38" s="129">
        <v>0.69899999999999995</v>
      </c>
      <c r="J38" s="129">
        <v>0.76</v>
      </c>
      <c r="K38" s="129">
        <v>0.39600000000000002</v>
      </c>
      <c r="L38" s="129">
        <v>0.48</v>
      </c>
      <c r="M38" s="129">
        <v>0.72699999999999998</v>
      </c>
      <c r="N38" s="129">
        <v>0.78500000000000003</v>
      </c>
      <c r="O38" s="129">
        <v>0.374</v>
      </c>
      <c r="P38" s="129">
        <v>0.53500000000000003</v>
      </c>
    </row>
    <row r="39" spans="1:16">
      <c r="A39" s="9"/>
      <c r="B39" s="2" t="s">
        <v>2</v>
      </c>
      <c r="C39" s="9"/>
      <c r="D39" s="9"/>
      <c r="E39" s="129"/>
      <c r="F39" s="129"/>
      <c r="G39" s="129"/>
      <c r="H39" s="129"/>
      <c r="I39" s="129"/>
      <c r="J39" s="129"/>
      <c r="K39" s="129"/>
      <c r="L39" s="129"/>
      <c r="M39" s="129"/>
      <c r="N39" s="129"/>
      <c r="O39" s="129"/>
      <c r="P39" s="129"/>
    </row>
    <row r="40" spans="1:16">
      <c r="A40" s="12"/>
      <c r="B40" s="12"/>
      <c r="C40" s="8" t="s">
        <v>3</v>
      </c>
      <c r="D40" s="12"/>
      <c r="E40" s="130">
        <v>0.17499999999999999</v>
      </c>
      <c r="F40" s="130">
        <v>0.157</v>
      </c>
      <c r="G40" s="130">
        <v>0.27400000000000002</v>
      </c>
      <c r="H40" s="130">
        <v>0.24</v>
      </c>
      <c r="I40" s="130">
        <v>0.17799999999999999</v>
      </c>
      <c r="J40" s="130">
        <v>0.14000000000000001</v>
      </c>
      <c r="K40" s="130">
        <v>0.31</v>
      </c>
      <c r="L40" s="130">
        <v>0.254</v>
      </c>
      <c r="M40" s="130">
        <v>0.16200000000000001</v>
      </c>
      <c r="N40" s="130">
        <v>0.152</v>
      </c>
      <c r="O40" s="130">
        <v>0.29799999999999999</v>
      </c>
      <c r="P40" s="130">
        <f>P12/$P$8</f>
        <v>0.23210412147505424</v>
      </c>
    </row>
    <row r="41" spans="1:16">
      <c r="A41" s="12"/>
      <c r="B41" s="12"/>
      <c r="C41" s="8" t="s">
        <v>4</v>
      </c>
      <c r="D41" s="12"/>
      <c r="E41" s="130">
        <v>8.1000000000000003E-2</v>
      </c>
      <c r="F41" s="130">
        <v>9.0999999999999998E-2</v>
      </c>
      <c r="G41" s="130">
        <v>0.122</v>
      </c>
      <c r="H41" s="130">
        <v>7.0999999999999994E-2</v>
      </c>
      <c r="I41" s="130">
        <v>6.9000000000000006E-2</v>
      </c>
      <c r="J41" s="130">
        <v>7.3999999999999996E-2</v>
      </c>
      <c r="K41" s="130">
        <v>0.123</v>
      </c>
      <c r="L41" s="130">
        <v>9.1999999999999998E-2</v>
      </c>
      <c r="M41" s="130">
        <v>8.4000000000000005E-2</v>
      </c>
      <c r="N41" s="130">
        <v>0.09</v>
      </c>
      <c r="O41" s="130">
        <v>0.13900000000000001</v>
      </c>
      <c r="P41" s="130">
        <v>7.3999999999999996E-2</v>
      </c>
    </row>
    <row r="42" spans="1:16">
      <c r="A42" s="12"/>
      <c r="B42" s="12"/>
      <c r="C42" s="8" t="s">
        <v>5</v>
      </c>
      <c r="D42" s="12"/>
      <c r="E42" s="130">
        <v>0.318</v>
      </c>
      <c r="F42" s="130">
        <v>0.33800000000000002</v>
      </c>
      <c r="G42" s="130">
        <v>0.438</v>
      </c>
      <c r="H42" s="130">
        <v>0.26</v>
      </c>
      <c r="I42" s="130">
        <v>0.30099999999999999</v>
      </c>
      <c r="J42" s="130">
        <v>0.28599999999999998</v>
      </c>
      <c r="K42" s="130">
        <v>0.44500000000000001</v>
      </c>
      <c r="L42" s="130">
        <v>0.30599999999999999</v>
      </c>
      <c r="M42" s="130">
        <v>0.20799999999999999</v>
      </c>
      <c r="N42" s="130">
        <v>0.30399999999999999</v>
      </c>
      <c r="O42" s="130">
        <v>0.442</v>
      </c>
      <c r="P42" s="130">
        <v>0.31</v>
      </c>
    </row>
    <row r="43" spans="1:16">
      <c r="A43" s="12"/>
      <c r="B43" s="12"/>
      <c r="C43" s="8" t="s">
        <v>6</v>
      </c>
      <c r="D43" s="12"/>
      <c r="E43" s="133" t="s">
        <v>9</v>
      </c>
      <c r="F43" s="133" t="s">
        <v>9</v>
      </c>
      <c r="G43" s="133" t="s">
        <v>9</v>
      </c>
      <c r="H43" s="133">
        <v>1E-3</v>
      </c>
      <c r="I43" s="133" t="s">
        <v>9</v>
      </c>
      <c r="J43" s="133" t="s">
        <v>9</v>
      </c>
      <c r="K43" s="133" t="s">
        <v>9</v>
      </c>
      <c r="L43" s="133" t="s">
        <v>9</v>
      </c>
      <c r="M43" s="133" t="s">
        <v>9</v>
      </c>
      <c r="N43" s="133" t="s">
        <v>9</v>
      </c>
      <c r="O43" s="133" t="s">
        <v>9</v>
      </c>
      <c r="P43" s="133" t="s">
        <v>9</v>
      </c>
    </row>
    <row r="44" spans="1:16">
      <c r="A44" s="12"/>
      <c r="B44" s="12"/>
      <c r="C44" s="8" t="s">
        <v>7</v>
      </c>
      <c r="D44" s="12"/>
      <c r="E44" s="130">
        <v>2E-3</v>
      </c>
      <c r="F44" s="130">
        <v>2E-3</v>
      </c>
      <c r="G44" s="130">
        <v>-4.3999999999999997E-2</v>
      </c>
      <c r="H44" s="133" t="s">
        <v>9</v>
      </c>
      <c r="I44" s="133">
        <v>7.0000000000000001E-3</v>
      </c>
      <c r="J44" s="133">
        <v>2E-3</v>
      </c>
      <c r="K44" s="133">
        <v>2.4E-2</v>
      </c>
      <c r="L44" s="133">
        <v>-0.01</v>
      </c>
      <c r="M44" s="133">
        <v>2E-3</v>
      </c>
      <c r="N44" s="133">
        <v>-2.1000000000000001E-2</v>
      </c>
      <c r="O44" s="133" t="s">
        <v>9</v>
      </c>
      <c r="P44" s="133">
        <v>-4.9000000000000002E-2</v>
      </c>
    </row>
    <row r="45" spans="1:16">
      <c r="A45" s="12"/>
      <c r="B45" s="12"/>
      <c r="C45" s="8" t="s">
        <v>8</v>
      </c>
      <c r="D45" s="12"/>
      <c r="E45" s="130">
        <v>1.4999999999999999E-2</v>
      </c>
      <c r="F45" s="130">
        <v>1.7999999999999999E-2</v>
      </c>
      <c r="G45" s="130">
        <v>2.4E-2</v>
      </c>
      <c r="H45" s="130">
        <v>1.2999999999999999E-2</v>
      </c>
      <c r="I45" s="130">
        <v>1.2E-2</v>
      </c>
      <c r="J45" s="130">
        <v>1.2999999999999999E-2</v>
      </c>
      <c r="K45" s="130">
        <v>1.7999999999999999E-2</v>
      </c>
      <c r="L45" s="130">
        <v>0.01</v>
      </c>
      <c r="M45" s="130">
        <v>4.0000000000000001E-3</v>
      </c>
      <c r="N45" s="130">
        <v>7.0000000000000001E-3</v>
      </c>
      <c r="O45" s="130">
        <v>0.01</v>
      </c>
      <c r="P45" s="130">
        <v>8.0000000000000002E-3</v>
      </c>
    </row>
    <row r="46" spans="1:16" ht="16.5">
      <c r="A46" s="12"/>
      <c r="B46" s="12"/>
      <c r="C46" s="8" t="s">
        <v>144</v>
      </c>
      <c r="D46" s="12"/>
      <c r="E46" s="131">
        <v>0.02</v>
      </c>
      <c r="F46" s="131">
        <v>2E-3</v>
      </c>
      <c r="G46" s="131">
        <v>0.01</v>
      </c>
      <c r="H46" s="131">
        <v>0.14599999999999999</v>
      </c>
      <c r="I46" s="131">
        <v>-1E-3</v>
      </c>
      <c r="J46" s="131">
        <v>1.7999999999999999E-2</v>
      </c>
      <c r="K46" s="131">
        <v>-1E-3</v>
      </c>
      <c r="L46" s="149" t="s">
        <v>137</v>
      </c>
      <c r="M46" s="149" t="s">
        <v>137</v>
      </c>
      <c r="N46" s="149">
        <v>2.8000000000000001E-2</v>
      </c>
      <c r="O46" s="149">
        <v>-3.0000000000000001E-3</v>
      </c>
      <c r="P46" s="149">
        <v>2E-3</v>
      </c>
    </row>
    <row r="47" spans="1:16" ht="16.5">
      <c r="A47" s="12"/>
      <c r="B47" s="12"/>
      <c r="C47" s="12"/>
      <c r="D47" s="12" t="s">
        <v>10</v>
      </c>
      <c r="E47" s="131">
        <v>0.61099999999999999</v>
      </c>
      <c r="F47" s="131">
        <v>0.60799999999999998</v>
      </c>
      <c r="G47" s="131">
        <v>0.82399999999999995</v>
      </c>
      <c r="H47" s="131">
        <v>0.73099999999999998</v>
      </c>
      <c r="I47" s="131">
        <v>0.56599999999999995</v>
      </c>
      <c r="J47" s="131">
        <v>0.53300000000000003</v>
      </c>
      <c r="K47" s="131">
        <v>0.91900000000000004</v>
      </c>
      <c r="L47" s="131">
        <v>0.65200000000000002</v>
      </c>
      <c r="M47" s="131">
        <v>0.46</v>
      </c>
      <c r="N47" s="131">
        <v>0.56000000000000005</v>
      </c>
      <c r="O47" s="131">
        <v>0.88600000000000001</v>
      </c>
      <c r="P47" s="131">
        <v>0.57699999999999996</v>
      </c>
    </row>
    <row r="48" spans="1:16">
      <c r="A48" s="13"/>
      <c r="B48" s="29" t="s">
        <v>11</v>
      </c>
      <c r="C48" s="3"/>
      <c r="D48" s="13"/>
      <c r="E48" s="129">
        <v>8.5000000000000006E-2</v>
      </c>
      <c r="F48" s="129">
        <v>0.12</v>
      </c>
      <c r="G48" s="129">
        <v>-0.39900000000000002</v>
      </c>
      <c r="H48" s="129">
        <v>-0.28799999999999998</v>
      </c>
      <c r="I48" s="129">
        <v>0.13300000000000001</v>
      </c>
      <c r="J48" s="129">
        <v>0.22700000000000001</v>
      </c>
      <c r="K48" s="129">
        <v>-0.52300000000000002</v>
      </c>
      <c r="L48" s="129">
        <v>-0.17200000000000004</v>
      </c>
      <c r="M48" s="129">
        <v>0.26700000000000002</v>
      </c>
      <c r="N48" s="129">
        <v>0.22500000000000001</v>
      </c>
      <c r="O48" s="129">
        <v>-0.51200000000000001</v>
      </c>
      <c r="P48" s="129">
        <v>-4.2000000000000003E-2</v>
      </c>
    </row>
    <row r="49" spans="1:17">
      <c r="A49" s="14"/>
      <c r="B49" s="2" t="s">
        <v>194</v>
      </c>
      <c r="C49" s="14"/>
      <c r="D49" s="14"/>
      <c r="E49" s="130">
        <v>-1E-3</v>
      </c>
      <c r="F49" s="130">
        <v>-6.0000000000000001E-3</v>
      </c>
      <c r="G49" s="130">
        <v>4.3999999999999997E-2</v>
      </c>
      <c r="H49" s="133" t="s">
        <v>9</v>
      </c>
      <c r="I49" s="133" t="s">
        <v>9</v>
      </c>
      <c r="J49" s="133" t="s">
        <v>9</v>
      </c>
      <c r="K49" s="133" t="s">
        <v>9</v>
      </c>
      <c r="L49" s="133" t="s">
        <v>9</v>
      </c>
      <c r="M49" s="133" t="s">
        <v>9</v>
      </c>
      <c r="N49" s="133" t="s">
        <v>9</v>
      </c>
      <c r="O49" s="133" t="s">
        <v>9</v>
      </c>
      <c r="P49" s="133">
        <v>1.4999999999999999E-2</v>
      </c>
    </row>
    <row r="50" spans="1:17" ht="16.5">
      <c r="A50" s="14"/>
      <c r="B50" s="2" t="s">
        <v>83</v>
      </c>
      <c r="C50" s="14"/>
      <c r="D50" s="14"/>
      <c r="E50" s="131">
        <v>-2E-3</v>
      </c>
      <c r="F50" s="149" t="s">
        <v>137</v>
      </c>
      <c r="G50" s="131">
        <v>0.01</v>
      </c>
      <c r="H50" s="149" t="s">
        <v>137</v>
      </c>
      <c r="I50" s="149">
        <v>4.0000000000000001E-3</v>
      </c>
      <c r="J50" s="149">
        <v>3.0000000000000001E-3</v>
      </c>
      <c r="K50" s="149">
        <v>-8.0000000000000002E-3</v>
      </c>
      <c r="L50" s="149">
        <v>-0.01</v>
      </c>
      <c r="M50" s="149">
        <v>-3.0000000000000001E-3</v>
      </c>
      <c r="N50" s="149">
        <v>-5.0000000000000001E-3</v>
      </c>
      <c r="O50" s="149">
        <v>-6.0000000000000001E-3</v>
      </c>
      <c r="P50" s="149">
        <v>-8.9999999999999993E-3</v>
      </c>
    </row>
    <row r="51" spans="1:17">
      <c r="A51" s="14"/>
      <c r="B51" s="27" t="s">
        <v>22</v>
      </c>
      <c r="C51" s="4"/>
      <c r="D51" s="14"/>
      <c r="E51" s="130">
        <v>8.2000000000000003E-2</v>
      </c>
      <c r="F51" s="130">
        <v>0.114</v>
      </c>
      <c r="G51" s="130">
        <v>-0.34499999999999997</v>
      </c>
      <c r="H51" s="130">
        <v>-0.28799999999999998</v>
      </c>
      <c r="I51" s="130">
        <v>0.13700000000000001</v>
      </c>
      <c r="J51" s="130">
        <v>0.23</v>
      </c>
      <c r="K51" s="130">
        <v>-0.53100000000000003</v>
      </c>
      <c r="L51" s="130">
        <v>-0.18200000000000005</v>
      </c>
      <c r="M51" s="130">
        <v>0.26400000000000001</v>
      </c>
      <c r="N51" s="130">
        <v>0.22</v>
      </c>
      <c r="O51" s="130">
        <v>-0.51800000000000002</v>
      </c>
      <c r="P51" s="130">
        <v>-3.5999999999999997E-2</v>
      </c>
    </row>
    <row r="52" spans="1:17" ht="16.5">
      <c r="A52" s="14"/>
      <c r="B52" s="2" t="s">
        <v>23</v>
      </c>
      <c r="C52" s="4"/>
      <c r="D52" s="14"/>
      <c r="E52" s="131">
        <v>5.0999999999999997E-2</v>
      </c>
      <c r="F52" s="131">
        <v>-4.0000000000000001E-3</v>
      </c>
      <c r="G52" s="131">
        <v>-2.5999999999999999E-2</v>
      </c>
      <c r="H52" s="131">
        <v>1.7999999999999999E-2</v>
      </c>
      <c r="I52" s="131">
        <v>-2E-3</v>
      </c>
      <c r="J52" s="131">
        <v>8.9999999999999993E-3</v>
      </c>
      <c r="K52" s="131">
        <v>-5.5E-2</v>
      </c>
      <c r="L52" s="131">
        <v>1.0999999999999999E-2</v>
      </c>
      <c r="M52" s="131">
        <v>-2.8000000000000001E-2</v>
      </c>
      <c r="N52" s="131">
        <v>0.01</v>
      </c>
      <c r="O52" s="131">
        <v>1.7999999999999999E-2</v>
      </c>
      <c r="P52" s="131">
        <v>1.2999999999999999E-2</v>
      </c>
    </row>
    <row r="53" spans="1:17" ht="16.5">
      <c r="A53" s="11"/>
      <c r="B53" s="29" t="s">
        <v>14</v>
      </c>
      <c r="C53" s="11"/>
      <c r="D53" s="11"/>
      <c r="E53" s="132">
        <v>3.1E-2</v>
      </c>
      <c r="F53" s="132">
        <v>0.11799999999999999</v>
      </c>
      <c r="G53" s="132">
        <v>-0.31900000000000001</v>
      </c>
      <c r="H53" s="132">
        <v>-0.30599999999999999</v>
      </c>
      <c r="I53" s="132">
        <v>0.13900000000000001</v>
      </c>
      <c r="J53" s="132">
        <v>0.221</v>
      </c>
      <c r="K53" s="132">
        <v>-0.47599999999999998</v>
      </c>
      <c r="L53" s="132">
        <v>-0.19300000000000006</v>
      </c>
      <c r="M53" s="132">
        <v>0.29199999999999998</v>
      </c>
      <c r="N53" s="132">
        <v>0.21</v>
      </c>
      <c r="O53" s="132">
        <v>-0.53600000000000003</v>
      </c>
      <c r="P53" s="132">
        <v>-4.9000000000000002E-2</v>
      </c>
    </row>
    <row r="54" spans="1:17">
      <c r="A54" s="86"/>
      <c r="B54" s="54"/>
      <c r="C54" s="23"/>
      <c r="D54" s="54"/>
      <c r="E54" s="23"/>
      <c r="F54" s="23"/>
      <c r="G54" s="23"/>
      <c r="H54" s="23"/>
      <c r="I54" s="23"/>
      <c r="J54" s="23"/>
      <c r="K54" s="23"/>
      <c r="L54" s="23"/>
      <c r="M54" s="23"/>
      <c r="N54" s="23"/>
      <c r="O54" s="23"/>
      <c r="P54" s="23"/>
    </row>
    <row r="55" spans="1:17">
      <c r="A55" s="86"/>
      <c r="B55" s="54"/>
      <c r="C55" s="23"/>
      <c r="D55" s="54"/>
    </row>
    <row r="56" spans="1:17" ht="16.5" customHeight="1">
      <c r="A56" s="45" t="s">
        <v>113</v>
      </c>
      <c r="B56" s="46"/>
      <c r="C56" s="23"/>
      <c r="D56" s="83"/>
    </row>
    <row r="57" spans="1:17" ht="36.6" customHeight="1">
      <c r="A57" s="373" t="s">
        <v>187</v>
      </c>
      <c r="B57" s="374"/>
      <c r="C57" s="374"/>
      <c r="D57" s="374"/>
      <c r="E57" s="374"/>
      <c r="F57" s="374"/>
      <c r="G57" s="374"/>
      <c r="H57" s="374"/>
      <c r="I57" s="374"/>
      <c r="J57" s="374"/>
      <c r="K57" s="374"/>
      <c r="L57" s="374"/>
      <c r="M57" s="374"/>
      <c r="N57" s="374"/>
      <c r="O57" s="374"/>
      <c r="P57" s="374"/>
    </row>
    <row r="58" spans="1:17">
      <c r="A58" s="82"/>
      <c r="B58" s="82"/>
      <c r="C58" s="82"/>
      <c r="D58" s="82"/>
    </row>
    <row r="59" spans="1:17">
      <c r="A59" s="46"/>
      <c r="B59" s="150"/>
      <c r="C59" s="150"/>
      <c r="D59" s="5"/>
      <c r="E59" s="24" t="s">
        <v>18</v>
      </c>
      <c r="F59" s="24" t="s">
        <v>15</v>
      </c>
      <c r="G59" s="24" t="s">
        <v>16</v>
      </c>
      <c r="H59" s="24" t="s">
        <v>17</v>
      </c>
      <c r="I59" s="24" t="s">
        <v>18</v>
      </c>
      <c r="J59" s="24" t="s">
        <v>15</v>
      </c>
      <c r="K59" s="24" t="s">
        <v>16</v>
      </c>
      <c r="L59" s="24" t="s">
        <v>17</v>
      </c>
      <c r="M59" s="24" t="s">
        <v>18</v>
      </c>
      <c r="N59" s="24" t="str">
        <f t="shared" ref="N59:P60" si="1">N5</f>
        <v>Q1</v>
      </c>
      <c r="O59" s="24" t="str">
        <f t="shared" si="1"/>
        <v>Q2</v>
      </c>
      <c r="P59" s="24" t="str">
        <f t="shared" si="1"/>
        <v>Q3</v>
      </c>
    </row>
    <row r="60" spans="1:17">
      <c r="A60" s="46"/>
      <c r="B60" s="150"/>
      <c r="C60" s="150"/>
      <c r="D60" s="5"/>
      <c r="E60" s="42" t="s">
        <v>26</v>
      </c>
      <c r="F60" s="42" t="s">
        <v>25</v>
      </c>
      <c r="G60" s="42" t="s">
        <v>25</v>
      </c>
      <c r="H60" s="42" t="s">
        <v>25</v>
      </c>
      <c r="I60" s="42" t="s">
        <v>25</v>
      </c>
      <c r="J60" s="42" t="s">
        <v>174</v>
      </c>
      <c r="K60" s="42" t="s">
        <v>174</v>
      </c>
      <c r="L60" s="243" t="s">
        <v>174</v>
      </c>
      <c r="M60" s="322" t="s">
        <v>174</v>
      </c>
      <c r="N60" s="329" t="str">
        <f t="shared" si="1"/>
        <v>FY13</v>
      </c>
      <c r="O60" s="333" t="str">
        <f t="shared" si="1"/>
        <v>FY13</v>
      </c>
      <c r="P60" s="42" t="str">
        <f t="shared" si="1"/>
        <v>FY13</v>
      </c>
    </row>
    <row r="61" spans="1:17" ht="8.25" customHeight="1">
      <c r="A61" s="45"/>
      <c r="B61" s="150"/>
      <c r="C61" s="150"/>
      <c r="D61" s="5"/>
    </row>
    <row r="62" spans="1:17">
      <c r="A62" s="43" t="s">
        <v>14</v>
      </c>
      <c r="B62" s="43"/>
      <c r="C62" s="1"/>
      <c r="E62" s="49">
        <v>30</v>
      </c>
      <c r="F62" s="49">
        <v>96</v>
      </c>
      <c r="G62" s="49">
        <v>-201</v>
      </c>
      <c r="H62" s="49">
        <v>-322</v>
      </c>
      <c r="I62" s="49">
        <v>151</v>
      </c>
      <c r="J62" s="49">
        <v>221</v>
      </c>
      <c r="K62" s="49">
        <v>-340</v>
      </c>
      <c r="L62" s="49">
        <v>-205</v>
      </c>
      <c r="M62" s="49">
        <v>400</v>
      </c>
      <c r="N62" s="49">
        <v>201</v>
      </c>
      <c r="O62" s="49">
        <v>-381</v>
      </c>
      <c r="P62" s="49">
        <v>-45</v>
      </c>
      <c r="Q62" s="324"/>
    </row>
    <row r="63" spans="1:17">
      <c r="A63" s="150"/>
      <c r="B63" s="2" t="s">
        <v>41</v>
      </c>
      <c r="C63" s="23"/>
      <c r="E63" s="50">
        <v>19</v>
      </c>
      <c r="F63" s="50">
        <v>20</v>
      </c>
      <c r="G63" s="50">
        <v>-10</v>
      </c>
      <c r="H63" s="50">
        <v>18</v>
      </c>
      <c r="I63" s="50">
        <v>24</v>
      </c>
      <c r="J63" s="50">
        <v>18</v>
      </c>
      <c r="K63" s="50">
        <v>38</v>
      </c>
      <c r="L63" s="50">
        <v>14</v>
      </c>
      <c r="M63" s="50">
        <v>36</v>
      </c>
      <c r="N63" s="50">
        <v>2</v>
      </c>
      <c r="O63" s="50">
        <v>21</v>
      </c>
      <c r="P63" s="50">
        <v>-15</v>
      </c>
      <c r="Q63" s="324"/>
    </row>
    <row r="64" spans="1:17">
      <c r="A64" s="150"/>
      <c r="B64" s="215" t="s">
        <v>182</v>
      </c>
      <c r="C64" s="23"/>
      <c r="E64" s="50">
        <v>0</v>
      </c>
      <c r="F64" s="50">
        <v>0</v>
      </c>
      <c r="G64" s="50">
        <v>0</v>
      </c>
      <c r="H64" s="50">
        <v>0</v>
      </c>
      <c r="I64" s="50">
        <v>0</v>
      </c>
      <c r="J64" s="50">
        <v>0</v>
      </c>
      <c r="K64" s="50">
        <v>4</v>
      </c>
      <c r="L64" s="50">
        <v>5</v>
      </c>
      <c r="M64" s="50">
        <v>5</v>
      </c>
      <c r="N64" s="50">
        <v>5</v>
      </c>
      <c r="O64" s="50">
        <v>5</v>
      </c>
      <c r="P64" s="50">
        <v>5</v>
      </c>
      <c r="Q64" s="324"/>
    </row>
    <row r="65" spans="1:17">
      <c r="A65" s="150"/>
      <c r="B65" s="48" t="s">
        <v>198</v>
      </c>
      <c r="C65" s="23"/>
      <c r="E65" s="50">
        <v>0</v>
      </c>
      <c r="F65" s="50">
        <v>0</v>
      </c>
      <c r="G65" s="50">
        <v>0</v>
      </c>
      <c r="H65" s="50">
        <v>0</v>
      </c>
      <c r="I65" s="50">
        <v>0</v>
      </c>
      <c r="J65" s="50">
        <v>0</v>
      </c>
      <c r="K65" s="321" t="s">
        <v>9</v>
      </c>
      <c r="L65" s="321" t="s">
        <v>9</v>
      </c>
      <c r="M65" s="50">
        <v>27</v>
      </c>
      <c r="N65" s="50">
        <v>0</v>
      </c>
      <c r="O65" s="50">
        <v>0</v>
      </c>
      <c r="P65" s="50">
        <v>0</v>
      </c>
      <c r="Q65" s="324"/>
    </row>
    <row r="66" spans="1:17">
      <c r="A66" s="150"/>
      <c r="B66" s="48" t="s">
        <v>36</v>
      </c>
      <c r="C66" s="23"/>
      <c r="E66" s="50">
        <v>-129</v>
      </c>
      <c r="F66" s="50">
        <v>-276</v>
      </c>
      <c r="G66" s="50">
        <v>253</v>
      </c>
      <c r="H66" s="50">
        <v>357</v>
      </c>
      <c r="I66" s="50">
        <v>-95</v>
      </c>
      <c r="J66" s="50">
        <v>-475</v>
      </c>
      <c r="K66" s="50">
        <v>319</v>
      </c>
      <c r="L66" s="50">
        <v>590</v>
      </c>
      <c r="M66" s="50">
        <v>-391</v>
      </c>
      <c r="N66" s="50">
        <v>-464</v>
      </c>
      <c r="O66" s="50">
        <v>369</v>
      </c>
      <c r="P66" s="50">
        <v>260</v>
      </c>
      <c r="Q66" s="324"/>
    </row>
    <row r="67" spans="1:17">
      <c r="A67" s="150"/>
      <c r="B67" s="2" t="s">
        <v>195</v>
      </c>
      <c r="C67" s="23"/>
      <c r="E67" s="50">
        <v>1</v>
      </c>
      <c r="F67" s="50">
        <v>5</v>
      </c>
      <c r="G67" s="50">
        <v>-28</v>
      </c>
      <c r="H67" s="50">
        <v>0</v>
      </c>
      <c r="I67" s="50">
        <v>0</v>
      </c>
      <c r="J67" s="50">
        <v>0</v>
      </c>
      <c r="K67" s="50">
        <v>0</v>
      </c>
      <c r="L67" s="50">
        <v>0</v>
      </c>
      <c r="M67" s="50">
        <v>0</v>
      </c>
      <c r="N67" s="50">
        <v>0</v>
      </c>
      <c r="O67" s="50">
        <v>0</v>
      </c>
      <c r="P67" s="50">
        <v>-14</v>
      </c>
      <c r="Q67" s="324"/>
    </row>
    <row r="68" spans="1:17">
      <c r="A68" s="150"/>
      <c r="B68" s="2" t="s">
        <v>38</v>
      </c>
      <c r="C68" s="23"/>
      <c r="E68" s="50">
        <v>-1</v>
      </c>
      <c r="F68" s="50">
        <v>0</v>
      </c>
      <c r="G68" s="50">
        <v>-1</v>
      </c>
      <c r="H68" s="50">
        <v>0</v>
      </c>
      <c r="I68" s="50">
        <v>0</v>
      </c>
      <c r="J68" s="50">
        <v>0</v>
      </c>
      <c r="K68" s="50">
        <v>0</v>
      </c>
      <c r="L68" s="50">
        <v>0</v>
      </c>
      <c r="M68" s="50">
        <v>0</v>
      </c>
      <c r="N68" s="50">
        <v>0</v>
      </c>
      <c r="O68" s="50">
        <v>0</v>
      </c>
      <c r="P68" s="50">
        <v>0</v>
      </c>
      <c r="Q68" s="324"/>
    </row>
    <row r="69" spans="1:17">
      <c r="A69" s="150"/>
      <c r="B69" s="2" t="s">
        <v>144</v>
      </c>
      <c r="C69" s="23"/>
      <c r="E69" s="50">
        <v>20</v>
      </c>
      <c r="F69" s="50">
        <v>2</v>
      </c>
      <c r="G69" s="50">
        <v>6</v>
      </c>
      <c r="H69" s="50">
        <v>154</v>
      </c>
      <c r="I69" s="50">
        <v>-1</v>
      </c>
      <c r="J69" s="50">
        <v>18</v>
      </c>
      <c r="K69" s="50">
        <v>-1</v>
      </c>
      <c r="L69" s="50">
        <v>0</v>
      </c>
      <c r="M69" s="50">
        <v>-1</v>
      </c>
      <c r="N69" s="50">
        <v>27</v>
      </c>
      <c r="O69" s="50">
        <v>-2</v>
      </c>
      <c r="P69" s="50">
        <v>2</v>
      </c>
      <c r="Q69" s="324"/>
    </row>
    <row r="70" spans="1:17">
      <c r="A70" s="150"/>
      <c r="B70" s="2" t="s">
        <v>39</v>
      </c>
      <c r="C70" s="23"/>
      <c r="E70" s="50">
        <v>42</v>
      </c>
      <c r="F70" s="50">
        <v>47</v>
      </c>
      <c r="G70" s="50">
        <v>43</v>
      </c>
      <c r="H70" s="50">
        <v>46</v>
      </c>
      <c r="I70" s="50">
        <v>38</v>
      </c>
      <c r="J70" s="50">
        <v>38</v>
      </c>
      <c r="K70" s="50">
        <v>43</v>
      </c>
      <c r="L70" s="50">
        <v>48</v>
      </c>
      <c r="M70" s="50">
        <v>41</v>
      </c>
      <c r="N70" s="50">
        <v>39</v>
      </c>
      <c r="O70" s="50">
        <v>44</v>
      </c>
      <c r="P70" s="50">
        <v>39</v>
      </c>
      <c r="Q70" s="324"/>
    </row>
    <row r="71" spans="1:17" ht="16.5">
      <c r="A71" s="150"/>
      <c r="B71" s="23" t="s">
        <v>40</v>
      </c>
      <c r="C71" s="23"/>
      <c r="E71" s="51">
        <v>41</v>
      </c>
      <c r="F71" s="51">
        <v>28</v>
      </c>
      <c r="G71" s="51">
        <v>-30</v>
      </c>
      <c r="H71" s="51">
        <v>-57</v>
      </c>
      <c r="I71" s="51">
        <v>-34</v>
      </c>
      <c r="J71" s="51">
        <v>57</v>
      </c>
      <c r="K71" s="51">
        <v>-46</v>
      </c>
      <c r="L71" s="51">
        <v>-118</v>
      </c>
      <c r="M71" s="51">
        <v>-61</v>
      </c>
      <c r="N71" s="51">
        <v>60</v>
      </c>
      <c r="O71" s="51">
        <v>-7</v>
      </c>
      <c r="P71" s="51">
        <v>-56</v>
      </c>
      <c r="Q71" s="324"/>
    </row>
    <row r="72" spans="1:17" ht="16.5">
      <c r="A72" s="41" t="s">
        <v>114</v>
      </c>
      <c r="B72" s="43"/>
      <c r="C72" s="41"/>
      <c r="E72" s="52">
        <v>23</v>
      </c>
      <c r="F72" s="52">
        <v>-78</v>
      </c>
      <c r="G72" s="52">
        <v>32</v>
      </c>
      <c r="H72" s="52">
        <v>196</v>
      </c>
      <c r="I72" s="52">
        <v>83</v>
      </c>
      <c r="J72" s="52">
        <v>-123</v>
      </c>
      <c r="K72" s="52">
        <v>17</v>
      </c>
      <c r="L72" s="52">
        <v>334</v>
      </c>
      <c r="M72" s="52">
        <v>56</v>
      </c>
      <c r="N72" s="52">
        <v>-130</v>
      </c>
      <c r="O72" s="52">
        <v>49</v>
      </c>
      <c r="P72" s="52">
        <v>176</v>
      </c>
      <c r="Q72" s="324"/>
    </row>
    <row r="73" spans="1:17" ht="6" customHeight="1"/>
    <row r="74" spans="1:17" ht="6" customHeight="1"/>
    <row r="75" spans="1:17">
      <c r="A75" s="150"/>
      <c r="B75" s="26"/>
      <c r="C75" s="28"/>
      <c r="D75" s="26"/>
    </row>
    <row r="76" spans="1:17">
      <c r="A76" s="25" t="s">
        <v>98</v>
      </c>
      <c r="B76" s="26"/>
      <c r="C76" s="28"/>
      <c r="D76" s="26"/>
    </row>
    <row r="77" spans="1:17">
      <c r="A77" s="25"/>
      <c r="B77" s="26"/>
      <c r="C77" s="28"/>
      <c r="D77" s="26"/>
    </row>
    <row r="78" spans="1:17" ht="14.25" customHeight="1">
      <c r="A78" s="26"/>
      <c r="B78" s="28"/>
      <c r="C78" s="28"/>
      <c r="D78" s="26"/>
      <c r="E78" s="24" t="s">
        <v>18</v>
      </c>
      <c r="F78" s="24" t="s">
        <v>15</v>
      </c>
      <c r="G78" s="24" t="s">
        <v>16</v>
      </c>
      <c r="H78" s="24" t="s">
        <v>17</v>
      </c>
      <c r="I78" s="24" t="s">
        <v>18</v>
      </c>
      <c r="J78" s="24" t="s">
        <v>15</v>
      </c>
      <c r="K78" s="24" t="s">
        <v>16</v>
      </c>
      <c r="L78" s="24" t="s">
        <v>17</v>
      </c>
      <c r="M78" s="24" t="s">
        <v>18</v>
      </c>
      <c r="N78" s="24" t="str">
        <f t="shared" ref="N78:P79" si="2">N59</f>
        <v>Q1</v>
      </c>
      <c r="O78" s="24" t="str">
        <f t="shared" si="2"/>
        <v>Q2</v>
      </c>
      <c r="P78" s="24" t="str">
        <f t="shared" si="2"/>
        <v>Q3</v>
      </c>
    </row>
    <row r="79" spans="1:17">
      <c r="A79" s="26"/>
      <c r="B79" s="40"/>
      <c r="C79" s="40"/>
      <c r="D79" s="26"/>
      <c r="E79" s="42" t="s">
        <v>26</v>
      </c>
      <c r="F79" s="42" t="s">
        <v>25</v>
      </c>
      <c r="G79" s="42" t="s">
        <v>25</v>
      </c>
      <c r="H79" s="42" t="s">
        <v>25</v>
      </c>
      <c r="I79" s="42" t="s">
        <v>25</v>
      </c>
      <c r="J79" s="42" t="s">
        <v>174</v>
      </c>
      <c r="K79" s="42" t="s">
        <v>174</v>
      </c>
      <c r="L79" s="243" t="s">
        <v>174</v>
      </c>
      <c r="M79" s="322" t="s">
        <v>174</v>
      </c>
      <c r="N79" s="329" t="str">
        <f t="shared" si="2"/>
        <v>FY13</v>
      </c>
      <c r="O79" s="333" t="str">
        <f t="shared" si="2"/>
        <v>FY13</v>
      </c>
      <c r="P79" s="42" t="str">
        <f t="shared" si="2"/>
        <v>FY13</v>
      </c>
    </row>
    <row r="80" spans="1:17" ht="7.5" customHeight="1">
      <c r="A80" s="26"/>
      <c r="B80" s="26"/>
      <c r="C80" s="26"/>
      <c r="D80" s="26"/>
    </row>
    <row r="81" spans="1:17">
      <c r="A81" s="26"/>
      <c r="B81" s="29" t="s">
        <v>0</v>
      </c>
      <c r="C81" s="31"/>
      <c r="D81" s="26"/>
      <c r="E81" s="222">
        <v>850</v>
      </c>
      <c r="F81" s="222">
        <v>539</v>
      </c>
      <c r="G81" s="222">
        <v>884</v>
      </c>
      <c r="H81" s="222">
        <v>1410</v>
      </c>
      <c r="I81" s="222">
        <v>995</v>
      </c>
      <c r="J81" s="222">
        <v>524</v>
      </c>
      <c r="K81" s="222">
        <v>1034</v>
      </c>
      <c r="L81" s="222">
        <v>1651</v>
      </c>
      <c r="M81" s="222">
        <v>977</v>
      </c>
      <c r="N81" s="222">
        <v>491</v>
      </c>
      <c r="O81" s="222">
        <v>1080</v>
      </c>
      <c r="P81" s="222">
        <v>1182</v>
      </c>
    </row>
    <row r="82" spans="1:17">
      <c r="A82" s="26"/>
      <c r="B82" s="35"/>
      <c r="C82" s="27" t="s">
        <v>201</v>
      </c>
      <c r="D82" s="26"/>
      <c r="E82" s="34">
        <v>296</v>
      </c>
      <c r="F82" s="34">
        <v>218</v>
      </c>
      <c r="G82" s="34">
        <v>361</v>
      </c>
      <c r="H82" s="34">
        <v>582</v>
      </c>
      <c r="I82" s="34">
        <v>325</v>
      </c>
      <c r="J82" s="34">
        <v>236</v>
      </c>
      <c r="K82" s="34">
        <v>424</v>
      </c>
      <c r="L82" s="34">
        <v>538</v>
      </c>
      <c r="M82" s="34">
        <v>346</v>
      </c>
      <c r="N82" s="34">
        <v>189</v>
      </c>
      <c r="O82" s="34">
        <v>431</v>
      </c>
      <c r="P82" s="34">
        <v>406</v>
      </c>
    </row>
    <row r="83" spans="1:17">
      <c r="A83" s="26"/>
      <c r="B83" s="29" t="s">
        <v>1</v>
      </c>
      <c r="C83" s="36"/>
      <c r="D83" s="26"/>
      <c r="E83" s="30">
        <v>554</v>
      </c>
      <c r="F83" s="30">
        <v>321</v>
      </c>
      <c r="G83" s="30">
        <v>523</v>
      </c>
      <c r="H83" s="30">
        <v>828</v>
      </c>
      <c r="I83" s="30">
        <v>670</v>
      </c>
      <c r="J83" s="30">
        <v>288</v>
      </c>
      <c r="K83" s="30">
        <v>610</v>
      </c>
      <c r="L83" s="30">
        <v>1113</v>
      </c>
      <c r="M83" s="30">
        <v>631</v>
      </c>
      <c r="N83" s="30">
        <v>302</v>
      </c>
      <c r="O83" s="30">
        <v>649</v>
      </c>
      <c r="P83" s="30">
        <v>776</v>
      </c>
    </row>
    <row r="84" spans="1:17">
      <c r="A84" s="26"/>
      <c r="B84" s="2" t="s">
        <v>2</v>
      </c>
      <c r="C84" s="9"/>
      <c r="D84" s="26"/>
      <c r="E84" s="30"/>
      <c r="F84" s="30"/>
      <c r="G84" s="30"/>
      <c r="H84" s="30"/>
      <c r="I84" s="30"/>
      <c r="J84" s="30"/>
      <c r="K84" s="30"/>
      <c r="L84" s="30"/>
      <c r="M84" s="30"/>
      <c r="N84" s="30"/>
      <c r="O84" s="30"/>
      <c r="P84" s="30"/>
    </row>
    <row r="85" spans="1:17">
      <c r="A85" s="26"/>
      <c r="B85" s="12"/>
      <c r="C85" s="8" t="s">
        <v>3</v>
      </c>
      <c r="D85" s="26"/>
      <c r="E85" s="33">
        <v>167</v>
      </c>
      <c r="F85" s="33">
        <v>123</v>
      </c>
      <c r="G85" s="33">
        <v>167</v>
      </c>
      <c r="H85" s="33">
        <v>247</v>
      </c>
      <c r="I85" s="33">
        <v>189</v>
      </c>
      <c r="J85" s="33">
        <v>135</v>
      </c>
      <c r="K85" s="33">
        <v>216</v>
      </c>
      <c r="L85" s="33">
        <v>262</v>
      </c>
      <c r="M85" s="33">
        <v>214</v>
      </c>
      <c r="N85" s="33">
        <v>138</v>
      </c>
      <c r="O85" s="33">
        <v>204</v>
      </c>
      <c r="P85" s="33">
        <v>207</v>
      </c>
      <c r="Q85" s="335"/>
    </row>
    <row r="86" spans="1:17">
      <c r="A86" s="26"/>
      <c r="B86" s="12"/>
      <c r="C86" s="8" t="s">
        <v>4</v>
      </c>
      <c r="D86" s="26"/>
      <c r="E86" s="33">
        <v>70</v>
      </c>
      <c r="F86" s="33">
        <v>62</v>
      </c>
      <c r="G86" s="33">
        <v>67</v>
      </c>
      <c r="H86" s="33">
        <v>65</v>
      </c>
      <c r="I86" s="33">
        <v>67</v>
      </c>
      <c r="J86" s="33">
        <v>65</v>
      </c>
      <c r="K86" s="33">
        <v>79</v>
      </c>
      <c r="L86" s="33">
        <v>87</v>
      </c>
      <c r="M86" s="33">
        <v>81</v>
      </c>
      <c r="N86" s="33">
        <v>77</v>
      </c>
      <c r="O86" s="33">
        <v>90</v>
      </c>
      <c r="P86" s="33">
        <v>61</v>
      </c>
      <c r="Q86" s="335"/>
    </row>
    <row r="87" spans="1:17">
      <c r="A87" s="26"/>
      <c r="B87" s="12"/>
      <c r="C87" s="8" t="s">
        <v>5</v>
      </c>
      <c r="D87" s="26"/>
      <c r="E87" s="34">
        <v>283</v>
      </c>
      <c r="F87" s="34">
        <v>245</v>
      </c>
      <c r="G87" s="34">
        <v>250</v>
      </c>
      <c r="H87" s="34">
        <v>244</v>
      </c>
      <c r="I87" s="34">
        <v>303</v>
      </c>
      <c r="J87" s="34">
        <v>262</v>
      </c>
      <c r="K87" s="34">
        <v>290</v>
      </c>
      <c r="L87" s="34">
        <v>295</v>
      </c>
      <c r="M87" s="34">
        <v>259</v>
      </c>
      <c r="N87" s="34">
        <v>268</v>
      </c>
      <c r="O87" s="34">
        <v>287</v>
      </c>
      <c r="P87" s="34">
        <v>261</v>
      </c>
      <c r="Q87" s="335"/>
    </row>
    <row r="88" spans="1:17">
      <c r="A88" s="26"/>
      <c r="B88" s="35"/>
      <c r="C88" s="35"/>
      <c r="D88" s="12" t="s">
        <v>10</v>
      </c>
      <c r="E88" s="34">
        <v>520</v>
      </c>
      <c r="F88" s="34">
        <v>430</v>
      </c>
      <c r="G88" s="34">
        <v>484</v>
      </c>
      <c r="H88" s="34">
        <v>556</v>
      </c>
      <c r="I88" s="34">
        <v>559</v>
      </c>
      <c r="J88" s="34">
        <v>462</v>
      </c>
      <c r="K88" s="34">
        <v>585</v>
      </c>
      <c r="L88" s="34">
        <v>644</v>
      </c>
      <c r="M88" s="34">
        <v>554</v>
      </c>
      <c r="N88" s="34">
        <v>483</v>
      </c>
      <c r="O88" s="34">
        <v>581</v>
      </c>
      <c r="P88" s="34">
        <v>529</v>
      </c>
      <c r="Q88" s="335"/>
    </row>
    <row r="89" spans="1:17" s="225" customFormat="1">
      <c r="A89" s="53"/>
      <c r="B89" s="29" t="s">
        <v>11</v>
      </c>
      <c r="C89" s="37"/>
      <c r="D89" s="53"/>
      <c r="E89" s="30">
        <v>34</v>
      </c>
      <c r="F89" s="30">
        <v>-109</v>
      </c>
      <c r="G89" s="30">
        <v>39</v>
      </c>
      <c r="H89" s="30">
        <v>272</v>
      </c>
      <c r="I89" s="30">
        <v>111</v>
      </c>
      <c r="J89" s="30">
        <v>-174</v>
      </c>
      <c r="K89" s="30">
        <v>25</v>
      </c>
      <c r="L89" s="30">
        <v>469</v>
      </c>
      <c r="M89" s="30">
        <v>77</v>
      </c>
      <c r="N89" s="30">
        <v>-181</v>
      </c>
      <c r="O89" s="30">
        <v>68</v>
      </c>
      <c r="P89" s="30">
        <v>247</v>
      </c>
      <c r="Q89" s="335"/>
    </row>
    <row r="90" spans="1:17">
      <c r="A90" s="26"/>
      <c r="B90" s="27" t="s">
        <v>83</v>
      </c>
      <c r="C90" s="38"/>
      <c r="D90" s="26"/>
      <c r="E90" s="34">
        <v>-2</v>
      </c>
      <c r="F90" s="34">
        <v>0</v>
      </c>
      <c r="G90" s="34">
        <v>6</v>
      </c>
      <c r="H90" s="34">
        <v>0</v>
      </c>
      <c r="I90" s="34">
        <v>4</v>
      </c>
      <c r="J90" s="34">
        <v>3</v>
      </c>
      <c r="K90" s="34">
        <v>-2</v>
      </c>
      <c r="L90" s="34">
        <v>-5</v>
      </c>
      <c r="M90" s="34">
        <v>1</v>
      </c>
      <c r="N90" s="34">
        <v>0</v>
      </c>
      <c r="O90" s="34">
        <v>1</v>
      </c>
      <c r="P90" s="34">
        <v>-3</v>
      </c>
      <c r="Q90" s="335"/>
    </row>
    <row r="91" spans="1:17">
      <c r="A91" s="26"/>
      <c r="B91" s="27" t="s">
        <v>22</v>
      </c>
      <c r="C91" s="38"/>
      <c r="D91" s="26"/>
      <c r="E91" s="33">
        <v>32</v>
      </c>
      <c r="F91" s="33">
        <v>-109</v>
      </c>
      <c r="G91" s="33">
        <v>45</v>
      </c>
      <c r="H91" s="33">
        <v>272</v>
      </c>
      <c r="I91" s="33">
        <v>115</v>
      </c>
      <c r="J91" s="33">
        <v>-171</v>
      </c>
      <c r="K91" s="33">
        <v>23</v>
      </c>
      <c r="L91" s="33">
        <v>464</v>
      </c>
      <c r="M91" s="33">
        <v>78</v>
      </c>
      <c r="N91" s="33">
        <v>-181</v>
      </c>
      <c r="O91" s="33">
        <v>69</v>
      </c>
      <c r="P91" s="33">
        <v>244</v>
      </c>
      <c r="Q91" s="335"/>
    </row>
    <row r="92" spans="1:17">
      <c r="A92" s="26"/>
      <c r="B92" s="27" t="s">
        <v>23</v>
      </c>
      <c r="C92" s="38"/>
      <c r="D92" s="26"/>
      <c r="E92" s="34">
        <v>9</v>
      </c>
      <c r="F92" s="34">
        <v>-31</v>
      </c>
      <c r="G92" s="34">
        <v>13</v>
      </c>
      <c r="H92" s="34">
        <v>76</v>
      </c>
      <c r="I92" s="34">
        <v>32</v>
      </c>
      <c r="J92" s="34">
        <v>-48</v>
      </c>
      <c r="K92" s="34">
        <v>6</v>
      </c>
      <c r="L92" s="34">
        <v>130</v>
      </c>
      <c r="M92" s="34">
        <v>22</v>
      </c>
      <c r="N92" s="34">
        <v>-51</v>
      </c>
      <c r="O92" s="34">
        <v>20</v>
      </c>
      <c r="P92" s="34">
        <v>68</v>
      </c>
      <c r="Q92" s="335"/>
    </row>
    <row r="93" spans="1:17" s="26" customFormat="1" ht="15.75" customHeight="1">
      <c r="B93" s="29" t="s">
        <v>114</v>
      </c>
      <c r="C93" s="32"/>
      <c r="E93" s="223">
        <v>23</v>
      </c>
      <c r="F93" s="223">
        <v>-78</v>
      </c>
      <c r="G93" s="223">
        <v>32</v>
      </c>
      <c r="H93" s="223">
        <v>196</v>
      </c>
      <c r="I93" s="223">
        <v>83</v>
      </c>
      <c r="J93" s="223">
        <v>-123</v>
      </c>
      <c r="K93" s="223">
        <v>17</v>
      </c>
      <c r="L93" s="223">
        <v>334</v>
      </c>
      <c r="M93" s="223">
        <v>56</v>
      </c>
      <c r="N93" s="223">
        <v>-130</v>
      </c>
      <c r="O93" s="223">
        <v>49</v>
      </c>
      <c r="P93" s="223">
        <v>176</v>
      </c>
      <c r="Q93" s="335"/>
    </row>
    <row r="94" spans="1:17" s="26" customFormat="1" ht="14.25">
      <c r="B94" s="29"/>
      <c r="C94" s="32"/>
      <c r="E94" s="39"/>
      <c r="F94" s="39"/>
      <c r="G94" s="39"/>
      <c r="H94" s="39"/>
      <c r="I94" s="39"/>
      <c r="J94" s="39"/>
      <c r="K94" s="39"/>
      <c r="L94" s="39"/>
      <c r="M94" s="39"/>
      <c r="N94" s="39"/>
      <c r="O94" s="39"/>
      <c r="P94" s="39"/>
    </row>
    <row r="95" spans="1:17">
      <c r="A95" s="86"/>
      <c r="B95" s="54" t="s">
        <v>136</v>
      </c>
      <c r="C95" s="54"/>
      <c r="D95" s="54"/>
      <c r="E95" s="87"/>
      <c r="F95" s="87"/>
      <c r="G95" s="87"/>
    </row>
    <row r="96" spans="1:17">
      <c r="A96" s="86"/>
      <c r="B96" s="23" t="s">
        <v>105</v>
      </c>
      <c r="C96" s="54"/>
      <c r="D96" s="54"/>
      <c r="E96" s="87">
        <v>7.0000000000000007E-2</v>
      </c>
      <c r="F96" s="87">
        <v>-0.24</v>
      </c>
      <c r="G96" s="87">
        <v>0.1</v>
      </c>
      <c r="H96" s="87">
        <v>0.59</v>
      </c>
      <c r="I96" s="87">
        <v>0.25</v>
      </c>
      <c r="J96" s="87">
        <v>-0.37</v>
      </c>
      <c r="K96" s="87">
        <v>0.05</v>
      </c>
      <c r="L96" s="87">
        <v>1.01</v>
      </c>
      <c r="M96" s="87">
        <v>0.17</v>
      </c>
      <c r="N96" s="87">
        <v>-0.41</v>
      </c>
      <c r="O96" s="87">
        <v>0.16</v>
      </c>
      <c r="P96" s="87">
        <v>0.57999999999999996</v>
      </c>
    </row>
    <row r="97" spans="1:16">
      <c r="B97" s="23" t="s">
        <v>106</v>
      </c>
      <c r="E97" s="87">
        <v>7.0000000000000007E-2</v>
      </c>
      <c r="F97" s="87">
        <v>-0.24</v>
      </c>
      <c r="G97" s="87">
        <v>0.1</v>
      </c>
      <c r="H97" s="87">
        <v>0.59</v>
      </c>
      <c r="I97" s="87">
        <v>0.25</v>
      </c>
      <c r="J97" s="87">
        <v>-0.37</v>
      </c>
      <c r="K97" s="87">
        <v>0.05</v>
      </c>
      <c r="L97" s="87">
        <v>0.99</v>
      </c>
      <c r="M97" s="87">
        <v>0.17</v>
      </c>
      <c r="N97" s="87">
        <v>-0.41</v>
      </c>
      <c r="O97" s="87">
        <v>0.15</v>
      </c>
      <c r="P97" s="87">
        <v>0.56999999999999995</v>
      </c>
    </row>
    <row r="98" spans="1:16" ht="9.75" customHeight="1">
      <c r="B98" s="23"/>
    </row>
    <row r="99" spans="1:16">
      <c r="A99" s="86"/>
      <c r="B99" s="7" t="s">
        <v>104</v>
      </c>
      <c r="C99" s="86"/>
      <c r="D99" s="54"/>
      <c r="E99" s="23"/>
      <c r="F99" s="23"/>
      <c r="G99" s="23"/>
    </row>
    <row r="100" spans="1:16">
      <c r="A100" s="86"/>
      <c r="B100" s="23" t="s">
        <v>105</v>
      </c>
      <c r="C100" s="86"/>
      <c r="D100" s="54"/>
      <c r="E100" s="23">
        <v>327</v>
      </c>
      <c r="F100" s="23">
        <v>328</v>
      </c>
      <c r="G100" s="23">
        <v>329</v>
      </c>
      <c r="H100" s="23">
        <v>332</v>
      </c>
      <c r="I100" s="23">
        <v>333</v>
      </c>
      <c r="J100" s="23">
        <v>331</v>
      </c>
      <c r="K100" s="23">
        <v>331</v>
      </c>
      <c r="L100" s="23">
        <v>332</v>
      </c>
      <c r="M100" s="23">
        <v>329</v>
      </c>
      <c r="N100" s="23">
        <v>317</v>
      </c>
      <c r="O100" s="23">
        <v>316</v>
      </c>
      <c r="P100" s="23">
        <v>304</v>
      </c>
    </row>
    <row r="101" spans="1:16">
      <c r="A101" s="86"/>
      <c r="B101" s="23" t="s">
        <v>106</v>
      </c>
      <c r="C101" s="23"/>
      <c r="D101" s="54"/>
      <c r="E101" s="23">
        <v>330</v>
      </c>
      <c r="F101" s="23">
        <v>328</v>
      </c>
      <c r="G101" s="23">
        <v>333</v>
      </c>
      <c r="H101" s="23">
        <v>335</v>
      </c>
      <c r="I101" s="23">
        <v>336</v>
      </c>
      <c r="J101" s="23">
        <v>331</v>
      </c>
      <c r="K101" s="23">
        <v>337</v>
      </c>
      <c r="L101" s="23">
        <v>338</v>
      </c>
      <c r="M101" s="23">
        <v>332</v>
      </c>
      <c r="N101" s="23">
        <v>317</v>
      </c>
      <c r="O101" s="23">
        <v>318</v>
      </c>
      <c r="P101" s="23">
        <v>308</v>
      </c>
    </row>
    <row r="102" spans="1:16" ht="6.75" customHeight="1">
      <c r="A102" s="86"/>
      <c r="B102" s="54"/>
      <c r="C102" s="23"/>
      <c r="D102" s="54"/>
      <c r="E102" s="23"/>
      <c r="F102" s="23"/>
      <c r="G102" s="23"/>
      <c r="H102" s="23"/>
      <c r="I102" s="23"/>
      <c r="J102" s="23"/>
      <c r="K102" s="23"/>
      <c r="L102" s="23"/>
      <c r="M102" s="23"/>
      <c r="N102" s="23"/>
      <c r="O102" s="23"/>
      <c r="P102" s="23"/>
    </row>
    <row r="103" spans="1:16">
      <c r="A103" s="25" t="s">
        <v>132</v>
      </c>
      <c r="B103" s="25"/>
    </row>
    <row r="104" spans="1:16">
      <c r="B104" s="54"/>
      <c r="E104" s="24" t="s">
        <v>18</v>
      </c>
      <c r="F104" s="24" t="s">
        <v>15</v>
      </c>
      <c r="G104" s="24" t="s">
        <v>16</v>
      </c>
      <c r="H104" s="24" t="s">
        <v>17</v>
      </c>
      <c r="I104" s="24" t="s">
        <v>18</v>
      </c>
      <c r="J104" s="24" t="s">
        <v>15</v>
      </c>
      <c r="K104" s="24" t="s">
        <v>16</v>
      </c>
      <c r="L104" s="24" t="s">
        <v>17</v>
      </c>
      <c r="M104" s="24" t="s">
        <v>18</v>
      </c>
      <c r="N104" s="24" t="str">
        <f t="shared" ref="N104:P105" si="3">N78</f>
        <v>Q1</v>
      </c>
      <c r="O104" s="24" t="str">
        <f t="shared" si="3"/>
        <v>Q2</v>
      </c>
      <c r="P104" s="24" t="str">
        <f t="shared" si="3"/>
        <v>Q3</v>
      </c>
    </row>
    <row r="105" spans="1:16">
      <c r="B105" s="54"/>
      <c r="E105" s="42" t="s">
        <v>26</v>
      </c>
      <c r="F105" s="42" t="s">
        <v>25</v>
      </c>
      <c r="G105" s="42" t="s">
        <v>25</v>
      </c>
      <c r="H105" s="42" t="s">
        <v>25</v>
      </c>
      <c r="I105" s="42" t="s">
        <v>25</v>
      </c>
      <c r="J105" s="42" t="s">
        <v>174</v>
      </c>
      <c r="K105" s="42" t="s">
        <v>174</v>
      </c>
      <c r="L105" s="243" t="s">
        <v>174</v>
      </c>
      <c r="M105" s="322" t="s">
        <v>174</v>
      </c>
      <c r="N105" s="329" t="str">
        <f t="shared" si="3"/>
        <v>FY13</v>
      </c>
      <c r="O105" s="333" t="str">
        <f t="shared" si="3"/>
        <v>FY13</v>
      </c>
      <c r="P105" s="42" t="str">
        <f t="shared" si="3"/>
        <v>FY13</v>
      </c>
    </row>
    <row r="106" spans="1:16">
      <c r="B106" s="54"/>
      <c r="E106" s="24"/>
      <c r="F106" s="24"/>
      <c r="G106" s="24"/>
      <c r="H106" s="24"/>
      <c r="I106" s="24"/>
      <c r="J106" s="24"/>
      <c r="K106" s="24"/>
      <c r="L106" s="24"/>
      <c r="M106" s="24"/>
      <c r="N106" s="24"/>
      <c r="O106" s="24"/>
      <c r="P106" s="24"/>
    </row>
    <row r="107" spans="1:16">
      <c r="B107" s="29" t="s">
        <v>1</v>
      </c>
      <c r="E107" s="125">
        <v>0.65200000000000002</v>
      </c>
      <c r="F107" s="125">
        <v>0.59599999999999997</v>
      </c>
      <c r="G107" s="125">
        <v>0.59199999999999997</v>
      </c>
      <c r="H107" s="125">
        <v>0.58699999999999997</v>
      </c>
      <c r="I107" s="125">
        <v>0.67300000000000004</v>
      </c>
      <c r="J107" s="125">
        <v>0.55000000000000004</v>
      </c>
      <c r="K107" s="125">
        <v>0.59</v>
      </c>
      <c r="L107" s="125">
        <v>0.67400000000000004</v>
      </c>
      <c r="M107" s="125">
        <v>0.64600000000000002</v>
      </c>
      <c r="N107" s="125">
        <v>0.61499999999999999</v>
      </c>
      <c r="O107" s="125">
        <v>0.60099999999999998</v>
      </c>
      <c r="P107" s="125">
        <v>0.65700000000000003</v>
      </c>
    </row>
    <row r="108" spans="1:16">
      <c r="B108" s="2" t="s">
        <v>2</v>
      </c>
      <c r="E108" s="125"/>
      <c r="F108" s="125"/>
      <c r="G108" s="125"/>
      <c r="H108" s="125"/>
      <c r="I108" s="125"/>
      <c r="J108" s="125"/>
      <c r="K108" s="125"/>
      <c r="L108" s="125"/>
      <c r="M108" s="125"/>
      <c r="N108" s="125"/>
      <c r="O108" s="125"/>
      <c r="P108" s="125"/>
    </row>
    <row r="109" spans="1:16">
      <c r="B109" s="12"/>
      <c r="C109" s="8" t="s">
        <v>3</v>
      </c>
      <c r="E109" s="126">
        <v>0.19600000000000001</v>
      </c>
      <c r="F109" s="126">
        <v>0.22800000000000001</v>
      </c>
      <c r="G109" s="126">
        <v>0.189</v>
      </c>
      <c r="H109" s="126">
        <v>0.17499999999999999</v>
      </c>
      <c r="I109" s="126">
        <v>0.19</v>
      </c>
      <c r="J109" s="126">
        <v>0.25800000000000001</v>
      </c>
      <c r="K109" s="126">
        <v>0.20899999999999999</v>
      </c>
      <c r="L109" s="126">
        <v>0.159</v>
      </c>
      <c r="M109" s="126">
        <v>0.219</v>
      </c>
      <c r="N109" s="126">
        <v>0.28100000000000003</v>
      </c>
      <c r="O109" s="126">
        <v>0.189</v>
      </c>
      <c r="P109" s="126">
        <v>0.17499999999999999</v>
      </c>
    </row>
    <row r="110" spans="1:16">
      <c r="B110" s="12"/>
      <c r="C110" s="8" t="s">
        <v>4</v>
      </c>
      <c r="E110" s="126">
        <v>8.2000000000000003E-2</v>
      </c>
      <c r="F110" s="126">
        <v>0.115</v>
      </c>
      <c r="G110" s="126">
        <v>7.5999999999999998E-2</v>
      </c>
      <c r="H110" s="126">
        <v>4.5999999999999999E-2</v>
      </c>
      <c r="I110" s="126">
        <v>6.7000000000000004E-2</v>
      </c>
      <c r="J110" s="126">
        <v>0.124</v>
      </c>
      <c r="K110" s="126">
        <v>7.6999999999999999E-2</v>
      </c>
      <c r="L110" s="226">
        <v>5.2999999999999999E-2</v>
      </c>
      <c r="M110" s="226">
        <v>8.3000000000000004E-2</v>
      </c>
      <c r="N110" s="226">
        <v>0.157</v>
      </c>
      <c r="O110" s="226">
        <v>8.3000000000000004E-2</v>
      </c>
      <c r="P110" s="226">
        <v>5.1999999999999998E-2</v>
      </c>
    </row>
    <row r="111" spans="1:16">
      <c r="B111" s="12"/>
      <c r="C111" s="8" t="s">
        <v>5</v>
      </c>
      <c r="E111" s="127">
        <v>0.33400000000000002</v>
      </c>
      <c r="F111" s="127">
        <v>0.45500000000000002</v>
      </c>
      <c r="G111" s="127">
        <v>0.28299999999999997</v>
      </c>
      <c r="H111" s="127">
        <v>0.17299999999999999</v>
      </c>
      <c r="I111" s="127">
        <v>0.30399999999999999</v>
      </c>
      <c r="J111" s="127">
        <v>0.5</v>
      </c>
      <c r="K111" s="127">
        <v>0.28000000000000003</v>
      </c>
      <c r="L111" s="127">
        <v>0.17799999999999999</v>
      </c>
      <c r="M111" s="127">
        <v>0.26500000000000001</v>
      </c>
      <c r="N111" s="127">
        <v>0.54600000000000004</v>
      </c>
      <c r="O111" s="127">
        <v>0.26600000000000001</v>
      </c>
      <c r="P111" s="127">
        <v>0.221</v>
      </c>
    </row>
    <row r="112" spans="1:16">
      <c r="B112" s="35"/>
      <c r="D112" s="12" t="s">
        <v>10</v>
      </c>
      <c r="E112" s="127">
        <v>0.61199999999999999</v>
      </c>
      <c r="F112" s="127">
        <v>0.79800000000000004</v>
      </c>
      <c r="G112" s="127">
        <v>0.54800000000000004</v>
      </c>
      <c r="H112" s="127">
        <v>0.39400000000000002</v>
      </c>
      <c r="I112" s="127">
        <v>0.56099999999999994</v>
      </c>
      <c r="J112" s="127">
        <v>0.88200000000000001</v>
      </c>
      <c r="K112" s="127">
        <v>0.56599999999999995</v>
      </c>
      <c r="L112" s="127">
        <v>0.39</v>
      </c>
      <c r="M112" s="127">
        <v>0.56699999999999995</v>
      </c>
      <c r="N112" s="127">
        <v>0.98399999999999999</v>
      </c>
      <c r="O112" s="127">
        <v>0.53800000000000003</v>
      </c>
      <c r="P112" s="127">
        <v>0.44800000000000001</v>
      </c>
    </row>
    <row r="113" spans="2:16">
      <c r="B113" s="29" t="s">
        <v>11</v>
      </c>
      <c r="E113" s="125">
        <v>0.04</v>
      </c>
      <c r="F113" s="125">
        <v>-0.20200000000000001</v>
      </c>
      <c r="G113" s="125">
        <v>4.3999999999999997E-2</v>
      </c>
      <c r="H113" s="125">
        <v>0.193</v>
      </c>
      <c r="I113" s="125">
        <v>0.1120000000000001</v>
      </c>
      <c r="J113" s="125">
        <v>-0.33200000000000002</v>
      </c>
      <c r="K113" s="125">
        <v>2.4E-2</v>
      </c>
      <c r="L113" s="125">
        <v>0.28400000000000003</v>
      </c>
      <c r="M113" s="125">
        <v>7.9000000000000001E-2</v>
      </c>
      <c r="N113" s="125">
        <v>-0.36899999999999999</v>
      </c>
      <c r="O113" s="125">
        <v>6.3E-2</v>
      </c>
      <c r="P113" s="125">
        <v>0.20899999999999999</v>
      </c>
    </row>
    <row r="114" spans="2:16">
      <c r="B114" s="27" t="s">
        <v>83</v>
      </c>
      <c r="E114" s="127">
        <v>-2E-3</v>
      </c>
      <c r="F114" s="149" t="s">
        <v>137</v>
      </c>
      <c r="G114" s="127">
        <v>7.0000000000000001E-3</v>
      </c>
      <c r="H114" s="149" t="s">
        <v>137</v>
      </c>
      <c r="I114" s="149">
        <v>4.0000000000000001E-3</v>
      </c>
      <c r="J114" s="149">
        <v>6.0000000000000001E-3</v>
      </c>
      <c r="K114" s="149">
        <v>-2E-3</v>
      </c>
      <c r="L114" s="149">
        <v>-3.0000000000000001E-3</v>
      </c>
      <c r="M114" s="149">
        <v>1E-3</v>
      </c>
      <c r="N114" s="149" t="s">
        <v>137</v>
      </c>
      <c r="O114" s="149">
        <v>1E-3</v>
      </c>
      <c r="P114" s="149">
        <v>-3.0000000000000001E-3</v>
      </c>
    </row>
    <row r="115" spans="2:16">
      <c r="B115" s="27" t="s">
        <v>22</v>
      </c>
      <c r="E115" s="126">
        <v>3.7999999999999999E-2</v>
      </c>
      <c r="F115" s="126">
        <v>-0.20200000000000001</v>
      </c>
      <c r="G115" s="126">
        <v>5.0999999999999997E-2</v>
      </c>
      <c r="H115" s="126">
        <v>0.193</v>
      </c>
      <c r="I115" s="126">
        <v>0.1160000000000001</v>
      </c>
      <c r="J115" s="126">
        <v>-0.32600000000000001</v>
      </c>
      <c r="K115" s="126">
        <v>2.1999999999999999E-2</v>
      </c>
      <c r="L115" s="126">
        <v>0.28100000000000003</v>
      </c>
      <c r="M115" s="126">
        <v>0.08</v>
      </c>
      <c r="N115" s="126">
        <v>-0.36899999999999999</v>
      </c>
      <c r="O115" s="126">
        <v>6.4000000000000001E-2</v>
      </c>
      <c r="P115" s="126">
        <v>0.20599999999999999</v>
      </c>
    </row>
    <row r="116" spans="2:16">
      <c r="B116" s="27" t="s">
        <v>23</v>
      </c>
      <c r="E116" s="127">
        <v>1.0999999999999999E-2</v>
      </c>
      <c r="F116" s="127">
        <v>-5.7000000000000002E-2</v>
      </c>
      <c r="G116" s="127">
        <v>1.4999999999999999E-2</v>
      </c>
      <c r="H116" s="127">
        <v>5.3999999999999999E-2</v>
      </c>
      <c r="I116" s="127">
        <v>3.3000000000000002E-2</v>
      </c>
      <c r="J116" s="127">
        <v>-9.0999999999999998E-2</v>
      </c>
      <c r="K116" s="127">
        <v>6.0000000000000001E-3</v>
      </c>
      <c r="L116" s="127">
        <v>7.9000000000000001E-2</v>
      </c>
      <c r="M116" s="127">
        <v>2.3E-2</v>
      </c>
      <c r="N116" s="127">
        <v>-0.104</v>
      </c>
      <c r="O116" s="127">
        <v>1.9E-2</v>
      </c>
      <c r="P116" s="127">
        <v>5.7000000000000002E-2</v>
      </c>
    </row>
    <row r="117" spans="2:16">
      <c r="B117" s="29" t="s">
        <v>114</v>
      </c>
      <c r="E117" s="128">
        <v>2.7E-2</v>
      </c>
      <c r="F117" s="128">
        <v>-0.14499999999999999</v>
      </c>
      <c r="G117" s="128">
        <v>3.5999999999999997E-2</v>
      </c>
      <c r="H117" s="128">
        <v>0.13900000000000001</v>
      </c>
      <c r="I117" s="128">
        <v>8.3000000000000004E-2</v>
      </c>
      <c r="J117" s="128">
        <v>-0.23499999999999999</v>
      </c>
      <c r="K117" s="128">
        <v>1.6E-2</v>
      </c>
      <c r="L117" s="128">
        <v>0.20200000000000001</v>
      </c>
      <c r="M117" s="128">
        <v>5.7000000000000002E-2</v>
      </c>
      <c r="N117" s="128">
        <v>-0.26500000000000001</v>
      </c>
      <c r="O117" s="128">
        <v>4.4999999999999998E-2</v>
      </c>
      <c r="P117" s="128">
        <v>0.14899999999999999</v>
      </c>
    </row>
    <row r="118" spans="2:16" ht="0.75" customHeight="1"/>
  </sheetData>
  <mergeCells count="4">
    <mergeCell ref="A3:P3"/>
    <mergeCell ref="A57:P57"/>
    <mergeCell ref="A1:P1"/>
    <mergeCell ref="A2:P2"/>
  </mergeCells>
  <phoneticPr fontId="15" type="noConversion"/>
  <conditionalFormatting sqref="B78 C75:C78">
    <cfRule type="cellIs" dxfId="1" priority="5" stopIfTrue="1" operator="equal">
      <formula>"tie to PF Core IS"</formula>
    </cfRule>
  </conditionalFormatting>
  <pageMargins left="0.7" right="0.7" top="0.54" bottom="0.28999999999999998" header="0.3" footer="0.3"/>
  <pageSetup scale="60" orientation="landscape" r:id="rId1"/>
  <headerFooter>
    <oddFooter>&amp;LElectronic Arts Inc.&amp;C&amp;D&amp;R&amp;P of &amp;N</oddFooter>
  </headerFooter>
  <rowBreaks count="1" manualBreakCount="1">
    <brk id="55" max="15" man="1"/>
  </rowBreaks>
  <customProperties>
    <customPr name="ConnName"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Y107"/>
  <sheetViews>
    <sheetView zoomScaleNormal="100" workbookViewId="0">
      <pane xSplit="4" ySplit="7" topLeftCell="F8" activePane="bottomRight" state="frozen"/>
      <selection activeCell="H54" sqref="H54"/>
      <selection pane="topRight" activeCell="H54" sqref="H54"/>
      <selection pane="bottomLeft" activeCell="H54" sqref="H54"/>
      <selection pane="bottomRight" activeCell="H54" sqref="H54"/>
    </sheetView>
  </sheetViews>
  <sheetFormatPr defaultColWidth="11.42578125" defaultRowHeight="12"/>
  <cols>
    <col min="1" max="3" width="2.7109375" style="7" customWidth="1"/>
    <col min="4" max="4" width="50.140625" style="7" customWidth="1"/>
    <col min="5" max="11" width="10.5703125" style="7" customWidth="1"/>
    <col min="12" max="16" width="9.28515625" style="7" customWidth="1"/>
    <col min="17" max="16384" width="11.42578125" style="7"/>
  </cols>
  <sheetData>
    <row r="1" spans="1:25" s="85" customFormat="1" ht="15" collapsed="1">
      <c r="A1" s="371" t="s">
        <v>68</v>
      </c>
      <c r="B1" s="372"/>
      <c r="C1" s="372"/>
      <c r="D1" s="372"/>
      <c r="E1" s="372"/>
      <c r="F1" s="372"/>
      <c r="G1" s="372"/>
      <c r="H1" s="372"/>
      <c r="I1" s="372"/>
      <c r="J1" s="372"/>
      <c r="K1" s="372"/>
      <c r="L1" s="372"/>
      <c r="M1" s="372"/>
      <c r="N1" s="372"/>
      <c r="O1" s="372"/>
      <c r="P1" s="372"/>
    </row>
    <row r="2" spans="1:25" s="85" customFormat="1" ht="15">
      <c r="A2" s="371" t="s">
        <v>127</v>
      </c>
      <c r="B2" s="372"/>
      <c r="C2" s="372"/>
      <c r="D2" s="372"/>
      <c r="E2" s="372"/>
      <c r="F2" s="372"/>
      <c r="G2" s="372"/>
      <c r="H2" s="372"/>
      <c r="I2" s="372"/>
      <c r="J2" s="372"/>
      <c r="K2" s="372"/>
      <c r="L2" s="372"/>
      <c r="M2" s="372"/>
      <c r="N2" s="372"/>
      <c r="O2" s="372"/>
      <c r="P2" s="372"/>
    </row>
    <row r="3" spans="1:25" s="85" customFormat="1" ht="15">
      <c r="A3" s="371" t="s">
        <v>70</v>
      </c>
      <c r="B3" s="372"/>
      <c r="C3" s="372"/>
      <c r="D3" s="372"/>
      <c r="E3" s="372"/>
      <c r="F3" s="372"/>
      <c r="G3" s="372"/>
      <c r="H3" s="372"/>
      <c r="I3" s="372"/>
      <c r="J3" s="372"/>
      <c r="K3" s="372"/>
      <c r="L3" s="372"/>
      <c r="M3" s="372"/>
      <c r="N3" s="372"/>
      <c r="O3" s="372"/>
      <c r="P3" s="372"/>
      <c r="Q3" s="6"/>
      <c r="U3" s="6"/>
      <c r="Y3" s="6"/>
    </row>
    <row r="4" spans="1:25">
      <c r="E4" s="2"/>
      <c r="F4" s="2"/>
      <c r="G4" s="2"/>
      <c r="H4" s="2"/>
      <c r="I4" s="2"/>
      <c r="J4" s="2"/>
      <c r="K4" s="2"/>
      <c r="L4" s="2"/>
      <c r="M4" s="2"/>
      <c r="N4" s="2"/>
      <c r="O4" s="2"/>
      <c r="P4" s="2"/>
    </row>
    <row r="5" spans="1:25">
      <c r="E5" s="24" t="s">
        <v>18</v>
      </c>
      <c r="F5" s="24" t="s">
        <v>15</v>
      </c>
      <c r="G5" s="24" t="s">
        <v>16</v>
      </c>
      <c r="H5" s="24" t="s">
        <v>17</v>
      </c>
      <c r="I5" s="24" t="s">
        <v>18</v>
      </c>
      <c r="J5" s="24" t="s">
        <v>15</v>
      </c>
      <c r="K5" s="24" t="s">
        <v>16</v>
      </c>
      <c r="L5" s="24" t="s">
        <v>17</v>
      </c>
      <c r="M5" s="24" t="s">
        <v>18</v>
      </c>
      <c r="N5" s="24" t="s">
        <v>15</v>
      </c>
      <c r="O5" s="24" t="s">
        <v>16</v>
      </c>
      <c r="P5" s="24" t="s">
        <v>17</v>
      </c>
    </row>
    <row r="6" spans="1:25">
      <c r="A6" s="6"/>
      <c r="B6" s="6"/>
      <c r="C6" s="6"/>
      <c r="D6" s="6"/>
      <c r="E6" s="24" t="s">
        <v>26</v>
      </c>
      <c r="F6" s="24" t="s">
        <v>25</v>
      </c>
      <c r="G6" s="24" t="s">
        <v>25</v>
      </c>
      <c r="H6" s="24" t="s">
        <v>25</v>
      </c>
      <c r="I6" s="24" t="s">
        <v>25</v>
      </c>
      <c r="J6" s="24" t="s">
        <v>174</v>
      </c>
      <c r="K6" s="24" t="s">
        <v>174</v>
      </c>
      <c r="L6" s="24" t="s">
        <v>174</v>
      </c>
      <c r="M6" s="24" t="s">
        <v>174</v>
      </c>
      <c r="N6" s="24" t="s">
        <v>199</v>
      </c>
      <c r="O6" s="24" t="s">
        <v>199</v>
      </c>
      <c r="P6" s="24" t="s">
        <v>199</v>
      </c>
    </row>
    <row r="7" spans="1:25" s="8" customFormat="1">
      <c r="E7" s="42" t="s">
        <v>21</v>
      </c>
      <c r="F7" s="42" t="s">
        <v>21</v>
      </c>
      <c r="G7" s="42" t="s">
        <v>21</v>
      </c>
      <c r="H7" s="42" t="s">
        <v>21</v>
      </c>
      <c r="I7" s="42" t="s">
        <v>21</v>
      </c>
      <c r="J7" s="42" t="s">
        <v>21</v>
      </c>
      <c r="K7" s="42" t="s">
        <v>21</v>
      </c>
      <c r="L7" s="243" t="s">
        <v>21</v>
      </c>
      <c r="M7" s="323" t="s">
        <v>21</v>
      </c>
      <c r="N7" s="329" t="s">
        <v>21</v>
      </c>
      <c r="O7" s="334" t="s">
        <v>21</v>
      </c>
      <c r="P7" s="42" t="s">
        <v>21</v>
      </c>
    </row>
    <row r="8" spans="1:25" s="8" customFormat="1">
      <c r="E8" s="24"/>
      <c r="F8" s="24"/>
      <c r="G8" s="24"/>
      <c r="H8" s="24"/>
      <c r="I8" s="24"/>
      <c r="J8" s="24"/>
      <c r="K8" s="24"/>
      <c r="L8" s="24"/>
      <c r="M8" s="24"/>
      <c r="N8" s="24"/>
      <c r="O8" s="24"/>
      <c r="P8" s="24"/>
    </row>
    <row r="9" spans="1:25" s="10" customFormat="1">
      <c r="B9" s="1" t="s">
        <v>0</v>
      </c>
      <c r="C9" s="11"/>
      <c r="E9" s="15">
        <v>3654</v>
      </c>
      <c r="F9" s="15">
        <v>3825</v>
      </c>
      <c r="G9" s="15">
        <v>3668</v>
      </c>
      <c r="H9" s="15">
        <v>3478</v>
      </c>
      <c r="I9" s="15">
        <v>3589</v>
      </c>
      <c r="J9" s="15">
        <v>3773</v>
      </c>
      <c r="K9" s="15">
        <v>3857</v>
      </c>
      <c r="L9" s="15">
        <v>3865</v>
      </c>
      <c r="M9" s="15">
        <v>4143</v>
      </c>
      <c r="N9" s="15">
        <v>4099</v>
      </c>
      <c r="O9" s="15">
        <v>4095</v>
      </c>
      <c r="P9" s="15">
        <v>3956</v>
      </c>
      <c r="Q9" s="362"/>
    </row>
    <row r="10" spans="1:25" s="12" customFormat="1" ht="14.25">
      <c r="C10" s="2" t="s">
        <v>201</v>
      </c>
      <c r="E10" s="16">
        <v>1866</v>
      </c>
      <c r="F10" s="16">
        <v>1767</v>
      </c>
      <c r="G10" s="16">
        <v>1537</v>
      </c>
      <c r="H10" s="16">
        <v>1469</v>
      </c>
      <c r="I10" s="16">
        <v>1499</v>
      </c>
      <c r="J10" s="16">
        <v>1517</v>
      </c>
      <c r="K10" s="16">
        <v>1586</v>
      </c>
      <c r="L10" s="16">
        <v>1552</v>
      </c>
      <c r="M10" s="16">
        <v>1598</v>
      </c>
      <c r="N10" s="16">
        <v>1563</v>
      </c>
      <c r="O10" s="16">
        <v>1576</v>
      </c>
      <c r="P10" s="16">
        <v>1453</v>
      </c>
      <c r="Q10" s="363"/>
    </row>
    <row r="11" spans="1:25" s="9" customFormat="1">
      <c r="B11" s="1" t="s">
        <v>1</v>
      </c>
      <c r="E11" s="17">
        <v>1788</v>
      </c>
      <c r="F11" s="17">
        <v>2058</v>
      </c>
      <c r="G11" s="17">
        <v>2131</v>
      </c>
      <c r="H11" s="17">
        <v>2009</v>
      </c>
      <c r="I11" s="17">
        <v>2090</v>
      </c>
      <c r="J11" s="17">
        <v>2256</v>
      </c>
      <c r="K11" s="17">
        <v>2271</v>
      </c>
      <c r="L11" s="17">
        <v>2313</v>
      </c>
      <c r="M11" s="17">
        <v>2545</v>
      </c>
      <c r="N11" s="17">
        <v>2536</v>
      </c>
      <c r="O11" s="17">
        <v>2519</v>
      </c>
      <c r="P11" s="17">
        <v>2503</v>
      </c>
      <c r="Q11" s="362"/>
    </row>
    <row r="12" spans="1:25" s="9" customFormat="1">
      <c r="B12" s="2" t="s">
        <v>2</v>
      </c>
      <c r="E12" s="17"/>
      <c r="F12" s="17"/>
      <c r="G12" s="17"/>
      <c r="H12" s="17"/>
      <c r="I12" s="17"/>
      <c r="J12" s="17"/>
      <c r="K12" s="17"/>
      <c r="L12" s="17"/>
      <c r="M12" s="17"/>
      <c r="N12" s="17"/>
      <c r="O12" s="17"/>
      <c r="P12" s="17"/>
      <c r="Q12" s="362"/>
    </row>
    <row r="13" spans="1:25" s="12" customFormat="1">
      <c r="C13" s="8" t="s">
        <v>3</v>
      </c>
      <c r="E13" s="18">
        <v>730</v>
      </c>
      <c r="F13" s="18">
        <v>693</v>
      </c>
      <c r="G13" s="18">
        <v>679</v>
      </c>
      <c r="H13" s="18">
        <v>724</v>
      </c>
      <c r="I13" s="18">
        <v>747</v>
      </c>
      <c r="J13" s="18">
        <v>760</v>
      </c>
      <c r="K13" s="18">
        <v>809</v>
      </c>
      <c r="L13" s="18">
        <v>825</v>
      </c>
      <c r="M13" s="18">
        <v>853</v>
      </c>
      <c r="N13" s="18">
        <v>858</v>
      </c>
      <c r="O13" s="18">
        <v>848</v>
      </c>
      <c r="P13" s="18">
        <v>793</v>
      </c>
      <c r="Q13" s="362"/>
    </row>
    <row r="14" spans="1:25" s="12" customFormat="1">
      <c r="C14" s="8" t="s">
        <v>4</v>
      </c>
      <c r="E14" s="18">
        <v>320</v>
      </c>
      <c r="F14" s="18">
        <v>328</v>
      </c>
      <c r="G14" s="18">
        <v>314</v>
      </c>
      <c r="H14" s="18">
        <v>305</v>
      </c>
      <c r="I14" s="18">
        <v>301</v>
      </c>
      <c r="J14" s="18">
        <v>301</v>
      </c>
      <c r="K14" s="18">
        <v>312</v>
      </c>
      <c r="L14" s="18">
        <v>335</v>
      </c>
      <c r="M14" s="18">
        <v>375</v>
      </c>
      <c r="N14" s="18">
        <v>387</v>
      </c>
      <c r="O14" s="18">
        <v>398</v>
      </c>
      <c r="P14" s="18">
        <v>368</v>
      </c>
      <c r="Q14" s="362"/>
    </row>
    <row r="15" spans="1:25" s="12" customFormat="1">
      <c r="C15" s="8" t="s">
        <v>5</v>
      </c>
      <c r="E15" s="18">
        <v>1229</v>
      </c>
      <c r="F15" s="18">
        <v>1192</v>
      </c>
      <c r="G15" s="18">
        <v>1153</v>
      </c>
      <c r="H15" s="18">
        <v>1136</v>
      </c>
      <c r="I15" s="18">
        <v>1153</v>
      </c>
      <c r="J15" s="18">
        <v>1163</v>
      </c>
      <c r="K15" s="18">
        <v>1204</v>
      </c>
      <c r="L15" s="18">
        <v>1256</v>
      </c>
      <c r="M15" s="18">
        <v>1212</v>
      </c>
      <c r="N15" s="18">
        <v>1217</v>
      </c>
      <c r="O15" s="18">
        <v>1213</v>
      </c>
      <c r="P15" s="18">
        <v>1174</v>
      </c>
      <c r="Q15" s="362"/>
    </row>
    <row r="16" spans="1:25" s="12" customFormat="1">
      <c r="C16" s="8" t="s">
        <v>7</v>
      </c>
      <c r="E16" s="18">
        <v>2</v>
      </c>
      <c r="F16" s="18">
        <v>4</v>
      </c>
      <c r="G16" s="18">
        <v>-24</v>
      </c>
      <c r="H16" s="18">
        <v>-23</v>
      </c>
      <c r="I16" s="18">
        <v>-17</v>
      </c>
      <c r="J16" s="18">
        <v>-17</v>
      </c>
      <c r="K16" s="18">
        <v>28</v>
      </c>
      <c r="L16" s="18">
        <v>16</v>
      </c>
      <c r="M16" s="18">
        <v>11</v>
      </c>
      <c r="N16" s="18">
        <v>-11</v>
      </c>
      <c r="O16" s="18">
        <v>-28</v>
      </c>
      <c r="P16" s="18">
        <v>-62</v>
      </c>
      <c r="Q16" s="362"/>
    </row>
    <row r="17" spans="1:17" s="12" customFormat="1">
      <c r="C17" s="8" t="s">
        <v>8</v>
      </c>
      <c r="E17" s="18">
        <v>53</v>
      </c>
      <c r="F17" s="18">
        <v>56</v>
      </c>
      <c r="G17" s="18">
        <v>59</v>
      </c>
      <c r="H17" s="18">
        <v>59</v>
      </c>
      <c r="I17" s="18">
        <v>57</v>
      </c>
      <c r="J17" s="18">
        <v>55</v>
      </c>
      <c r="K17" s="18">
        <v>53</v>
      </c>
      <c r="L17" s="18">
        <v>50</v>
      </c>
      <c r="M17" s="18">
        <v>43</v>
      </c>
      <c r="N17" s="18">
        <v>37</v>
      </c>
      <c r="O17" s="18">
        <v>31</v>
      </c>
      <c r="P17" s="18">
        <v>27</v>
      </c>
      <c r="Q17" s="362"/>
    </row>
    <row r="18" spans="1:17" s="12" customFormat="1" ht="14.25">
      <c r="C18" s="8" t="s">
        <v>144</v>
      </c>
      <c r="E18" s="19">
        <v>140</v>
      </c>
      <c r="F18" s="19">
        <v>128</v>
      </c>
      <c r="G18" s="19">
        <v>128</v>
      </c>
      <c r="H18" s="19">
        <v>182</v>
      </c>
      <c r="I18" s="19">
        <v>161</v>
      </c>
      <c r="J18" s="19">
        <v>177</v>
      </c>
      <c r="K18" s="19">
        <v>170</v>
      </c>
      <c r="L18" s="19">
        <v>16</v>
      </c>
      <c r="M18" s="19">
        <v>16</v>
      </c>
      <c r="N18" s="19">
        <v>25</v>
      </c>
      <c r="O18" s="19">
        <v>24</v>
      </c>
      <c r="P18" s="19">
        <v>26</v>
      </c>
      <c r="Q18" s="362"/>
    </row>
    <row r="19" spans="1:17" s="12" customFormat="1" ht="14.25">
      <c r="D19" s="12" t="s">
        <v>10</v>
      </c>
      <c r="E19" s="19">
        <v>2474</v>
      </c>
      <c r="F19" s="19">
        <v>2401</v>
      </c>
      <c r="G19" s="19">
        <v>2309</v>
      </c>
      <c r="H19" s="19">
        <v>2383</v>
      </c>
      <c r="I19" s="19">
        <v>2402</v>
      </c>
      <c r="J19" s="19">
        <v>2439</v>
      </c>
      <c r="K19" s="19">
        <v>2576</v>
      </c>
      <c r="L19" s="19">
        <v>2498</v>
      </c>
      <c r="M19" s="19">
        <v>2510</v>
      </c>
      <c r="N19" s="19">
        <v>2513</v>
      </c>
      <c r="O19" s="19">
        <v>2486</v>
      </c>
      <c r="P19" s="19">
        <v>2326</v>
      </c>
      <c r="Q19" s="362"/>
    </row>
    <row r="20" spans="1:17" s="13" customFormat="1">
      <c r="B20" s="1" t="s">
        <v>11</v>
      </c>
      <c r="C20" s="3"/>
      <c r="E20" s="17">
        <v>-686</v>
      </c>
      <c r="F20" s="17">
        <v>-343</v>
      </c>
      <c r="G20" s="17">
        <v>-178</v>
      </c>
      <c r="H20" s="17">
        <v>-374</v>
      </c>
      <c r="I20" s="17">
        <v>-312</v>
      </c>
      <c r="J20" s="17">
        <v>-183</v>
      </c>
      <c r="K20" s="17">
        <v>-305</v>
      </c>
      <c r="L20" s="17">
        <v>-185</v>
      </c>
      <c r="M20" s="17">
        <v>35</v>
      </c>
      <c r="N20" s="17">
        <v>23</v>
      </c>
      <c r="O20" s="17">
        <v>33</v>
      </c>
      <c r="P20" s="17">
        <v>177</v>
      </c>
      <c r="Q20" s="362"/>
    </row>
    <row r="21" spans="1:17" s="14" customFormat="1">
      <c r="B21" s="2" t="s">
        <v>194</v>
      </c>
      <c r="E21" s="18">
        <v>-26</v>
      </c>
      <c r="F21" s="18">
        <v>-15</v>
      </c>
      <c r="G21" s="18">
        <v>21</v>
      </c>
      <c r="H21" s="18">
        <v>22</v>
      </c>
      <c r="I21" s="18">
        <v>23</v>
      </c>
      <c r="J21" s="18">
        <v>28</v>
      </c>
      <c r="K21" s="18">
        <v>0</v>
      </c>
      <c r="L21" s="18">
        <v>0</v>
      </c>
      <c r="M21" s="18">
        <v>0</v>
      </c>
      <c r="N21" s="18">
        <v>0</v>
      </c>
      <c r="O21" s="18">
        <v>0</v>
      </c>
      <c r="P21" s="18">
        <v>14</v>
      </c>
      <c r="Q21" s="362"/>
    </row>
    <row r="22" spans="1:17" s="14" customFormat="1" ht="14.25">
      <c r="B22" s="2" t="s">
        <v>83</v>
      </c>
      <c r="E22" s="19">
        <v>6</v>
      </c>
      <c r="F22" s="19">
        <v>3</v>
      </c>
      <c r="G22" s="19">
        <v>2</v>
      </c>
      <c r="H22" s="19">
        <v>4</v>
      </c>
      <c r="I22" s="19">
        <v>10</v>
      </c>
      <c r="J22" s="19">
        <v>13</v>
      </c>
      <c r="K22" s="19">
        <v>1</v>
      </c>
      <c r="L22" s="19">
        <v>-9</v>
      </c>
      <c r="M22" s="19">
        <v>-17</v>
      </c>
      <c r="N22" s="19">
        <v>-25</v>
      </c>
      <c r="O22" s="19">
        <v>-23</v>
      </c>
      <c r="P22" s="19">
        <v>-21</v>
      </c>
      <c r="Q22" s="362"/>
    </row>
    <row r="23" spans="1:17" s="14" customFormat="1">
      <c r="B23" s="2" t="s">
        <v>22</v>
      </c>
      <c r="C23" s="4"/>
      <c r="E23" s="18">
        <v>-706</v>
      </c>
      <c r="F23" s="18">
        <v>-355</v>
      </c>
      <c r="G23" s="18">
        <v>-155</v>
      </c>
      <c r="H23" s="18">
        <v>-348</v>
      </c>
      <c r="I23" s="18">
        <v>-279</v>
      </c>
      <c r="J23" s="18">
        <v>-142</v>
      </c>
      <c r="K23" s="18">
        <v>-304</v>
      </c>
      <c r="L23" s="18">
        <v>-194</v>
      </c>
      <c r="M23" s="18">
        <v>18</v>
      </c>
      <c r="N23" s="18">
        <v>-2</v>
      </c>
      <c r="O23" s="18">
        <v>10</v>
      </c>
      <c r="P23" s="18">
        <v>170</v>
      </c>
      <c r="Q23" s="362"/>
    </row>
    <row r="24" spans="1:17" s="14" customFormat="1" ht="14.25">
      <c r="B24" s="2" t="s">
        <v>23</v>
      </c>
      <c r="C24" s="4"/>
      <c r="E24" s="19">
        <v>-29</v>
      </c>
      <c r="F24" s="19">
        <v>-8</v>
      </c>
      <c r="G24" s="19">
        <v>2</v>
      </c>
      <c r="H24" s="19">
        <v>49</v>
      </c>
      <c r="I24" s="19">
        <v>-3</v>
      </c>
      <c r="J24" s="19">
        <v>9</v>
      </c>
      <c r="K24" s="19">
        <v>-14</v>
      </c>
      <c r="L24" s="19">
        <v>-21</v>
      </c>
      <c r="M24" s="19">
        <v>-58</v>
      </c>
      <c r="N24" s="19">
        <v>-58</v>
      </c>
      <c r="O24" s="19">
        <v>-5</v>
      </c>
      <c r="P24" s="19">
        <v>-5</v>
      </c>
      <c r="Q24" s="362"/>
    </row>
    <row r="25" spans="1:17" s="11" customFormat="1" ht="14.25">
      <c r="B25" s="1" t="s">
        <v>14</v>
      </c>
      <c r="E25" s="20">
        <v>-677</v>
      </c>
      <c r="F25" s="20">
        <v>-347</v>
      </c>
      <c r="G25" s="20">
        <v>-157</v>
      </c>
      <c r="H25" s="20">
        <v>-397</v>
      </c>
      <c r="I25" s="20">
        <v>-276</v>
      </c>
      <c r="J25" s="20">
        <v>-151</v>
      </c>
      <c r="K25" s="20">
        <v>-290</v>
      </c>
      <c r="L25" s="20">
        <v>-173</v>
      </c>
      <c r="M25" s="20">
        <v>76</v>
      </c>
      <c r="N25" s="20">
        <v>56</v>
      </c>
      <c r="O25" s="20">
        <v>15</v>
      </c>
      <c r="P25" s="20">
        <v>175</v>
      </c>
      <c r="Q25" s="362"/>
    </row>
    <row r="26" spans="1:17" s="11" customFormat="1">
      <c r="E26" s="21"/>
      <c r="F26" s="21"/>
      <c r="G26" s="21"/>
      <c r="H26" s="21"/>
      <c r="I26" s="21"/>
      <c r="J26" s="21"/>
      <c r="K26" s="21"/>
      <c r="L26" s="21"/>
      <c r="M26" s="21"/>
      <c r="N26" s="21"/>
      <c r="O26" s="21"/>
      <c r="P26" s="21"/>
    </row>
    <row r="27" spans="1:17" s="11" customFormat="1">
      <c r="B27" s="86"/>
      <c r="C27" s="54"/>
      <c r="D27" s="54"/>
      <c r="E27" s="87"/>
      <c r="F27" s="87"/>
      <c r="G27" s="87"/>
      <c r="H27" s="87"/>
      <c r="I27" s="87"/>
      <c r="J27" s="87"/>
      <c r="K27" s="87"/>
      <c r="L27" s="87"/>
      <c r="M27" s="87"/>
      <c r="N27" s="87"/>
      <c r="O27" s="87"/>
      <c r="P27" s="87"/>
    </row>
    <row r="28" spans="1:17" s="11" customFormat="1">
      <c r="B28" s="86"/>
      <c r="C28" s="54"/>
      <c r="D28" s="54"/>
      <c r="E28" s="87"/>
      <c r="F28" s="87"/>
      <c r="G28" s="87"/>
      <c r="H28" s="87"/>
      <c r="I28" s="87"/>
      <c r="J28" s="87"/>
      <c r="K28" s="87"/>
      <c r="L28" s="87"/>
      <c r="M28" s="87"/>
      <c r="N28" s="87"/>
      <c r="O28" s="87"/>
      <c r="P28" s="87"/>
    </row>
    <row r="29" spans="1:17" s="11" customFormat="1" ht="12.75">
      <c r="A29" s="25" t="s">
        <v>133</v>
      </c>
      <c r="B29" s="86"/>
      <c r="C29" s="54"/>
      <c r="D29" s="54"/>
      <c r="E29" s="87"/>
      <c r="F29" s="87"/>
      <c r="G29" s="87"/>
      <c r="H29" s="87"/>
      <c r="I29" s="87"/>
      <c r="J29" s="87"/>
      <c r="K29" s="87"/>
      <c r="L29" s="87"/>
      <c r="M29" s="87"/>
      <c r="N29" s="87"/>
      <c r="O29" s="87"/>
      <c r="P29" s="87"/>
    </row>
    <row r="30" spans="1:17" s="11" customFormat="1" ht="12.75">
      <c r="A30" s="25"/>
      <c r="B30" s="86"/>
      <c r="C30" s="54"/>
      <c r="D30" s="54"/>
      <c r="E30" s="24" t="s">
        <v>18</v>
      </c>
      <c r="F30" s="24" t="s">
        <v>15</v>
      </c>
      <c r="G30" s="24" t="s">
        <v>16</v>
      </c>
      <c r="H30" s="24" t="s">
        <v>17</v>
      </c>
      <c r="I30" s="24" t="s">
        <v>18</v>
      </c>
      <c r="J30" s="24" t="s">
        <v>15</v>
      </c>
      <c r="K30" s="24" t="s">
        <v>16</v>
      </c>
      <c r="L30" s="24" t="s">
        <v>17</v>
      </c>
      <c r="M30" s="24" t="s">
        <v>18</v>
      </c>
      <c r="N30" s="24" t="s">
        <v>15</v>
      </c>
      <c r="O30" s="24" t="s">
        <v>16</v>
      </c>
      <c r="P30" s="24" t="s">
        <v>17</v>
      </c>
    </row>
    <row r="31" spans="1:17" s="11" customFormat="1">
      <c r="B31" s="86"/>
      <c r="C31" s="54"/>
      <c r="D31" s="54"/>
      <c r="E31" s="24" t="s">
        <v>26</v>
      </c>
      <c r="F31" s="24" t="s">
        <v>25</v>
      </c>
      <c r="G31" s="24" t="s">
        <v>25</v>
      </c>
      <c r="H31" s="24" t="s">
        <v>25</v>
      </c>
      <c r="I31" s="24" t="s">
        <v>25</v>
      </c>
      <c r="J31" s="24" t="s">
        <v>174</v>
      </c>
      <c r="K31" s="24" t="s">
        <v>174</v>
      </c>
      <c r="L31" s="24" t="s">
        <v>174</v>
      </c>
      <c r="M31" s="24" t="s">
        <v>174</v>
      </c>
      <c r="N31" s="24" t="s">
        <v>199</v>
      </c>
      <c r="O31" s="24" t="s">
        <v>199</v>
      </c>
      <c r="P31" s="24" t="s">
        <v>199</v>
      </c>
    </row>
    <row r="32" spans="1:17" s="11" customFormat="1">
      <c r="E32" s="42" t="s">
        <v>21</v>
      </c>
      <c r="F32" s="42" t="s">
        <v>21</v>
      </c>
      <c r="G32" s="42" t="s">
        <v>21</v>
      </c>
      <c r="H32" s="42" t="s">
        <v>21</v>
      </c>
      <c r="I32" s="42" t="s">
        <v>21</v>
      </c>
      <c r="J32" s="42" t="s">
        <v>21</v>
      </c>
      <c r="K32" s="42" t="s">
        <v>21</v>
      </c>
      <c r="L32" s="243" t="s">
        <v>21</v>
      </c>
      <c r="M32" s="323" t="s">
        <v>21</v>
      </c>
      <c r="N32" s="329" t="s">
        <v>21</v>
      </c>
      <c r="O32" s="334" t="s">
        <v>21</v>
      </c>
      <c r="P32" s="323" t="s">
        <v>21</v>
      </c>
    </row>
    <row r="33" spans="2:16" s="11" customFormat="1">
      <c r="E33" s="24"/>
      <c r="F33" s="24"/>
      <c r="G33" s="24"/>
      <c r="H33" s="24"/>
      <c r="I33" s="24"/>
      <c r="J33" s="24"/>
      <c r="K33" s="24"/>
      <c r="L33" s="24"/>
      <c r="M33" s="24"/>
      <c r="N33" s="24"/>
      <c r="O33" s="24"/>
      <c r="P33" s="24"/>
    </row>
    <row r="34" spans="2:16" s="9" customFormat="1">
      <c r="B34" s="1" t="s">
        <v>1</v>
      </c>
      <c r="E34" s="129">
        <v>0.48899999999999999</v>
      </c>
      <c r="F34" s="129">
        <v>0.53800000000000003</v>
      </c>
      <c r="G34" s="129">
        <v>0.58099999999999996</v>
      </c>
      <c r="H34" s="129">
        <v>0.57799999999999996</v>
      </c>
      <c r="I34" s="129">
        <v>0.58199999999999996</v>
      </c>
      <c r="J34" s="129">
        <v>0.59799999999999998</v>
      </c>
      <c r="K34" s="129">
        <v>0.58899999999999997</v>
      </c>
      <c r="L34" s="129">
        <v>0.59799999999999998</v>
      </c>
      <c r="M34" s="129">
        <v>0.61399999999999999</v>
      </c>
      <c r="N34" s="129">
        <v>0.61899999999999999</v>
      </c>
      <c r="O34" s="129">
        <v>0.61499999999999999</v>
      </c>
      <c r="P34" s="129">
        <v>0.63300000000000001</v>
      </c>
    </row>
    <row r="35" spans="2:16" s="9" customFormat="1">
      <c r="B35" s="2" t="s">
        <v>2</v>
      </c>
      <c r="E35" s="129"/>
      <c r="F35" s="129"/>
      <c r="G35" s="129"/>
      <c r="H35" s="129"/>
      <c r="I35" s="129"/>
      <c r="J35" s="129"/>
      <c r="K35" s="129"/>
      <c r="L35" s="129"/>
      <c r="M35" s="129"/>
      <c r="N35" s="129"/>
      <c r="O35" s="129"/>
      <c r="P35" s="129"/>
    </row>
    <row r="36" spans="2:16" s="12" customFormat="1">
      <c r="C36" s="8" t="s">
        <v>3</v>
      </c>
      <c r="E36" s="130">
        <v>0.2</v>
      </c>
      <c r="F36" s="130">
        <v>0.18099999999999999</v>
      </c>
      <c r="G36" s="130">
        <v>0.185</v>
      </c>
      <c r="H36" s="130">
        <v>0.20799999999999999</v>
      </c>
      <c r="I36" s="130">
        <v>0.20799999999999999</v>
      </c>
      <c r="J36" s="130">
        <v>0.20100000000000001</v>
      </c>
      <c r="K36" s="130">
        <v>0.21</v>
      </c>
      <c r="L36" s="130">
        <v>0.21299999999999999</v>
      </c>
      <c r="M36" s="130">
        <v>0.20599999999999999</v>
      </c>
      <c r="N36" s="130">
        <v>0.20899999999999999</v>
      </c>
      <c r="O36" s="130">
        <v>0.20699999999999999</v>
      </c>
      <c r="P36" s="130">
        <v>0.2</v>
      </c>
    </row>
    <row r="37" spans="2:16" s="12" customFormat="1">
      <c r="C37" s="8" t="s">
        <v>4</v>
      </c>
      <c r="E37" s="130">
        <v>8.7999999999999995E-2</v>
      </c>
      <c r="F37" s="130">
        <v>8.5999999999999993E-2</v>
      </c>
      <c r="G37" s="130">
        <v>8.5999999999999993E-2</v>
      </c>
      <c r="H37" s="130">
        <v>8.7999999999999995E-2</v>
      </c>
      <c r="I37" s="130">
        <v>8.4000000000000005E-2</v>
      </c>
      <c r="J37" s="130">
        <v>0.08</v>
      </c>
      <c r="K37" s="130">
        <v>8.1000000000000003E-2</v>
      </c>
      <c r="L37" s="130">
        <v>8.6999999999999994E-2</v>
      </c>
      <c r="M37" s="130">
        <v>9.0999999999999998E-2</v>
      </c>
      <c r="N37" s="130">
        <v>9.5000000000000001E-2</v>
      </c>
      <c r="O37" s="130">
        <v>9.7000000000000003E-2</v>
      </c>
      <c r="P37" s="130">
        <v>9.2999999999999999E-2</v>
      </c>
    </row>
    <row r="38" spans="2:16" s="12" customFormat="1">
      <c r="C38" s="8" t="s">
        <v>5</v>
      </c>
      <c r="E38" s="130">
        <v>0.33500000000000002</v>
      </c>
      <c r="F38" s="130">
        <v>0.312</v>
      </c>
      <c r="G38" s="130">
        <v>0.315</v>
      </c>
      <c r="H38" s="130">
        <v>0.32700000000000001</v>
      </c>
      <c r="I38" s="130">
        <v>0.32100000000000001</v>
      </c>
      <c r="J38" s="130">
        <v>0.308</v>
      </c>
      <c r="K38" s="130">
        <v>0.312</v>
      </c>
      <c r="L38" s="130">
        <v>0.32500000000000001</v>
      </c>
      <c r="M38" s="130">
        <v>0.29199999999999998</v>
      </c>
      <c r="N38" s="130">
        <v>0.29699999999999999</v>
      </c>
      <c r="O38" s="130">
        <v>0.29599999999999999</v>
      </c>
      <c r="P38" s="130">
        <v>0.29699999999999999</v>
      </c>
    </row>
    <row r="39" spans="2:16" s="12" customFormat="1">
      <c r="C39" s="8" t="s">
        <v>7</v>
      </c>
      <c r="E39" s="130">
        <v>1E-3</v>
      </c>
      <c r="F39" s="130">
        <v>1E-3</v>
      </c>
      <c r="G39" s="130">
        <v>-7.0000000000000001E-3</v>
      </c>
      <c r="H39" s="130">
        <v>-7.0000000000000001E-3</v>
      </c>
      <c r="I39" s="130">
        <v>-5.0000000000000001E-3</v>
      </c>
      <c r="J39" s="130">
        <v>-5.0000000000000001E-3</v>
      </c>
      <c r="K39" s="130">
        <v>7.0000000000000001E-3</v>
      </c>
      <c r="L39" s="130">
        <v>4.0000000000000001E-3</v>
      </c>
      <c r="M39" s="130">
        <v>3.0000000000000001E-3</v>
      </c>
      <c r="N39" s="130">
        <v>-3.0000000000000001E-3</v>
      </c>
      <c r="O39" s="130">
        <v>-7.0000000000000001E-3</v>
      </c>
      <c r="P39" s="130">
        <v>-1.6E-2</v>
      </c>
    </row>
    <row r="40" spans="2:16" s="12" customFormat="1">
      <c r="C40" s="8" t="s">
        <v>8</v>
      </c>
      <c r="E40" s="130">
        <v>1.4999999999999999E-2</v>
      </c>
      <c r="F40" s="130">
        <v>1.4999999999999999E-2</v>
      </c>
      <c r="G40" s="130">
        <v>1.6E-2</v>
      </c>
      <c r="H40" s="130">
        <v>1.7000000000000001E-2</v>
      </c>
      <c r="I40" s="130">
        <v>1.6E-2</v>
      </c>
      <c r="J40" s="130">
        <v>1.4999999999999999E-2</v>
      </c>
      <c r="K40" s="130">
        <v>1.4E-2</v>
      </c>
      <c r="L40" s="130">
        <v>1.2999999999999999E-2</v>
      </c>
      <c r="M40" s="130">
        <v>0.01</v>
      </c>
      <c r="N40" s="130">
        <v>8.9999999999999993E-3</v>
      </c>
      <c r="O40" s="130">
        <v>8.0000000000000002E-3</v>
      </c>
      <c r="P40" s="130">
        <v>7.0000000000000001E-3</v>
      </c>
    </row>
    <row r="41" spans="2:16" s="12" customFormat="1" ht="14.25">
      <c r="C41" s="8" t="s">
        <v>144</v>
      </c>
      <c r="E41" s="131">
        <v>3.7999999999999999E-2</v>
      </c>
      <c r="F41" s="131">
        <v>3.3000000000000002E-2</v>
      </c>
      <c r="G41" s="131">
        <v>3.5000000000000003E-2</v>
      </c>
      <c r="H41" s="131">
        <v>5.1999999999999998E-2</v>
      </c>
      <c r="I41" s="131">
        <v>4.4999999999999998E-2</v>
      </c>
      <c r="J41" s="131">
        <v>4.7E-2</v>
      </c>
      <c r="K41" s="131">
        <v>4.3999999999999997E-2</v>
      </c>
      <c r="L41" s="131">
        <v>4.0000000000000001E-3</v>
      </c>
      <c r="M41" s="131">
        <v>4.0000000000000001E-3</v>
      </c>
      <c r="N41" s="131">
        <v>6.0000000000000001E-3</v>
      </c>
      <c r="O41" s="131">
        <v>6.0000000000000001E-3</v>
      </c>
      <c r="P41" s="131">
        <v>7.0000000000000001E-3</v>
      </c>
    </row>
    <row r="42" spans="2:16" s="12" customFormat="1" ht="14.25">
      <c r="D42" s="12" t="s">
        <v>10</v>
      </c>
      <c r="E42" s="131">
        <v>0.67700000000000005</v>
      </c>
      <c r="F42" s="131">
        <v>0.628</v>
      </c>
      <c r="G42" s="131">
        <v>0.63</v>
      </c>
      <c r="H42" s="131">
        <v>0.68500000000000005</v>
      </c>
      <c r="I42" s="131">
        <v>0.66900000000000004</v>
      </c>
      <c r="J42" s="131">
        <v>0.64600000000000002</v>
      </c>
      <c r="K42" s="131">
        <v>0.66800000000000004</v>
      </c>
      <c r="L42" s="131">
        <v>0.64600000000000002</v>
      </c>
      <c r="M42" s="131">
        <v>0.60599999999999998</v>
      </c>
      <c r="N42" s="131">
        <v>0.61299999999999999</v>
      </c>
      <c r="O42" s="131">
        <v>0.60699999999999998</v>
      </c>
      <c r="P42" s="131">
        <v>0.58799999999999997</v>
      </c>
    </row>
    <row r="43" spans="2:16" s="13" customFormat="1">
      <c r="B43" s="1" t="s">
        <v>11</v>
      </c>
      <c r="C43" s="3"/>
      <c r="E43" s="129">
        <v>-0.188</v>
      </c>
      <c r="F43" s="129">
        <v>-0.09</v>
      </c>
      <c r="G43" s="129">
        <v>-4.9000000000000002E-2</v>
      </c>
      <c r="H43" s="129">
        <v>-0.107</v>
      </c>
      <c r="I43" s="129">
        <v>-8.6999999999999994E-2</v>
      </c>
      <c r="J43" s="129">
        <v>-4.8000000000000001E-2</v>
      </c>
      <c r="K43" s="129">
        <v>-7.9000000000000001E-2</v>
      </c>
      <c r="L43" s="129">
        <v>-4.8000000000000001E-2</v>
      </c>
      <c r="M43" s="129">
        <v>8.0000000000000002E-3</v>
      </c>
      <c r="N43" s="129">
        <v>6.0000000000000001E-3</v>
      </c>
      <c r="O43" s="129">
        <v>8.0000000000000002E-3</v>
      </c>
      <c r="P43" s="129">
        <v>4.4999999999999998E-2</v>
      </c>
    </row>
    <row r="44" spans="2:16" s="14" customFormat="1" ht="12.75" customHeight="1">
      <c r="B44" s="2" t="s">
        <v>194</v>
      </c>
      <c r="E44" s="130">
        <v>-7.0000000000000001E-3</v>
      </c>
      <c r="F44" s="130">
        <v>-4.0000000000000001E-3</v>
      </c>
      <c r="G44" s="130">
        <v>6.0000000000000001E-3</v>
      </c>
      <c r="H44" s="130">
        <v>6.0000000000000001E-3</v>
      </c>
      <c r="I44" s="130">
        <v>6.0000000000000001E-3</v>
      </c>
      <c r="J44" s="130">
        <v>7.0000000000000001E-3</v>
      </c>
      <c r="K44" s="133" t="s">
        <v>9</v>
      </c>
      <c r="L44" s="133" t="s">
        <v>9</v>
      </c>
      <c r="M44" s="133" t="s">
        <v>9</v>
      </c>
      <c r="N44" s="133" t="s">
        <v>9</v>
      </c>
      <c r="O44" s="133" t="s">
        <v>9</v>
      </c>
      <c r="P44" s="133">
        <v>3.0000000000000001E-3</v>
      </c>
    </row>
    <row r="45" spans="2:16" s="14" customFormat="1" ht="13.5" customHeight="1">
      <c r="B45" s="2" t="s">
        <v>83</v>
      </c>
      <c r="E45" s="131">
        <v>2E-3</v>
      </c>
      <c r="F45" s="131">
        <v>1E-3</v>
      </c>
      <c r="G45" s="131">
        <v>1E-3</v>
      </c>
      <c r="H45" s="131">
        <v>1E-3</v>
      </c>
      <c r="I45" s="131">
        <v>3.0000000000000001E-3</v>
      </c>
      <c r="J45" s="131">
        <v>3.0000000000000001E-3</v>
      </c>
      <c r="K45" s="149" t="s">
        <v>9</v>
      </c>
      <c r="L45" s="149">
        <v>-2E-3</v>
      </c>
      <c r="M45" s="149">
        <v>-4.0000000000000001E-3</v>
      </c>
      <c r="N45" s="149">
        <v>-6.0000000000000001E-3</v>
      </c>
      <c r="O45" s="149">
        <v>-5.0000000000000001E-3</v>
      </c>
      <c r="P45" s="149">
        <v>-5.0000000000000001E-3</v>
      </c>
    </row>
    <row r="46" spans="2:16" s="14" customFormat="1" ht="12.75" customHeight="1">
      <c r="B46" s="2" t="s">
        <v>22</v>
      </c>
      <c r="C46" s="4"/>
      <c r="E46" s="130">
        <v>-0.193</v>
      </c>
      <c r="F46" s="130">
        <v>-9.2999999999999999E-2</v>
      </c>
      <c r="G46" s="130">
        <v>-4.2000000000000003E-2</v>
      </c>
      <c r="H46" s="130">
        <v>-0.1</v>
      </c>
      <c r="I46" s="130">
        <v>-7.8E-2</v>
      </c>
      <c r="J46" s="130">
        <v>-3.7999999999999999E-2</v>
      </c>
      <c r="K46" s="130">
        <v>-7.9000000000000001E-2</v>
      </c>
      <c r="L46" s="130">
        <v>-0.05</v>
      </c>
      <c r="M46" s="130">
        <v>4.0000000000000001E-3</v>
      </c>
      <c r="N46" s="133" t="s">
        <v>9</v>
      </c>
      <c r="O46" s="133">
        <v>3.0000000000000001E-3</v>
      </c>
      <c r="P46" s="133">
        <v>4.2999999999999997E-2</v>
      </c>
    </row>
    <row r="47" spans="2:16" s="14" customFormat="1" ht="14.25">
      <c r="B47" s="2" t="s">
        <v>23</v>
      </c>
      <c r="C47" s="4"/>
      <c r="E47" s="131">
        <v>-8.0000000000000002E-3</v>
      </c>
      <c r="F47" s="131">
        <v>-2E-3</v>
      </c>
      <c r="G47" s="131">
        <v>1E-3</v>
      </c>
      <c r="H47" s="131">
        <v>1.4E-2</v>
      </c>
      <c r="I47" s="131">
        <v>-1E-3</v>
      </c>
      <c r="J47" s="131">
        <v>2E-3</v>
      </c>
      <c r="K47" s="131">
        <v>-4.0000000000000001E-3</v>
      </c>
      <c r="L47" s="131">
        <v>-5.0000000000000001E-3</v>
      </c>
      <c r="M47" s="131">
        <v>-1.4E-2</v>
      </c>
      <c r="N47" s="131">
        <v>-1.4E-2</v>
      </c>
      <c r="O47" s="131">
        <v>-1E-3</v>
      </c>
      <c r="P47" s="131">
        <v>-1E-3</v>
      </c>
    </row>
    <row r="48" spans="2:16" s="11" customFormat="1" ht="14.25">
      <c r="B48" s="1" t="s">
        <v>14</v>
      </c>
      <c r="E48" s="132">
        <v>-0.185</v>
      </c>
      <c r="F48" s="132">
        <v>-9.0999999999999998E-2</v>
      </c>
      <c r="G48" s="132">
        <v>-4.2999999999999997E-2</v>
      </c>
      <c r="H48" s="132">
        <v>-0.114</v>
      </c>
      <c r="I48" s="132">
        <v>-7.6999999999999999E-2</v>
      </c>
      <c r="J48" s="132">
        <v>-0.04</v>
      </c>
      <c r="K48" s="132">
        <v>-7.4999999999999997E-2</v>
      </c>
      <c r="L48" s="132">
        <v>-4.5000000000000005E-2</v>
      </c>
      <c r="M48" s="132">
        <v>1.7999999999999999E-2</v>
      </c>
      <c r="N48" s="132">
        <v>1.4E-2</v>
      </c>
      <c r="O48" s="132">
        <v>4.0000000000000001E-3</v>
      </c>
      <c r="P48" s="132">
        <v>4.3999999999999997E-2</v>
      </c>
    </row>
    <row r="49" spans="1:16" s="150" customFormat="1" ht="16.5" customHeight="1">
      <c r="A49" s="45" t="s">
        <v>113</v>
      </c>
      <c r="B49" s="46"/>
      <c r="C49" s="23"/>
      <c r="D49" s="83"/>
      <c r="L49" s="233"/>
      <c r="M49" s="233"/>
      <c r="N49" s="233"/>
      <c r="O49" s="233"/>
      <c r="P49" s="233"/>
    </row>
    <row r="50" spans="1:16" s="150" customFormat="1" ht="35.25" customHeight="1">
      <c r="A50" s="373" t="s">
        <v>196</v>
      </c>
      <c r="B50" s="374"/>
      <c r="C50" s="374"/>
      <c r="D50" s="374"/>
      <c r="E50" s="374"/>
      <c r="F50" s="374"/>
      <c r="G50" s="374"/>
      <c r="H50" s="374"/>
      <c r="I50" s="374"/>
      <c r="J50" s="374"/>
      <c r="K50" s="374"/>
      <c r="L50" s="374"/>
      <c r="M50" s="374"/>
      <c r="N50" s="374"/>
      <c r="O50" s="374"/>
      <c r="P50" s="374"/>
    </row>
    <row r="51" spans="1:16" s="5" customFormat="1" ht="14.25" customHeight="1">
      <c r="A51" s="46"/>
      <c r="B51" s="150"/>
      <c r="C51" s="150"/>
      <c r="E51" s="22"/>
      <c r="F51" s="22"/>
      <c r="G51" s="22"/>
      <c r="H51" s="22"/>
      <c r="I51" s="22"/>
      <c r="J51" s="22"/>
      <c r="K51" s="22"/>
      <c r="L51" s="22"/>
      <c r="M51" s="22"/>
      <c r="N51" s="22"/>
      <c r="O51" s="22"/>
      <c r="P51" s="22"/>
    </row>
    <row r="52" spans="1:16" s="5" customFormat="1" ht="15">
      <c r="A52" s="46"/>
      <c r="B52" s="150"/>
      <c r="C52" s="150"/>
      <c r="E52" s="24" t="s">
        <v>18</v>
      </c>
      <c r="F52" s="24" t="s">
        <v>15</v>
      </c>
      <c r="G52" s="24" t="s">
        <v>16</v>
      </c>
      <c r="H52" s="24" t="s">
        <v>17</v>
      </c>
      <c r="I52" s="24" t="s">
        <v>18</v>
      </c>
      <c r="J52" s="24" t="s">
        <v>15</v>
      </c>
      <c r="K52" s="24" t="s">
        <v>16</v>
      </c>
      <c r="L52" s="24" t="s">
        <v>17</v>
      </c>
      <c r="M52" s="24" t="s">
        <v>18</v>
      </c>
      <c r="N52" s="24" t="s">
        <v>15</v>
      </c>
      <c r="O52" s="24" t="s">
        <v>16</v>
      </c>
      <c r="P52" s="24" t="s">
        <v>17</v>
      </c>
    </row>
    <row r="53" spans="1:16" s="5" customFormat="1" ht="15">
      <c r="A53" s="46"/>
      <c r="B53" s="150"/>
      <c r="C53" s="150"/>
      <c r="E53" s="24" t="s">
        <v>26</v>
      </c>
      <c r="F53" s="24" t="s">
        <v>25</v>
      </c>
      <c r="G53" s="24" t="s">
        <v>25</v>
      </c>
      <c r="H53" s="24" t="s">
        <v>25</v>
      </c>
      <c r="I53" s="24" t="s">
        <v>25</v>
      </c>
      <c r="J53" s="24" t="s">
        <v>174</v>
      </c>
      <c r="K53" s="24" t="s">
        <v>174</v>
      </c>
      <c r="L53" s="24" t="s">
        <v>174</v>
      </c>
      <c r="M53" s="24" t="s">
        <v>174</v>
      </c>
      <c r="N53" s="24" t="s">
        <v>199</v>
      </c>
      <c r="O53" s="24" t="s">
        <v>199</v>
      </c>
      <c r="P53" s="24" t="s">
        <v>199</v>
      </c>
    </row>
    <row r="54" spans="1:16" s="5" customFormat="1" ht="15">
      <c r="A54" s="45"/>
      <c r="B54" s="150"/>
      <c r="C54" s="150"/>
      <c r="E54" s="42" t="s">
        <v>21</v>
      </c>
      <c r="F54" s="42" t="s">
        <v>21</v>
      </c>
      <c r="G54" s="42" t="s">
        <v>21</v>
      </c>
      <c r="H54" s="42" t="s">
        <v>21</v>
      </c>
      <c r="I54" s="42" t="s">
        <v>21</v>
      </c>
      <c r="J54" s="42" t="s">
        <v>21</v>
      </c>
      <c r="K54" s="42" t="s">
        <v>21</v>
      </c>
      <c r="L54" s="243" t="s">
        <v>21</v>
      </c>
      <c r="M54" s="323" t="s">
        <v>21</v>
      </c>
      <c r="N54" s="329" t="s">
        <v>21</v>
      </c>
      <c r="O54" s="334" t="s">
        <v>21</v>
      </c>
      <c r="P54" s="323" t="s">
        <v>21</v>
      </c>
    </row>
    <row r="55" spans="1:16" s="5" customFormat="1">
      <c r="A55" s="47"/>
      <c r="B55" s="48"/>
      <c r="C55" s="48"/>
      <c r="E55" s="22"/>
      <c r="F55" s="22"/>
      <c r="G55" s="22"/>
      <c r="H55" s="22"/>
      <c r="I55" s="22"/>
      <c r="J55" s="22"/>
      <c r="K55" s="22"/>
      <c r="L55" s="22"/>
      <c r="M55" s="22"/>
      <c r="N55" s="22"/>
      <c r="O55" s="22"/>
      <c r="P55" s="22"/>
    </row>
    <row r="56" spans="1:16">
      <c r="A56" s="43" t="s">
        <v>14</v>
      </c>
      <c r="B56" s="43"/>
      <c r="C56" s="1"/>
      <c r="E56" s="49">
        <v>-677</v>
      </c>
      <c r="F56" s="49">
        <v>-347</v>
      </c>
      <c r="G56" s="49">
        <v>-157</v>
      </c>
      <c r="H56" s="49">
        <v>-397</v>
      </c>
      <c r="I56" s="49">
        <v>-276</v>
      </c>
      <c r="J56" s="49">
        <v>-151</v>
      </c>
      <c r="K56" s="49">
        <v>-290</v>
      </c>
      <c r="L56" s="49">
        <v>-173</v>
      </c>
      <c r="M56" s="49">
        <v>76</v>
      </c>
      <c r="N56" s="49">
        <v>56</v>
      </c>
      <c r="O56" s="49">
        <v>15</v>
      </c>
      <c r="P56" s="49">
        <v>175</v>
      </c>
    </row>
    <row r="57" spans="1:16" ht="15">
      <c r="A57" s="150"/>
      <c r="B57" s="2" t="s">
        <v>41</v>
      </c>
      <c r="C57" s="23"/>
      <c r="E57" s="50">
        <v>65</v>
      </c>
      <c r="F57" s="50">
        <v>70</v>
      </c>
      <c r="G57" s="50">
        <v>45</v>
      </c>
      <c r="H57" s="50">
        <v>47</v>
      </c>
      <c r="I57" s="50">
        <v>52</v>
      </c>
      <c r="J57" s="50">
        <v>50</v>
      </c>
      <c r="K57" s="50">
        <v>98</v>
      </c>
      <c r="L57" s="50">
        <v>94</v>
      </c>
      <c r="M57" s="50">
        <v>106</v>
      </c>
      <c r="N57" s="50">
        <v>90</v>
      </c>
      <c r="O57" s="50">
        <v>73</v>
      </c>
      <c r="P57" s="50">
        <v>44</v>
      </c>
    </row>
    <row r="58" spans="1:16" ht="15">
      <c r="A58" s="150"/>
      <c r="B58" s="215" t="s">
        <v>182</v>
      </c>
      <c r="C58" s="23"/>
      <c r="E58" s="50">
        <v>0</v>
      </c>
      <c r="F58" s="50">
        <v>0</v>
      </c>
      <c r="G58" s="50">
        <v>0</v>
      </c>
      <c r="H58" s="50">
        <v>0</v>
      </c>
      <c r="I58" s="50">
        <v>0</v>
      </c>
      <c r="J58" s="50">
        <v>0</v>
      </c>
      <c r="K58" s="50">
        <v>4</v>
      </c>
      <c r="L58" s="50">
        <v>9</v>
      </c>
      <c r="M58" s="50">
        <v>14</v>
      </c>
      <c r="N58" s="50">
        <v>19</v>
      </c>
      <c r="O58" s="50">
        <v>20</v>
      </c>
      <c r="P58" s="50">
        <v>20</v>
      </c>
    </row>
    <row r="59" spans="1:16" ht="15">
      <c r="A59" s="150"/>
      <c r="B59" s="48" t="s">
        <v>198</v>
      </c>
      <c r="C59" s="23"/>
      <c r="E59" s="50">
        <v>0</v>
      </c>
      <c r="F59" s="50">
        <v>0</v>
      </c>
      <c r="G59" s="50">
        <v>0</v>
      </c>
      <c r="H59" s="50">
        <v>0</v>
      </c>
      <c r="I59" s="50">
        <v>0</v>
      </c>
      <c r="J59" s="50">
        <v>0</v>
      </c>
      <c r="K59" s="50">
        <v>0</v>
      </c>
      <c r="L59" s="50">
        <v>0</v>
      </c>
      <c r="M59" s="50">
        <v>27</v>
      </c>
      <c r="N59" s="50">
        <v>27</v>
      </c>
      <c r="O59" s="50">
        <v>27</v>
      </c>
      <c r="P59" s="50">
        <v>27</v>
      </c>
    </row>
    <row r="60" spans="1:16" ht="15">
      <c r="A60" s="150"/>
      <c r="B60" s="48" t="s">
        <v>36</v>
      </c>
      <c r="C60" s="23"/>
      <c r="E60" s="50">
        <v>505</v>
      </c>
      <c r="F60" s="50">
        <v>57</v>
      </c>
      <c r="G60" s="50">
        <v>-49</v>
      </c>
      <c r="H60" s="50">
        <v>205</v>
      </c>
      <c r="I60" s="50">
        <v>239</v>
      </c>
      <c r="J60" s="50">
        <v>40</v>
      </c>
      <c r="K60" s="50">
        <v>106</v>
      </c>
      <c r="L60" s="50">
        <v>339</v>
      </c>
      <c r="M60" s="50">
        <v>43</v>
      </c>
      <c r="N60" s="50">
        <v>54</v>
      </c>
      <c r="O60" s="50">
        <v>104</v>
      </c>
      <c r="P60" s="50">
        <v>-226</v>
      </c>
    </row>
    <row r="61" spans="1:16" ht="15">
      <c r="A61" s="150"/>
      <c r="B61" s="2" t="s">
        <v>195</v>
      </c>
      <c r="C61" s="23"/>
      <c r="E61" s="50">
        <v>26</v>
      </c>
      <c r="F61" s="50">
        <v>15</v>
      </c>
      <c r="G61" s="50">
        <v>-21</v>
      </c>
      <c r="H61" s="50">
        <v>-22</v>
      </c>
      <c r="I61" s="50">
        <v>-23</v>
      </c>
      <c r="J61" s="50">
        <v>-28</v>
      </c>
      <c r="K61" s="50">
        <v>0</v>
      </c>
      <c r="L61" s="50">
        <v>0</v>
      </c>
      <c r="M61" s="50">
        <v>0</v>
      </c>
      <c r="N61" s="50">
        <v>0</v>
      </c>
      <c r="O61" s="50">
        <v>0</v>
      </c>
      <c r="P61" s="50">
        <v>-14</v>
      </c>
    </row>
    <row r="62" spans="1:16" ht="15">
      <c r="A62" s="150"/>
      <c r="B62" s="2" t="s">
        <v>37</v>
      </c>
      <c r="C62" s="23"/>
      <c r="E62" s="50">
        <v>14</v>
      </c>
      <c r="F62" s="50">
        <v>14</v>
      </c>
      <c r="G62" s="50">
        <v>0</v>
      </c>
      <c r="H62" s="50">
        <v>0</v>
      </c>
      <c r="I62" s="50">
        <v>0</v>
      </c>
      <c r="J62" s="50">
        <v>0</v>
      </c>
      <c r="K62" s="50">
        <v>0</v>
      </c>
      <c r="L62" s="50">
        <v>0</v>
      </c>
      <c r="M62" s="50">
        <v>0</v>
      </c>
      <c r="N62" s="50">
        <v>0</v>
      </c>
      <c r="O62" s="50">
        <v>0</v>
      </c>
      <c r="P62" s="50">
        <v>0</v>
      </c>
    </row>
    <row r="63" spans="1:16" ht="15">
      <c r="A63" s="150"/>
      <c r="B63" s="2" t="s">
        <v>38</v>
      </c>
      <c r="C63" s="23"/>
      <c r="E63" s="50">
        <v>-3</v>
      </c>
      <c r="F63" s="50">
        <v>-3</v>
      </c>
      <c r="G63" s="50">
        <v>-2</v>
      </c>
      <c r="H63" s="50">
        <v>-2</v>
      </c>
      <c r="I63" s="50">
        <v>-1</v>
      </c>
      <c r="J63" s="50">
        <v>-1</v>
      </c>
      <c r="K63" s="50">
        <v>0</v>
      </c>
      <c r="L63" s="50">
        <v>0</v>
      </c>
      <c r="M63" s="50">
        <v>0</v>
      </c>
      <c r="N63" s="50">
        <v>0</v>
      </c>
      <c r="O63" s="50">
        <v>0</v>
      </c>
      <c r="P63" s="50">
        <v>0</v>
      </c>
    </row>
    <row r="64" spans="1:16" ht="15">
      <c r="A64" s="150"/>
      <c r="B64" s="2" t="s">
        <v>144</v>
      </c>
      <c r="C64" s="23"/>
      <c r="E64" s="50">
        <v>140</v>
      </c>
      <c r="F64" s="50">
        <v>128</v>
      </c>
      <c r="G64" s="50">
        <v>128</v>
      </c>
      <c r="H64" s="50">
        <v>182</v>
      </c>
      <c r="I64" s="50">
        <v>161</v>
      </c>
      <c r="J64" s="50">
        <v>177</v>
      </c>
      <c r="K64" s="50">
        <v>170</v>
      </c>
      <c r="L64" s="50">
        <v>16</v>
      </c>
      <c r="M64" s="50">
        <v>16</v>
      </c>
      <c r="N64" s="50">
        <v>25</v>
      </c>
      <c r="O64" s="50">
        <v>24</v>
      </c>
      <c r="P64" s="50">
        <v>26</v>
      </c>
    </row>
    <row r="65" spans="1:17" ht="15">
      <c r="A65" s="150"/>
      <c r="B65" s="2" t="s">
        <v>39</v>
      </c>
      <c r="C65" s="23"/>
      <c r="E65" s="50">
        <v>161</v>
      </c>
      <c r="F65" s="50">
        <v>175</v>
      </c>
      <c r="G65" s="50">
        <v>174</v>
      </c>
      <c r="H65" s="50">
        <v>178</v>
      </c>
      <c r="I65" s="50">
        <v>174</v>
      </c>
      <c r="J65" s="50">
        <v>165</v>
      </c>
      <c r="K65" s="50">
        <v>165</v>
      </c>
      <c r="L65" s="50">
        <v>167</v>
      </c>
      <c r="M65" s="50">
        <v>170</v>
      </c>
      <c r="N65" s="50">
        <v>171</v>
      </c>
      <c r="O65" s="50">
        <v>172</v>
      </c>
      <c r="P65" s="50">
        <v>163</v>
      </c>
    </row>
    <row r="66" spans="1:17" ht="16.5">
      <c r="A66" s="150"/>
      <c r="B66" s="23" t="s">
        <v>40</v>
      </c>
      <c r="C66" s="23"/>
      <c r="E66" s="51">
        <v>-86</v>
      </c>
      <c r="F66" s="51">
        <v>-36</v>
      </c>
      <c r="G66" s="51">
        <v>-32</v>
      </c>
      <c r="H66" s="51">
        <v>-18</v>
      </c>
      <c r="I66" s="51">
        <v>-93</v>
      </c>
      <c r="J66" s="51">
        <v>-64</v>
      </c>
      <c r="K66" s="51">
        <v>-80</v>
      </c>
      <c r="L66" s="51">
        <v>-141</v>
      </c>
      <c r="M66" s="51">
        <v>-168</v>
      </c>
      <c r="N66" s="51">
        <v>-165</v>
      </c>
      <c r="O66" s="51">
        <v>-126</v>
      </c>
      <c r="P66" s="51">
        <v>-64</v>
      </c>
    </row>
    <row r="67" spans="1:17" ht="14.25">
      <c r="A67" s="41" t="s">
        <v>190</v>
      </c>
      <c r="B67" s="43"/>
      <c r="C67" s="41"/>
      <c r="E67" s="52">
        <v>145</v>
      </c>
      <c r="F67" s="52">
        <v>73</v>
      </c>
      <c r="G67" s="52">
        <v>86</v>
      </c>
      <c r="H67" s="52">
        <v>173</v>
      </c>
      <c r="I67" s="52">
        <v>233</v>
      </c>
      <c r="J67" s="52">
        <v>188</v>
      </c>
      <c r="K67" s="52">
        <v>173</v>
      </c>
      <c r="L67" s="52">
        <v>311</v>
      </c>
      <c r="M67" s="52">
        <v>284</v>
      </c>
      <c r="N67" s="52">
        <v>277</v>
      </c>
      <c r="O67" s="52">
        <v>309</v>
      </c>
      <c r="P67" s="52">
        <v>151</v>
      </c>
    </row>
    <row r="70" spans="1:17" s="26" customFormat="1" ht="12" customHeight="1">
      <c r="A70" s="25" t="s">
        <v>98</v>
      </c>
      <c r="C70" s="28"/>
    </row>
    <row r="71" spans="1:17" s="26" customFormat="1" ht="12" customHeight="1">
      <c r="A71" s="7"/>
      <c r="C71" s="28"/>
    </row>
    <row r="72" spans="1:17" s="26" customFormat="1" ht="12" customHeight="1">
      <c r="B72" s="28"/>
      <c r="C72" s="28"/>
      <c r="E72" s="24" t="s">
        <v>18</v>
      </c>
      <c r="F72" s="24" t="s">
        <v>15</v>
      </c>
      <c r="G72" s="24" t="s">
        <v>16</v>
      </c>
      <c r="H72" s="24" t="s">
        <v>17</v>
      </c>
      <c r="I72" s="24" t="s">
        <v>18</v>
      </c>
      <c r="J72" s="24" t="s">
        <v>15</v>
      </c>
      <c r="K72" s="24" t="s">
        <v>16</v>
      </c>
      <c r="L72" s="24" t="s">
        <v>17</v>
      </c>
      <c r="M72" s="24" t="s">
        <v>18</v>
      </c>
      <c r="N72" s="24" t="s">
        <v>15</v>
      </c>
      <c r="O72" s="24" t="s">
        <v>16</v>
      </c>
      <c r="P72" s="24" t="s">
        <v>17</v>
      </c>
    </row>
    <row r="73" spans="1:17" s="26" customFormat="1" ht="12" customHeight="1">
      <c r="B73" s="40"/>
      <c r="C73" s="40"/>
      <c r="E73" s="24" t="s">
        <v>26</v>
      </c>
      <c r="F73" s="24" t="s">
        <v>25</v>
      </c>
      <c r="G73" s="24" t="s">
        <v>25</v>
      </c>
      <c r="H73" s="24" t="s">
        <v>25</v>
      </c>
      <c r="I73" s="24" t="s">
        <v>25</v>
      </c>
      <c r="J73" s="24" t="s">
        <v>174</v>
      </c>
      <c r="K73" s="24" t="s">
        <v>174</v>
      </c>
      <c r="L73" s="24" t="s">
        <v>174</v>
      </c>
      <c r="M73" s="24" t="s">
        <v>174</v>
      </c>
      <c r="N73" s="24" t="s">
        <v>199</v>
      </c>
      <c r="O73" s="24" t="s">
        <v>199</v>
      </c>
      <c r="P73" s="24" t="s">
        <v>199</v>
      </c>
    </row>
    <row r="74" spans="1:17" s="26" customFormat="1" ht="13.5" customHeight="1">
      <c r="B74" s="25"/>
      <c r="C74" s="27"/>
      <c r="E74" s="42" t="s">
        <v>21</v>
      </c>
      <c r="F74" s="42" t="s">
        <v>21</v>
      </c>
      <c r="G74" s="42" t="s">
        <v>21</v>
      </c>
      <c r="H74" s="42" t="s">
        <v>21</v>
      </c>
      <c r="I74" s="42" t="s">
        <v>21</v>
      </c>
      <c r="J74" s="42" t="s">
        <v>21</v>
      </c>
      <c r="K74" s="42" t="s">
        <v>21</v>
      </c>
      <c r="L74" s="243" t="s">
        <v>21</v>
      </c>
      <c r="M74" s="323" t="s">
        <v>21</v>
      </c>
      <c r="N74" s="329" t="s">
        <v>21</v>
      </c>
      <c r="O74" s="334" t="s">
        <v>21</v>
      </c>
      <c r="P74" s="323" t="s">
        <v>21</v>
      </c>
    </row>
    <row r="75" spans="1:17" s="26" customFormat="1" ht="9.75" customHeight="1"/>
    <row r="76" spans="1:17" s="26" customFormat="1" ht="13.5" customHeight="1">
      <c r="B76" s="29" t="s">
        <v>0</v>
      </c>
      <c r="C76" s="31"/>
      <c r="E76" s="222">
        <v>4159</v>
      </c>
      <c r="F76" s="222">
        <v>3882</v>
      </c>
      <c r="G76" s="222">
        <v>3619</v>
      </c>
      <c r="H76" s="222">
        <v>3683</v>
      </c>
      <c r="I76" s="222">
        <v>3828</v>
      </c>
      <c r="J76" s="222">
        <v>3813</v>
      </c>
      <c r="K76" s="222">
        <v>3963</v>
      </c>
      <c r="L76" s="222">
        <v>4204</v>
      </c>
      <c r="M76" s="222">
        <v>4186</v>
      </c>
      <c r="N76" s="222">
        <v>4153</v>
      </c>
      <c r="O76" s="222">
        <v>4199</v>
      </c>
      <c r="P76" s="222">
        <v>3730</v>
      </c>
    </row>
    <row r="77" spans="1:17" s="26" customFormat="1" ht="13.5" customHeight="1">
      <c r="B77" s="35"/>
      <c r="C77" s="27" t="s">
        <v>201</v>
      </c>
      <c r="E77" s="34">
        <v>1857</v>
      </c>
      <c r="F77" s="34">
        <v>1758</v>
      </c>
      <c r="G77" s="34">
        <v>1527</v>
      </c>
      <c r="H77" s="34">
        <v>1457</v>
      </c>
      <c r="I77" s="34">
        <v>1486</v>
      </c>
      <c r="J77" s="34">
        <v>1504</v>
      </c>
      <c r="K77" s="34">
        <v>1567</v>
      </c>
      <c r="L77" s="34">
        <v>1523</v>
      </c>
      <c r="M77" s="34">
        <v>1544</v>
      </c>
      <c r="N77" s="34">
        <v>1497</v>
      </c>
      <c r="O77" s="34">
        <v>1504</v>
      </c>
      <c r="P77" s="34">
        <v>1372</v>
      </c>
    </row>
    <row r="78" spans="1:17" s="26" customFormat="1" ht="13.5" customHeight="1">
      <c r="B78" s="29" t="s">
        <v>1</v>
      </c>
      <c r="C78" s="36"/>
      <c r="E78" s="30">
        <v>2302</v>
      </c>
      <c r="F78" s="30">
        <v>2124</v>
      </c>
      <c r="G78" s="30">
        <v>2092</v>
      </c>
      <c r="H78" s="30">
        <v>2226</v>
      </c>
      <c r="I78" s="30">
        <v>2342</v>
      </c>
      <c r="J78" s="30">
        <v>2309</v>
      </c>
      <c r="K78" s="30">
        <v>2396</v>
      </c>
      <c r="L78" s="30">
        <v>2681</v>
      </c>
      <c r="M78" s="30">
        <v>2642</v>
      </c>
      <c r="N78" s="30">
        <v>2656</v>
      </c>
      <c r="O78" s="30">
        <v>2695</v>
      </c>
      <c r="P78" s="30">
        <v>2358</v>
      </c>
      <c r="Q78" s="339"/>
    </row>
    <row r="79" spans="1:17" s="26" customFormat="1" ht="13.5" customHeight="1">
      <c r="B79" s="2" t="s">
        <v>2</v>
      </c>
      <c r="C79" s="9"/>
      <c r="E79" s="30"/>
      <c r="F79" s="30"/>
      <c r="G79" s="30"/>
      <c r="H79" s="30"/>
      <c r="I79" s="30"/>
      <c r="J79" s="30"/>
      <c r="K79" s="30"/>
      <c r="L79" s="30"/>
      <c r="M79" s="30"/>
      <c r="N79" s="30"/>
      <c r="O79" s="30"/>
      <c r="P79" s="30"/>
      <c r="Q79" s="339"/>
    </row>
    <row r="80" spans="1:17" s="26" customFormat="1" ht="13.5" customHeight="1">
      <c r="B80" s="12"/>
      <c r="C80" s="8" t="s">
        <v>3</v>
      </c>
      <c r="E80" s="33">
        <v>714</v>
      </c>
      <c r="F80" s="33">
        <v>676</v>
      </c>
      <c r="G80" s="33">
        <v>661</v>
      </c>
      <c r="H80" s="33">
        <v>704</v>
      </c>
      <c r="I80" s="33">
        <v>726</v>
      </c>
      <c r="J80" s="33">
        <v>738</v>
      </c>
      <c r="K80" s="33">
        <v>787</v>
      </c>
      <c r="L80" s="33">
        <v>802</v>
      </c>
      <c r="M80" s="33">
        <v>827</v>
      </c>
      <c r="N80" s="33">
        <v>830</v>
      </c>
      <c r="O80" s="33">
        <v>818</v>
      </c>
      <c r="P80" s="33">
        <v>763</v>
      </c>
      <c r="Q80" s="339"/>
    </row>
    <row r="81" spans="1:17" s="26" customFormat="1" ht="13.5" customHeight="1">
      <c r="B81" s="12"/>
      <c r="C81" s="8" t="s">
        <v>4</v>
      </c>
      <c r="E81" s="33">
        <v>273</v>
      </c>
      <c r="F81" s="33">
        <v>274</v>
      </c>
      <c r="G81" s="33">
        <v>274</v>
      </c>
      <c r="H81" s="33">
        <v>264</v>
      </c>
      <c r="I81" s="33">
        <v>261</v>
      </c>
      <c r="J81" s="33">
        <v>264</v>
      </c>
      <c r="K81" s="33">
        <v>276</v>
      </c>
      <c r="L81" s="33">
        <v>298</v>
      </c>
      <c r="M81" s="33">
        <v>312</v>
      </c>
      <c r="N81" s="33">
        <v>324</v>
      </c>
      <c r="O81" s="33">
        <v>335</v>
      </c>
      <c r="P81" s="33">
        <v>309</v>
      </c>
      <c r="Q81" s="339"/>
    </row>
    <row r="82" spans="1:17" s="26" customFormat="1" ht="13.5" customHeight="1">
      <c r="B82" s="12"/>
      <c r="C82" s="8" t="s">
        <v>5</v>
      </c>
      <c r="E82" s="34">
        <v>1119</v>
      </c>
      <c r="F82" s="34">
        <v>1076</v>
      </c>
      <c r="G82" s="34">
        <v>1039</v>
      </c>
      <c r="H82" s="34">
        <v>1022</v>
      </c>
      <c r="I82" s="34">
        <v>1042</v>
      </c>
      <c r="J82" s="34">
        <v>1059</v>
      </c>
      <c r="K82" s="34">
        <v>1099</v>
      </c>
      <c r="L82" s="34">
        <v>1150</v>
      </c>
      <c r="M82" s="34">
        <v>1106</v>
      </c>
      <c r="N82" s="34">
        <v>1112</v>
      </c>
      <c r="O82" s="34">
        <v>1109</v>
      </c>
      <c r="P82" s="34">
        <v>1075</v>
      </c>
      <c r="Q82" s="339"/>
    </row>
    <row r="83" spans="1:17" s="26" customFormat="1" ht="13.5" customHeight="1">
      <c r="B83" s="35"/>
      <c r="C83" s="35"/>
      <c r="D83" s="12" t="s">
        <v>10</v>
      </c>
      <c r="E83" s="34">
        <v>2106</v>
      </c>
      <c r="F83" s="34">
        <v>2026</v>
      </c>
      <c r="G83" s="34">
        <v>1974</v>
      </c>
      <c r="H83" s="34">
        <v>1990</v>
      </c>
      <c r="I83" s="34">
        <v>2029</v>
      </c>
      <c r="J83" s="34">
        <v>2061</v>
      </c>
      <c r="K83" s="34">
        <v>2162</v>
      </c>
      <c r="L83" s="34">
        <v>2250</v>
      </c>
      <c r="M83" s="34">
        <v>2245</v>
      </c>
      <c r="N83" s="34">
        <v>2266</v>
      </c>
      <c r="O83" s="34">
        <v>2262</v>
      </c>
      <c r="P83" s="34">
        <v>2147</v>
      </c>
      <c r="Q83" s="339"/>
    </row>
    <row r="84" spans="1:17" s="26" customFormat="1" ht="13.5" customHeight="1">
      <c r="B84" s="29" t="s">
        <v>88</v>
      </c>
      <c r="C84" s="37"/>
      <c r="E84" s="30">
        <v>196</v>
      </c>
      <c r="F84" s="30">
        <v>98</v>
      </c>
      <c r="G84" s="30">
        <v>118</v>
      </c>
      <c r="H84" s="30">
        <v>236</v>
      </c>
      <c r="I84" s="30">
        <v>313</v>
      </c>
      <c r="J84" s="30">
        <v>248</v>
      </c>
      <c r="K84" s="30">
        <v>234</v>
      </c>
      <c r="L84" s="30">
        <v>431</v>
      </c>
      <c r="M84" s="30">
        <v>397</v>
      </c>
      <c r="N84" s="30">
        <v>390</v>
      </c>
      <c r="O84" s="30">
        <v>433</v>
      </c>
      <c r="P84" s="30">
        <v>211</v>
      </c>
      <c r="Q84" s="339"/>
    </row>
    <row r="85" spans="1:17" s="26" customFormat="1" ht="13.5" customHeight="1">
      <c r="B85" s="27" t="s">
        <v>83</v>
      </c>
      <c r="C85" s="38"/>
      <c r="E85" s="34">
        <v>6</v>
      </c>
      <c r="F85" s="34">
        <v>3</v>
      </c>
      <c r="G85" s="34">
        <v>2</v>
      </c>
      <c r="H85" s="34">
        <v>4</v>
      </c>
      <c r="I85" s="34">
        <v>10</v>
      </c>
      <c r="J85" s="34">
        <v>13</v>
      </c>
      <c r="K85" s="34">
        <v>5</v>
      </c>
      <c r="L85" s="34">
        <v>0</v>
      </c>
      <c r="M85" s="34">
        <v>-3</v>
      </c>
      <c r="N85" s="34">
        <v>-6</v>
      </c>
      <c r="O85" s="34">
        <v>-3</v>
      </c>
      <c r="P85" s="34">
        <v>-1</v>
      </c>
      <c r="Q85" s="339"/>
    </row>
    <row r="86" spans="1:17" s="26" customFormat="1" ht="13.5" customHeight="1">
      <c r="B86" s="27" t="s">
        <v>89</v>
      </c>
      <c r="C86" s="38"/>
      <c r="E86" s="33">
        <v>202</v>
      </c>
      <c r="F86" s="33">
        <v>101</v>
      </c>
      <c r="G86" s="33">
        <v>120</v>
      </c>
      <c r="H86" s="33">
        <v>240</v>
      </c>
      <c r="I86" s="33">
        <v>323</v>
      </c>
      <c r="J86" s="33">
        <v>261</v>
      </c>
      <c r="K86" s="33">
        <v>239</v>
      </c>
      <c r="L86" s="33">
        <v>431</v>
      </c>
      <c r="M86" s="33">
        <v>394</v>
      </c>
      <c r="N86" s="33">
        <v>384</v>
      </c>
      <c r="O86" s="33">
        <v>430</v>
      </c>
      <c r="P86" s="33">
        <v>210</v>
      </c>
      <c r="Q86" s="339"/>
    </row>
    <row r="87" spans="1:17" s="26" customFormat="1" ht="13.5" customHeight="1">
      <c r="B87" s="27" t="s">
        <v>90</v>
      </c>
      <c r="C87" s="38"/>
      <c r="E87" s="34">
        <v>57</v>
      </c>
      <c r="F87" s="34">
        <v>28</v>
      </c>
      <c r="G87" s="34">
        <v>34</v>
      </c>
      <c r="H87" s="34">
        <v>67</v>
      </c>
      <c r="I87" s="34">
        <v>90</v>
      </c>
      <c r="J87" s="34">
        <v>73</v>
      </c>
      <c r="K87" s="34">
        <v>66</v>
      </c>
      <c r="L87" s="34">
        <v>120</v>
      </c>
      <c r="M87" s="34">
        <v>110</v>
      </c>
      <c r="N87" s="34">
        <v>107</v>
      </c>
      <c r="O87" s="34">
        <v>121</v>
      </c>
      <c r="P87" s="34">
        <v>59</v>
      </c>
      <c r="Q87" s="339"/>
    </row>
    <row r="88" spans="1:17" s="26" customFormat="1" ht="13.5" customHeight="1">
      <c r="B88" s="29" t="s">
        <v>190</v>
      </c>
      <c r="C88" s="32"/>
      <c r="E88" s="223">
        <v>145</v>
      </c>
      <c r="F88" s="223">
        <v>73</v>
      </c>
      <c r="G88" s="223">
        <v>86</v>
      </c>
      <c r="H88" s="223">
        <v>173</v>
      </c>
      <c r="I88" s="223">
        <v>233</v>
      </c>
      <c r="J88" s="223">
        <v>188</v>
      </c>
      <c r="K88" s="223">
        <v>173</v>
      </c>
      <c r="L88" s="223">
        <v>311</v>
      </c>
      <c r="M88" s="223">
        <v>284</v>
      </c>
      <c r="N88" s="223">
        <v>277</v>
      </c>
      <c r="O88" s="223">
        <v>309</v>
      </c>
      <c r="P88" s="223">
        <v>151</v>
      </c>
      <c r="Q88" s="339"/>
    </row>
    <row r="89" spans="1:17" s="26" customFormat="1" ht="10.5" customHeight="1">
      <c r="B89" s="29"/>
      <c r="C89" s="32"/>
      <c r="D89" s="39"/>
      <c r="E89" s="39"/>
    </row>
    <row r="90" spans="1:17">
      <c r="A90" s="86"/>
      <c r="B90" s="54"/>
      <c r="C90" s="54"/>
      <c r="D90" s="54"/>
      <c r="E90" s="87"/>
      <c r="F90" s="87"/>
      <c r="G90" s="87"/>
    </row>
    <row r="92" spans="1:17" ht="12.75">
      <c r="A92" s="25" t="s">
        <v>132</v>
      </c>
      <c r="B92" s="25"/>
    </row>
    <row r="93" spans="1:17">
      <c r="B93" s="54"/>
      <c r="E93" s="24" t="s">
        <v>18</v>
      </c>
      <c r="F93" s="24" t="s">
        <v>15</v>
      </c>
      <c r="G93" s="24" t="s">
        <v>16</v>
      </c>
      <c r="H93" s="24" t="s">
        <v>17</v>
      </c>
      <c r="I93" s="24" t="s">
        <v>18</v>
      </c>
      <c r="J93" s="24" t="s">
        <v>15</v>
      </c>
      <c r="K93" s="24" t="s">
        <v>16</v>
      </c>
      <c r="L93" s="24" t="s">
        <v>17</v>
      </c>
      <c r="M93" s="24" t="s">
        <v>18</v>
      </c>
      <c r="N93" s="24" t="s">
        <v>15</v>
      </c>
      <c r="O93" s="24" t="s">
        <v>16</v>
      </c>
      <c r="P93" s="24" t="s">
        <v>17</v>
      </c>
    </row>
    <row r="94" spans="1:17">
      <c r="B94" s="54"/>
      <c r="E94" s="24" t="s">
        <v>26</v>
      </c>
      <c r="F94" s="24" t="s">
        <v>25</v>
      </c>
      <c r="G94" s="24" t="s">
        <v>25</v>
      </c>
      <c r="H94" s="24" t="s">
        <v>25</v>
      </c>
      <c r="I94" s="24" t="s">
        <v>25</v>
      </c>
      <c r="J94" s="24" t="s">
        <v>174</v>
      </c>
      <c r="K94" s="24" t="s">
        <v>174</v>
      </c>
      <c r="L94" s="24" t="s">
        <v>174</v>
      </c>
      <c r="M94" s="24" t="s">
        <v>174</v>
      </c>
      <c r="N94" s="24" t="s">
        <v>199</v>
      </c>
      <c r="O94" s="24" t="s">
        <v>199</v>
      </c>
      <c r="P94" s="24" t="s">
        <v>199</v>
      </c>
    </row>
    <row r="95" spans="1:17">
      <c r="B95" s="54"/>
      <c r="E95" s="42" t="s">
        <v>21</v>
      </c>
      <c r="F95" s="42" t="s">
        <v>21</v>
      </c>
      <c r="G95" s="42" t="s">
        <v>21</v>
      </c>
      <c r="H95" s="42" t="s">
        <v>21</v>
      </c>
      <c r="I95" s="42" t="s">
        <v>21</v>
      </c>
      <c r="J95" s="42" t="s">
        <v>21</v>
      </c>
      <c r="K95" s="42" t="s">
        <v>21</v>
      </c>
      <c r="L95" s="243" t="s">
        <v>21</v>
      </c>
      <c r="M95" s="323" t="s">
        <v>21</v>
      </c>
      <c r="N95" s="329" t="s">
        <v>21</v>
      </c>
      <c r="O95" s="334" t="s">
        <v>21</v>
      </c>
      <c r="P95" s="323" t="s">
        <v>21</v>
      </c>
    </row>
    <row r="96" spans="1:17">
      <c r="B96" s="54"/>
      <c r="E96" s="24"/>
      <c r="F96" s="24"/>
      <c r="G96" s="24"/>
      <c r="H96" s="24"/>
      <c r="I96" s="24"/>
      <c r="J96" s="24"/>
      <c r="K96" s="24"/>
      <c r="L96" s="24"/>
      <c r="M96" s="24"/>
      <c r="N96" s="24"/>
      <c r="O96" s="24"/>
      <c r="P96" s="24"/>
    </row>
    <row r="97" spans="2:16" ht="13.5" customHeight="1">
      <c r="B97" s="29" t="s">
        <v>1</v>
      </c>
      <c r="E97" s="125">
        <v>0.55300000000000005</v>
      </c>
      <c r="F97" s="125">
        <v>0.54700000000000004</v>
      </c>
      <c r="G97" s="125">
        <v>0.57799999999999996</v>
      </c>
      <c r="H97" s="125">
        <v>0.60399999999999998</v>
      </c>
      <c r="I97" s="125">
        <v>0.61199999999999999</v>
      </c>
      <c r="J97" s="125">
        <v>0.60599999999999998</v>
      </c>
      <c r="K97" s="125">
        <v>0.60499999999999998</v>
      </c>
      <c r="L97" s="125">
        <v>0.63800000000000001</v>
      </c>
      <c r="M97" s="125">
        <v>0.63100000000000001</v>
      </c>
      <c r="N97" s="125">
        <v>0.64</v>
      </c>
      <c r="O97" s="125">
        <v>0.64200000000000002</v>
      </c>
      <c r="P97" s="125">
        <v>0.63200000000000001</v>
      </c>
    </row>
    <row r="98" spans="2:16">
      <c r="B98" s="2" t="s">
        <v>2</v>
      </c>
      <c r="E98" s="125"/>
      <c r="F98" s="125"/>
      <c r="G98" s="125"/>
      <c r="H98" s="125"/>
      <c r="I98" s="125"/>
      <c r="J98" s="125"/>
      <c r="K98" s="125"/>
      <c r="L98" s="125"/>
      <c r="M98" s="125"/>
      <c r="N98" s="125"/>
      <c r="O98" s="125"/>
      <c r="P98" s="125"/>
    </row>
    <row r="99" spans="2:16">
      <c r="B99" s="12"/>
      <c r="C99" s="8" t="s">
        <v>3</v>
      </c>
      <c r="E99" s="126">
        <v>0.17199999999999999</v>
      </c>
      <c r="F99" s="126">
        <v>0.17399999999999999</v>
      </c>
      <c r="G99" s="126">
        <v>0.183</v>
      </c>
      <c r="H99" s="126">
        <v>0.191</v>
      </c>
      <c r="I99" s="126">
        <v>0.19</v>
      </c>
      <c r="J99" s="126">
        <v>0.19400000000000001</v>
      </c>
      <c r="K99" s="126">
        <v>0.19900000000000001</v>
      </c>
      <c r="L99" s="126">
        <v>0.191</v>
      </c>
      <c r="M99" s="126">
        <v>0.19800000000000001</v>
      </c>
      <c r="N99" s="126">
        <v>0.2</v>
      </c>
      <c r="O99" s="126">
        <v>0.19500000000000001</v>
      </c>
      <c r="P99" s="126">
        <v>0.20399999999999999</v>
      </c>
    </row>
    <row r="100" spans="2:16">
      <c r="B100" s="12"/>
      <c r="C100" s="8" t="s">
        <v>4</v>
      </c>
      <c r="E100" s="126">
        <v>6.6000000000000003E-2</v>
      </c>
      <c r="F100" s="126">
        <v>7.0999999999999994E-2</v>
      </c>
      <c r="G100" s="126">
        <v>7.5999999999999998E-2</v>
      </c>
      <c r="H100" s="126">
        <v>7.1999999999999995E-2</v>
      </c>
      <c r="I100" s="126">
        <v>6.8000000000000005E-2</v>
      </c>
      <c r="J100" s="126">
        <v>6.9000000000000006E-2</v>
      </c>
      <c r="K100" s="126">
        <v>7.0000000000000007E-2</v>
      </c>
      <c r="L100" s="126">
        <v>7.0999999999999994E-2</v>
      </c>
      <c r="M100" s="126">
        <v>7.3999999999999996E-2</v>
      </c>
      <c r="N100" s="126">
        <v>7.8E-2</v>
      </c>
      <c r="O100" s="126">
        <v>0.08</v>
      </c>
      <c r="P100" s="126">
        <v>8.3000000000000004E-2</v>
      </c>
    </row>
    <row r="101" spans="2:16" ht="14.25">
      <c r="B101" s="12"/>
      <c r="C101" s="8" t="s">
        <v>5</v>
      </c>
      <c r="E101" s="127">
        <v>0.26800000000000002</v>
      </c>
      <c r="F101" s="127">
        <v>0.27700000000000002</v>
      </c>
      <c r="G101" s="127">
        <v>0.28599999999999998</v>
      </c>
      <c r="H101" s="127">
        <v>0.27700000000000002</v>
      </c>
      <c r="I101" s="127">
        <v>0.27200000000000002</v>
      </c>
      <c r="J101" s="127">
        <v>0.27800000000000002</v>
      </c>
      <c r="K101" s="127">
        <v>0.27700000000000002</v>
      </c>
      <c r="L101" s="127">
        <v>0.27300000000000002</v>
      </c>
      <c r="M101" s="127">
        <v>0.26400000000000001</v>
      </c>
      <c r="N101" s="127">
        <v>0.26800000000000002</v>
      </c>
      <c r="O101" s="127">
        <v>0.26400000000000001</v>
      </c>
      <c r="P101" s="127">
        <v>0.28799999999999998</v>
      </c>
    </row>
    <row r="102" spans="2:16" ht="14.25">
      <c r="B102" s="35"/>
      <c r="D102" s="12" t="s">
        <v>10</v>
      </c>
      <c r="E102" s="127">
        <v>0.50600000000000001</v>
      </c>
      <c r="F102" s="127">
        <v>0.52200000000000002</v>
      </c>
      <c r="G102" s="127">
        <v>0.54500000000000004</v>
      </c>
      <c r="H102" s="127">
        <v>0.54</v>
      </c>
      <c r="I102" s="127">
        <v>0.53</v>
      </c>
      <c r="J102" s="127">
        <v>0.54100000000000004</v>
      </c>
      <c r="K102" s="127">
        <v>0.54600000000000004</v>
      </c>
      <c r="L102" s="127">
        <v>0.53500000000000003</v>
      </c>
      <c r="M102" s="127">
        <v>0.53600000000000003</v>
      </c>
      <c r="N102" s="127">
        <v>0.54600000000000004</v>
      </c>
      <c r="O102" s="127">
        <v>0.53900000000000003</v>
      </c>
      <c r="P102" s="127">
        <v>0.57499999999999996</v>
      </c>
    </row>
    <row r="103" spans="2:16" ht="13.5" customHeight="1">
      <c r="B103" s="29" t="s">
        <v>88</v>
      </c>
      <c r="E103" s="125">
        <v>4.7E-2</v>
      </c>
      <c r="F103" s="125">
        <v>2.5000000000000001E-2</v>
      </c>
      <c r="G103" s="125">
        <v>3.3000000000000002E-2</v>
      </c>
      <c r="H103" s="125">
        <v>6.4000000000000001E-2</v>
      </c>
      <c r="I103" s="125">
        <v>8.2000000000000003E-2</v>
      </c>
      <c r="J103" s="125">
        <v>6.5000000000000002E-2</v>
      </c>
      <c r="K103" s="125">
        <v>5.8999999999999997E-2</v>
      </c>
      <c r="L103" s="125">
        <v>0.10299999999999998</v>
      </c>
      <c r="M103" s="125">
        <v>9.5000000000000001E-2</v>
      </c>
      <c r="N103" s="125">
        <v>9.4E-2</v>
      </c>
      <c r="O103" s="125">
        <v>0.10299999999999999</v>
      </c>
      <c r="P103" s="125">
        <v>5.7000000000000002E-2</v>
      </c>
    </row>
    <row r="104" spans="2:16" ht="14.25">
      <c r="B104" s="27" t="s">
        <v>83</v>
      </c>
      <c r="E104" s="127">
        <v>2E-3</v>
      </c>
      <c r="F104" s="127">
        <v>1E-3</v>
      </c>
      <c r="G104" s="149" t="s">
        <v>137</v>
      </c>
      <c r="H104" s="127">
        <v>1E-3</v>
      </c>
      <c r="I104" s="127">
        <v>2E-3</v>
      </c>
      <c r="J104" s="127">
        <v>3.0000000000000001E-3</v>
      </c>
      <c r="K104" s="127">
        <v>1E-3</v>
      </c>
      <c r="L104" s="149" t="s">
        <v>137</v>
      </c>
      <c r="M104" s="149">
        <v>-1E-3</v>
      </c>
      <c r="N104" s="149">
        <v>-1E-3</v>
      </c>
      <c r="O104" s="149" t="s">
        <v>137</v>
      </c>
      <c r="P104" s="149">
        <v>-1E-3</v>
      </c>
    </row>
    <row r="105" spans="2:16">
      <c r="B105" s="27" t="s">
        <v>89</v>
      </c>
      <c r="E105" s="126">
        <v>4.9000000000000002E-2</v>
      </c>
      <c r="F105" s="126">
        <v>2.5999999999999999E-2</v>
      </c>
      <c r="G105" s="126">
        <v>3.3000000000000002E-2</v>
      </c>
      <c r="H105" s="126">
        <v>6.5000000000000002E-2</v>
      </c>
      <c r="I105" s="126">
        <v>8.4000000000000005E-2</v>
      </c>
      <c r="J105" s="126">
        <v>6.8000000000000005E-2</v>
      </c>
      <c r="K105" s="126">
        <v>0.06</v>
      </c>
      <c r="L105" s="126">
        <v>0.10299999999999998</v>
      </c>
      <c r="M105" s="126">
        <v>9.4E-2</v>
      </c>
      <c r="N105" s="126">
        <v>9.2999999999999999E-2</v>
      </c>
      <c r="O105" s="126">
        <v>0.10299999999999999</v>
      </c>
      <c r="P105" s="126">
        <v>5.6000000000000001E-2</v>
      </c>
    </row>
    <row r="106" spans="2:16" ht="14.25">
      <c r="B106" s="27" t="s">
        <v>90</v>
      </c>
      <c r="E106" s="127">
        <v>1.4E-2</v>
      </c>
      <c r="F106" s="127">
        <v>7.0000000000000001E-3</v>
      </c>
      <c r="G106" s="127">
        <v>8.9999999999999993E-3</v>
      </c>
      <c r="H106" s="127">
        <v>1.7999999999999999E-2</v>
      </c>
      <c r="I106" s="127">
        <v>2.3E-2</v>
      </c>
      <c r="J106" s="127">
        <v>1.9E-2</v>
      </c>
      <c r="K106" s="127">
        <v>1.6E-2</v>
      </c>
      <c r="L106" s="127">
        <v>2.9000000000000001E-2</v>
      </c>
      <c r="M106" s="127">
        <v>2.5999999999999999E-2</v>
      </c>
      <c r="N106" s="127">
        <v>2.5999999999999999E-2</v>
      </c>
      <c r="O106" s="127">
        <v>2.9000000000000001E-2</v>
      </c>
      <c r="P106" s="127">
        <v>1.6E-2</v>
      </c>
    </row>
    <row r="107" spans="2:16" ht="14.25">
      <c r="B107" s="29" t="s">
        <v>190</v>
      </c>
      <c r="E107" s="128">
        <v>3.5000000000000003E-2</v>
      </c>
      <c r="F107" s="128">
        <v>1.9E-2</v>
      </c>
      <c r="G107" s="128">
        <v>2.4E-2</v>
      </c>
      <c r="H107" s="128">
        <v>4.7E-2</v>
      </c>
      <c r="I107" s="128">
        <v>6.0999999999999999E-2</v>
      </c>
      <c r="J107" s="128">
        <v>4.9000000000000002E-2</v>
      </c>
      <c r="K107" s="128">
        <v>4.3999999999999997E-2</v>
      </c>
      <c r="L107" s="128">
        <v>7.3999999999999982E-2</v>
      </c>
      <c r="M107" s="128">
        <v>6.8000000000000005E-2</v>
      </c>
      <c r="N107" s="128">
        <v>6.7000000000000004E-2</v>
      </c>
      <c r="O107" s="128">
        <v>7.3999999999999996E-2</v>
      </c>
      <c r="P107" s="128">
        <v>0.04</v>
      </c>
    </row>
  </sheetData>
  <mergeCells count="4">
    <mergeCell ref="A1:P1"/>
    <mergeCell ref="A2:P2"/>
    <mergeCell ref="A3:P3"/>
    <mergeCell ref="A50:P50"/>
  </mergeCells>
  <phoneticPr fontId="15" type="noConversion"/>
  <conditionalFormatting sqref="B72 C70:C72">
    <cfRule type="cellIs" dxfId="0" priority="1" stopIfTrue="1" operator="equal">
      <formula>"tie to PF Core IS"</formula>
    </cfRule>
  </conditionalFormatting>
  <pageMargins left="0.7" right="0.7" top="0.42" bottom="0.41" header="0.3" footer="0.3"/>
  <pageSetup scale="66" fitToHeight="2" orientation="landscape" r:id="rId1"/>
  <headerFooter>
    <oddFooter>&amp;LElectronic Arts Inc.&amp;C&amp;D&amp;R&amp;P of &amp;N</oddFooter>
  </headerFooter>
  <rowBreaks count="1" manualBreakCount="1">
    <brk id="48"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N110"/>
  <sheetViews>
    <sheetView zoomScaleNormal="100" workbookViewId="0">
      <pane xSplit="3" ySplit="6" topLeftCell="I7" activePane="bottomRight" state="frozen"/>
      <selection activeCell="H54" sqref="H54"/>
      <selection pane="topRight" activeCell="H54" sqref="H54"/>
      <selection pane="bottomLeft" activeCell="H54" sqref="H54"/>
      <selection pane="bottomRight" activeCell="H54" sqref="H54"/>
    </sheetView>
  </sheetViews>
  <sheetFormatPr defaultRowHeight="12.75"/>
  <cols>
    <col min="1" max="1" width="3.5703125" style="135" customWidth="1"/>
    <col min="2" max="2" width="6.5703125" style="135" customWidth="1"/>
    <col min="3" max="3" width="61.140625" style="135" customWidth="1"/>
    <col min="4" max="15" width="10.7109375" style="148" customWidth="1"/>
    <col min="16" max="16384" width="9.140625" style="135"/>
  </cols>
  <sheetData>
    <row r="1" spans="1:40" s="48" customFormat="1" ht="15" collapsed="1">
      <c r="A1" s="371" t="s">
        <v>100</v>
      </c>
      <c r="B1" s="374"/>
      <c r="C1" s="374"/>
      <c r="D1" s="374"/>
      <c r="E1" s="374"/>
      <c r="F1" s="374"/>
      <c r="G1" s="374"/>
      <c r="H1" s="374"/>
      <c r="I1" s="374"/>
      <c r="J1" s="374"/>
      <c r="K1" s="374"/>
      <c r="L1" s="374"/>
      <c r="M1" s="374"/>
      <c r="N1" s="374"/>
      <c r="O1" s="374"/>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8" customFormat="1" ht="15">
      <c r="A2" s="371" t="s">
        <v>176</v>
      </c>
      <c r="B2" s="374"/>
      <c r="C2" s="374"/>
      <c r="D2" s="374"/>
      <c r="E2" s="374"/>
      <c r="F2" s="374"/>
      <c r="G2" s="374"/>
      <c r="H2" s="374"/>
      <c r="I2" s="374"/>
      <c r="J2" s="374"/>
      <c r="K2" s="374"/>
      <c r="L2" s="374"/>
      <c r="M2" s="374"/>
      <c r="N2" s="374"/>
      <c r="O2" s="374"/>
      <c r="P2" s="23"/>
      <c r="Q2" s="23"/>
      <c r="R2" s="23"/>
      <c r="S2" s="23"/>
      <c r="T2" s="23"/>
      <c r="U2" s="23"/>
      <c r="V2" s="23"/>
      <c r="W2" s="23"/>
      <c r="X2" s="23"/>
      <c r="Y2" s="23"/>
      <c r="Z2" s="23"/>
      <c r="AA2" s="23"/>
      <c r="AB2" s="23"/>
      <c r="AC2" s="23"/>
      <c r="AD2" s="23"/>
      <c r="AE2" s="23"/>
      <c r="AF2" s="23"/>
      <c r="AG2" s="23"/>
      <c r="AH2" s="23"/>
      <c r="AI2" s="23"/>
      <c r="AJ2" s="23"/>
      <c r="AK2" s="23"/>
      <c r="AL2" s="23"/>
      <c r="AM2" s="23"/>
      <c r="AN2" s="23"/>
    </row>
    <row r="3" spans="1:40" s="48" customFormat="1" ht="15">
      <c r="A3" s="371" t="s">
        <v>99</v>
      </c>
      <c r="B3" s="374"/>
      <c r="C3" s="374"/>
      <c r="D3" s="374"/>
      <c r="E3" s="374"/>
      <c r="F3" s="374"/>
      <c r="G3" s="374"/>
      <c r="H3" s="374"/>
      <c r="I3" s="374"/>
      <c r="J3" s="374"/>
      <c r="K3" s="374"/>
      <c r="L3" s="374"/>
      <c r="M3" s="374"/>
      <c r="N3" s="374"/>
      <c r="O3" s="374"/>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c r="C4" s="152"/>
      <c r="D4" s="153"/>
      <c r="E4" s="153"/>
      <c r="F4" s="153"/>
      <c r="G4" s="153"/>
      <c r="H4" s="153"/>
      <c r="I4" s="153"/>
      <c r="J4" s="153"/>
      <c r="K4" s="153"/>
      <c r="L4" s="153"/>
      <c r="M4" s="153"/>
      <c r="N4" s="153"/>
      <c r="O4" s="153"/>
    </row>
    <row r="5" spans="1:40">
      <c r="C5" s="136"/>
      <c r="D5" s="24" t="s">
        <v>18</v>
      </c>
      <c r="E5" s="24" t="s">
        <v>15</v>
      </c>
      <c r="F5" s="24" t="s">
        <v>16</v>
      </c>
      <c r="G5" s="24" t="s">
        <v>17</v>
      </c>
      <c r="H5" s="24" t="s">
        <v>18</v>
      </c>
      <c r="I5" s="24" t="s">
        <v>15</v>
      </c>
      <c r="J5" s="24" t="s">
        <v>16</v>
      </c>
      <c r="K5" s="24" t="s">
        <v>17</v>
      </c>
      <c r="L5" s="24" t="s">
        <v>18</v>
      </c>
      <c r="M5" s="24" t="s">
        <v>15</v>
      </c>
      <c r="N5" s="24" t="s">
        <v>16</v>
      </c>
      <c r="O5" s="24" t="s">
        <v>17</v>
      </c>
    </row>
    <row r="6" spans="1:40" ht="15.75">
      <c r="A6" s="137"/>
      <c r="B6" s="137"/>
      <c r="C6" s="137"/>
      <c r="D6" s="42" t="s">
        <v>26</v>
      </c>
      <c r="E6" s="42" t="s">
        <v>25</v>
      </c>
      <c r="F6" s="42" t="s">
        <v>25</v>
      </c>
      <c r="G6" s="42" t="s">
        <v>25</v>
      </c>
      <c r="H6" s="42" t="s">
        <v>25</v>
      </c>
      <c r="I6" s="42" t="s">
        <v>174</v>
      </c>
      <c r="J6" s="42" t="s">
        <v>174</v>
      </c>
      <c r="K6" s="243" t="s">
        <v>174</v>
      </c>
      <c r="L6" s="326" t="s">
        <v>174</v>
      </c>
      <c r="M6" s="329" t="s">
        <v>199</v>
      </c>
      <c r="N6" s="334" t="s">
        <v>199</v>
      </c>
      <c r="O6" s="42" t="s">
        <v>199</v>
      </c>
    </row>
    <row r="7" spans="1:40">
      <c r="A7" s="160" t="s">
        <v>169</v>
      </c>
      <c r="B7" s="161"/>
      <c r="C7" s="160"/>
      <c r="D7" s="157"/>
      <c r="E7" s="157"/>
      <c r="F7" s="157"/>
      <c r="G7" s="157"/>
      <c r="H7" s="157"/>
      <c r="I7" s="157"/>
      <c r="J7" s="157"/>
      <c r="K7" s="157"/>
      <c r="L7" s="157"/>
      <c r="M7" s="157"/>
      <c r="N7" s="157"/>
      <c r="O7" s="157"/>
    </row>
    <row r="8" spans="1:40">
      <c r="A8" s="161"/>
      <c r="B8" s="163" t="s">
        <v>164</v>
      </c>
      <c r="C8" s="161"/>
      <c r="D8" s="123">
        <v>510</v>
      </c>
      <c r="E8" s="123">
        <v>451</v>
      </c>
      <c r="F8" s="123">
        <v>327</v>
      </c>
      <c r="G8" s="123">
        <v>528</v>
      </c>
      <c r="H8" s="123">
        <v>530</v>
      </c>
      <c r="I8" s="123">
        <v>501</v>
      </c>
      <c r="J8" s="123">
        <v>337</v>
      </c>
      <c r="K8" s="123">
        <v>500</v>
      </c>
      <c r="L8" s="123">
        <v>653</v>
      </c>
      <c r="M8" s="123">
        <v>450</v>
      </c>
      <c r="N8" s="123">
        <v>329</v>
      </c>
      <c r="O8" s="123">
        <v>409</v>
      </c>
      <c r="P8" s="245"/>
    </row>
    <row r="9" spans="1:40">
      <c r="A9" s="161"/>
      <c r="B9" s="163" t="s">
        <v>165</v>
      </c>
      <c r="C9" s="161"/>
      <c r="D9" s="123">
        <v>418</v>
      </c>
      <c r="E9" s="123">
        <v>317</v>
      </c>
      <c r="F9" s="123">
        <v>262</v>
      </c>
      <c r="G9" s="123">
        <v>477</v>
      </c>
      <c r="H9" s="123">
        <v>507</v>
      </c>
      <c r="I9" s="123">
        <v>438</v>
      </c>
      <c r="J9" s="123">
        <v>328</v>
      </c>
      <c r="K9" s="123">
        <v>505</v>
      </c>
      <c r="L9" s="123">
        <v>627</v>
      </c>
      <c r="M9" s="123">
        <v>435</v>
      </c>
      <c r="N9" s="123">
        <v>332</v>
      </c>
      <c r="O9" s="123">
        <v>464</v>
      </c>
      <c r="P9" s="245"/>
    </row>
    <row r="10" spans="1:40" s="228" customFormat="1" ht="15">
      <c r="A10" s="161"/>
      <c r="B10" s="163" t="s">
        <v>166</v>
      </c>
      <c r="C10" s="161"/>
      <c r="D10" s="167">
        <v>51</v>
      </c>
      <c r="E10" s="167">
        <v>47</v>
      </c>
      <c r="F10" s="167">
        <v>42</v>
      </c>
      <c r="G10" s="167">
        <v>48</v>
      </c>
      <c r="H10" s="167">
        <v>53</v>
      </c>
      <c r="I10" s="167">
        <v>60</v>
      </c>
      <c r="J10" s="167">
        <v>50</v>
      </c>
      <c r="K10" s="167">
        <v>56</v>
      </c>
      <c r="L10" s="167">
        <v>88</v>
      </c>
      <c r="M10" s="167">
        <v>70</v>
      </c>
      <c r="N10" s="167">
        <v>50</v>
      </c>
      <c r="O10" s="167">
        <v>49</v>
      </c>
      <c r="P10" s="245"/>
    </row>
    <row r="11" spans="1:40" ht="15">
      <c r="A11" s="162"/>
      <c r="B11" s="162"/>
      <c r="C11" s="160" t="s">
        <v>157</v>
      </c>
      <c r="D11" s="168">
        <v>979</v>
      </c>
      <c r="E11" s="168">
        <v>815</v>
      </c>
      <c r="F11" s="168">
        <v>631</v>
      </c>
      <c r="G11" s="168">
        <v>1053</v>
      </c>
      <c r="H11" s="168">
        <v>1090</v>
      </c>
      <c r="I11" s="168">
        <v>999</v>
      </c>
      <c r="J11" s="168">
        <v>715</v>
      </c>
      <c r="K11" s="168">
        <v>1061</v>
      </c>
      <c r="L11" s="168">
        <v>1368</v>
      </c>
      <c r="M11" s="168">
        <v>955</v>
      </c>
      <c r="N11" s="168">
        <v>711</v>
      </c>
      <c r="O11" s="168">
        <v>922</v>
      </c>
      <c r="P11" s="245"/>
    </row>
    <row r="12" spans="1:40">
      <c r="A12" s="161"/>
      <c r="B12" s="163" t="s">
        <v>164</v>
      </c>
      <c r="C12" s="161"/>
      <c r="D12" s="123">
        <v>-55</v>
      </c>
      <c r="E12" s="123">
        <v>-184</v>
      </c>
      <c r="F12" s="123">
        <v>142</v>
      </c>
      <c r="G12" s="123">
        <v>169</v>
      </c>
      <c r="H12" s="123">
        <v>-56</v>
      </c>
      <c r="I12" s="123">
        <v>-240</v>
      </c>
      <c r="J12" s="123">
        <v>144</v>
      </c>
      <c r="K12" s="123">
        <v>310</v>
      </c>
      <c r="L12" s="123">
        <v>-188</v>
      </c>
      <c r="M12" s="123">
        <v>-265</v>
      </c>
      <c r="N12" s="123">
        <v>179</v>
      </c>
      <c r="O12" s="123">
        <v>80</v>
      </c>
      <c r="P12" s="245"/>
    </row>
    <row r="13" spans="1:40" s="136" customFormat="1">
      <c r="A13" s="161"/>
      <c r="B13" s="163" t="s">
        <v>165</v>
      </c>
      <c r="C13" s="161"/>
      <c r="D13" s="123">
        <v>-78</v>
      </c>
      <c r="E13" s="123">
        <v>-81</v>
      </c>
      <c r="F13" s="123">
        <v>122</v>
      </c>
      <c r="G13" s="123">
        <v>163</v>
      </c>
      <c r="H13" s="123">
        <v>-45</v>
      </c>
      <c r="I13" s="123">
        <v>-215</v>
      </c>
      <c r="J13" s="123">
        <v>174</v>
      </c>
      <c r="K13" s="123">
        <v>235</v>
      </c>
      <c r="L13" s="123">
        <v>-187</v>
      </c>
      <c r="M13" s="123">
        <v>-174</v>
      </c>
      <c r="N13" s="123">
        <v>171</v>
      </c>
      <c r="O13" s="123">
        <v>166</v>
      </c>
      <c r="P13" s="245"/>
    </row>
    <row r="14" spans="1:40" s="228" customFormat="1" ht="15">
      <c r="A14" s="161"/>
      <c r="B14" s="163" t="s">
        <v>167</v>
      </c>
      <c r="C14" s="161"/>
      <c r="D14" s="167">
        <v>4</v>
      </c>
      <c r="E14" s="167">
        <v>-11</v>
      </c>
      <c r="F14" s="167">
        <v>-11</v>
      </c>
      <c r="G14" s="167">
        <v>25</v>
      </c>
      <c r="H14" s="167">
        <v>6</v>
      </c>
      <c r="I14" s="167">
        <v>-20</v>
      </c>
      <c r="J14" s="167">
        <v>1</v>
      </c>
      <c r="K14" s="167">
        <v>45</v>
      </c>
      <c r="L14" s="167">
        <v>-16</v>
      </c>
      <c r="M14" s="167">
        <v>-25</v>
      </c>
      <c r="N14" s="167">
        <v>19</v>
      </c>
      <c r="O14" s="167">
        <v>14</v>
      </c>
      <c r="P14" s="245"/>
    </row>
    <row r="15" spans="1:40" ht="15">
      <c r="A15" s="162"/>
      <c r="B15" s="162"/>
      <c r="C15" s="160" t="s">
        <v>163</v>
      </c>
      <c r="D15" s="168">
        <v>-129</v>
      </c>
      <c r="E15" s="168">
        <v>-276</v>
      </c>
      <c r="F15" s="168">
        <v>253</v>
      </c>
      <c r="G15" s="168">
        <v>357</v>
      </c>
      <c r="H15" s="168">
        <v>-95</v>
      </c>
      <c r="I15" s="168">
        <v>-475</v>
      </c>
      <c r="J15" s="168">
        <v>319</v>
      </c>
      <c r="K15" s="168">
        <v>590</v>
      </c>
      <c r="L15" s="168">
        <v>-391</v>
      </c>
      <c r="M15" s="168">
        <v>-464</v>
      </c>
      <c r="N15" s="168">
        <v>369</v>
      </c>
      <c r="O15" s="168">
        <v>260</v>
      </c>
      <c r="P15" s="245"/>
    </row>
    <row r="16" spans="1:40">
      <c r="A16" s="163"/>
      <c r="B16" s="163" t="s">
        <v>168</v>
      </c>
      <c r="C16" s="163"/>
      <c r="D16" s="44">
        <v>455</v>
      </c>
      <c r="E16" s="44">
        <v>267</v>
      </c>
      <c r="F16" s="44">
        <v>469</v>
      </c>
      <c r="G16" s="44">
        <v>697</v>
      </c>
      <c r="H16" s="44">
        <v>474</v>
      </c>
      <c r="I16" s="44">
        <v>261</v>
      </c>
      <c r="J16" s="44">
        <v>481</v>
      </c>
      <c r="K16" s="44">
        <v>810</v>
      </c>
      <c r="L16" s="44">
        <v>465</v>
      </c>
      <c r="M16" s="44">
        <v>185</v>
      </c>
      <c r="N16" s="44">
        <v>508</v>
      </c>
      <c r="O16" s="44">
        <v>489</v>
      </c>
      <c r="P16" s="245"/>
    </row>
    <row r="17" spans="1:16" s="136" customFormat="1">
      <c r="A17" s="163"/>
      <c r="B17" s="163" t="s">
        <v>165</v>
      </c>
      <c r="C17" s="163"/>
      <c r="D17" s="44">
        <v>340</v>
      </c>
      <c r="E17" s="44">
        <v>236</v>
      </c>
      <c r="F17" s="44">
        <v>384</v>
      </c>
      <c r="G17" s="44">
        <v>640</v>
      </c>
      <c r="H17" s="44">
        <v>462</v>
      </c>
      <c r="I17" s="44">
        <v>223</v>
      </c>
      <c r="J17" s="44">
        <v>502</v>
      </c>
      <c r="K17" s="44">
        <v>740</v>
      </c>
      <c r="L17" s="44">
        <v>440</v>
      </c>
      <c r="M17" s="44">
        <v>261</v>
      </c>
      <c r="N17" s="44">
        <v>503</v>
      </c>
      <c r="O17" s="44">
        <v>630</v>
      </c>
      <c r="P17" s="245"/>
    </row>
    <row r="18" spans="1:16" s="136" customFormat="1" ht="15">
      <c r="A18" s="163"/>
      <c r="B18" s="163" t="s">
        <v>167</v>
      </c>
      <c r="C18" s="163"/>
      <c r="D18" s="57">
        <v>55</v>
      </c>
      <c r="E18" s="57">
        <v>36</v>
      </c>
      <c r="F18" s="57">
        <v>31</v>
      </c>
      <c r="G18" s="57">
        <v>73</v>
      </c>
      <c r="H18" s="57">
        <v>59</v>
      </c>
      <c r="I18" s="57">
        <v>40</v>
      </c>
      <c r="J18" s="57">
        <v>51</v>
      </c>
      <c r="K18" s="57">
        <v>101</v>
      </c>
      <c r="L18" s="57">
        <v>72</v>
      </c>
      <c r="M18" s="57">
        <v>45</v>
      </c>
      <c r="N18" s="57">
        <v>69</v>
      </c>
      <c r="O18" s="57">
        <v>63</v>
      </c>
      <c r="P18" s="245"/>
    </row>
    <row r="19" spans="1:16" s="136" customFormat="1" ht="15">
      <c r="A19" s="160"/>
      <c r="B19" s="160"/>
      <c r="C19" s="160" t="s">
        <v>159</v>
      </c>
      <c r="D19" s="169">
        <v>850</v>
      </c>
      <c r="E19" s="169">
        <v>539</v>
      </c>
      <c r="F19" s="169">
        <v>884</v>
      </c>
      <c r="G19" s="169">
        <v>1410</v>
      </c>
      <c r="H19" s="169">
        <v>995</v>
      </c>
      <c r="I19" s="169">
        <v>524</v>
      </c>
      <c r="J19" s="169">
        <v>1034</v>
      </c>
      <c r="K19" s="169">
        <v>1651</v>
      </c>
      <c r="L19" s="169">
        <v>977</v>
      </c>
      <c r="M19" s="169">
        <v>491</v>
      </c>
      <c r="N19" s="169">
        <v>1080</v>
      </c>
      <c r="O19" s="169">
        <v>1182</v>
      </c>
      <c r="P19" s="245"/>
    </row>
    <row r="20" spans="1:16" s="228" customFormat="1" ht="15">
      <c r="A20" s="160"/>
      <c r="B20" s="160"/>
      <c r="C20" s="160"/>
      <c r="D20" s="169"/>
      <c r="E20" s="169"/>
      <c r="F20" s="169"/>
      <c r="G20" s="169"/>
      <c r="H20" s="169"/>
      <c r="I20" s="169"/>
      <c r="J20" s="169"/>
      <c r="K20" s="169"/>
      <c r="L20" s="169"/>
      <c r="M20" s="169"/>
      <c r="N20" s="169"/>
      <c r="O20" s="169"/>
    </row>
    <row r="21" spans="1:16" s="228" customFormat="1">
      <c r="A21" s="161"/>
      <c r="B21" s="161" t="s">
        <v>168</v>
      </c>
      <c r="C21" s="161"/>
      <c r="D21" s="170">
        <v>0.52</v>
      </c>
      <c r="E21" s="170">
        <v>0.55000000000000004</v>
      </c>
      <c r="F21" s="170">
        <v>0.52</v>
      </c>
      <c r="G21" s="170">
        <v>0.5</v>
      </c>
      <c r="H21" s="170">
        <v>0.49</v>
      </c>
      <c r="I21" s="170">
        <v>0.5</v>
      </c>
      <c r="J21" s="170">
        <v>0.47</v>
      </c>
      <c r="K21" s="170">
        <v>0.47</v>
      </c>
      <c r="L21" s="170">
        <v>0.48</v>
      </c>
      <c r="M21" s="170">
        <v>0.47</v>
      </c>
      <c r="N21" s="170">
        <v>0.46</v>
      </c>
      <c r="O21" s="170">
        <v>0.44</v>
      </c>
      <c r="P21" s="227"/>
    </row>
    <row r="22" spans="1:16" s="228" customFormat="1">
      <c r="A22" s="161"/>
      <c r="B22" s="161" t="s">
        <v>165</v>
      </c>
      <c r="C22" s="161"/>
      <c r="D22" s="170">
        <v>0.43</v>
      </c>
      <c r="E22" s="170">
        <v>0.39</v>
      </c>
      <c r="F22" s="170">
        <v>0.41</v>
      </c>
      <c r="G22" s="170">
        <v>0.45</v>
      </c>
      <c r="H22" s="170">
        <v>0.46</v>
      </c>
      <c r="I22" s="170">
        <v>0.44</v>
      </c>
      <c r="J22" s="170">
        <v>0.46</v>
      </c>
      <c r="K22" s="170">
        <v>0.48</v>
      </c>
      <c r="L22" s="170">
        <v>0.46</v>
      </c>
      <c r="M22" s="170">
        <v>0.46</v>
      </c>
      <c r="N22" s="170">
        <v>0.47</v>
      </c>
      <c r="O22" s="170">
        <v>0.51</v>
      </c>
      <c r="P22" s="227"/>
    </row>
    <row r="23" spans="1:16">
      <c r="A23" s="161"/>
      <c r="B23" s="161" t="s">
        <v>167</v>
      </c>
      <c r="C23" s="161"/>
      <c r="D23" s="171">
        <v>0.05</v>
      </c>
      <c r="E23" s="171">
        <v>0.06</v>
      </c>
      <c r="F23" s="171">
        <v>7.0000000000000007E-2</v>
      </c>
      <c r="G23" s="171">
        <v>0.05</v>
      </c>
      <c r="H23" s="171">
        <v>0.05</v>
      </c>
      <c r="I23" s="171">
        <v>0.06</v>
      </c>
      <c r="J23" s="171">
        <v>7.0000000000000007E-2</v>
      </c>
      <c r="K23" s="171">
        <v>0.05</v>
      </c>
      <c r="L23" s="171">
        <v>0.06</v>
      </c>
      <c r="M23" s="171">
        <v>7.0000000000000007E-2</v>
      </c>
      <c r="N23" s="171">
        <v>7.0000000000000007E-2</v>
      </c>
      <c r="O23" s="171">
        <v>0.05</v>
      </c>
      <c r="P23" s="227"/>
    </row>
    <row r="24" spans="1:16" ht="15">
      <c r="A24" s="162"/>
      <c r="B24" s="162"/>
      <c r="C24" s="162" t="s">
        <v>170</v>
      </c>
      <c r="D24" s="172">
        <v>1</v>
      </c>
      <c r="E24" s="172">
        <v>1</v>
      </c>
      <c r="F24" s="172">
        <v>1</v>
      </c>
      <c r="G24" s="172">
        <v>1</v>
      </c>
      <c r="H24" s="172">
        <v>1</v>
      </c>
      <c r="I24" s="172">
        <v>1</v>
      </c>
      <c r="J24" s="172">
        <v>1</v>
      </c>
      <c r="K24" s="172">
        <v>1</v>
      </c>
      <c r="L24" s="172">
        <v>1</v>
      </c>
      <c r="M24" s="172">
        <v>1</v>
      </c>
      <c r="N24" s="172">
        <v>1</v>
      </c>
      <c r="O24" s="172">
        <v>1</v>
      </c>
      <c r="P24" s="227"/>
    </row>
    <row r="25" spans="1:16" s="228" customFormat="1">
      <c r="A25" s="161"/>
      <c r="B25" s="161" t="s">
        <v>168</v>
      </c>
      <c r="C25" s="161"/>
      <c r="D25" s="170">
        <v>0.54</v>
      </c>
      <c r="E25" s="170">
        <v>0.49</v>
      </c>
      <c r="F25" s="170">
        <v>0.53</v>
      </c>
      <c r="G25" s="170">
        <v>0.5</v>
      </c>
      <c r="H25" s="170">
        <v>0.48</v>
      </c>
      <c r="I25" s="170">
        <v>0.5</v>
      </c>
      <c r="J25" s="170">
        <v>0.46</v>
      </c>
      <c r="K25" s="170">
        <v>0.49</v>
      </c>
      <c r="L25" s="170">
        <v>0.48</v>
      </c>
      <c r="M25" s="170">
        <v>0.38</v>
      </c>
      <c r="N25" s="170">
        <v>0.47</v>
      </c>
      <c r="O25" s="170">
        <v>0.42</v>
      </c>
      <c r="P25" s="227"/>
    </row>
    <row r="26" spans="1:16" s="228" customFormat="1">
      <c r="A26" s="161"/>
      <c r="B26" s="161" t="s">
        <v>165</v>
      </c>
      <c r="C26" s="161"/>
      <c r="D26" s="170">
        <v>0.4</v>
      </c>
      <c r="E26" s="170">
        <v>0.44</v>
      </c>
      <c r="F26" s="170">
        <v>0.43</v>
      </c>
      <c r="G26" s="170">
        <v>0.45</v>
      </c>
      <c r="H26" s="170">
        <v>0.46</v>
      </c>
      <c r="I26" s="170">
        <v>0.42</v>
      </c>
      <c r="J26" s="170">
        <v>0.49</v>
      </c>
      <c r="K26" s="170">
        <v>0.45</v>
      </c>
      <c r="L26" s="170">
        <v>0.45</v>
      </c>
      <c r="M26" s="170">
        <v>0.53</v>
      </c>
      <c r="N26" s="170">
        <v>0.47</v>
      </c>
      <c r="O26" s="170">
        <v>0.53</v>
      </c>
      <c r="P26" s="227"/>
    </row>
    <row r="27" spans="1:16" s="136" customFormat="1">
      <c r="A27" s="161"/>
      <c r="B27" s="161" t="s">
        <v>167</v>
      </c>
      <c r="C27" s="161"/>
      <c r="D27" s="171">
        <v>0.06</v>
      </c>
      <c r="E27" s="171">
        <v>7.0000000000000007E-2</v>
      </c>
      <c r="F27" s="171">
        <v>0.04</v>
      </c>
      <c r="G27" s="171">
        <v>0.05</v>
      </c>
      <c r="H27" s="171">
        <v>0.06</v>
      </c>
      <c r="I27" s="171">
        <v>0.08</v>
      </c>
      <c r="J27" s="171">
        <v>0.05</v>
      </c>
      <c r="K27" s="171">
        <v>0.06</v>
      </c>
      <c r="L27" s="171">
        <v>7.0000000000000007E-2</v>
      </c>
      <c r="M27" s="171">
        <v>0.09</v>
      </c>
      <c r="N27" s="171">
        <v>0.06</v>
      </c>
      <c r="O27" s="171">
        <v>0.05</v>
      </c>
      <c r="P27" s="227"/>
    </row>
    <row r="28" spans="1:16" s="136" customFormat="1" ht="15">
      <c r="A28" s="162"/>
      <c r="B28" s="162"/>
      <c r="C28" s="162" t="s">
        <v>171</v>
      </c>
      <c r="D28" s="172">
        <v>1</v>
      </c>
      <c r="E28" s="172">
        <v>1</v>
      </c>
      <c r="F28" s="172">
        <v>1</v>
      </c>
      <c r="G28" s="172">
        <v>1</v>
      </c>
      <c r="H28" s="172">
        <v>1</v>
      </c>
      <c r="I28" s="172">
        <v>1</v>
      </c>
      <c r="J28" s="172">
        <v>1</v>
      </c>
      <c r="K28" s="172">
        <v>1</v>
      </c>
      <c r="L28" s="172">
        <v>1</v>
      </c>
      <c r="M28" s="172">
        <v>1</v>
      </c>
      <c r="N28" s="172">
        <v>1</v>
      </c>
      <c r="O28" s="172">
        <v>1</v>
      </c>
      <c r="P28" s="227"/>
    </row>
    <row r="29" spans="1:16">
      <c r="A29" s="164"/>
      <c r="B29" s="164"/>
      <c r="C29" s="164"/>
      <c r="D29" s="158"/>
      <c r="E29" s="158"/>
      <c r="F29" s="158"/>
      <c r="G29" s="158"/>
      <c r="H29" s="158"/>
      <c r="I29" s="158"/>
      <c r="J29" s="158"/>
      <c r="K29" s="158"/>
      <c r="L29" s="158"/>
      <c r="M29" s="158"/>
      <c r="N29" s="158"/>
      <c r="O29" s="158"/>
    </row>
    <row r="30" spans="1:16" s="228" customFormat="1">
      <c r="A30" s="165" t="s">
        <v>173</v>
      </c>
      <c r="B30" s="163"/>
      <c r="C30" s="163"/>
      <c r="D30" s="159"/>
      <c r="E30" s="159"/>
      <c r="F30" s="159"/>
      <c r="G30" s="159"/>
      <c r="H30" s="159"/>
      <c r="I30" s="159"/>
      <c r="J30" s="159"/>
      <c r="K30" s="159"/>
      <c r="L30" s="159"/>
      <c r="M30" s="159"/>
      <c r="N30" s="159"/>
      <c r="O30" s="159"/>
    </row>
    <row r="31" spans="1:16">
      <c r="A31" s="230"/>
      <c r="B31" s="26" t="s">
        <v>160</v>
      </c>
      <c r="C31" s="48"/>
      <c r="D31" s="103">
        <v>794</v>
      </c>
      <c r="E31" s="103">
        <v>586</v>
      </c>
      <c r="F31" s="103">
        <v>441</v>
      </c>
      <c r="G31" s="103">
        <v>767</v>
      </c>
      <c r="H31" s="103">
        <v>838</v>
      </c>
      <c r="I31" s="103">
        <v>647</v>
      </c>
      <c r="J31" s="103">
        <v>450</v>
      </c>
      <c r="K31" s="103">
        <v>738</v>
      </c>
      <c r="L31" s="103">
        <v>926</v>
      </c>
      <c r="M31" s="103">
        <v>592</v>
      </c>
      <c r="N31" s="103">
        <v>365</v>
      </c>
      <c r="O31" s="103">
        <v>568</v>
      </c>
      <c r="P31" s="246"/>
    </row>
    <row r="32" spans="1:16">
      <c r="A32" s="155"/>
      <c r="B32" s="26" t="s">
        <v>161</v>
      </c>
      <c r="C32" s="48"/>
      <c r="D32" s="103">
        <v>144</v>
      </c>
      <c r="E32" s="103">
        <v>176</v>
      </c>
      <c r="F32" s="103">
        <v>161</v>
      </c>
      <c r="G32" s="103">
        <v>195</v>
      </c>
      <c r="H32" s="103">
        <v>211</v>
      </c>
      <c r="I32" s="103">
        <v>232</v>
      </c>
      <c r="J32" s="103">
        <v>234</v>
      </c>
      <c r="K32" s="103">
        <v>274</v>
      </c>
      <c r="L32" s="103">
        <v>419</v>
      </c>
      <c r="M32" s="103">
        <v>342</v>
      </c>
      <c r="N32" s="103">
        <v>324</v>
      </c>
      <c r="O32" s="103">
        <v>321</v>
      </c>
      <c r="P32" s="246"/>
    </row>
    <row r="33" spans="1:16" s="228" customFormat="1" ht="15">
      <c r="A33" s="155"/>
      <c r="B33" s="26" t="s">
        <v>162</v>
      </c>
      <c r="C33" s="48"/>
      <c r="D33" s="173">
        <v>41</v>
      </c>
      <c r="E33" s="173">
        <v>53</v>
      </c>
      <c r="F33" s="173">
        <v>29</v>
      </c>
      <c r="G33" s="173">
        <v>91</v>
      </c>
      <c r="H33" s="173">
        <v>41</v>
      </c>
      <c r="I33" s="173">
        <v>120</v>
      </c>
      <c r="J33" s="173">
        <v>31</v>
      </c>
      <c r="K33" s="173">
        <v>49</v>
      </c>
      <c r="L33" s="173">
        <v>23</v>
      </c>
      <c r="M33" s="173">
        <v>21</v>
      </c>
      <c r="N33" s="173">
        <v>22</v>
      </c>
      <c r="O33" s="173">
        <v>33</v>
      </c>
      <c r="P33" s="246"/>
    </row>
    <row r="34" spans="1:16" ht="15">
      <c r="A34" s="228"/>
      <c r="B34" s="48"/>
      <c r="C34" s="53" t="s">
        <v>157</v>
      </c>
      <c r="D34" s="168">
        <v>979</v>
      </c>
      <c r="E34" s="168">
        <v>815</v>
      </c>
      <c r="F34" s="168">
        <v>631</v>
      </c>
      <c r="G34" s="168">
        <v>1053</v>
      </c>
      <c r="H34" s="168">
        <v>1090</v>
      </c>
      <c r="I34" s="168">
        <v>999</v>
      </c>
      <c r="J34" s="168">
        <v>715</v>
      </c>
      <c r="K34" s="168">
        <v>1061</v>
      </c>
      <c r="L34" s="168">
        <v>1368</v>
      </c>
      <c r="M34" s="168">
        <v>955</v>
      </c>
      <c r="N34" s="168">
        <v>711</v>
      </c>
      <c r="O34" s="168">
        <v>922</v>
      </c>
      <c r="P34" s="246"/>
    </row>
    <row r="35" spans="1:16">
      <c r="B35" s="26" t="s">
        <v>160</v>
      </c>
      <c r="C35" s="48"/>
      <c r="D35" s="103">
        <v>-141</v>
      </c>
      <c r="E35" s="103">
        <v>-288</v>
      </c>
      <c r="F35" s="103">
        <v>248</v>
      </c>
      <c r="G35" s="103">
        <v>341</v>
      </c>
      <c r="H35" s="103">
        <v>-152</v>
      </c>
      <c r="I35" s="103">
        <v>-452</v>
      </c>
      <c r="J35" s="103">
        <v>337</v>
      </c>
      <c r="K35" s="103">
        <v>487</v>
      </c>
      <c r="L35" s="103">
        <v>-397</v>
      </c>
      <c r="M35" s="103">
        <v>-446</v>
      </c>
      <c r="N35" s="103">
        <v>379</v>
      </c>
      <c r="O35" s="103">
        <v>174</v>
      </c>
      <c r="P35" s="246"/>
    </row>
    <row r="36" spans="1:16" ht="15">
      <c r="B36" s="26" t="s">
        <v>161</v>
      </c>
      <c r="C36" s="48"/>
      <c r="D36" s="173">
        <v>12</v>
      </c>
      <c r="E36" s="173">
        <v>12</v>
      </c>
      <c r="F36" s="173">
        <v>5</v>
      </c>
      <c r="G36" s="173">
        <v>16</v>
      </c>
      <c r="H36" s="173">
        <v>57</v>
      </c>
      <c r="I36" s="173">
        <v>-23</v>
      </c>
      <c r="J36" s="173">
        <v>-18</v>
      </c>
      <c r="K36" s="173">
        <v>103</v>
      </c>
      <c r="L36" s="173">
        <v>6</v>
      </c>
      <c r="M36" s="173">
        <v>-18</v>
      </c>
      <c r="N36" s="173">
        <v>-10</v>
      </c>
      <c r="O36" s="173">
        <v>86</v>
      </c>
      <c r="P36" s="246"/>
    </row>
    <row r="37" spans="1:16" ht="15">
      <c r="A37" s="156"/>
      <c r="B37" s="48"/>
      <c r="C37" s="160" t="s">
        <v>163</v>
      </c>
      <c r="D37" s="168">
        <v>-129</v>
      </c>
      <c r="E37" s="168">
        <v>-276</v>
      </c>
      <c r="F37" s="168">
        <v>253</v>
      </c>
      <c r="G37" s="168">
        <v>357</v>
      </c>
      <c r="H37" s="168">
        <v>-95</v>
      </c>
      <c r="I37" s="168">
        <v>-475</v>
      </c>
      <c r="J37" s="168">
        <v>319</v>
      </c>
      <c r="K37" s="168">
        <v>590</v>
      </c>
      <c r="L37" s="168">
        <v>-391</v>
      </c>
      <c r="M37" s="168">
        <v>-464</v>
      </c>
      <c r="N37" s="168">
        <v>369</v>
      </c>
      <c r="O37" s="168">
        <v>260</v>
      </c>
      <c r="P37" s="246"/>
    </row>
    <row r="38" spans="1:16">
      <c r="B38" s="26" t="s">
        <v>160</v>
      </c>
      <c r="C38" s="48"/>
      <c r="D38" s="103">
        <v>653</v>
      </c>
      <c r="E38" s="103">
        <v>298</v>
      </c>
      <c r="F38" s="103">
        <v>689</v>
      </c>
      <c r="G38" s="103">
        <v>1108</v>
      </c>
      <c r="H38" s="103">
        <v>686</v>
      </c>
      <c r="I38" s="103">
        <v>195</v>
      </c>
      <c r="J38" s="103">
        <v>787</v>
      </c>
      <c r="K38" s="103">
        <v>1225</v>
      </c>
      <c r="L38" s="103">
        <v>529</v>
      </c>
      <c r="M38" s="103">
        <v>146</v>
      </c>
      <c r="N38" s="103">
        <v>744</v>
      </c>
      <c r="O38" s="103">
        <v>742</v>
      </c>
      <c r="P38" s="246"/>
    </row>
    <row r="39" spans="1:16">
      <c r="B39" s="26" t="s">
        <v>161</v>
      </c>
      <c r="C39" s="48"/>
      <c r="D39" s="103">
        <v>156</v>
      </c>
      <c r="E39" s="103">
        <v>188</v>
      </c>
      <c r="F39" s="103">
        <v>166</v>
      </c>
      <c r="G39" s="103">
        <v>211</v>
      </c>
      <c r="H39" s="103">
        <v>268</v>
      </c>
      <c r="I39" s="103">
        <v>209</v>
      </c>
      <c r="J39" s="103">
        <v>216</v>
      </c>
      <c r="K39" s="103">
        <v>377</v>
      </c>
      <c r="L39" s="103">
        <v>425</v>
      </c>
      <c r="M39" s="103">
        <v>324</v>
      </c>
      <c r="N39" s="103">
        <v>314</v>
      </c>
      <c r="O39" s="103">
        <v>407</v>
      </c>
      <c r="P39" s="246"/>
    </row>
    <row r="40" spans="1:16" s="228" customFormat="1" ht="15">
      <c r="A40" s="135"/>
      <c r="B40" s="26" t="s">
        <v>162</v>
      </c>
      <c r="C40" s="48"/>
      <c r="D40" s="173">
        <v>41</v>
      </c>
      <c r="E40" s="173">
        <v>53</v>
      </c>
      <c r="F40" s="173">
        <v>29</v>
      </c>
      <c r="G40" s="173">
        <v>91</v>
      </c>
      <c r="H40" s="173">
        <v>41</v>
      </c>
      <c r="I40" s="173">
        <v>120</v>
      </c>
      <c r="J40" s="173">
        <v>31</v>
      </c>
      <c r="K40" s="173">
        <v>49</v>
      </c>
      <c r="L40" s="173">
        <v>23</v>
      </c>
      <c r="M40" s="173">
        <v>21</v>
      </c>
      <c r="N40" s="173">
        <v>22</v>
      </c>
      <c r="O40" s="173">
        <v>33</v>
      </c>
      <c r="P40" s="246"/>
    </row>
    <row r="41" spans="1:16" s="228" customFormat="1" ht="15">
      <c r="B41" s="166"/>
      <c r="C41" s="53" t="s">
        <v>159</v>
      </c>
      <c r="D41" s="169">
        <v>850</v>
      </c>
      <c r="E41" s="169">
        <v>539</v>
      </c>
      <c r="F41" s="169">
        <v>884</v>
      </c>
      <c r="G41" s="169">
        <v>1410</v>
      </c>
      <c r="H41" s="169">
        <v>995</v>
      </c>
      <c r="I41" s="169">
        <v>524</v>
      </c>
      <c r="J41" s="169">
        <v>1034</v>
      </c>
      <c r="K41" s="169">
        <v>1651</v>
      </c>
      <c r="L41" s="169">
        <v>977</v>
      </c>
      <c r="M41" s="169">
        <v>491</v>
      </c>
      <c r="N41" s="169">
        <v>1080</v>
      </c>
      <c r="O41" s="169">
        <v>1182</v>
      </c>
      <c r="P41" s="246"/>
    </row>
    <row r="42" spans="1:16" s="228" customFormat="1" ht="15">
      <c r="B42" s="166"/>
      <c r="C42" s="53"/>
      <c r="D42" s="169"/>
      <c r="E42" s="169"/>
      <c r="F42" s="169"/>
      <c r="G42" s="169"/>
      <c r="H42" s="169"/>
      <c r="I42" s="169"/>
      <c r="J42" s="169"/>
      <c r="K42" s="169"/>
      <c r="L42" s="169"/>
      <c r="M42" s="169"/>
      <c r="N42" s="169"/>
      <c r="O42" s="169"/>
    </row>
    <row r="43" spans="1:16" s="228" customFormat="1">
      <c r="B43" s="161" t="s">
        <v>160</v>
      </c>
      <c r="C43" s="48"/>
      <c r="D43" s="174">
        <v>0.81</v>
      </c>
      <c r="E43" s="174">
        <v>0.72</v>
      </c>
      <c r="F43" s="174">
        <v>0.7</v>
      </c>
      <c r="G43" s="174">
        <v>0.73</v>
      </c>
      <c r="H43" s="174">
        <v>0.77</v>
      </c>
      <c r="I43" s="174">
        <v>0.65</v>
      </c>
      <c r="J43" s="174">
        <v>0.63</v>
      </c>
      <c r="K43" s="174">
        <v>0.69</v>
      </c>
      <c r="L43" s="174">
        <v>0.68</v>
      </c>
      <c r="M43" s="174">
        <v>0.62</v>
      </c>
      <c r="N43" s="174">
        <v>0.51</v>
      </c>
      <c r="O43" s="174">
        <v>0.62</v>
      </c>
      <c r="P43" s="227"/>
    </row>
    <row r="44" spans="1:16" s="228" customFormat="1">
      <c r="B44" s="161" t="s">
        <v>161</v>
      </c>
      <c r="C44" s="48"/>
      <c r="D44" s="174">
        <v>0.15</v>
      </c>
      <c r="E44" s="174">
        <v>0.21</v>
      </c>
      <c r="F44" s="174">
        <v>0.26</v>
      </c>
      <c r="G44" s="174">
        <v>0.18</v>
      </c>
      <c r="H44" s="174">
        <v>0.19</v>
      </c>
      <c r="I44" s="174">
        <v>0.23</v>
      </c>
      <c r="J44" s="174">
        <v>0.33</v>
      </c>
      <c r="K44" s="174">
        <v>0.26</v>
      </c>
      <c r="L44" s="174">
        <v>0.3</v>
      </c>
      <c r="M44" s="174">
        <v>0.36</v>
      </c>
      <c r="N44" s="174">
        <v>0.46</v>
      </c>
      <c r="O44" s="174">
        <v>0.35</v>
      </c>
      <c r="P44" s="227"/>
    </row>
    <row r="45" spans="1:16">
      <c r="A45" s="228"/>
      <c r="B45" s="161" t="s">
        <v>162</v>
      </c>
      <c r="C45" s="48"/>
      <c r="D45" s="175">
        <v>0.04</v>
      </c>
      <c r="E45" s="175">
        <v>7.0000000000000007E-2</v>
      </c>
      <c r="F45" s="175">
        <v>0.04</v>
      </c>
      <c r="G45" s="175">
        <v>0.09</v>
      </c>
      <c r="H45" s="175">
        <v>0.04</v>
      </c>
      <c r="I45" s="175">
        <v>0.12</v>
      </c>
      <c r="J45" s="175">
        <v>0.04</v>
      </c>
      <c r="K45" s="175">
        <v>0.05</v>
      </c>
      <c r="L45" s="175">
        <v>0.02</v>
      </c>
      <c r="M45" s="175">
        <v>0.02</v>
      </c>
      <c r="N45" s="175">
        <v>0.03</v>
      </c>
      <c r="O45" s="175">
        <v>0.03</v>
      </c>
      <c r="P45" s="227"/>
    </row>
    <row r="46" spans="1:16" ht="15">
      <c r="B46" s="160"/>
      <c r="C46" s="162" t="s">
        <v>170</v>
      </c>
      <c r="D46" s="176">
        <v>1</v>
      </c>
      <c r="E46" s="176">
        <v>1</v>
      </c>
      <c r="F46" s="176">
        <v>1</v>
      </c>
      <c r="G46" s="176">
        <v>1</v>
      </c>
      <c r="H46" s="176">
        <v>1</v>
      </c>
      <c r="I46" s="176">
        <v>1</v>
      </c>
      <c r="J46" s="176">
        <v>1</v>
      </c>
      <c r="K46" s="176">
        <v>1</v>
      </c>
      <c r="L46" s="176">
        <v>1</v>
      </c>
      <c r="M46" s="176">
        <v>1</v>
      </c>
      <c r="N46" s="176">
        <v>1</v>
      </c>
      <c r="O46" s="176">
        <v>1</v>
      </c>
      <c r="P46" s="227"/>
    </row>
    <row r="47" spans="1:16" s="228" customFormat="1">
      <c r="A47" s="135"/>
      <c r="B47" s="161" t="s">
        <v>160</v>
      </c>
      <c r="C47" s="48"/>
      <c r="D47" s="174">
        <v>0.77</v>
      </c>
      <c r="E47" s="174">
        <v>0.55000000000000004</v>
      </c>
      <c r="F47" s="174">
        <v>0.78</v>
      </c>
      <c r="G47" s="174">
        <v>0.79</v>
      </c>
      <c r="H47" s="174">
        <v>0.69</v>
      </c>
      <c r="I47" s="174">
        <v>0.37</v>
      </c>
      <c r="J47" s="174">
        <v>0.76</v>
      </c>
      <c r="K47" s="174">
        <v>0.74</v>
      </c>
      <c r="L47" s="174">
        <v>0.54</v>
      </c>
      <c r="M47" s="174">
        <v>0.3</v>
      </c>
      <c r="N47" s="174">
        <v>0.69</v>
      </c>
      <c r="O47" s="174">
        <v>0.63</v>
      </c>
      <c r="P47" s="227"/>
    </row>
    <row r="48" spans="1:16" s="228" customFormat="1">
      <c r="B48" s="161" t="s">
        <v>161</v>
      </c>
      <c r="C48" s="48"/>
      <c r="D48" s="174">
        <v>0.18</v>
      </c>
      <c r="E48" s="174">
        <v>0.35</v>
      </c>
      <c r="F48" s="174">
        <v>0.19</v>
      </c>
      <c r="G48" s="174">
        <v>0.15</v>
      </c>
      <c r="H48" s="174">
        <v>0.27</v>
      </c>
      <c r="I48" s="174">
        <v>0.4</v>
      </c>
      <c r="J48" s="174">
        <v>0.21</v>
      </c>
      <c r="K48" s="174">
        <v>0.23</v>
      </c>
      <c r="L48" s="174">
        <v>0.44</v>
      </c>
      <c r="M48" s="174">
        <v>0.66</v>
      </c>
      <c r="N48" s="174">
        <v>0.28999999999999998</v>
      </c>
      <c r="O48" s="174">
        <v>0.34</v>
      </c>
      <c r="P48" s="227"/>
    </row>
    <row r="49" spans="1:16">
      <c r="A49" s="228"/>
      <c r="B49" s="161" t="s">
        <v>162</v>
      </c>
      <c r="C49" s="48"/>
      <c r="D49" s="175">
        <v>0.05</v>
      </c>
      <c r="E49" s="175">
        <v>0.1</v>
      </c>
      <c r="F49" s="175">
        <v>0.03</v>
      </c>
      <c r="G49" s="175">
        <v>0.06</v>
      </c>
      <c r="H49" s="175">
        <v>0.04</v>
      </c>
      <c r="I49" s="175">
        <v>0.23</v>
      </c>
      <c r="J49" s="175">
        <v>0.03</v>
      </c>
      <c r="K49" s="175">
        <v>0.03</v>
      </c>
      <c r="L49" s="175">
        <v>0.02</v>
      </c>
      <c r="M49" s="175">
        <v>0.04</v>
      </c>
      <c r="N49" s="175">
        <v>0.02</v>
      </c>
      <c r="O49" s="175">
        <v>0.03</v>
      </c>
      <c r="P49" s="227"/>
    </row>
    <row r="50" spans="1:16" ht="15">
      <c r="B50" s="160"/>
      <c r="C50" s="162" t="s">
        <v>171</v>
      </c>
      <c r="D50" s="176">
        <v>1</v>
      </c>
      <c r="E50" s="176">
        <v>1</v>
      </c>
      <c r="F50" s="176">
        <v>1</v>
      </c>
      <c r="G50" s="176">
        <v>1</v>
      </c>
      <c r="H50" s="176">
        <v>1</v>
      </c>
      <c r="I50" s="176">
        <v>1</v>
      </c>
      <c r="J50" s="176">
        <v>1</v>
      </c>
      <c r="K50" s="176">
        <v>1</v>
      </c>
      <c r="L50" s="176">
        <v>1</v>
      </c>
      <c r="M50" s="176">
        <v>1</v>
      </c>
      <c r="N50" s="176">
        <v>1</v>
      </c>
      <c r="O50" s="176">
        <v>1</v>
      </c>
      <c r="P50" s="227"/>
    </row>
    <row r="52" spans="1:16" s="228" customFormat="1">
      <c r="A52" s="177" t="s">
        <v>172</v>
      </c>
      <c r="B52" s="154"/>
      <c r="C52" s="154"/>
      <c r="D52" s="231"/>
      <c r="E52" s="231"/>
      <c r="F52" s="231"/>
      <c r="G52" s="231"/>
      <c r="H52" s="231"/>
      <c r="I52" s="231"/>
      <c r="J52" s="231"/>
      <c r="K52" s="231"/>
      <c r="L52" s="231"/>
      <c r="M52" s="231"/>
      <c r="N52" s="231"/>
      <c r="O52" s="231"/>
    </row>
    <row r="53" spans="1:16">
      <c r="A53" s="228"/>
      <c r="B53" s="181" t="s">
        <v>148</v>
      </c>
      <c r="C53" s="182"/>
      <c r="D53" s="103">
        <v>276</v>
      </c>
      <c r="E53" s="103">
        <v>262</v>
      </c>
      <c r="F53" s="103">
        <v>172</v>
      </c>
      <c r="G53" s="103">
        <v>285</v>
      </c>
      <c r="H53" s="103">
        <v>336</v>
      </c>
      <c r="I53" s="103">
        <v>345</v>
      </c>
      <c r="J53" s="103">
        <v>213</v>
      </c>
      <c r="K53" s="103">
        <v>331</v>
      </c>
      <c r="L53" s="103">
        <v>454</v>
      </c>
      <c r="M53" s="103">
        <v>292</v>
      </c>
      <c r="N53" s="103">
        <v>204</v>
      </c>
      <c r="O53" s="103">
        <v>277</v>
      </c>
      <c r="P53" s="246"/>
    </row>
    <row r="54" spans="1:16">
      <c r="B54" s="181" t="s">
        <v>149</v>
      </c>
      <c r="C54" s="182"/>
      <c r="D54" s="103">
        <v>272</v>
      </c>
      <c r="E54" s="103">
        <v>209</v>
      </c>
      <c r="F54" s="103">
        <v>152</v>
      </c>
      <c r="G54" s="103">
        <v>282</v>
      </c>
      <c r="H54" s="103">
        <v>357</v>
      </c>
      <c r="I54" s="103">
        <v>308</v>
      </c>
      <c r="J54" s="103">
        <v>169</v>
      </c>
      <c r="K54" s="103">
        <v>314</v>
      </c>
      <c r="L54" s="103">
        <v>432</v>
      </c>
      <c r="M54" s="103">
        <v>267</v>
      </c>
      <c r="N54" s="103">
        <v>150</v>
      </c>
      <c r="O54" s="103">
        <v>289</v>
      </c>
      <c r="P54" s="246"/>
    </row>
    <row r="55" spans="1:16">
      <c r="B55" s="26" t="s">
        <v>150</v>
      </c>
      <c r="C55" s="183"/>
      <c r="D55" s="103">
        <v>71</v>
      </c>
      <c r="E55" s="103">
        <v>40</v>
      </c>
      <c r="F55" s="103">
        <v>25</v>
      </c>
      <c r="G55" s="103">
        <v>130</v>
      </c>
      <c r="H55" s="103">
        <v>71</v>
      </c>
      <c r="I55" s="103">
        <v>42</v>
      </c>
      <c r="J55" s="103">
        <v>35</v>
      </c>
      <c r="K55" s="103">
        <v>49</v>
      </c>
      <c r="L55" s="103">
        <v>20</v>
      </c>
      <c r="M55" s="103">
        <v>8</v>
      </c>
      <c r="N55" s="103">
        <v>17</v>
      </c>
      <c r="O55" s="103">
        <v>20</v>
      </c>
      <c r="P55" s="246"/>
    </row>
    <row r="56" spans="1:16" s="228" customFormat="1" ht="15">
      <c r="A56" s="135"/>
      <c r="B56" s="181" t="s">
        <v>151</v>
      </c>
      <c r="C56" s="182"/>
      <c r="D56" s="84">
        <v>22</v>
      </c>
      <c r="E56" s="84">
        <v>11</v>
      </c>
      <c r="F56" s="84">
        <v>29</v>
      </c>
      <c r="G56" s="84">
        <v>20</v>
      </c>
      <c r="H56" s="84">
        <v>4</v>
      </c>
      <c r="I56" s="84">
        <v>3</v>
      </c>
      <c r="J56" s="84">
        <v>15</v>
      </c>
      <c r="K56" s="84">
        <v>7</v>
      </c>
      <c r="L56" s="84">
        <v>3</v>
      </c>
      <c r="M56" s="84">
        <v>2</v>
      </c>
      <c r="N56" s="84">
        <v>6</v>
      </c>
      <c r="O56" s="84">
        <v>3</v>
      </c>
      <c r="P56" s="246"/>
    </row>
    <row r="57" spans="1:16">
      <c r="A57" s="228"/>
      <c r="B57" s="48"/>
      <c r="C57" s="26" t="s">
        <v>152</v>
      </c>
      <c r="D57" s="103">
        <v>641</v>
      </c>
      <c r="E57" s="103">
        <v>522</v>
      </c>
      <c r="F57" s="103">
        <v>378</v>
      </c>
      <c r="G57" s="103">
        <v>717</v>
      </c>
      <c r="H57" s="103">
        <v>768</v>
      </c>
      <c r="I57" s="103">
        <v>698</v>
      </c>
      <c r="J57" s="103">
        <v>432</v>
      </c>
      <c r="K57" s="103">
        <v>701</v>
      </c>
      <c r="L57" s="103">
        <v>909</v>
      </c>
      <c r="M57" s="103">
        <v>569</v>
      </c>
      <c r="N57" s="103">
        <v>377</v>
      </c>
      <c r="O57" s="103">
        <v>589</v>
      </c>
      <c r="P57" s="246"/>
    </row>
    <row r="58" spans="1:16">
      <c r="B58" s="26" t="s">
        <v>153</v>
      </c>
      <c r="C58" s="183"/>
      <c r="D58" s="103">
        <v>55</v>
      </c>
      <c r="E58" s="103">
        <v>52</v>
      </c>
      <c r="F58" s="103">
        <v>49</v>
      </c>
      <c r="G58" s="103">
        <v>59</v>
      </c>
      <c r="H58" s="103">
        <v>70</v>
      </c>
      <c r="I58" s="103">
        <v>57</v>
      </c>
      <c r="J58" s="103">
        <v>55</v>
      </c>
      <c r="K58" s="103">
        <v>70</v>
      </c>
      <c r="L58" s="103">
        <v>87</v>
      </c>
      <c r="M58" s="103">
        <v>69</v>
      </c>
      <c r="N58" s="103">
        <v>75</v>
      </c>
      <c r="O58" s="103">
        <v>86</v>
      </c>
      <c r="P58" s="246"/>
    </row>
    <row r="59" spans="1:16" ht="14.25" customHeight="1">
      <c r="A59" s="136"/>
      <c r="B59" s="181" t="s">
        <v>191</v>
      </c>
      <c r="C59" s="182"/>
      <c r="D59" s="103">
        <v>37</v>
      </c>
      <c r="E59" s="103">
        <v>19</v>
      </c>
      <c r="F59" s="103">
        <v>17</v>
      </c>
      <c r="G59" s="103">
        <v>22</v>
      </c>
      <c r="H59" s="103">
        <v>16</v>
      </c>
      <c r="I59" s="103">
        <v>11</v>
      </c>
      <c r="J59" s="103">
        <v>17</v>
      </c>
      <c r="K59" s="103">
        <v>14</v>
      </c>
      <c r="L59" s="103">
        <v>6</v>
      </c>
      <c r="M59" s="103">
        <v>10</v>
      </c>
      <c r="N59" s="103">
        <v>14</v>
      </c>
      <c r="O59" s="103">
        <v>15</v>
      </c>
      <c r="P59" s="246"/>
    </row>
    <row r="60" spans="1:16" s="228" customFormat="1" ht="15">
      <c r="A60" s="135"/>
      <c r="B60" s="181" t="s">
        <v>192</v>
      </c>
      <c r="C60" s="182"/>
      <c r="D60" s="173">
        <v>22</v>
      </c>
      <c r="E60" s="173">
        <v>11</v>
      </c>
      <c r="F60" s="173">
        <v>8</v>
      </c>
      <c r="G60" s="173">
        <v>49</v>
      </c>
      <c r="H60" s="173">
        <v>28</v>
      </c>
      <c r="I60" s="173">
        <v>8</v>
      </c>
      <c r="J60" s="173">
        <v>7</v>
      </c>
      <c r="K60" s="173">
        <v>15</v>
      </c>
      <c r="L60" s="173">
        <v>5</v>
      </c>
      <c r="M60" s="173">
        <v>9</v>
      </c>
      <c r="N60" s="173">
        <v>8</v>
      </c>
      <c r="O60" s="173">
        <v>9</v>
      </c>
      <c r="P60" s="246"/>
    </row>
    <row r="61" spans="1:16">
      <c r="A61" s="228"/>
      <c r="B61" s="166"/>
      <c r="C61" s="26" t="s">
        <v>154</v>
      </c>
      <c r="D61" s="103">
        <v>114</v>
      </c>
      <c r="E61" s="103">
        <v>82</v>
      </c>
      <c r="F61" s="103">
        <v>74</v>
      </c>
      <c r="G61" s="103">
        <v>130</v>
      </c>
      <c r="H61" s="103">
        <v>114</v>
      </c>
      <c r="I61" s="103">
        <v>76</v>
      </c>
      <c r="J61" s="103">
        <v>79</v>
      </c>
      <c r="K61" s="103">
        <v>99</v>
      </c>
      <c r="L61" s="103">
        <v>98</v>
      </c>
      <c r="M61" s="103">
        <v>88</v>
      </c>
      <c r="N61" s="103">
        <v>97</v>
      </c>
      <c r="O61" s="103">
        <v>110</v>
      </c>
      <c r="P61" s="246"/>
    </row>
    <row r="62" spans="1:16">
      <c r="B62" s="181" t="s">
        <v>155</v>
      </c>
      <c r="C62" s="184"/>
      <c r="D62" s="103">
        <v>178</v>
      </c>
      <c r="E62" s="103">
        <v>186</v>
      </c>
      <c r="F62" s="103">
        <v>157</v>
      </c>
      <c r="G62" s="103">
        <v>155</v>
      </c>
      <c r="H62" s="103">
        <v>171</v>
      </c>
      <c r="I62" s="103">
        <v>205</v>
      </c>
      <c r="J62" s="103">
        <v>178</v>
      </c>
      <c r="K62" s="103">
        <v>214</v>
      </c>
      <c r="L62" s="103">
        <v>334</v>
      </c>
      <c r="M62" s="103">
        <v>276</v>
      </c>
      <c r="N62" s="103">
        <v>214</v>
      </c>
      <c r="O62" s="103">
        <v>186</v>
      </c>
      <c r="P62" s="246"/>
    </row>
    <row r="63" spans="1:16" s="228" customFormat="1" ht="15">
      <c r="A63" s="136"/>
      <c r="B63" s="181" t="s">
        <v>156</v>
      </c>
      <c r="C63" s="182"/>
      <c r="D63" s="84">
        <v>46</v>
      </c>
      <c r="E63" s="84">
        <v>25</v>
      </c>
      <c r="F63" s="84">
        <v>22</v>
      </c>
      <c r="G63" s="84">
        <v>51</v>
      </c>
      <c r="H63" s="84">
        <v>37</v>
      </c>
      <c r="I63" s="84">
        <v>20</v>
      </c>
      <c r="J63" s="84">
        <v>26</v>
      </c>
      <c r="K63" s="84">
        <v>47</v>
      </c>
      <c r="L63" s="84">
        <v>27</v>
      </c>
      <c r="M63" s="84">
        <v>22</v>
      </c>
      <c r="N63" s="84">
        <v>23</v>
      </c>
      <c r="O63" s="84">
        <v>37</v>
      </c>
      <c r="P63" s="246"/>
    </row>
    <row r="64" spans="1:16" ht="15">
      <c r="A64" s="136"/>
      <c r="B64" s="166"/>
      <c r="C64" s="53" t="s">
        <v>157</v>
      </c>
      <c r="D64" s="168">
        <v>979</v>
      </c>
      <c r="E64" s="168">
        <v>815</v>
      </c>
      <c r="F64" s="168">
        <v>631</v>
      </c>
      <c r="G64" s="168">
        <v>1053</v>
      </c>
      <c r="H64" s="168">
        <v>1090</v>
      </c>
      <c r="I64" s="168">
        <v>999</v>
      </c>
      <c r="J64" s="168">
        <v>715</v>
      </c>
      <c r="K64" s="168">
        <v>1061</v>
      </c>
      <c r="L64" s="168">
        <v>1368</v>
      </c>
      <c r="M64" s="168">
        <v>955</v>
      </c>
      <c r="N64" s="168">
        <v>711</v>
      </c>
      <c r="O64" s="168">
        <v>922</v>
      </c>
      <c r="P64" s="246"/>
    </row>
    <row r="65" spans="1:16">
      <c r="B65" s="26" t="s">
        <v>148</v>
      </c>
      <c r="C65" s="183"/>
      <c r="D65" s="103">
        <v>6</v>
      </c>
      <c r="E65" s="103">
        <v>-121</v>
      </c>
      <c r="F65" s="103">
        <v>96</v>
      </c>
      <c r="G65" s="103">
        <v>126</v>
      </c>
      <c r="H65" s="103">
        <v>-12</v>
      </c>
      <c r="I65" s="103">
        <v>-193</v>
      </c>
      <c r="J65" s="103">
        <v>140</v>
      </c>
      <c r="K65" s="103">
        <v>174</v>
      </c>
      <c r="L65" s="103">
        <v>-128</v>
      </c>
      <c r="M65" s="103">
        <v>-186</v>
      </c>
      <c r="N65" s="103">
        <v>144</v>
      </c>
      <c r="O65" s="103">
        <v>72</v>
      </c>
      <c r="P65" s="246"/>
    </row>
    <row r="66" spans="1:16">
      <c r="B66" s="26" t="s">
        <v>149</v>
      </c>
      <c r="C66" s="183"/>
      <c r="D66" s="103">
        <v>-83</v>
      </c>
      <c r="E66" s="103">
        <v>-89</v>
      </c>
      <c r="F66" s="103">
        <v>150</v>
      </c>
      <c r="G66" s="103">
        <v>131</v>
      </c>
      <c r="H66" s="103">
        <v>-75</v>
      </c>
      <c r="I66" s="103">
        <v>-197</v>
      </c>
      <c r="J66" s="103">
        <v>205</v>
      </c>
      <c r="K66" s="103">
        <v>179</v>
      </c>
      <c r="L66" s="103">
        <v>-210</v>
      </c>
      <c r="M66" s="103">
        <v>-183</v>
      </c>
      <c r="N66" s="103">
        <v>222</v>
      </c>
      <c r="O66" s="103">
        <v>95</v>
      </c>
      <c r="P66" s="246"/>
    </row>
    <row r="67" spans="1:16">
      <c r="B67" s="26" t="s">
        <v>150</v>
      </c>
      <c r="C67" s="183"/>
      <c r="D67" s="103">
        <v>-31</v>
      </c>
      <c r="E67" s="103">
        <v>-5</v>
      </c>
      <c r="F67" s="103">
        <v>24</v>
      </c>
      <c r="G67" s="103">
        <v>39</v>
      </c>
      <c r="H67" s="103">
        <v>-44</v>
      </c>
      <c r="I67" s="103">
        <v>-26</v>
      </c>
      <c r="J67" s="103">
        <v>-1</v>
      </c>
      <c r="K67" s="103">
        <v>3</v>
      </c>
      <c r="L67" s="103">
        <v>-7</v>
      </c>
      <c r="M67" s="103">
        <v>-5</v>
      </c>
      <c r="N67" s="103">
        <v>0</v>
      </c>
      <c r="O67" s="103">
        <v>0</v>
      </c>
      <c r="P67" s="246"/>
    </row>
    <row r="68" spans="1:16" ht="13.5" customHeight="1">
      <c r="B68" s="26" t="s">
        <v>151</v>
      </c>
      <c r="C68" s="183"/>
      <c r="D68" s="92">
        <v>-11</v>
      </c>
      <c r="E68" s="92">
        <v>-5</v>
      </c>
      <c r="F68" s="92">
        <v>1</v>
      </c>
      <c r="G68" s="92">
        <v>-1</v>
      </c>
      <c r="H68" s="92">
        <v>0</v>
      </c>
      <c r="I68" s="92">
        <v>0</v>
      </c>
      <c r="J68" s="92">
        <v>0</v>
      </c>
      <c r="K68" s="92">
        <v>0</v>
      </c>
      <c r="L68" s="92">
        <v>0</v>
      </c>
      <c r="M68" s="92">
        <v>-1</v>
      </c>
      <c r="N68" s="92">
        <v>1</v>
      </c>
      <c r="O68" s="92">
        <v>0</v>
      </c>
      <c r="P68" s="246"/>
    </row>
    <row r="69" spans="1:16">
      <c r="B69" s="26" t="s">
        <v>153</v>
      </c>
      <c r="C69" s="183"/>
      <c r="D69" s="103">
        <v>0</v>
      </c>
      <c r="E69" s="103">
        <v>0</v>
      </c>
      <c r="F69" s="103">
        <v>0</v>
      </c>
      <c r="G69" s="103">
        <v>5</v>
      </c>
      <c r="H69" s="103">
        <v>-3</v>
      </c>
      <c r="I69" s="103">
        <v>0</v>
      </c>
      <c r="J69" s="103">
        <v>0</v>
      </c>
      <c r="K69" s="103">
        <v>13</v>
      </c>
      <c r="L69" s="103">
        <v>-3</v>
      </c>
      <c r="M69" s="103">
        <v>9</v>
      </c>
      <c r="N69" s="103">
        <v>13</v>
      </c>
      <c r="O69" s="103">
        <v>13</v>
      </c>
      <c r="P69" s="246"/>
    </row>
    <row r="70" spans="1:16">
      <c r="B70" s="181" t="s">
        <v>191</v>
      </c>
      <c r="C70" s="183"/>
      <c r="D70" s="103">
        <v>-20</v>
      </c>
      <c r="E70" s="103">
        <v>-1</v>
      </c>
      <c r="F70" s="103">
        <v>4</v>
      </c>
      <c r="G70" s="103">
        <v>0</v>
      </c>
      <c r="H70" s="103">
        <v>-6</v>
      </c>
      <c r="I70" s="103">
        <v>-6</v>
      </c>
      <c r="J70" s="103">
        <v>0</v>
      </c>
      <c r="K70" s="103">
        <v>-2</v>
      </c>
      <c r="L70" s="103">
        <v>10</v>
      </c>
      <c r="M70" s="103">
        <v>-4</v>
      </c>
      <c r="N70" s="103">
        <v>7</v>
      </c>
      <c r="O70" s="103">
        <v>11</v>
      </c>
      <c r="P70" s="246"/>
    </row>
    <row r="71" spans="1:16">
      <c r="A71" s="136"/>
      <c r="B71" s="181" t="s">
        <v>192</v>
      </c>
      <c r="C71" s="183"/>
      <c r="D71" s="103">
        <v>-6</v>
      </c>
      <c r="E71" s="103">
        <v>-4</v>
      </c>
      <c r="F71" s="103">
        <v>1</v>
      </c>
      <c r="G71" s="103">
        <v>8</v>
      </c>
      <c r="H71" s="103">
        <v>-6</v>
      </c>
      <c r="I71" s="103">
        <v>-2</v>
      </c>
      <c r="J71" s="103">
        <v>0</v>
      </c>
      <c r="K71" s="103">
        <v>9</v>
      </c>
      <c r="L71" s="103">
        <v>-5</v>
      </c>
      <c r="M71" s="103">
        <v>-4</v>
      </c>
      <c r="N71" s="103">
        <v>-2</v>
      </c>
      <c r="O71" s="103">
        <v>13</v>
      </c>
      <c r="P71" s="246"/>
    </row>
    <row r="72" spans="1:16" s="228" customFormat="1" ht="15">
      <c r="A72" s="135"/>
      <c r="B72" s="26" t="s">
        <v>158</v>
      </c>
      <c r="C72" s="183"/>
      <c r="D72" s="84">
        <v>16</v>
      </c>
      <c r="E72" s="84">
        <v>-51</v>
      </c>
      <c r="F72" s="84">
        <v>-23</v>
      </c>
      <c r="G72" s="84">
        <v>49</v>
      </c>
      <c r="H72" s="84">
        <v>51</v>
      </c>
      <c r="I72" s="84">
        <v>-51</v>
      </c>
      <c r="J72" s="84">
        <v>-25</v>
      </c>
      <c r="K72" s="84">
        <v>214</v>
      </c>
      <c r="L72" s="84">
        <v>-48</v>
      </c>
      <c r="M72" s="84">
        <v>-90</v>
      </c>
      <c r="N72" s="84">
        <v>-16</v>
      </c>
      <c r="O72" s="84">
        <v>56</v>
      </c>
      <c r="P72" s="246"/>
    </row>
    <row r="73" spans="1:16" ht="15">
      <c r="A73" s="228"/>
      <c r="B73" s="166"/>
      <c r="C73" s="160" t="s">
        <v>163</v>
      </c>
      <c r="D73" s="168">
        <v>-129</v>
      </c>
      <c r="E73" s="168">
        <v>-276</v>
      </c>
      <c r="F73" s="168">
        <v>253</v>
      </c>
      <c r="G73" s="168">
        <v>357</v>
      </c>
      <c r="H73" s="168">
        <v>-95</v>
      </c>
      <c r="I73" s="168">
        <v>-475</v>
      </c>
      <c r="J73" s="168">
        <v>319</v>
      </c>
      <c r="K73" s="168">
        <v>590</v>
      </c>
      <c r="L73" s="168">
        <v>-391</v>
      </c>
      <c r="M73" s="168">
        <v>-464</v>
      </c>
      <c r="N73" s="168">
        <v>369</v>
      </c>
      <c r="O73" s="168">
        <v>260</v>
      </c>
      <c r="P73" s="246"/>
    </row>
    <row r="74" spans="1:16">
      <c r="B74" s="181" t="s">
        <v>148</v>
      </c>
      <c r="C74" s="182"/>
      <c r="D74" s="103">
        <v>282</v>
      </c>
      <c r="E74" s="103">
        <v>141</v>
      </c>
      <c r="F74" s="103">
        <v>268</v>
      </c>
      <c r="G74" s="103">
        <v>411</v>
      </c>
      <c r="H74" s="103">
        <v>324</v>
      </c>
      <c r="I74" s="103">
        <v>152</v>
      </c>
      <c r="J74" s="103">
        <v>353</v>
      </c>
      <c r="K74" s="103">
        <v>505</v>
      </c>
      <c r="L74" s="103">
        <v>326</v>
      </c>
      <c r="M74" s="103">
        <v>106</v>
      </c>
      <c r="N74" s="103">
        <v>348</v>
      </c>
      <c r="O74" s="103">
        <v>349</v>
      </c>
      <c r="P74" s="246"/>
    </row>
    <row r="75" spans="1:16">
      <c r="B75" s="181" t="s">
        <v>149</v>
      </c>
      <c r="C75" s="182"/>
      <c r="D75" s="103">
        <v>189</v>
      </c>
      <c r="E75" s="103">
        <v>120</v>
      </c>
      <c r="F75" s="103">
        <v>302</v>
      </c>
      <c r="G75" s="103">
        <v>413</v>
      </c>
      <c r="H75" s="103">
        <v>282</v>
      </c>
      <c r="I75" s="103">
        <v>111</v>
      </c>
      <c r="J75" s="103">
        <v>374</v>
      </c>
      <c r="K75" s="103">
        <v>493</v>
      </c>
      <c r="L75" s="103">
        <v>222</v>
      </c>
      <c r="M75" s="103">
        <v>84</v>
      </c>
      <c r="N75" s="103">
        <v>372</v>
      </c>
      <c r="O75" s="103">
        <v>384</v>
      </c>
      <c r="P75" s="246"/>
    </row>
    <row r="76" spans="1:16">
      <c r="B76" s="181" t="s">
        <v>150</v>
      </c>
      <c r="C76" s="182"/>
      <c r="D76" s="103">
        <v>40</v>
      </c>
      <c r="E76" s="103">
        <v>35</v>
      </c>
      <c r="F76" s="103">
        <v>49</v>
      </c>
      <c r="G76" s="103">
        <v>169</v>
      </c>
      <c r="H76" s="103">
        <v>27</v>
      </c>
      <c r="I76" s="103">
        <v>16</v>
      </c>
      <c r="J76" s="103">
        <v>34</v>
      </c>
      <c r="K76" s="103">
        <v>52</v>
      </c>
      <c r="L76" s="103">
        <v>13</v>
      </c>
      <c r="M76" s="103">
        <v>3</v>
      </c>
      <c r="N76" s="103">
        <v>17</v>
      </c>
      <c r="O76" s="103">
        <v>20</v>
      </c>
      <c r="P76" s="246"/>
    </row>
    <row r="77" spans="1:16" s="228" customFormat="1" ht="15">
      <c r="A77" s="135"/>
      <c r="B77" s="181" t="s">
        <v>151</v>
      </c>
      <c r="C77" s="182"/>
      <c r="D77" s="173">
        <v>11</v>
      </c>
      <c r="E77" s="173">
        <v>6</v>
      </c>
      <c r="F77" s="173">
        <v>30</v>
      </c>
      <c r="G77" s="173">
        <v>19</v>
      </c>
      <c r="H77" s="173">
        <v>4</v>
      </c>
      <c r="I77" s="173">
        <v>3</v>
      </c>
      <c r="J77" s="173">
        <v>15</v>
      </c>
      <c r="K77" s="173">
        <v>7</v>
      </c>
      <c r="L77" s="173">
        <v>3</v>
      </c>
      <c r="M77" s="173">
        <v>1</v>
      </c>
      <c r="N77" s="173">
        <v>7</v>
      </c>
      <c r="O77" s="173">
        <v>3</v>
      </c>
      <c r="P77" s="246"/>
    </row>
    <row r="78" spans="1:16">
      <c r="A78" s="228"/>
      <c r="B78" s="166"/>
      <c r="C78" s="26" t="s">
        <v>152</v>
      </c>
      <c r="D78" s="103">
        <v>522</v>
      </c>
      <c r="E78" s="103">
        <v>302</v>
      </c>
      <c r="F78" s="103">
        <v>649</v>
      </c>
      <c r="G78" s="103">
        <v>1012</v>
      </c>
      <c r="H78" s="103">
        <v>637</v>
      </c>
      <c r="I78" s="103">
        <v>282</v>
      </c>
      <c r="J78" s="103">
        <v>776</v>
      </c>
      <c r="K78" s="103">
        <v>1057</v>
      </c>
      <c r="L78" s="103">
        <v>564</v>
      </c>
      <c r="M78" s="103">
        <v>194</v>
      </c>
      <c r="N78" s="103">
        <v>744</v>
      </c>
      <c r="O78" s="103">
        <v>756</v>
      </c>
      <c r="P78" s="246"/>
    </row>
    <row r="79" spans="1:16">
      <c r="B79" s="26" t="s">
        <v>153</v>
      </c>
      <c r="C79" s="183"/>
      <c r="D79" s="103">
        <v>55</v>
      </c>
      <c r="E79" s="103">
        <v>52</v>
      </c>
      <c r="F79" s="103">
        <v>49</v>
      </c>
      <c r="G79" s="103">
        <v>64</v>
      </c>
      <c r="H79" s="103">
        <v>67</v>
      </c>
      <c r="I79" s="103">
        <v>57</v>
      </c>
      <c r="J79" s="103">
        <v>55</v>
      </c>
      <c r="K79" s="103">
        <v>83</v>
      </c>
      <c r="L79" s="103">
        <v>84</v>
      </c>
      <c r="M79" s="103">
        <v>78</v>
      </c>
      <c r="N79" s="103">
        <v>88</v>
      </c>
      <c r="O79" s="103">
        <v>99</v>
      </c>
      <c r="P79" s="246"/>
    </row>
    <row r="80" spans="1:16" ht="14.25" customHeight="1">
      <c r="B80" s="181" t="s">
        <v>191</v>
      </c>
      <c r="C80" s="182"/>
      <c r="D80" s="103">
        <v>17</v>
      </c>
      <c r="E80" s="103">
        <v>18</v>
      </c>
      <c r="F80" s="103">
        <v>21</v>
      </c>
      <c r="G80" s="103">
        <v>22</v>
      </c>
      <c r="H80" s="103">
        <v>10</v>
      </c>
      <c r="I80" s="103">
        <v>5</v>
      </c>
      <c r="J80" s="103">
        <v>17</v>
      </c>
      <c r="K80" s="103">
        <v>12</v>
      </c>
      <c r="L80" s="103">
        <v>16</v>
      </c>
      <c r="M80" s="103">
        <v>6</v>
      </c>
      <c r="N80" s="103">
        <v>21</v>
      </c>
      <c r="O80" s="103">
        <v>26</v>
      </c>
      <c r="P80" s="246"/>
    </row>
    <row r="81" spans="1:16" s="228" customFormat="1" ht="15">
      <c r="A81" s="135"/>
      <c r="B81" s="181" t="s">
        <v>192</v>
      </c>
      <c r="C81" s="182"/>
      <c r="D81" s="173">
        <v>16</v>
      </c>
      <c r="E81" s="173">
        <v>7</v>
      </c>
      <c r="F81" s="173">
        <v>9</v>
      </c>
      <c r="G81" s="173">
        <v>57</v>
      </c>
      <c r="H81" s="173">
        <v>22</v>
      </c>
      <c r="I81" s="173">
        <v>6</v>
      </c>
      <c r="J81" s="173">
        <v>7</v>
      </c>
      <c r="K81" s="173">
        <v>24</v>
      </c>
      <c r="L81" s="173">
        <v>0</v>
      </c>
      <c r="M81" s="173">
        <v>5</v>
      </c>
      <c r="N81" s="173">
        <v>6</v>
      </c>
      <c r="O81" s="173">
        <v>22</v>
      </c>
      <c r="P81" s="246"/>
    </row>
    <row r="82" spans="1:16">
      <c r="A82" s="228"/>
      <c r="B82" s="166"/>
      <c r="C82" s="26" t="s">
        <v>154</v>
      </c>
      <c r="D82" s="103">
        <v>88</v>
      </c>
      <c r="E82" s="103">
        <v>77</v>
      </c>
      <c r="F82" s="103">
        <v>79</v>
      </c>
      <c r="G82" s="103">
        <v>143</v>
      </c>
      <c r="H82" s="103">
        <v>99</v>
      </c>
      <c r="I82" s="103">
        <v>68</v>
      </c>
      <c r="J82" s="103">
        <v>79</v>
      </c>
      <c r="K82" s="103">
        <v>119</v>
      </c>
      <c r="L82" s="103">
        <v>100</v>
      </c>
      <c r="M82" s="103">
        <v>89</v>
      </c>
      <c r="N82" s="103">
        <v>115</v>
      </c>
      <c r="O82" s="103">
        <v>147</v>
      </c>
      <c r="P82" s="246"/>
    </row>
    <row r="83" spans="1:16">
      <c r="B83" s="181" t="s">
        <v>155</v>
      </c>
      <c r="C83" s="184"/>
      <c r="D83" s="103">
        <v>194</v>
      </c>
      <c r="E83" s="103">
        <v>135</v>
      </c>
      <c r="F83" s="103">
        <v>134</v>
      </c>
      <c r="G83" s="103">
        <v>204</v>
      </c>
      <c r="H83" s="103">
        <v>222</v>
      </c>
      <c r="I83" s="103">
        <v>154</v>
      </c>
      <c r="J83" s="103">
        <v>153</v>
      </c>
      <c r="K83" s="103">
        <v>428</v>
      </c>
      <c r="L83" s="103">
        <v>286</v>
      </c>
      <c r="M83" s="103">
        <v>186</v>
      </c>
      <c r="N83" s="103">
        <v>198</v>
      </c>
      <c r="O83" s="103">
        <v>242</v>
      </c>
      <c r="P83" s="246"/>
    </row>
    <row r="84" spans="1:16" s="228" customFormat="1" ht="15">
      <c r="A84" s="135"/>
      <c r="B84" s="181" t="s">
        <v>156</v>
      </c>
      <c r="C84" s="182"/>
      <c r="D84" s="84">
        <v>46</v>
      </c>
      <c r="E84" s="84">
        <v>25</v>
      </c>
      <c r="F84" s="84">
        <v>22</v>
      </c>
      <c r="G84" s="84">
        <v>51</v>
      </c>
      <c r="H84" s="84">
        <v>37</v>
      </c>
      <c r="I84" s="84">
        <v>20</v>
      </c>
      <c r="J84" s="84">
        <v>26</v>
      </c>
      <c r="K84" s="84">
        <v>47</v>
      </c>
      <c r="L84" s="84">
        <v>27</v>
      </c>
      <c r="M84" s="84">
        <v>22</v>
      </c>
      <c r="N84" s="84">
        <v>23</v>
      </c>
      <c r="O84" s="84">
        <v>37</v>
      </c>
      <c r="P84" s="246"/>
    </row>
    <row r="85" spans="1:16" s="228" customFormat="1" ht="15">
      <c r="B85" s="166"/>
      <c r="C85" s="53" t="s">
        <v>159</v>
      </c>
      <c r="D85" s="187">
        <v>850</v>
      </c>
      <c r="E85" s="187">
        <v>539</v>
      </c>
      <c r="F85" s="187">
        <v>884</v>
      </c>
      <c r="G85" s="187">
        <v>1410</v>
      </c>
      <c r="H85" s="187">
        <v>995</v>
      </c>
      <c r="I85" s="187">
        <v>524</v>
      </c>
      <c r="J85" s="187">
        <v>1034</v>
      </c>
      <c r="K85" s="187">
        <v>1651</v>
      </c>
      <c r="L85" s="187">
        <v>977</v>
      </c>
      <c r="M85" s="187">
        <v>491</v>
      </c>
      <c r="N85" s="187">
        <v>1080</v>
      </c>
      <c r="O85" s="187">
        <v>1182</v>
      </c>
      <c r="P85" s="246"/>
    </row>
    <row r="86" spans="1:16">
      <c r="A86" s="156"/>
      <c r="B86" s="166"/>
      <c r="C86" s="166"/>
      <c r="D86" s="185"/>
      <c r="E86" s="185"/>
      <c r="F86" s="185"/>
      <c r="G86" s="185"/>
      <c r="H86" s="185"/>
      <c r="I86" s="185"/>
      <c r="J86" s="185"/>
      <c r="K86" s="185"/>
      <c r="L86" s="185"/>
      <c r="M86" s="185"/>
      <c r="N86" s="185"/>
      <c r="O86" s="185"/>
    </row>
    <row r="87" spans="1:16" s="228" customFormat="1">
      <c r="A87" s="135"/>
      <c r="B87" s="178" t="s">
        <v>148</v>
      </c>
      <c r="C87" s="179"/>
      <c r="D87" s="170">
        <v>0.28000000000000003</v>
      </c>
      <c r="E87" s="174">
        <v>0.32</v>
      </c>
      <c r="F87" s="174">
        <v>0.27</v>
      </c>
      <c r="G87" s="174">
        <v>0.27</v>
      </c>
      <c r="H87" s="174">
        <v>0.31</v>
      </c>
      <c r="I87" s="174">
        <v>0.35</v>
      </c>
      <c r="J87" s="174">
        <v>0.3</v>
      </c>
      <c r="K87" s="174">
        <v>0.31</v>
      </c>
      <c r="L87" s="174">
        <v>0.33</v>
      </c>
      <c r="M87" s="174">
        <v>0.31</v>
      </c>
      <c r="N87" s="174">
        <v>0.28999999999999998</v>
      </c>
      <c r="O87" s="174">
        <v>0.3</v>
      </c>
    </row>
    <row r="88" spans="1:16" s="228" customFormat="1">
      <c r="B88" s="178" t="s">
        <v>149</v>
      </c>
      <c r="C88" s="179"/>
      <c r="D88" s="170">
        <v>0.28000000000000003</v>
      </c>
      <c r="E88" s="174">
        <v>0.26</v>
      </c>
      <c r="F88" s="174">
        <v>0.24</v>
      </c>
      <c r="G88" s="174">
        <v>0.27</v>
      </c>
      <c r="H88" s="174">
        <v>0.33</v>
      </c>
      <c r="I88" s="174">
        <v>0.31</v>
      </c>
      <c r="J88" s="174">
        <v>0.23</v>
      </c>
      <c r="K88" s="174">
        <v>0.28999999999999998</v>
      </c>
      <c r="L88" s="174">
        <v>0.32</v>
      </c>
      <c r="M88" s="174">
        <v>0.28000000000000003</v>
      </c>
      <c r="N88" s="174">
        <v>0.21</v>
      </c>
      <c r="O88" s="174">
        <v>0.32</v>
      </c>
    </row>
    <row r="89" spans="1:16" s="228" customFormat="1">
      <c r="B89" s="178" t="s">
        <v>150</v>
      </c>
      <c r="C89" s="179"/>
      <c r="D89" s="170">
        <v>7.0000000000000007E-2</v>
      </c>
      <c r="E89" s="174">
        <v>0.05</v>
      </c>
      <c r="F89" s="174">
        <v>0.04</v>
      </c>
      <c r="G89" s="174">
        <v>0.12</v>
      </c>
      <c r="H89" s="174">
        <v>0.06</v>
      </c>
      <c r="I89" s="174">
        <v>0.04</v>
      </c>
      <c r="J89" s="174">
        <v>0.05</v>
      </c>
      <c r="K89" s="174">
        <v>0.05</v>
      </c>
      <c r="L89" s="174">
        <v>0.01</v>
      </c>
      <c r="M89" s="174">
        <v>0.01</v>
      </c>
      <c r="N89" s="174">
        <v>0.02</v>
      </c>
      <c r="O89" s="174">
        <v>0.02</v>
      </c>
    </row>
    <row r="90" spans="1:16">
      <c r="A90" s="228"/>
      <c r="B90" s="178" t="s">
        <v>151</v>
      </c>
      <c r="C90" s="179"/>
      <c r="D90" s="186">
        <v>0.02</v>
      </c>
      <c r="E90" s="186">
        <v>0.01</v>
      </c>
      <c r="F90" s="186">
        <v>0.05</v>
      </c>
      <c r="G90" s="186">
        <v>0.02</v>
      </c>
      <c r="H90" s="188" t="s">
        <v>9</v>
      </c>
      <c r="I90" s="188" t="s">
        <v>9</v>
      </c>
      <c r="J90" s="188">
        <v>0.02</v>
      </c>
      <c r="K90" s="188">
        <v>0.01</v>
      </c>
      <c r="L90" s="188" t="s">
        <v>9</v>
      </c>
      <c r="M90" s="188" t="s">
        <v>9</v>
      </c>
      <c r="N90" s="188">
        <v>0.01</v>
      </c>
      <c r="O90" s="188" t="s">
        <v>9</v>
      </c>
    </row>
    <row r="91" spans="1:16" s="228" customFormat="1">
      <c r="A91" s="135"/>
      <c r="B91" s="179"/>
      <c r="C91" s="178" t="s">
        <v>152</v>
      </c>
      <c r="D91" s="170">
        <v>0.65</v>
      </c>
      <c r="E91" s="170">
        <v>0.64</v>
      </c>
      <c r="F91" s="170">
        <v>0.6</v>
      </c>
      <c r="G91" s="170">
        <v>0.68</v>
      </c>
      <c r="H91" s="170">
        <v>0.7</v>
      </c>
      <c r="I91" s="170">
        <v>0.7</v>
      </c>
      <c r="J91" s="170">
        <v>0.6</v>
      </c>
      <c r="K91" s="170">
        <v>0.66</v>
      </c>
      <c r="L91" s="170">
        <v>0.66</v>
      </c>
      <c r="M91" s="170">
        <v>0.6</v>
      </c>
      <c r="N91" s="170">
        <v>0.53</v>
      </c>
      <c r="O91" s="170">
        <v>0.64</v>
      </c>
    </row>
    <row r="92" spans="1:16" s="228" customFormat="1">
      <c r="B92" s="178" t="s">
        <v>153</v>
      </c>
      <c r="C92" s="179"/>
      <c r="D92" s="174">
        <v>0.06</v>
      </c>
      <c r="E92" s="174">
        <v>7.0000000000000007E-2</v>
      </c>
      <c r="F92" s="174">
        <v>0.08</v>
      </c>
      <c r="G92" s="174">
        <v>0.05</v>
      </c>
      <c r="H92" s="174">
        <v>0.06</v>
      </c>
      <c r="I92" s="174">
        <v>0.06</v>
      </c>
      <c r="J92" s="174">
        <v>0.08</v>
      </c>
      <c r="K92" s="174">
        <v>7.0000000000000007E-2</v>
      </c>
      <c r="L92" s="174">
        <v>0.06</v>
      </c>
      <c r="M92" s="174">
        <v>7.0000000000000007E-2</v>
      </c>
      <c r="N92" s="174">
        <v>0.11</v>
      </c>
      <c r="O92" s="174">
        <v>0.09</v>
      </c>
    </row>
    <row r="93" spans="1:16" s="228" customFormat="1">
      <c r="B93" s="244" t="s">
        <v>191</v>
      </c>
      <c r="C93" s="179"/>
      <c r="D93" s="174">
        <v>0.04</v>
      </c>
      <c r="E93" s="174">
        <v>0.02</v>
      </c>
      <c r="F93" s="174">
        <v>0.03</v>
      </c>
      <c r="G93" s="174">
        <v>0.02</v>
      </c>
      <c r="H93" s="174">
        <v>0.01</v>
      </c>
      <c r="I93" s="174">
        <v>0.01</v>
      </c>
      <c r="J93" s="174">
        <v>0.02</v>
      </c>
      <c r="K93" s="174">
        <v>0.01</v>
      </c>
      <c r="L93" s="174">
        <v>0.01</v>
      </c>
      <c r="M93" s="174">
        <v>0.01</v>
      </c>
      <c r="N93" s="174">
        <v>0.02</v>
      </c>
      <c r="O93" s="174">
        <v>0.02</v>
      </c>
    </row>
    <row r="94" spans="1:16">
      <c r="A94" s="228"/>
      <c r="B94" s="244" t="s">
        <v>192</v>
      </c>
      <c r="C94" s="179"/>
      <c r="D94" s="186">
        <v>0.02</v>
      </c>
      <c r="E94" s="186">
        <v>0.01</v>
      </c>
      <c r="F94" s="186">
        <v>0.01</v>
      </c>
      <c r="G94" s="186">
        <v>0.05</v>
      </c>
      <c r="H94" s="186">
        <v>0.03</v>
      </c>
      <c r="I94" s="188">
        <v>0.01</v>
      </c>
      <c r="J94" s="188">
        <v>0.01</v>
      </c>
      <c r="K94" s="188">
        <v>0.01</v>
      </c>
      <c r="L94" s="188" t="s">
        <v>9</v>
      </c>
      <c r="M94" s="188">
        <v>0.01</v>
      </c>
      <c r="N94" s="188">
        <v>0.01</v>
      </c>
      <c r="O94" s="188">
        <v>0.01</v>
      </c>
    </row>
    <row r="95" spans="1:16" s="228" customFormat="1">
      <c r="A95" s="135"/>
      <c r="B95" s="179"/>
      <c r="C95" s="178" t="s">
        <v>154</v>
      </c>
      <c r="D95" s="170">
        <v>0.12</v>
      </c>
      <c r="E95" s="170">
        <v>0.1</v>
      </c>
      <c r="F95" s="170">
        <v>0.12</v>
      </c>
      <c r="G95" s="170">
        <v>0.12</v>
      </c>
      <c r="H95" s="170">
        <v>0.1</v>
      </c>
      <c r="I95" s="170">
        <v>0.08</v>
      </c>
      <c r="J95" s="170">
        <v>0.11</v>
      </c>
      <c r="K95" s="170">
        <v>0.09</v>
      </c>
      <c r="L95" s="170">
        <v>7.0000000000000007E-2</v>
      </c>
      <c r="M95" s="170">
        <v>0.09</v>
      </c>
      <c r="N95" s="170">
        <v>0.14000000000000001</v>
      </c>
      <c r="O95" s="170">
        <v>0.12</v>
      </c>
    </row>
    <row r="96" spans="1:16" s="228" customFormat="1">
      <c r="B96" s="178" t="s">
        <v>155</v>
      </c>
      <c r="C96" s="179"/>
      <c r="D96" s="170">
        <v>0.18</v>
      </c>
      <c r="E96" s="170">
        <v>0.23</v>
      </c>
      <c r="F96" s="170">
        <v>0.25</v>
      </c>
      <c r="G96" s="170">
        <v>0.15</v>
      </c>
      <c r="H96" s="170">
        <v>0.16</v>
      </c>
      <c r="I96" s="170">
        <v>0.2</v>
      </c>
      <c r="J96" s="170">
        <v>0.25</v>
      </c>
      <c r="K96" s="170">
        <v>0.2</v>
      </c>
      <c r="L96" s="170">
        <v>0.25</v>
      </c>
      <c r="M96" s="170">
        <v>0.28999999999999998</v>
      </c>
      <c r="N96" s="170">
        <v>0.3</v>
      </c>
      <c r="O96" s="170">
        <v>0.2</v>
      </c>
    </row>
    <row r="97" spans="2:15">
      <c r="B97" s="178" t="s">
        <v>156</v>
      </c>
      <c r="C97" s="179"/>
      <c r="D97" s="171">
        <v>0.05</v>
      </c>
      <c r="E97" s="171">
        <v>0.03</v>
      </c>
      <c r="F97" s="171">
        <v>0.03</v>
      </c>
      <c r="G97" s="171">
        <v>0.05</v>
      </c>
      <c r="H97" s="171">
        <v>0.04</v>
      </c>
      <c r="I97" s="171">
        <v>0.02</v>
      </c>
      <c r="J97" s="171">
        <v>0.04</v>
      </c>
      <c r="K97" s="171">
        <v>0.05</v>
      </c>
      <c r="L97" s="171">
        <v>0.02</v>
      </c>
      <c r="M97" s="171">
        <v>0.02</v>
      </c>
      <c r="N97" s="171">
        <v>0.03</v>
      </c>
      <c r="O97" s="171">
        <v>0.04</v>
      </c>
    </row>
    <row r="98" spans="2:15" ht="15">
      <c r="B98" s="177"/>
      <c r="C98" s="180" t="s">
        <v>170</v>
      </c>
      <c r="D98" s="172">
        <v>1</v>
      </c>
      <c r="E98" s="172">
        <v>1</v>
      </c>
      <c r="F98" s="172">
        <v>1</v>
      </c>
      <c r="G98" s="172">
        <v>1</v>
      </c>
      <c r="H98" s="172">
        <v>1</v>
      </c>
      <c r="I98" s="172">
        <v>1</v>
      </c>
      <c r="J98" s="172">
        <v>1</v>
      </c>
      <c r="K98" s="172">
        <v>1</v>
      </c>
      <c r="L98" s="172">
        <v>1</v>
      </c>
      <c r="M98" s="172">
        <v>1</v>
      </c>
      <c r="N98" s="172">
        <v>1</v>
      </c>
      <c r="O98" s="172">
        <v>1</v>
      </c>
    </row>
    <row r="99" spans="2:15" s="228" customFormat="1">
      <c r="B99" s="178" t="s">
        <v>148</v>
      </c>
      <c r="C99" s="179"/>
      <c r="D99" s="174">
        <v>0.33</v>
      </c>
      <c r="E99" s="174">
        <v>0.26</v>
      </c>
      <c r="F99" s="174">
        <v>0.3</v>
      </c>
      <c r="G99" s="174">
        <v>0.28999999999999998</v>
      </c>
      <c r="H99" s="174">
        <v>0.33</v>
      </c>
      <c r="I99" s="174">
        <v>0.28999999999999998</v>
      </c>
      <c r="J99" s="174">
        <v>0.34</v>
      </c>
      <c r="K99" s="174">
        <v>0.31</v>
      </c>
      <c r="L99" s="174">
        <v>0.34</v>
      </c>
      <c r="M99" s="174">
        <v>0.22</v>
      </c>
      <c r="N99" s="174">
        <v>0.32</v>
      </c>
      <c r="O99" s="174">
        <v>0.3</v>
      </c>
    </row>
    <row r="100" spans="2:15" s="228" customFormat="1">
      <c r="B100" s="178" t="s">
        <v>149</v>
      </c>
      <c r="C100" s="179"/>
      <c r="D100" s="174">
        <v>0.22</v>
      </c>
      <c r="E100" s="174">
        <v>0.22</v>
      </c>
      <c r="F100" s="174">
        <v>0.34</v>
      </c>
      <c r="G100" s="174">
        <v>0.3</v>
      </c>
      <c r="H100" s="174">
        <v>0.28000000000000003</v>
      </c>
      <c r="I100" s="174">
        <v>0.21</v>
      </c>
      <c r="J100" s="174">
        <v>0.36</v>
      </c>
      <c r="K100" s="174">
        <v>0.3</v>
      </c>
      <c r="L100" s="174">
        <v>0.23</v>
      </c>
      <c r="M100" s="174">
        <v>0.17</v>
      </c>
      <c r="N100" s="174">
        <v>0.34</v>
      </c>
      <c r="O100" s="174">
        <v>0.32</v>
      </c>
    </row>
    <row r="101" spans="2:15" s="228" customFormat="1">
      <c r="B101" s="178" t="s">
        <v>150</v>
      </c>
      <c r="C101" s="179"/>
      <c r="D101" s="174">
        <v>0.05</v>
      </c>
      <c r="E101" s="174">
        <v>7.0000000000000007E-2</v>
      </c>
      <c r="F101" s="174">
        <v>0.06</v>
      </c>
      <c r="G101" s="174">
        <v>0.12</v>
      </c>
      <c r="H101" s="174">
        <v>0.03</v>
      </c>
      <c r="I101" s="174">
        <v>0.03</v>
      </c>
      <c r="J101" s="174">
        <v>0.04</v>
      </c>
      <c r="K101" s="174">
        <v>0.03</v>
      </c>
      <c r="L101" s="174">
        <v>0.01</v>
      </c>
      <c r="M101" s="174">
        <v>0.01</v>
      </c>
      <c r="N101" s="174">
        <v>0.02</v>
      </c>
      <c r="O101" s="174">
        <v>0.02</v>
      </c>
    </row>
    <row r="102" spans="2:15">
      <c r="B102" s="178" t="s">
        <v>151</v>
      </c>
      <c r="C102" s="179"/>
      <c r="D102" s="175">
        <v>0.01</v>
      </c>
      <c r="E102" s="175">
        <v>0.01</v>
      </c>
      <c r="F102" s="175">
        <v>0.03</v>
      </c>
      <c r="G102" s="175">
        <v>0.01</v>
      </c>
      <c r="H102" s="189" t="s">
        <v>9</v>
      </c>
      <c r="I102" s="189">
        <v>0.01</v>
      </c>
      <c r="J102" s="189">
        <v>0.01</v>
      </c>
      <c r="K102" s="189" t="s">
        <v>9</v>
      </c>
      <c r="L102" s="189" t="s">
        <v>9</v>
      </c>
      <c r="M102" s="189" t="s">
        <v>9</v>
      </c>
      <c r="N102" s="189">
        <v>0.01</v>
      </c>
      <c r="O102" s="189" t="s">
        <v>9</v>
      </c>
    </row>
    <row r="103" spans="2:15" s="228" customFormat="1">
      <c r="B103" s="179"/>
      <c r="C103" s="178" t="s">
        <v>152</v>
      </c>
      <c r="D103" s="170">
        <v>0.61</v>
      </c>
      <c r="E103" s="170">
        <v>0.56000000000000005</v>
      </c>
      <c r="F103" s="170">
        <v>0.73</v>
      </c>
      <c r="G103" s="170">
        <v>0.72</v>
      </c>
      <c r="H103" s="170">
        <v>0.64</v>
      </c>
      <c r="I103" s="170">
        <v>0.54</v>
      </c>
      <c r="J103" s="170">
        <v>0.75</v>
      </c>
      <c r="K103" s="170">
        <v>0.64</v>
      </c>
      <c r="L103" s="170">
        <v>0.57999999999999996</v>
      </c>
      <c r="M103" s="170">
        <v>0.4</v>
      </c>
      <c r="N103" s="170">
        <v>0.69</v>
      </c>
      <c r="O103" s="170">
        <v>0.64</v>
      </c>
    </row>
    <row r="104" spans="2:15" s="228" customFormat="1">
      <c r="B104" s="178" t="s">
        <v>153</v>
      </c>
      <c r="C104" s="179"/>
      <c r="D104" s="174">
        <v>0.06</v>
      </c>
      <c r="E104" s="174">
        <v>0.1</v>
      </c>
      <c r="F104" s="174">
        <v>0.06</v>
      </c>
      <c r="G104" s="174">
        <v>0.04</v>
      </c>
      <c r="H104" s="174">
        <v>7.0000000000000007E-2</v>
      </c>
      <c r="I104" s="174">
        <v>0.11</v>
      </c>
      <c r="J104" s="174">
        <v>0.05</v>
      </c>
      <c r="K104" s="174">
        <v>0.05</v>
      </c>
      <c r="L104" s="174">
        <v>0.08</v>
      </c>
      <c r="M104" s="174">
        <v>0.16</v>
      </c>
      <c r="N104" s="174">
        <v>0.08</v>
      </c>
      <c r="O104" s="174">
        <v>0.08</v>
      </c>
    </row>
    <row r="105" spans="2:15" s="228" customFormat="1">
      <c r="B105" s="244" t="s">
        <v>191</v>
      </c>
      <c r="C105" s="179"/>
      <c r="D105" s="174">
        <v>0.02</v>
      </c>
      <c r="E105" s="174">
        <v>0.03</v>
      </c>
      <c r="F105" s="174">
        <v>0.02</v>
      </c>
      <c r="G105" s="174">
        <v>0.02</v>
      </c>
      <c r="H105" s="174">
        <v>0.01</v>
      </c>
      <c r="I105" s="174">
        <v>0.01</v>
      </c>
      <c r="J105" s="174">
        <v>0.02</v>
      </c>
      <c r="K105" s="174">
        <v>0.01</v>
      </c>
      <c r="L105" s="174">
        <v>0.02</v>
      </c>
      <c r="M105" s="174">
        <v>0.01</v>
      </c>
      <c r="N105" s="174">
        <v>0.02</v>
      </c>
      <c r="O105" s="174">
        <v>0.02</v>
      </c>
    </row>
    <row r="106" spans="2:15">
      <c r="B106" s="244" t="s">
        <v>192</v>
      </c>
      <c r="C106" s="179"/>
      <c r="D106" s="175">
        <v>0.02</v>
      </c>
      <c r="E106" s="175">
        <v>0.01</v>
      </c>
      <c r="F106" s="175">
        <v>0.01</v>
      </c>
      <c r="G106" s="175">
        <v>0.04</v>
      </c>
      <c r="H106" s="175">
        <v>0.02</v>
      </c>
      <c r="I106" s="175">
        <v>0.01</v>
      </c>
      <c r="J106" s="175">
        <v>0.01</v>
      </c>
      <c r="K106" s="175">
        <v>0.01</v>
      </c>
      <c r="L106" s="189" t="s">
        <v>9</v>
      </c>
      <c r="M106" s="189">
        <v>0.01</v>
      </c>
      <c r="N106" s="189">
        <v>0.01</v>
      </c>
      <c r="O106" s="189">
        <v>0.02</v>
      </c>
    </row>
    <row r="107" spans="2:15" s="228" customFormat="1">
      <c r="B107" s="179"/>
      <c r="C107" s="178" t="s">
        <v>154</v>
      </c>
      <c r="D107" s="170">
        <v>0.1</v>
      </c>
      <c r="E107" s="170">
        <v>0.14000000000000001</v>
      </c>
      <c r="F107" s="170">
        <v>0.09</v>
      </c>
      <c r="G107" s="170">
        <v>0.1</v>
      </c>
      <c r="H107" s="170">
        <v>0.1</v>
      </c>
      <c r="I107" s="170">
        <v>0.13</v>
      </c>
      <c r="J107" s="170">
        <v>0.08</v>
      </c>
      <c r="K107" s="170">
        <v>7.0000000000000007E-2</v>
      </c>
      <c r="L107" s="170">
        <v>0.1</v>
      </c>
      <c r="M107" s="170">
        <v>0.18</v>
      </c>
      <c r="N107" s="170">
        <v>0.11</v>
      </c>
      <c r="O107" s="170">
        <v>0.12</v>
      </c>
    </row>
    <row r="108" spans="2:15" s="228" customFormat="1">
      <c r="B108" s="178" t="s">
        <v>155</v>
      </c>
      <c r="C108" s="179"/>
      <c r="D108" s="170">
        <v>0.24</v>
      </c>
      <c r="E108" s="170">
        <v>0.25</v>
      </c>
      <c r="F108" s="170">
        <v>0.15</v>
      </c>
      <c r="G108" s="170">
        <v>0.14000000000000001</v>
      </c>
      <c r="H108" s="170">
        <v>0.22</v>
      </c>
      <c r="I108" s="170">
        <v>0.28999999999999998</v>
      </c>
      <c r="J108" s="170">
        <v>0.15</v>
      </c>
      <c r="K108" s="170">
        <v>0.26</v>
      </c>
      <c r="L108" s="170">
        <v>0.28999999999999998</v>
      </c>
      <c r="M108" s="170">
        <v>0.38</v>
      </c>
      <c r="N108" s="170">
        <v>0.18</v>
      </c>
      <c r="O108" s="170">
        <v>0.21</v>
      </c>
    </row>
    <row r="109" spans="2:15">
      <c r="B109" s="178" t="s">
        <v>156</v>
      </c>
      <c r="C109" s="179"/>
      <c r="D109" s="171">
        <v>0.05</v>
      </c>
      <c r="E109" s="171">
        <v>0.05</v>
      </c>
      <c r="F109" s="171">
        <v>0.03</v>
      </c>
      <c r="G109" s="171">
        <v>0.04</v>
      </c>
      <c r="H109" s="171">
        <v>0.04</v>
      </c>
      <c r="I109" s="171">
        <v>0.04</v>
      </c>
      <c r="J109" s="171">
        <v>0.02</v>
      </c>
      <c r="K109" s="171">
        <v>0.03</v>
      </c>
      <c r="L109" s="171">
        <v>0.03</v>
      </c>
      <c r="M109" s="171">
        <v>0.04</v>
      </c>
      <c r="N109" s="171">
        <v>0.02</v>
      </c>
      <c r="O109" s="171">
        <v>0.03</v>
      </c>
    </row>
    <row r="110" spans="2:15" ht="15">
      <c r="B110" s="177"/>
      <c r="C110" s="180" t="s">
        <v>171</v>
      </c>
      <c r="D110" s="172">
        <v>1</v>
      </c>
      <c r="E110" s="172">
        <v>1</v>
      </c>
      <c r="F110" s="172">
        <v>1</v>
      </c>
      <c r="G110" s="172">
        <v>1</v>
      </c>
      <c r="H110" s="172">
        <v>1</v>
      </c>
      <c r="I110" s="172">
        <v>1</v>
      </c>
      <c r="J110" s="172">
        <v>1</v>
      </c>
      <c r="K110" s="172">
        <v>1</v>
      </c>
      <c r="L110" s="172">
        <v>1</v>
      </c>
      <c r="M110" s="172">
        <v>1</v>
      </c>
      <c r="N110" s="172">
        <v>1</v>
      </c>
      <c r="O110" s="172">
        <v>1</v>
      </c>
    </row>
  </sheetData>
  <mergeCells count="3">
    <mergeCell ref="A1:O1"/>
    <mergeCell ref="A2:O2"/>
    <mergeCell ref="A3:O3"/>
  </mergeCells>
  <phoneticPr fontId="15" type="noConversion"/>
  <pageMargins left="0.7" right="0.7" top="0.75" bottom="0.75" header="0.3" footer="0.3"/>
  <pageSetup scale="59" fitToHeight="2" orientation="landscape" r:id="rId1"/>
  <headerFooter alignWithMargins="0">
    <oddFooter>&amp;LElectronic Arts Inc.&amp;C&amp;D&amp;R&amp;P of &amp;N</oddFooter>
  </headerFooter>
  <rowBreaks count="1" manualBreakCount="1">
    <brk id="50" max="1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5"/>
  <sheetData/>
  <phoneticPr fontId="15"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N111"/>
  <sheetViews>
    <sheetView zoomScaleNormal="100" workbookViewId="0">
      <pane xSplit="3" ySplit="7" topLeftCell="I104" activePane="bottomRight" state="frozen"/>
      <selection activeCell="H54" sqref="H54"/>
      <selection pane="topRight" activeCell="H54" sqref="H54"/>
      <selection pane="bottomLeft" activeCell="H54" sqref="H54"/>
      <selection pane="bottomRight" activeCell="H54" sqref="H54"/>
    </sheetView>
  </sheetViews>
  <sheetFormatPr defaultRowHeight="12.75"/>
  <cols>
    <col min="1" max="1" width="3.5703125" style="234" customWidth="1"/>
    <col min="2" max="2" width="6.5703125" style="234" customWidth="1"/>
    <col min="3" max="3" width="61.140625" style="234" customWidth="1"/>
    <col min="4" max="15" width="10.7109375" style="236" customWidth="1"/>
    <col min="16" max="16" width="10.28515625" style="234" bestFit="1" customWidth="1"/>
    <col min="17" max="16384" width="9.140625" style="234"/>
  </cols>
  <sheetData>
    <row r="1" spans="1:40" s="48" customFormat="1" ht="15" collapsed="1">
      <c r="A1" s="371" t="s">
        <v>100</v>
      </c>
      <c r="B1" s="370"/>
      <c r="C1" s="370"/>
      <c r="D1" s="370"/>
      <c r="E1" s="370"/>
      <c r="F1" s="370"/>
      <c r="G1" s="370"/>
      <c r="H1" s="370"/>
      <c r="I1" s="370"/>
      <c r="J1" s="370"/>
      <c r="K1" s="370"/>
      <c r="L1" s="370"/>
      <c r="M1" s="370"/>
      <c r="N1" s="370"/>
      <c r="O1" s="370"/>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8" customFormat="1" ht="15">
      <c r="A2" s="371" t="s">
        <v>177</v>
      </c>
      <c r="B2" s="370"/>
      <c r="C2" s="370"/>
      <c r="D2" s="370"/>
      <c r="E2" s="370"/>
      <c r="F2" s="370"/>
      <c r="G2" s="370"/>
      <c r="H2" s="370"/>
      <c r="I2" s="370"/>
      <c r="J2" s="370"/>
      <c r="K2" s="370"/>
      <c r="L2" s="370"/>
      <c r="M2" s="370"/>
      <c r="N2" s="370"/>
      <c r="O2" s="370"/>
      <c r="P2" s="6"/>
      <c r="Q2" s="6"/>
      <c r="R2" s="23"/>
      <c r="S2" s="23"/>
      <c r="T2" s="23"/>
      <c r="U2" s="23"/>
      <c r="V2" s="23"/>
      <c r="W2" s="23"/>
      <c r="X2" s="23"/>
      <c r="Y2" s="23"/>
      <c r="Z2" s="23"/>
      <c r="AA2" s="23"/>
      <c r="AB2" s="23"/>
      <c r="AC2" s="23"/>
      <c r="AD2" s="23"/>
      <c r="AE2" s="23"/>
      <c r="AF2" s="23"/>
      <c r="AG2" s="23"/>
      <c r="AH2" s="23"/>
      <c r="AI2" s="23"/>
      <c r="AJ2" s="23"/>
      <c r="AK2" s="23"/>
      <c r="AL2" s="23"/>
      <c r="AM2" s="23"/>
      <c r="AN2" s="23"/>
    </row>
    <row r="3" spans="1:40" s="48" customFormat="1" ht="15">
      <c r="A3" s="371" t="s">
        <v>99</v>
      </c>
      <c r="B3" s="370"/>
      <c r="C3" s="370"/>
      <c r="D3" s="370"/>
      <c r="E3" s="370"/>
      <c r="F3" s="370"/>
      <c r="G3" s="370"/>
      <c r="H3" s="370"/>
      <c r="I3" s="370"/>
      <c r="J3" s="370"/>
      <c r="K3" s="370"/>
      <c r="L3" s="370"/>
      <c r="M3" s="370"/>
      <c r="N3" s="370"/>
      <c r="O3" s="370"/>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s="135" customFormat="1">
      <c r="C4" s="152"/>
      <c r="D4" s="153"/>
      <c r="E4" s="153"/>
      <c r="F4" s="153"/>
      <c r="G4" s="153"/>
      <c r="H4" s="153"/>
      <c r="I4" s="153"/>
      <c r="J4" s="153"/>
      <c r="K4" s="153"/>
      <c r="L4" s="153"/>
      <c r="M4" s="153"/>
      <c r="N4" s="153"/>
      <c r="O4" s="153"/>
    </row>
    <row r="5" spans="1:40" s="135" customFormat="1">
      <c r="C5" s="136"/>
      <c r="D5" s="24" t="s">
        <v>18</v>
      </c>
      <c r="E5" s="24" t="s">
        <v>15</v>
      </c>
      <c r="F5" s="24" t="s">
        <v>16</v>
      </c>
      <c r="G5" s="24" t="s">
        <v>17</v>
      </c>
      <c r="H5" s="24" t="s">
        <v>18</v>
      </c>
      <c r="I5" s="24" t="s">
        <v>15</v>
      </c>
      <c r="J5" s="24" t="s">
        <v>16</v>
      </c>
      <c r="K5" s="24" t="s">
        <v>17</v>
      </c>
      <c r="L5" s="24" t="s">
        <v>18</v>
      </c>
      <c r="M5" s="24" t="s">
        <v>15</v>
      </c>
      <c r="N5" s="24" t="s">
        <v>16</v>
      </c>
      <c r="O5" s="24" t="s">
        <v>17</v>
      </c>
    </row>
    <row r="6" spans="1:40" s="135" customFormat="1" ht="15.75">
      <c r="A6" s="137"/>
      <c r="B6" s="137"/>
      <c r="C6" s="137"/>
      <c r="D6" s="24" t="s">
        <v>26</v>
      </c>
      <c r="E6" s="24" t="s">
        <v>25</v>
      </c>
      <c r="F6" s="24" t="s">
        <v>25</v>
      </c>
      <c r="G6" s="24" t="s">
        <v>25</v>
      </c>
      <c r="H6" s="24" t="s">
        <v>25</v>
      </c>
      <c r="I6" s="24" t="s">
        <v>174</v>
      </c>
      <c r="J6" s="24" t="s">
        <v>174</v>
      </c>
      <c r="K6" s="24" t="s">
        <v>174</v>
      </c>
      <c r="L6" s="24" t="s">
        <v>174</v>
      </c>
      <c r="M6" s="24" t="s">
        <v>199</v>
      </c>
      <c r="N6" s="24" t="s">
        <v>199</v>
      </c>
      <c r="O6" s="24" t="s">
        <v>199</v>
      </c>
    </row>
    <row r="7" spans="1:40" s="135" customFormat="1" ht="15.75">
      <c r="A7" s="137"/>
      <c r="B7" s="137"/>
      <c r="C7" s="137"/>
      <c r="D7" s="42" t="s">
        <v>21</v>
      </c>
      <c r="E7" s="42" t="s">
        <v>21</v>
      </c>
      <c r="F7" s="42" t="s">
        <v>21</v>
      </c>
      <c r="G7" s="42" t="s">
        <v>21</v>
      </c>
      <c r="H7" s="42" t="s">
        <v>21</v>
      </c>
      <c r="I7" s="42" t="s">
        <v>21</v>
      </c>
      <c r="J7" s="42" t="s">
        <v>21</v>
      </c>
      <c r="K7" s="243" t="s">
        <v>21</v>
      </c>
      <c r="L7" s="327" t="s">
        <v>21</v>
      </c>
      <c r="M7" s="332" t="s">
        <v>21</v>
      </c>
      <c r="N7" s="338" t="s">
        <v>21</v>
      </c>
      <c r="O7" s="42" t="s">
        <v>21</v>
      </c>
    </row>
    <row r="8" spans="1:40" s="135" customFormat="1">
      <c r="A8" s="160" t="s">
        <v>169</v>
      </c>
      <c r="B8" s="161"/>
      <c r="C8" s="160"/>
      <c r="D8" s="157"/>
      <c r="E8" s="157"/>
      <c r="F8" s="157"/>
      <c r="G8" s="157"/>
      <c r="H8" s="157"/>
      <c r="I8" s="157"/>
      <c r="J8" s="157"/>
      <c r="K8" s="157"/>
      <c r="L8" s="157"/>
      <c r="M8" s="157"/>
      <c r="N8" s="157"/>
      <c r="O8" s="157"/>
    </row>
    <row r="9" spans="1:40" s="135" customFormat="1">
      <c r="A9" s="161"/>
      <c r="B9" s="163" t="s">
        <v>164</v>
      </c>
      <c r="C9" s="161"/>
      <c r="D9" s="123">
        <v>2025</v>
      </c>
      <c r="E9" s="123">
        <v>2133</v>
      </c>
      <c r="F9" s="123">
        <v>1981</v>
      </c>
      <c r="G9" s="123">
        <v>1816</v>
      </c>
      <c r="H9" s="123">
        <v>1836</v>
      </c>
      <c r="I9" s="123">
        <v>1886</v>
      </c>
      <c r="J9" s="123">
        <v>1896</v>
      </c>
      <c r="K9" s="123">
        <v>1868</v>
      </c>
      <c r="L9" s="123">
        <v>1991</v>
      </c>
      <c r="M9" s="123">
        <v>1940</v>
      </c>
      <c r="N9" s="123">
        <v>1932</v>
      </c>
      <c r="O9" s="123">
        <v>1841</v>
      </c>
      <c r="P9" s="365"/>
    </row>
    <row r="10" spans="1:40" s="135" customFormat="1">
      <c r="A10" s="161"/>
      <c r="B10" s="163" t="s">
        <v>165</v>
      </c>
      <c r="C10" s="161"/>
      <c r="D10" s="123">
        <v>1433</v>
      </c>
      <c r="E10" s="123">
        <v>1492</v>
      </c>
      <c r="F10" s="123">
        <v>1486</v>
      </c>
      <c r="G10" s="123">
        <v>1474</v>
      </c>
      <c r="H10" s="123">
        <v>1563</v>
      </c>
      <c r="I10" s="123">
        <v>1684</v>
      </c>
      <c r="J10" s="123">
        <v>1750</v>
      </c>
      <c r="K10" s="123">
        <v>1778</v>
      </c>
      <c r="L10" s="123">
        <v>1898</v>
      </c>
      <c r="M10" s="123">
        <v>1895</v>
      </c>
      <c r="N10" s="123">
        <v>1899</v>
      </c>
      <c r="O10" s="123">
        <v>1858</v>
      </c>
      <c r="P10" s="365"/>
    </row>
    <row r="11" spans="1:40" s="228" customFormat="1" ht="15">
      <c r="A11" s="161"/>
      <c r="B11" s="163" t="s">
        <v>166</v>
      </c>
      <c r="C11" s="161"/>
      <c r="D11" s="167">
        <v>196</v>
      </c>
      <c r="E11" s="167">
        <v>200</v>
      </c>
      <c r="F11" s="167">
        <v>201</v>
      </c>
      <c r="G11" s="167">
        <v>188</v>
      </c>
      <c r="H11" s="167">
        <v>190</v>
      </c>
      <c r="I11" s="167">
        <v>203</v>
      </c>
      <c r="J11" s="167">
        <v>211</v>
      </c>
      <c r="K11" s="167">
        <v>219</v>
      </c>
      <c r="L11" s="167">
        <v>254</v>
      </c>
      <c r="M11" s="167">
        <v>264</v>
      </c>
      <c r="N11" s="167">
        <v>264</v>
      </c>
      <c r="O11" s="167">
        <v>257</v>
      </c>
      <c r="P11" s="365"/>
    </row>
    <row r="12" spans="1:40" ht="15">
      <c r="A12" s="162"/>
      <c r="B12" s="162"/>
      <c r="C12" s="160" t="s">
        <v>157</v>
      </c>
      <c r="D12" s="168">
        <v>3654</v>
      </c>
      <c r="E12" s="168">
        <v>3825</v>
      </c>
      <c r="F12" s="168">
        <v>3668</v>
      </c>
      <c r="G12" s="168">
        <v>3478</v>
      </c>
      <c r="H12" s="168">
        <v>3589</v>
      </c>
      <c r="I12" s="168">
        <v>3773</v>
      </c>
      <c r="J12" s="168">
        <v>3857</v>
      </c>
      <c r="K12" s="168">
        <v>3865</v>
      </c>
      <c r="L12" s="168">
        <v>4143</v>
      </c>
      <c r="M12" s="168">
        <v>4099</v>
      </c>
      <c r="N12" s="168">
        <v>4095</v>
      </c>
      <c r="O12" s="168">
        <v>3956</v>
      </c>
      <c r="P12" s="365"/>
    </row>
    <row r="13" spans="1:40" s="135" customFormat="1">
      <c r="A13" s="161"/>
      <c r="B13" s="163" t="s">
        <v>164</v>
      </c>
      <c r="C13" s="161"/>
      <c r="D13" s="123">
        <v>297</v>
      </c>
      <c r="E13" s="123">
        <v>7</v>
      </c>
      <c r="F13" s="123">
        <v>-10</v>
      </c>
      <c r="G13" s="123">
        <v>72</v>
      </c>
      <c r="H13" s="123">
        <v>71</v>
      </c>
      <c r="I13" s="123">
        <v>15</v>
      </c>
      <c r="J13" s="123">
        <v>17</v>
      </c>
      <c r="K13" s="123">
        <v>158</v>
      </c>
      <c r="L13" s="123">
        <v>26</v>
      </c>
      <c r="M13" s="123">
        <v>1</v>
      </c>
      <c r="N13" s="123">
        <v>36</v>
      </c>
      <c r="O13" s="123">
        <v>-194</v>
      </c>
    </row>
    <row r="14" spans="1:40" s="136" customFormat="1">
      <c r="A14" s="161"/>
      <c r="B14" s="163" t="s">
        <v>165</v>
      </c>
      <c r="C14" s="161"/>
      <c r="D14" s="123">
        <v>182</v>
      </c>
      <c r="E14" s="123">
        <v>40</v>
      </c>
      <c r="F14" s="123">
        <v>-29</v>
      </c>
      <c r="G14" s="123">
        <v>126</v>
      </c>
      <c r="H14" s="123">
        <v>159</v>
      </c>
      <c r="I14" s="123">
        <v>25</v>
      </c>
      <c r="J14" s="123">
        <v>77</v>
      </c>
      <c r="K14" s="123">
        <v>149</v>
      </c>
      <c r="L14" s="123">
        <v>7</v>
      </c>
      <c r="M14" s="123">
        <v>48</v>
      </c>
      <c r="N14" s="123">
        <v>45</v>
      </c>
      <c r="O14" s="123">
        <v>-24</v>
      </c>
    </row>
    <row r="15" spans="1:40" s="228" customFormat="1" ht="15">
      <c r="A15" s="161"/>
      <c r="B15" s="163" t="s">
        <v>167</v>
      </c>
      <c r="C15" s="161"/>
      <c r="D15" s="167">
        <v>26</v>
      </c>
      <c r="E15" s="167">
        <v>10</v>
      </c>
      <c r="F15" s="167">
        <v>-10</v>
      </c>
      <c r="G15" s="167">
        <v>7</v>
      </c>
      <c r="H15" s="167">
        <v>9</v>
      </c>
      <c r="I15" s="167">
        <v>0</v>
      </c>
      <c r="J15" s="167">
        <v>12</v>
      </c>
      <c r="K15" s="167">
        <v>32</v>
      </c>
      <c r="L15" s="167">
        <v>10</v>
      </c>
      <c r="M15" s="167">
        <v>5</v>
      </c>
      <c r="N15" s="167">
        <v>23</v>
      </c>
      <c r="O15" s="167">
        <v>-8</v>
      </c>
    </row>
    <row r="16" spans="1:40" ht="15">
      <c r="A16" s="162"/>
      <c r="B16" s="162"/>
      <c r="C16" s="160" t="s">
        <v>163</v>
      </c>
      <c r="D16" s="168">
        <v>505</v>
      </c>
      <c r="E16" s="168">
        <v>57</v>
      </c>
      <c r="F16" s="168">
        <v>-49</v>
      </c>
      <c r="G16" s="168">
        <v>205</v>
      </c>
      <c r="H16" s="168">
        <v>239</v>
      </c>
      <c r="I16" s="168">
        <v>40</v>
      </c>
      <c r="J16" s="168">
        <v>106</v>
      </c>
      <c r="K16" s="168">
        <v>339</v>
      </c>
      <c r="L16" s="168">
        <v>43</v>
      </c>
      <c r="M16" s="168">
        <v>54</v>
      </c>
      <c r="N16" s="168">
        <v>104</v>
      </c>
      <c r="O16" s="168">
        <v>-226</v>
      </c>
    </row>
    <row r="17" spans="1:16" s="135" customFormat="1">
      <c r="A17" s="163"/>
      <c r="B17" s="163" t="s">
        <v>168</v>
      </c>
      <c r="C17" s="163"/>
      <c r="D17" s="44">
        <v>2322</v>
      </c>
      <c r="E17" s="44">
        <v>2140</v>
      </c>
      <c r="F17" s="44">
        <v>1971</v>
      </c>
      <c r="G17" s="44">
        <v>1888</v>
      </c>
      <c r="H17" s="44">
        <v>1907</v>
      </c>
      <c r="I17" s="44">
        <v>1901</v>
      </c>
      <c r="J17" s="44">
        <v>1913</v>
      </c>
      <c r="K17" s="44">
        <v>2026</v>
      </c>
      <c r="L17" s="44">
        <v>2017</v>
      </c>
      <c r="M17" s="44">
        <v>1941</v>
      </c>
      <c r="N17" s="44">
        <v>1968</v>
      </c>
      <c r="O17" s="44">
        <v>1647</v>
      </c>
      <c r="P17" s="219"/>
    </row>
    <row r="18" spans="1:16" s="136" customFormat="1">
      <c r="A18" s="163"/>
      <c r="B18" s="163" t="s">
        <v>165</v>
      </c>
      <c r="C18" s="163"/>
      <c r="D18" s="44">
        <v>1615</v>
      </c>
      <c r="E18" s="44">
        <v>1532</v>
      </c>
      <c r="F18" s="44">
        <v>1457</v>
      </c>
      <c r="G18" s="44">
        <v>1600</v>
      </c>
      <c r="H18" s="44">
        <v>1722</v>
      </c>
      <c r="I18" s="44">
        <v>1709</v>
      </c>
      <c r="J18" s="44">
        <v>1827</v>
      </c>
      <c r="K18" s="44">
        <v>1927</v>
      </c>
      <c r="L18" s="44">
        <v>1905</v>
      </c>
      <c r="M18" s="44">
        <v>1943</v>
      </c>
      <c r="N18" s="44">
        <v>1944</v>
      </c>
      <c r="O18" s="44">
        <v>1834</v>
      </c>
      <c r="P18" s="219"/>
    </row>
    <row r="19" spans="1:16" s="136" customFormat="1" ht="15">
      <c r="A19" s="163"/>
      <c r="B19" s="163" t="s">
        <v>167</v>
      </c>
      <c r="C19" s="163"/>
      <c r="D19" s="57">
        <v>222</v>
      </c>
      <c r="E19" s="57">
        <v>210</v>
      </c>
      <c r="F19" s="57">
        <v>191</v>
      </c>
      <c r="G19" s="57">
        <v>195</v>
      </c>
      <c r="H19" s="57">
        <v>199</v>
      </c>
      <c r="I19" s="57">
        <v>203</v>
      </c>
      <c r="J19" s="57">
        <v>223</v>
      </c>
      <c r="K19" s="57">
        <v>251</v>
      </c>
      <c r="L19" s="57">
        <v>264</v>
      </c>
      <c r="M19" s="57">
        <v>269</v>
      </c>
      <c r="N19" s="57">
        <v>287</v>
      </c>
      <c r="O19" s="57">
        <v>249</v>
      </c>
      <c r="P19" s="219"/>
    </row>
    <row r="20" spans="1:16" s="136" customFormat="1" ht="15">
      <c r="A20" s="160"/>
      <c r="B20" s="160"/>
      <c r="C20" s="160" t="s">
        <v>159</v>
      </c>
      <c r="D20" s="169">
        <v>4159</v>
      </c>
      <c r="E20" s="169">
        <v>3882</v>
      </c>
      <c r="F20" s="169">
        <v>3619</v>
      </c>
      <c r="G20" s="169">
        <v>3683</v>
      </c>
      <c r="H20" s="169">
        <v>3828</v>
      </c>
      <c r="I20" s="169">
        <v>3813</v>
      </c>
      <c r="J20" s="169">
        <v>3963</v>
      </c>
      <c r="K20" s="169">
        <v>4204</v>
      </c>
      <c r="L20" s="169">
        <v>4186</v>
      </c>
      <c r="M20" s="169">
        <v>4153</v>
      </c>
      <c r="N20" s="169">
        <v>4199</v>
      </c>
      <c r="O20" s="169">
        <v>3730</v>
      </c>
      <c r="P20" s="219"/>
    </row>
    <row r="21" spans="1:16" s="228" customFormat="1" ht="15">
      <c r="A21" s="160"/>
      <c r="B21" s="160"/>
      <c r="C21" s="160"/>
      <c r="D21" s="169"/>
      <c r="E21" s="169"/>
      <c r="F21" s="169"/>
      <c r="G21" s="169"/>
      <c r="H21" s="169"/>
      <c r="I21" s="169"/>
      <c r="J21" s="169"/>
      <c r="K21" s="169"/>
      <c r="L21" s="169"/>
      <c r="M21" s="169"/>
      <c r="N21" s="169"/>
      <c r="O21" s="169"/>
    </row>
    <row r="22" spans="1:16" s="228" customFormat="1">
      <c r="A22" s="161"/>
      <c r="B22" s="161" t="s">
        <v>168</v>
      </c>
      <c r="C22" s="161"/>
      <c r="D22" s="170">
        <v>0.56000000000000005</v>
      </c>
      <c r="E22" s="170">
        <v>0.56000000000000005</v>
      </c>
      <c r="F22" s="170">
        <v>0.54</v>
      </c>
      <c r="G22" s="170">
        <v>0.52</v>
      </c>
      <c r="H22" s="170">
        <v>0.51</v>
      </c>
      <c r="I22" s="170">
        <v>0.5</v>
      </c>
      <c r="J22" s="170">
        <v>0.49</v>
      </c>
      <c r="K22" s="170">
        <v>0.48</v>
      </c>
      <c r="L22" s="170">
        <v>0.48</v>
      </c>
      <c r="M22" s="170">
        <v>0.47</v>
      </c>
      <c r="N22" s="170">
        <v>0.47</v>
      </c>
      <c r="O22" s="170">
        <v>0.47</v>
      </c>
    </row>
    <row r="23" spans="1:16" s="228" customFormat="1">
      <c r="A23" s="161"/>
      <c r="B23" s="161" t="s">
        <v>165</v>
      </c>
      <c r="C23" s="161"/>
      <c r="D23" s="170">
        <v>0.39</v>
      </c>
      <c r="E23" s="170">
        <v>0.39</v>
      </c>
      <c r="F23" s="170">
        <v>0.41</v>
      </c>
      <c r="G23" s="170">
        <v>0.42</v>
      </c>
      <c r="H23" s="170">
        <v>0.44</v>
      </c>
      <c r="I23" s="170">
        <v>0.45</v>
      </c>
      <c r="J23" s="170">
        <v>0.45</v>
      </c>
      <c r="K23" s="170">
        <v>0.46</v>
      </c>
      <c r="L23" s="170">
        <v>0.46</v>
      </c>
      <c r="M23" s="170">
        <v>0.46</v>
      </c>
      <c r="N23" s="170">
        <v>0.46</v>
      </c>
      <c r="O23" s="170">
        <v>0.47</v>
      </c>
    </row>
    <row r="24" spans="1:16">
      <c r="A24" s="161"/>
      <c r="B24" s="161" t="s">
        <v>167</v>
      </c>
      <c r="C24" s="161"/>
      <c r="D24" s="171">
        <v>0.05</v>
      </c>
      <c r="E24" s="171">
        <v>0.05</v>
      </c>
      <c r="F24" s="171">
        <v>0.05</v>
      </c>
      <c r="G24" s="171">
        <v>0.06</v>
      </c>
      <c r="H24" s="171">
        <v>0.05</v>
      </c>
      <c r="I24" s="171">
        <v>0.05</v>
      </c>
      <c r="J24" s="171">
        <v>0.06</v>
      </c>
      <c r="K24" s="171">
        <v>0.06</v>
      </c>
      <c r="L24" s="171">
        <v>0.06</v>
      </c>
      <c r="M24" s="171">
        <v>7.0000000000000007E-2</v>
      </c>
      <c r="N24" s="171">
        <v>7.0000000000000007E-2</v>
      </c>
      <c r="O24" s="171">
        <v>0.06</v>
      </c>
    </row>
    <row r="25" spans="1:16" ht="15">
      <c r="A25" s="162"/>
      <c r="B25" s="162"/>
      <c r="C25" s="162" t="s">
        <v>170</v>
      </c>
      <c r="D25" s="172">
        <v>1</v>
      </c>
      <c r="E25" s="172">
        <v>1</v>
      </c>
      <c r="F25" s="172">
        <v>1</v>
      </c>
      <c r="G25" s="172">
        <v>1</v>
      </c>
      <c r="H25" s="172">
        <v>1</v>
      </c>
      <c r="I25" s="172">
        <v>1</v>
      </c>
      <c r="J25" s="172">
        <v>1</v>
      </c>
      <c r="K25" s="172">
        <v>1</v>
      </c>
      <c r="L25" s="172">
        <v>1</v>
      </c>
      <c r="M25" s="172">
        <v>1</v>
      </c>
      <c r="N25" s="172">
        <v>1</v>
      </c>
      <c r="O25" s="172">
        <v>1</v>
      </c>
    </row>
    <row r="26" spans="1:16" s="228" customFormat="1">
      <c r="A26" s="161"/>
      <c r="B26" s="161" t="s">
        <v>168</v>
      </c>
      <c r="C26" s="161"/>
      <c r="D26" s="170">
        <v>0.56000000000000005</v>
      </c>
      <c r="E26" s="170">
        <v>0.55000000000000004</v>
      </c>
      <c r="F26" s="170">
        <v>0.55000000000000004</v>
      </c>
      <c r="G26" s="170">
        <v>0.51</v>
      </c>
      <c r="H26" s="170">
        <v>0.5</v>
      </c>
      <c r="I26" s="170">
        <v>0.5</v>
      </c>
      <c r="J26" s="170">
        <v>0.48</v>
      </c>
      <c r="K26" s="170">
        <v>0.48</v>
      </c>
      <c r="L26" s="170">
        <v>0.48</v>
      </c>
      <c r="M26" s="170">
        <v>0.47</v>
      </c>
      <c r="N26" s="170">
        <v>0.47</v>
      </c>
      <c r="O26" s="170">
        <v>0.44</v>
      </c>
    </row>
    <row r="27" spans="1:16" s="228" customFormat="1">
      <c r="A27" s="161"/>
      <c r="B27" s="161" t="s">
        <v>165</v>
      </c>
      <c r="C27" s="161"/>
      <c r="D27" s="170">
        <v>0.39</v>
      </c>
      <c r="E27" s="170">
        <v>0.4</v>
      </c>
      <c r="F27" s="170">
        <v>0.4</v>
      </c>
      <c r="G27" s="170">
        <v>0.44</v>
      </c>
      <c r="H27" s="170">
        <v>0.45</v>
      </c>
      <c r="I27" s="170">
        <v>0.45</v>
      </c>
      <c r="J27" s="170">
        <v>0.46</v>
      </c>
      <c r="K27" s="170">
        <v>0.46</v>
      </c>
      <c r="L27" s="170">
        <v>0.46</v>
      </c>
      <c r="M27" s="170">
        <v>0.47</v>
      </c>
      <c r="N27" s="170">
        <v>0.46</v>
      </c>
      <c r="O27" s="170">
        <v>0.49</v>
      </c>
    </row>
    <row r="28" spans="1:16" s="136" customFormat="1">
      <c r="A28" s="161"/>
      <c r="B28" s="161" t="s">
        <v>167</v>
      </c>
      <c r="C28" s="161"/>
      <c r="D28" s="171">
        <v>0.05</v>
      </c>
      <c r="E28" s="171">
        <v>0.05</v>
      </c>
      <c r="F28" s="171">
        <v>0.05</v>
      </c>
      <c r="G28" s="171">
        <v>0.05</v>
      </c>
      <c r="H28" s="171">
        <v>0.05</v>
      </c>
      <c r="I28" s="171">
        <v>0.05</v>
      </c>
      <c r="J28" s="171">
        <v>0.06</v>
      </c>
      <c r="K28" s="171">
        <v>0.06</v>
      </c>
      <c r="L28" s="171">
        <v>0.06</v>
      </c>
      <c r="M28" s="171">
        <v>0.06</v>
      </c>
      <c r="N28" s="171">
        <v>7.0000000000000007E-2</v>
      </c>
      <c r="O28" s="171">
        <v>7.0000000000000007E-2</v>
      </c>
    </row>
    <row r="29" spans="1:16" s="136" customFormat="1" ht="15">
      <c r="A29" s="162"/>
      <c r="B29" s="162"/>
      <c r="C29" s="162" t="s">
        <v>171</v>
      </c>
      <c r="D29" s="172">
        <v>1</v>
      </c>
      <c r="E29" s="172">
        <v>1</v>
      </c>
      <c r="F29" s="172">
        <v>1</v>
      </c>
      <c r="G29" s="172">
        <v>1</v>
      </c>
      <c r="H29" s="172">
        <v>1</v>
      </c>
      <c r="I29" s="172">
        <v>1</v>
      </c>
      <c r="J29" s="172">
        <v>1</v>
      </c>
      <c r="K29" s="172">
        <v>1</v>
      </c>
      <c r="L29" s="172">
        <v>1</v>
      </c>
      <c r="M29" s="172">
        <v>1</v>
      </c>
      <c r="N29" s="172">
        <v>1</v>
      </c>
      <c r="O29" s="172">
        <v>1</v>
      </c>
    </row>
    <row r="30" spans="1:16" s="135" customFormat="1">
      <c r="A30" s="164"/>
      <c r="B30" s="164"/>
      <c r="C30" s="164"/>
      <c r="D30" s="158"/>
      <c r="E30" s="158"/>
      <c r="F30" s="158"/>
      <c r="G30" s="158"/>
      <c r="H30" s="158"/>
      <c r="I30" s="158"/>
      <c r="J30" s="158"/>
      <c r="K30" s="158"/>
      <c r="L30" s="158"/>
      <c r="M30" s="158"/>
      <c r="N30" s="158"/>
      <c r="O30" s="158"/>
    </row>
    <row r="31" spans="1:16" s="228" customFormat="1">
      <c r="A31" s="165" t="s">
        <v>173</v>
      </c>
      <c r="B31" s="163"/>
      <c r="C31" s="163"/>
      <c r="D31" s="159"/>
      <c r="E31" s="159"/>
      <c r="F31" s="159"/>
      <c r="G31" s="159"/>
      <c r="H31" s="159"/>
      <c r="I31" s="159"/>
      <c r="J31" s="159"/>
      <c r="K31" s="159"/>
      <c r="L31" s="159"/>
      <c r="M31" s="159"/>
      <c r="N31" s="159"/>
      <c r="O31" s="159"/>
    </row>
    <row r="32" spans="1:16" s="135" customFormat="1">
      <c r="A32" s="230"/>
      <c r="B32" s="26" t="s">
        <v>160</v>
      </c>
      <c r="C32" s="48"/>
      <c r="D32" s="103">
        <v>2526</v>
      </c>
      <c r="E32" s="103">
        <v>2650</v>
      </c>
      <c r="F32" s="103">
        <v>2666</v>
      </c>
      <c r="G32" s="103">
        <v>2588</v>
      </c>
      <c r="H32" s="103">
        <v>2632</v>
      </c>
      <c r="I32" s="103">
        <v>2693</v>
      </c>
      <c r="J32" s="103">
        <v>2702</v>
      </c>
      <c r="K32" s="103">
        <v>2673</v>
      </c>
      <c r="L32" s="103">
        <v>2761</v>
      </c>
      <c r="M32" s="103">
        <v>2706</v>
      </c>
      <c r="N32" s="103">
        <v>2621</v>
      </c>
      <c r="O32" s="103">
        <v>2451</v>
      </c>
      <c r="P32" s="364"/>
    </row>
    <row r="33" spans="1:16" s="135" customFormat="1">
      <c r="A33" s="155"/>
      <c r="B33" s="26" t="s">
        <v>161</v>
      </c>
      <c r="C33" s="48"/>
      <c r="D33" s="103">
        <v>522</v>
      </c>
      <c r="E33" s="103">
        <v>581</v>
      </c>
      <c r="F33" s="103">
        <v>614</v>
      </c>
      <c r="G33" s="103">
        <v>676</v>
      </c>
      <c r="H33" s="103">
        <v>743</v>
      </c>
      <c r="I33" s="103">
        <v>799</v>
      </c>
      <c r="J33" s="103">
        <v>872</v>
      </c>
      <c r="K33" s="103">
        <v>951</v>
      </c>
      <c r="L33" s="103">
        <v>1159</v>
      </c>
      <c r="M33" s="103">
        <v>1269</v>
      </c>
      <c r="N33" s="103">
        <v>1359</v>
      </c>
      <c r="O33" s="103">
        <v>1406</v>
      </c>
      <c r="P33" s="364"/>
    </row>
    <row r="34" spans="1:16" s="228" customFormat="1" ht="15">
      <c r="A34" s="155"/>
      <c r="B34" s="26" t="s">
        <v>162</v>
      </c>
      <c r="C34" s="48"/>
      <c r="D34" s="173">
        <v>606</v>
      </c>
      <c r="E34" s="173">
        <v>594</v>
      </c>
      <c r="F34" s="173">
        <v>388</v>
      </c>
      <c r="G34" s="173">
        <v>214</v>
      </c>
      <c r="H34" s="173">
        <v>214</v>
      </c>
      <c r="I34" s="173">
        <v>281</v>
      </c>
      <c r="J34" s="173">
        <v>283</v>
      </c>
      <c r="K34" s="173">
        <v>241</v>
      </c>
      <c r="L34" s="173">
        <v>223</v>
      </c>
      <c r="M34" s="173">
        <v>124</v>
      </c>
      <c r="N34" s="173">
        <v>115</v>
      </c>
      <c r="O34" s="173">
        <v>99</v>
      </c>
      <c r="P34" s="364"/>
    </row>
    <row r="35" spans="1:16" ht="15">
      <c r="A35" s="228"/>
      <c r="B35" s="48"/>
      <c r="C35" s="53" t="s">
        <v>157</v>
      </c>
      <c r="D35" s="168">
        <v>3654</v>
      </c>
      <c r="E35" s="168">
        <v>3825</v>
      </c>
      <c r="F35" s="168">
        <v>3668</v>
      </c>
      <c r="G35" s="168">
        <v>3478</v>
      </c>
      <c r="H35" s="168">
        <v>3589</v>
      </c>
      <c r="I35" s="168">
        <v>3773</v>
      </c>
      <c r="J35" s="168">
        <v>3857</v>
      </c>
      <c r="K35" s="168">
        <v>3865</v>
      </c>
      <c r="L35" s="168">
        <v>4143</v>
      </c>
      <c r="M35" s="168">
        <v>4099</v>
      </c>
      <c r="N35" s="168">
        <v>4095</v>
      </c>
      <c r="O35" s="168">
        <v>3956</v>
      </c>
      <c r="P35" s="364"/>
    </row>
    <row r="36" spans="1:16" s="135" customFormat="1">
      <c r="A36" s="234"/>
      <c r="B36" s="26" t="s">
        <v>160</v>
      </c>
      <c r="C36" s="48"/>
      <c r="D36" s="103">
        <v>457</v>
      </c>
      <c r="E36" s="103">
        <v>4</v>
      </c>
      <c r="F36" s="103">
        <v>-97</v>
      </c>
      <c r="G36" s="103">
        <v>160</v>
      </c>
      <c r="H36" s="103">
        <v>149</v>
      </c>
      <c r="I36" s="103">
        <v>-15</v>
      </c>
      <c r="J36" s="103">
        <v>74</v>
      </c>
      <c r="K36" s="103">
        <v>220</v>
      </c>
      <c r="L36" s="103">
        <v>-25</v>
      </c>
      <c r="M36" s="103">
        <v>-19</v>
      </c>
      <c r="N36" s="103">
        <v>23</v>
      </c>
      <c r="O36" s="103">
        <v>-290</v>
      </c>
      <c r="P36" s="219"/>
    </row>
    <row r="37" spans="1:16" s="135" customFormat="1" ht="15">
      <c r="B37" s="26" t="s">
        <v>161</v>
      </c>
      <c r="C37" s="48"/>
      <c r="D37" s="173">
        <v>48</v>
      </c>
      <c r="E37" s="173">
        <v>53</v>
      </c>
      <c r="F37" s="173">
        <v>48</v>
      </c>
      <c r="G37" s="173">
        <v>45</v>
      </c>
      <c r="H37" s="173">
        <v>90</v>
      </c>
      <c r="I37" s="173">
        <v>55</v>
      </c>
      <c r="J37" s="173">
        <v>32</v>
      </c>
      <c r="K37" s="173">
        <v>119</v>
      </c>
      <c r="L37" s="173">
        <v>68</v>
      </c>
      <c r="M37" s="173">
        <v>73</v>
      </c>
      <c r="N37" s="173">
        <v>81</v>
      </c>
      <c r="O37" s="173">
        <v>64</v>
      </c>
      <c r="P37" s="219"/>
    </row>
    <row r="38" spans="1:16" ht="15">
      <c r="A38" s="156"/>
      <c r="B38" s="48"/>
      <c r="C38" s="160" t="s">
        <v>163</v>
      </c>
      <c r="D38" s="168">
        <v>505</v>
      </c>
      <c r="E38" s="168">
        <v>57</v>
      </c>
      <c r="F38" s="168">
        <v>-49</v>
      </c>
      <c r="G38" s="168">
        <v>205</v>
      </c>
      <c r="H38" s="168">
        <v>239</v>
      </c>
      <c r="I38" s="168">
        <v>40</v>
      </c>
      <c r="J38" s="168">
        <v>106</v>
      </c>
      <c r="K38" s="168">
        <v>339</v>
      </c>
      <c r="L38" s="168">
        <v>43</v>
      </c>
      <c r="M38" s="168">
        <v>54</v>
      </c>
      <c r="N38" s="168">
        <v>104</v>
      </c>
      <c r="O38" s="168">
        <v>-226</v>
      </c>
      <c r="P38" s="235"/>
    </row>
    <row r="39" spans="1:16" s="135" customFormat="1">
      <c r="A39" s="234"/>
      <c r="B39" s="26" t="s">
        <v>160</v>
      </c>
      <c r="C39" s="48"/>
      <c r="D39" s="103">
        <v>2983</v>
      </c>
      <c r="E39" s="103">
        <v>2654</v>
      </c>
      <c r="F39" s="103">
        <v>2569</v>
      </c>
      <c r="G39" s="103">
        <v>2748</v>
      </c>
      <c r="H39" s="103">
        <v>2781</v>
      </c>
      <c r="I39" s="103">
        <v>2678</v>
      </c>
      <c r="J39" s="103">
        <v>2776</v>
      </c>
      <c r="K39" s="103">
        <v>2893</v>
      </c>
      <c r="L39" s="103">
        <v>2736</v>
      </c>
      <c r="M39" s="103">
        <v>2687</v>
      </c>
      <c r="N39" s="103">
        <v>2644</v>
      </c>
      <c r="O39" s="103">
        <v>2161</v>
      </c>
      <c r="P39" s="219"/>
    </row>
    <row r="40" spans="1:16" s="135" customFormat="1">
      <c r="B40" s="26" t="s">
        <v>161</v>
      </c>
      <c r="C40" s="48"/>
      <c r="D40" s="103">
        <v>570</v>
      </c>
      <c r="E40" s="103">
        <v>634</v>
      </c>
      <c r="F40" s="103">
        <v>662</v>
      </c>
      <c r="G40" s="103">
        <v>721</v>
      </c>
      <c r="H40" s="103">
        <v>833</v>
      </c>
      <c r="I40" s="103">
        <v>854</v>
      </c>
      <c r="J40" s="103">
        <v>904</v>
      </c>
      <c r="K40" s="103">
        <v>1070</v>
      </c>
      <c r="L40" s="103">
        <v>1227</v>
      </c>
      <c r="M40" s="103">
        <v>1342</v>
      </c>
      <c r="N40" s="103">
        <v>1440</v>
      </c>
      <c r="O40" s="103">
        <v>1470</v>
      </c>
      <c r="P40" s="219"/>
    </row>
    <row r="41" spans="1:16" s="228" customFormat="1" ht="15">
      <c r="A41" s="135"/>
      <c r="B41" s="26" t="s">
        <v>162</v>
      </c>
      <c r="C41" s="48"/>
      <c r="D41" s="173">
        <v>606</v>
      </c>
      <c r="E41" s="173">
        <v>594</v>
      </c>
      <c r="F41" s="173">
        <v>388</v>
      </c>
      <c r="G41" s="173">
        <v>214</v>
      </c>
      <c r="H41" s="173">
        <v>214</v>
      </c>
      <c r="I41" s="173">
        <v>281</v>
      </c>
      <c r="J41" s="173">
        <v>283</v>
      </c>
      <c r="K41" s="173">
        <v>241</v>
      </c>
      <c r="L41" s="173">
        <v>223</v>
      </c>
      <c r="M41" s="173">
        <v>124</v>
      </c>
      <c r="N41" s="173">
        <v>115</v>
      </c>
      <c r="O41" s="173">
        <v>99</v>
      </c>
      <c r="P41" s="219"/>
    </row>
    <row r="42" spans="1:16" s="228" customFormat="1" ht="15">
      <c r="B42" s="166"/>
      <c r="C42" s="53" t="s">
        <v>159</v>
      </c>
      <c r="D42" s="169">
        <v>4159</v>
      </c>
      <c r="E42" s="169">
        <v>3882</v>
      </c>
      <c r="F42" s="169">
        <v>3619</v>
      </c>
      <c r="G42" s="169">
        <v>3683</v>
      </c>
      <c r="H42" s="169">
        <v>3828</v>
      </c>
      <c r="I42" s="169">
        <v>3813</v>
      </c>
      <c r="J42" s="169">
        <v>3963</v>
      </c>
      <c r="K42" s="169">
        <v>4204</v>
      </c>
      <c r="L42" s="169">
        <v>4186</v>
      </c>
      <c r="M42" s="169">
        <v>4153</v>
      </c>
      <c r="N42" s="169">
        <v>4199</v>
      </c>
      <c r="O42" s="169">
        <v>3730</v>
      </c>
      <c r="P42" s="219"/>
    </row>
    <row r="43" spans="1:16" s="228" customFormat="1" ht="15">
      <c r="B43" s="166"/>
      <c r="C43" s="53"/>
      <c r="D43" s="169"/>
      <c r="E43" s="169"/>
      <c r="F43" s="169"/>
      <c r="G43" s="169"/>
      <c r="H43" s="169"/>
      <c r="I43" s="169"/>
      <c r="J43" s="169"/>
      <c r="K43" s="169"/>
      <c r="L43" s="169"/>
      <c r="M43" s="169"/>
      <c r="N43" s="169"/>
      <c r="O43" s="169"/>
    </row>
    <row r="44" spans="1:16" s="228" customFormat="1">
      <c r="B44" s="161" t="s">
        <v>160</v>
      </c>
      <c r="C44" s="48"/>
      <c r="D44" s="174">
        <v>0.69</v>
      </c>
      <c r="E44" s="174">
        <v>0.69</v>
      </c>
      <c r="F44" s="174">
        <v>0.73</v>
      </c>
      <c r="G44" s="174">
        <v>0.74</v>
      </c>
      <c r="H44" s="174">
        <v>0.73</v>
      </c>
      <c r="I44" s="174">
        <v>0.71</v>
      </c>
      <c r="J44" s="174">
        <v>0.7</v>
      </c>
      <c r="K44" s="174">
        <v>0.69</v>
      </c>
      <c r="L44" s="174">
        <v>0.67</v>
      </c>
      <c r="M44" s="174">
        <v>0.66</v>
      </c>
      <c r="N44" s="174">
        <v>0.64</v>
      </c>
      <c r="O44" s="174">
        <v>0.62</v>
      </c>
    </row>
    <row r="45" spans="1:16" s="228" customFormat="1">
      <c r="B45" s="161" t="s">
        <v>161</v>
      </c>
      <c r="C45" s="48"/>
      <c r="D45" s="174">
        <v>0.14000000000000001</v>
      </c>
      <c r="E45" s="174">
        <v>0.15</v>
      </c>
      <c r="F45" s="174">
        <v>0.17</v>
      </c>
      <c r="G45" s="174">
        <v>0.2</v>
      </c>
      <c r="H45" s="174">
        <v>0.21</v>
      </c>
      <c r="I45" s="174">
        <v>0.21</v>
      </c>
      <c r="J45" s="174">
        <v>0.23</v>
      </c>
      <c r="K45" s="174">
        <v>0.25</v>
      </c>
      <c r="L45" s="174">
        <v>0.28000000000000003</v>
      </c>
      <c r="M45" s="174">
        <v>0.31</v>
      </c>
      <c r="N45" s="174">
        <v>0.33</v>
      </c>
      <c r="O45" s="174">
        <v>0.36</v>
      </c>
    </row>
    <row r="46" spans="1:16">
      <c r="A46" s="228"/>
      <c r="B46" s="161" t="s">
        <v>162</v>
      </c>
      <c r="C46" s="48"/>
      <c r="D46" s="175">
        <v>0.17</v>
      </c>
      <c r="E46" s="175">
        <v>0.16</v>
      </c>
      <c r="F46" s="175">
        <v>0.1</v>
      </c>
      <c r="G46" s="175">
        <v>0.06</v>
      </c>
      <c r="H46" s="175">
        <v>0.06</v>
      </c>
      <c r="I46" s="175">
        <v>0.08</v>
      </c>
      <c r="J46" s="175">
        <v>7.0000000000000007E-2</v>
      </c>
      <c r="K46" s="175">
        <v>0.06</v>
      </c>
      <c r="L46" s="175">
        <v>0.05</v>
      </c>
      <c r="M46" s="175">
        <v>0.03</v>
      </c>
      <c r="N46" s="175">
        <v>0.03</v>
      </c>
      <c r="O46" s="175">
        <v>0.02</v>
      </c>
    </row>
    <row r="47" spans="1:16" ht="15">
      <c r="B47" s="160"/>
      <c r="C47" s="162" t="s">
        <v>170</v>
      </c>
      <c r="D47" s="176">
        <v>1</v>
      </c>
      <c r="E47" s="176">
        <v>1</v>
      </c>
      <c r="F47" s="176">
        <v>1</v>
      </c>
      <c r="G47" s="176">
        <v>1</v>
      </c>
      <c r="H47" s="176">
        <v>1</v>
      </c>
      <c r="I47" s="176">
        <v>1</v>
      </c>
      <c r="J47" s="176">
        <v>1</v>
      </c>
      <c r="K47" s="176">
        <v>1</v>
      </c>
      <c r="L47" s="176">
        <v>1</v>
      </c>
      <c r="M47" s="176">
        <v>1</v>
      </c>
      <c r="N47" s="176">
        <v>1</v>
      </c>
      <c r="O47" s="176">
        <v>1</v>
      </c>
    </row>
    <row r="48" spans="1:16" s="228" customFormat="1">
      <c r="A48" s="234"/>
      <c r="B48" s="161" t="s">
        <v>160</v>
      </c>
      <c r="C48" s="48"/>
      <c r="D48" s="174">
        <v>0.72</v>
      </c>
      <c r="E48" s="174">
        <v>0.69</v>
      </c>
      <c r="F48" s="174">
        <v>0.71</v>
      </c>
      <c r="G48" s="174">
        <v>0.75</v>
      </c>
      <c r="H48" s="174">
        <v>0.73</v>
      </c>
      <c r="I48" s="174">
        <v>0.7</v>
      </c>
      <c r="J48" s="174">
        <v>0.7</v>
      </c>
      <c r="K48" s="174">
        <v>0.69</v>
      </c>
      <c r="L48" s="174">
        <v>0.66</v>
      </c>
      <c r="M48" s="174">
        <v>0.65</v>
      </c>
      <c r="N48" s="174">
        <v>0.63</v>
      </c>
      <c r="O48" s="174">
        <v>0.57999999999999996</v>
      </c>
    </row>
    <row r="49" spans="1:17" s="228" customFormat="1">
      <c r="B49" s="161" t="s">
        <v>161</v>
      </c>
      <c r="C49" s="48"/>
      <c r="D49" s="174">
        <v>0.14000000000000001</v>
      </c>
      <c r="E49" s="174">
        <v>0.16</v>
      </c>
      <c r="F49" s="174">
        <v>0.18</v>
      </c>
      <c r="G49" s="174">
        <v>0.19</v>
      </c>
      <c r="H49" s="174">
        <v>0.22</v>
      </c>
      <c r="I49" s="174">
        <v>0.22</v>
      </c>
      <c r="J49" s="174">
        <v>0.23</v>
      </c>
      <c r="K49" s="174">
        <v>0.25</v>
      </c>
      <c r="L49" s="174">
        <v>0.28999999999999998</v>
      </c>
      <c r="M49" s="174">
        <v>0.32</v>
      </c>
      <c r="N49" s="174">
        <v>0.34</v>
      </c>
      <c r="O49" s="174">
        <v>0.39</v>
      </c>
    </row>
    <row r="50" spans="1:17">
      <c r="A50" s="228"/>
      <c r="B50" s="161" t="s">
        <v>162</v>
      </c>
      <c r="C50" s="48"/>
      <c r="D50" s="175">
        <v>0.14000000000000001</v>
      </c>
      <c r="E50" s="175">
        <v>0.15</v>
      </c>
      <c r="F50" s="175">
        <v>0.11</v>
      </c>
      <c r="G50" s="175">
        <v>0.06</v>
      </c>
      <c r="H50" s="175">
        <v>0.05</v>
      </c>
      <c r="I50" s="175">
        <v>0.08</v>
      </c>
      <c r="J50" s="175">
        <v>7.0000000000000007E-2</v>
      </c>
      <c r="K50" s="175">
        <v>0.06</v>
      </c>
      <c r="L50" s="175">
        <v>0.05</v>
      </c>
      <c r="M50" s="175">
        <v>0.03</v>
      </c>
      <c r="N50" s="175">
        <v>0.03</v>
      </c>
      <c r="O50" s="175">
        <v>0.03</v>
      </c>
    </row>
    <row r="51" spans="1:17" ht="15">
      <c r="B51" s="160"/>
      <c r="C51" s="162" t="s">
        <v>171</v>
      </c>
      <c r="D51" s="176">
        <v>1</v>
      </c>
      <c r="E51" s="176">
        <v>1</v>
      </c>
      <c r="F51" s="176">
        <v>1</v>
      </c>
      <c r="G51" s="176">
        <v>1</v>
      </c>
      <c r="H51" s="176">
        <v>1</v>
      </c>
      <c r="I51" s="176">
        <v>1</v>
      </c>
      <c r="J51" s="176">
        <v>1</v>
      </c>
      <c r="K51" s="176">
        <v>1</v>
      </c>
      <c r="L51" s="176">
        <v>1</v>
      </c>
      <c r="M51" s="176">
        <v>1</v>
      </c>
      <c r="N51" s="176">
        <v>1</v>
      </c>
      <c r="O51" s="176">
        <v>1</v>
      </c>
    </row>
    <row r="52" spans="1:17" ht="6" customHeight="1"/>
    <row r="53" spans="1:17" s="228" customFormat="1">
      <c r="A53" s="177" t="s">
        <v>172</v>
      </c>
      <c r="B53" s="154"/>
      <c r="C53" s="154"/>
      <c r="D53" s="231"/>
      <c r="E53" s="231"/>
      <c r="F53" s="231"/>
      <c r="G53" s="231"/>
      <c r="H53" s="231"/>
      <c r="I53" s="231"/>
      <c r="J53" s="231"/>
      <c r="K53" s="231"/>
      <c r="L53" s="231"/>
      <c r="M53" s="231"/>
      <c r="N53" s="231"/>
      <c r="O53" s="231"/>
    </row>
    <row r="54" spans="1:17" s="135" customFormat="1">
      <c r="A54" s="228"/>
      <c r="B54" s="181" t="s">
        <v>148</v>
      </c>
      <c r="C54" s="182"/>
      <c r="D54" s="103">
        <v>868</v>
      </c>
      <c r="E54" s="103">
        <v>1057</v>
      </c>
      <c r="F54" s="103">
        <v>1058</v>
      </c>
      <c r="G54" s="103">
        <v>995</v>
      </c>
      <c r="H54" s="103">
        <v>1055</v>
      </c>
      <c r="I54" s="103">
        <v>1138</v>
      </c>
      <c r="J54" s="103">
        <v>1179</v>
      </c>
      <c r="K54" s="103">
        <v>1225</v>
      </c>
      <c r="L54" s="103">
        <v>1343</v>
      </c>
      <c r="M54" s="103">
        <v>1290</v>
      </c>
      <c r="N54" s="103">
        <v>1281</v>
      </c>
      <c r="O54" s="103">
        <v>1227</v>
      </c>
      <c r="P54" s="220"/>
      <c r="Q54" s="246"/>
    </row>
    <row r="55" spans="1:17" s="135" customFormat="1">
      <c r="B55" s="181" t="s">
        <v>149</v>
      </c>
      <c r="C55" s="182"/>
      <c r="D55" s="103">
        <v>771</v>
      </c>
      <c r="E55" s="103">
        <v>859</v>
      </c>
      <c r="F55" s="103">
        <v>869</v>
      </c>
      <c r="G55" s="103">
        <v>915</v>
      </c>
      <c r="H55" s="103">
        <v>1000</v>
      </c>
      <c r="I55" s="103">
        <v>1099</v>
      </c>
      <c r="J55" s="103">
        <v>1116</v>
      </c>
      <c r="K55" s="103">
        <v>1148</v>
      </c>
      <c r="L55" s="103">
        <v>1223</v>
      </c>
      <c r="M55" s="103">
        <v>1182</v>
      </c>
      <c r="N55" s="103">
        <v>1163</v>
      </c>
      <c r="O55" s="103">
        <v>1138</v>
      </c>
      <c r="P55" s="220"/>
      <c r="Q55" s="246"/>
    </row>
    <row r="56" spans="1:17" s="135" customFormat="1">
      <c r="B56" s="26" t="s">
        <v>150</v>
      </c>
      <c r="C56" s="183"/>
      <c r="D56" s="103">
        <v>570</v>
      </c>
      <c r="E56" s="103">
        <v>449</v>
      </c>
      <c r="F56" s="103">
        <v>332</v>
      </c>
      <c r="G56" s="103">
        <v>266</v>
      </c>
      <c r="H56" s="103">
        <v>266</v>
      </c>
      <c r="I56" s="103">
        <v>268</v>
      </c>
      <c r="J56" s="103">
        <v>278</v>
      </c>
      <c r="K56" s="103">
        <v>197</v>
      </c>
      <c r="L56" s="103">
        <v>146</v>
      </c>
      <c r="M56" s="103">
        <v>112</v>
      </c>
      <c r="N56" s="103">
        <v>94</v>
      </c>
      <c r="O56" s="103">
        <v>65</v>
      </c>
      <c r="P56" s="220"/>
      <c r="Q56" s="246"/>
    </row>
    <row r="57" spans="1:17" s="228" customFormat="1" ht="15">
      <c r="A57" s="135"/>
      <c r="B57" s="181" t="s">
        <v>151</v>
      </c>
      <c r="C57" s="182"/>
      <c r="D57" s="84">
        <v>133</v>
      </c>
      <c r="E57" s="84">
        <v>117</v>
      </c>
      <c r="F57" s="84">
        <v>106</v>
      </c>
      <c r="G57" s="84">
        <v>82</v>
      </c>
      <c r="H57" s="84">
        <v>64</v>
      </c>
      <c r="I57" s="84">
        <v>56</v>
      </c>
      <c r="J57" s="84">
        <v>42</v>
      </c>
      <c r="K57" s="84">
        <v>29</v>
      </c>
      <c r="L57" s="84">
        <v>28</v>
      </c>
      <c r="M57" s="84">
        <v>27</v>
      </c>
      <c r="N57" s="84">
        <v>18</v>
      </c>
      <c r="O57" s="84">
        <v>14</v>
      </c>
      <c r="P57" s="220"/>
      <c r="Q57" s="246"/>
    </row>
    <row r="58" spans="1:17" s="135" customFormat="1">
      <c r="A58" s="228"/>
      <c r="B58" s="48"/>
      <c r="C58" s="26" t="s">
        <v>152</v>
      </c>
      <c r="D58" s="103">
        <v>2342</v>
      </c>
      <c r="E58" s="103">
        <v>2482</v>
      </c>
      <c r="F58" s="103">
        <v>2365</v>
      </c>
      <c r="G58" s="103">
        <v>2258</v>
      </c>
      <c r="H58" s="103">
        <v>2385</v>
      </c>
      <c r="I58" s="103">
        <v>2561</v>
      </c>
      <c r="J58" s="103">
        <v>2615</v>
      </c>
      <c r="K58" s="103">
        <v>2599</v>
      </c>
      <c r="L58" s="103">
        <v>2740</v>
      </c>
      <c r="M58" s="103">
        <v>2611</v>
      </c>
      <c r="N58" s="103">
        <v>2556</v>
      </c>
      <c r="O58" s="103">
        <v>2444</v>
      </c>
      <c r="P58" s="220"/>
      <c r="Q58" s="246"/>
    </row>
    <row r="59" spans="1:17" s="135" customFormat="1">
      <c r="B59" s="26" t="s">
        <v>153</v>
      </c>
      <c r="C59" s="183"/>
      <c r="D59" s="103">
        <v>212</v>
      </c>
      <c r="E59" s="103">
        <v>214</v>
      </c>
      <c r="F59" s="103">
        <v>212</v>
      </c>
      <c r="G59" s="103">
        <v>215</v>
      </c>
      <c r="H59" s="103">
        <v>230</v>
      </c>
      <c r="I59" s="103">
        <v>235</v>
      </c>
      <c r="J59" s="103">
        <v>241</v>
      </c>
      <c r="K59" s="103">
        <v>252</v>
      </c>
      <c r="L59" s="103">
        <v>269</v>
      </c>
      <c r="M59" s="103">
        <v>281</v>
      </c>
      <c r="N59" s="103">
        <v>301</v>
      </c>
      <c r="O59" s="103">
        <v>317</v>
      </c>
      <c r="P59" s="220"/>
      <c r="Q59" s="246"/>
    </row>
    <row r="60" spans="1:17" s="135" customFormat="1" ht="13.5" customHeight="1">
      <c r="A60" s="136"/>
      <c r="B60" s="181" t="s">
        <v>191</v>
      </c>
      <c r="C60" s="182"/>
      <c r="D60" s="103">
        <v>125</v>
      </c>
      <c r="E60" s="103">
        <v>106</v>
      </c>
      <c r="F60" s="103">
        <v>103</v>
      </c>
      <c r="G60" s="103">
        <v>95</v>
      </c>
      <c r="H60" s="103">
        <v>74</v>
      </c>
      <c r="I60" s="103">
        <v>66</v>
      </c>
      <c r="J60" s="103">
        <v>66</v>
      </c>
      <c r="K60" s="103">
        <v>58</v>
      </c>
      <c r="L60" s="103">
        <v>48</v>
      </c>
      <c r="M60" s="103">
        <v>47</v>
      </c>
      <c r="N60" s="103">
        <v>44</v>
      </c>
      <c r="O60" s="103">
        <v>45</v>
      </c>
      <c r="P60" s="220"/>
      <c r="Q60" s="246"/>
    </row>
    <row r="61" spans="1:17" s="228" customFormat="1" ht="15">
      <c r="A61" s="135"/>
      <c r="B61" s="181" t="s">
        <v>192</v>
      </c>
      <c r="C61" s="182"/>
      <c r="D61" s="173">
        <v>135</v>
      </c>
      <c r="E61" s="173">
        <v>118</v>
      </c>
      <c r="F61" s="173">
        <v>104</v>
      </c>
      <c r="G61" s="173">
        <v>90</v>
      </c>
      <c r="H61" s="173">
        <v>96</v>
      </c>
      <c r="I61" s="173">
        <v>93</v>
      </c>
      <c r="J61" s="173">
        <v>92</v>
      </c>
      <c r="K61" s="173">
        <v>58</v>
      </c>
      <c r="L61" s="173">
        <v>35</v>
      </c>
      <c r="M61" s="173">
        <v>36</v>
      </c>
      <c r="N61" s="173">
        <v>37</v>
      </c>
      <c r="O61" s="173">
        <v>31</v>
      </c>
      <c r="P61" s="220"/>
      <c r="Q61" s="246"/>
    </row>
    <row r="62" spans="1:17" s="135" customFormat="1">
      <c r="A62" s="228"/>
      <c r="B62" s="166"/>
      <c r="C62" s="26" t="s">
        <v>154</v>
      </c>
      <c r="D62" s="103">
        <v>472</v>
      </c>
      <c r="E62" s="103">
        <v>438</v>
      </c>
      <c r="F62" s="103">
        <v>419</v>
      </c>
      <c r="G62" s="103">
        <v>400</v>
      </c>
      <c r="H62" s="103">
        <v>400</v>
      </c>
      <c r="I62" s="103">
        <v>394</v>
      </c>
      <c r="J62" s="103">
        <v>399</v>
      </c>
      <c r="K62" s="103">
        <v>368</v>
      </c>
      <c r="L62" s="103">
        <v>352</v>
      </c>
      <c r="M62" s="103">
        <v>364</v>
      </c>
      <c r="N62" s="103">
        <v>382</v>
      </c>
      <c r="O62" s="103">
        <v>393</v>
      </c>
      <c r="P62" s="220"/>
      <c r="Q62" s="246"/>
    </row>
    <row r="63" spans="1:17" s="135" customFormat="1">
      <c r="B63" s="181" t="s">
        <v>155</v>
      </c>
      <c r="C63" s="184"/>
      <c r="D63" s="103">
        <v>687</v>
      </c>
      <c r="E63" s="103">
        <v>749</v>
      </c>
      <c r="F63" s="103">
        <v>733</v>
      </c>
      <c r="G63" s="103">
        <v>676</v>
      </c>
      <c r="H63" s="103">
        <v>669</v>
      </c>
      <c r="I63" s="103">
        <v>688</v>
      </c>
      <c r="J63" s="103">
        <v>709</v>
      </c>
      <c r="K63" s="103">
        <v>768</v>
      </c>
      <c r="L63" s="103">
        <v>931</v>
      </c>
      <c r="M63" s="103">
        <v>1002</v>
      </c>
      <c r="N63" s="103">
        <v>1038</v>
      </c>
      <c r="O63" s="103">
        <v>1010</v>
      </c>
      <c r="P63" s="220"/>
      <c r="Q63" s="246"/>
    </row>
    <row r="64" spans="1:17" s="228" customFormat="1" ht="15">
      <c r="A64" s="136"/>
      <c r="B64" s="181" t="s">
        <v>156</v>
      </c>
      <c r="C64" s="182"/>
      <c r="D64" s="84">
        <v>153</v>
      </c>
      <c r="E64" s="84">
        <v>156</v>
      </c>
      <c r="F64" s="84">
        <v>151</v>
      </c>
      <c r="G64" s="84">
        <v>144</v>
      </c>
      <c r="H64" s="84">
        <v>135</v>
      </c>
      <c r="I64" s="84">
        <v>130</v>
      </c>
      <c r="J64" s="84">
        <v>134</v>
      </c>
      <c r="K64" s="84">
        <v>130</v>
      </c>
      <c r="L64" s="84">
        <v>120</v>
      </c>
      <c r="M64" s="84">
        <v>122</v>
      </c>
      <c r="N64" s="84">
        <v>119</v>
      </c>
      <c r="O64" s="84">
        <v>109</v>
      </c>
      <c r="P64" s="220"/>
      <c r="Q64" s="246"/>
    </row>
    <row r="65" spans="1:17" ht="15">
      <c r="A65" s="136"/>
      <c r="B65" s="166"/>
      <c r="C65" s="53" t="s">
        <v>157</v>
      </c>
      <c r="D65" s="168">
        <v>3654</v>
      </c>
      <c r="E65" s="168">
        <v>3825</v>
      </c>
      <c r="F65" s="168">
        <v>3668</v>
      </c>
      <c r="G65" s="168">
        <v>3478</v>
      </c>
      <c r="H65" s="168">
        <v>3589</v>
      </c>
      <c r="I65" s="168">
        <v>3773</v>
      </c>
      <c r="J65" s="168">
        <v>3857</v>
      </c>
      <c r="K65" s="168">
        <v>3865</v>
      </c>
      <c r="L65" s="168">
        <v>4143</v>
      </c>
      <c r="M65" s="168">
        <v>4099</v>
      </c>
      <c r="N65" s="168">
        <v>4095</v>
      </c>
      <c r="O65" s="168">
        <v>3956</v>
      </c>
      <c r="P65" s="220"/>
      <c r="Q65" s="246"/>
    </row>
    <row r="66" spans="1:17" s="135" customFormat="1">
      <c r="A66" s="234"/>
      <c r="B66" s="26" t="s">
        <v>148</v>
      </c>
      <c r="C66" s="183"/>
      <c r="D66" s="103">
        <v>287</v>
      </c>
      <c r="E66" s="103">
        <v>103</v>
      </c>
      <c r="F66" s="103">
        <v>10</v>
      </c>
      <c r="G66" s="103">
        <v>107</v>
      </c>
      <c r="H66" s="103">
        <v>89</v>
      </c>
      <c r="I66" s="103">
        <v>17</v>
      </c>
      <c r="J66" s="103">
        <v>61</v>
      </c>
      <c r="K66" s="103">
        <v>109</v>
      </c>
      <c r="L66" s="103">
        <v>-7</v>
      </c>
      <c r="M66" s="103">
        <v>0</v>
      </c>
      <c r="N66" s="103">
        <v>4</v>
      </c>
      <c r="O66" s="103">
        <v>-98</v>
      </c>
      <c r="P66" s="366"/>
      <c r="Q66" s="246"/>
    </row>
    <row r="67" spans="1:17" s="135" customFormat="1">
      <c r="B67" s="26" t="s">
        <v>149</v>
      </c>
      <c r="C67" s="183"/>
      <c r="D67" s="103">
        <v>124</v>
      </c>
      <c r="E67" s="103">
        <v>57</v>
      </c>
      <c r="F67" s="103">
        <v>27</v>
      </c>
      <c r="G67" s="103">
        <v>109</v>
      </c>
      <c r="H67" s="103">
        <v>117</v>
      </c>
      <c r="I67" s="103">
        <v>9</v>
      </c>
      <c r="J67" s="103">
        <v>64</v>
      </c>
      <c r="K67" s="103">
        <v>112</v>
      </c>
      <c r="L67" s="103">
        <v>-23</v>
      </c>
      <c r="M67" s="103">
        <v>-9</v>
      </c>
      <c r="N67" s="103">
        <v>8</v>
      </c>
      <c r="O67" s="103">
        <v>-76</v>
      </c>
      <c r="P67" s="366"/>
      <c r="Q67" s="246"/>
    </row>
    <row r="68" spans="1:17" s="135" customFormat="1">
      <c r="B68" s="26" t="s">
        <v>150</v>
      </c>
      <c r="C68" s="183"/>
      <c r="D68" s="103">
        <v>-9</v>
      </c>
      <c r="E68" s="103">
        <v>-37</v>
      </c>
      <c r="F68" s="103">
        <v>-11</v>
      </c>
      <c r="G68" s="103">
        <v>27</v>
      </c>
      <c r="H68" s="103">
        <v>14</v>
      </c>
      <c r="I68" s="103">
        <v>-7</v>
      </c>
      <c r="J68" s="103">
        <v>-32</v>
      </c>
      <c r="K68" s="103">
        <v>-68</v>
      </c>
      <c r="L68" s="103">
        <v>-31</v>
      </c>
      <c r="M68" s="103">
        <v>-10</v>
      </c>
      <c r="N68" s="103">
        <v>-9</v>
      </c>
      <c r="O68" s="103">
        <v>-12</v>
      </c>
      <c r="P68" s="366"/>
      <c r="Q68" s="246"/>
    </row>
    <row r="69" spans="1:17" s="135" customFormat="1" ht="13.5" customHeight="1">
      <c r="B69" s="26" t="s">
        <v>151</v>
      </c>
      <c r="C69" s="183"/>
      <c r="D69" s="92">
        <v>-4</v>
      </c>
      <c r="E69" s="92">
        <v>-2</v>
      </c>
      <c r="F69" s="92">
        <v>-15</v>
      </c>
      <c r="G69" s="92">
        <v>-16</v>
      </c>
      <c r="H69" s="92">
        <v>-5</v>
      </c>
      <c r="I69" s="92">
        <v>0</v>
      </c>
      <c r="J69" s="92">
        <v>-1</v>
      </c>
      <c r="K69" s="92">
        <v>0</v>
      </c>
      <c r="L69" s="92">
        <v>0</v>
      </c>
      <c r="M69" s="92">
        <v>-1</v>
      </c>
      <c r="N69" s="92" t="s">
        <v>209</v>
      </c>
      <c r="O69" s="92" t="s">
        <v>209</v>
      </c>
      <c r="P69" s="366"/>
      <c r="Q69" s="246"/>
    </row>
    <row r="70" spans="1:17" s="135" customFormat="1">
      <c r="B70" s="26" t="s">
        <v>153</v>
      </c>
      <c r="C70" s="183"/>
      <c r="D70" s="103">
        <v>0</v>
      </c>
      <c r="E70" s="103">
        <v>0</v>
      </c>
      <c r="F70" s="103">
        <v>1</v>
      </c>
      <c r="G70" s="103">
        <v>5</v>
      </c>
      <c r="H70" s="103">
        <v>2</v>
      </c>
      <c r="I70" s="103">
        <v>2</v>
      </c>
      <c r="J70" s="103">
        <v>2</v>
      </c>
      <c r="K70" s="103">
        <v>10</v>
      </c>
      <c r="L70" s="103">
        <v>10</v>
      </c>
      <c r="M70" s="103">
        <v>19</v>
      </c>
      <c r="N70" s="103">
        <v>32</v>
      </c>
      <c r="O70" s="103">
        <v>32</v>
      </c>
      <c r="P70" s="366"/>
      <c r="Q70" s="246"/>
    </row>
    <row r="71" spans="1:17" s="135" customFormat="1" ht="13.5" customHeight="1">
      <c r="B71" s="181" t="s">
        <v>191</v>
      </c>
      <c r="C71" s="183"/>
      <c r="D71" s="103">
        <v>-14</v>
      </c>
      <c r="E71" s="103">
        <v>1</v>
      </c>
      <c r="F71" s="103">
        <v>-14</v>
      </c>
      <c r="G71" s="103">
        <v>-17</v>
      </c>
      <c r="H71" s="103">
        <v>-3</v>
      </c>
      <c r="I71" s="103">
        <v>-8</v>
      </c>
      <c r="J71" s="103">
        <v>-12</v>
      </c>
      <c r="K71" s="103">
        <v>-14</v>
      </c>
      <c r="L71" s="103">
        <v>2</v>
      </c>
      <c r="M71" s="103">
        <v>4</v>
      </c>
      <c r="N71" s="103">
        <v>11</v>
      </c>
      <c r="O71" s="103">
        <v>24</v>
      </c>
      <c r="P71" s="366"/>
      <c r="Q71" s="246"/>
    </row>
    <row r="72" spans="1:17" s="135" customFormat="1">
      <c r="A72" s="136"/>
      <c r="B72" s="181" t="s">
        <v>192</v>
      </c>
      <c r="C72" s="183"/>
      <c r="D72" s="103">
        <v>6</v>
      </c>
      <c r="E72" s="103">
        <v>2</v>
      </c>
      <c r="F72" s="103">
        <v>3</v>
      </c>
      <c r="G72" s="103">
        <v>-1</v>
      </c>
      <c r="H72" s="103">
        <v>-1</v>
      </c>
      <c r="I72" s="103">
        <v>1</v>
      </c>
      <c r="J72" s="103">
        <v>0</v>
      </c>
      <c r="K72" s="103">
        <v>1</v>
      </c>
      <c r="L72" s="103">
        <v>2</v>
      </c>
      <c r="M72" s="103">
        <v>0</v>
      </c>
      <c r="N72" s="103">
        <v>-2</v>
      </c>
      <c r="O72" s="103">
        <v>2</v>
      </c>
      <c r="P72" s="366"/>
      <c r="Q72" s="246"/>
    </row>
    <row r="73" spans="1:17" s="228" customFormat="1" ht="15">
      <c r="A73" s="135"/>
      <c r="B73" s="26" t="s">
        <v>158</v>
      </c>
      <c r="C73" s="183"/>
      <c r="D73" s="84">
        <v>115</v>
      </c>
      <c r="E73" s="84">
        <v>-67</v>
      </c>
      <c r="F73" s="84">
        <v>-50</v>
      </c>
      <c r="G73" s="84">
        <v>-9</v>
      </c>
      <c r="H73" s="84">
        <v>26</v>
      </c>
      <c r="I73" s="84">
        <v>26</v>
      </c>
      <c r="J73" s="84">
        <v>24</v>
      </c>
      <c r="K73" s="84">
        <v>189</v>
      </c>
      <c r="L73" s="84">
        <v>90</v>
      </c>
      <c r="M73" s="84">
        <v>51</v>
      </c>
      <c r="N73" s="84">
        <v>60</v>
      </c>
      <c r="O73" s="84">
        <v>-98</v>
      </c>
      <c r="P73" s="367"/>
      <c r="Q73" s="246"/>
    </row>
    <row r="74" spans="1:17" ht="15">
      <c r="A74" s="228"/>
      <c r="B74" s="166"/>
      <c r="C74" s="160" t="s">
        <v>163</v>
      </c>
      <c r="D74" s="168">
        <v>505</v>
      </c>
      <c r="E74" s="168">
        <v>57</v>
      </c>
      <c r="F74" s="168">
        <v>-49</v>
      </c>
      <c r="G74" s="168">
        <v>205</v>
      </c>
      <c r="H74" s="168">
        <v>239</v>
      </c>
      <c r="I74" s="168">
        <v>40</v>
      </c>
      <c r="J74" s="168">
        <v>106</v>
      </c>
      <c r="K74" s="168">
        <v>339</v>
      </c>
      <c r="L74" s="168">
        <v>43</v>
      </c>
      <c r="M74" s="168">
        <v>54</v>
      </c>
      <c r="N74" s="168">
        <v>104</v>
      </c>
      <c r="O74" s="168">
        <v>-226</v>
      </c>
      <c r="P74" s="368"/>
      <c r="Q74" s="246"/>
    </row>
    <row r="75" spans="1:17" s="135" customFormat="1">
      <c r="A75" s="234"/>
      <c r="B75" s="181" t="s">
        <v>148</v>
      </c>
      <c r="C75" s="182"/>
      <c r="D75" s="103">
        <v>1155</v>
      </c>
      <c r="E75" s="103">
        <v>1160</v>
      </c>
      <c r="F75" s="103">
        <v>1068</v>
      </c>
      <c r="G75" s="103">
        <v>1102</v>
      </c>
      <c r="H75" s="103">
        <v>1144</v>
      </c>
      <c r="I75" s="103">
        <v>1155</v>
      </c>
      <c r="J75" s="103">
        <v>1240</v>
      </c>
      <c r="K75" s="103">
        <v>1334</v>
      </c>
      <c r="L75" s="103">
        <v>1336</v>
      </c>
      <c r="M75" s="103">
        <v>1290</v>
      </c>
      <c r="N75" s="103">
        <v>1285</v>
      </c>
      <c r="O75" s="103">
        <v>1129</v>
      </c>
      <c r="P75" s="366"/>
      <c r="Q75" s="246"/>
    </row>
    <row r="76" spans="1:17" s="135" customFormat="1">
      <c r="B76" s="181" t="s">
        <v>149</v>
      </c>
      <c r="C76" s="182"/>
      <c r="D76" s="103">
        <v>895</v>
      </c>
      <c r="E76" s="103">
        <v>916</v>
      </c>
      <c r="F76" s="103">
        <v>896</v>
      </c>
      <c r="G76" s="103">
        <v>1024</v>
      </c>
      <c r="H76" s="103">
        <v>1117</v>
      </c>
      <c r="I76" s="103">
        <v>1108</v>
      </c>
      <c r="J76" s="103">
        <v>1180</v>
      </c>
      <c r="K76" s="103">
        <v>1260</v>
      </c>
      <c r="L76" s="103">
        <v>1200</v>
      </c>
      <c r="M76" s="103">
        <v>1173</v>
      </c>
      <c r="N76" s="103">
        <v>1171</v>
      </c>
      <c r="O76" s="103">
        <v>1062</v>
      </c>
      <c r="P76" s="366"/>
      <c r="Q76" s="246"/>
    </row>
    <row r="77" spans="1:17" s="135" customFormat="1">
      <c r="B77" s="181" t="s">
        <v>150</v>
      </c>
      <c r="C77" s="182"/>
      <c r="D77" s="103">
        <v>561</v>
      </c>
      <c r="E77" s="103">
        <v>412</v>
      </c>
      <c r="F77" s="103">
        <v>321</v>
      </c>
      <c r="G77" s="103">
        <v>293</v>
      </c>
      <c r="H77" s="103">
        <v>280</v>
      </c>
      <c r="I77" s="103">
        <v>261</v>
      </c>
      <c r="J77" s="103">
        <v>246</v>
      </c>
      <c r="K77" s="103">
        <v>129</v>
      </c>
      <c r="L77" s="103">
        <v>115</v>
      </c>
      <c r="M77" s="103">
        <v>102</v>
      </c>
      <c r="N77" s="103">
        <v>85</v>
      </c>
      <c r="O77" s="103">
        <v>53</v>
      </c>
      <c r="P77" s="366"/>
      <c r="Q77" s="246"/>
    </row>
    <row r="78" spans="1:17" s="228" customFormat="1" ht="15">
      <c r="A78" s="135"/>
      <c r="B78" s="181" t="s">
        <v>151</v>
      </c>
      <c r="C78" s="182"/>
      <c r="D78" s="173">
        <v>129</v>
      </c>
      <c r="E78" s="173">
        <v>115</v>
      </c>
      <c r="F78" s="173">
        <v>91</v>
      </c>
      <c r="G78" s="173">
        <v>66</v>
      </c>
      <c r="H78" s="173">
        <v>59</v>
      </c>
      <c r="I78" s="173">
        <v>56</v>
      </c>
      <c r="J78" s="173">
        <v>41</v>
      </c>
      <c r="K78" s="173">
        <v>29</v>
      </c>
      <c r="L78" s="173">
        <v>28</v>
      </c>
      <c r="M78" s="173">
        <v>26</v>
      </c>
      <c r="N78" s="173">
        <v>18</v>
      </c>
      <c r="O78" s="173">
        <v>14</v>
      </c>
      <c r="P78" s="367"/>
      <c r="Q78" s="246"/>
    </row>
    <row r="79" spans="1:17" s="135" customFormat="1">
      <c r="A79" s="228"/>
      <c r="B79" s="166"/>
      <c r="C79" s="26" t="s">
        <v>152</v>
      </c>
      <c r="D79" s="103">
        <v>2740</v>
      </c>
      <c r="E79" s="103">
        <v>2603</v>
      </c>
      <c r="F79" s="103">
        <v>2376</v>
      </c>
      <c r="G79" s="103">
        <v>2485</v>
      </c>
      <c r="H79" s="103">
        <v>2600</v>
      </c>
      <c r="I79" s="103">
        <v>2580</v>
      </c>
      <c r="J79" s="103">
        <v>2707</v>
      </c>
      <c r="K79" s="103">
        <v>2752</v>
      </c>
      <c r="L79" s="103">
        <v>2679</v>
      </c>
      <c r="M79" s="103">
        <v>2591</v>
      </c>
      <c r="N79" s="103">
        <v>2559</v>
      </c>
      <c r="O79" s="103">
        <v>2258</v>
      </c>
      <c r="P79" s="366"/>
      <c r="Q79" s="246"/>
    </row>
    <row r="80" spans="1:17" s="135" customFormat="1">
      <c r="B80" s="26" t="s">
        <v>153</v>
      </c>
      <c r="C80" s="183"/>
      <c r="D80" s="103">
        <v>212</v>
      </c>
      <c r="E80" s="103">
        <v>214</v>
      </c>
      <c r="F80" s="103">
        <v>213</v>
      </c>
      <c r="G80" s="103">
        <v>220</v>
      </c>
      <c r="H80" s="103">
        <v>232</v>
      </c>
      <c r="I80" s="103">
        <v>237</v>
      </c>
      <c r="J80" s="103">
        <v>243</v>
      </c>
      <c r="K80" s="103">
        <v>262</v>
      </c>
      <c r="L80" s="103">
        <v>279</v>
      </c>
      <c r="M80" s="103">
        <v>300</v>
      </c>
      <c r="N80" s="103">
        <v>333</v>
      </c>
      <c r="O80" s="103">
        <v>349</v>
      </c>
      <c r="P80" s="366"/>
      <c r="Q80" s="246"/>
    </row>
    <row r="81" spans="1:18" s="135" customFormat="1" ht="13.5" customHeight="1">
      <c r="B81" s="181" t="s">
        <v>191</v>
      </c>
      <c r="C81" s="182"/>
      <c r="D81" s="103">
        <v>111</v>
      </c>
      <c r="E81" s="103">
        <v>107</v>
      </c>
      <c r="F81" s="103">
        <v>89</v>
      </c>
      <c r="G81" s="103">
        <v>78</v>
      </c>
      <c r="H81" s="103">
        <v>71</v>
      </c>
      <c r="I81" s="103">
        <v>58</v>
      </c>
      <c r="J81" s="103">
        <v>54</v>
      </c>
      <c r="K81" s="103">
        <v>44</v>
      </c>
      <c r="L81" s="103">
        <v>50</v>
      </c>
      <c r="M81" s="103">
        <v>51</v>
      </c>
      <c r="N81" s="103">
        <v>55</v>
      </c>
      <c r="O81" s="103">
        <v>69</v>
      </c>
      <c r="P81" s="366"/>
      <c r="Q81" s="246"/>
    </row>
    <row r="82" spans="1:18" s="228" customFormat="1" ht="15">
      <c r="A82" s="135"/>
      <c r="B82" s="181" t="s">
        <v>192</v>
      </c>
      <c r="C82" s="182"/>
      <c r="D82" s="173">
        <v>141</v>
      </c>
      <c r="E82" s="173">
        <v>120</v>
      </c>
      <c r="F82" s="173">
        <v>107</v>
      </c>
      <c r="G82" s="173">
        <v>89</v>
      </c>
      <c r="H82" s="173">
        <v>95</v>
      </c>
      <c r="I82" s="173">
        <v>94</v>
      </c>
      <c r="J82" s="173">
        <v>92</v>
      </c>
      <c r="K82" s="173">
        <v>59</v>
      </c>
      <c r="L82" s="173">
        <v>37</v>
      </c>
      <c r="M82" s="173">
        <v>36</v>
      </c>
      <c r="N82" s="173">
        <v>35</v>
      </c>
      <c r="O82" s="173">
        <v>33</v>
      </c>
      <c r="P82" s="367"/>
      <c r="Q82" s="246"/>
    </row>
    <row r="83" spans="1:18" s="135" customFormat="1">
      <c r="A83" s="228"/>
      <c r="B83" s="166"/>
      <c r="C83" s="26" t="s">
        <v>154</v>
      </c>
      <c r="D83" s="103">
        <v>464</v>
      </c>
      <c r="E83" s="103">
        <v>441</v>
      </c>
      <c r="F83" s="103">
        <v>409</v>
      </c>
      <c r="G83" s="103">
        <v>387</v>
      </c>
      <c r="H83" s="103">
        <v>398</v>
      </c>
      <c r="I83" s="103">
        <v>389</v>
      </c>
      <c r="J83" s="103">
        <v>389</v>
      </c>
      <c r="K83" s="103">
        <v>365</v>
      </c>
      <c r="L83" s="103">
        <v>366</v>
      </c>
      <c r="M83" s="103">
        <v>387</v>
      </c>
      <c r="N83" s="103">
        <v>423</v>
      </c>
      <c r="O83" s="103">
        <v>451</v>
      </c>
      <c r="P83" s="366"/>
      <c r="Q83" s="246"/>
    </row>
    <row r="84" spans="1:18" s="135" customFormat="1">
      <c r="B84" s="181" t="s">
        <v>155</v>
      </c>
      <c r="C84" s="184"/>
      <c r="D84" s="103">
        <v>802</v>
      </c>
      <c r="E84" s="103">
        <v>682</v>
      </c>
      <c r="F84" s="103">
        <v>683</v>
      </c>
      <c r="G84" s="103">
        <v>667</v>
      </c>
      <c r="H84" s="103">
        <v>695</v>
      </c>
      <c r="I84" s="103">
        <v>714</v>
      </c>
      <c r="J84" s="103">
        <v>733</v>
      </c>
      <c r="K84" s="103">
        <v>957</v>
      </c>
      <c r="L84" s="103">
        <v>1021</v>
      </c>
      <c r="M84" s="103">
        <v>1053</v>
      </c>
      <c r="N84" s="103">
        <v>1098</v>
      </c>
      <c r="O84" s="103">
        <v>912</v>
      </c>
      <c r="P84" s="366"/>
      <c r="Q84" s="246"/>
    </row>
    <row r="85" spans="1:18" s="228" customFormat="1" ht="15">
      <c r="A85" s="135"/>
      <c r="B85" s="181" t="s">
        <v>156</v>
      </c>
      <c r="C85" s="182"/>
      <c r="D85" s="84">
        <v>153</v>
      </c>
      <c r="E85" s="84">
        <v>156</v>
      </c>
      <c r="F85" s="84">
        <v>151</v>
      </c>
      <c r="G85" s="84">
        <v>144</v>
      </c>
      <c r="H85" s="84">
        <v>135</v>
      </c>
      <c r="I85" s="84">
        <v>130</v>
      </c>
      <c r="J85" s="84">
        <v>134</v>
      </c>
      <c r="K85" s="84">
        <v>130</v>
      </c>
      <c r="L85" s="84">
        <v>120</v>
      </c>
      <c r="M85" s="84">
        <v>122</v>
      </c>
      <c r="N85" s="84">
        <v>119</v>
      </c>
      <c r="O85" s="84">
        <v>109</v>
      </c>
      <c r="P85" s="367"/>
      <c r="Q85" s="246"/>
    </row>
    <row r="86" spans="1:18" s="228" customFormat="1" ht="15">
      <c r="B86" s="166"/>
      <c r="C86" s="53" t="s">
        <v>159</v>
      </c>
      <c r="D86" s="187">
        <v>4159</v>
      </c>
      <c r="E86" s="187">
        <v>3882</v>
      </c>
      <c r="F86" s="187">
        <v>3619</v>
      </c>
      <c r="G86" s="187">
        <v>3683</v>
      </c>
      <c r="H86" s="187">
        <v>3828</v>
      </c>
      <c r="I86" s="187">
        <v>3813</v>
      </c>
      <c r="J86" s="187">
        <v>3963</v>
      </c>
      <c r="K86" s="187">
        <v>4204</v>
      </c>
      <c r="L86" s="187">
        <v>4186</v>
      </c>
      <c r="M86" s="187">
        <v>4153</v>
      </c>
      <c r="N86" s="187">
        <v>4199</v>
      </c>
      <c r="O86" s="187">
        <v>3730</v>
      </c>
      <c r="P86" s="367"/>
      <c r="Q86" s="246"/>
    </row>
    <row r="87" spans="1:18" s="135" customFormat="1" ht="8.25" customHeight="1">
      <c r="A87" s="156"/>
      <c r="B87" s="166"/>
      <c r="C87" s="166"/>
      <c r="D87" s="185"/>
      <c r="E87" s="185"/>
      <c r="F87" s="185"/>
      <c r="G87" s="185"/>
      <c r="H87" s="185"/>
      <c r="I87" s="185"/>
      <c r="J87" s="185"/>
      <c r="K87" s="185"/>
      <c r="L87" s="185"/>
      <c r="M87" s="185"/>
      <c r="N87" s="185"/>
      <c r="O87" s="185"/>
    </row>
    <row r="88" spans="1:18" s="228" customFormat="1">
      <c r="A88" s="135"/>
      <c r="B88" s="178" t="s">
        <v>148</v>
      </c>
      <c r="C88" s="179"/>
      <c r="D88" s="170">
        <v>0.24</v>
      </c>
      <c r="E88" s="174">
        <v>0.28000000000000003</v>
      </c>
      <c r="F88" s="174">
        <v>0.28999999999999998</v>
      </c>
      <c r="G88" s="174">
        <v>0.28999999999999998</v>
      </c>
      <c r="H88" s="174">
        <v>0.28999999999999998</v>
      </c>
      <c r="I88" s="174">
        <v>0.3</v>
      </c>
      <c r="J88" s="174">
        <v>0.31</v>
      </c>
      <c r="K88" s="174">
        <v>0.31</v>
      </c>
      <c r="L88" s="174">
        <v>0.32</v>
      </c>
      <c r="M88" s="174">
        <v>0.31</v>
      </c>
      <c r="N88" s="174">
        <v>0.31</v>
      </c>
      <c r="O88" s="174">
        <v>0.31</v>
      </c>
      <c r="P88" s="229"/>
      <c r="R88" s="227"/>
    </row>
    <row r="89" spans="1:18" s="228" customFormat="1">
      <c r="B89" s="178" t="s">
        <v>149</v>
      </c>
      <c r="C89" s="179"/>
      <c r="D89" s="170">
        <v>0.21</v>
      </c>
      <c r="E89" s="174">
        <v>0.22</v>
      </c>
      <c r="F89" s="174">
        <v>0.24</v>
      </c>
      <c r="G89" s="174">
        <v>0.26</v>
      </c>
      <c r="H89" s="174">
        <v>0.28000000000000003</v>
      </c>
      <c r="I89" s="174">
        <v>0.28999999999999998</v>
      </c>
      <c r="J89" s="174">
        <v>0.28999999999999998</v>
      </c>
      <c r="K89" s="174">
        <v>0.3</v>
      </c>
      <c r="L89" s="174">
        <v>0.28999999999999998</v>
      </c>
      <c r="M89" s="174">
        <v>0.28999999999999998</v>
      </c>
      <c r="N89" s="174">
        <v>0.28999999999999998</v>
      </c>
      <c r="O89" s="174">
        <v>0.28999999999999998</v>
      </c>
      <c r="P89" s="229"/>
      <c r="R89" s="227"/>
    </row>
    <row r="90" spans="1:18" s="228" customFormat="1">
      <c r="B90" s="178" t="s">
        <v>150</v>
      </c>
      <c r="C90" s="179"/>
      <c r="D90" s="170">
        <v>0.15</v>
      </c>
      <c r="E90" s="174">
        <v>0.12</v>
      </c>
      <c r="F90" s="174">
        <v>0.09</v>
      </c>
      <c r="G90" s="174">
        <v>0.08</v>
      </c>
      <c r="H90" s="174">
        <v>7.0000000000000007E-2</v>
      </c>
      <c r="I90" s="174">
        <v>7.0000000000000007E-2</v>
      </c>
      <c r="J90" s="174">
        <v>7.0000000000000007E-2</v>
      </c>
      <c r="K90" s="174">
        <v>0.05</v>
      </c>
      <c r="L90" s="174">
        <v>0.04</v>
      </c>
      <c r="M90" s="174">
        <v>0.03</v>
      </c>
      <c r="N90" s="174">
        <v>0.02</v>
      </c>
      <c r="O90" s="174">
        <v>0.02</v>
      </c>
      <c r="P90" s="229"/>
      <c r="R90" s="227"/>
    </row>
    <row r="91" spans="1:18">
      <c r="A91" s="228"/>
      <c r="B91" s="178" t="s">
        <v>151</v>
      </c>
      <c r="C91" s="179"/>
      <c r="D91" s="186">
        <v>0.04</v>
      </c>
      <c r="E91" s="186">
        <v>0.03</v>
      </c>
      <c r="F91" s="186">
        <v>0.03</v>
      </c>
      <c r="G91" s="186">
        <v>0.02</v>
      </c>
      <c r="H91" s="186">
        <v>0.02</v>
      </c>
      <c r="I91" s="186">
        <v>0.02</v>
      </c>
      <c r="J91" s="186">
        <v>0.01</v>
      </c>
      <c r="K91" s="186">
        <v>0.01</v>
      </c>
      <c r="L91" s="186">
        <v>0.01</v>
      </c>
      <c r="M91" s="186">
        <v>0.01</v>
      </c>
      <c r="N91" s="188">
        <v>0.01</v>
      </c>
      <c r="O91" s="188" t="s">
        <v>9</v>
      </c>
      <c r="P91" s="237"/>
      <c r="R91" s="235"/>
    </row>
    <row r="92" spans="1:18" s="228" customFormat="1">
      <c r="A92" s="234"/>
      <c r="B92" s="179"/>
      <c r="C92" s="178" t="s">
        <v>152</v>
      </c>
      <c r="D92" s="170">
        <v>0.64</v>
      </c>
      <c r="E92" s="170">
        <v>0.65</v>
      </c>
      <c r="F92" s="170">
        <v>0.65</v>
      </c>
      <c r="G92" s="170">
        <v>0.65</v>
      </c>
      <c r="H92" s="170">
        <v>0.66</v>
      </c>
      <c r="I92" s="170">
        <v>0.68</v>
      </c>
      <c r="J92" s="170">
        <v>0.68</v>
      </c>
      <c r="K92" s="170">
        <v>0.67</v>
      </c>
      <c r="L92" s="170">
        <v>0.66</v>
      </c>
      <c r="M92" s="170">
        <v>0.64</v>
      </c>
      <c r="N92" s="170">
        <v>0.63</v>
      </c>
      <c r="O92" s="170">
        <v>0.62</v>
      </c>
      <c r="P92" s="229"/>
      <c r="R92" s="227"/>
    </row>
    <row r="93" spans="1:18" s="228" customFormat="1">
      <c r="B93" s="178" t="s">
        <v>153</v>
      </c>
      <c r="C93" s="179"/>
      <c r="D93" s="174">
        <v>0.06</v>
      </c>
      <c r="E93" s="174">
        <v>0.05</v>
      </c>
      <c r="F93" s="174">
        <v>0.06</v>
      </c>
      <c r="G93" s="174">
        <v>0.06</v>
      </c>
      <c r="H93" s="174">
        <v>0.06</v>
      </c>
      <c r="I93" s="174">
        <v>0.06</v>
      </c>
      <c r="J93" s="174">
        <v>0.06</v>
      </c>
      <c r="K93" s="174">
        <v>0.06</v>
      </c>
      <c r="L93" s="174">
        <v>7.0000000000000007E-2</v>
      </c>
      <c r="M93" s="174">
        <v>7.0000000000000007E-2</v>
      </c>
      <c r="N93" s="174">
        <v>7.0000000000000007E-2</v>
      </c>
      <c r="O93" s="174">
        <v>0.08</v>
      </c>
      <c r="P93" s="229"/>
      <c r="R93" s="227"/>
    </row>
    <row r="94" spans="1:18" s="228" customFormat="1">
      <c r="B94" s="244" t="s">
        <v>191</v>
      </c>
      <c r="C94" s="179"/>
      <c r="D94" s="174">
        <v>0.03</v>
      </c>
      <c r="E94" s="174">
        <v>0.03</v>
      </c>
      <c r="F94" s="174">
        <v>0.02</v>
      </c>
      <c r="G94" s="174">
        <v>0.03</v>
      </c>
      <c r="H94" s="174">
        <v>0.02</v>
      </c>
      <c r="I94" s="174">
        <v>0.02</v>
      </c>
      <c r="J94" s="174">
        <v>0.02</v>
      </c>
      <c r="K94" s="174">
        <v>0.02</v>
      </c>
      <c r="L94" s="174">
        <v>0.01</v>
      </c>
      <c r="M94" s="174">
        <v>0.01</v>
      </c>
      <c r="N94" s="174">
        <v>0.01</v>
      </c>
      <c r="O94" s="174">
        <v>0.01</v>
      </c>
      <c r="P94" s="229"/>
      <c r="R94" s="227"/>
    </row>
    <row r="95" spans="1:18">
      <c r="A95" s="228"/>
      <c r="B95" s="244" t="s">
        <v>192</v>
      </c>
      <c r="C95" s="179"/>
      <c r="D95" s="186">
        <v>0.04</v>
      </c>
      <c r="E95" s="186">
        <v>0.03</v>
      </c>
      <c r="F95" s="186">
        <v>0.03</v>
      </c>
      <c r="G95" s="186">
        <v>0.03</v>
      </c>
      <c r="H95" s="186">
        <v>0.03</v>
      </c>
      <c r="I95" s="186">
        <v>0.02</v>
      </c>
      <c r="J95" s="186">
        <v>0.02</v>
      </c>
      <c r="K95" s="186">
        <v>0.02</v>
      </c>
      <c r="L95" s="186">
        <v>0.01</v>
      </c>
      <c r="M95" s="186">
        <v>0.01</v>
      </c>
      <c r="N95" s="186">
        <v>0.01</v>
      </c>
      <c r="O95" s="186">
        <v>0.01</v>
      </c>
      <c r="P95" s="237"/>
      <c r="R95" s="235"/>
    </row>
    <row r="96" spans="1:18" s="228" customFormat="1">
      <c r="B96" s="179"/>
      <c r="C96" s="178" t="s">
        <v>154</v>
      </c>
      <c r="D96" s="170">
        <v>0.13</v>
      </c>
      <c r="E96" s="170">
        <v>0.11</v>
      </c>
      <c r="F96" s="170">
        <v>0.11</v>
      </c>
      <c r="G96" s="170">
        <v>0.12</v>
      </c>
      <c r="H96" s="170">
        <v>0.11</v>
      </c>
      <c r="I96" s="170">
        <v>0.1</v>
      </c>
      <c r="J96" s="170">
        <v>0.1</v>
      </c>
      <c r="K96" s="170">
        <v>0.1</v>
      </c>
      <c r="L96" s="170">
        <v>0.09</v>
      </c>
      <c r="M96" s="170">
        <v>0.09</v>
      </c>
      <c r="N96" s="170">
        <v>0.09</v>
      </c>
      <c r="O96" s="170">
        <v>0.1</v>
      </c>
      <c r="P96" s="229"/>
      <c r="R96" s="227"/>
    </row>
    <row r="97" spans="2:18" s="228" customFormat="1">
      <c r="B97" s="178" t="s">
        <v>155</v>
      </c>
      <c r="C97" s="179"/>
      <c r="D97" s="170">
        <v>0.19</v>
      </c>
      <c r="E97" s="170">
        <v>0.2</v>
      </c>
      <c r="F97" s="170">
        <v>0.2</v>
      </c>
      <c r="G97" s="170">
        <v>0.19</v>
      </c>
      <c r="H97" s="170">
        <v>0.19</v>
      </c>
      <c r="I97" s="170">
        <v>0.18</v>
      </c>
      <c r="J97" s="170">
        <v>0.18</v>
      </c>
      <c r="K97" s="170">
        <v>0.2</v>
      </c>
      <c r="L97" s="170">
        <v>0.22</v>
      </c>
      <c r="M97" s="170">
        <v>0.24</v>
      </c>
      <c r="N97" s="170">
        <v>0.25</v>
      </c>
      <c r="O97" s="170">
        <v>0.25</v>
      </c>
      <c r="P97" s="229"/>
      <c r="R97" s="227"/>
    </row>
    <row r="98" spans="2:18">
      <c r="B98" s="178" t="s">
        <v>156</v>
      </c>
      <c r="C98" s="179"/>
      <c r="D98" s="171">
        <v>0.04</v>
      </c>
      <c r="E98" s="171">
        <v>0.04</v>
      </c>
      <c r="F98" s="171">
        <v>0.04</v>
      </c>
      <c r="G98" s="171">
        <v>0.04</v>
      </c>
      <c r="H98" s="171">
        <v>0.04</v>
      </c>
      <c r="I98" s="171">
        <v>0.04</v>
      </c>
      <c r="J98" s="171">
        <v>0.04</v>
      </c>
      <c r="K98" s="171">
        <v>0.03</v>
      </c>
      <c r="L98" s="171">
        <v>0.03</v>
      </c>
      <c r="M98" s="171">
        <v>0.03</v>
      </c>
      <c r="N98" s="171">
        <v>0.03</v>
      </c>
      <c r="O98" s="171">
        <v>0.03</v>
      </c>
      <c r="P98" s="237"/>
      <c r="R98" s="235"/>
    </row>
    <row r="99" spans="2:18" ht="15">
      <c r="B99" s="177"/>
      <c r="C99" s="180" t="s">
        <v>170</v>
      </c>
      <c r="D99" s="172">
        <v>1</v>
      </c>
      <c r="E99" s="172">
        <v>1</v>
      </c>
      <c r="F99" s="172">
        <v>1</v>
      </c>
      <c r="G99" s="172">
        <v>1</v>
      </c>
      <c r="H99" s="172">
        <v>1</v>
      </c>
      <c r="I99" s="172">
        <v>1</v>
      </c>
      <c r="J99" s="172">
        <v>1</v>
      </c>
      <c r="K99" s="172">
        <v>1</v>
      </c>
      <c r="L99" s="172">
        <v>1</v>
      </c>
      <c r="M99" s="172">
        <v>1</v>
      </c>
      <c r="N99" s="172">
        <v>1</v>
      </c>
      <c r="O99" s="172">
        <v>1</v>
      </c>
      <c r="P99" s="237"/>
      <c r="R99" s="235"/>
    </row>
    <row r="100" spans="2:18" s="228" customFormat="1">
      <c r="B100" s="178" t="s">
        <v>148</v>
      </c>
      <c r="C100" s="179"/>
      <c r="D100" s="174">
        <v>0.28000000000000003</v>
      </c>
      <c r="E100" s="174">
        <v>0.3</v>
      </c>
      <c r="F100" s="174">
        <v>0.3</v>
      </c>
      <c r="G100" s="174">
        <v>0.3</v>
      </c>
      <c r="H100" s="174">
        <v>0.3</v>
      </c>
      <c r="I100" s="174">
        <v>0.3</v>
      </c>
      <c r="J100" s="174">
        <v>0.31</v>
      </c>
      <c r="K100" s="174">
        <v>0.32</v>
      </c>
      <c r="L100" s="174">
        <v>0.32</v>
      </c>
      <c r="M100" s="174">
        <v>0.31</v>
      </c>
      <c r="N100" s="174">
        <v>0.31</v>
      </c>
      <c r="O100" s="174">
        <v>0.3</v>
      </c>
      <c r="P100" s="227"/>
      <c r="R100" s="227"/>
    </row>
    <row r="101" spans="2:18" s="228" customFormat="1">
      <c r="B101" s="178" t="s">
        <v>149</v>
      </c>
      <c r="C101" s="179"/>
      <c r="D101" s="174">
        <v>0.22</v>
      </c>
      <c r="E101" s="174">
        <v>0.23</v>
      </c>
      <c r="F101" s="174">
        <v>0.25</v>
      </c>
      <c r="G101" s="174">
        <v>0.28000000000000003</v>
      </c>
      <c r="H101" s="174">
        <v>0.28999999999999998</v>
      </c>
      <c r="I101" s="174">
        <v>0.28999999999999998</v>
      </c>
      <c r="J101" s="174">
        <v>0.3</v>
      </c>
      <c r="K101" s="174">
        <v>0.3</v>
      </c>
      <c r="L101" s="174">
        <v>0.28000000000000003</v>
      </c>
      <c r="M101" s="174">
        <v>0.28000000000000003</v>
      </c>
      <c r="N101" s="174">
        <v>0.28000000000000003</v>
      </c>
      <c r="O101" s="174">
        <v>0.28999999999999998</v>
      </c>
      <c r="P101" s="227"/>
      <c r="R101" s="227"/>
    </row>
    <row r="102" spans="2:18" s="228" customFormat="1">
      <c r="B102" s="178" t="s">
        <v>150</v>
      </c>
      <c r="C102" s="179"/>
      <c r="D102" s="174">
        <v>0.13</v>
      </c>
      <c r="E102" s="174">
        <v>0.11</v>
      </c>
      <c r="F102" s="174">
        <v>0.09</v>
      </c>
      <c r="G102" s="174">
        <v>0.08</v>
      </c>
      <c r="H102" s="174">
        <v>7.0000000000000007E-2</v>
      </c>
      <c r="I102" s="174">
        <v>7.0000000000000007E-2</v>
      </c>
      <c r="J102" s="174">
        <v>0.06</v>
      </c>
      <c r="K102" s="174">
        <v>0.03</v>
      </c>
      <c r="L102" s="174">
        <v>0.03</v>
      </c>
      <c r="M102" s="174">
        <v>0.02</v>
      </c>
      <c r="N102" s="174">
        <v>0.02</v>
      </c>
      <c r="O102" s="174">
        <v>0.02</v>
      </c>
      <c r="P102" s="227"/>
      <c r="R102" s="227"/>
    </row>
    <row r="103" spans="2:18">
      <c r="B103" s="178" t="s">
        <v>151</v>
      </c>
      <c r="C103" s="179"/>
      <c r="D103" s="175">
        <v>0.03</v>
      </c>
      <c r="E103" s="175">
        <v>0.03</v>
      </c>
      <c r="F103" s="175">
        <v>0.02</v>
      </c>
      <c r="G103" s="175">
        <v>0.02</v>
      </c>
      <c r="H103" s="175">
        <v>0.02</v>
      </c>
      <c r="I103" s="175">
        <v>0.02</v>
      </c>
      <c r="J103" s="175">
        <v>0.01</v>
      </c>
      <c r="K103" s="189" t="s">
        <v>9</v>
      </c>
      <c r="L103" s="189">
        <v>0.01</v>
      </c>
      <c r="M103" s="189">
        <v>0.01</v>
      </c>
      <c r="N103" s="189" t="s">
        <v>9</v>
      </c>
      <c r="O103" s="189" t="s">
        <v>9</v>
      </c>
      <c r="P103" s="235"/>
      <c r="R103" s="235"/>
    </row>
    <row r="104" spans="2:18" s="228" customFormat="1">
      <c r="B104" s="179"/>
      <c r="C104" s="178" t="s">
        <v>152</v>
      </c>
      <c r="D104" s="170">
        <v>0.66</v>
      </c>
      <c r="E104" s="170">
        <v>0.67</v>
      </c>
      <c r="F104" s="170">
        <v>0.66</v>
      </c>
      <c r="G104" s="170">
        <v>0.68</v>
      </c>
      <c r="H104" s="170">
        <v>0.68</v>
      </c>
      <c r="I104" s="170">
        <v>0.68</v>
      </c>
      <c r="J104" s="170">
        <v>0.68</v>
      </c>
      <c r="K104" s="170">
        <v>0.65</v>
      </c>
      <c r="L104" s="170">
        <v>0.64</v>
      </c>
      <c r="M104" s="170">
        <v>0.62</v>
      </c>
      <c r="N104" s="170">
        <v>0.61</v>
      </c>
      <c r="O104" s="170">
        <v>0.61</v>
      </c>
      <c r="P104" s="227"/>
      <c r="R104" s="227"/>
    </row>
    <row r="105" spans="2:18" s="228" customFormat="1">
      <c r="B105" s="178" t="s">
        <v>153</v>
      </c>
      <c r="C105" s="179"/>
      <c r="D105" s="174">
        <v>0.05</v>
      </c>
      <c r="E105" s="174">
        <v>0.05</v>
      </c>
      <c r="F105" s="174">
        <v>0.06</v>
      </c>
      <c r="G105" s="174">
        <v>0.06</v>
      </c>
      <c r="H105" s="174">
        <v>0.06</v>
      </c>
      <c r="I105" s="174">
        <v>0.06</v>
      </c>
      <c r="J105" s="174">
        <v>0.06</v>
      </c>
      <c r="K105" s="174">
        <v>7.0000000000000007E-2</v>
      </c>
      <c r="L105" s="174">
        <v>7.0000000000000007E-2</v>
      </c>
      <c r="M105" s="174">
        <v>7.0000000000000007E-2</v>
      </c>
      <c r="N105" s="174">
        <v>0.08</v>
      </c>
      <c r="O105" s="174">
        <v>0.09</v>
      </c>
      <c r="P105" s="227"/>
      <c r="R105" s="227"/>
    </row>
    <row r="106" spans="2:18" s="228" customFormat="1">
      <c r="B106" s="244" t="s">
        <v>191</v>
      </c>
      <c r="C106" s="179"/>
      <c r="D106" s="174">
        <v>0.03</v>
      </c>
      <c r="E106" s="174">
        <v>0.03</v>
      </c>
      <c r="F106" s="174">
        <v>0.02</v>
      </c>
      <c r="G106" s="174">
        <v>0.02</v>
      </c>
      <c r="H106" s="174">
        <v>0.02</v>
      </c>
      <c r="I106" s="174">
        <v>0.02</v>
      </c>
      <c r="J106" s="174">
        <v>0.02</v>
      </c>
      <c r="K106" s="174">
        <v>0.01</v>
      </c>
      <c r="L106" s="174">
        <v>0.01</v>
      </c>
      <c r="M106" s="174">
        <v>0.01</v>
      </c>
      <c r="N106" s="174">
        <v>0.01</v>
      </c>
      <c r="O106" s="174">
        <v>0.02</v>
      </c>
      <c r="P106" s="227"/>
      <c r="R106" s="227"/>
    </row>
    <row r="107" spans="2:18">
      <c r="B107" s="244" t="s">
        <v>192</v>
      </c>
      <c r="C107" s="179"/>
      <c r="D107" s="175">
        <v>0.03</v>
      </c>
      <c r="E107" s="175">
        <v>0.03</v>
      </c>
      <c r="F107" s="175">
        <v>0.03</v>
      </c>
      <c r="G107" s="175">
        <v>0.02</v>
      </c>
      <c r="H107" s="175">
        <v>0.02</v>
      </c>
      <c r="I107" s="175">
        <v>0.02</v>
      </c>
      <c r="J107" s="175">
        <v>0.02</v>
      </c>
      <c r="K107" s="175">
        <v>0.01</v>
      </c>
      <c r="L107" s="175">
        <v>0.01</v>
      </c>
      <c r="M107" s="175">
        <v>0.01</v>
      </c>
      <c r="N107" s="175">
        <v>0.01</v>
      </c>
      <c r="O107" s="175">
        <v>0.01</v>
      </c>
      <c r="P107" s="235"/>
      <c r="R107" s="235"/>
    </row>
    <row r="108" spans="2:18" s="228" customFormat="1">
      <c r="B108" s="179"/>
      <c r="C108" s="178" t="s">
        <v>154</v>
      </c>
      <c r="D108" s="170">
        <v>0.11</v>
      </c>
      <c r="E108" s="170">
        <v>0.11</v>
      </c>
      <c r="F108" s="170">
        <v>0.11</v>
      </c>
      <c r="G108" s="170">
        <v>0.1</v>
      </c>
      <c r="H108" s="170">
        <v>0.1</v>
      </c>
      <c r="I108" s="170">
        <v>0.1</v>
      </c>
      <c r="J108" s="170">
        <v>0.1</v>
      </c>
      <c r="K108" s="170">
        <v>0.09</v>
      </c>
      <c r="L108" s="170">
        <v>0.09</v>
      </c>
      <c r="M108" s="170">
        <v>0.09</v>
      </c>
      <c r="N108" s="170">
        <v>0.1</v>
      </c>
      <c r="O108" s="170">
        <v>0.12</v>
      </c>
      <c r="P108" s="227"/>
      <c r="R108" s="227"/>
    </row>
    <row r="109" spans="2:18" s="228" customFormat="1">
      <c r="B109" s="178" t="s">
        <v>155</v>
      </c>
      <c r="C109" s="179"/>
      <c r="D109" s="170">
        <v>0.19</v>
      </c>
      <c r="E109" s="170">
        <v>0.18</v>
      </c>
      <c r="F109" s="170">
        <v>0.19</v>
      </c>
      <c r="G109" s="170">
        <v>0.18</v>
      </c>
      <c r="H109" s="170">
        <v>0.18</v>
      </c>
      <c r="I109" s="170">
        <v>0.19</v>
      </c>
      <c r="J109" s="170">
        <v>0.19</v>
      </c>
      <c r="K109" s="170">
        <v>0.23</v>
      </c>
      <c r="L109" s="170">
        <v>0.24</v>
      </c>
      <c r="M109" s="170">
        <v>0.26</v>
      </c>
      <c r="N109" s="170">
        <v>0.26</v>
      </c>
      <c r="O109" s="170">
        <v>0.24</v>
      </c>
      <c r="P109" s="227"/>
      <c r="R109" s="227"/>
    </row>
    <row r="110" spans="2:18">
      <c r="B110" s="178" t="s">
        <v>156</v>
      </c>
      <c r="C110" s="179"/>
      <c r="D110" s="171">
        <v>0.04</v>
      </c>
      <c r="E110" s="171">
        <v>0.04</v>
      </c>
      <c r="F110" s="171">
        <v>0.04</v>
      </c>
      <c r="G110" s="171">
        <v>0.04</v>
      </c>
      <c r="H110" s="171">
        <v>0.04</v>
      </c>
      <c r="I110" s="171">
        <v>0.03</v>
      </c>
      <c r="J110" s="171">
        <v>0.03</v>
      </c>
      <c r="K110" s="171">
        <v>0.03</v>
      </c>
      <c r="L110" s="171">
        <v>0.03</v>
      </c>
      <c r="M110" s="171">
        <v>0.03</v>
      </c>
      <c r="N110" s="171">
        <v>0.03</v>
      </c>
      <c r="O110" s="171">
        <v>0.03</v>
      </c>
      <c r="P110" s="235"/>
      <c r="R110" s="235"/>
    </row>
    <row r="111" spans="2:18" ht="15">
      <c r="B111" s="177"/>
      <c r="C111" s="180" t="s">
        <v>171</v>
      </c>
      <c r="D111" s="172">
        <v>1</v>
      </c>
      <c r="E111" s="172">
        <v>1</v>
      </c>
      <c r="F111" s="172">
        <v>1</v>
      </c>
      <c r="G111" s="172">
        <v>1</v>
      </c>
      <c r="H111" s="172">
        <v>1</v>
      </c>
      <c r="I111" s="172">
        <v>1</v>
      </c>
      <c r="J111" s="172">
        <v>1</v>
      </c>
      <c r="K111" s="172">
        <v>1</v>
      </c>
      <c r="L111" s="172">
        <v>1</v>
      </c>
      <c r="M111" s="172">
        <v>1</v>
      </c>
      <c r="N111" s="172">
        <v>1</v>
      </c>
      <c r="O111" s="172">
        <v>1</v>
      </c>
      <c r="P111" s="235"/>
      <c r="R111" s="235"/>
    </row>
  </sheetData>
  <mergeCells count="3">
    <mergeCell ref="A1:O1"/>
    <mergeCell ref="A2:O2"/>
    <mergeCell ref="A3:O3"/>
  </mergeCells>
  <phoneticPr fontId="15" type="noConversion"/>
  <pageMargins left="0.7" right="0.7" top="0.75" bottom="0.75" header="0.3" footer="0.3"/>
  <pageSetup scale="59" fitToHeight="2" orientation="landscape" r:id="rId1"/>
  <headerFooter alignWithMargins="0">
    <oddFooter>&amp;LElectronic Arts Inc.&amp;C&amp;D&amp;R&amp;P of &amp;N</oddFooter>
  </headerFooter>
  <rowBreaks count="1" manualBreakCount="1">
    <brk id="51" max="1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AN46"/>
  <sheetViews>
    <sheetView zoomScaleNormal="100" workbookViewId="0">
      <pane xSplit="2" ySplit="6" topLeftCell="H37" activePane="bottomRight" state="frozen"/>
      <selection activeCell="H54" sqref="H54"/>
      <selection pane="topRight" activeCell="H54" sqref="H54"/>
      <selection pane="bottomLeft" activeCell="H54" sqref="H54"/>
      <selection pane="bottomRight" activeCell="H54" sqref="H54"/>
    </sheetView>
  </sheetViews>
  <sheetFormatPr defaultRowHeight="12.75"/>
  <cols>
    <col min="1" max="1" width="6.5703125" style="228" customWidth="1"/>
    <col min="2" max="2" width="70.7109375" style="228" customWidth="1"/>
    <col min="3" max="14" width="10.7109375" style="231" customWidth="1"/>
    <col min="15" max="16384" width="9.140625" style="228"/>
  </cols>
  <sheetData>
    <row r="1" spans="1:40" s="48" customFormat="1" ht="15" collapsed="1">
      <c r="A1" s="371" t="s">
        <v>100</v>
      </c>
      <c r="B1" s="374"/>
      <c r="C1" s="374"/>
      <c r="D1" s="374"/>
      <c r="E1" s="374"/>
      <c r="F1" s="374"/>
      <c r="G1" s="374"/>
      <c r="H1" s="374"/>
      <c r="I1" s="374"/>
      <c r="J1" s="374"/>
      <c r="K1" s="374"/>
      <c r="L1" s="374"/>
      <c r="M1" s="374"/>
      <c r="N1" s="374"/>
      <c r="O1" s="23"/>
      <c r="P1" s="23"/>
      <c r="Q1" s="23"/>
      <c r="R1" s="23"/>
      <c r="S1" s="23"/>
      <c r="T1" s="23"/>
      <c r="U1" s="23"/>
      <c r="V1" s="23"/>
      <c r="W1" s="23"/>
      <c r="X1" s="23"/>
      <c r="Y1" s="23"/>
      <c r="Z1" s="23"/>
      <c r="AA1" s="23"/>
      <c r="AB1" s="23"/>
      <c r="AC1" s="23"/>
      <c r="AD1" s="23"/>
      <c r="AE1" s="23"/>
      <c r="AF1" s="23"/>
      <c r="AG1" s="23"/>
      <c r="AH1" s="23"/>
      <c r="AI1" s="23"/>
      <c r="AJ1" s="23"/>
      <c r="AK1" s="23"/>
      <c r="AL1" s="23"/>
      <c r="AM1" s="23"/>
      <c r="AN1" s="23"/>
    </row>
    <row r="2" spans="1:40" s="48" customFormat="1" ht="15">
      <c r="A2" s="371" t="s">
        <v>101</v>
      </c>
      <c r="B2" s="374"/>
      <c r="C2" s="374"/>
      <c r="D2" s="374"/>
      <c r="E2" s="374"/>
      <c r="F2" s="374"/>
      <c r="G2" s="374"/>
      <c r="H2" s="374"/>
      <c r="I2" s="374"/>
      <c r="J2" s="374"/>
      <c r="K2" s="374"/>
      <c r="L2" s="374"/>
      <c r="M2" s="374"/>
      <c r="N2" s="374"/>
      <c r="O2" s="23"/>
      <c r="P2" s="23"/>
      <c r="Q2" s="23"/>
      <c r="R2" s="23"/>
      <c r="S2" s="23"/>
      <c r="T2" s="23"/>
      <c r="U2" s="23"/>
      <c r="V2" s="23"/>
      <c r="W2" s="23"/>
      <c r="X2" s="23"/>
      <c r="Y2" s="23"/>
      <c r="Z2" s="23"/>
      <c r="AA2" s="23"/>
      <c r="AB2" s="23"/>
      <c r="AC2" s="23"/>
      <c r="AD2" s="23"/>
      <c r="AE2" s="23"/>
      <c r="AF2" s="23"/>
      <c r="AG2" s="23"/>
      <c r="AH2" s="23"/>
      <c r="AI2" s="23"/>
      <c r="AJ2" s="23"/>
      <c r="AK2" s="23"/>
      <c r="AL2" s="23"/>
      <c r="AM2" s="23"/>
      <c r="AN2" s="23"/>
    </row>
    <row r="3" spans="1:40" s="48" customFormat="1" ht="15">
      <c r="A3" s="371" t="s">
        <v>99</v>
      </c>
      <c r="B3" s="374"/>
      <c r="C3" s="374"/>
      <c r="D3" s="374"/>
      <c r="E3" s="374"/>
      <c r="F3" s="374"/>
      <c r="G3" s="374"/>
      <c r="H3" s="374"/>
      <c r="I3" s="374"/>
      <c r="J3" s="374"/>
      <c r="K3" s="374"/>
      <c r="L3" s="374"/>
      <c r="M3" s="374"/>
      <c r="N3" s="374"/>
      <c r="O3" s="23"/>
      <c r="P3" s="23"/>
      <c r="Q3" s="23"/>
      <c r="R3" s="23"/>
      <c r="S3" s="23"/>
      <c r="T3" s="23"/>
      <c r="U3" s="23"/>
      <c r="V3" s="23"/>
      <c r="W3" s="23"/>
      <c r="X3" s="23"/>
      <c r="Y3" s="23"/>
      <c r="Z3" s="23"/>
      <c r="AA3" s="23"/>
      <c r="AB3" s="23"/>
      <c r="AC3" s="23"/>
      <c r="AD3" s="23"/>
      <c r="AE3" s="23"/>
      <c r="AF3" s="23"/>
      <c r="AG3" s="23"/>
      <c r="AH3" s="23"/>
      <c r="AI3" s="23"/>
      <c r="AJ3" s="23"/>
      <c r="AK3" s="23"/>
      <c r="AL3" s="23"/>
      <c r="AM3" s="23"/>
      <c r="AN3" s="23"/>
    </row>
    <row r="4" spans="1:40" s="135" customFormat="1">
      <c r="A4" s="151"/>
      <c r="B4" s="152"/>
      <c r="C4" s="153"/>
      <c r="D4" s="153"/>
      <c r="E4" s="153"/>
      <c r="F4" s="153"/>
      <c r="G4" s="153"/>
      <c r="H4" s="153"/>
      <c r="I4" s="153"/>
      <c r="J4" s="153"/>
      <c r="K4" s="153"/>
      <c r="L4" s="153"/>
      <c r="M4" s="153"/>
      <c r="N4" s="153"/>
    </row>
    <row r="5" spans="1:40" s="135" customFormat="1">
      <c r="B5" s="136"/>
      <c r="C5" s="24" t="s">
        <v>18</v>
      </c>
      <c r="D5" s="24" t="s">
        <v>15</v>
      </c>
      <c r="E5" s="24" t="s">
        <v>16</v>
      </c>
      <c r="F5" s="24" t="s">
        <v>17</v>
      </c>
      <c r="G5" s="24" t="s">
        <v>18</v>
      </c>
      <c r="H5" s="24" t="s">
        <v>15</v>
      </c>
      <c r="I5" s="24" t="s">
        <v>16</v>
      </c>
      <c r="J5" s="24" t="s">
        <v>17</v>
      </c>
      <c r="K5" s="24" t="s">
        <v>18</v>
      </c>
      <c r="L5" s="24" t="s">
        <v>15</v>
      </c>
      <c r="M5" s="24" t="s">
        <v>16</v>
      </c>
      <c r="N5" s="24" t="s">
        <v>17</v>
      </c>
    </row>
    <row r="6" spans="1:40" s="135" customFormat="1" ht="15.75">
      <c r="A6" s="137" t="s">
        <v>24</v>
      </c>
      <c r="B6" s="137"/>
      <c r="C6" s="42" t="s">
        <v>26</v>
      </c>
      <c r="D6" s="42" t="s">
        <v>25</v>
      </c>
      <c r="E6" s="42" t="s">
        <v>25</v>
      </c>
      <c r="F6" s="42" t="s">
        <v>25</v>
      </c>
      <c r="G6" s="42" t="s">
        <v>25</v>
      </c>
      <c r="H6" s="42" t="s">
        <v>174</v>
      </c>
      <c r="I6" s="42" t="s">
        <v>174</v>
      </c>
      <c r="J6" s="243" t="s">
        <v>174</v>
      </c>
      <c r="K6" s="326" t="s">
        <v>174</v>
      </c>
      <c r="L6" s="332" t="s">
        <v>199</v>
      </c>
      <c r="M6" s="338" t="s">
        <v>199</v>
      </c>
      <c r="N6" s="42" t="s">
        <v>199</v>
      </c>
    </row>
    <row r="7" spans="1:40" ht="15.75">
      <c r="A7" s="135"/>
      <c r="B7" s="138"/>
      <c r="C7" s="139"/>
      <c r="D7" s="139"/>
      <c r="E7" s="139"/>
      <c r="F7" s="139"/>
      <c r="G7" s="139"/>
      <c r="H7" s="139"/>
      <c r="I7" s="139"/>
      <c r="J7" s="139"/>
      <c r="K7" s="139"/>
      <c r="L7" s="139"/>
      <c r="M7" s="139"/>
      <c r="N7" s="139"/>
    </row>
    <row r="8" spans="1:40" ht="15.75">
      <c r="B8" s="140" t="s">
        <v>44</v>
      </c>
      <c r="C8" s="139"/>
      <c r="D8" s="139"/>
      <c r="E8" s="139"/>
      <c r="F8" s="139"/>
      <c r="G8" s="139"/>
      <c r="H8" s="139"/>
      <c r="I8" s="139"/>
      <c r="J8" s="139"/>
      <c r="K8" s="139"/>
      <c r="L8" s="139"/>
      <c r="M8" s="139"/>
      <c r="N8" s="139"/>
    </row>
    <row r="9" spans="1:40" ht="15">
      <c r="B9" s="140" t="s">
        <v>45</v>
      </c>
      <c r="C9" s="141">
        <v>1273</v>
      </c>
      <c r="D9" s="141">
        <v>1057</v>
      </c>
      <c r="E9" s="141">
        <v>1056</v>
      </c>
      <c r="F9" s="141">
        <v>1353</v>
      </c>
      <c r="G9" s="141">
        <v>1579</v>
      </c>
      <c r="H9" s="141">
        <v>1173</v>
      </c>
      <c r="I9" s="141">
        <v>930</v>
      </c>
      <c r="J9" s="141">
        <v>1242</v>
      </c>
      <c r="K9" s="141">
        <v>1293</v>
      </c>
      <c r="L9" s="141">
        <v>919</v>
      </c>
      <c r="M9" s="141">
        <v>871</v>
      </c>
      <c r="N9" s="141">
        <v>1158</v>
      </c>
    </row>
    <row r="10" spans="1:40" ht="15">
      <c r="B10" s="140" t="s">
        <v>46</v>
      </c>
      <c r="C10" s="143">
        <v>432</v>
      </c>
      <c r="D10" s="143">
        <v>480</v>
      </c>
      <c r="E10" s="143">
        <v>495</v>
      </c>
      <c r="F10" s="143">
        <v>511</v>
      </c>
      <c r="G10" s="143">
        <v>497</v>
      </c>
      <c r="H10" s="143">
        <v>503</v>
      </c>
      <c r="I10" s="143">
        <v>355</v>
      </c>
      <c r="J10" s="143">
        <v>406</v>
      </c>
      <c r="K10" s="143">
        <v>437</v>
      </c>
      <c r="L10" s="143">
        <v>444</v>
      </c>
      <c r="M10" s="143">
        <v>351</v>
      </c>
      <c r="N10" s="143">
        <v>275</v>
      </c>
    </row>
    <row r="11" spans="1:40" ht="15">
      <c r="B11" s="140" t="s">
        <v>47</v>
      </c>
      <c r="C11" s="143">
        <v>291</v>
      </c>
      <c r="D11" s="143">
        <v>193</v>
      </c>
      <c r="E11" s="143">
        <v>106</v>
      </c>
      <c r="F11" s="143">
        <v>107</v>
      </c>
      <c r="G11" s="143">
        <v>161</v>
      </c>
      <c r="H11" s="143">
        <v>172</v>
      </c>
      <c r="I11" s="143">
        <v>214</v>
      </c>
      <c r="J11" s="143">
        <v>143</v>
      </c>
      <c r="K11" s="143">
        <v>119</v>
      </c>
      <c r="L11" s="143">
        <v>76</v>
      </c>
      <c r="M11" s="143">
        <v>93</v>
      </c>
      <c r="N11" s="143">
        <v>59</v>
      </c>
    </row>
    <row r="12" spans="1:40" ht="15">
      <c r="B12" s="140" t="s">
        <v>48</v>
      </c>
      <c r="C12" s="143">
        <v>206</v>
      </c>
      <c r="D12" s="143">
        <v>103</v>
      </c>
      <c r="E12" s="143">
        <v>444</v>
      </c>
      <c r="F12" s="143">
        <v>390</v>
      </c>
      <c r="G12" s="143">
        <v>335</v>
      </c>
      <c r="H12" s="143">
        <v>30</v>
      </c>
      <c r="I12" s="143">
        <v>562</v>
      </c>
      <c r="J12" s="143">
        <v>526</v>
      </c>
      <c r="K12" s="143">
        <v>366</v>
      </c>
      <c r="L12" s="143">
        <v>111</v>
      </c>
      <c r="M12" s="143">
        <v>643</v>
      </c>
      <c r="N12" s="143">
        <v>382</v>
      </c>
    </row>
    <row r="13" spans="1:40" ht="15">
      <c r="B13" s="140" t="s">
        <v>49</v>
      </c>
      <c r="C13" s="143">
        <v>100</v>
      </c>
      <c r="D13" s="143">
        <v>82</v>
      </c>
      <c r="E13" s="143">
        <v>155</v>
      </c>
      <c r="F13" s="143">
        <v>105</v>
      </c>
      <c r="G13" s="143">
        <v>77</v>
      </c>
      <c r="H13" s="143">
        <v>75</v>
      </c>
      <c r="I13" s="143">
        <v>90</v>
      </c>
      <c r="J13" s="143">
        <v>69</v>
      </c>
      <c r="K13" s="143">
        <v>59</v>
      </c>
      <c r="L13" s="143">
        <v>60</v>
      </c>
      <c r="M13" s="143">
        <v>71</v>
      </c>
      <c r="N13" s="143">
        <v>59</v>
      </c>
    </row>
    <row r="14" spans="1:40" ht="15">
      <c r="B14" s="140" t="s">
        <v>50</v>
      </c>
      <c r="C14" s="143">
        <v>44</v>
      </c>
      <c r="D14" s="143">
        <v>43</v>
      </c>
      <c r="E14" s="143">
        <v>22</v>
      </c>
      <c r="F14" s="143">
        <v>22</v>
      </c>
      <c r="G14" s="143">
        <v>56</v>
      </c>
      <c r="H14" s="143">
        <v>58</v>
      </c>
      <c r="I14" s="143">
        <v>97</v>
      </c>
      <c r="J14" s="143">
        <v>92</v>
      </c>
      <c r="K14" s="143">
        <v>67</v>
      </c>
      <c r="L14" s="143">
        <v>68</v>
      </c>
      <c r="M14" s="143">
        <v>64</v>
      </c>
      <c r="N14" s="143">
        <v>67</v>
      </c>
    </row>
    <row r="15" spans="1:40" s="136" customFormat="1" ht="15">
      <c r="B15" s="140" t="s">
        <v>51</v>
      </c>
      <c r="C15" s="144">
        <v>239</v>
      </c>
      <c r="D15" s="144">
        <v>270</v>
      </c>
      <c r="E15" s="144">
        <v>207</v>
      </c>
      <c r="F15" s="144">
        <v>226</v>
      </c>
      <c r="G15" s="144">
        <v>327</v>
      </c>
      <c r="H15" s="144">
        <v>343</v>
      </c>
      <c r="I15" s="144">
        <v>320</v>
      </c>
      <c r="J15" s="144">
        <v>328</v>
      </c>
      <c r="K15" s="144">
        <v>268</v>
      </c>
      <c r="L15" s="144">
        <v>273</v>
      </c>
      <c r="M15" s="144">
        <v>239</v>
      </c>
      <c r="N15" s="144">
        <v>229</v>
      </c>
    </row>
    <row r="16" spans="1:40" ht="15.75">
      <c r="B16" s="137" t="s">
        <v>43</v>
      </c>
      <c r="C16" s="142">
        <v>2585</v>
      </c>
      <c r="D16" s="142">
        <v>2228</v>
      </c>
      <c r="E16" s="142">
        <v>2485</v>
      </c>
      <c r="F16" s="142">
        <v>2714</v>
      </c>
      <c r="G16" s="142">
        <v>3032</v>
      </c>
      <c r="H16" s="142">
        <v>2354</v>
      </c>
      <c r="I16" s="142">
        <v>2568</v>
      </c>
      <c r="J16" s="238">
        <v>2806</v>
      </c>
      <c r="K16" s="238">
        <v>2609</v>
      </c>
      <c r="L16" s="238">
        <v>1951</v>
      </c>
      <c r="M16" s="238">
        <v>2332</v>
      </c>
      <c r="N16" s="238">
        <v>2229</v>
      </c>
    </row>
    <row r="17" spans="1:14" ht="15">
      <c r="B17" s="140"/>
      <c r="C17" s="143"/>
      <c r="D17" s="143"/>
      <c r="E17" s="143"/>
      <c r="F17" s="143"/>
      <c r="G17" s="143"/>
      <c r="H17" s="143"/>
      <c r="I17" s="143"/>
      <c r="J17" s="143"/>
      <c r="K17" s="143"/>
      <c r="L17" s="143"/>
      <c r="M17" s="143"/>
      <c r="N17" s="143"/>
    </row>
    <row r="18" spans="1:14" ht="15">
      <c r="B18" s="140" t="s">
        <v>52</v>
      </c>
      <c r="C18" s="143">
        <v>537</v>
      </c>
      <c r="D18" s="143">
        <v>516</v>
      </c>
      <c r="E18" s="143">
        <v>510</v>
      </c>
      <c r="F18" s="143">
        <v>502</v>
      </c>
      <c r="G18" s="143">
        <v>513</v>
      </c>
      <c r="H18" s="143">
        <v>516</v>
      </c>
      <c r="I18" s="143">
        <v>532</v>
      </c>
      <c r="J18" s="143">
        <v>547</v>
      </c>
      <c r="K18" s="143">
        <v>568</v>
      </c>
      <c r="L18" s="143">
        <v>558</v>
      </c>
      <c r="M18" s="143">
        <v>561</v>
      </c>
      <c r="N18" s="143">
        <v>550</v>
      </c>
    </row>
    <row r="19" spans="1:14" s="136" customFormat="1" ht="15">
      <c r="B19" s="140" t="s">
        <v>27</v>
      </c>
      <c r="C19" s="143">
        <v>1093</v>
      </c>
      <c r="D19" s="143">
        <v>1090</v>
      </c>
      <c r="E19" s="143">
        <v>1094</v>
      </c>
      <c r="F19" s="143">
        <v>1107</v>
      </c>
      <c r="G19" s="143">
        <v>1110</v>
      </c>
      <c r="H19" s="143">
        <v>1132</v>
      </c>
      <c r="I19" s="143">
        <v>1700</v>
      </c>
      <c r="J19" s="143">
        <v>1716</v>
      </c>
      <c r="K19" s="143">
        <v>1718</v>
      </c>
      <c r="L19" s="143">
        <v>1716</v>
      </c>
      <c r="M19" s="143">
        <v>1723</v>
      </c>
      <c r="N19" s="143">
        <v>1724</v>
      </c>
    </row>
    <row r="20" spans="1:14" s="136" customFormat="1" ht="15">
      <c r="B20" s="140" t="s">
        <v>53</v>
      </c>
      <c r="C20" s="143">
        <v>204</v>
      </c>
      <c r="D20" s="143">
        <v>185</v>
      </c>
      <c r="E20" s="143">
        <v>168</v>
      </c>
      <c r="F20" s="143">
        <v>160</v>
      </c>
      <c r="G20" s="143">
        <v>144</v>
      </c>
      <c r="H20" s="143">
        <v>134</v>
      </c>
      <c r="I20" s="143">
        <v>416</v>
      </c>
      <c r="J20" s="143">
        <v>402</v>
      </c>
      <c r="K20" s="143">
        <v>369</v>
      </c>
      <c r="L20" s="143">
        <v>347</v>
      </c>
      <c r="M20" s="143">
        <v>334</v>
      </c>
      <c r="N20" s="143">
        <v>304</v>
      </c>
    </row>
    <row r="21" spans="1:14" s="136" customFormat="1" ht="15">
      <c r="B21" s="140" t="s">
        <v>42</v>
      </c>
      <c r="C21" s="143">
        <v>52</v>
      </c>
      <c r="D21" s="143">
        <v>49</v>
      </c>
      <c r="E21" s="143">
        <v>48</v>
      </c>
      <c r="F21" s="143">
        <v>44</v>
      </c>
      <c r="G21" s="143">
        <v>49</v>
      </c>
      <c r="H21" s="143">
        <v>49</v>
      </c>
      <c r="I21" s="143">
        <v>45</v>
      </c>
      <c r="J21" s="143">
        <v>44</v>
      </c>
      <c r="K21" s="143">
        <v>42</v>
      </c>
      <c r="L21" s="143">
        <v>44</v>
      </c>
      <c r="M21" s="143">
        <v>49</v>
      </c>
      <c r="N21" s="143">
        <v>47</v>
      </c>
    </row>
    <row r="22" spans="1:14" ht="15">
      <c r="B22" s="140" t="s">
        <v>28</v>
      </c>
      <c r="C22" s="144">
        <v>175</v>
      </c>
      <c r="D22" s="144">
        <v>177</v>
      </c>
      <c r="E22" s="144">
        <v>189</v>
      </c>
      <c r="F22" s="144">
        <v>200</v>
      </c>
      <c r="G22" s="144">
        <v>80</v>
      </c>
      <c r="H22" s="144">
        <v>170</v>
      </c>
      <c r="I22" s="144">
        <v>174</v>
      </c>
      <c r="J22" s="144">
        <v>181</v>
      </c>
      <c r="K22" s="144">
        <v>185</v>
      </c>
      <c r="L22" s="144">
        <v>209</v>
      </c>
      <c r="M22" s="144">
        <v>192</v>
      </c>
      <c r="N22" s="144">
        <v>185</v>
      </c>
    </row>
    <row r="23" spans="1:14" ht="16.5" thickBot="1">
      <c r="B23" s="137" t="s">
        <v>62</v>
      </c>
      <c r="C23" s="145">
        <v>4646</v>
      </c>
      <c r="D23" s="145">
        <v>4245</v>
      </c>
      <c r="E23" s="145">
        <v>4494</v>
      </c>
      <c r="F23" s="145">
        <v>4727</v>
      </c>
      <c r="G23" s="145">
        <v>4928</v>
      </c>
      <c r="H23" s="145">
        <v>4355</v>
      </c>
      <c r="I23" s="145">
        <v>5435</v>
      </c>
      <c r="J23" s="145">
        <v>5696</v>
      </c>
      <c r="K23" s="145">
        <v>5491</v>
      </c>
      <c r="L23" s="145">
        <v>4825</v>
      </c>
      <c r="M23" s="145">
        <v>5191</v>
      </c>
      <c r="N23" s="145">
        <v>5039</v>
      </c>
    </row>
    <row r="24" spans="1:14" ht="15.75">
      <c r="B24" s="137"/>
      <c r="C24" s="142"/>
      <c r="D24" s="142"/>
      <c r="E24" s="142"/>
      <c r="F24" s="142"/>
      <c r="G24" s="142"/>
      <c r="H24" s="142"/>
      <c r="I24" s="142"/>
      <c r="J24" s="142"/>
      <c r="K24" s="142"/>
      <c r="L24" s="142"/>
      <c r="M24" s="142"/>
      <c r="N24" s="142"/>
    </row>
    <row r="25" spans="1:14" ht="15.75">
      <c r="A25" s="137" t="s">
        <v>54</v>
      </c>
      <c r="B25" s="137"/>
      <c r="C25" s="143"/>
      <c r="D25" s="143"/>
      <c r="E25" s="143"/>
      <c r="F25" s="143"/>
      <c r="G25" s="143"/>
      <c r="H25" s="143"/>
      <c r="I25" s="143"/>
      <c r="J25" s="143"/>
      <c r="K25" s="143"/>
      <c r="L25" s="143"/>
      <c r="M25" s="143"/>
      <c r="N25" s="143"/>
    </row>
    <row r="26" spans="1:14" ht="15.75">
      <c r="B26" s="137"/>
      <c r="C26" s="143"/>
      <c r="D26" s="143"/>
      <c r="E26" s="143"/>
      <c r="F26" s="143"/>
      <c r="G26" s="143"/>
      <c r="H26" s="143"/>
      <c r="I26" s="143"/>
      <c r="J26" s="143"/>
      <c r="K26" s="143"/>
      <c r="L26" s="143"/>
      <c r="M26" s="143"/>
      <c r="N26" s="143"/>
    </row>
    <row r="27" spans="1:14" ht="15">
      <c r="B27" s="140" t="s">
        <v>55</v>
      </c>
      <c r="C27" s="143"/>
      <c r="D27" s="143"/>
      <c r="E27" s="143"/>
      <c r="F27" s="143"/>
      <c r="G27" s="143"/>
      <c r="H27" s="143"/>
      <c r="I27" s="143"/>
      <c r="J27" s="143"/>
      <c r="K27" s="143"/>
      <c r="L27" s="143"/>
      <c r="M27" s="143"/>
      <c r="N27" s="143"/>
    </row>
    <row r="28" spans="1:14" ht="15">
      <c r="B28" s="140" t="s">
        <v>66</v>
      </c>
      <c r="C28" s="141">
        <v>91</v>
      </c>
      <c r="D28" s="141">
        <v>55</v>
      </c>
      <c r="E28" s="141">
        <v>205</v>
      </c>
      <c r="F28" s="141">
        <v>162</v>
      </c>
      <c r="G28" s="141">
        <v>228</v>
      </c>
      <c r="H28" s="141">
        <v>91</v>
      </c>
      <c r="I28" s="141">
        <v>213</v>
      </c>
      <c r="J28" s="141">
        <v>112</v>
      </c>
      <c r="K28" s="141">
        <v>215</v>
      </c>
      <c r="L28" s="141">
        <v>50</v>
      </c>
      <c r="M28" s="141">
        <v>219</v>
      </c>
      <c r="N28" s="141">
        <v>93</v>
      </c>
    </row>
    <row r="29" spans="1:14" s="136" customFormat="1" ht="15">
      <c r="B29" s="140" t="s">
        <v>56</v>
      </c>
      <c r="C29" s="143">
        <v>717</v>
      </c>
      <c r="D29" s="143">
        <v>620</v>
      </c>
      <c r="E29" s="143">
        <v>620</v>
      </c>
      <c r="F29" s="143">
        <v>746</v>
      </c>
      <c r="G29" s="143">
        <v>768</v>
      </c>
      <c r="H29" s="143">
        <v>604</v>
      </c>
      <c r="I29" s="143">
        <v>792</v>
      </c>
      <c r="J29" s="143">
        <v>846</v>
      </c>
      <c r="K29" s="143">
        <v>857</v>
      </c>
      <c r="L29" s="143">
        <v>702</v>
      </c>
      <c r="M29" s="143">
        <v>874</v>
      </c>
      <c r="N29" s="143">
        <v>840</v>
      </c>
    </row>
    <row r="30" spans="1:14" s="136" customFormat="1" ht="15">
      <c r="B30" s="140" t="s">
        <v>57</v>
      </c>
      <c r="C30" s="144">
        <v>766</v>
      </c>
      <c r="D30" s="144">
        <v>490</v>
      </c>
      <c r="E30" s="144">
        <v>743</v>
      </c>
      <c r="F30" s="144">
        <v>1100</v>
      </c>
      <c r="G30" s="144">
        <v>1005</v>
      </c>
      <c r="H30" s="144">
        <v>530</v>
      </c>
      <c r="I30" s="144">
        <v>849</v>
      </c>
      <c r="J30" s="144">
        <v>1439</v>
      </c>
      <c r="K30" s="144">
        <v>1048</v>
      </c>
      <c r="L30" s="144">
        <v>584</v>
      </c>
      <c r="M30" s="144">
        <v>953</v>
      </c>
      <c r="N30" s="144">
        <v>1213</v>
      </c>
    </row>
    <row r="31" spans="1:14" ht="15.75">
      <c r="B31" s="137" t="s">
        <v>63</v>
      </c>
      <c r="C31" s="142">
        <v>1574</v>
      </c>
      <c r="D31" s="142">
        <v>1165</v>
      </c>
      <c r="E31" s="142">
        <v>1568</v>
      </c>
      <c r="F31" s="142">
        <v>2008</v>
      </c>
      <c r="G31" s="142">
        <v>2001</v>
      </c>
      <c r="H31" s="142">
        <v>1225</v>
      </c>
      <c r="I31" s="142">
        <v>1854</v>
      </c>
      <c r="J31" s="238">
        <v>2397</v>
      </c>
      <c r="K31" s="238">
        <v>2120</v>
      </c>
      <c r="L31" s="238">
        <v>1336</v>
      </c>
      <c r="M31" s="238">
        <v>2046</v>
      </c>
      <c r="N31" s="238">
        <v>2146</v>
      </c>
    </row>
    <row r="32" spans="1:14" ht="15">
      <c r="B32" s="140"/>
      <c r="C32" s="143"/>
      <c r="D32" s="143"/>
      <c r="E32" s="143"/>
      <c r="F32" s="143"/>
      <c r="G32" s="143"/>
      <c r="H32" s="143"/>
      <c r="I32" s="143"/>
      <c r="J32" s="143"/>
      <c r="K32" s="143"/>
      <c r="L32" s="143"/>
      <c r="M32" s="143"/>
      <c r="N32" s="143"/>
    </row>
    <row r="33" spans="2:14" ht="15">
      <c r="B33" s="216" t="s">
        <v>181</v>
      </c>
      <c r="C33" s="224" t="s">
        <v>9</v>
      </c>
      <c r="D33" s="224" t="s">
        <v>9</v>
      </c>
      <c r="E33" s="224" t="s">
        <v>9</v>
      </c>
      <c r="F33" s="224" t="s">
        <v>9</v>
      </c>
      <c r="G33" s="224" t="s">
        <v>9</v>
      </c>
      <c r="H33" s="224" t="s">
        <v>9</v>
      </c>
      <c r="I33" s="224">
        <v>529</v>
      </c>
      <c r="J33" s="143">
        <v>534</v>
      </c>
      <c r="K33" s="143">
        <v>539</v>
      </c>
      <c r="L33" s="143">
        <v>544</v>
      </c>
      <c r="M33" s="143">
        <v>549</v>
      </c>
      <c r="N33" s="143">
        <v>554</v>
      </c>
    </row>
    <row r="34" spans="2:14" s="136" customFormat="1" ht="15">
      <c r="B34" s="140" t="s">
        <v>58</v>
      </c>
      <c r="C34" s="143">
        <v>242</v>
      </c>
      <c r="D34" s="143">
        <v>229</v>
      </c>
      <c r="E34" s="143">
        <v>179</v>
      </c>
      <c r="F34" s="143">
        <v>184</v>
      </c>
      <c r="G34" s="143">
        <v>192</v>
      </c>
      <c r="H34" s="143">
        <v>192</v>
      </c>
      <c r="I34" s="143">
        <v>187</v>
      </c>
      <c r="J34" s="143">
        <v>183</v>
      </c>
      <c r="K34" s="143">
        <v>189</v>
      </c>
      <c r="L34" s="143">
        <v>198</v>
      </c>
      <c r="M34" s="143">
        <v>209</v>
      </c>
      <c r="N34" s="143">
        <v>211</v>
      </c>
    </row>
    <row r="35" spans="2:14" s="136" customFormat="1" ht="15">
      <c r="B35" s="140" t="s">
        <v>42</v>
      </c>
      <c r="C35" s="143">
        <v>2</v>
      </c>
      <c r="D35" s="143">
        <v>2</v>
      </c>
      <c r="E35" s="143">
        <v>2</v>
      </c>
      <c r="F35" s="143">
        <v>4</v>
      </c>
      <c r="G35" s="143">
        <v>37</v>
      </c>
      <c r="H35" s="143">
        <v>42</v>
      </c>
      <c r="I35" s="143">
        <v>84</v>
      </c>
      <c r="J35" s="143">
        <v>82</v>
      </c>
      <c r="K35" s="143">
        <v>8</v>
      </c>
      <c r="L35" s="143">
        <v>2</v>
      </c>
      <c r="M35" s="143">
        <v>2</v>
      </c>
      <c r="N35" s="143">
        <v>2</v>
      </c>
    </row>
    <row r="36" spans="2:14" ht="15">
      <c r="B36" s="140" t="s">
        <v>29</v>
      </c>
      <c r="C36" s="144">
        <v>99</v>
      </c>
      <c r="D36" s="144">
        <v>97</v>
      </c>
      <c r="E36" s="144">
        <v>107</v>
      </c>
      <c r="F36" s="144">
        <v>173</v>
      </c>
      <c r="G36" s="144">
        <v>134</v>
      </c>
      <c r="H36" s="144">
        <v>146</v>
      </c>
      <c r="I36" s="144">
        <v>241</v>
      </c>
      <c r="J36" s="144">
        <v>235</v>
      </c>
      <c r="K36" s="144">
        <v>177</v>
      </c>
      <c r="L36" s="144">
        <v>193</v>
      </c>
      <c r="M36" s="144">
        <v>231</v>
      </c>
      <c r="N36" s="144">
        <v>168</v>
      </c>
    </row>
    <row r="37" spans="2:14" ht="15.75">
      <c r="B37" s="137" t="s">
        <v>59</v>
      </c>
      <c r="C37" s="142">
        <v>1917</v>
      </c>
      <c r="D37" s="142">
        <v>1493</v>
      </c>
      <c r="E37" s="142">
        <v>1856</v>
      </c>
      <c r="F37" s="142">
        <v>2369</v>
      </c>
      <c r="G37" s="142">
        <v>2364</v>
      </c>
      <c r="H37" s="142">
        <v>1605</v>
      </c>
      <c r="I37" s="142">
        <v>2895</v>
      </c>
      <c r="J37" s="238">
        <v>3431</v>
      </c>
      <c r="K37" s="238">
        <v>3033</v>
      </c>
      <c r="L37" s="238">
        <v>2273</v>
      </c>
      <c r="M37" s="238">
        <v>3037</v>
      </c>
      <c r="N37" s="238">
        <v>3081</v>
      </c>
    </row>
    <row r="38" spans="2:14" ht="15">
      <c r="B38" s="140"/>
      <c r="C38" s="143"/>
      <c r="D38" s="143"/>
      <c r="E38" s="143"/>
      <c r="F38" s="143"/>
      <c r="G38" s="143"/>
      <c r="H38" s="143"/>
      <c r="I38" s="143"/>
      <c r="J38" s="143"/>
      <c r="K38" s="143"/>
      <c r="L38" s="143"/>
      <c r="M38" s="143"/>
      <c r="N38" s="143"/>
    </row>
    <row r="39" spans="2:14" ht="15">
      <c r="B39" s="140" t="s">
        <v>60</v>
      </c>
      <c r="C39" s="143">
        <v>3</v>
      </c>
      <c r="D39" s="143">
        <v>3</v>
      </c>
      <c r="E39" s="143">
        <v>3</v>
      </c>
      <c r="F39" s="143">
        <v>3</v>
      </c>
      <c r="G39" s="143">
        <v>3</v>
      </c>
      <c r="H39" s="143">
        <v>3</v>
      </c>
      <c r="I39" s="143">
        <v>3</v>
      </c>
      <c r="J39" s="143">
        <v>3</v>
      </c>
      <c r="K39" s="143">
        <v>3</v>
      </c>
      <c r="L39" s="143">
        <v>3</v>
      </c>
      <c r="M39" s="143">
        <v>3</v>
      </c>
      <c r="N39" s="143">
        <v>3</v>
      </c>
    </row>
    <row r="40" spans="2:14" ht="15">
      <c r="B40" s="140" t="s">
        <v>61</v>
      </c>
      <c r="C40" s="143">
        <v>2375</v>
      </c>
      <c r="D40" s="143">
        <v>2417</v>
      </c>
      <c r="E40" s="143">
        <v>2473</v>
      </c>
      <c r="F40" s="143">
        <v>2504</v>
      </c>
      <c r="G40" s="143">
        <v>2495</v>
      </c>
      <c r="H40" s="143">
        <v>2439</v>
      </c>
      <c r="I40" s="143">
        <v>2551</v>
      </c>
      <c r="J40" s="143">
        <v>2549</v>
      </c>
      <c r="K40" s="143">
        <v>2359</v>
      </c>
      <c r="L40" s="143">
        <v>2310</v>
      </c>
      <c r="M40" s="143">
        <v>2259</v>
      </c>
      <c r="N40" s="143">
        <v>2138</v>
      </c>
    </row>
    <row r="41" spans="2:14" ht="15">
      <c r="B41" s="140" t="s">
        <v>143</v>
      </c>
      <c r="C41" s="143">
        <v>123</v>
      </c>
      <c r="D41" s="143">
        <v>219</v>
      </c>
      <c r="E41" s="143">
        <v>18</v>
      </c>
      <c r="F41" s="143">
        <v>-304</v>
      </c>
      <c r="G41" s="143">
        <v>-153</v>
      </c>
      <c r="H41" s="143">
        <v>68</v>
      </c>
      <c r="I41" s="143">
        <v>-272</v>
      </c>
      <c r="J41" s="143">
        <v>-477</v>
      </c>
      <c r="K41" s="143">
        <v>-77</v>
      </c>
      <c r="L41" s="143">
        <v>124</v>
      </c>
      <c r="M41" s="143">
        <v>-257</v>
      </c>
      <c r="N41" s="143">
        <v>-302</v>
      </c>
    </row>
    <row r="42" spans="2:14" ht="15">
      <c r="B42" s="140" t="s">
        <v>30</v>
      </c>
      <c r="C42" s="143">
        <v>228</v>
      </c>
      <c r="D42" s="143">
        <v>113</v>
      </c>
      <c r="E42" s="143">
        <v>144</v>
      </c>
      <c r="F42" s="143">
        <v>155</v>
      </c>
      <c r="G42" s="143">
        <v>219</v>
      </c>
      <c r="H42" s="143">
        <v>240</v>
      </c>
      <c r="I42" s="143">
        <v>258</v>
      </c>
      <c r="J42" s="143">
        <v>190</v>
      </c>
      <c r="K42" s="143">
        <v>173</v>
      </c>
      <c r="L42" s="143">
        <v>115</v>
      </c>
      <c r="M42" s="143">
        <v>149</v>
      </c>
      <c r="N42" s="143">
        <v>119</v>
      </c>
    </row>
    <row r="43" spans="2:14" ht="15.75">
      <c r="B43" s="137" t="s">
        <v>64</v>
      </c>
      <c r="C43" s="146">
        <v>2729</v>
      </c>
      <c r="D43" s="146">
        <v>2752</v>
      </c>
      <c r="E43" s="146">
        <v>2638</v>
      </c>
      <c r="F43" s="146">
        <v>2358</v>
      </c>
      <c r="G43" s="146">
        <v>2564</v>
      </c>
      <c r="H43" s="146">
        <v>2750</v>
      </c>
      <c r="I43" s="146">
        <v>2540</v>
      </c>
      <c r="J43" s="146">
        <v>2265</v>
      </c>
      <c r="K43" s="146">
        <v>2458</v>
      </c>
      <c r="L43" s="146">
        <v>2552</v>
      </c>
      <c r="M43" s="146">
        <v>2154</v>
      </c>
      <c r="N43" s="146">
        <v>1958</v>
      </c>
    </row>
    <row r="44" spans="2:14" ht="15.75">
      <c r="B44" s="137"/>
      <c r="C44" s="146"/>
      <c r="D44" s="146"/>
      <c r="E44" s="146"/>
      <c r="F44" s="146"/>
      <c r="G44" s="146"/>
      <c r="H44" s="146"/>
      <c r="I44" s="146"/>
      <c r="J44" s="146"/>
      <c r="K44" s="146"/>
      <c r="L44" s="146"/>
      <c r="M44" s="146"/>
      <c r="N44" s="146"/>
    </row>
    <row r="45" spans="2:14" ht="16.5" thickBot="1">
      <c r="B45" s="137" t="s">
        <v>65</v>
      </c>
      <c r="C45" s="145">
        <v>4646</v>
      </c>
      <c r="D45" s="145">
        <v>4245</v>
      </c>
      <c r="E45" s="145">
        <v>4494</v>
      </c>
      <c r="F45" s="145">
        <v>4727</v>
      </c>
      <c r="G45" s="145">
        <v>4928</v>
      </c>
      <c r="H45" s="145">
        <v>4355</v>
      </c>
      <c r="I45" s="145">
        <v>5435</v>
      </c>
      <c r="J45" s="145">
        <v>5696</v>
      </c>
      <c r="K45" s="145">
        <v>5491</v>
      </c>
      <c r="L45" s="145">
        <v>4825</v>
      </c>
      <c r="M45" s="145">
        <v>5191</v>
      </c>
      <c r="N45" s="145">
        <v>5039</v>
      </c>
    </row>
    <row r="46" spans="2:14" ht="15">
      <c r="B46" s="140"/>
      <c r="C46" s="147"/>
      <c r="D46" s="147"/>
      <c r="E46" s="147"/>
      <c r="F46" s="147"/>
      <c r="G46" s="147"/>
      <c r="H46" s="147"/>
      <c r="I46" s="147"/>
      <c r="J46" s="147"/>
      <c r="K46" s="147"/>
      <c r="L46" s="147"/>
      <c r="M46" s="147"/>
      <c r="N46" s="147"/>
    </row>
  </sheetData>
  <mergeCells count="3">
    <mergeCell ref="A1:N1"/>
    <mergeCell ref="A2:N2"/>
    <mergeCell ref="A3:N3"/>
  </mergeCells>
  <phoneticPr fontId="15" type="noConversion"/>
  <pageMargins left="0.7" right="0.7" top="0.75" bottom="0.75" header="0.3" footer="0.3"/>
  <pageSetup scale="59" orientation="landscape" r:id="rId1"/>
  <headerFooter>
    <oddFooter>&amp;LElectronic Arts Inc.&amp;C&amp;D&amp;R&amp;P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Q17"/>
  <sheetViews>
    <sheetView zoomScaleNormal="100" workbookViewId="0">
      <pane xSplit="4" ySplit="6" topLeftCell="E7" activePane="bottomRight" state="frozen"/>
      <selection activeCell="H54" sqref="H54"/>
      <selection pane="topRight" activeCell="H54" sqref="H54"/>
      <selection pane="bottomLeft" activeCell="H54" sqref="H54"/>
      <selection pane="bottomRight" activeCell="H54" sqref="H54"/>
    </sheetView>
  </sheetViews>
  <sheetFormatPr defaultColWidth="8.85546875" defaultRowHeight="15"/>
  <cols>
    <col min="1" max="3" width="8.85546875" style="150" customWidth="1"/>
    <col min="4" max="4" width="11.85546875" style="150" customWidth="1"/>
    <col min="5" max="16384" width="8.85546875" style="150"/>
  </cols>
  <sheetData>
    <row r="1" spans="1:17" s="23" customFormat="1" collapsed="1">
      <c r="A1" s="371" t="s">
        <v>100</v>
      </c>
      <c r="B1" s="374"/>
      <c r="C1" s="374"/>
      <c r="D1" s="374"/>
      <c r="E1" s="374"/>
      <c r="F1" s="374"/>
      <c r="G1" s="374"/>
      <c r="H1" s="374"/>
      <c r="I1" s="374"/>
      <c r="J1" s="374"/>
      <c r="K1" s="374"/>
      <c r="L1" s="374"/>
      <c r="M1" s="374"/>
      <c r="N1" s="374"/>
      <c r="O1" s="374"/>
      <c r="P1" s="374"/>
      <c r="Q1" s="6"/>
    </row>
    <row r="2" spans="1:17" s="23" customFormat="1" ht="15.75" customHeight="1">
      <c r="A2" s="371" t="s">
        <v>102</v>
      </c>
      <c r="B2" s="374"/>
      <c r="C2" s="374"/>
      <c r="D2" s="374"/>
      <c r="E2" s="374"/>
      <c r="F2" s="374"/>
      <c r="G2" s="374"/>
      <c r="H2" s="374"/>
      <c r="I2" s="374"/>
      <c r="J2" s="374"/>
      <c r="K2" s="374"/>
      <c r="L2" s="374"/>
      <c r="M2" s="374"/>
      <c r="N2" s="374"/>
      <c r="O2" s="374"/>
      <c r="P2" s="374"/>
      <c r="Q2" s="6"/>
    </row>
    <row r="3" spans="1:17" s="23" customFormat="1">
      <c r="A3" s="371" t="s">
        <v>99</v>
      </c>
      <c r="B3" s="374"/>
      <c r="C3" s="374"/>
      <c r="D3" s="374"/>
      <c r="E3" s="374"/>
      <c r="F3" s="374"/>
      <c r="G3" s="374"/>
      <c r="H3" s="374"/>
      <c r="I3" s="374"/>
      <c r="J3" s="374"/>
      <c r="K3" s="374"/>
      <c r="L3" s="374"/>
      <c r="M3" s="374"/>
      <c r="N3" s="374"/>
      <c r="O3" s="374"/>
      <c r="P3" s="374"/>
      <c r="Q3" s="6"/>
    </row>
    <row r="4" spans="1:17" s="23" customFormat="1" ht="12">
      <c r="A4" s="121"/>
      <c r="B4" s="6"/>
      <c r="C4" s="6"/>
      <c r="D4" s="6"/>
      <c r="E4" s="6"/>
      <c r="F4" s="6"/>
      <c r="G4" s="6"/>
      <c r="H4" s="6"/>
      <c r="I4" s="6"/>
      <c r="J4" s="6"/>
      <c r="K4" s="6"/>
      <c r="L4" s="242"/>
      <c r="M4" s="325"/>
      <c r="N4" s="330"/>
      <c r="O4" s="336"/>
      <c r="P4" s="6"/>
      <c r="Q4" s="6"/>
    </row>
    <row r="5" spans="1:17">
      <c r="E5" s="24" t="s">
        <v>18</v>
      </c>
      <c r="F5" s="24" t="s">
        <v>15</v>
      </c>
      <c r="G5" s="24" t="s">
        <v>16</v>
      </c>
      <c r="H5" s="24" t="s">
        <v>17</v>
      </c>
      <c r="I5" s="24" t="s">
        <v>18</v>
      </c>
      <c r="J5" s="24" t="s">
        <v>15</v>
      </c>
      <c r="K5" s="24" t="s">
        <v>16</v>
      </c>
      <c r="L5" s="24" t="s">
        <v>17</v>
      </c>
      <c r="M5" s="24" t="s">
        <v>18</v>
      </c>
      <c r="N5" s="24" t="s">
        <v>15</v>
      </c>
      <c r="O5" s="24" t="s">
        <v>16</v>
      </c>
      <c r="P5" s="24" t="s">
        <v>17</v>
      </c>
    </row>
    <row r="6" spans="1:17">
      <c r="A6" s="43" t="s">
        <v>31</v>
      </c>
      <c r="E6" s="122" t="s">
        <v>19</v>
      </c>
      <c r="F6" s="122" t="s">
        <v>20</v>
      </c>
      <c r="G6" s="122" t="s">
        <v>20</v>
      </c>
      <c r="H6" s="122" t="s">
        <v>20</v>
      </c>
      <c r="I6" s="122" t="s">
        <v>20</v>
      </c>
      <c r="J6" s="122" t="s">
        <v>175</v>
      </c>
      <c r="K6" s="122" t="s">
        <v>175</v>
      </c>
      <c r="L6" s="122" t="s">
        <v>175</v>
      </c>
      <c r="M6" s="122" t="s">
        <v>175</v>
      </c>
      <c r="N6" s="122" t="s">
        <v>200</v>
      </c>
      <c r="O6" s="122" t="s">
        <v>200</v>
      </c>
      <c r="P6" s="122" t="s">
        <v>200</v>
      </c>
    </row>
    <row r="7" spans="1:17">
      <c r="E7" s="122"/>
      <c r="F7" s="122"/>
      <c r="G7" s="122"/>
      <c r="H7" s="122"/>
      <c r="I7" s="122"/>
      <c r="J7" s="122"/>
      <c r="K7" s="122"/>
      <c r="L7" s="122"/>
      <c r="M7" s="122"/>
      <c r="N7" s="122"/>
      <c r="O7" s="122"/>
      <c r="P7" s="122"/>
    </row>
    <row r="8" spans="1:17">
      <c r="A8" s="43"/>
      <c r="B8" s="23"/>
      <c r="C8" s="23"/>
      <c r="D8" s="23"/>
      <c r="E8" s="123"/>
      <c r="F8" s="123"/>
      <c r="G8" s="123"/>
      <c r="H8" s="123"/>
      <c r="I8" s="123"/>
      <c r="J8" s="123"/>
      <c r="K8" s="123"/>
      <c r="L8" s="123"/>
      <c r="M8" s="123"/>
      <c r="N8" s="123"/>
      <c r="O8" s="123"/>
      <c r="P8" s="123"/>
    </row>
    <row r="9" spans="1:17">
      <c r="A9" s="43"/>
      <c r="B9" s="23"/>
      <c r="C9" s="23"/>
      <c r="D9" s="23"/>
      <c r="E9" s="123"/>
      <c r="F9" s="123"/>
      <c r="G9" s="123"/>
      <c r="H9" s="123"/>
      <c r="I9" s="123"/>
      <c r="J9" s="123"/>
      <c r="K9" s="123"/>
      <c r="L9" s="123"/>
      <c r="M9" s="123"/>
      <c r="N9" s="123"/>
      <c r="O9" s="123"/>
      <c r="P9" s="123"/>
    </row>
    <row r="10" spans="1:17">
      <c r="A10" s="23"/>
      <c r="B10" s="23" t="s">
        <v>32</v>
      </c>
      <c r="C10" s="23"/>
      <c r="D10" s="23"/>
      <c r="E10" s="124">
        <v>253</v>
      </c>
      <c r="F10" s="124">
        <v>-148</v>
      </c>
      <c r="G10" s="124">
        <v>-134</v>
      </c>
      <c r="H10" s="124">
        <v>349</v>
      </c>
      <c r="I10" s="124">
        <v>253</v>
      </c>
      <c r="J10" s="124">
        <v>-274</v>
      </c>
      <c r="K10" s="124">
        <v>-211</v>
      </c>
      <c r="L10" s="124">
        <v>475</v>
      </c>
      <c r="M10" s="124">
        <v>287</v>
      </c>
      <c r="N10" s="124">
        <v>-244</v>
      </c>
      <c r="O10" s="124">
        <v>-28</v>
      </c>
      <c r="P10" s="124">
        <v>363</v>
      </c>
    </row>
    <row r="11" spans="1:17">
      <c r="A11" s="23"/>
      <c r="B11" s="23" t="s">
        <v>33</v>
      </c>
      <c r="C11" s="23"/>
      <c r="D11" s="23"/>
      <c r="E11" s="124">
        <v>152</v>
      </c>
      <c r="F11" s="124">
        <v>332</v>
      </c>
      <c r="G11" s="124">
        <v>192</v>
      </c>
      <c r="H11" s="124">
        <v>320</v>
      </c>
      <c r="I11" s="124">
        <v>320</v>
      </c>
      <c r="J11" s="124">
        <v>194</v>
      </c>
      <c r="K11" s="124">
        <v>117</v>
      </c>
      <c r="L11" s="124">
        <v>243</v>
      </c>
      <c r="M11" s="124">
        <v>277</v>
      </c>
      <c r="N11" s="124">
        <v>307</v>
      </c>
      <c r="O11" s="124">
        <v>490</v>
      </c>
      <c r="P11" s="124">
        <v>378</v>
      </c>
    </row>
    <row r="12" spans="1:17">
      <c r="A12" s="23"/>
      <c r="B12" s="23"/>
      <c r="C12" s="23"/>
      <c r="D12" s="23"/>
      <c r="E12" s="124"/>
      <c r="F12" s="124"/>
      <c r="G12" s="124"/>
      <c r="H12" s="124"/>
      <c r="I12" s="124"/>
      <c r="J12" s="124"/>
      <c r="K12" s="124"/>
      <c r="L12" s="124"/>
      <c r="M12" s="124"/>
      <c r="N12" s="124"/>
      <c r="O12" s="124"/>
      <c r="P12" s="124"/>
    </row>
    <row r="13" spans="1:17">
      <c r="A13" s="23"/>
      <c r="B13" s="23" t="s">
        <v>34</v>
      </c>
      <c r="C13" s="23"/>
      <c r="D13" s="23"/>
      <c r="E13" s="124">
        <v>22</v>
      </c>
      <c r="F13" s="124">
        <v>11</v>
      </c>
      <c r="G13" s="124">
        <v>12</v>
      </c>
      <c r="H13" s="124">
        <v>15</v>
      </c>
      <c r="I13" s="124">
        <v>21</v>
      </c>
      <c r="J13" s="124">
        <v>32</v>
      </c>
      <c r="K13" s="124">
        <v>52</v>
      </c>
      <c r="L13" s="124">
        <v>44</v>
      </c>
      <c r="M13" s="124">
        <v>44</v>
      </c>
      <c r="N13" s="124">
        <v>31</v>
      </c>
      <c r="O13" s="124">
        <v>25</v>
      </c>
      <c r="P13" s="124">
        <v>25</v>
      </c>
    </row>
    <row r="14" spans="1:17">
      <c r="A14" s="23"/>
      <c r="B14" s="23" t="s">
        <v>35</v>
      </c>
      <c r="C14" s="23"/>
      <c r="D14" s="23"/>
      <c r="E14" s="124">
        <v>72</v>
      </c>
      <c r="F14" s="124">
        <v>75</v>
      </c>
      <c r="G14" s="124">
        <v>61</v>
      </c>
      <c r="H14" s="124">
        <v>60</v>
      </c>
      <c r="I14" s="124">
        <v>59</v>
      </c>
      <c r="J14" s="124">
        <v>80</v>
      </c>
      <c r="K14" s="124">
        <v>120</v>
      </c>
      <c r="L14" s="124">
        <v>149</v>
      </c>
      <c r="M14" s="124">
        <v>172</v>
      </c>
      <c r="N14" s="124">
        <v>171</v>
      </c>
      <c r="O14" s="124">
        <v>144</v>
      </c>
      <c r="P14" s="124">
        <v>125</v>
      </c>
    </row>
    <row r="16" spans="1:17">
      <c r="B16" s="23" t="s">
        <v>130</v>
      </c>
      <c r="E16" s="124">
        <v>231</v>
      </c>
      <c r="F16" s="124">
        <v>-159</v>
      </c>
      <c r="G16" s="124">
        <v>-146</v>
      </c>
      <c r="H16" s="124">
        <v>334</v>
      </c>
      <c r="I16" s="124">
        <v>232</v>
      </c>
      <c r="J16" s="124">
        <v>-306</v>
      </c>
      <c r="K16" s="124">
        <v>-263</v>
      </c>
      <c r="L16" s="124">
        <v>431</v>
      </c>
      <c r="M16" s="124">
        <v>243</v>
      </c>
      <c r="N16" s="124">
        <v>-275</v>
      </c>
      <c r="O16" s="124">
        <v>-53</v>
      </c>
      <c r="P16" s="124">
        <v>338</v>
      </c>
    </row>
    <row r="17" spans="2:16">
      <c r="B17" s="23" t="s">
        <v>131</v>
      </c>
      <c r="E17" s="124">
        <v>80</v>
      </c>
      <c r="F17" s="124">
        <v>257</v>
      </c>
      <c r="G17" s="124">
        <v>131</v>
      </c>
      <c r="H17" s="124">
        <v>260</v>
      </c>
      <c r="I17" s="124">
        <v>261</v>
      </c>
      <c r="J17" s="124">
        <v>114</v>
      </c>
      <c r="K17" s="124">
        <v>-3</v>
      </c>
      <c r="L17" s="124">
        <v>94</v>
      </c>
      <c r="M17" s="124">
        <v>105</v>
      </c>
      <c r="N17" s="124">
        <v>136</v>
      </c>
      <c r="O17" s="124">
        <v>346</v>
      </c>
      <c r="P17" s="124">
        <v>253</v>
      </c>
    </row>
  </sheetData>
  <mergeCells count="3">
    <mergeCell ref="A1:P1"/>
    <mergeCell ref="A2:P2"/>
    <mergeCell ref="A3:P3"/>
  </mergeCells>
  <phoneticPr fontId="15" type="noConversion"/>
  <pageMargins left="0.7" right="0.7" top="0.75" bottom="0.75" header="0.3" footer="0.3"/>
  <pageSetup scale="84" orientation="landscape" r:id="rId1"/>
  <headerFooter>
    <oddFooter>&amp;LElectronic Arts Inc.&amp;C&amp;D&amp;R&amp;P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T42"/>
  <sheetViews>
    <sheetView showGridLines="0" zoomScale="75" zoomScaleNormal="75" workbookViewId="0">
      <pane xSplit="1" ySplit="7" topLeftCell="B8" activePane="bottomRight" state="frozen"/>
      <selection activeCell="H54" sqref="H54"/>
      <selection pane="topRight" activeCell="H54" sqref="H54"/>
      <selection pane="bottomLeft" activeCell="H54" sqref="H54"/>
      <selection pane="bottomRight" activeCell="H54" sqref="H54"/>
    </sheetView>
  </sheetViews>
  <sheetFormatPr defaultColWidth="11.42578125" defaultRowHeight="12" customHeight="1"/>
  <cols>
    <col min="1" max="1" width="49.85546875" style="296" customWidth="1"/>
    <col min="2" max="2" width="10.7109375" style="296" customWidth="1"/>
    <col min="3" max="3" width="2" style="296" customWidth="1"/>
    <col min="4" max="4" width="15.140625" style="296" customWidth="1"/>
    <col min="5" max="5" width="1.7109375" style="296" customWidth="1"/>
    <col min="6" max="6" width="15.140625" style="296" customWidth="1"/>
    <col min="7" max="7" width="1.7109375" style="296" customWidth="1"/>
    <col min="8" max="8" width="15.140625" style="296" hidden="1" customWidth="1"/>
    <col min="9" max="9" width="13" style="296" customWidth="1"/>
    <col min="10" max="10" width="1.28515625" style="296" customWidth="1"/>
    <col min="11" max="11" width="17.42578125" style="296" customWidth="1"/>
    <col min="12" max="12" width="1.42578125" style="296" customWidth="1"/>
    <col min="13" max="13" width="15.85546875" style="296" customWidth="1"/>
    <col min="14" max="14" width="1.7109375" style="296" customWidth="1"/>
    <col min="15" max="15" width="15.140625" style="296" customWidth="1"/>
    <col min="16" max="16" width="1.5703125" style="296" customWidth="1"/>
    <col min="17" max="17" width="15.140625" style="296" customWidth="1"/>
    <col min="18" max="18" width="1.5703125" style="296" customWidth="1"/>
    <col min="19" max="16384" width="11.42578125" style="296"/>
  </cols>
  <sheetData>
    <row r="1" spans="1:20" s="248" customFormat="1" ht="12" customHeight="1">
      <c r="A1" s="375" t="s">
        <v>68</v>
      </c>
      <c r="B1" s="375"/>
      <c r="C1" s="375"/>
      <c r="D1" s="375"/>
      <c r="E1" s="375"/>
      <c r="F1" s="375"/>
      <c r="G1" s="375"/>
      <c r="H1" s="375"/>
      <c r="I1" s="375"/>
      <c r="J1" s="375"/>
      <c r="K1" s="375"/>
      <c r="L1" s="375"/>
      <c r="M1" s="375"/>
      <c r="N1" s="375"/>
      <c r="O1" s="375"/>
      <c r="P1" s="375"/>
      <c r="Q1" s="375"/>
      <c r="R1" s="375"/>
      <c r="S1" s="375"/>
      <c r="T1" s="247"/>
    </row>
    <row r="2" spans="1:20" s="248" customFormat="1" ht="12" customHeight="1">
      <c r="A2" s="375" t="s">
        <v>69</v>
      </c>
      <c r="B2" s="375"/>
      <c r="C2" s="375"/>
      <c r="D2" s="375"/>
      <c r="E2" s="375"/>
      <c r="F2" s="375"/>
      <c r="G2" s="375"/>
      <c r="H2" s="375"/>
      <c r="I2" s="375"/>
      <c r="J2" s="375"/>
      <c r="K2" s="375"/>
      <c r="L2" s="375"/>
      <c r="M2" s="375"/>
      <c r="N2" s="375"/>
      <c r="O2" s="375"/>
      <c r="P2" s="375"/>
      <c r="Q2" s="375"/>
      <c r="R2" s="375"/>
      <c r="S2" s="375"/>
      <c r="T2" s="247"/>
    </row>
    <row r="3" spans="1:20" s="248" customFormat="1" ht="12" customHeight="1">
      <c r="A3" s="375" t="s">
        <v>70</v>
      </c>
      <c r="B3" s="375"/>
      <c r="C3" s="375"/>
      <c r="D3" s="375"/>
      <c r="E3" s="375"/>
      <c r="F3" s="375"/>
      <c r="G3" s="375"/>
      <c r="H3" s="375"/>
      <c r="I3" s="375"/>
      <c r="J3" s="375"/>
      <c r="K3" s="375"/>
      <c r="L3" s="375"/>
      <c r="M3" s="375"/>
      <c r="N3" s="375"/>
      <c r="O3" s="375"/>
      <c r="P3" s="375"/>
      <c r="Q3" s="375"/>
      <c r="R3" s="375"/>
      <c r="S3" s="375"/>
      <c r="T3" s="247"/>
    </row>
    <row r="4" spans="1:20" s="248" customFormat="1" ht="12" customHeight="1">
      <c r="A4" s="331"/>
      <c r="B4" s="331"/>
      <c r="C4" s="331"/>
      <c r="D4" s="331"/>
      <c r="E4" s="331"/>
      <c r="F4" s="331"/>
      <c r="G4" s="331"/>
      <c r="H4" s="331"/>
      <c r="I4" s="331"/>
      <c r="J4" s="331"/>
      <c r="K4" s="337"/>
      <c r="L4" s="337"/>
      <c r="M4" s="331"/>
      <c r="N4" s="331"/>
      <c r="O4" s="331"/>
      <c r="P4" s="331"/>
      <c r="Q4" s="331"/>
      <c r="R4" s="331"/>
      <c r="S4" s="331"/>
      <c r="T4" s="331"/>
    </row>
    <row r="5" spans="1:20" s="254" customFormat="1" ht="12" customHeight="1">
      <c r="A5" s="250"/>
      <c r="B5" s="251"/>
      <c r="C5" s="251"/>
      <c r="D5" s="251"/>
      <c r="E5" s="251"/>
      <c r="F5" s="251"/>
      <c r="G5" s="251"/>
      <c r="H5" s="251"/>
      <c r="I5" s="251"/>
      <c r="J5" s="251"/>
      <c r="K5" s="251"/>
      <c r="L5" s="251"/>
      <c r="M5" s="252"/>
      <c r="N5" s="252"/>
      <c r="O5" s="251"/>
      <c r="P5" s="251"/>
      <c r="Q5" s="251"/>
      <c r="R5" s="253"/>
      <c r="S5" s="253"/>
    </row>
    <row r="6" spans="1:20" s="254" customFormat="1" ht="12" customHeight="1">
      <c r="A6" s="253"/>
      <c r="B6" s="376" t="s">
        <v>213</v>
      </c>
      <c r="C6" s="376"/>
      <c r="D6" s="376"/>
      <c r="E6" s="376"/>
      <c r="F6" s="376"/>
      <c r="G6" s="376"/>
      <c r="H6" s="376"/>
      <c r="I6" s="376"/>
      <c r="J6" s="376"/>
      <c r="K6" s="376"/>
      <c r="L6" s="376"/>
      <c r="M6" s="376"/>
      <c r="N6" s="376"/>
      <c r="O6" s="376"/>
      <c r="P6" s="376"/>
      <c r="Q6" s="376"/>
      <c r="R6" s="376"/>
      <c r="S6" s="376"/>
    </row>
    <row r="7" spans="1:20" s="255" customFormat="1" ht="102" customHeight="1">
      <c r="B7" s="256" t="s">
        <v>72</v>
      </c>
      <c r="C7" s="257"/>
      <c r="D7" s="258" t="s">
        <v>41</v>
      </c>
      <c r="E7" s="259"/>
      <c r="F7" s="258" t="s">
        <v>182</v>
      </c>
      <c r="G7" s="259"/>
      <c r="H7" s="258" t="s">
        <v>198</v>
      </c>
      <c r="I7" s="258" t="s">
        <v>73</v>
      </c>
      <c r="J7" s="259"/>
      <c r="K7" s="352" t="s">
        <v>93</v>
      </c>
      <c r="L7" s="259"/>
      <c r="M7" s="258" t="s">
        <v>144</v>
      </c>
      <c r="N7" s="259"/>
      <c r="O7" s="258" t="s">
        <v>217</v>
      </c>
      <c r="P7" s="259"/>
      <c r="Q7" s="258" t="s">
        <v>218</v>
      </c>
      <c r="R7" s="259"/>
      <c r="S7" s="256" t="s">
        <v>76</v>
      </c>
    </row>
    <row r="8" spans="1:20" s="264" customFormat="1" ht="12" customHeight="1">
      <c r="A8" s="260" t="s">
        <v>0</v>
      </c>
      <c r="B8" s="261">
        <v>922</v>
      </c>
      <c r="C8" s="262"/>
      <c r="D8" s="262">
        <v>0</v>
      </c>
      <c r="E8" s="262"/>
      <c r="F8" s="262">
        <v>0</v>
      </c>
      <c r="G8" s="262"/>
      <c r="H8" s="262">
        <v>0</v>
      </c>
      <c r="I8" s="341">
        <v>260</v>
      </c>
      <c r="J8" s="262"/>
      <c r="K8" s="263">
        <v>0</v>
      </c>
      <c r="L8" s="262"/>
      <c r="M8" s="262">
        <v>0</v>
      </c>
      <c r="N8" s="262"/>
      <c r="O8" s="262">
        <v>0</v>
      </c>
      <c r="P8" s="262"/>
      <c r="Q8" s="262">
        <v>0</v>
      </c>
      <c r="R8" s="262"/>
      <c r="S8" s="261">
        <v>1182</v>
      </c>
    </row>
    <row r="9" spans="1:20" s="265" customFormat="1" ht="14.25" customHeight="1">
      <c r="A9" s="265" t="s">
        <v>202</v>
      </c>
      <c r="B9" s="191">
        <v>429</v>
      </c>
      <c r="C9" s="266"/>
      <c r="D9" s="267">
        <v>-23</v>
      </c>
      <c r="E9" s="267"/>
      <c r="F9" s="267">
        <v>0</v>
      </c>
      <c r="G9" s="267"/>
      <c r="H9" s="267">
        <v>0</v>
      </c>
      <c r="I9" s="268">
        <v>0</v>
      </c>
      <c r="J9" s="267"/>
      <c r="K9" s="268">
        <v>0</v>
      </c>
      <c r="L9" s="267"/>
      <c r="M9" s="267">
        <v>0</v>
      </c>
      <c r="N9" s="267"/>
      <c r="O9" s="267">
        <v>0</v>
      </c>
      <c r="P9" s="267"/>
      <c r="Q9" s="267">
        <v>0</v>
      </c>
      <c r="R9" s="267"/>
      <c r="S9" s="191">
        <v>406</v>
      </c>
    </row>
    <row r="10" spans="1:20" s="269" customFormat="1" ht="12.75" customHeight="1">
      <c r="A10" s="269" t="s">
        <v>1</v>
      </c>
      <c r="B10" s="192">
        <v>493</v>
      </c>
      <c r="C10" s="270"/>
      <c r="D10" s="271">
        <v>23</v>
      </c>
      <c r="E10" s="272"/>
      <c r="F10" s="272">
        <v>0</v>
      </c>
      <c r="G10" s="272"/>
      <c r="H10" s="272">
        <v>0</v>
      </c>
      <c r="I10" s="271">
        <v>260</v>
      </c>
      <c r="J10" s="272"/>
      <c r="K10" s="271">
        <v>0</v>
      </c>
      <c r="L10" s="272"/>
      <c r="M10" s="272">
        <v>0</v>
      </c>
      <c r="N10" s="272"/>
      <c r="O10" s="272">
        <v>0</v>
      </c>
      <c r="P10" s="272"/>
      <c r="Q10" s="272">
        <v>0</v>
      </c>
      <c r="R10" s="272"/>
      <c r="S10" s="192">
        <v>776</v>
      </c>
    </row>
    <row r="11" spans="1:20" s="269" customFormat="1" ht="12" customHeight="1">
      <c r="B11" s="192"/>
      <c r="C11" s="273"/>
      <c r="D11" s="272"/>
      <c r="E11" s="272"/>
      <c r="F11" s="272"/>
      <c r="G11" s="272"/>
      <c r="H11" s="272"/>
      <c r="I11" s="271"/>
      <c r="J11" s="272"/>
      <c r="K11" s="271"/>
      <c r="L11" s="272"/>
      <c r="M11" s="272"/>
      <c r="N11" s="272"/>
      <c r="O11" s="272"/>
      <c r="P11" s="272"/>
      <c r="Q11" s="272"/>
      <c r="R11" s="272"/>
      <c r="S11" s="192"/>
    </row>
    <row r="12" spans="1:20" s="265" customFormat="1" ht="12" customHeight="1">
      <c r="A12" s="265" t="s">
        <v>2</v>
      </c>
      <c r="B12" s="193"/>
      <c r="C12" s="274"/>
      <c r="D12" s="275"/>
      <c r="E12" s="275"/>
      <c r="F12" s="275"/>
      <c r="G12" s="275"/>
      <c r="H12" s="275"/>
      <c r="I12" s="276"/>
      <c r="J12" s="275"/>
      <c r="K12" s="276"/>
      <c r="L12" s="275"/>
      <c r="M12" s="275"/>
      <c r="N12" s="275"/>
      <c r="O12" s="275"/>
      <c r="P12" s="275"/>
      <c r="Q12" s="275"/>
      <c r="R12" s="275"/>
      <c r="S12" s="193"/>
    </row>
    <row r="13" spans="1:20" s="265" customFormat="1" ht="12" customHeight="1">
      <c r="A13" s="265" t="s">
        <v>77</v>
      </c>
      <c r="B13" s="193">
        <v>214</v>
      </c>
      <c r="C13" s="266"/>
      <c r="D13" s="275">
        <v>0</v>
      </c>
      <c r="E13" s="275"/>
      <c r="F13" s="275">
        <v>0</v>
      </c>
      <c r="G13" s="275"/>
      <c r="H13" s="275">
        <v>0</v>
      </c>
      <c r="I13" s="276">
        <v>0</v>
      </c>
      <c r="J13" s="275"/>
      <c r="K13" s="276">
        <v>0</v>
      </c>
      <c r="L13" s="275"/>
      <c r="M13" s="275">
        <v>0</v>
      </c>
      <c r="N13" s="275"/>
      <c r="O13" s="275">
        <v>-7</v>
      </c>
      <c r="P13" s="275"/>
      <c r="Q13" s="275">
        <v>0</v>
      </c>
      <c r="R13" s="275"/>
      <c r="S13" s="193">
        <v>207</v>
      </c>
    </row>
    <row r="14" spans="1:20" s="265" customFormat="1" ht="12" customHeight="1">
      <c r="A14" s="265" t="s">
        <v>78</v>
      </c>
      <c r="B14" s="193">
        <v>68</v>
      </c>
      <c r="C14" s="266"/>
      <c r="D14" s="275">
        <v>0</v>
      </c>
      <c r="E14" s="275"/>
      <c r="F14" s="275">
        <v>0</v>
      </c>
      <c r="G14" s="275"/>
      <c r="H14" s="275">
        <v>0</v>
      </c>
      <c r="I14" s="276">
        <v>0</v>
      </c>
      <c r="J14" s="275"/>
      <c r="K14" s="276">
        <v>0</v>
      </c>
      <c r="L14" s="275"/>
      <c r="M14" s="275">
        <v>0</v>
      </c>
      <c r="N14" s="275"/>
      <c r="O14" s="275">
        <v>-7</v>
      </c>
      <c r="P14" s="275"/>
      <c r="Q14" s="275">
        <v>0</v>
      </c>
      <c r="R14" s="275"/>
      <c r="S14" s="193">
        <v>61</v>
      </c>
    </row>
    <row r="15" spans="1:20" s="265" customFormat="1" ht="12" customHeight="1">
      <c r="A15" s="265" t="s">
        <v>79</v>
      </c>
      <c r="B15" s="193">
        <v>286</v>
      </c>
      <c r="C15" s="266"/>
      <c r="D15" s="275">
        <v>0</v>
      </c>
      <c r="E15" s="275"/>
      <c r="F15" s="275">
        <v>0</v>
      </c>
      <c r="G15" s="275"/>
      <c r="H15" s="275">
        <v>0</v>
      </c>
      <c r="I15" s="276">
        <v>0</v>
      </c>
      <c r="J15" s="275"/>
      <c r="K15" s="276">
        <v>0</v>
      </c>
      <c r="L15" s="275"/>
      <c r="M15" s="275">
        <v>0</v>
      </c>
      <c r="N15" s="275"/>
      <c r="O15" s="275">
        <v>-25</v>
      </c>
      <c r="P15" s="275"/>
      <c r="Q15" s="275">
        <v>0</v>
      </c>
      <c r="R15" s="275"/>
      <c r="S15" s="193">
        <v>261</v>
      </c>
    </row>
    <row r="16" spans="1:20" s="265" customFormat="1" ht="12" customHeight="1">
      <c r="A16" s="340" t="s">
        <v>214</v>
      </c>
      <c r="B16" s="193">
        <v>-45</v>
      </c>
      <c r="C16" s="266"/>
      <c r="D16" s="275">
        <v>45</v>
      </c>
      <c r="E16" s="275"/>
      <c r="F16" s="354">
        <v>0</v>
      </c>
      <c r="G16" s="275"/>
      <c r="H16" s="275"/>
      <c r="I16" s="354">
        <v>0</v>
      </c>
      <c r="J16" s="275"/>
      <c r="K16" s="354">
        <v>0</v>
      </c>
      <c r="L16" s="275"/>
      <c r="M16" s="354">
        <v>0</v>
      </c>
      <c r="N16" s="275"/>
      <c r="O16" s="354">
        <v>0</v>
      </c>
      <c r="P16" s="275"/>
      <c r="Q16" s="354">
        <v>0</v>
      </c>
      <c r="R16" s="275"/>
      <c r="S16" s="208" t="s">
        <v>9</v>
      </c>
    </row>
    <row r="17" spans="1:19" s="265" customFormat="1" ht="12" customHeight="1">
      <c r="A17" s="265" t="s">
        <v>81</v>
      </c>
      <c r="B17" s="193">
        <v>7</v>
      </c>
      <c r="C17" s="266"/>
      <c r="D17" s="275">
        <v>-7</v>
      </c>
      <c r="E17" s="275"/>
      <c r="F17" s="275">
        <v>0</v>
      </c>
      <c r="G17" s="275"/>
      <c r="H17" s="275">
        <v>0</v>
      </c>
      <c r="I17" s="276">
        <v>0</v>
      </c>
      <c r="J17" s="275"/>
      <c r="K17" s="276">
        <v>0</v>
      </c>
      <c r="L17" s="275"/>
      <c r="M17" s="275">
        <v>0</v>
      </c>
      <c r="N17" s="275"/>
      <c r="O17" s="275">
        <v>0</v>
      </c>
      <c r="P17" s="275"/>
      <c r="Q17" s="275">
        <v>0</v>
      </c>
      <c r="R17" s="275"/>
      <c r="S17" s="193">
        <v>0</v>
      </c>
    </row>
    <row r="18" spans="1:19" s="265" customFormat="1" ht="14.25" customHeight="1">
      <c r="A18" s="265" t="s">
        <v>207</v>
      </c>
      <c r="B18" s="194">
        <v>2</v>
      </c>
      <c r="C18" s="266"/>
      <c r="D18" s="267">
        <v>0</v>
      </c>
      <c r="E18" s="267"/>
      <c r="F18" s="267">
        <v>0</v>
      </c>
      <c r="G18" s="267"/>
      <c r="H18" s="267">
        <v>0</v>
      </c>
      <c r="I18" s="268">
        <v>0</v>
      </c>
      <c r="J18" s="267"/>
      <c r="K18" s="268">
        <v>0</v>
      </c>
      <c r="L18" s="267"/>
      <c r="M18" s="195">
        <v>-2</v>
      </c>
      <c r="N18" s="267"/>
      <c r="O18" s="267">
        <v>0</v>
      </c>
      <c r="P18" s="267"/>
      <c r="Q18" s="267">
        <v>0</v>
      </c>
      <c r="R18" s="267"/>
      <c r="S18" s="196" t="s">
        <v>9</v>
      </c>
    </row>
    <row r="19" spans="1:19" s="265" customFormat="1" ht="12.75" customHeight="1">
      <c r="A19" s="265" t="s">
        <v>82</v>
      </c>
      <c r="B19" s="191">
        <v>532</v>
      </c>
      <c r="C19" s="266"/>
      <c r="D19" s="268">
        <v>38</v>
      </c>
      <c r="E19" s="267"/>
      <c r="F19" s="267">
        <v>0</v>
      </c>
      <c r="G19" s="267"/>
      <c r="H19" s="267">
        <v>0</v>
      </c>
      <c r="I19" s="268">
        <v>0</v>
      </c>
      <c r="J19" s="267"/>
      <c r="K19" s="268">
        <v>0</v>
      </c>
      <c r="L19" s="267"/>
      <c r="M19" s="267">
        <v>-2</v>
      </c>
      <c r="N19" s="267"/>
      <c r="O19" s="267">
        <v>-39</v>
      </c>
      <c r="P19" s="267"/>
      <c r="Q19" s="267">
        <v>0</v>
      </c>
      <c r="R19" s="267"/>
      <c r="S19" s="191">
        <v>529</v>
      </c>
    </row>
    <row r="20" spans="1:19" s="265" customFormat="1" ht="12" customHeight="1">
      <c r="B20" s="193"/>
      <c r="C20" s="274"/>
      <c r="D20" s="275"/>
      <c r="E20" s="275"/>
      <c r="F20" s="275"/>
      <c r="G20" s="275"/>
      <c r="H20" s="275"/>
      <c r="I20" s="276"/>
      <c r="J20" s="275"/>
      <c r="K20" s="276"/>
      <c r="L20" s="275"/>
      <c r="M20" s="275"/>
      <c r="N20" s="275"/>
      <c r="O20" s="275"/>
      <c r="P20" s="275"/>
      <c r="Q20" s="275"/>
      <c r="R20" s="275"/>
      <c r="S20" s="193"/>
    </row>
    <row r="21" spans="1:19" s="278" customFormat="1" ht="12.75" customHeight="1">
      <c r="A21" s="277" t="s">
        <v>11</v>
      </c>
      <c r="B21" s="192">
        <v>-39</v>
      </c>
      <c r="C21" s="270"/>
      <c r="D21" s="271">
        <v>-15</v>
      </c>
      <c r="E21" s="272"/>
      <c r="F21" s="355">
        <v>0</v>
      </c>
      <c r="G21" s="272"/>
      <c r="H21" s="271">
        <v>0</v>
      </c>
      <c r="I21" s="271">
        <v>260</v>
      </c>
      <c r="J21" s="272"/>
      <c r="K21" s="355">
        <v>0</v>
      </c>
      <c r="L21" s="272"/>
      <c r="M21" s="271">
        <v>2</v>
      </c>
      <c r="N21" s="272"/>
      <c r="O21" s="271">
        <v>39</v>
      </c>
      <c r="P21" s="272"/>
      <c r="Q21" s="355">
        <v>0</v>
      </c>
      <c r="R21" s="272"/>
      <c r="S21" s="192">
        <v>247</v>
      </c>
    </row>
    <row r="22" spans="1:19" s="278" customFormat="1" ht="12" customHeight="1">
      <c r="A22" s="279"/>
      <c r="B22" s="192"/>
      <c r="C22" s="273"/>
      <c r="D22" s="272"/>
      <c r="E22" s="272"/>
      <c r="F22" s="354"/>
      <c r="G22" s="272"/>
      <c r="H22" s="272"/>
      <c r="I22" s="271"/>
      <c r="J22" s="272"/>
      <c r="K22" s="355"/>
      <c r="L22" s="272"/>
      <c r="M22" s="272"/>
      <c r="N22" s="272"/>
      <c r="O22" s="272"/>
      <c r="P22" s="272"/>
      <c r="Q22" s="354"/>
      <c r="R22" s="272"/>
      <c r="S22" s="192"/>
    </row>
    <row r="23" spans="1:19" s="278" customFormat="1" ht="12" customHeight="1">
      <c r="A23" s="280" t="s">
        <v>93</v>
      </c>
      <c r="B23" s="193">
        <v>14</v>
      </c>
      <c r="C23" s="273"/>
      <c r="D23" s="354">
        <v>0</v>
      </c>
      <c r="E23" s="272"/>
      <c r="F23" s="354">
        <v>0</v>
      </c>
      <c r="G23" s="272"/>
      <c r="H23" s="272"/>
      <c r="I23" s="271">
        <v>0</v>
      </c>
      <c r="J23" s="272"/>
      <c r="K23" s="355">
        <v>-14</v>
      </c>
      <c r="L23" s="272"/>
      <c r="M23" s="272">
        <v>0</v>
      </c>
      <c r="N23" s="272"/>
      <c r="O23" s="354">
        <v>0</v>
      </c>
      <c r="P23" s="272"/>
      <c r="Q23" s="354">
        <v>0</v>
      </c>
      <c r="R23" s="272"/>
      <c r="S23" s="192">
        <v>0</v>
      </c>
    </row>
    <row r="24" spans="1:19" s="280" customFormat="1" ht="14.25">
      <c r="A24" s="280" t="s">
        <v>83</v>
      </c>
      <c r="B24" s="191">
        <v>-8</v>
      </c>
      <c r="C24" s="266"/>
      <c r="D24" s="353">
        <v>0</v>
      </c>
      <c r="E24" s="267"/>
      <c r="F24" s="267">
        <v>5</v>
      </c>
      <c r="G24" s="267"/>
      <c r="H24" s="268">
        <v>0</v>
      </c>
      <c r="I24" s="268">
        <v>0</v>
      </c>
      <c r="J24" s="267"/>
      <c r="K24" s="268">
        <v>0</v>
      </c>
      <c r="L24" s="267"/>
      <c r="M24" s="267">
        <v>0</v>
      </c>
      <c r="N24" s="267"/>
      <c r="O24" s="267">
        <v>0</v>
      </c>
      <c r="P24" s="267"/>
      <c r="Q24" s="267">
        <v>0</v>
      </c>
      <c r="R24" s="267"/>
      <c r="S24" s="191">
        <v>-3</v>
      </c>
    </row>
    <row r="25" spans="1:19" s="280" customFormat="1" ht="12" customHeight="1">
      <c r="B25" s="193"/>
      <c r="C25" s="274"/>
      <c r="D25" s="275"/>
      <c r="E25" s="275"/>
      <c r="F25" s="275"/>
      <c r="G25" s="275"/>
      <c r="H25" s="275"/>
      <c r="I25" s="276"/>
      <c r="J25" s="275"/>
      <c r="K25" s="276"/>
      <c r="L25" s="275"/>
      <c r="M25" s="275"/>
      <c r="N25" s="275"/>
      <c r="O25" s="275"/>
      <c r="P25" s="275"/>
      <c r="Q25" s="275"/>
      <c r="R25" s="275"/>
      <c r="S25" s="193"/>
    </row>
    <row r="26" spans="1:19" s="280" customFormat="1" ht="12" customHeight="1">
      <c r="A26" s="281" t="s">
        <v>92</v>
      </c>
      <c r="B26" s="193">
        <v>-33</v>
      </c>
      <c r="C26" s="266"/>
      <c r="D26" s="276">
        <v>-15</v>
      </c>
      <c r="E26" s="275"/>
      <c r="F26" s="276">
        <v>5</v>
      </c>
      <c r="G26" s="275"/>
      <c r="H26" s="276">
        <v>0</v>
      </c>
      <c r="I26" s="276">
        <v>260</v>
      </c>
      <c r="J26" s="275"/>
      <c r="K26" s="276">
        <v>-14</v>
      </c>
      <c r="L26" s="275"/>
      <c r="M26" s="276">
        <v>2</v>
      </c>
      <c r="N26" s="275"/>
      <c r="O26" s="276">
        <v>39</v>
      </c>
      <c r="P26" s="275"/>
      <c r="Q26" s="276">
        <v>0</v>
      </c>
      <c r="R26" s="275"/>
      <c r="S26" s="193">
        <v>244</v>
      </c>
    </row>
    <row r="27" spans="1:19" s="280" customFormat="1" ht="12" customHeight="1">
      <c r="A27" s="281"/>
      <c r="B27" s="193"/>
      <c r="C27" s="274"/>
      <c r="D27" s="275"/>
      <c r="E27" s="275"/>
      <c r="F27" s="275"/>
      <c r="G27" s="275"/>
      <c r="H27" s="275"/>
      <c r="I27" s="276"/>
      <c r="J27" s="275"/>
      <c r="K27" s="276"/>
      <c r="L27" s="275"/>
      <c r="M27" s="275"/>
      <c r="N27" s="275"/>
      <c r="O27" s="275"/>
      <c r="P27" s="275"/>
      <c r="Q27" s="275"/>
      <c r="R27" s="275"/>
      <c r="S27" s="193"/>
    </row>
    <row r="28" spans="1:19" s="280" customFormat="1" ht="14.25" customHeight="1">
      <c r="A28" s="282" t="s">
        <v>90</v>
      </c>
      <c r="B28" s="191">
        <v>12</v>
      </c>
      <c r="C28" s="266"/>
      <c r="D28" s="268">
        <v>0</v>
      </c>
      <c r="E28" s="267"/>
      <c r="F28" s="268">
        <v>0</v>
      </c>
      <c r="G28" s="267"/>
      <c r="H28" s="268">
        <v>0</v>
      </c>
      <c r="I28" s="268">
        <v>0</v>
      </c>
      <c r="J28" s="267"/>
      <c r="K28" s="268">
        <v>0</v>
      </c>
      <c r="L28" s="267"/>
      <c r="M28" s="268">
        <v>0</v>
      </c>
      <c r="N28" s="267"/>
      <c r="O28" s="268">
        <v>0</v>
      </c>
      <c r="P28" s="267"/>
      <c r="Q28" s="267">
        <v>56</v>
      </c>
      <c r="R28" s="267"/>
      <c r="S28" s="191">
        <v>68</v>
      </c>
    </row>
    <row r="29" spans="1:19" s="280" customFormat="1" ht="5.25" customHeight="1">
      <c r="B29" s="193"/>
      <c r="C29" s="274"/>
      <c r="D29" s="275"/>
      <c r="E29" s="275"/>
      <c r="F29" s="275"/>
      <c r="G29" s="275"/>
      <c r="H29" s="275"/>
      <c r="I29" s="276"/>
      <c r="J29" s="275"/>
      <c r="K29" s="276"/>
      <c r="L29" s="275"/>
      <c r="M29" s="275"/>
      <c r="N29" s="275"/>
      <c r="O29" s="275"/>
      <c r="P29" s="275"/>
      <c r="Q29" s="275"/>
      <c r="R29" s="275"/>
      <c r="S29" s="193"/>
    </row>
    <row r="30" spans="1:19" s="260" customFormat="1" ht="16.5" customHeight="1">
      <c r="A30" s="283" t="s">
        <v>14</v>
      </c>
      <c r="B30" s="284">
        <v>-45</v>
      </c>
      <c r="C30" s="270"/>
      <c r="D30" s="285">
        <v>-15</v>
      </c>
      <c r="E30" s="286"/>
      <c r="F30" s="285">
        <v>5</v>
      </c>
      <c r="G30" s="286"/>
      <c r="H30" s="285">
        <v>0</v>
      </c>
      <c r="I30" s="285">
        <v>260</v>
      </c>
      <c r="J30" s="286"/>
      <c r="K30" s="285">
        <v>-14</v>
      </c>
      <c r="L30" s="286"/>
      <c r="M30" s="285">
        <v>2</v>
      </c>
      <c r="N30" s="286"/>
      <c r="O30" s="285">
        <v>39</v>
      </c>
      <c r="P30" s="286"/>
      <c r="Q30" s="285">
        <v>-56</v>
      </c>
      <c r="R30" s="286"/>
      <c r="S30" s="284">
        <v>176</v>
      </c>
    </row>
    <row r="31" spans="1:19" s="260" customFormat="1" ht="12" customHeight="1">
      <c r="A31" s="283"/>
      <c r="B31" s="287"/>
      <c r="C31" s="288"/>
      <c r="D31" s="288"/>
      <c r="E31" s="288"/>
      <c r="F31" s="288"/>
      <c r="G31" s="288"/>
      <c r="H31" s="288"/>
      <c r="I31" s="288"/>
      <c r="J31" s="288"/>
      <c r="K31" s="288"/>
      <c r="L31" s="288"/>
      <c r="O31" s="288"/>
      <c r="P31" s="288"/>
      <c r="Q31" s="288"/>
      <c r="R31" s="288"/>
      <c r="S31" s="287"/>
    </row>
    <row r="32" spans="1:19" s="260" customFormat="1" ht="14.25" customHeight="1">
      <c r="A32" s="289" t="s">
        <v>139</v>
      </c>
      <c r="B32" s="287"/>
      <c r="C32" s="288"/>
      <c r="D32" s="288"/>
      <c r="E32" s="288"/>
      <c r="F32" s="288"/>
      <c r="G32" s="288"/>
      <c r="H32" s="288"/>
      <c r="I32" s="288"/>
      <c r="J32" s="288"/>
      <c r="K32" s="288"/>
      <c r="L32" s="288"/>
      <c r="O32" s="289" t="s">
        <v>142</v>
      </c>
      <c r="P32" s="288"/>
      <c r="Q32" s="288"/>
      <c r="R32" s="288"/>
      <c r="S32" s="287"/>
    </row>
    <row r="33" spans="1:19" s="293" customFormat="1" ht="12" customHeight="1">
      <c r="A33" s="290" t="s">
        <v>109</v>
      </c>
      <c r="B33" s="291">
        <v>-0.15</v>
      </c>
      <c r="C33" s="292"/>
      <c r="D33" s="292"/>
      <c r="E33" s="292"/>
      <c r="F33" s="292"/>
      <c r="G33" s="292"/>
      <c r="H33" s="292"/>
      <c r="I33" s="292"/>
      <c r="J33" s="292"/>
      <c r="K33" s="292"/>
      <c r="L33" s="292"/>
      <c r="O33" s="290" t="s">
        <v>107</v>
      </c>
      <c r="P33" s="292"/>
      <c r="Q33" s="292"/>
      <c r="R33" s="292"/>
      <c r="S33" s="291">
        <v>0.57999999999999996</v>
      </c>
    </row>
    <row r="34" spans="1:19" s="293" customFormat="1" ht="12" customHeight="1">
      <c r="A34" s="290"/>
      <c r="B34" s="291"/>
      <c r="C34" s="292"/>
      <c r="D34" s="292"/>
      <c r="E34" s="292"/>
      <c r="F34" s="292"/>
      <c r="G34" s="292"/>
      <c r="H34" s="292"/>
      <c r="I34" s="292"/>
      <c r="J34" s="292"/>
      <c r="K34" s="292"/>
      <c r="L34" s="292"/>
      <c r="O34" s="290" t="s">
        <v>108</v>
      </c>
      <c r="P34" s="292"/>
      <c r="Q34" s="292"/>
      <c r="R34" s="292"/>
      <c r="S34" s="291">
        <v>0.56999999999999995</v>
      </c>
    </row>
    <row r="35" spans="1:19" s="293" customFormat="1" ht="12" customHeight="1">
      <c r="A35" s="290"/>
      <c r="B35" s="291"/>
      <c r="C35" s="292"/>
      <c r="D35" s="292"/>
      <c r="E35" s="292"/>
      <c r="F35" s="292"/>
      <c r="G35" s="292"/>
      <c r="H35" s="292"/>
      <c r="I35" s="292"/>
      <c r="J35" s="292"/>
      <c r="K35" s="292"/>
      <c r="L35" s="292"/>
      <c r="M35" s="289"/>
      <c r="O35" s="294"/>
      <c r="P35" s="292"/>
      <c r="Q35" s="292"/>
      <c r="R35" s="292"/>
      <c r="S35" s="291"/>
    </row>
    <row r="36" spans="1:19" s="293" customFormat="1" ht="12" customHeight="1">
      <c r="A36" s="294" t="s">
        <v>110</v>
      </c>
      <c r="B36" s="197"/>
      <c r="C36" s="295"/>
      <c r="D36" s="295"/>
      <c r="E36" s="295"/>
      <c r="F36" s="295"/>
      <c r="G36" s="295"/>
      <c r="H36" s="295"/>
      <c r="I36" s="295"/>
      <c r="J36" s="295"/>
      <c r="K36" s="295"/>
      <c r="L36" s="295"/>
      <c r="M36" s="290"/>
      <c r="O36" s="294" t="s">
        <v>110</v>
      </c>
      <c r="P36" s="295"/>
      <c r="Q36" s="295"/>
      <c r="R36" s="295"/>
      <c r="S36" s="197"/>
    </row>
    <row r="37" spans="1:19" s="293" customFormat="1" ht="12" customHeight="1">
      <c r="A37" s="294" t="s">
        <v>109</v>
      </c>
      <c r="B37" s="198">
        <v>304</v>
      </c>
      <c r="C37" s="295"/>
      <c r="D37" s="295"/>
      <c r="E37" s="295"/>
      <c r="F37" s="295"/>
      <c r="G37" s="295"/>
      <c r="H37" s="295"/>
      <c r="I37" s="295"/>
      <c r="J37" s="295"/>
      <c r="K37" s="295"/>
      <c r="L37" s="295"/>
      <c r="M37" s="290"/>
      <c r="O37" s="294" t="s">
        <v>107</v>
      </c>
      <c r="P37" s="295"/>
      <c r="Q37" s="295"/>
      <c r="R37" s="295"/>
      <c r="S37" s="198">
        <v>304</v>
      </c>
    </row>
    <row r="38" spans="1:19" s="293" customFormat="1" ht="12" customHeight="1">
      <c r="A38" s="294"/>
      <c r="B38" s="197"/>
      <c r="C38" s="295"/>
      <c r="D38" s="295"/>
      <c r="E38" s="295"/>
      <c r="F38" s="295"/>
      <c r="G38" s="295"/>
      <c r="H38" s="295"/>
      <c r="I38" s="295"/>
      <c r="J38" s="295"/>
      <c r="K38" s="295"/>
      <c r="L38" s="295"/>
      <c r="O38" s="294" t="s">
        <v>108</v>
      </c>
      <c r="P38" s="295"/>
      <c r="Q38" s="295"/>
      <c r="R38" s="295"/>
      <c r="S38" s="198">
        <v>308</v>
      </c>
    </row>
    <row r="40" spans="1:19" ht="12" customHeight="1">
      <c r="A40" s="294"/>
    </row>
    <row r="41" spans="1:19" ht="12" customHeight="1">
      <c r="A41" s="294"/>
    </row>
    <row r="42" spans="1:19" ht="12" customHeight="1">
      <c r="A42" s="294"/>
    </row>
  </sheetData>
  <mergeCells count="4">
    <mergeCell ref="A1:S1"/>
    <mergeCell ref="A2:S2"/>
    <mergeCell ref="A3:S3"/>
    <mergeCell ref="B6:S6"/>
  </mergeCells>
  <printOptions horizontalCentered="1"/>
  <pageMargins left="0" right="0" top="0.8" bottom="0.42" header="0.25" footer="0.25"/>
  <pageSetup scale="7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R40"/>
  <sheetViews>
    <sheetView showGridLines="0" zoomScaleNormal="100" workbookViewId="0">
      <pane xSplit="1" ySplit="7" topLeftCell="B8" activePane="bottomRight" state="frozen"/>
      <selection pane="topRight"/>
      <selection pane="bottomLeft"/>
      <selection pane="bottomRight" activeCell="O8" sqref="O8"/>
    </sheetView>
  </sheetViews>
  <sheetFormatPr defaultColWidth="11.42578125" defaultRowHeight="12" customHeight="1"/>
  <cols>
    <col min="1" max="1" width="44.5703125" style="296" customWidth="1"/>
    <col min="2" max="2" width="10.7109375" style="296" customWidth="1"/>
    <col min="3" max="3" width="2" style="296" customWidth="1"/>
    <col min="4" max="4" width="15.140625" style="296" customWidth="1"/>
    <col min="5" max="5" width="1.7109375" style="296" customWidth="1"/>
    <col min="6" max="6" width="15.140625" style="296" customWidth="1"/>
    <col min="7" max="7" width="1.7109375" style="296" customWidth="1"/>
    <col min="8" max="8" width="15.140625" style="296" hidden="1" customWidth="1"/>
    <col min="9" max="9" width="13" style="296" customWidth="1"/>
    <col min="10" max="10" width="1.28515625" style="296" customWidth="1"/>
    <col min="11" max="11" width="15.85546875" style="296" customWidth="1"/>
    <col min="12" max="12" width="1.7109375" style="296" customWidth="1"/>
    <col min="13" max="13" width="15.140625" style="296" customWidth="1"/>
    <col min="14" max="14" width="1.5703125" style="296" customWidth="1"/>
    <col min="15" max="15" width="15.140625" style="296" customWidth="1"/>
    <col min="16" max="16" width="1.5703125" style="296" customWidth="1"/>
    <col min="17" max="16384" width="11.42578125" style="296"/>
  </cols>
  <sheetData>
    <row r="1" spans="1:18" s="248" customFormat="1" ht="12" customHeight="1">
      <c r="A1" s="375" t="s">
        <v>68</v>
      </c>
      <c r="B1" s="375"/>
      <c r="C1" s="375"/>
      <c r="D1" s="375"/>
      <c r="E1" s="375"/>
      <c r="F1" s="375"/>
      <c r="G1" s="375"/>
      <c r="H1" s="375"/>
      <c r="I1" s="375"/>
      <c r="J1" s="375"/>
      <c r="K1" s="375"/>
      <c r="L1" s="375"/>
      <c r="M1" s="375"/>
      <c r="N1" s="375"/>
      <c r="O1" s="375"/>
      <c r="P1" s="375"/>
      <c r="Q1" s="375"/>
      <c r="R1" s="247"/>
    </row>
    <row r="2" spans="1:18" s="248" customFormat="1" ht="12" customHeight="1">
      <c r="A2" s="375" t="s">
        <v>69</v>
      </c>
      <c r="B2" s="375"/>
      <c r="C2" s="375"/>
      <c r="D2" s="375"/>
      <c r="E2" s="375"/>
      <c r="F2" s="375"/>
      <c r="G2" s="375"/>
      <c r="H2" s="375"/>
      <c r="I2" s="375"/>
      <c r="J2" s="375"/>
      <c r="K2" s="375"/>
      <c r="L2" s="375"/>
      <c r="M2" s="375"/>
      <c r="N2" s="375"/>
      <c r="O2" s="375"/>
      <c r="P2" s="375"/>
      <c r="Q2" s="375"/>
      <c r="R2" s="247"/>
    </row>
    <row r="3" spans="1:18" s="248" customFormat="1" ht="12" customHeight="1">
      <c r="A3" s="375" t="s">
        <v>70</v>
      </c>
      <c r="B3" s="375"/>
      <c r="C3" s="375"/>
      <c r="D3" s="375"/>
      <c r="E3" s="375"/>
      <c r="F3" s="375"/>
      <c r="G3" s="375"/>
      <c r="H3" s="375"/>
      <c r="I3" s="375"/>
      <c r="J3" s="375"/>
      <c r="K3" s="375"/>
      <c r="L3" s="375"/>
      <c r="M3" s="375"/>
      <c r="N3" s="375"/>
      <c r="O3" s="375"/>
      <c r="P3" s="375"/>
      <c r="Q3" s="375"/>
      <c r="R3" s="247"/>
    </row>
    <row r="4" spans="1:18" s="248" customFormat="1" ht="12" customHeight="1">
      <c r="A4" s="337"/>
      <c r="B4" s="337"/>
      <c r="C4" s="337"/>
      <c r="D4" s="337"/>
      <c r="E4" s="337"/>
      <c r="F4" s="337"/>
      <c r="G4" s="337"/>
      <c r="H4" s="337"/>
      <c r="I4" s="337"/>
      <c r="J4" s="337"/>
      <c r="K4" s="337"/>
      <c r="L4" s="337"/>
      <c r="M4" s="337"/>
      <c r="N4" s="337"/>
      <c r="O4" s="337"/>
      <c r="P4" s="337"/>
      <c r="Q4" s="337"/>
      <c r="R4" s="337"/>
    </row>
    <row r="5" spans="1:18" s="254" customFormat="1" ht="12" customHeight="1">
      <c r="A5" s="250"/>
      <c r="B5" s="251"/>
      <c r="C5" s="251"/>
      <c r="D5" s="251"/>
      <c r="E5" s="251"/>
      <c r="F5" s="251"/>
      <c r="G5" s="251"/>
      <c r="H5" s="251"/>
      <c r="I5" s="251"/>
      <c r="J5" s="251"/>
      <c r="K5" s="252"/>
      <c r="L5" s="252"/>
      <c r="M5" s="251"/>
      <c r="N5" s="251"/>
      <c r="O5" s="251"/>
      <c r="P5" s="253"/>
      <c r="Q5" s="253"/>
    </row>
    <row r="6" spans="1:18" s="254" customFormat="1" ht="12" customHeight="1">
      <c r="A6" s="253"/>
      <c r="B6" s="376" t="s">
        <v>210</v>
      </c>
      <c r="C6" s="376"/>
      <c r="D6" s="376"/>
      <c r="E6" s="376"/>
      <c r="F6" s="376"/>
      <c r="G6" s="376"/>
      <c r="H6" s="376"/>
      <c r="I6" s="376"/>
      <c r="J6" s="376"/>
      <c r="K6" s="376"/>
      <c r="L6" s="376"/>
      <c r="M6" s="376"/>
      <c r="N6" s="376"/>
      <c r="O6" s="376"/>
      <c r="P6" s="376"/>
      <c r="Q6" s="376"/>
    </row>
    <row r="7" spans="1:18" s="255" customFormat="1" ht="102" customHeight="1">
      <c r="B7" s="256" t="s">
        <v>72</v>
      </c>
      <c r="C7" s="257"/>
      <c r="D7" s="258" t="s">
        <v>41</v>
      </c>
      <c r="E7" s="259"/>
      <c r="F7" s="258" t="s">
        <v>182</v>
      </c>
      <c r="G7" s="259"/>
      <c r="H7" s="258" t="s">
        <v>198</v>
      </c>
      <c r="I7" s="258" t="s">
        <v>73</v>
      </c>
      <c r="J7" s="259"/>
      <c r="K7" s="258" t="s">
        <v>144</v>
      </c>
      <c r="L7" s="259"/>
      <c r="M7" s="258" t="s">
        <v>217</v>
      </c>
      <c r="N7" s="259"/>
      <c r="O7" s="258" t="s">
        <v>218</v>
      </c>
      <c r="P7" s="259"/>
      <c r="Q7" s="256" t="s">
        <v>76</v>
      </c>
    </row>
    <row r="8" spans="1:18" s="264" customFormat="1" ht="12" customHeight="1">
      <c r="A8" s="260" t="s">
        <v>0</v>
      </c>
      <c r="B8" s="261">
        <v>711</v>
      </c>
      <c r="C8" s="262"/>
      <c r="D8" s="262">
        <v>0</v>
      </c>
      <c r="E8" s="262"/>
      <c r="F8" s="262">
        <v>0</v>
      </c>
      <c r="G8" s="262"/>
      <c r="H8" s="262">
        <v>0</v>
      </c>
      <c r="I8" s="263">
        <v>369</v>
      </c>
      <c r="J8" s="262"/>
      <c r="K8" s="262">
        <v>0</v>
      </c>
      <c r="L8" s="262"/>
      <c r="M8" s="262">
        <v>0</v>
      </c>
      <c r="N8" s="262"/>
      <c r="O8" s="262">
        <v>0</v>
      </c>
      <c r="P8" s="262"/>
      <c r="Q8" s="261">
        <v>1080</v>
      </c>
    </row>
    <row r="9" spans="1:18" s="265" customFormat="1" ht="14.25" customHeight="1">
      <c r="A9" s="265" t="s">
        <v>202</v>
      </c>
      <c r="B9" s="191">
        <v>445</v>
      </c>
      <c r="C9" s="266"/>
      <c r="D9" s="267">
        <v>-14</v>
      </c>
      <c r="E9" s="267"/>
      <c r="F9" s="267">
        <v>0</v>
      </c>
      <c r="G9" s="267"/>
      <c r="H9" s="267">
        <v>0</v>
      </c>
      <c r="I9" s="268">
        <v>0</v>
      </c>
      <c r="J9" s="267"/>
      <c r="K9" s="267">
        <v>0</v>
      </c>
      <c r="L9" s="267"/>
      <c r="M9" s="267">
        <v>0</v>
      </c>
      <c r="N9" s="267"/>
      <c r="O9" s="267">
        <v>0</v>
      </c>
      <c r="P9" s="267"/>
      <c r="Q9" s="191">
        <v>431</v>
      </c>
    </row>
    <row r="10" spans="1:18" s="269" customFormat="1" ht="12.75" customHeight="1">
      <c r="A10" s="269" t="s">
        <v>1</v>
      </c>
      <c r="B10" s="192">
        <v>266</v>
      </c>
      <c r="C10" s="270"/>
      <c r="D10" s="271">
        <v>14</v>
      </c>
      <c r="E10" s="272"/>
      <c r="F10" s="272">
        <v>0</v>
      </c>
      <c r="G10" s="272"/>
      <c r="H10" s="272">
        <v>0</v>
      </c>
      <c r="I10" s="271">
        <v>369</v>
      </c>
      <c r="J10" s="272"/>
      <c r="K10" s="272">
        <v>0</v>
      </c>
      <c r="L10" s="272"/>
      <c r="M10" s="272">
        <v>0</v>
      </c>
      <c r="N10" s="272"/>
      <c r="O10" s="272">
        <v>0</v>
      </c>
      <c r="P10" s="272"/>
      <c r="Q10" s="192">
        <v>649</v>
      </c>
    </row>
    <row r="11" spans="1:18" s="269" customFormat="1" ht="12" customHeight="1">
      <c r="B11" s="192"/>
      <c r="C11" s="273"/>
      <c r="D11" s="272"/>
      <c r="E11" s="272"/>
      <c r="F11" s="272"/>
      <c r="G11" s="272"/>
      <c r="H11" s="272"/>
      <c r="I11" s="271"/>
      <c r="J11" s="272"/>
      <c r="K11" s="272"/>
      <c r="L11" s="272"/>
      <c r="M11" s="272"/>
      <c r="N11" s="272"/>
      <c r="O11" s="272"/>
      <c r="P11" s="272"/>
      <c r="Q11" s="192"/>
    </row>
    <row r="12" spans="1:18" s="265" customFormat="1" ht="12" customHeight="1">
      <c r="A12" s="265" t="s">
        <v>2</v>
      </c>
      <c r="B12" s="193"/>
      <c r="C12" s="274"/>
      <c r="D12" s="275"/>
      <c r="E12" s="275"/>
      <c r="F12" s="275"/>
      <c r="G12" s="275"/>
      <c r="H12" s="275"/>
      <c r="I12" s="276"/>
      <c r="J12" s="275"/>
      <c r="K12" s="275"/>
      <c r="L12" s="275"/>
      <c r="M12" s="275"/>
      <c r="N12" s="275"/>
      <c r="O12" s="275"/>
      <c r="P12" s="275"/>
      <c r="Q12" s="193"/>
    </row>
    <row r="13" spans="1:18" s="265" customFormat="1" ht="12" customHeight="1">
      <c r="A13" s="265" t="s">
        <v>77</v>
      </c>
      <c r="B13" s="193">
        <v>212</v>
      </c>
      <c r="C13" s="266"/>
      <c r="D13" s="275">
        <v>0</v>
      </c>
      <c r="E13" s="275"/>
      <c r="F13" s="275">
        <v>0</v>
      </c>
      <c r="G13" s="275"/>
      <c r="H13" s="275">
        <v>0</v>
      </c>
      <c r="I13" s="276">
        <v>0</v>
      </c>
      <c r="J13" s="275"/>
      <c r="K13" s="275">
        <v>0</v>
      </c>
      <c r="L13" s="275"/>
      <c r="M13" s="275">
        <v>-8</v>
      </c>
      <c r="N13" s="275"/>
      <c r="O13" s="275">
        <v>0</v>
      </c>
      <c r="P13" s="275"/>
      <c r="Q13" s="193">
        <v>204</v>
      </c>
    </row>
    <row r="14" spans="1:18" s="265" customFormat="1" ht="12" customHeight="1">
      <c r="A14" s="265" t="s">
        <v>78</v>
      </c>
      <c r="B14" s="193">
        <v>99</v>
      </c>
      <c r="C14" s="266"/>
      <c r="D14" s="275">
        <v>0</v>
      </c>
      <c r="E14" s="275"/>
      <c r="F14" s="275">
        <v>0</v>
      </c>
      <c r="G14" s="275"/>
      <c r="H14" s="275">
        <v>0</v>
      </c>
      <c r="I14" s="276">
        <v>0</v>
      </c>
      <c r="J14" s="275"/>
      <c r="K14" s="275">
        <v>0</v>
      </c>
      <c r="L14" s="275"/>
      <c r="M14" s="275">
        <v>-9</v>
      </c>
      <c r="N14" s="275"/>
      <c r="O14" s="275">
        <v>0</v>
      </c>
      <c r="P14" s="275"/>
      <c r="Q14" s="193">
        <v>90</v>
      </c>
    </row>
    <row r="15" spans="1:18" s="265" customFormat="1" ht="12" customHeight="1">
      <c r="A15" s="265" t="s">
        <v>79</v>
      </c>
      <c r="B15" s="193">
        <v>314</v>
      </c>
      <c r="C15" s="266"/>
      <c r="D15" s="275">
        <v>0</v>
      </c>
      <c r="E15" s="275"/>
      <c r="F15" s="275">
        <v>0</v>
      </c>
      <c r="G15" s="275"/>
      <c r="H15" s="275">
        <v>0</v>
      </c>
      <c r="I15" s="276">
        <v>0</v>
      </c>
      <c r="J15" s="275"/>
      <c r="K15" s="275">
        <v>0</v>
      </c>
      <c r="L15" s="275"/>
      <c r="M15" s="275">
        <v>-27</v>
      </c>
      <c r="N15" s="275"/>
      <c r="O15" s="275">
        <v>0</v>
      </c>
      <c r="P15" s="275"/>
      <c r="Q15" s="193">
        <v>287</v>
      </c>
    </row>
    <row r="16" spans="1:18" s="265" customFormat="1" ht="12" customHeight="1">
      <c r="A16" s="265" t="s">
        <v>81</v>
      </c>
      <c r="B16" s="193">
        <v>7</v>
      </c>
      <c r="C16" s="266"/>
      <c r="D16" s="275">
        <v>-7</v>
      </c>
      <c r="E16" s="275"/>
      <c r="F16" s="275">
        <v>0</v>
      </c>
      <c r="G16" s="275"/>
      <c r="H16" s="275">
        <v>0</v>
      </c>
      <c r="I16" s="276">
        <v>0</v>
      </c>
      <c r="J16" s="275"/>
      <c r="K16" s="275">
        <v>0</v>
      </c>
      <c r="L16" s="275"/>
      <c r="M16" s="275">
        <v>0</v>
      </c>
      <c r="N16" s="275"/>
      <c r="O16" s="275">
        <v>0</v>
      </c>
      <c r="P16" s="275"/>
      <c r="Q16" s="193">
        <v>0</v>
      </c>
    </row>
    <row r="17" spans="1:17" s="265" customFormat="1" ht="14.25" customHeight="1">
      <c r="A17" s="265" t="s">
        <v>207</v>
      </c>
      <c r="B17" s="194">
        <v>-2</v>
      </c>
      <c r="C17" s="266"/>
      <c r="D17" s="267">
        <v>0</v>
      </c>
      <c r="E17" s="267"/>
      <c r="F17" s="267">
        <v>0</v>
      </c>
      <c r="G17" s="267"/>
      <c r="H17" s="267">
        <v>0</v>
      </c>
      <c r="I17" s="268">
        <v>0</v>
      </c>
      <c r="J17" s="267"/>
      <c r="K17" s="195">
        <v>2</v>
      </c>
      <c r="L17" s="267"/>
      <c r="M17" s="267">
        <v>0</v>
      </c>
      <c r="N17" s="267"/>
      <c r="O17" s="267">
        <v>0</v>
      </c>
      <c r="P17" s="267"/>
      <c r="Q17" s="196" t="s">
        <v>9</v>
      </c>
    </row>
    <row r="18" spans="1:17" s="265" customFormat="1" ht="12.75" customHeight="1">
      <c r="A18" s="265" t="s">
        <v>82</v>
      </c>
      <c r="B18" s="191">
        <v>630</v>
      </c>
      <c r="C18" s="266"/>
      <c r="D18" s="268">
        <v>-7</v>
      </c>
      <c r="E18" s="267"/>
      <c r="F18" s="267">
        <v>0</v>
      </c>
      <c r="G18" s="267"/>
      <c r="H18" s="267">
        <v>0</v>
      </c>
      <c r="I18" s="268">
        <v>0</v>
      </c>
      <c r="J18" s="267"/>
      <c r="K18" s="267">
        <v>2</v>
      </c>
      <c r="L18" s="267"/>
      <c r="M18" s="267">
        <v>-44</v>
      </c>
      <c r="N18" s="267"/>
      <c r="O18" s="267">
        <v>0</v>
      </c>
      <c r="P18" s="267"/>
      <c r="Q18" s="191">
        <v>581</v>
      </c>
    </row>
    <row r="19" spans="1:17" s="265" customFormat="1" ht="12" customHeight="1">
      <c r="B19" s="193"/>
      <c r="C19" s="274"/>
      <c r="D19" s="275"/>
      <c r="E19" s="275"/>
      <c r="F19" s="275"/>
      <c r="G19" s="275"/>
      <c r="H19" s="275"/>
      <c r="I19" s="276"/>
      <c r="J19" s="275"/>
      <c r="K19" s="275"/>
      <c r="L19" s="275"/>
      <c r="M19" s="275"/>
      <c r="N19" s="275"/>
      <c r="O19" s="275"/>
      <c r="P19" s="275"/>
      <c r="Q19" s="193"/>
    </row>
    <row r="20" spans="1:17" s="278" customFormat="1" ht="12.75" customHeight="1">
      <c r="A20" s="277" t="s">
        <v>11</v>
      </c>
      <c r="B20" s="192">
        <v>-364</v>
      </c>
      <c r="C20" s="270"/>
      <c r="D20" s="271">
        <v>21</v>
      </c>
      <c r="E20" s="272"/>
      <c r="F20" s="271">
        <v>0</v>
      </c>
      <c r="G20" s="272"/>
      <c r="H20" s="271">
        <v>0</v>
      </c>
      <c r="I20" s="271">
        <v>369</v>
      </c>
      <c r="J20" s="272"/>
      <c r="K20" s="271">
        <v>-2</v>
      </c>
      <c r="L20" s="272"/>
      <c r="M20" s="271">
        <v>44</v>
      </c>
      <c r="N20" s="272"/>
      <c r="O20" s="271">
        <v>0</v>
      </c>
      <c r="P20" s="272"/>
      <c r="Q20" s="192">
        <v>68</v>
      </c>
    </row>
    <row r="21" spans="1:17" s="278" customFormat="1" ht="12" customHeight="1">
      <c r="A21" s="279"/>
      <c r="B21" s="192"/>
      <c r="C21" s="273"/>
      <c r="D21" s="272"/>
      <c r="E21" s="272"/>
      <c r="F21" s="272"/>
      <c r="G21" s="272"/>
      <c r="H21" s="272"/>
      <c r="I21" s="271"/>
      <c r="J21" s="272"/>
      <c r="K21" s="272"/>
      <c r="L21" s="272"/>
      <c r="M21" s="272"/>
      <c r="N21" s="272"/>
      <c r="O21" s="272"/>
      <c r="P21" s="272"/>
      <c r="Q21" s="192"/>
    </row>
    <row r="22" spans="1:17" s="280" customFormat="1" ht="14.25">
      <c r="A22" s="280" t="s">
        <v>83</v>
      </c>
      <c r="B22" s="191">
        <v>-4</v>
      </c>
      <c r="C22" s="266"/>
      <c r="D22" s="267">
        <v>0</v>
      </c>
      <c r="E22" s="267"/>
      <c r="F22" s="267">
        <v>5</v>
      </c>
      <c r="G22" s="267"/>
      <c r="H22" s="268">
        <v>0</v>
      </c>
      <c r="I22" s="268">
        <v>0</v>
      </c>
      <c r="J22" s="267"/>
      <c r="K22" s="267">
        <v>0</v>
      </c>
      <c r="L22" s="267"/>
      <c r="M22" s="267">
        <v>0</v>
      </c>
      <c r="N22" s="267"/>
      <c r="O22" s="267">
        <v>0</v>
      </c>
      <c r="P22" s="267"/>
      <c r="Q22" s="191">
        <v>1</v>
      </c>
    </row>
    <row r="23" spans="1:17" s="280" customFormat="1" ht="12" customHeight="1">
      <c r="B23" s="193"/>
      <c r="C23" s="274"/>
      <c r="D23" s="275"/>
      <c r="E23" s="275"/>
      <c r="F23" s="275"/>
      <c r="G23" s="275"/>
      <c r="H23" s="275"/>
      <c r="I23" s="276"/>
      <c r="J23" s="275"/>
      <c r="K23" s="275"/>
      <c r="L23" s="275"/>
      <c r="M23" s="275"/>
      <c r="N23" s="275"/>
      <c r="O23" s="275"/>
      <c r="P23" s="275"/>
      <c r="Q23" s="193"/>
    </row>
    <row r="24" spans="1:17" s="280" customFormat="1" ht="12" customHeight="1">
      <c r="A24" s="281" t="s">
        <v>92</v>
      </c>
      <c r="B24" s="193">
        <v>-368</v>
      </c>
      <c r="C24" s="266"/>
      <c r="D24" s="276">
        <v>21</v>
      </c>
      <c r="E24" s="275"/>
      <c r="F24" s="276">
        <v>5</v>
      </c>
      <c r="G24" s="275"/>
      <c r="H24" s="276">
        <v>0</v>
      </c>
      <c r="I24" s="276">
        <v>369</v>
      </c>
      <c r="J24" s="275"/>
      <c r="K24" s="276">
        <v>-2</v>
      </c>
      <c r="L24" s="275"/>
      <c r="M24" s="276">
        <v>44</v>
      </c>
      <c r="N24" s="275"/>
      <c r="O24" s="276">
        <v>0</v>
      </c>
      <c r="P24" s="275"/>
      <c r="Q24" s="193">
        <v>69</v>
      </c>
    </row>
    <row r="25" spans="1:17" s="280" customFormat="1" ht="12" customHeight="1">
      <c r="A25" s="281"/>
      <c r="B25" s="193"/>
      <c r="C25" s="274"/>
      <c r="D25" s="275"/>
      <c r="E25" s="275"/>
      <c r="F25" s="275"/>
      <c r="G25" s="275"/>
      <c r="H25" s="275"/>
      <c r="I25" s="276"/>
      <c r="J25" s="275"/>
      <c r="K25" s="275"/>
      <c r="L25" s="275"/>
      <c r="M25" s="275"/>
      <c r="N25" s="275"/>
      <c r="O25" s="275"/>
      <c r="P25" s="275"/>
      <c r="Q25" s="193"/>
    </row>
    <row r="26" spans="1:17" s="280" customFormat="1" ht="14.25" customHeight="1">
      <c r="A26" s="282" t="s">
        <v>90</v>
      </c>
      <c r="B26" s="191">
        <v>13</v>
      </c>
      <c r="C26" s="266"/>
      <c r="D26" s="268">
        <v>0</v>
      </c>
      <c r="E26" s="267"/>
      <c r="F26" s="268">
        <v>0</v>
      </c>
      <c r="G26" s="267"/>
      <c r="H26" s="268">
        <v>0</v>
      </c>
      <c r="I26" s="268">
        <v>0</v>
      </c>
      <c r="J26" s="267"/>
      <c r="K26" s="268">
        <v>0</v>
      </c>
      <c r="L26" s="267"/>
      <c r="M26" s="268">
        <v>0</v>
      </c>
      <c r="N26" s="267"/>
      <c r="O26" s="267">
        <v>7</v>
      </c>
      <c r="P26" s="267"/>
      <c r="Q26" s="191">
        <v>20</v>
      </c>
    </row>
    <row r="27" spans="1:17" s="280" customFormat="1" ht="5.25" customHeight="1">
      <c r="B27" s="193"/>
      <c r="C27" s="274"/>
      <c r="D27" s="275"/>
      <c r="E27" s="275"/>
      <c r="F27" s="275"/>
      <c r="G27" s="275"/>
      <c r="H27" s="275"/>
      <c r="I27" s="276"/>
      <c r="J27" s="275"/>
      <c r="K27" s="275"/>
      <c r="L27" s="275"/>
      <c r="M27" s="275"/>
      <c r="N27" s="275"/>
      <c r="O27" s="275"/>
      <c r="P27" s="275"/>
      <c r="Q27" s="193"/>
    </row>
    <row r="28" spans="1:17" s="260" customFormat="1" ht="16.5" customHeight="1">
      <c r="A28" s="283" t="s">
        <v>14</v>
      </c>
      <c r="B28" s="284">
        <v>-381</v>
      </c>
      <c r="C28" s="270"/>
      <c r="D28" s="285">
        <v>21</v>
      </c>
      <c r="E28" s="286"/>
      <c r="F28" s="285">
        <v>5</v>
      </c>
      <c r="G28" s="286"/>
      <c r="H28" s="285">
        <v>0</v>
      </c>
      <c r="I28" s="285">
        <v>369</v>
      </c>
      <c r="J28" s="286"/>
      <c r="K28" s="285">
        <v>-2</v>
      </c>
      <c r="L28" s="286"/>
      <c r="M28" s="285">
        <v>44</v>
      </c>
      <c r="N28" s="286"/>
      <c r="O28" s="285">
        <v>-7</v>
      </c>
      <c r="P28" s="286"/>
      <c r="Q28" s="284">
        <v>49</v>
      </c>
    </row>
    <row r="29" spans="1:17" s="260" customFormat="1" ht="12" customHeight="1">
      <c r="A29" s="283"/>
      <c r="B29" s="287"/>
      <c r="C29" s="288"/>
      <c r="D29" s="288"/>
      <c r="E29" s="288"/>
      <c r="F29" s="288"/>
      <c r="G29" s="288"/>
      <c r="H29" s="288"/>
      <c r="I29" s="288"/>
      <c r="J29" s="288"/>
      <c r="M29" s="288"/>
      <c r="N29" s="288"/>
      <c r="O29" s="288"/>
      <c r="P29" s="288"/>
      <c r="Q29" s="287"/>
    </row>
    <row r="30" spans="1:17" s="260" customFormat="1" ht="14.25" customHeight="1">
      <c r="A30" s="289" t="s">
        <v>139</v>
      </c>
      <c r="B30" s="287"/>
      <c r="C30" s="288"/>
      <c r="D30" s="288"/>
      <c r="E30" s="288"/>
      <c r="F30" s="288"/>
      <c r="G30" s="288"/>
      <c r="H30" s="288"/>
      <c r="I30" s="288"/>
      <c r="J30" s="288"/>
      <c r="M30" s="289" t="s">
        <v>142</v>
      </c>
      <c r="N30" s="288"/>
      <c r="O30" s="288"/>
      <c r="P30" s="288"/>
      <c r="Q30" s="287"/>
    </row>
    <row r="31" spans="1:17" s="293" customFormat="1" ht="12" customHeight="1">
      <c r="A31" s="290" t="s">
        <v>109</v>
      </c>
      <c r="B31" s="291">
        <v>-1.21</v>
      </c>
      <c r="C31" s="292"/>
      <c r="D31" s="292"/>
      <c r="E31" s="292"/>
      <c r="F31" s="292"/>
      <c r="G31" s="292"/>
      <c r="H31" s="292"/>
      <c r="I31" s="292"/>
      <c r="J31" s="292"/>
      <c r="M31" s="290" t="s">
        <v>107</v>
      </c>
      <c r="N31" s="292"/>
      <c r="O31" s="292"/>
      <c r="P31" s="292"/>
      <c r="Q31" s="291">
        <v>0.16</v>
      </c>
    </row>
    <row r="32" spans="1:17" s="293" customFormat="1" ht="12" customHeight="1">
      <c r="A32" s="290"/>
      <c r="B32" s="291"/>
      <c r="C32" s="292"/>
      <c r="D32" s="292"/>
      <c r="E32" s="292"/>
      <c r="F32" s="292"/>
      <c r="G32" s="292"/>
      <c r="H32" s="292"/>
      <c r="I32" s="292"/>
      <c r="J32" s="292"/>
      <c r="M32" s="290" t="s">
        <v>108</v>
      </c>
      <c r="N32" s="292"/>
      <c r="O32" s="292"/>
      <c r="P32" s="292"/>
      <c r="Q32" s="291">
        <v>0.15</v>
      </c>
    </row>
    <row r="33" spans="1:17" s="293" customFormat="1" ht="12" customHeight="1">
      <c r="A33" s="290"/>
      <c r="B33" s="291"/>
      <c r="C33" s="292"/>
      <c r="D33" s="292"/>
      <c r="E33" s="292"/>
      <c r="F33" s="292"/>
      <c r="G33" s="292"/>
      <c r="H33" s="292"/>
      <c r="I33" s="292"/>
      <c r="J33" s="292"/>
      <c r="K33" s="289"/>
      <c r="M33" s="294"/>
      <c r="N33" s="292"/>
      <c r="O33" s="292"/>
      <c r="P33" s="292"/>
      <c r="Q33" s="291"/>
    </row>
    <row r="34" spans="1:17" s="293" customFormat="1" ht="12" customHeight="1">
      <c r="A34" s="294" t="s">
        <v>110</v>
      </c>
      <c r="B34" s="197"/>
      <c r="C34" s="295"/>
      <c r="D34" s="295"/>
      <c r="E34" s="295"/>
      <c r="F34" s="295"/>
      <c r="G34" s="295"/>
      <c r="H34" s="295"/>
      <c r="I34" s="295"/>
      <c r="J34" s="295"/>
      <c r="K34" s="290"/>
      <c r="M34" s="294" t="s">
        <v>110</v>
      </c>
      <c r="N34" s="295"/>
      <c r="O34" s="295"/>
      <c r="P34" s="295"/>
      <c r="Q34" s="197"/>
    </row>
    <row r="35" spans="1:17" s="293" customFormat="1" ht="12" customHeight="1">
      <c r="A35" s="294" t="s">
        <v>109</v>
      </c>
      <c r="B35" s="198">
        <v>316</v>
      </c>
      <c r="C35" s="295"/>
      <c r="D35" s="295"/>
      <c r="E35" s="295"/>
      <c r="F35" s="295"/>
      <c r="G35" s="295"/>
      <c r="H35" s="295"/>
      <c r="I35" s="295"/>
      <c r="J35" s="295"/>
      <c r="K35" s="290"/>
      <c r="M35" s="294" t="s">
        <v>107</v>
      </c>
      <c r="N35" s="295"/>
      <c r="O35" s="295"/>
      <c r="P35" s="295"/>
      <c r="Q35" s="198">
        <v>316</v>
      </c>
    </row>
    <row r="36" spans="1:17" s="293" customFormat="1" ht="12" customHeight="1">
      <c r="A36" s="294"/>
      <c r="B36" s="197"/>
      <c r="C36" s="295"/>
      <c r="D36" s="295"/>
      <c r="E36" s="295"/>
      <c r="F36" s="295"/>
      <c r="G36" s="295"/>
      <c r="H36" s="295"/>
      <c r="I36" s="295"/>
      <c r="J36" s="295"/>
      <c r="M36" s="294" t="s">
        <v>108</v>
      </c>
      <c r="N36" s="295"/>
      <c r="O36" s="295"/>
      <c r="P36" s="295"/>
      <c r="Q36" s="198">
        <v>318</v>
      </c>
    </row>
    <row r="38" spans="1:17" ht="12" customHeight="1">
      <c r="A38" s="294"/>
    </row>
    <row r="39" spans="1:17" ht="12" customHeight="1">
      <c r="A39" s="294"/>
    </row>
    <row r="40" spans="1:17" ht="12" customHeight="1">
      <c r="A40" s="294"/>
    </row>
  </sheetData>
  <mergeCells count="4">
    <mergeCell ref="A1:Q1"/>
    <mergeCell ref="A2:Q2"/>
    <mergeCell ref="A3:Q3"/>
    <mergeCell ref="B6:Q6"/>
  </mergeCells>
  <printOptions horizontalCentered="1"/>
  <pageMargins left="0" right="0" top="0.8" bottom="0.42" header="0.25" footer="0.25"/>
  <pageSetup scale="7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V41"/>
  <sheetViews>
    <sheetView showGridLines="0" zoomScaleNormal="100" workbookViewId="0">
      <pane xSplit="1" ySplit="7" topLeftCell="B8" activePane="bottomRight" state="frozen"/>
      <selection pane="topRight"/>
      <selection pane="bottomLeft"/>
      <selection pane="bottomRight" activeCell="S8" sqref="S8"/>
    </sheetView>
  </sheetViews>
  <sheetFormatPr defaultColWidth="11.42578125" defaultRowHeight="12" customHeight="1"/>
  <cols>
    <col min="1" max="1" width="49.85546875" style="296" customWidth="1"/>
    <col min="2" max="2" width="10.7109375" style="296" customWidth="1"/>
    <col min="3" max="3" width="2" style="296" customWidth="1"/>
    <col min="4" max="4" width="15.140625" style="296" customWidth="1"/>
    <col min="5" max="5" width="1.7109375" style="296" customWidth="1"/>
    <col min="6" max="6" width="15.140625" style="296" customWidth="1"/>
    <col min="7" max="7" width="1.7109375" style="296" customWidth="1"/>
    <col min="8" max="8" width="15.140625" style="296" hidden="1" customWidth="1"/>
    <col min="9" max="9" width="13" style="296" customWidth="1"/>
    <col min="10" max="10" width="1.28515625" style="296" customWidth="1"/>
    <col min="11" max="11" width="12.140625" style="296" hidden="1" customWidth="1"/>
    <col min="12" max="12" width="1.7109375" style="296" hidden="1" customWidth="1"/>
    <col min="13" max="13" width="12.140625" style="296" hidden="1" customWidth="1"/>
    <col min="14" max="14" width="1.7109375" style="296" hidden="1" customWidth="1"/>
    <col min="15" max="15" width="15.85546875" style="296" customWidth="1"/>
    <col min="16" max="16" width="1.7109375" style="296" customWidth="1"/>
    <col min="17" max="17" width="15.140625" style="296" customWidth="1"/>
    <col min="18" max="18" width="1.5703125" style="296" customWidth="1"/>
    <col min="19" max="19" width="15.140625" style="296" customWidth="1"/>
    <col min="20" max="20" width="1.5703125" style="296" customWidth="1"/>
    <col min="21" max="16384" width="11.42578125" style="296"/>
  </cols>
  <sheetData>
    <row r="1" spans="1:22" s="248" customFormat="1" ht="12" customHeight="1">
      <c r="A1" s="375" t="s">
        <v>68</v>
      </c>
      <c r="B1" s="377"/>
      <c r="C1" s="377"/>
      <c r="D1" s="377"/>
      <c r="E1" s="377"/>
      <c r="F1" s="377"/>
      <c r="G1" s="377"/>
      <c r="H1" s="377"/>
      <c r="I1" s="377"/>
      <c r="J1" s="377"/>
      <c r="K1" s="377"/>
      <c r="L1" s="377"/>
      <c r="M1" s="377"/>
      <c r="N1" s="377"/>
      <c r="O1" s="377"/>
      <c r="P1" s="377"/>
      <c r="Q1" s="377"/>
      <c r="R1" s="377"/>
      <c r="S1" s="377"/>
      <c r="T1" s="377"/>
      <c r="U1" s="377"/>
      <c r="V1" s="247"/>
    </row>
    <row r="2" spans="1:22" s="248" customFormat="1" ht="12" customHeight="1">
      <c r="A2" s="375" t="s">
        <v>69</v>
      </c>
      <c r="B2" s="377"/>
      <c r="C2" s="377"/>
      <c r="D2" s="377"/>
      <c r="E2" s="377"/>
      <c r="F2" s="377"/>
      <c r="G2" s="377"/>
      <c r="H2" s="377"/>
      <c r="I2" s="377"/>
      <c r="J2" s="377"/>
      <c r="K2" s="377"/>
      <c r="L2" s="377"/>
      <c r="M2" s="377"/>
      <c r="N2" s="377"/>
      <c r="O2" s="377"/>
      <c r="P2" s="377"/>
      <c r="Q2" s="377"/>
      <c r="R2" s="377"/>
      <c r="S2" s="377"/>
      <c r="T2" s="377"/>
      <c r="U2" s="377"/>
      <c r="V2" s="247"/>
    </row>
    <row r="3" spans="1:22" s="248" customFormat="1" ht="12" customHeight="1">
      <c r="A3" s="375" t="s">
        <v>70</v>
      </c>
      <c r="B3" s="377"/>
      <c r="C3" s="377"/>
      <c r="D3" s="377"/>
      <c r="E3" s="377"/>
      <c r="F3" s="377"/>
      <c r="G3" s="377"/>
      <c r="H3" s="377"/>
      <c r="I3" s="377"/>
      <c r="J3" s="377"/>
      <c r="K3" s="377"/>
      <c r="L3" s="377"/>
      <c r="M3" s="377"/>
      <c r="N3" s="377"/>
      <c r="O3" s="377"/>
      <c r="P3" s="377"/>
      <c r="Q3" s="377"/>
      <c r="R3" s="377"/>
      <c r="S3" s="377"/>
      <c r="T3" s="377"/>
      <c r="U3" s="377"/>
      <c r="V3" s="247"/>
    </row>
    <row r="4" spans="1:22" s="248" customFormat="1" ht="12" customHeight="1">
      <c r="A4" s="328"/>
      <c r="B4" s="328"/>
      <c r="C4" s="328"/>
      <c r="D4" s="328"/>
      <c r="E4" s="328"/>
      <c r="F4" s="328"/>
      <c r="G4" s="328"/>
      <c r="H4" s="328"/>
      <c r="I4" s="328"/>
      <c r="J4" s="328"/>
      <c r="K4" s="328"/>
      <c r="L4" s="328"/>
      <c r="M4" s="328"/>
      <c r="N4" s="328"/>
      <c r="O4" s="328"/>
      <c r="P4" s="328"/>
      <c r="Q4" s="328"/>
      <c r="R4" s="328"/>
      <c r="S4" s="328"/>
      <c r="T4" s="328"/>
      <c r="U4" s="328"/>
      <c r="V4" s="328"/>
    </row>
    <row r="5" spans="1:22" s="254" customFormat="1" ht="12" customHeight="1">
      <c r="A5" s="250"/>
      <c r="B5" s="251"/>
      <c r="C5" s="251"/>
      <c r="D5" s="251"/>
      <c r="E5" s="251"/>
      <c r="F5" s="251"/>
      <c r="G5" s="251"/>
      <c r="H5" s="251"/>
      <c r="I5" s="251"/>
      <c r="J5" s="251"/>
      <c r="K5" s="252"/>
      <c r="L5" s="251"/>
      <c r="M5" s="252"/>
      <c r="N5" s="251"/>
      <c r="O5" s="252"/>
      <c r="P5" s="252"/>
      <c r="Q5" s="251"/>
      <c r="R5" s="251"/>
      <c r="S5" s="251"/>
      <c r="T5" s="253"/>
      <c r="U5" s="253"/>
    </row>
    <row r="6" spans="1:22" s="254" customFormat="1" ht="12" customHeight="1">
      <c r="A6" s="253"/>
      <c r="B6" s="376" t="s">
        <v>211</v>
      </c>
      <c r="C6" s="378"/>
      <c r="D6" s="378"/>
      <c r="E6" s="378"/>
      <c r="F6" s="378"/>
      <c r="G6" s="378"/>
      <c r="H6" s="378"/>
      <c r="I6" s="378"/>
      <c r="J6" s="378"/>
      <c r="K6" s="378"/>
      <c r="L6" s="378"/>
      <c r="M6" s="378"/>
      <c r="N6" s="378"/>
      <c r="O6" s="378"/>
      <c r="P6" s="378"/>
      <c r="Q6" s="378"/>
      <c r="R6" s="378"/>
      <c r="S6" s="378"/>
      <c r="T6" s="378"/>
      <c r="U6" s="378"/>
    </row>
    <row r="7" spans="1:22" s="255" customFormat="1" ht="102" customHeight="1">
      <c r="B7" s="256" t="s">
        <v>72</v>
      </c>
      <c r="C7" s="257"/>
      <c r="D7" s="258" t="s">
        <v>41</v>
      </c>
      <c r="E7" s="259"/>
      <c r="F7" s="258" t="s">
        <v>182</v>
      </c>
      <c r="G7" s="259"/>
      <c r="H7" s="258" t="s">
        <v>198</v>
      </c>
      <c r="I7" s="258" t="s">
        <v>73</v>
      </c>
      <c r="J7" s="259"/>
      <c r="K7" s="258" t="s">
        <v>74</v>
      </c>
      <c r="L7" s="259"/>
      <c r="M7" s="258" t="s">
        <v>75</v>
      </c>
      <c r="O7" s="258" t="s">
        <v>144</v>
      </c>
      <c r="P7" s="259"/>
      <c r="Q7" s="258" t="s">
        <v>217</v>
      </c>
      <c r="R7" s="259"/>
      <c r="S7" s="258" t="s">
        <v>218</v>
      </c>
      <c r="T7" s="259"/>
      <c r="U7" s="256" t="s">
        <v>76</v>
      </c>
    </row>
    <row r="8" spans="1:22" s="264" customFormat="1" ht="12" customHeight="1">
      <c r="A8" s="260" t="s">
        <v>0</v>
      </c>
      <c r="B8" s="261">
        <v>955</v>
      </c>
      <c r="C8" s="262"/>
      <c r="D8" s="262">
        <v>0</v>
      </c>
      <c r="E8" s="262"/>
      <c r="F8" s="262">
        <v>0</v>
      </c>
      <c r="G8" s="262"/>
      <c r="H8" s="262">
        <v>0</v>
      </c>
      <c r="I8" s="263">
        <v>-464</v>
      </c>
      <c r="J8" s="262"/>
      <c r="K8" s="262">
        <v>0</v>
      </c>
      <c r="L8" s="262"/>
      <c r="M8" s="262">
        <v>0</v>
      </c>
      <c r="O8" s="262">
        <v>0</v>
      </c>
      <c r="P8" s="262"/>
      <c r="Q8" s="262">
        <v>0</v>
      </c>
      <c r="R8" s="262"/>
      <c r="S8" s="262">
        <v>0</v>
      </c>
      <c r="T8" s="262"/>
      <c r="U8" s="261">
        <v>491</v>
      </c>
    </row>
    <row r="9" spans="1:22" s="265" customFormat="1" ht="14.25" customHeight="1">
      <c r="A9" s="265" t="s">
        <v>202</v>
      </c>
      <c r="B9" s="191">
        <v>205</v>
      </c>
      <c r="C9" s="266"/>
      <c r="D9" s="267">
        <v>-15</v>
      </c>
      <c r="E9" s="267"/>
      <c r="F9" s="267">
        <v>0</v>
      </c>
      <c r="G9" s="267"/>
      <c r="H9" s="267">
        <v>0</v>
      </c>
      <c r="I9" s="268">
        <v>0</v>
      </c>
      <c r="J9" s="267"/>
      <c r="K9" s="267">
        <v>0</v>
      </c>
      <c r="L9" s="267"/>
      <c r="M9" s="267">
        <v>0</v>
      </c>
      <c r="O9" s="267">
        <v>0</v>
      </c>
      <c r="P9" s="267"/>
      <c r="Q9" s="267">
        <v>-1</v>
      </c>
      <c r="R9" s="267"/>
      <c r="S9" s="267">
        <v>0</v>
      </c>
      <c r="T9" s="267"/>
      <c r="U9" s="191">
        <v>189</v>
      </c>
    </row>
    <row r="10" spans="1:22" s="269" customFormat="1" ht="12.75" customHeight="1">
      <c r="A10" s="269" t="s">
        <v>1</v>
      </c>
      <c r="B10" s="192">
        <v>750</v>
      </c>
      <c r="C10" s="270"/>
      <c r="D10" s="271">
        <v>15</v>
      </c>
      <c r="E10" s="272"/>
      <c r="F10" s="272">
        <v>0</v>
      </c>
      <c r="G10" s="272"/>
      <c r="H10" s="272">
        <v>0</v>
      </c>
      <c r="I10" s="271">
        <v>-464</v>
      </c>
      <c r="J10" s="272"/>
      <c r="K10" s="272">
        <v>0</v>
      </c>
      <c r="L10" s="272"/>
      <c r="M10" s="272">
        <v>0</v>
      </c>
      <c r="O10" s="272">
        <v>0</v>
      </c>
      <c r="P10" s="272"/>
      <c r="Q10" s="272">
        <v>1</v>
      </c>
      <c r="R10" s="272"/>
      <c r="S10" s="272">
        <v>0</v>
      </c>
      <c r="T10" s="272"/>
      <c r="U10" s="192">
        <v>302</v>
      </c>
    </row>
    <row r="11" spans="1:22" s="269" customFormat="1" ht="12" customHeight="1">
      <c r="B11" s="192"/>
      <c r="C11" s="273"/>
      <c r="D11" s="272"/>
      <c r="E11" s="272"/>
      <c r="F11" s="272"/>
      <c r="G11" s="272"/>
      <c r="H11" s="272"/>
      <c r="I11" s="271"/>
      <c r="J11" s="272"/>
      <c r="K11" s="272"/>
      <c r="L11" s="272"/>
      <c r="M11" s="272"/>
      <c r="O11" s="272"/>
      <c r="P11" s="272"/>
      <c r="Q11" s="272"/>
      <c r="R11" s="272"/>
      <c r="S11" s="272"/>
      <c r="T11" s="272"/>
      <c r="U11" s="192"/>
    </row>
    <row r="12" spans="1:22" s="265" customFormat="1" ht="12" customHeight="1">
      <c r="A12" s="265" t="s">
        <v>2</v>
      </c>
      <c r="B12" s="193"/>
      <c r="C12" s="274"/>
      <c r="D12" s="275"/>
      <c r="E12" s="275"/>
      <c r="F12" s="275"/>
      <c r="G12" s="275"/>
      <c r="H12" s="275"/>
      <c r="I12" s="276"/>
      <c r="J12" s="275"/>
      <c r="K12" s="275"/>
      <c r="L12" s="275"/>
      <c r="M12" s="275"/>
      <c r="O12" s="275"/>
      <c r="P12" s="275"/>
      <c r="Q12" s="275"/>
      <c r="R12" s="275"/>
      <c r="S12" s="275"/>
      <c r="T12" s="275"/>
      <c r="U12" s="193"/>
    </row>
    <row r="13" spans="1:22" s="265" customFormat="1" ht="12" customHeight="1">
      <c r="A13" s="265" t="s">
        <v>77</v>
      </c>
      <c r="B13" s="193">
        <v>145</v>
      </c>
      <c r="C13" s="266"/>
      <c r="D13" s="275">
        <v>0</v>
      </c>
      <c r="E13" s="275"/>
      <c r="F13" s="275">
        <v>0</v>
      </c>
      <c r="G13" s="275"/>
      <c r="H13" s="275">
        <v>0</v>
      </c>
      <c r="I13" s="276">
        <v>0</v>
      </c>
      <c r="J13" s="275"/>
      <c r="K13" s="275">
        <v>0</v>
      </c>
      <c r="L13" s="275"/>
      <c r="M13" s="275">
        <v>0</v>
      </c>
      <c r="O13" s="275">
        <v>0</v>
      </c>
      <c r="P13" s="275"/>
      <c r="Q13" s="275">
        <v>-7</v>
      </c>
      <c r="R13" s="275"/>
      <c r="S13" s="275">
        <v>0</v>
      </c>
      <c r="T13" s="275"/>
      <c r="U13" s="193">
        <v>138</v>
      </c>
    </row>
    <row r="14" spans="1:22" s="265" customFormat="1" ht="12" customHeight="1">
      <c r="A14" s="265" t="s">
        <v>78</v>
      </c>
      <c r="B14" s="193">
        <v>86</v>
      </c>
      <c r="C14" s="266"/>
      <c r="D14" s="275">
        <v>0</v>
      </c>
      <c r="E14" s="275"/>
      <c r="F14" s="275">
        <v>0</v>
      </c>
      <c r="G14" s="275"/>
      <c r="H14" s="275">
        <v>0</v>
      </c>
      <c r="I14" s="276">
        <v>0</v>
      </c>
      <c r="J14" s="275"/>
      <c r="K14" s="275">
        <v>0</v>
      </c>
      <c r="L14" s="275"/>
      <c r="M14" s="275">
        <v>0</v>
      </c>
      <c r="O14" s="275">
        <v>0</v>
      </c>
      <c r="P14" s="275"/>
      <c r="Q14" s="275">
        <v>-9</v>
      </c>
      <c r="R14" s="275"/>
      <c r="S14" s="275">
        <v>0</v>
      </c>
      <c r="T14" s="275"/>
      <c r="U14" s="193">
        <v>77</v>
      </c>
    </row>
    <row r="15" spans="1:22" s="265" customFormat="1" ht="12" customHeight="1">
      <c r="A15" s="265" t="s">
        <v>79</v>
      </c>
      <c r="B15" s="193">
        <v>290</v>
      </c>
      <c r="C15" s="266"/>
      <c r="D15" s="275">
        <v>0</v>
      </c>
      <c r="E15" s="275"/>
      <c r="F15" s="275">
        <v>0</v>
      </c>
      <c r="G15" s="275"/>
      <c r="H15" s="275">
        <v>0</v>
      </c>
      <c r="I15" s="276">
        <v>0</v>
      </c>
      <c r="J15" s="275"/>
      <c r="K15" s="275">
        <v>0</v>
      </c>
      <c r="L15" s="275"/>
      <c r="M15" s="275">
        <v>0</v>
      </c>
      <c r="O15" s="275">
        <v>0</v>
      </c>
      <c r="P15" s="275"/>
      <c r="Q15" s="275">
        <v>-22</v>
      </c>
      <c r="R15" s="275"/>
      <c r="S15" s="275">
        <v>0</v>
      </c>
      <c r="T15" s="275"/>
      <c r="U15" s="193">
        <v>268</v>
      </c>
    </row>
    <row r="16" spans="1:22" s="265" customFormat="1">
      <c r="A16" s="265" t="s">
        <v>80</v>
      </c>
      <c r="B16" s="193">
        <v>-20</v>
      </c>
      <c r="C16" s="266"/>
      <c r="D16" s="275">
        <v>20</v>
      </c>
      <c r="E16" s="275"/>
      <c r="F16" s="275">
        <v>0</v>
      </c>
      <c r="G16" s="275"/>
      <c r="H16" s="275">
        <v>0</v>
      </c>
      <c r="I16" s="276">
        <v>0</v>
      </c>
      <c r="J16" s="275"/>
      <c r="K16" s="275"/>
      <c r="L16" s="275"/>
      <c r="M16" s="275"/>
      <c r="O16" s="275">
        <v>0</v>
      </c>
      <c r="P16" s="275"/>
      <c r="Q16" s="275">
        <v>0</v>
      </c>
      <c r="R16" s="275"/>
      <c r="S16" s="275">
        <v>0</v>
      </c>
      <c r="T16" s="275"/>
      <c r="U16" s="193">
        <v>0</v>
      </c>
    </row>
    <row r="17" spans="1:21" s="265" customFormat="1" ht="12" customHeight="1">
      <c r="A17" s="265" t="s">
        <v>81</v>
      </c>
      <c r="B17" s="193">
        <v>7</v>
      </c>
      <c r="C17" s="266"/>
      <c r="D17" s="275">
        <v>-7</v>
      </c>
      <c r="E17" s="275"/>
      <c r="F17" s="275">
        <v>0</v>
      </c>
      <c r="G17" s="275"/>
      <c r="H17" s="275">
        <v>0</v>
      </c>
      <c r="I17" s="276">
        <v>0</v>
      </c>
      <c r="J17" s="275"/>
      <c r="K17" s="275">
        <v>0</v>
      </c>
      <c r="L17" s="275"/>
      <c r="M17" s="275">
        <v>0</v>
      </c>
      <c r="O17" s="275">
        <v>0</v>
      </c>
      <c r="P17" s="275"/>
      <c r="Q17" s="275">
        <v>0</v>
      </c>
      <c r="R17" s="275"/>
      <c r="S17" s="275">
        <v>0</v>
      </c>
      <c r="T17" s="275"/>
      <c r="U17" s="193">
        <v>0</v>
      </c>
    </row>
    <row r="18" spans="1:21" s="265" customFormat="1" ht="14.25" customHeight="1">
      <c r="A18" s="265" t="s">
        <v>207</v>
      </c>
      <c r="B18" s="194">
        <v>27</v>
      </c>
      <c r="C18" s="266"/>
      <c r="D18" s="267">
        <v>0</v>
      </c>
      <c r="E18" s="267"/>
      <c r="F18" s="267">
        <v>0</v>
      </c>
      <c r="G18" s="267"/>
      <c r="H18" s="267">
        <v>0</v>
      </c>
      <c r="I18" s="268">
        <v>0</v>
      </c>
      <c r="J18" s="267"/>
      <c r="K18" s="267">
        <v>0</v>
      </c>
      <c r="L18" s="267"/>
      <c r="M18" s="267">
        <v>0</v>
      </c>
      <c r="O18" s="195">
        <v>-27</v>
      </c>
      <c r="P18" s="267"/>
      <c r="Q18" s="267">
        <v>0</v>
      </c>
      <c r="R18" s="267"/>
      <c r="S18" s="267">
        <v>0</v>
      </c>
      <c r="T18" s="267"/>
      <c r="U18" s="196" t="s">
        <v>9</v>
      </c>
    </row>
    <row r="19" spans="1:21" s="265" customFormat="1" ht="12.75" customHeight="1">
      <c r="A19" s="265" t="s">
        <v>82</v>
      </c>
      <c r="B19" s="191">
        <v>535</v>
      </c>
      <c r="C19" s="266"/>
      <c r="D19" s="268">
        <v>13</v>
      </c>
      <c r="E19" s="267"/>
      <c r="F19" s="267">
        <v>0</v>
      </c>
      <c r="G19" s="267"/>
      <c r="H19" s="267">
        <v>0</v>
      </c>
      <c r="I19" s="268">
        <v>0</v>
      </c>
      <c r="J19" s="267"/>
      <c r="K19" s="267">
        <v>0</v>
      </c>
      <c r="L19" s="267"/>
      <c r="M19" s="267">
        <v>0</v>
      </c>
      <c r="O19" s="267">
        <v>-27</v>
      </c>
      <c r="P19" s="267"/>
      <c r="Q19" s="267">
        <v>-38</v>
      </c>
      <c r="R19" s="267"/>
      <c r="S19" s="267">
        <v>0</v>
      </c>
      <c r="T19" s="267"/>
      <c r="U19" s="191">
        <v>483</v>
      </c>
    </row>
    <row r="20" spans="1:21" s="265" customFormat="1" ht="12" customHeight="1">
      <c r="B20" s="193"/>
      <c r="C20" s="274"/>
      <c r="D20" s="275"/>
      <c r="E20" s="275"/>
      <c r="F20" s="275"/>
      <c r="G20" s="275"/>
      <c r="H20" s="275"/>
      <c r="I20" s="276"/>
      <c r="J20" s="275"/>
      <c r="K20" s="275"/>
      <c r="L20" s="275"/>
      <c r="M20" s="275"/>
      <c r="O20" s="275"/>
      <c r="P20" s="275"/>
      <c r="Q20" s="275"/>
      <c r="R20" s="275"/>
      <c r="S20" s="275"/>
      <c r="T20" s="275"/>
      <c r="U20" s="193"/>
    </row>
    <row r="21" spans="1:21" s="278" customFormat="1" ht="12.75" customHeight="1">
      <c r="A21" s="277" t="s">
        <v>11</v>
      </c>
      <c r="B21" s="192">
        <v>215</v>
      </c>
      <c r="C21" s="270"/>
      <c r="D21" s="271">
        <v>2</v>
      </c>
      <c r="E21" s="272"/>
      <c r="F21" s="271">
        <v>0</v>
      </c>
      <c r="G21" s="272"/>
      <c r="H21" s="271">
        <v>0</v>
      </c>
      <c r="I21" s="271">
        <v>-464</v>
      </c>
      <c r="J21" s="272"/>
      <c r="K21" s="271">
        <v>0</v>
      </c>
      <c r="L21" s="272"/>
      <c r="M21" s="271">
        <v>0</v>
      </c>
      <c r="O21" s="271">
        <v>27</v>
      </c>
      <c r="P21" s="272"/>
      <c r="Q21" s="271">
        <v>39</v>
      </c>
      <c r="R21" s="272"/>
      <c r="S21" s="271">
        <v>0</v>
      </c>
      <c r="T21" s="272"/>
      <c r="U21" s="192">
        <v>-181</v>
      </c>
    </row>
    <row r="22" spans="1:21" s="278" customFormat="1" ht="12" customHeight="1">
      <c r="A22" s="279"/>
      <c r="B22" s="192"/>
      <c r="C22" s="273"/>
      <c r="D22" s="272"/>
      <c r="E22" s="272"/>
      <c r="F22" s="272"/>
      <c r="G22" s="272"/>
      <c r="H22" s="272"/>
      <c r="I22" s="271"/>
      <c r="J22" s="272"/>
      <c r="K22" s="272"/>
      <c r="L22" s="272"/>
      <c r="M22" s="272"/>
      <c r="O22" s="272"/>
      <c r="P22" s="272"/>
      <c r="Q22" s="272"/>
      <c r="R22" s="272"/>
      <c r="S22" s="272"/>
      <c r="T22" s="272"/>
      <c r="U22" s="192"/>
    </row>
    <row r="23" spans="1:21" s="280" customFormat="1" ht="14.25">
      <c r="A23" s="280" t="s">
        <v>83</v>
      </c>
      <c r="B23" s="191">
        <v>-5</v>
      </c>
      <c r="C23" s="266"/>
      <c r="D23" s="267">
        <v>0</v>
      </c>
      <c r="E23" s="267"/>
      <c r="F23" s="267">
        <v>5</v>
      </c>
      <c r="G23" s="267"/>
      <c r="H23" s="268">
        <v>0</v>
      </c>
      <c r="I23" s="268">
        <v>0</v>
      </c>
      <c r="J23" s="267"/>
      <c r="K23" s="267">
        <v>0</v>
      </c>
      <c r="L23" s="267"/>
      <c r="M23" s="267">
        <v>0</v>
      </c>
      <c r="O23" s="267">
        <v>0</v>
      </c>
      <c r="P23" s="267"/>
      <c r="Q23" s="267">
        <v>0</v>
      </c>
      <c r="R23" s="267"/>
      <c r="S23" s="267">
        <v>0</v>
      </c>
      <c r="T23" s="267"/>
      <c r="U23" s="191">
        <v>0</v>
      </c>
    </row>
    <row r="24" spans="1:21" s="280" customFormat="1" ht="12" customHeight="1">
      <c r="B24" s="193"/>
      <c r="C24" s="274"/>
      <c r="D24" s="275"/>
      <c r="E24" s="275"/>
      <c r="F24" s="275"/>
      <c r="G24" s="275"/>
      <c r="H24" s="275"/>
      <c r="I24" s="276"/>
      <c r="J24" s="275"/>
      <c r="K24" s="275"/>
      <c r="L24" s="275"/>
      <c r="M24" s="275"/>
      <c r="O24" s="275"/>
      <c r="P24" s="275"/>
      <c r="Q24" s="275"/>
      <c r="R24" s="275"/>
      <c r="S24" s="275"/>
      <c r="T24" s="275"/>
      <c r="U24" s="193"/>
    </row>
    <row r="25" spans="1:21" s="280" customFormat="1" ht="12" customHeight="1">
      <c r="A25" s="281" t="s">
        <v>22</v>
      </c>
      <c r="B25" s="193">
        <v>210</v>
      </c>
      <c r="C25" s="266"/>
      <c r="D25" s="276">
        <v>2</v>
      </c>
      <c r="E25" s="275"/>
      <c r="F25" s="276">
        <v>5</v>
      </c>
      <c r="G25" s="275"/>
      <c r="H25" s="276">
        <v>0</v>
      </c>
      <c r="I25" s="276">
        <v>-464</v>
      </c>
      <c r="J25" s="275"/>
      <c r="K25" s="276">
        <v>0</v>
      </c>
      <c r="L25" s="275"/>
      <c r="M25" s="276">
        <v>0</v>
      </c>
      <c r="O25" s="276">
        <v>27</v>
      </c>
      <c r="P25" s="275"/>
      <c r="Q25" s="276">
        <v>39</v>
      </c>
      <c r="R25" s="275"/>
      <c r="S25" s="276">
        <v>0</v>
      </c>
      <c r="T25" s="275"/>
      <c r="U25" s="193">
        <v>-181</v>
      </c>
    </row>
    <row r="26" spans="1:21" s="280" customFormat="1" ht="12" customHeight="1">
      <c r="A26" s="281"/>
      <c r="B26" s="193"/>
      <c r="C26" s="274"/>
      <c r="D26" s="275"/>
      <c r="E26" s="275"/>
      <c r="F26" s="275"/>
      <c r="G26" s="275"/>
      <c r="H26" s="275"/>
      <c r="I26" s="276"/>
      <c r="J26" s="275"/>
      <c r="K26" s="275"/>
      <c r="L26" s="275"/>
      <c r="M26" s="275"/>
      <c r="O26" s="275"/>
      <c r="P26" s="275"/>
      <c r="Q26" s="275"/>
      <c r="R26" s="275"/>
      <c r="S26" s="275"/>
      <c r="T26" s="275"/>
      <c r="U26" s="193"/>
    </row>
    <row r="27" spans="1:21" s="280" customFormat="1" ht="14.25" customHeight="1">
      <c r="A27" s="282" t="s">
        <v>23</v>
      </c>
      <c r="B27" s="191">
        <v>9</v>
      </c>
      <c r="C27" s="266"/>
      <c r="D27" s="268">
        <v>0</v>
      </c>
      <c r="E27" s="267"/>
      <c r="F27" s="268">
        <v>0</v>
      </c>
      <c r="G27" s="267"/>
      <c r="H27" s="268">
        <v>0</v>
      </c>
      <c r="I27" s="268">
        <v>0</v>
      </c>
      <c r="J27" s="267"/>
      <c r="K27" s="268" t="s">
        <v>67</v>
      </c>
      <c r="L27" s="267"/>
      <c r="M27" s="268" t="s">
        <v>67</v>
      </c>
      <c r="O27" s="268">
        <v>0</v>
      </c>
      <c r="P27" s="267"/>
      <c r="Q27" s="268">
        <v>0</v>
      </c>
      <c r="R27" s="267"/>
      <c r="S27" s="267">
        <v>-60</v>
      </c>
      <c r="T27" s="267"/>
      <c r="U27" s="191">
        <v>-51</v>
      </c>
    </row>
    <row r="28" spans="1:21" s="280" customFormat="1" ht="5.25" customHeight="1">
      <c r="B28" s="193"/>
      <c r="C28" s="274"/>
      <c r="D28" s="275"/>
      <c r="E28" s="275"/>
      <c r="F28" s="275"/>
      <c r="G28" s="275"/>
      <c r="H28" s="275"/>
      <c r="I28" s="276"/>
      <c r="J28" s="275"/>
      <c r="K28" s="275"/>
      <c r="L28" s="275"/>
      <c r="M28" s="275"/>
      <c r="O28" s="275"/>
      <c r="P28" s="275"/>
      <c r="Q28" s="275"/>
      <c r="R28" s="275"/>
      <c r="S28" s="275"/>
      <c r="T28" s="275"/>
      <c r="U28" s="193"/>
    </row>
    <row r="29" spans="1:21" s="260" customFormat="1" ht="16.5" customHeight="1">
      <c r="A29" s="283" t="s">
        <v>14</v>
      </c>
      <c r="B29" s="284">
        <v>201</v>
      </c>
      <c r="C29" s="270"/>
      <c r="D29" s="285">
        <v>2</v>
      </c>
      <c r="E29" s="286"/>
      <c r="F29" s="285">
        <v>5</v>
      </c>
      <c r="G29" s="286"/>
      <c r="H29" s="285">
        <v>0</v>
      </c>
      <c r="I29" s="285">
        <v>-464</v>
      </c>
      <c r="J29" s="286"/>
      <c r="K29" s="285">
        <v>0</v>
      </c>
      <c r="L29" s="286"/>
      <c r="M29" s="285">
        <v>0</v>
      </c>
      <c r="O29" s="285">
        <v>27</v>
      </c>
      <c r="P29" s="286"/>
      <c r="Q29" s="285">
        <v>39</v>
      </c>
      <c r="R29" s="286"/>
      <c r="S29" s="285">
        <v>60</v>
      </c>
      <c r="T29" s="286"/>
      <c r="U29" s="284">
        <v>-130</v>
      </c>
    </row>
    <row r="30" spans="1:21" s="260" customFormat="1" ht="12" customHeight="1">
      <c r="A30" s="283"/>
      <c r="B30" s="287"/>
      <c r="C30" s="288"/>
      <c r="D30" s="288"/>
      <c r="E30" s="288"/>
      <c r="F30" s="288"/>
      <c r="G30" s="288"/>
      <c r="H30" s="288"/>
      <c r="I30" s="288"/>
      <c r="J30" s="288"/>
      <c r="K30" s="288"/>
      <c r="L30" s="288"/>
      <c r="M30" s="288"/>
      <c r="N30" s="288"/>
      <c r="Q30" s="288"/>
      <c r="R30" s="288"/>
      <c r="S30" s="288"/>
      <c r="T30" s="288"/>
      <c r="U30" s="287"/>
    </row>
    <row r="31" spans="1:21" s="260" customFormat="1" ht="14.25" customHeight="1">
      <c r="A31" s="289" t="s">
        <v>142</v>
      </c>
      <c r="B31" s="287"/>
      <c r="C31" s="288"/>
      <c r="D31" s="288"/>
      <c r="E31" s="288"/>
      <c r="F31" s="288"/>
      <c r="G31" s="288"/>
      <c r="H31" s="288"/>
      <c r="I31" s="288"/>
      <c r="J31" s="288"/>
      <c r="K31" s="288"/>
      <c r="L31" s="288"/>
      <c r="M31" s="288"/>
      <c r="N31" s="288"/>
      <c r="Q31" s="289" t="s">
        <v>139</v>
      </c>
      <c r="R31" s="288"/>
      <c r="S31" s="288"/>
      <c r="T31" s="288"/>
      <c r="U31" s="287"/>
    </row>
    <row r="32" spans="1:21" s="293" customFormat="1" ht="12" customHeight="1">
      <c r="A32" s="290" t="s">
        <v>107</v>
      </c>
      <c r="B32" s="291">
        <v>0.63</v>
      </c>
      <c r="C32" s="292"/>
      <c r="D32" s="292"/>
      <c r="E32" s="292"/>
      <c r="F32" s="292"/>
      <c r="G32" s="292"/>
      <c r="H32" s="292"/>
      <c r="I32" s="292"/>
      <c r="J32" s="292"/>
      <c r="K32" s="292"/>
      <c r="L32" s="292"/>
      <c r="M32" s="292"/>
      <c r="N32" s="292"/>
      <c r="Q32" s="290" t="s">
        <v>109</v>
      </c>
      <c r="R32" s="292"/>
      <c r="S32" s="292"/>
      <c r="T32" s="292"/>
      <c r="U32" s="291">
        <v>-0.41</v>
      </c>
    </row>
    <row r="33" spans="1:21" s="293" customFormat="1" ht="12" customHeight="1">
      <c r="A33" s="290" t="s">
        <v>108</v>
      </c>
      <c r="B33" s="291">
        <v>0.63</v>
      </c>
      <c r="C33" s="292"/>
      <c r="D33" s="292"/>
      <c r="E33" s="292"/>
      <c r="F33" s="292"/>
      <c r="G33" s="292"/>
      <c r="H33" s="292"/>
      <c r="I33" s="292"/>
      <c r="J33" s="292"/>
      <c r="K33" s="292"/>
      <c r="L33" s="292"/>
      <c r="M33" s="292"/>
      <c r="N33" s="292"/>
      <c r="Q33" s="290"/>
      <c r="R33" s="292"/>
      <c r="S33" s="292"/>
      <c r="T33" s="292"/>
      <c r="U33" s="291"/>
    </row>
    <row r="34" spans="1:21" s="293" customFormat="1" ht="12" customHeight="1">
      <c r="A34" s="290"/>
      <c r="B34" s="291"/>
      <c r="C34" s="292"/>
      <c r="D34" s="292"/>
      <c r="E34" s="292"/>
      <c r="F34" s="292"/>
      <c r="G34" s="292"/>
      <c r="H34" s="292"/>
      <c r="I34" s="292"/>
      <c r="J34" s="292"/>
      <c r="K34" s="292"/>
      <c r="L34" s="292"/>
      <c r="M34" s="292"/>
      <c r="N34" s="292"/>
      <c r="O34" s="289"/>
      <c r="Q34" s="294"/>
      <c r="R34" s="292"/>
      <c r="S34" s="292"/>
      <c r="T34" s="292"/>
      <c r="U34" s="291"/>
    </row>
    <row r="35" spans="1:21" s="293" customFormat="1" ht="12" customHeight="1">
      <c r="A35" s="294" t="s">
        <v>110</v>
      </c>
      <c r="B35" s="197"/>
      <c r="C35" s="295"/>
      <c r="D35" s="295"/>
      <c r="E35" s="295"/>
      <c r="F35" s="295"/>
      <c r="G35" s="295"/>
      <c r="H35" s="295"/>
      <c r="I35" s="295"/>
      <c r="J35" s="295"/>
      <c r="K35" s="295"/>
      <c r="L35" s="295"/>
      <c r="M35" s="295"/>
      <c r="N35" s="295"/>
      <c r="O35" s="290"/>
      <c r="Q35" s="294" t="s">
        <v>110</v>
      </c>
      <c r="R35" s="295"/>
      <c r="S35" s="295"/>
      <c r="T35" s="295"/>
      <c r="U35" s="197"/>
    </row>
    <row r="36" spans="1:21" s="293" customFormat="1" ht="12" customHeight="1">
      <c r="A36" s="294" t="s">
        <v>107</v>
      </c>
      <c r="B36" s="198">
        <v>317</v>
      </c>
      <c r="C36" s="295"/>
      <c r="D36" s="295"/>
      <c r="E36" s="295"/>
      <c r="F36" s="295"/>
      <c r="G36" s="295"/>
      <c r="H36" s="295"/>
      <c r="I36" s="295"/>
      <c r="J36" s="295"/>
      <c r="K36" s="295"/>
      <c r="L36" s="295"/>
      <c r="M36" s="295"/>
      <c r="N36" s="295"/>
      <c r="O36" s="290"/>
      <c r="Q36" s="294" t="s">
        <v>109</v>
      </c>
      <c r="R36" s="295"/>
      <c r="S36" s="295"/>
      <c r="T36" s="295"/>
      <c r="U36" s="198">
        <v>317</v>
      </c>
    </row>
    <row r="37" spans="1:21" s="293" customFormat="1" ht="12" customHeight="1">
      <c r="A37" s="294" t="s">
        <v>108</v>
      </c>
      <c r="B37" s="198">
        <v>320</v>
      </c>
      <c r="C37" s="295"/>
      <c r="D37" s="295"/>
      <c r="E37" s="295"/>
      <c r="F37" s="295"/>
      <c r="G37" s="295"/>
      <c r="H37" s="295"/>
      <c r="I37" s="295"/>
      <c r="J37" s="295"/>
      <c r="K37" s="295"/>
      <c r="L37" s="295"/>
      <c r="M37" s="295"/>
      <c r="N37" s="295"/>
      <c r="Q37" s="294"/>
      <c r="R37" s="295"/>
      <c r="S37" s="295"/>
      <c r="T37" s="295"/>
      <c r="U37" s="296"/>
    </row>
    <row r="39" spans="1:21" ht="12" customHeight="1">
      <c r="A39" s="294"/>
    </row>
    <row r="40" spans="1:21" ht="12" customHeight="1">
      <c r="A40" s="294"/>
    </row>
    <row r="41" spans="1:21" ht="12" customHeight="1">
      <c r="A41" s="294"/>
    </row>
  </sheetData>
  <mergeCells count="4">
    <mergeCell ref="A1:U1"/>
    <mergeCell ref="A2:U2"/>
    <mergeCell ref="A3:U3"/>
    <mergeCell ref="B6:U6"/>
  </mergeCells>
  <printOptions horizontalCentered="1"/>
  <pageMargins left="0" right="0" top="0.8" bottom="0.42" header="0.25" footer="0.25"/>
  <pageSetup scale="7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autoPageBreaks="0"/>
  </sheetPr>
  <dimension ref="A1:V41"/>
  <sheetViews>
    <sheetView showGridLines="0" zoomScaleNormal="100" workbookViewId="0">
      <pane xSplit="1" ySplit="7" topLeftCell="B8" activePane="bottomRight" state="frozen"/>
      <selection activeCell="E21" sqref="E21"/>
      <selection pane="topRight" activeCell="E21" sqref="E21"/>
      <selection pane="bottomLeft" activeCell="E21" sqref="E21"/>
      <selection pane="bottomRight" activeCell="I16" sqref="I16"/>
    </sheetView>
  </sheetViews>
  <sheetFormatPr defaultColWidth="11.42578125" defaultRowHeight="12" customHeight="1"/>
  <cols>
    <col min="1" max="1" width="45.28515625" style="296" customWidth="1"/>
    <col min="2" max="2" width="10.7109375" style="296" customWidth="1"/>
    <col min="3" max="3" width="2" style="296" customWidth="1"/>
    <col min="4" max="4" width="15.140625" style="296" customWidth="1"/>
    <col min="5" max="5" width="1.7109375" style="296" customWidth="1"/>
    <col min="6" max="6" width="15.140625" style="296" customWidth="1"/>
    <col min="7" max="7" width="1.7109375" style="296" customWidth="1"/>
    <col min="8" max="8" width="15.140625" style="296" customWidth="1"/>
    <col min="9" max="9" width="13" style="296" customWidth="1"/>
    <col min="10" max="10" width="1.28515625" style="296" customWidth="1"/>
    <col min="11" max="11" width="12.140625" style="296" hidden="1" customWidth="1"/>
    <col min="12" max="12" width="1.7109375" style="296" hidden="1" customWidth="1"/>
    <col min="13" max="13" width="12.140625" style="296" hidden="1" customWidth="1"/>
    <col min="14" max="14" width="1.7109375" style="296" hidden="1" customWidth="1"/>
    <col min="15" max="15" width="15.85546875" style="296" customWidth="1"/>
    <col min="16" max="16" width="1.7109375" style="296" customWidth="1"/>
    <col min="17" max="17" width="15.140625" style="296" customWidth="1"/>
    <col min="18" max="18" width="1.5703125" style="296" customWidth="1"/>
    <col min="19" max="19" width="15.140625" style="296" customWidth="1"/>
    <col min="20" max="20" width="1.5703125" style="296" customWidth="1"/>
    <col min="21" max="16384" width="11.42578125" style="296"/>
  </cols>
  <sheetData>
    <row r="1" spans="1:22" s="248" customFormat="1" ht="12" customHeight="1">
      <c r="A1" s="375" t="s">
        <v>68</v>
      </c>
      <c r="B1" s="377"/>
      <c r="C1" s="377"/>
      <c r="D1" s="377"/>
      <c r="E1" s="377"/>
      <c r="F1" s="377"/>
      <c r="G1" s="377"/>
      <c r="H1" s="377"/>
      <c r="I1" s="377"/>
      <c r="J1" s="377"/>
      <c r="K1" s="377"/>
      <c r="L1" s="377"/>
      <c r="M1" s="377"/>
      <c r="N1" s="377"/>
      <c r="O1" s="377"/>
      <c r="P1" s="377"/>
      <c r="Q1" s="377"/>
      <c r="R1" s="377"/>
      <c r="S1" s="377"/>
      <c r="T1" s="377"/>
      <c r="U1" s="377"/>
      <c r="V1" s="247"/>
    </row>
    <row r="2" spans="1:22" s="248" customFormat="1" ht="12" customHeight="1">
      <c r="A2" s="375" t="s">
        <v>69</v>
      </c>
      <c r="B2" s="377"/>
      <c r="C2" s="377"/>
      <c r="D2" s="377"/>
      <c r="E2" s="377"/>
      <c r="F2" s="377"/>
      <c r="G2" s="377"/>
      <c r="H2" s="377"/>
      <c r="I2" s="377"/>
      <c r="J2" s="377"/>
      <c r="K2" s="377"/>
      <c r="L2" s="377"/>
      <c r="M2" s="377"/>
      <c r="N2" s="377"/>
      <c r="O2" s="377"/>
      <c r="P2" s="377"/>
      <c r="Q2" s="377"/>
      <c r="R2" s="377"/>
      <c r="S2" s="377"/>
      <c r="T2" s="377"/>
      <c r="U2" s="377"/>
      <c r="V2" s="247"/>
    </row>
    <row r="3" spans="1:22" s="248" customFormat="1" ht="12" customHeight="1">
      <c r="A3" s="375" t="s">
        <v>70</v>
      </c>
      <c r="B3" s="377"/>
      <c r="C3" s="377"/>
      <c r="D3" s="377"/>
      <c r="E3" s="377"/>
      <c r="F3" s="377"/>
      <c r="G3" s="377"/>
      <c r="H3" s="377"/>
      <c r="I3" s="377"/>
      <c r="J3" s="377"/>
      <c r="K3" s="377"/>
      <c r="L3" s="377"/>
      <c r="M3" s="377"/>
      <c r="N3" s="377"/>
      <c r="O3" s="377"/>
      <c r="P3" s="377"/>
      <c r="Q3" s="377"/>
      <c r="R3" s="377"/>
      <c r="S3" s="377"/>
      <c r="T3" s="377"/>
      <c r="U3" s="377"/>
      <c r="V3" s="247"/>
    </row>
    <row r="4" spans="1:22" s="248" customFormat="1" ht="12" customHeight="1">
      <c r="A4" s="320"/>
      <c r="B4" s="320"/>
      <c r="C4" s="320"/>
      <c r="D4" s="320"/>
      <c r="E4" s="320"/>
      <c r="F4" s="320"/>
      <c r="G4" s="320"/>
      <c r="H4" s="320"/>
      <c r="I4" s="320"/>
      <c r="J4" s="320"/>
      <c r="K4" s="320"/>
      <c r="L4" s="320"/>
      <c r="M4" s="320"/>
      <c r="N4" s="320"/>
      <c r="O4" s="320"/>
      <c r="P4" s="320"/>
      <c r="Q4" s="320"/>
      <c r="R4" s="320"/>
      <c r="S4" s="320"/>
      <c r="T4" s="320"/>
      <c r="U4" s="320"/>
      <c r="V4" s="249"/>
    </row>
    <row r="5" spans="1:22" s="254" customFormat="1" ht="12" customHeight="1">
      <c r="A5" s="250"/>
      <c r="B5" s="251"/>
      <c r="C5" s="251"/>
      <c r="D5" s="251"/>
      <c r="E5" s="251"/>
      <c r="F5" s="251"/>
      <c r="G5" s="251"/>
      <c r="H5" s="251"/>
      <c r="I5" s="251"/>
      <c r="J5" s="251"/>
      <c r="K5" s="252"/>
      <c r="L5" s="251"/>
      <c r="M5" s="252"/>
      <c r="N5" s="251"/>
      <c r="O5" s="252"/>
      <c r="P5" s="252"/>
      <c r="Q5" s="251"/>
      <c r="R5" s="251"/>
      <c r="S5" s="251"/>
      <c r="T5" s="253"/>
      <c r="U5" s="253"/>
    </row>
    <row r="6" spans="1:22" s="254" customFormat="1" ht="12" customHeight="1">
      <c r="A6" s="253"/>
      <c r="B6" s="376" t="s">
        <v>193</v>
      </c>
      <c r="C6" s="378"/>
      <c r="D6" s="378"/>
      <c r="E6" s="378"/>
      <c r="F6" s="378"/>
      <c r="G6" s="378"/>
      <c r="H6" s="378"/>
      <c r="I6" s="378"/>
      <c r="J6" s="378"/>
      <c r="K6" s="378"/>
      <c r="L6" s="378"/>
      <c r="M6" s="378"/>
      <c r="N6" s="378"/>
      <c r="O6" s="378"/>
      <c r="P6" s="378"/>
      <c r="Q6" s="378"/>
      <c r="R6" s="378"/>
      <c r="S6" s="378"/>
      <c r="T6" s="378"/>
      <c r="U6" s="378"/>
    </row>
    <row r="7" spans="1:22" s="255" customFormat="1" ht="102" customHeight="1">
      <c r="B7" s="256" t="s">
        <v>72</v>
      </c>
      <c r="C7" s="257"/>
      <c r="D7" s="258" t="s">
        <v>41</v>
      </c>
      <c r="E7" s="259"/>
      <c r="F7" s="258" t="s">
        <v>182</v>
      </c>
      <c r="G7" s="259"/>
      <c r="H7" s="258" t="s">
        <v>198</v>
      </c>
      <c r="I7" s="258" t="s">
        <v>73</v>
      </c>
      <c r="J7" s="259"/>
      <c r="K7" s="258" t="s">
        <v>74</v>
      </c>
      <c r="L7" s="259"/>
      <c r="M7" s="258" t="s">
        <v>75</v>
      </c>
      <c r="O7" s="258" t="s">
        <v>144</v>
      </c>
      <c r="P7" s="259"/>
      <c r="Q7" s="258" t="s">
        <v>217</v>
      </c>
      <c r="R7" s="259"/>
      <c r="S7" s="258" t="s">
        <v>218</v>
      </c>
      <c r="T7" s="259"/>
      <c r="U7" s="256" t="s">
        <v>76</v>
      </c>
    </row>
    <row r="8" spans="1:22" s="264" customFormat="1" ht="12" customHeight="1">
      <c r="A8" s="260" t="s">
        <v>0</v>
      </c>
      <c r="B8" s="261">
        <v>1368</v>
      </c>
      <c r="C8" s="262"/>
      <c r="D8" s="262">
        <v>0</v>
      </c>
      <c r="E8" s="262"/>
      <c r="F8" s="262">
        <v>0</v>
      </c>
      <c r="G8" s="262"/>
      <c r="H8" s="262">
        <v>0</v>
      </c>
      <c r="I8" s="263">
        <v>-391</v>
      </c>
      <c r="J8" s="262"/>
      <c r="K8" s="262">
        <v>0</v>
      </c>
      <c r="L8" s="262"/>
      <c r="M8" s="262">
        <v>0</v>
      </c>
      <c r="O8" s="262">
        <v>0</v>
      </c>
      <c r="P8" s="262"/>
      <c r="Q8" s="262">
        <v>0</v>
      </c>
      <c r="R8" s="262"/>
      <c r="S8" s="262">
        <v>0</v>
      </c>
      <c r="T8" s="262"/>
      <c r="U8" s="261">
        <v>977</v>
      </c>
    </row>
    <row r="9" spans="1:22" s="265" customFormat="1" ht="14.25" customHeight="1">
      <c r="A9" s="265" t="s">
        <v>202</v>
      </c>
      <c r="B9" s="191">
        <v>374</v>
      </c>
      <c r="C9" s="266"/>
      <c r="D9" s="267">
        <v>-27</v>
      </c>
      <c r="E9" s="267"/>
      <c r="F9" s="267">
        <v>0</v>
      </c>
      <c r="G9" s="267"/>
      <c r="H9" s="267">
        <v>0</v>
      </c>
      <c r="I9" s="268">
        <v>0</v>
      </c>
      <c r="J9" s="267"/>
      <c r="K9" s="267">
        <v>0</v>
      </c>
      <c r="L9" s="267"/>
      <c r="M9" s="267">
        <v>0</v>
      </c>
      <c r="O9" s="267">
        <v>0</v>
      </c>
      <c r="P9" s="267"/>
      <c r="Q9" s="267">
        <v>-1</v>
      </c>
      <c r="R9" s="267"/>
      <c r="S9" s="267">
        <v>0</v>
      </c>
      <c r="T9" s="267"/>
      <c r="U9" s="191">
        <v>346</v>
      </c>
    </row>
    <row r="10" spans="1:22" s="269" customFormat="1" ht="12.75" customHeight="1">
      <c r="A10" s="269" t="s">
        <v>1</v>
      </c>
      <c r="B10" s="192">
        <v>994</v>
      </c>
      <c r="C10" s="270"/>
      <c r="D10" s="271">
        <v>27</v>
      </c>
      <c r="E10" s="272"/>
      <c r="F10" s="272">
        <v>0</v>
      </c>
      <c r="G10" s="272"/>
      <c r="H10" s="272">
        <v>0</v>
      </c>
      <c r="I10" s="271">
        <v>-391</v>
      </c>
      <c r="J10" s="272"/>
      <c r="K10" s="272">
        <v>0</v>
      </c>
      <c r="L10" s="272"/>
      <c r="M10" s="272">
        <v>0</v>
      </c>
      <c r="O10" s="272">
        <v>0</v>
      </c>
      <c r="P10" s="272"/>
      <c r="Q10" s="272">
        <v>1</v>
      </c>
      <c r="R10" s="272"/>
      <c r="S10" s="272">
        <v>0</v>
      </c>
      <c r="T10" s="272"/>
      <c r="U10" s="192">
        <v>631</v>
      </c>
    </row>
    <row r="11" spans="1:22" s="269" customFormat="1" ht="12" customHeight="1">
      <c r="B11" s="192"/>
      <c r="C11" s="273"/>
      <c r="D11" s="272"/>
      <c r="E11" s="272"/>
      <c r="F11" s="272"/>
      <c r="G11" s="272"/>
      <c r="H11" s="272"/>
      <c r="I11" s="271"/>
      <c r="J11" s="272"/>
      <c r="K11" s="272"/>
      <c r="L11" s="272"/>
      <c r="M11" s="272"/>
      <c r="O11" s="272"/>
      <c r="P11" s="272"/>
      <c r="Q11" s="272"/>
      <c r="R11" s="272"/>
      <c r="S11" s="272"/>
      <c r="T11" s="272"/>
      <c r="U11" s="192"/>
    </row>
    <row r="12" spans="1:22" s="265" customFormat="1" ht="12" customHeight="1">
      <c r="A12" s="265" t="s">
        <v>2</v>
      </c>
      <c r="B12" s="193"/>
      <c r="C12" s="274"/>
      <c r="D12" s="275"/>
      <c r="E12" s="275"/>
      <c r="F12" s="275"/>
      <c r="G12" s="275"/>
      <c r="H12" s="275"/>
      <c r="I12" s="276"/>
      <c r="J12" s="275"/>
      <c r="K12" s="275"/>
      <c r="L12" s="275"/>
      <c r="M12" s="275"/>
      <c r="O12" s="275"/>
      <c r="P12" s="275"/>
      <c r="Q12" s="275"/>
      <c r="R12" s="275"/>
      <c r="S12" s="275"/>
      <c r="T12" s="275"/>
      <c r="U12" s="193"/>
    </row>
    <row r="13" spans="1:22" s="265" customFormat="1" ht="12" customHeight="1">
      <c r="A13" s="265" t="s">
        <v>77</v>
      </c>
      <c r="B13" s="193">
        <v>222</v>
      </c>
      <c r="C13" s="266"/>
      <c r="D13" s="275">
        <v>0</v>
      </c>
      <c r="E13" s="275"/>
      <c r="F13" s="275">
        <v>0</v>
      </c>
      <c r="G13" s="275"/>
      <c r="H13" s="275">
        <v>0</v>
      </c>
      <c r="I13" s="276">
        <v>0</v>
      </c>
      <c r="J13" s="275"/>
      <c r="K13" s="275">
        <v>0</v>
      </c>
      <c r="L13" s="275"/>
      <c r="M13" s="275">
        <v>0</v>
      </c>
      <c r="O13" s="275">
        <v>0</v>
      </c>
      <c r="P13" s="275"/>
      <c r="Q13" s="275">
        <v>-8</v>
      </c>
      <c r="R13" s="275"/>
      <c r="S13" s="275">
        <v>0</v>
      </c>
      <c r="T13" s="275"/>
      <c r="U13" s="193">
        <v>214</v>
      </c>
    </row>
    <row r="14" spans="1:22" s="265" customFormat="1" ht="12" customHeight="1">
      <c r="A14" s="265" t="s">
        <v>78</v>
      </c>
      <c r="B14" s="193">
        <v>115</v>
      </c>
      <c r="C14" s="266"/>
      <c r="D14" s="275">
        <v>0</v>
      </c>
      <c r="E14" s="275"/>
      <c r="F14" s="275">
        <v>0</v>
      </c>
      <c r="G14" s="275"/>
      <c r="H14" s="275">
        <v>-27</v>
      </c>
      <c r="I14" s="276">
        <v>0</v>
      </c>
      <c r="J14" s="275"/>
      <c r="K14" s="275">
        <v>0</v>
      </c>
      <c r="L14" s="275"/>
      <c r="M14" s="275">
        <v>0</v>
      </c>
      <c r="O14" s="275">
        <v>0</v>
      </c>
      <c r="P14" s="275"/>
      <c r="Q14" s="275">
        <v>-7</v>
      </c>
      <c r="R14" s="275"/>
      <c r="S14" s="275">
        <v>0</v>
      </c>
      <c r="T14" s="275"/>
      <c r="U14" s="193">
        <v>81</v>
      </c>
    </row>
    <row r="15" spans="1:22" s="265" customFormat="1" ht="12" customHeight="1">
      <c r="A15" s="265" t="s">
        <v>79</v>
      </c>
      <c r="B15" s="193">
        <v>284</v>
      </c>
      <c r="C15" s="266"/>
      <c r="D15" s="275">
        <v>0</v>
      </c>
      <c r="E15" s="275"/>
      <c r="F15" s="275">
        <v>0</v>
      </c>
      <c r="G15" s="275"/>
      <c r="H15" s="275">
        <v>0</v>
      </c>
      <c r="I15" s="276">
        <v>0</v>
      </c>
      <c r="J15" s="275"/>
      <c r="K15" s="275">
        <v>0</v>
      </c>
      <c r="L15" s="275"/>
      <c r="M15" s="275">
        <v>0</v>
      </c>
      <c r="O15" s="275">
        <v>0</v>
      </c>
      <c r="P15" s="275"/>
      <c r="Q15" s="275">
        <v>-25</v>
      </c>
      <c r="R15" s="275"/>
      <c r="S15" s="275">
        <v>0</v>
      </c>
      <c r="T15" s="275"/>
      <c r="U15" s="193">
        <v>259</v>
      </c>
    </row>
    <row r="16" spans="1:22" s="265" customFormat="1">
      <c r="A16" s="265" t="s">
        <v>80</v>
      </c>
      <c r="B16" s="193">
        <v>3</v>
      </c>
      <c r="C16" s="266"/>
      <c r="D16" s="275">
        <v>-3</v>
      </c>
      <c r="E16" s="275"/>
      <c r="F16" s="275">
        <v>0</v>
      </c>
      <c r="G16" s="275"/>
      <c r="H16" s="275">
        <v>0</v>
      </c>
      <c r="I16" s="276">
        <v>0</v>
      </c>
      <c r="J16" s="275"/>
      <c r="K16" s="275"/>
      <c r="L16" s="275"/>
      <c r="M16" s="275"/>
      <c r="O16" s="275">
        <v>0</v>
      </c>
      <c r="P16" s="275"/>
      <c r="Q16" s="275">
        <v>0</v>
      </c>
      <c r="R16" s="275"/>
      <c r="S16" s="275">
        <v>0</v>
      </c>
      <c r="T16" s="275"/>
      <c r="U16" s="193">
        <v>0</v>
      </c>
    </row>
    <row r="17" spans="1:21" s="265" customFormat="1" ht="12" customHeight="1">
      <c r="A17" s="265" t="s">
        <v>81</v>
      </c>
      <c r="B17" s="193">
        <v>6</v>
      </c>
      <c r="C17" s="266"/>
      <c r="D17" s="275">
        <v>-6</v>
      </c>
      <c r="E17" s="275"/>
      <c r="F17" s="275">
        <v>0</v>
      </c>
      <c r="G17" s="275"/>
      <c r="H17" s="275">
        <v>0</v>
      </c>
      <c r="I17" s="276">
        <v>0</v>
      </c>
      <c r="J17" s="275"/>
      <c r="K17" s="275">
        <v>0</v>
      </c>
      <c r="L17" s="275"/>
      <c r="M17" s="275">
        <v>0</v>
      </c>
      <c r="O17" s="275">
        <v>0</v>
      </c>
      <c r="P17" s="275"/>
      <c r="Q17" s="275">
        <v>0</v>
      </c>
      <c r="R17" s="275"/>
      <c r="S17" s="275">
        <v>0</v>
      </c>
      <c r="T17" s="275"/>
      <c r="U17" s="193">
        <v>0</v>
      </c>
    </row>
    <row r="18" spans="1:21" s="265" customFormat="1" ht="14.25" customHeight="1">
      <c r="A18" s="265" t="s">
        <v>207</v>
      </c>
      <c r="B18" s="194">
        <v>-1</v>
      </c>
      <c r="C18" s="266"/>
      <c r="D18" s="267">
        <v>0</v>
      </c>
      <c r="E18" s="267"/>
      <c r="F18" s="267">
        <v>0</v>
      </c>
      <c r="G18" s="267"/>
      <c r="H18" s="267">
        <v>0</v>
      </c>
      <c r="I18" s="268">
        <v>0</v>
      </c>
      <c r="J18" s="267"/>
      <c r="K18" s="267">
        <v>0</v>
      </c>
      <c r="L18" s="267"/>
      <c r="M18" s="267">
        <v>0</v>
      </c>
      <c r="O18" s="195">
        <v>1</v>
      </c>
      <c r="P18" s="267"/>
      <c r="Q18" s="267">
        <v>0</v>
      </c>
      <c r="R18" s="267"/>
      <c r="S18" s="267">
        <v>0</v>
      </c>
      <c r="T18" s="267"/>
      <c r="U18" s="196" t="s">
        <v>9</v>
      </c>
    </row>
    <row r="19" spans="1:21" s="265" customFormat="1" ht="12.75" customHeight="1">
      <c r="A19" s="265" t="s">
        <v>82</v>
      </c>
      <c r="B19" s="191">
        <v>629</v>
      </c>
      <c r="C19" s="266"/>
      <c r="D19" s="268">
        <v>-9</v>
      </c>
      <c r="E19" s="267"/>
      <c r="F19" s="267">
        <v>0</v>
      </c>
      <c r="G19" s="267"/>
      <c r="H19" s="267">
        <v>-27</v>
      </c>
      <c r="I19" s="268">
        <v>0</v>
      </c>
      <c r="J19" s="267"/>
      <c r="K19" s="267">
        <v>0</v>
      </c>
      <c r="L19" s="267"/>
      <c r="M19" s="267">
        <v>0</v>
      </c>
      <c r="O19" s="267">
        <v>1</v>
      </c>
      <c r="P19" s="267"/>
      <c r="Q19" s="267">
        <v>-40</v>
      </c>
      <c r="R19" s="267"/>
      <c r="S19" s="267">
        <v>0</v>
      </c>
      <c r="T19" s="267"/>
      <c r="U19" s="191">
        <v>554</v>
      </c>
    </row>
    <row r="20" spans="1:21" s="265" customFormat="1" ht="12" customHeight="1">
      <c r="B20" s="193"/>
      <c r="C20" s="274"/>
      <c r="D20" s="275"/>
      <c r="E20" s="275"/>
      <c r="F20" s="275"/>
      <c r="G20" s="275"/>
      <c r="H20" s="275"/>
      <c r="I20" s="276"/>
      <c r="J20" s="275"/>
      <c r="K20" s="275"/>
      <c r="L20" s="275"/>
      <c r="M20" s="275"/>
      <c r="O20" s="275"/>
      <c r="P20" s="275"/>
      <c r="Q20" s="275"/>
      <c r="R20" s="275"/>
      <c r="S20" s="275"/>
      <c r="T20" s="275"/>
      <c r="U20" s="193"/>
    </row>
    <row r="21" spans="1:21" s="278" customFormat="1" ht="12.75" customHeight="1">
      <c r="A21" s="277" t="s">
        <v>88</v>
      </c>
      <c r="B21" s="192">
        <v>365</v>
      </c>
      <c r="C21" s="270"/>
      <c r="D21" s="271">
        <v>36</v>
      </c>
      <c r="E21" s="272"/>
      <c r="F21" s="271">
        <v>0</v>
      </c>
      <c r="G21" s="272"/>
      <c r="H21" s="271">
        <v>27</v>
      </c>
      <c r="I21" s="271">
        <v>-391</v>
      </c>
      <c r="J21" s="272"/>
      <c r="K21" s="271">
        <v>0</v>
      </c>
      <c r="L21" s="272"/>
      <c r="M21" s="271">
        <v>0</v>
      </c>
      <c r="O21" s="271">
        <v>-1</v>
      </c>
      <c r="P21" s="272"/>
      <c r="Q21" s="271">
        <v>41</v>
      </c>
      <c r="R21" s="272"/>
      <c r="S21" s="271">
        <v>0</v>
      </c>
      <c r="T21" s="272"/>
      <c r="U21" s="192">
        <v>77</v>
      </c>
    </row>
    <row r="22" spans="1:21" s="278" customFormat="1" ht="12" customHeight="1">
      <c r="A22" s="279"/>
      <c r="B22" s="192"/>
      <c r="C22" s="273"/>
      <c r="D22" s="272"/>
      <c r="E22" s="272"/>
      <c r="F22" s="272"/>
      <c r="G22" s="272"/>
      <c r="H22" s="272"/>
      <c r="I22" s="271"/>
      <c r="J22" s="272"/>
      <c r="K22" s="272"/>
      <c r="L22" s="272"/>
      <c r="M22" s="272"/>
      <c r="O22" s="272"/>
      <c r="P22" s="272"/>
      <c r="Q22" s="272"/>
      <c r="R22" s="272"/>
      <c r="S22" s="272"/>
      <c r="T22" s="272"/>
      <c r="U22" s="192"/>
    </row>
    <row r="23" spans="1:21" s="280" customFormat="1" ht="14.25">
      <c r="A23" s="280" t="s">
        <v>83</v>
      </c>
      <c r="B23" s="191">
        <v>-4</v>
      </c>
      <c r="C23" s="266"/>
      <c r="D23" s="267">
        <v>0</v>
      </c>
      <c r="E23" s="267"/>
      <c r="F23" s="267">
        <v>5</v>
      </c>
      <c r="G23" s="267"/>
      <c r="H23" s="268">
        <v>0</v>
      </c>
      <c r="I23" s="268">
        <v>0</v>
      </c>
      <c r="J23" s="267"/>
      <c r="K23" s="267">
        <v>0</v>
      </c>
      <c r="L23" s="267"/>
      <c r="M23" s="267">
        <v>0</v>
      </c>
      <c r="O23" s="267">
        <v>0</v>
      </c>
      <c r="P23" s="267"/>
      <c r="Q23" s="267">
        <v>0</v>
      </c>
      <c r="R23" s="267"/>
      <c r="S23" s="267">
        <v>0</v>
      </c>
      <c r="T23" s="267"/>
      <c r="U23" s="191">
        <v>1</v>
      </c>
    </row>
    <row r="24" spans="1:21" s="280" customFormat="1" ht="12" customHeight="1">
      <c r="B24" s="193"/>
      <c r="C24" s="274"/>
      <c r="D24" s="275"/>
      <c r="E24" s="275"/>
      <c r="F24" s="275"/>
      <c r="G24" s="275"/>
      <c r="H24" s="275"/>
      <c r="I24" s="276"/>
      <c r="J24" s="275"/>
      <c r="K24" s="275"/>
      <c r="L24" s="275"/>
      <c r="M24" s="275"/>
      <c r="O24" s="275"/>
      <c r="P24" s="275"/>
      <c r="Q24" s="275"/>
      <c r="R24" s="275"/>
      <c r="S24" s="275"/>
      <c r="T24" s="275"/>
      <c r="U24" s="193"/>
    </row>
    <row r="25" spans="1:21" s="280" customFormat="1" ht="12" customHeight="1">
      <c r="A25" s="281" t="s">
        <v>147</v>
      </c>
      <c r="B25" s="193">
        <v>361</v>
      </c>
      <c r="C25" s="266"/>
      <c r="D25" s="276">
        <v>36</v>
      </c>
      <c r="E25" s="275"/>
      <c r="F25" s="276">
        <v>5</v>
      </c>
      <c r="G25" s="275"/>
      <c r="H25" s="276">
        <v>27</v>
      </c>
      <c r="I25" s="276">
        <v>-391</v>
      </c>
      <c r="J25" s="275"/>
      <c r="K25" s="276">
        <v>0</v>
      </c>
      <c r="L25" s="275"/>
      <c r="M25" s="276">
        <v>0</v>
      </c>
      <c r="O25" s="276">
        <v>-1</v>
      </c>
      <c r="P25" s="275"/>
      <c r="Q25" s="276">
        <v>41</v>
      </c>
      <c r="R25" s="275"/>
      <c r="S25" s="276">
        <v>0</v>
      </c>
      <c r="T25" s="275"/>
      <c r="U25" s="193">
        <v>78</v>
      </c>
    </row>
    <row r="26" spans="1:21" s="280" customFormat="1" ht="12" customHeight="1">
      <c r="A26" s="281"/>
      <c r="B26" s="193"/>
      <c r="C26" s="274"/>
      <c r="D26" s="275"/>
      <c r="E26" s="275"/>
      <c r="F26" s="275"/>
      <c r="G26" s="275"/>
      <c r="H26" s="275"/>
      <c r="I26" s="276"/>
      <c r="J26" s="275"/>
      <c r="K26" s="275"/>
      <c r="L26" s="275"/>
      <c r="M26" s="275"/>
      <c r="O26" s="275"/>
      <c r="P26" s="275"/>
      <c r="Q26" s="275"/>
      <c r="R26" s="275"/>
      <c r="S26" s="275"/>
      <c r="T26" s="275"/>
      <c r="U26" s="193"/>
    </row>
    <row r="27" spans="1:21" s="280" customFormat="1" ht="14.25" customHeight="1">
      <c r="A27" s="282" t="s">
        <v>23</v>
      </c>
      <c r="B27" s="191">
        <v>-39</v>
      </c>
      <c r="C27" s="266"/>
      <c r="D27" s="268">
        <v>0</v>
      </c>
      <c r="E27" s="267"/>
      <c r="F27" s="268">
        <v>0</v>
      </c>
      <c r="G27" s="267"/>
      <c r="H27" s="268">
        <v>0</v>
      </c>
      <c r="I27" s="268">
        <v>0</v>
      </c>
      <c r="J27" s="267"/>
      <c r="K27" s="268" t="s">
        <v>67</v>
      </c>
      <c r="L27" s="267"/>
      <c r="M27" s="268" t="s">
        <v>67</v>
      </c>
      <c r="O27" s="268">
        <v>0</v>
      </c>
      <c r="P27" s="267"/>
      <c r="Q27" s="268">
        <v>0</v>
      </c>
      <c r="R27" s="267"/>
      <c r="S27" s="267">
        <v>60.983002729999995</v>
      </c>
      <c r="T27" s="267"/>
      <c r="U27" s="191">
        <v>22</v>
      </c>
    </row>
    <row r="28" spans="1:21" s="280" customFormat="1" ht="5.25" customHeight="1">
      <c r="B28" s="193"/>
      <c r="C28" s="274"/>
      <c r="D28" s="275"/>
      <c r="E28" s="275"/>
      <c r="F28" s="275"/>
      <c r="G28" s="275"/>
      <c r="H28" s="275"/>
      <c r="I28" s="276"/>
      <c r="J28" s="275"/>
      <c r="K28" s="275"/>
      <c r="L28" s="275"/>
      <c r="M28" s="275"/>
      <c r="O28" s="275"/>
      <c r="P28" s="275"/>
      <c r="Q28" s="275"/>
      <c r="R28" s="275"/>
      <c r="S28" s="275"/>
      <c r="T28" s="275"/>
      <c r="U28" s="193"/>
    </row>
    <row r="29" spans="1:21" s="260" customFormat="1" ht="16.5" customHeight="1">
      <c r="A29" s="283" t="s">
        <v>91</v>
      </c>
      <c r="B29" s="284">
        <v>400</v>
      </c>
      <c r="C29" s="270"/>
      <c r="D29" s="285">
        <v>36</v>
      </c>
      <c r="E29" s="286"/>
      <c r="F29" s="285">
        <v>5</v>
      </c>
      <c r="G29" s="286"/>
      <c r="H29" s="285">
        <v>27</v>
      </c>
      <c r="I29" s="285">
        <v>-391</v>
      </c>
      <c r="J29" s="286"/>
      <c r="K29" s="285">
        <v>0</v>
      </c>
      <c r="L29" s="286"/>
      <c r="M29" s="285">
        <v>0</v>
      </c>
      <c r="O29" s="285">
        <v>-1</v>
      </c>
      <c r="P29" s="286"/>
      <c r="Q29" s="285">
        <v>41</v>
      </c>
      <c r="R29" s="286"/>
      <c r="S29" s="285">
        <v>-60.983002729999995</v>
      </c>
      <c r="T29" s="286"/>
      <c r="U29" s="284">
        <v>56</v>
      </c>
    </row>
    <row r="30" spans="1:21" s="260" customFormat="1" ht="12" customHeight="1">
      <c r="A30" s="283"/>
      <c r="B30" s="287"/>
      <c r="C30" s="288"/>
      <c r="D30" s="288"/>
      <c r="E30" s="288"/>
      <c r="F30" s="288"/>
      <c r="G30" s="288"/>
      <c r="H30" s="288"/>
      <c r="I30" s="288"/>
      <c r="J30" s="288"/>
      <c r="K30" s="288"/>
      <c r="L30" s="288"/>
      <c r="M30" s="288"/>
      <c r="N30" s="288"/>
      <c r="Q30" s="288"/>
      <c r="R30" s="288"/>
      <c r="S30" s="288"/>
      <c r="T30" s="288"/>
      <c r="U30" s="287"/>
    </row>
    <row r="31" spans="1:21" s="260" customFormat="1" ht="14.25" customHeight="1">
      <c r="A31" s="289" t="s">
        <v>142</v>
      </c>
      <c r="B31" s="287"/>
      <c r="C31" s="288"/>
      <c r="D31" s="288"/>
      <c r="E31" s="288"/>
      <c r="F31" s="288"/>
      <c r="G31" s="288"/>
      <c r="H31" s="288"/>
      <c r="I31" s="288"/>
      <c r="J31" s="288"/>
      <c r="K31" s="288"/>
      <c r="L31" s="288"/>
      <c r="M31" s="288"/>
      <c r="N31" s="288"/>
      <c r="Q31" s="289" t="s">
        <v>142</v>
      </c>
      <c r="R31" s="288"/>
      <c r="S31" s="288"/>
      <c r="T31" s="288"/>
      <c r="U31" s="287"/>
    </row>
    <row r="32" spans="1:21" s="293" customFormat="1" ht="12" customHeight="1">
      <c r="A32" s="290" t="s">
        <v>107</v>
      </c>
      <c r="B32" s="291">
        <v>1.22</v>
      </c>
      <c r="C32" s="292"/>
      <c r="D32" s="292"/>
      <c r="E32" s="292"/>
      <c r="F32" s="292"/>
      <c r="G32" s="292"/>
      <c r="H32" s="292"/>
      <c r="I32" s="292"/>
      <c r="J32" s="292"/>
      <c r="K32" s="292"/>
      <c r="L32" s="292"/>
      <c r="M32" s="292"/>
      <c r="N32" s="292"/>
      <c r="Q32" s="290" t="s">
        <v>107</v>
      </c>
      <c r="R32" s="292"/>
      <c r="S32" s="292"/>
      <c r="T32" s="292"/>
      <c r="U32" s="291">
        <v>0.17</v>
      </c>
    </row>
    <row r="33" spans="1:21" s="293" customFormat="1" ht="12" customHeight="1">
      <c r="A33" s="290" t="s">
        <v>108</v>
      </c>
      <c r="B33" s="291">
        <v>1.2</v>
      </c>
      <c r="C33" s="292"/>
      <c r="D33" s="292"/>
      <c r="E33" s="292"/>
      <c r="F33" s="292"/>
      <c r="G33" s="292"/>
      <c r="H33" s="292"/>
      <c r="I33" s="292"/>
      <c r="J33" s="292"/>
      <c r="K33" s="292"/>
      <c r="L33" s="292"/>
      <c r="M33" s="292"/>
      <c r="N33" s="292"/>
      <c r="Q33" s="290" t="s">
        <v>108</v>
      </c>
      <c r="R33" s="292"/>
      <c r="S33" s="292"/>
      <c r="T33" s="292"/>
      <c r="U33" s="291">
        <v>0.17</v>
      </c>
    </row>
    <row r="34" spans="1:21" s="293" customFormat="1" ht="12" customHeight="1">
      <c r="A34" s="290"/>
      <c r="B34" s="291"/>
      <c r="C34" s="292"/>
      <c r="D34" s="292"/>
      <c r="E34" s="292"/>
      <c r="F34" s="292"/>
      <c r="G34" s="292"/>
      <c r="H34" s="292"/>
      <c r="I34" s="292"/>
      <c r="J34" s="292"/>
      <c r="K34" s="292"/>
      <c r="L34" s="292"/>
      <c r="M34" s="292"/>
      <c r="N34" s="292"/>
      <c r="O34" s="289"/>
      <c r="Q34" s="294"/>
      <c r="R34" s="292"/>
      <c r="S34" s="292"/>
      <c r="T34" s="292"/>
      <c r="U34" s="291"/>
    </row>
    <row r="35" spans="1:21" s="293" customFormat="1" ht="12" customHeight="1">
      <c r="A35" s="294" t="s">
        <v>110</v>
      </c>
      <c r="B35" s="197"/>
      <c r="C35" s="295"/>
      <c r="D35" s="295"/>
      <c r="E35" s="295"/>
      <c r="F35" s="295"/>
      <c r="G35" s="295"/>
      <c r="H35" s="295"/>
      <c r="I35" s="295"/>
      <c r="J35" s="295"/>
      <c r="K35" s="295"/>
      <c r="L35" s="295"/>
      <c r="M35" s="295"/>
      <c r="N35" s="295"/>
      <c r="O35" s="290"/>
      <c r="Q35" s="294" t="s">
        <v>110</v>
      </c>
      <c r="R35" s="295"/>
      <c r="S35" s="295"/>
      <c r="T35" s="295"/>
      <c r="U35" s="197"/>
    </row>
    <row r="36" spans="1:21" s="293" customFormat="1" ht="12" customHeight="1">
      <c r="A36" s="294" t="s">
        <v>107</v>
      </c>
      <c r="B36" s="198">
        <v>329</v>
      </c>
      <c r="C36" s="295"/>
      <c r="D36" s="295"/>
      <c r="E36" s="295"/>
      <c r="F36" s="295"/>
      <c r="G36" s="295"/>
      <c r="H36" s="295"/>
      <c r="I36" s="295"/>
      <c r="J36" s="295"/>
      <c r="K36" s="295"/>
      <c r="L36" s="295"/>
      <c r="M36" s="295"/>
      <c r="N36" s="295"/>
      <c r="O36" s="290"/>
      <c r="Q36" s="294" t="s">
        <v>107</v>
      </c>
      <c r="R36" s="295"/>
      <c r="S36" s="295"/>
      <c r="T36" s="295"/>
      <c r="U36" s="198">
        <v>329</v>
      </c>
    </row>
    <row r="37" spans="1:21" s="293" customFormat="1" ht="12" customHeight="1">
      <c r="A37" s="294" t="s">
        <v>108</v>
      </c>
      <c r="B37" s="198">
        <v>332</v>
      </c>
      <c r="C37" s="295"/>
      <c r="D37" s="295"/>
      <c r="E37" s="295"/>
      <c r="F37" s="295"/>
      <c r="G37" s="295"/>
      <c r="H37" s="295"/>
      <c r="I37" s="295"/>
      <c r="J37" s="295"/>
      <c r="K37" s="295"/>
      <c r="L37" s="295"/>
      <c r="M37" s="295"/>
      <c r="N37" s="295"/>
      <c r="Q37" s="294" t="s">
        <v>108</v>
      </c>
      <c r="R37" s="295"/>
      <c r="S37" s="295"/>
      <c r="T37" s="295"/>
      <c r="U37" s="198">
        <v>332</v>
      </c>
    </row>
    <row r="39" spans="1:21" ht="12" customHeight="1">
      <c r="A39" s="294"/>
    </row>
    <row r="40" spans="1:21" ht="12" customHeight="1">
      <c r="A40" s="294"/>
    </row>
    <row r="41" spans="1:21" ht="12" customHeight="1">
      <c r="A41" s="294"/>
    </row>
  </sheetData>
  <mergeCells count="4">
    <mergeCell ref="A1:U1"/>
    <mergeCell ref="A2:U2"/>
    <mergeCell ref="A3:U3"/>
    <mergeCell ref="B6:U6"/>
  </mergeCells>
  <printOptions horizontalCentered="1"/>
  <pageMargins left="0" right="0" top="0.8" bottom="0.42" header="0.25" footer="0.25"/>
  <pageSetup scale="70" orientation="landscape" r:id="rId1"/>
  <headerFooter alignWithMargins="0"/>
  <customProperties>
    <customPr name="ConnName"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N38"/>
  <sheetViews>
    <sheetView zoomScaleNormal="100" workbookViewId="0">
      <pane xSplit="1" ySplit="7" topLeftCell="B8" activePane="bottomRight" state="frozen"/>
      <selection pane="topRight" activeCell="B1" sqref="B1"/>
      <selection pane="bottomLeft" activeCell="A8" sqref="A8"/>
      <selection pane="bottomRight" activeCell="L7" sqref="L7"/>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6384" width="11.42578125" style="23"/>
  </cols>
  <sheetData>
    <row r="1" spans="1:14" s="7" customFormat="1" ht="12" customHeight="1">
      <c r="A1" s="371" t="s">
        <v>68</v>
      </c>
      <c r="B1" s="371"/>
      <c r="C1" s="371"/>
      <c r="D1" s="371"/>
      <c r="E1" s="371"/>
      <c r="F1" s="371"/>
      <c r="G1" s="371"/>
      <c r="H1" s="371"/>
      <c r="I1" s="371"/>
      <c r="J1" s="371"/>
      <c r="K1" s="371"/>
      <c r="L1" s="371"/>
      <c r="M1" s="371"/>
      <c r="N1" s="371"/>
    </row>
    <row r="2" spans="1:14" s="7" customFormat="1" ht="12" customHeight="1">
      <c r="A2" s="371" t="s">
        <v>69</v>
      </c>
      <c r="B2" s="371"/>
      <c r="C2" s="371"/>
      <c r="D2" s="371"/>
      <c r="E2" s="371"/>
      <c r="F2" s="371"/>
      <c r="G2" s="371"/>
      <c r="H2" s="371"/>
      <c r="I2" s="371"/>
      <c r="J2" s="371"/>
      <c r="K2" s="371"/>
      <c r="L2" s="371"/>
      <c r="M2" s="371"/>
      <c r="N2" s="371"/>
    </row>
    <row r="3" spans="1:14" s="7" customFormat="1" ht="12" customHeight="1">
      <c r="A3" s="371" t="s">
        <v>70</v>
      </c>
      <c r="B3" s="371"/>
      <c r="C3" s="371"/>
      <c r="D3" s="371"/>
      <c r="E3" s="371"/>
      <c r="F3" s="371"/>
      <c r="G3" s="371"/>
      <c r="H3" s="371"/>
      <c r="I3" s="371"/>
      <c r="J3" s="371"/>
      <c r="K3" s="371"/>
      <c r="L3" s="371"/>
      <c r="M3" s="371"/>
      <c r="N3" s="371"/>
    </row>
    <row r="4" spans="1:14" s="7" customFormat="1" ht="12" customHeight="1">
      <c r="A4" s="6"/>
      <c r="B4" s="6"/>
      <c r="C4" s="6"/>
      <c r="D4" s="6"/>
      <c r="E4" s="6"/>
      <c r="F4" s="6"/>
      <c r="G4" s="6"/>
      <c r="H4" s="6"/>
      <c r="I4" s="6"/>
      <c r="J4" s="6"/>
      <c r="K4" s="6"/>
      <c r="L4" s="6"/>
      <c r="M4" s="6"/>
      <c r="N4" s="6"/>
    </row>
    <row r="5" spans="1:14" s="7" customFormat="1" ht="12" customHeight="1">
      <c r="B5" s="59"/>
      <c r="C5" s="59"/>
      <c r="D5" s="59"/>
      <c r="E5" s="59"/>
      <c r="F5" s="59"/>
      <c r="G5" s="59"/>
      <c r="H5" s="59"/>
      <c r="I5" s="59"/>
      <c r="J5" s="59"/>
      <c r="K5" s="59"/>
      <c r="L5" s="59"/>
    </row>
    <row r="6" spans="1:14" s="7" customFormat="1" ht="12" customHeight="1">
      <c r="B6" s="379" t="s">
        <v>188</v>
      </c>
      <c r="C6" s="379"/>
      <c r="D6" s="379"/>
      <c r="E6" s="379"/>
      <c r="F6" s="379"/>
      <c r="G6" s="379"/>
      <c r="H6" s="379"/>
      <c r="I6" s="379"/>
      <c r="J6" s="379"/>
      <c r="K6" s="379"/>
      <c r="L6" s="379"/>
      <c r="M6" s="379"/>
      <c r="N6" s="379"/>
    </row>
    <row r="7" spans="1:14" s="48" customFormat="1" ht="102" customHeight="1">
      <c r="B7" s="55" t="s">
        <v>72</v>
      </c>
      <c r="C7" s="55"/>
      <c r="D7" s="55" t="s">
        <v>41</v>
      </c>
      <c r="E7" s="62"/>
      <c r="F7" s="217" t="s">
        <v>182</v>
      </c>
      <c r="G7" s="62"/>
      <c r="H7" s="55" t="s">
        <v>73</v>
      </c>
      <c r="I7" s="62"/>
      <c r="J7" s="55" t="s">
        <v>217</v>
      </c>
      <c r="K7" s="62"/>
      <c r="L7" s="55" t="s">
        <v>218</v>
      </c>
      <c r="M7" s="62"/>
      <c r="N7" s="55" t="s">
        <v>76</v>
      </c>
    </row>
    <row r="8" spans="1:14" s="49" customFormat="1" ht="12" customHeight="1">
      <c r="A8" s="63" t="s">
        <v>0</v>
      </c>
      <c r="B8" s="107">
        <v>1061</v>
      </c>
      <c r="C8" s="64"/>
      <c r="D8" s="64">
        <v>0</v>
      </c>
      <c r="E8" s="64"/>
      <c r="F8" s="64">
        <v>0</v>
      </c>
      <c r="G8" s="64"/>
      <c r="H8" s="15">
        <v>590</v>
      </c>
      <c r="I8" s="64"/>
      <c r="J8" s="64">
        <v>0</v>
      </c>
      <c r="K8" s="64"/>
      <c r="L8" s="64">
        <v>0</v>
      </c>
      <c r="M8" s="64"/>
      <c r="N8" s="107">
        <v>1651</v>
      </c>
    </row>
    <row r="9" spans="1:14" s="50" customFormat="1" ht="14.25" customHeight="1">
      <c r="A9" s="50" t="s">
        <v>202</v>
      </c>
      <c r="B9" s="191">
        <v>552</v>
      </c>
      <c r="C9" s="195"/>
      <c r="D9" s="195">
        <v>-14</v>
      </c>
      <c r="E9" s="195"/>
      <c r="F9" s="195">
        <v>0</v>
      </c>
      <c r="G9" s="195"/>
      <c r="H9" s="201">
        <v>0</v>
      </c>
      <c r="I9" s="195"/>
      <c r="J9" s="195">
        <v>0</v>
      </c>
      <c r="K9" s="195"/>
      <c r="L9" s="195">
        <v>0</v>
      </c>
      <c r="M9" s="195"/>
      <c r="N9" s="191">
        <v>538</v>
      </c>
    </row>
    <row r="10" spans="1:14" s="66" customFormat="1" ht="12.75" customHeight="1">
      <c r="A10" s="66" t="s">
        <v>1</v>
      </c>
      <c r="B10" s="192">
        <v>509</v>
      </c>
      <c r="C10" s="199"/>
      <c r="D10" s="199">
        <v>14</v>
      </c>
      <c r="E10" s="199"/>
      <c r="F10" s="199">
        <v>0</v>
      </c>
      <c r="G10" s="199"/>
      <c r="H10" s="204">
        <v>590</v>
      </c>
      <c r="I10" s="199"/>
      <c r="J10" s="199">
        <v>0</v>
      </c>
      <c r="K10" s="199"/>
      <c r="L10" s="199">
        <v>0</v>
      </c>
      <c r="M10" s="199"/>
      <c r="N10" s="192">
        <v>1113</v>
      </c>
    </row>
    <row r="11" spans="1:14" s="66" customFormat="1" ht="12" customHeight="1">
      <c r="B11" s="192"/>
      <c r="C11" s="199"/>
      <c r="D11" s="199"/>
      <c r="E11" s="199"/>
      <c r="F11" s="199"/>
      <c r="G11" s="199"/>
      <c r="H11" s="204"/>
      <c r="I11" s="199"/>
      <c r="J11" s="199"/>
      <c r="K11" s="199"/>
      <c r="L11" s="199"/>
      <c r="M11" s="199"/>
      <c r="N11" s="192"/>
    </row>
    <row r="12" spans="1:14" s="50" customFormat="1" ht="12" customHeight="1">
      <c r="A12" s="50" t="s">
        <v>2</v>
      </c>
      <c r="B12" s="193"/>
      <c r="C12" s="200"/>
      <c r="D12" s="200"/>
      <c r="E12" s="200"/>
      <c r="F12" s="200"/>
      <c r="G12" s="200"/>
      <c r="H12" s="205"/>
      <c r="I12" s="200"/>
      <c r="J12" s="200"/>
      <c r="K12" s="200"/>
      <c r="L12" s="200"/>
      <c r="M12" s="200"/>
      <c r="N12" s="193"/>
    </row>
    <row r="13" spans="1:14" s="50" customFormat="1" ht="12" customHeight="1">
      <c r="A13" s="50" t="s">
        <v>77</v>
      </c>
      <c r="B13" s="193">
        <v>269</v>
      </c>
      <c r="C13" s="200"/>
      <c r="D13" s="200">
        <v>0</v>
      </c>
      <c r="E13" s="200"/>
      <c r="F13" s="200">
        <v>0</v>
      </c>
      <c r="G13" s="200"/>
      <c r="H13" s="205">
        <v>0</v>
      </c>
      <c r="I13" s="200"/>
      <c r="J13" s="200">
        <v>-7</v>
      </c>
      <c r="K13" s="200"/>
      <c r="L13" s="200">
        <v>0</v>
      </c>
      <c r="M13" s="200"/>
      <c r="N13" s="193">
        <v>262</v>
      </c>
    </row>
    <row r="14" spans="1:14" s="50" customFormat="1" ht="12" customHeight="1">
      <c r="A14" s="50" t="s">
        <v>78</v>
      </c>
      <c r="B14" s="193">
        <v>98</v>
      </c>
      <c r="C14" s="200"/>
      <c r="D14" s="200">
        <v>0</v>
      </c>
      <c r="E14" s="200"/>
      <c r="F14" s="200">
        <v>0</v>
      </c>
      <c r="G14" s="200"/>
      <c r="H14" s="205">
        <v>0</v>
      </c>
      <c r="I14" s="200"/>
      <c r="J14" s="200">
        <v>-11</v>
      </c>
      <c r="K14" s="200"/>
      <c r="L14" s="200">
        <v>0</v>
      </c>
      <c r="M14" s="200"/>
      <c r="N14" s="193">
        <v>87</v>
      </c>
    </row>
    <row r="15" spans="1:14" s="50" customFormat="1" ht="12" customHeight="1">
      <c r="A15" s="50" t="s">
        <v>79</v>
      </c>
      <c r="B15" s="193">
        <v>325</v>
      </c>
      <c r="C15" s="200"/>
      <c r="D15" s="200">
        <v>0</v>
      </c>
      <c r="E15" s="200"/>
      <c r="F15" s="200">
        <v>0</v>
      </c>
      <c r="G15" s="200"/>
      <c r="H15" s="205">
        <v>0</v>
      </c>
      <c r="I15" s="200"/>
      <c r="J15" s="200">
        <v>-30</v>
      </c>
      <c r="K15" s="200"/>
      <c r="L15" s="200">
        <v>0</v>
      </c>
      <c r="M15" s="200"/>
      <c r="N15" s="193">
        <v>295</v>
      </c>
    </row>
    <row r="16" spans="1:14" s="50" customFormat="1">
      <c r="A16" s="50" t="s">
        <v>80</v>
      </c>
      <c r="B16" s="193">
        <v>-11</v>
      </c>
      <c r="C16" s="200"/>
      <c r="D16" s="200">
        <v>11</v>
      </c>
      <c r="E16" s="200"/>
      <c r="F16" s="200">
        <v>0</v>
      </c>
      <c r="G16" s="200"/>
      <c r="H16" s="205">
        <v>0</v>
      </c>
      <c r="I16" s="200"/>
      <c r="J16" s="200">
        <v>0</v>
      </c>
      <c r="K16" s="200"/>
      <c r="L16" s="200">
        <v>0</v>
      </c>
      <c r="M16" s="200"/>
      <c r="N16" s="193">
        <v>0</v>
      </c>
    </row>
    <row r="17" spans="1:14" s="50" customFormat="1" ht="12" customHeight="1">
      <c r="A17" s="50" t="s">
        <v>81</v>
      </c>
      <c r="B17" s="239">
        <v>11</v>
      </c>
      <c r="C17" s="240"/>
      <c r="D17" s="240">
        <v>-11</v>
      </c>
      <c r="E17" s="240"/>
      <c r="F17" s="240">
        <v>0</v>
      </c>
      <c r="G17" s="240"/>
      <c r="H17" s="241">
        <v>0</v>
      </c>
      <c r="I17" s="240"/>
      <c r="J17" s="240">
        <v>0</v>
      </c>
      <c r="K17" s="240"/>
      <c r="L17" s="240">
        <v>0</v>
      </c>
      <c r="M17" s="240"/>
      <c r="N17" s="239">
        <v>0</v>
      </c>
    </row>
    <row r="18" spans="1:14" s="50" customFormat="1" ht="12.75" customHeight="1">
      <c r="A18" s="50" t="s">
        <v>82</v>
      </c>
      <c r="B18" s="191">
        <v>692</v>
      </c>
      <c r="C18" s="195"/>
      <c r="D18" s="195">
        <v>0</v>
      </c>
      <c r="E18" s="195"/>
      <c r="F18" s="195">
        <v>0</v>
      </c>
      <c r="G18" s="195"/>
      <c r="H18" s="201">
        <v>0</v>
      </c>
      <c r="I18" s="195"/>
      <c r="J18" s="195">
        <v>-48</v>
      </c>
      <c r="K18" s="195"/>
      <c r="L18" s="195">
        <v>0</v>
      </c>
      <c r="M18" s="195"/>
      <c r="N18" s="191">
        <v>644</v>
      </c>
    </row>
    <row r="19" spans="1:14" s="50" customFormat="1" ht="12" customHeight="1">
      <c r="B19" s="193"/>
      <c r="C19" s="200"/>
      <c r="D19" s="200"/>
      <c r="E19" s="200"/>
      <c r="F19" s="200"/>
      <c r="G19" s="200"/>
      <c r="H19" s="205"/>
      <c r="I19" s="200"/>
      <c r="J19" s="200"/>
      <c r="K19" s="200"/>
      <c r="L19" s="200"/>
      <c r="M19" s="200"/>
      <c r="N19" s="193"/>
    </row>
    <row r="20" spans="1:14" s="71" customFormat="1" ht="12.75" customHeight="1">
      <c r="A20" s="1" t="s">
        <v>11</v>
      </c>
      <c r="B20" s="192">
        <v>-183</v>
      </c>
      <c r="C20" s="199"/>
      <c r="D20" s="204">
        <v>14</v>
      </c>
      <c r="E20" s="199"/>
      <c r="F20" s="204">
        <v>0</v>
      </c>
      <c r="G20" s="199"/>
      <c r="H20" s="204">
        <v>590</v>
      </c>
      <c r="I20" s="199"/>
      <c r="J20" s="204">
        <v>48</v>
      </c>
      <c r="K20" s="199"/>
      <c r="L20" s="204">
        <v>0</v>
      </c>
      <c r="M20" s="199"/>
      <c r="N20" s="192">
        <v>469</v>
      </c>
    </row>
    <row r="21" spans="1:14" s="71" customFormat="1" ht="12" customHeight="1">
      <c r="A21" s="72"/>
      <c r="B21" s="192"/>
      <c r="C21" s="199"/>
      <c r="D21" s="199"/>
      <c r="E21" s="199"/>
      <c r="F21" s="199"/>
      <c r="G21" s="199"/>
      <c r="H21" s="204"/>
      <c r="I21" s="199"/>
      <c r="J21" s="199"/>
      <c r="K21" s="199"/>
      <c r="L21" s="199"/>
      <c r="M21" s="199"/>
      <c r="N21" s="192"/>
    </row>
    <row r="22" spans="1:14" s="74" customFormat="1" ht="14.25">
      <c r="A22" s="280" t="s">
        <v>83</v>
      </c>
      <c r="B22" s="191">
        <v>-10</v>
      </c>
      <c r="C22" s="195"/>
      <c r="D22" s="195">
        <v>0</v>
      </c>
      <c r="E22" s="195"/>
      <c r="F22" s="195">
        <v>5</v>
      </c>
      <c r="G22" s="195"/>
      <c r="H22" s="201">
        <v>0</v>
      </c>
      <c r="I22" s="195"/>
      <c r="J22" s="195">
        <v>0</v>
      </c>
      <c r="K22" s="195"/>
      <c r="L22" s="195">
        <v>0</v>
      </c>
      <c r="M22" s="195"/>
      <c r="N22" s="191">
        <v>-5</v>
      </c>
    </row>
    <row r="23" spans="1:14" s="74" customFormat="1" ht="12" customHeight="1">
      <c r="B23" s="193"/>
      <c r="C23" s="200"/>
      <c r="D23" s="200"/>
      <c r="E23" s="200"/>
      <c r="F23" s="200"/>
      <c r="G23" s="200"/>
      <c r="H23" s="205"/>
      <c r="I23" s="200"/>
      <c r="J23" s="200"/>
      <c r="K23" s="200"/>
      <c r="L23" s="200"/>
      <c r="M23" s="200"/>
      <c r="N23" s="193"/>
    </row>
    <row r="24" spans="1:14" s="74" customFormat="1" ht="12" customHeight="1">
      <c r="A24" s="4" t="s">
        <v>92</v>
      </c>
      <c r="B24" s="193">
        <v>-193</v>
      </c>
      <c r="C24" s="200"/>
      <c r="D24" s="205">
        <v>14</v>
      </c>
      <c r="E24" s="200"/>
      <c r="F24" s="205">
        <v>5</v>
      </c>
      <c r="G24" s="200"/>
      <c r="H24" s="205">
        <v>590</v>
      </c>
      <c r="I24" s="200"/>
      <c r="J24" s="205">
        <v>48</v>
      </c>
      <c r="K24" s="200"/>
      <c r="L24" s="205">
        <v>0</v>
      </c>
      <c r="M24" s="200"/>
      <c r="N24" s="193">
        <v>464</v>
      </c>
    </row>
    <row r="25" spans="1:14" s="74" customFormat="1" ht="12" customHeight="1">
      <c r="A25" s="4"/>
      <c r="B25" s="193"/>
      <c r="C25" s="200"/>
      <c r="D25" s="200"/>
      <c r="E25" s="200"/>
      <c r="F25" s="200"/>
      <c r="G25" s="200"/>
      <c r="H25" s="205"/>
      <c r="I25" s="200"/>
      <c r="J25" s="200"/>
      <c r="K25" s="200"/>
      <c r="L25" s="200"/>
      <c r="M25" s="200"/>
      <c r="N25" s="193"/>
    </row>
    <row r="26" spans="1:14" s="74" customFormat="1" ht="14.25" customHeight="1">
      <c r="A26" s="4" t="s">
        <v>90</v>
      </c>
      <c r="B26" s="191">
        <v>12</v>
      </c>
      <c r="C26" s="195"/>
      <c r="D26" s="201">
        <v>0</v>
      </c>
      <c r="E26" s="195"/>
      <c r="F26" s="201">
        <v>0</v>
      </c>
      <c r="G26" s="195"/>
      <c r="H26" s="201">
        <v>0</v>
      </c>
      <c r="I26" s="195"/>
      <c r="J26" s="201">
        <v>0</v>
      </c>
      <c r="K26" s="195"/>
      <c r="L26" s="195">
        <v>118</v>
      </c>
      <c r="M26" s="195"/>
      <c r="N26" s="191">
        <v>130</v>
      </c>
    </row>
    <row r="27" spans="1:14" s="74" customFormat="1" ht="12" customHeight="1">
      <c r="B27" s="193"/>
      <c r="C27" s="200"/>
      <c r="D27" s="200"/>
      <c r="E27" s="200"/>
      <c r="F27" s="200"/>
      <c r="G27" s="200"/>
      <c r="H27" s="205"/>
      <c r="I27" s="200"/>
      <c r="J27" s="200"/>
      <c r="K27" s="200"/>
      <c r="L27" s="200"/>
      <c r="M27" s="200"/>
      <c r="N27" s="193"/>
    </row>
    <row r="28" spans="1:14" s="63" customFormat="1" ht="12.75" customHeight="1">
      <c r="A28" s="76" t="s">
        <v>14</v>
      </c>
      <c r="B28" s="112">
        <v>-205</v>
      </c>
      <c r="C28" s="77"/>
      <c r="D28" s="20">
        <v>14</v>
      </c>
      <c r="E28" s="77"/>
      <c r="F28" s="20">
        <v>5</v>
      </c>
      <c r="G28" s="77"/>
      <c r="H28" s="20">
        <v>590</v>
      </c>
      <c r="I28" s="77"/>
      <c r="J28" s="20">
        <v>48</v>
      </c>
      <c r="K28" s="77"/>
      <c r="L28" s="20">
        <v>-118</v>
      </c>
      <c r="M28" s="77"/>
      <c r="N28" s="112">
        <v>334</v>
      </c>
    </row>
    <row r="29" spans="1:14" s="63" customFormat="1" ht="12" customHeight="1">
      <c r="A29" s="76"/>
      <c r="B29" s="113"/>
      <c r="C29" s="49"/>
      <c r="D29" s="49"/>
      <c r="E29" s="49"/>
      <c r="F29" s="49"/>
      <c r="G29" s="49"/>
      <c r="H29" s="49"/>
      <c r="I29" s="49"/>
      <c r="J29" s="49"/>
      <c r="K29" s="49"/>
      <c r="L29" s="49"/>
      <c r="M29" s="49"/>
      <c r="N29" s="113"/>
    </row>
    <row r="30" spans="1:14" s="63" customFormat="1" ht="12" customHeight="1">
      <c r="A30" s="104" t="s">
        <v>124</v>
      </c>
      <c r="B30" s="113"/>
      <c r="C30" s="49"/>
      <c r="D30" s="49"/>
      <c r="E30" s="49"/>
      <c r="F30" s="49"/>
      <c r="G30" s="49"/>
      <c r="H30" s="49"/>
      <c r="I30" s="49"/>
      <c r="J30" s="104" t="s">
        <v>142</v>
      </c>
      <c r="K30" s="49"/>
      <c r="L30" s="49"/>
      <c r="M30" s="49"/>
      <c r="N30" s="113"/>
    </row>
    <row r="31" spans="1:14" s="45" customFormat="1" ht="12" customHeight="1">
      <c r="A31" s="105" t="s">
        <v>183</v>
      </c>
      <c r="B31" s="114">
        <v>-0.62</v>
      </c>
      <c r="C31" s="106"/>
      <c r="D31" s="106"/>
      <c r="E31" s="106"/>
      <c r="F31" s="106"/>
      <c r="G31" s="106"/>
      <c r="H31" s="106"/>
      <c r="I31" s="106"/>
      <c r="J31" s="105" t="s">
        <v>107</v>
      </c>
      <c r="K31" s="106"/>
      <c r="L31" s="106"/>
      <c r="M31" s="106"/>
      <c r="N31" s="114">
        <v>1.01</v>
      </c>
    </row>
    <row r="32" spans="1:14" s="45" customFormat="1" ht="12" customHeight="1">
      <c r="A32" s="105"/>
      <c r="B32" s="114"/>
      <c r="C32" s="106"/>
      <c r="D32" s="106"/>
      <c r="E32" s="106"/>
      <c r="F32" s="106"/>
      <c r="G32" s="106"/>
      <c r="H32" s="106"/>
      <c r="I32" s="106"/>
      <c r="J32" s="105" t="s">
        <v>108</v>
      </c>
      <c r="K32" s="106"/>
      <c r="L32" s="106"/>
      <c r="M32" s="106"/>
      <c r="N32" s="114">
        <v>0.99</v>
      </c>
    </row>
    <row r="33" spans="1:14" s="45" customFormat="1" ht="12" customHeight="1">
      <c r="A33" s="105"/>
      <c r="B33" s="114"/>
      <c r="C33" s="106"/>
      <c r="D33" s="106"/>
      <c r="E33" s="106"/>
      <c r="F33" s="106"/>
      <c r="G33" s="106"/>
      <c r="H33" s="106"/>
      <c r="I33" s="106"/>
      <c r="J33" s="80"/>
      <c r="K33" s="106"/>
      <c r="L33" s="106"/>
      <c r="M33" s="106"/>
      <c r="N33" s="114"/>
    </row>
    <row r="34" spans="1:14" s="45" customFormat="1" ht="12" customHeight="1">
      <c r="A34" s="80" t="s">
        <v>110</v>
      </c>
      <c r="B34" s="197"/>
      <c r="C34" s="202"/>
      <c r="D34" s="202"/>
      <c r="E34" s="202"/>
      <c r="F34" s="202"/>
      <c r="G34" s="202"/>
      <c r="H34" s="202"/>
      <c r="I34" s="202"/>
      <c r="J34" s="80" t="s">
        <v>110</v>
      </c>
      <c r="K34" s="202"/>
      <c r="L34" s="202"/>
      <c r="M34" s="202"/>
      <c r="N34" s="197"/>
    </row>
    <row r="35" spans="1:14" s="45" customFormat="1" ht="12" customHeight="1">
      <c r="A35" s="80" t="s">
        <v>109</v>
      </c>
      <c r="B35" s="198">
        <v>332</v>
      </c>
      <c r="C35" s="203"/>
      <c r="D35" s="202"/>
      <c r="E35" s="202"/>
      <c r="F35" s="202"/>
      <c r="G35" s="202"/>
      <c r="H35" s="202"/>
      <c r="I35" s="202"/>
      <c r="J35" s="80" t="s">
        <v>107</v>
      </c>
      <c r="K35" s="202"/>
      <c r="L35" s="202"/>
      <c r="M35" s="202"/>
      <c r="N35" s="198">
        <v>332</v>
      </c>
    </row>
    <row r="36" spans="1:14" s="45" customFormat="1" ht="12" customHeight="1">
      <c r="A36" s="80"/>
      <c r="B36" s="23"/>
      <c r="C36" s="203"/>
      <c r="D36" s="202"/>
      <c r="E36" s="202"/>
      <c r="F36" s="202"/>
      <c r="G36" s="202"/>
      <c r="H36" s="202"/>
      <c r="I36" s="202"/>
      <c r="J36" s="80" t="s">
        <v>108</v>
      </c>
      <c r="K36" s="202"/>
      <c r="L36" s="202"/>
      <c r="M36" s="202"/>
      <c r="N36" s="198">
        <v>338</v>
      </c>
    </row>
    <row r="37" spans="1:14" ht="12" customHeight="1">
      <c r="A37" s="80"/>
    </row>
    <row r="38" spans="1:14" ht="12" customHeight="1">
      <c r="A38" s="80"/>
    </row>
  </sheetData>
  <mergeCells count="4">
    <mergeCell ref="B6:N6"/>
    <mergeCell ref="A1:N1"/>
    <mergeCell ref="A2:N2"/>
    <mergeCell ref="A3:N3"/>
  </mergeCells>
  <phoneticPr fontId="15" type="noConversion"/>
  <pageMargins left="0.7" right="0.7" top="0.75" bottom="0.75" header="0.3" footer="0.3"/>
  <pageSetup scale="80" orientation="landscape" r:id="rId1"/>
  <headerFooter alignWithMargins="0">
    <oddFooter>&amp;LElectronic Arts Inc.&amp;C&amp;D&amp;R&amp;P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9"/>
  <sheetViews>
    <sheetView zoomScaleNormal="100" workbookViewId="0">
      <pane xSplit="1" ySplit="7" topLeftCell="B8" activePane="bottomRight" state="frozen"/>
      <selection pane="topRight" activeCell="B1" sqref="B1"/>
      <selection pane="bottomLeft" activeCell="A8" sqref="A8"/>
      <selection pane="bottomRight" activeCell="F7" sqref="F7"/>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 style="23" customWidth="1"/>
    <col min="9" max="9" width="1.7109375" style="23" customWidth="1"/>
    <col min="10" max="10" width="15" style="23" customWidth="1"/>
    <col min="11" max="11" width="1.7109375" style="23" customWidth="1"/>
    <col min="12" max="12" width="15.140625" style="23" customWidth="1"/>
    <col min="13" max="13" width="1.5703125" style="23" customWidth="1"/>
    <col min="14" max="14" width="15.140625" style="23" customWidth="1"/>
    <col min="15" max="15" width="1.5703125" style="23" customWidth="1"/>
    <col min="16" max="16384" width="11.42578125" style="23"/>
  </cols>
  <sheetData>
    <row r="1" spans="1:16" s="7" customFormat="1" ht="12" customHeight="1">
      <c r="A1" s="371" t="s">
        <v>68</v>
      </c>
      <c r="B1" s="371"/>
      <c r="C1" s="371"/>
      <c r="D1" s="371"/>
      <c r="E1" s="371"/>
      <c r="F1" s="371"/>
      <c r="G1" s="371"/>
      <c r="H1" s="371"/>
      <c r="I1" s="371"/>
      <c r="J1" s="371"/>
      <c r="K1" s="371"/>
      <c r="L1" s="371"/>
      <c r="M1" s="371"/>
      <c r="N1" s="371"/>
      <c r="O1" s="371"/>
      <c r="P1" s="371"/>
    </row>
    <row r="2" spans="1:16" s="7" customFormat="1" ht="12" customHeight="1">
      <c r="A2" s="371" t="s">
        <v>69</v>
      </c>
      <c r="B2" s="371"/>
      <c r="C2" s="371"/>
      <c r="D2" s="371"/>
      <c r="E2" s="371"/>
      <c r="F2" s="371"/>
      <c r="G2" s="371"/>
      <c r="H2" s="371"/>
      <c r="I2" s="371"/>
      <c r="J2" s="371"/>
      <c r="K2" s="371"/>
      <c r="L2" s="371"/>
      <c r="M2" s="371"/>
      <c r="N2" s="371"/>
      <c r="O2" s="371"/>
      <c r="P2" s="371"/>
    </row>
    <row r="3" spans="1:16" s="7" customFormat="1" ht="12" customHeight="1">
      <c r="A3" s="371" t="s">
        <v>70</v>
      </c>
      <c r="B3" s="371"/>
      <c r="C3" s="371"/>
      <c r="D3" s="371"/>
      <c r="E3" s="371"/>
      <c r="F3" s="371"/>
      <c r="G3" s="371"/>
      <c r="H3" s="371"/>
      <c r="I3" s="371"/>
      <c r="J3" s="371"/>
      <c r="K3" s="371"/>
      <c r="L3" s="371"/>
      <c r="M3" s="371"/>
      <c r="N3" s="371"/>
      <c r="O3" s="371"/>
      <c r="P3" s="371"/>
    </row>
    <row r="4" spans="1:16" s="7" customFormat="1" ht="12" customHeight="1">
      <c r="A4" s="6"/>
      <c r="B4" s="6"/>
      <c r="C4" s="6"/>
      <c r="D4" s="6"/>
      <c r="E4" s="6"/>
      <c r="F4" s="6"/>
      <c r="G4" s="6"/>
      <c r="H4" s="6"/>
      <c r="I4" s="6"/>
      <c r="J4" s="6"/>
      <c r="K4" s="6"/>
      <c r="L4" s="6"/>
      <c r="M4" s="6"/>
      <c r="N4" s="6"/>
      <c r="O4" s="6"/>
      <c r="P4" s="6"/>
    </row>
    <row r="5" spans="1:16" s="7" customFormat="1" ht="12" customHeight="1">
      <c r="B5" s="59"/>
      <c r="C5" s="59"/>
      <c r="D5" s="59"/>
      <c r="E5" s="59"/>
      <c r="F5" s="59"/>
      <c r="G5" s="59"/>
      <c r="H5" s="59"/>
      <c r="I5" s="59"/>
      <c r="J5" s="60"/>
      <c r="K5" s="60"/>
      <c r="L5" s="59"/>
      <c r="M5" s="59"/>
      <c r="N5" s="59"/>
    </row>
    <row r="6" spans="1:16" s="7" customFormat="1" ht="12" customHeight="1">
      <c r="B6" s="379" t="s">
        <v>184</v>
      </c>
      <c r="C6" s="379"/>
      <c r="D6" s="379"/>
      <c r="E6" s="379"/>
      <c r="F6" s="379"/>
      <c r="G6" s="379"/>
      <c r="H6" s="379"/>
      <c r="I6" s="379"/>
      <c r="J6" s="379"/>
      <c r="K6" s="379"/>
      <c r="L6" s="379"/>
      <c r="M6" s="379"/>
      <c r="N6" s="379"/>
      <c r="O6" s="379"/>
      <c r="P6" s="379"/>
    </row>
    <row r="7" spans="1:16" s="48" customFormat="1" ht="102" customHeight="1">
      <c r="B7" s="55" t="s">
        <v>72</v>
      </c>
      <c r="C7" s="55"/>
      <c r="D7" s="55" t="s">
        <v>41</v>
      </c>
      <c r="E7" s="62"/>
      <c r="F7" s="217" t="s">
        <v>182</v>
      </c>
      <c r="G7" s="62"/>
      <c r="H7" s="55" t="s">
        <v>73</v>
      </c>
      <c r="I7" s="62"/>
      <c r="J7" s="55" t="s">
        <v>144</v>
      </c>
      <c r="K7" s="62"/>
      <c r="L7" s="55" t="s">
        <v>217</v>
      </c>
      <c r="M7" s="62"/>
      <c r="N7" s="55" t="s">
        <v>218</v>
      </c>
      <c r="O7" s="62"/>
      <c r="P7" s="55" t="s">
        <v>76</v>
      </c>
    </row>
    <row r="8" spans="1:16" s="49" customFormat="1" ht="12" customHeight="1">
      <c r="A8" s="63" t="s">
        <v>0</v>
      </c>
      <c r="B8" s="107">
        <v>715</v>
      </c>
      <c r="C8" s="64"/>
      <c r="D8" s="64">
        <v>0</v>
      </c>
      <c r="E8" s="64"/>
      <c r="F8" s="64">
        <v>0</v>
      </c>
      <c r="G8" s="64"/>
      <c r="H8" s="15">
        <v>319</v>
      </c>
      <c r="I8" s="64"/>
      <c r="J8" s="64">
        <v>0</v>
      </c>
      <c r="K8" s="64"/>
      <c r="L8" s="64">
        <v>0</v>
      </c>
      <c r="M8" s="64"/>
      <c r="N8" s="64">
        <v>0</v>
      </c>
      <c r="O8" s="64"/>
      <c r="P8" s="107">
        <v>1034</v>
      </c>
    </row>
    <row r="9" spans="1:16" s="50" customFormat="1" ht="14.25" customHeight="1">
      <c r="A9" s="50" t="s">
        <v>202</v>
      </c>
      <c r="B9" s="191">
        <v>432</v>
      </c>
      <c r="C9" s="195"/>
      <c r="D9" s="195">
        <v>-8</v>
      </c>
      <c r="E9" s="195"/>
      <c r="F9" s="195">
        <v>0</v>
      </c>
      <c r="G9" s="195"/>
      <c r="H9" s="201">
        <v>0</v>
      </c>
      <c r="I9" s="195"/>
      <c r="J9" s="195">
        <v>0</v>
      </c>
      <c r="K9" s="195"/>
      <c r="L9" s="195">
        <v>0</v>
      </c>
      <c r="M9" s="195"/>
      <c r="N9" s="195">
        <v>0</v>
      </c>
      <c r="O9" s="195"/>
      <c r="P9" s="191">
        <v>424</v>
      </c>
    </row>
    <row r="10" spans="1:16" s="66" customFormat="1" ht="12.75" customHeight="1">
      <c r="A10" s="66" t="s">
        <v>1</v>
      </c>
      <c r="B10" s="192">
        <v>283</v>
      </c>
      <c r="C10" s="199"/>
      <c r="D10" s="199">
        <v>8</v>
      </c>
      <c r="E10" s="199"/>
      <c r="F10" s="199">
        <v>0</v>
      </c>
      <c r="G10" s="199"/>
      <c r="H10" s="204">
        <v>319</v>
      </c>
      <c r="I10" s="199"/>
      <c r="J10" s="199">
        <v>0</v>
      </c>
      <c r="K10" s="199"/>
      <c r="L10" s="199">
        <v>0</v>
      </c>
      <c r="M10" s="199"/>
      <c r="N10" s="199">
        <v>0</v>
      </c>
      <c r="O10" s="199"/>
      <c r="P10" s="192">
        <v>610</v>
      </c>
    </row>
    <row r="11" spans="1:16" s="66" customFormat="1" ht="12" customHeight="1">
      <c r="B11" s="192"/>
      <c r="C11" s="199"/>
      <c r="D11" s="199"/>
      <c r="E11" s="199"/>
      <c r="F11" s="199"/>
      <c r="G11" s="199"/>
      <c r="H11" s="204"/>
      <c r="I11" s="199"/>
      <c r="J11" s="199"/>
      <c r="K11" s="199"/>
      <c r="L11" s="199"/>
      <c r="M11" s="199"/>
      <c r="N11" s="199"/>
      <c r="O11" s="199"/>
      <c r="P11" s="192"/>
    </row>
    <row r="12" spans="1:16" s="50" customFormat="1" ht="12" customHeight="1">
      <c r="A12" s="50" t="s">
        <v>2</v>
      </c>
      <c r="B12" s="193"/>
      <c r="C12" s="200"/>
      <c r="D12" s="200"/>
      <c r="E12" s="200"/>
      <c r="F12" s="200"/>
      <c r="G12" s="200"/>
      <c r="H12" s="205"/>
      <c r="I12" s="200"/>
      <c r="J12" s="200"/>
      <c r="K12" s="200"/>
      <c r="L12" s="200"/>
      <c r="M12" s="200"/>
      <c r="N12" s="200"/>
      <c r="O12" s="200"/>
      <c r="P12" s="193"/>
    </row>
    <row r="13" spans="1:16" s="50" customFormat="1" ht="12" customHeight="1">
      <c r="A13" s="50" t="s">
        <v>77</v>
      </c>
      <c r="B13" s="193">
        <v>222</v>
      </c>
      <c r="C13" s="200"/>
      <c r="D13" s="200">
        <v>0</v>
      </c>
      <c r="E13" s="200"/>
      <c r="F13" s="200">
        <v>0</v>
      </c>
      <c r="G13" s="200"/>
      <c r="H13" s="205">
        <v>0</v>
      </c>
      <c r="I13" s="200"/>
      <c r="J13" s="200">
        <v>0</v>
      </c>
      <c r="K13" s="200"/>
      <c r="L13" s="200">
        <v>-6</v>
      </c>
      <c r="M13" s="200"/>
      <c r="N13" s="200">
        <v>0</v>
      </c>
      <c r="O13" s="200"/>
      <c r="P13" s="193">
        <v>216</v>
      </c>
    </row>
    <row r="14" spans="1:16" s="50" customFormat="1" ht="12" customHeight="1">
      <c r="A14" s="50" t="s">
        <v>78</v>
      </c>
      <c r="B14" s="193">
        <v>88</v>
      </c>
      <c r="C14" s="200"/>
      <c r="D14" s="200">
        <v>0</v>
      </c>
      <c r="E14" s="200"/>
      <c r="F14" s="200">
        <v>0</v>
      </c>
      <c r="G14" s="200"/>
      <c r="H14" s="205">
        <v>0</v>
      </c>
      <c r="I14" s="200"/>
      <c r="J14" s="200">
        <v>0</v>
      </c>
      <c r="K14" s="200"/>
      <c r="L14" s="200">
        <v>-9</v>
      </c>
      <c r="M14" s="200"/>
      <c r="N14" s="200">
        <v>0</v>
      </c>
      <c r="O14" s="200"/>
      <c r="P14" s="193">
        <v>79</v>
      </c>
    </row>
    <row r="15" spans="1:16" s="50" customFormat="1" ht="12" customHeight="1">
      <c r="A15" s="50" t="s">
        <v>79</v>
      </c>
      <c r="B15" s="193">
        <v>318</v>
      </c>
      <c r="C15" s="200"/>
      <c r="D15" s="200">
        <v>0</v>
      </c>
      <c r="E15" s="200"/>
      <c r="F15" s="200">
        <v>0</v>
      </c>
      <c r="G15" s="200"/>
      <c r="H15" s="205">
        <v>0</v>
      </c>
      <c r="I15" s="200"/>
      <c r="J15" s="200">
        <v>0</v>
      </c>
      <c r="K15" s="200"/>
      <c r="L15" s="200">
        <v>-28</v>
      </c>
      <c r="M15" s="200"/>
      <c r="N15" s="200">
        <v>0</v>
      </c>
      <c r="O15" s="200"/>
      <c r="P15" s="193">
        <v>290</v>
      </c>
    </row>
    <row r="16" spans="1:16" s="50" customFormat="1">
      <c r="A16" s="50" t="s">
        <v>80</v>
      </c>
      <c r="B16" s="193">
        <v>17</v>
      </c>
      <c r="C16" s="200"/>
      <c r="D16" s="200">
        <v>-17</v>
      </c>
      <c r="E16" s="200"/>
      <c r="F16" s="200">
        <v>0</v>
      </c>
      <c r="G16" s="200"/>
      <c r="H16" s="205">
        <v>0</v>
      </c>
      <c r="I16" s="200"/>
      <c r="J16" s="200">
        <v>0</v>
      </c>
      <c r="K16" s="200"/>
      <c r="L16" s="200">
        <v>0</v>
      </c>
      <c r="M16" s="200"/>
      <c r="N16" s="200">
        <v>0</v>
      </c>
      <c r="O16" s="200"/>
      <c r="P16" s="193">
        <v>0</v>
      </c>
    </row>
    <row r="17" spans="1:16" s="50" customFormat="1" ht="12" customHeight="1">
      <c r="A17" s="50" t="s">
        <v>81</v>
      </c>
      <c r="B17" s="193">
        <v>13</v>
      </c>
      <c r="C17" s="200"/>
      <c r="D17" s="200">
        <v>-13</v>
      </c>
      <c r="E17" s="200"/>
      <c r="F17" s="200">
        <v>0</v>
      </c>
      <c r="G17" s="200"/>
      <c r="H17" s="205">
        <v>0</v>
      </c>
      <c r="I17" s="200"/>
      <c r="J17" s="200">
        <v>0</v>
      </c>
      <c r="K17" s="200"/>
      <c r="L17" s="200">
        <v>0</v>
      </c>
      <c r="M17" s="200"/>
      <c r="N17" s="200">
        <v>0</v>
      </c>
      <c r="O17" s="200"/>
      <c r="P17" s="193">
        <v>0</v>
      </c>
    </row>
    <row r="18" spans="1:16" s="50" customFormat="1" ht="14.25" customHeight="1">
      <c r="A18" s="50" t="s">
        <v>207</v>
      </c>
      <c r="B18" s="194">
        <v>-1</v>
      </c>
      <c r="C18" s="201"/>
      <c r="D18" s="195">
        <v>0</v>
      </c>
      <c r="E18" s="195"/>
      <c r="F18" s="195">
        <v>0</v>
      </c>
      <c r="G18" s="195"/>
      <c r="H18" s="201">
        <v>0</v>
      </c>
      <c r="I18" s="195"/>
      <c r="J18" s="195">
        <v>1</v>
      </c>
      <c r="K18" s="195"/>
      <c r="L18" s="195">
        <v>0</v>
      </c>
      <c r="M18" s="195"/>
      <c r="N18" s="195">
        <v>0</v>
      </c>
      <c r="O18" s="195"/>
      <c r="P18" s="196">
        <v>0</v>
      </c>
    </row>
    <row r="19" spans="1:16" s="50" customFormat="1" ht="12.75" customHeight="1">
      <c r="A19" s="50" t="s">
        <v>82</v>
      </c>
      <c r="B19" s="191">
        <v>657</v>
      </c>
      <c r="C19" s="195"/>
      <c r="D19" s="195">
        <v>-30</v>
      </c>
      <c r="E19" s="195"/>
      <c r="F19" s="195">
        <v>0</v>
      </c>
      <c r="G19" s="195"/>
      <c r="H19" s="201">
        <v>0</v>
      </c>
      <c r="I19" s="195"/>
      <c r="J19" s="195">
        <v>1</v>
      </c>
      <c r="K19" s="195"/>
      <c r="L19" s="195">
        <v>-43</v>
      </c>
      <c r="M19" s="195"/>
      <c r="N19" s="195">
        <v>0</v>
      </c>
      <c r="O19" s="195"/>
      <c r="P19" s="191">
        <v>585</v>
      </c>
    </row>
    <row r="20" spans="1:16" s="50" customFormat="1" ht="12" customHeight="1">
      <c r="B20" s="193"/>
      <c r="C20" s="200"/>
      <c r="D20" s="200"/>
      <c r="E20" s="200"/>
      <c r="F20" s="200"/>
      <c r="G20" s="200"/>
      <c r="H20" s="205"/>
      <c r="I20" s="200"/>
      <c r="J20" s="200"/>
      <c r="K20" s="200"/>
      <c r="L20" s="200"/>
      <c r="M20" s="200"/>
      <c r="N20" s="200"/>
      <c r="O20" s="200"/>
      <c r="P20" s="193"/>
    </row>
    <row r="21" spans="1:16" s="71" customFormat="1" ht="12.75" customHeight="1">
      <c r="A21" s="1" t="s">
        <v>11</v>
      </c>
      <c r="B21" s="192">
        <v>-374</v>
      </c>
      <c r="C21" s="199"/>
      <c r="D21" s="204">
        <v>38</v>
      </c>
      <c r="E21" s="199"/>
      <c r="F21" s="204">
        <v>0</v>
      </c>
      <c r="G21" s="199"/>
      <c r="H21" s="204">
        <v>319</v>
      </c>
      <c r="I21" s="199"/>
      <c r="J21" s="204">
        <v>-1</v>
      </c>
      <c r="K21" s="199"/>
      <c r="L21" s="204">
        <v>43</v>
      </c>
      <c r="M21" s="199"/>
      <c r="N21" s="204">
        <v>0</v>
      </c>
      <c r="O21" s="199"/>
      <c r="P21" s="192">
        <v>25</v>
      </c>
    </row>
    <row r="22" spans="1:16" s="71" customFormat="1" ht="12" customHeight="1">
      <c r="A22" s="72"/>
      <c r="B22" s="192"/>
      <c r="C22" s="199"/>
      <c r="D22" s="199"/>
      <c r="E22" s="199"/>
      <c r="F22" s="199"/>
      <c r="G22" s="199"/>
      <c r="H22" s="204"/>
      <c r="I22" s="199"/>
      <c r="J22" s="199"/>
      <c r="K22" s="199"/>
      <c r="L22" s="199"/>
      <c r="M22" s="199"/>
      <c r="N22" s="199"/>
      <c r="O22" s="199"/>
      <c r="P22" s="192"/>
    </row>
    <row r="23" spans="1:16" s="74" customFormat="1" ht="14.25">
      <c r="A23" s="280" t="s">
        <v>83</v>
      </c>
      <c r="B23" s="191">
        <v>-6</v>
      </c>
      <c r="C23" s="195"/>
      <c r="D23" s="195">
        <v>0</v>
      </c>
      <c r="E23" s="195"/>
      <c r="F23" s="195">
        <v>4</v>
      </c>
      <c r="G23" s="195"/>
      <c r="H23" s="201">
        <v>0</v>
      </c>
      <c r="I23" s="195"/>
      <c r="J23" s="195">
        <v>0</v>
      </c>
      <c r="K23" s="195"/>
      <c r="L23" s="195">
        <v>0</v>
      </c>
      <c r="M23" s="195"/>
      <c r="N23" s="195">
        <v>0</v>
      </c>
      <c r="O23" s="195"/>
      <c r="P23" s="191">
        <v>-2</v>
      </c>
    </row>
    <row r="24" spans="1:16" s="74" customFormat="1" ht="12" customHeight="1">
      <c r="B24" s="193"/>
      <c r="C24" s="200"/>
      <c r="D24" s="200"/>
      <c r="E24" s="200"/>
      <c r="F24" s="200"/>
      <c r="G24" s="200"/>
      <c r="H24" s="205"/>
      <c r="I24" s="200"/>
      <c r="J24" s="200"/>
      <c r="K24" s="200"/>
      <c r="L24" s="200"/>
      <c r="M24" s="200"/>
      <c r="N24" s="200"/>
      <c r="O24" s="200"/>
      <c r="P24" s="193"/>
    </row>
    <row r="25" spans="1:16" s="74" customFormat="1" ht="12" customHeight="1">
      <c r="A25" s="4" t="s">
        <v>22</v>
      </c>
      <c r="B25" s="193">
        <v>-380</v>
      </c>
      <c r="C25" s="200"/>
      <c r="D25" s="205">
        <v>38</v>
      </c>
      <c r="E25" s="200"/>
      <c r="F25" s="205">
        <v>4</v>
      </c>
      <c r="G25" s="200"/>
      <c r="H25" s="205">
        <v>319</v>
      </c>
      <c r="I25" s="200"/>
      <c r="J25" s="205">
        <v>-1</v>
      </c>
      <c r="K25" s="200"/>
      <c r="L25" s="205">
        <v>43</v>
      </c>
      <c r="M25" s="200"/>
      <c r="N25" s="205">
        <v>0</v>
      </c>
      <c r="O25" s="200"/>
      <c r="P25" s="193">
        <v>23</v>
      </c>
    </row>
    <row r="26" spans="1:16" s="74" customFormat="1" ht="12" customHeight="1">
      <c r="A26" s="4"/>
      <c r="B26" s="193"/>
      <c r="C26" s="200"/>
      <c r="D26" s="200"/>
      <c r="E26" s="200"/>
      <c r="F26" s="200"/>
      <c r="G26" s="200"/>
      <c r="H26" s="205"/>
      <c r="I26" s="200"/>
      <c r="J26" s="200"/>
      <c r="K26" s="200"/>
      <c r="L26" s="200"/>
      <c r="M26" s="200"/>
      <c r="N26" s="200"/>
      <c r="O26" s="200"/>
      <c r="P26" s="193"/>
    </row>
    <row r="27" spans="1:16" s="74" customFormat="1" ht="14.25" customHeight="1">
      <c r="A27" s="4" t="s">
        <v>23</v>
      </c>
      <c r="B27" s="191">
        <v>-40</v>
      </c>
      <c r="C27" s="195"/>
      <c r="D27" s="201">
        <v>0</v>
      </c>
      <c r="E27" s="195"/>
      <c r="F27" s="201">
        <v>0</v>
      </c>
      <c r="G27" s="195"/>
      <c r="H27" s="201">
        <v>0</v>
      </c>
      <c r="I27" s="195"/>
      <c r="J27" s="201">
        <v>0</v>
      </c>
      <c r="K27" s="195"/>
      <c r="L27" s="201">
        <v>0</v>
      </c>
      <c r="M27" s="195"/>
      <c r="N27" s="195">
        <v>46</v>
      </c>
      <c r="O27" s="195"/>
      <c r="P27" s="191">
        <v>6</v>
      </c>
    </row>
    <row r="28" spans="1:16" s="74" customFormat="1" ht="12" customHeight="1">
      <c r="B28" s="193"/>
      <c r="C28" s="200"/>
      <c r="D28" s="200"/>
      <c r="E28" s="200"/>
      <c r="F28" s="200"/>
      <c r="G28" s="200"/>
      <c r="H28" s="205"/>
      <c r="I28" s="200"/>
      <c r="J28" s="200"/>
      <c r="K28" s="200"/>
      <c r="L28" s="200"/>
      <c r="M28" s="200"/>
      <c r="N28" s="200"/>
      <c r="O28" s="200"/>
      <c r="P28" s="193"/>
    </row>
    <row r="29" spans="1:16" s="63" customFormat="1" ht="12.75" customHeight="1">
      <c r="A29" s="76" t="s">
        <v>14</v>
      </c>
      <c r="B29" s="112">
        <v>-340</v>
      </c>
      <c r="C29" s="77"/>
      <c r="D29" s="20">
        <v>38</v>
      </c>
      <c r="E29" s="77"/>
      <c r="F29" s="20">
        <v>4</v>
      </c>
      <c r="G29" s="77"/>
      <c r="H29" s="20">
        <v>319</v>
      </c>
      <c r="I29" s="77"/>
      <c r="J29" s="20">
        <v>-1</v>
      </c>
      <c r="K29" s="77"/>
      <c r="L29" s="20">
        <v>43</v>
      </c>
      <c r="M29" s="77"/>
      <c r="N29" s="20">
        <v>-46</v>
      </c>
      <c r="O29" s="77"/>
      <c r="P29" s="112">
        <v>17</v>
      </c>
    </row>
    <row r="30" spans="1:16" s="63" customFormat="1" ht="12" customHeight="1">
      <c r="A30" s="76"/>
      <c r="B30" s="113"/>
      <c r="C30" s="49"/>
      <c r="D30" s="49"/>
      <c r="E30" s="49"/>
      <c r="F30" s="49"/>
      <c r="G30" s="49"/>
      <c r="H30" s="49"/>
      <c r="I30" s="49"/>
      <c r="L30" s="49"/>
      <c r="M30" s="49"/>
      <c r="N30" s="49"/>
      <c r="O30" s="49"/>
      <c r="P30" s="113"/>
    </row>
    <row r="31" spans="1:16" s="63" customFormat="1" ht="12" customHeight="1">
      <c r="A31" s="104" t="s">
        <v>124</v>
      </c>
      <c r="B31" s="113"/>
      <c r="C31" s="49"/>
      <c r="D31" s="49"/>
      <c r="E31" s="49"/>
      <c r="F31" s="49"/>
      <c r="G31" s="49"/>
      <c r="H31" s="49"/>
      <c r="I31" s="49"/>
      <c r="L31" s="104" t="s">
        <v>142</v>
      </c>
      <c r="M31" s="49"/>
      <c r="N31" s="49"/>
      <c r="O31" s="49"/>
      <c r="P31" s="113"/>
    </row>
    <row r="32" spans="1:16" s="45" customFormat="1" ht="12" customHeight="1">
      <c r="A32" s="105" t="s">
        <v>183</v>
      </c>
      <c r="B32" s="114">
        <v>-1.03</v>
      </c>
      <c r="C32" s="106"/>
      <c r="D32" s="106"/>
      <c r="E32" s="106"/>
      <c r="F32" s="106"/>
      <c r="G32" s="106"/>
      <c r="H32" s="106"/>
      <c r="I32" s="106"/>
      <c r="L32" s="105" t="s">
        <v>107</v>
      </c>
      <c r="M32" s="106"/>
      <c r="N32" s="106"/>
      <c r="O32" s="106"/>
      <c r="P32" s="114">
        <v>0.05</v>
      </c>
    </row>
    <row r="33" spans="1:16" s="45" customFormat="1" ht="12" customHeight="1">
      <c r="A33" s="105"/>
      <c r="B33" s="114"/>
      <c r="C33" s="106"/>
      <c r="D33" s="106"/>
      <c r="E33" s="106"/>
      <c r="F33" s="106"/>
      <c r="G33" s="106"/>
      <c r="H33" s="106"/>
      <c r="I33" s="106"/>
      <c r="L33" s="105" t="s">
        <v>108</v>
      </c>
      <c r="M33" s="106"/>
      <c r="N33" s="106"/>
      <c r="O33" s="106"/>
      <c r="P33" s="114">
        <v>0.05</v>
      </c>
    </row>
    <row r="34" spans="1:16" s="45" customFormat="1" ht="12" customHeight="1">
      <c r="A34" s="105"/>
      <c r="B34" s="114"/>
      <c r="C34" s="106"/>
      <c r="D34" s="106"/>
      <c r="E34" s="106"/>
      <c r="F34" s="106"/>
      <c r="G34" s="106"/>
      <c r="H34" s="106"/>
      <c r="I34" s="106"/>
      <c r="J34" s="104"/>
      <c r="L34" s="80"/>
      <c r="M34" s="106"/>
      <c r="N34" s="106"/>
      <c r="O34" s="106"/>
      <c r="P34" s="114"/>
    </row>
    <row r="35" spans="1:16" s="45" customFormat="1" ht="12" customHeight="1">
      <c r="A35" s="80" t="s">
        <v>110</v>
      </c>
      <c r="B35" s="197"/>
      <c r="C35" s="202"/>
      <c r="D35" s="202"/>
      <c r="E35" s="202"/>
      <c r="F35" s="202"/>
      <c r="G35" s="202"/>
      <c r="H35" s="202"/>
      <c r="I35" s="202"/>
      <c r="J35" s="105"/>
      <c r="L35" s="80" t="s">
        <v>110</v>
      </c>
      <c r="M35" s="202"/>
      <c r="N35" s="202"/>
      <c r="O35" s="202"/>
      <c r="P35" s="197"/>
    </row>
    <row r="36" spans="1:16" s="45" customFormat="1" ht="12" customHeight="1">
      <c r="A36" s="80" t="s">
        <v>109</v>
      </c>
      <c r="B36" s="198">
        <v>331</v>
      </c>
      <c r="C36" s="203"/>
      <c r="D36" s="202"/>
      <c r="E36" s="202"/>
      <c r="F36" s="202"/>
      <c r="G36" s="202"/>
      <c r="H36" s="202"/>
      <c r="I36" s="202"/>
      <c r="J36" s="105"/>
      <c r="L36" s="80" t="s">
        <v>107</v>
      </c>
      <c r="M36" s="202"/>
      <c r="N36" s="202"/>
      <c r="O36" s="202"/>
      <c r="P36" s="198">
        <v>331</v>
      </c>
    </row>
    <row r="37" spans="1:16" s="45" customFormat="1" ht="12" customHeight="1">
      <c r="A37" s="80"/>
      <c r="B37" s="23"/>
      <c r="C37" s="203"/>
      <c r="D37" s="202"/>
      <c r="E37" s="202"/>
      <c r="F37" s="202"/>
      <c r="G37" s="202"/>
      <c r="H37" s="202"/>
      <c r="I37" s="202"/>
      <c r="L37" s="80" t="s">
        <v>108</v>
      </c>
      <c r="M37" s="202"/>
      <c r="N37" s="202"/>
      <c r="O37" s="202"/>
      <c r="P37" s="221">
        <v>337</v>
      </c>
    </row>
    <row r="38" spans="1:16" ht="12" customHeight="1">
      <c r="A38" s="80"/>
    </row>
    <row r="39" spans="1:16" ht="12" customHeight="1">
      <c r="A39" s="80"/>
    </row>
  </sheetData>
  <mergeCells count="4">
    <mergeCell ref="A1:P1"/>
    <mergeCell ref="A2:P2"/>
    <mergeCell ref="A3:P3"/>
    <mergeCell ref="B6:P6"/>
  </mergeCells>
  <phoneticPr fontId="15" type="noConversion"/>
  <pageMargins left="0.7" right="0.7" top="0.75" bottom="0.75" header="0.3" footer="0.3"/>
  <pageSetup scale="71" orientation="landscape" r:id="rId1"/>
  <headerFooter alignWithMargins="0">
    <oddFooter>&amp;LElectronic Arts Inc.&amp;C&amp;D&amp;R&amp;P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N39"/>
  <sheetViews>
    <sheetView zoomScaleNormal="100" workbookViewId="0">
      <pane xSplit="1" ySplit="7" topLeftCell="B8" activePane="bottomRight" state="frozen"/>
      <selection pane="topRight" activeCell="B1" sqref="B1"/>
      <selection pane="bottomLeft" activeCell="A8" sqref="A8"/>
      <selection pane="bottomRight" activeCell="L7" sqref="L7"/>
    </sheetView>
  </sheetViews>
  <sheetFormatPr defaultColWidth="11.42578125" defaultRowHeight="12" customHeight="1"/>
  <cols>
    <col min="1" max="1" width="50.85546875" style="23" customWidth="1"/>
    <col min="2" max="2" width="9.28515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6384" width="11.42578125" style="23"/>
  </cols>
  <sheetData>
    <row r="1" spans="1:14" s="7" customFormat="1" ht="12" customHeight="1">
      <c r="A1" s="371" t="s">
        <v>68</v>
      </c>
      <c r="B1" s="380"/>
      <c r="C1" s="380"/>
      <c r="D1" s="380"/>
      <c r="E1" s="380"/>
      <c r="F1" s="380"/>
      <c r="G1" s="380"/>
      <c r="H1" s="380"/>
      <c r="I1" s="380"/>
      <c r="J1" s="380"/>
      <c r="K1" s="380"/>
      <c r="L1" s="380"/>
      <c r="M1" s="380"/>
      <c r="N1" s="380"/>
    </row>
    <row r="2" spans="1:14" s="7" customFormat="1" ht="12" customHeight="1">
      <c r="A2" s="371" t="s">
        <v>69</v>
      </c>
      <c r="B2" s="380"/>
      <c r="C2" s="380"/>
      <c r="D2" s="380"/>
      <c r="E2" s="380"/>
      <c r="F2" s="380"/>
      <c r="G2" s="380"/>
      <c r="H2" s="380"/>
      <c r="I2" s="380"/>
      <c r="J2" s="380"/>
      <c r="K2" s="380"/>
      <c r="L2" s="380"/>
      <c r="M2" s="380"/>
      <c r="N2" s="380"/>
    </row>
    <row r="3" spans="1:14" s="7" customFormat="1" ht="12" customHeight="1">
      <c r="A3" s="371" t="s">
        <v>70</v>
      </c>
      <c r="B3" s="380"/>
      <c r="C3" s="380"/>
      <c r="D3" s="380"/>
      <c r="E3" s="380"/>
      <c r="F3" s="380"/>
      <c r="G3" s="380"/>
      <c r="H3" s="380"/>
      <c r="I3" s="380"/>
      <c r="J3" s="380"/>
      <c r="K3" s="380"/>
      <c r="L3" s="380"/>
      <c r="M3" s="380"/>
      <c r="N3" s="380"/>
    </row>
    <row r="4" spans="1:14" s="7" customFormat="1" ht="12" customHeight="1">
      <c r="A4" s="6"/>
      <c r="B4" s="6"/>
      <c r="C4" s="6"/>
      <c r="D4" s="6"/>
      <c r="E4" s="6"/>
      <c r="F4" s="6"/>
      <c r="G4" s="6"/>
      <c r="H4" s="6"/>
      <c r="I4" s="6"/>
      <c r="J4" s="6"/>
      <c r="K4" s="6"/>
      <c r="L4" s="6"/>
      <c r="M4" s="6"/>
      <c r="N4" s="6"/>
    </row>
    <row r="5" spans="1:14" s="7" customFormat="1" ht="12" customHeight="1">
      <c r="B5" s="59"/>
      <c r="C5" s="59"/>
      <c r="D5" s="59"/>
      <c r="E5" s="59"/>
      <c r="F5" s="59"/>
      <c r="G5" s="59"/>
      <c r="H5" s="60"/>
      <c r="I5" s="60"/>
      <c r="J5" s="59"/>
      <c r="K5" s="59"/>
      <c r="L5" s="59"/>
    </row>
    <row r="6" spans="1:14" s="7" customFormat="1" ht="12" customHeight="1">
      <c r="B6" s="379" t="s">
        <v>178</v>
      </c>
      <c r="C6" s="381"/>
      <c r="D6" s="381"/>
      <c r="E6" s="381"/>
      <c r="F6" s="381"/>
      <c r="G6" s="381"/>
      <c r="H6" s="381"/>
      <c r="I6" s="381"/>
      <c r="J6" s="381"/>
      <c r="K6" s="381"/>
      <c r="L6" s="381"/>
      <c r="M6" s="381"/>
      <c r="N6" s="381"/>
    </row>
    <row r="7" spans="1:14" s="48" customFormat="1" ht="102" customHeight="1">
      <c r="B7" s="55" t="s">
        <v>72</v>
      </c>
      <c r="C7" s="55"/>
      <c r="D7" s="55" t="s">
        <v>41</v>
      </c>
      <c r="E7" s="62"/>
      <c r="F7" s="55" t="s">
        <v>73</v>
      </c>
      <c r="G7" s="62"/>
      <c r="H7" s="55" t="s">
        <v>144</v>
      </c>
      <c r="I7" s="62"/>
      <c r="J7" s="55" t="s">
        <v>217</v>
      </c>
      <c r="K7" s="62"/>
      <c r="L7" s="55" t="s">
        <v>218</v>
      </c>
      <c r="M7" s="62"/>
      <c r="N7" s="55" t="s">
        <v>76</v>
      </c>
    </row>
    <row r="8" spans="1:14" s="49" customFormat="1" ht="12" customHeight="1">
      <c r="A8" s="63" t="s">
        <v>0</v>
      </c>
      <c r="B8" s="107">
        <v>999</v>
      </c>
      <c r="C8" s="64"/>
      <c r="D8" s="64">
        <v>0</v>
      </c>
      <c r="E8" s="64"/>
      <c r="F8" s="15">
        <v>-475</v>
      </c>
      <c r="G8" s="64"/>
      <c r="H8" s="64">
        <v>0</v>
      </c>
      <c r="I8" s="64"/>
      <c r="J8" s="64">
        <v>0</v>
      </c>
      <c r="K8" s="64"/>
      <c r="L8" s="64">
        <v>0</v>
      </c>
      <c r="M8" s="64"/>
      <c r="N8" s="107">
        <v>524</v>
      </c>
    </row>
    <row r="9" spans="1:14" s="50" customFormat="1" ht="14.25" customHeight="1">
      <c r="A9" s="50" t="s">
        <v>202</v>
      </c>
      <c r="B9" s="191">
        <v>240</v>
      </c>
      <c r="C9" s="195"/>
      <c r="D9" s="195">
        <v>-3</v>
      </c>
      <c r="E9" s="195"/>
      <c r="F9" s="201">
        <v>0</v>
      </c>
      <c r="G9" s="195"/>
      <c r="H9" s="195">
        <v>0</v>
      </c>
      <c r="I9" s="195"/>
      <c r="J9" s="195">
        <v>-1</v>
      </c>
      <c r="K9" s="195"/>
      <c r="L9" s="195">
        <v>0</v>
      </c>
      <c r="M9" s="195"/>
      <c r="N9" s="191">
        <v>236</v>
      </c>
    </row>
    <row r="10" spans="1:14" s="66" customFormat="1" ht="12.75" customHeight="1">
      <c r="A10" s="66" t="s">
        <v>1</v>
      </c>
      <c r="B10" s="192">
        <v>759</v>
      </c>
      <c r="C10" s="199"/>
      <c r="D10" s="199">
        <v>3</v>
      </c>
      <c r="E10" s="199"/>
      <c r="F10" s="204">
        <v>-475</v>
      </c>
      <c r="G10" s="199"/>
      <c r="H10" s="199">
        <v>0</v>
      </c>
      <c r="I10" s="199"/>
      <c r="J10" s="199">
        <v>1</v>
      </c>
      <c r="K10" s="199"/>
      <c r="L10" s="199">
        <v>0</v>
      </c>
      <c r="M10" s="199"/>
      <c r="N10" s="192">
        <v>288</v>
      </c>
    </row>
    <row r="11" spans="1:14" s="66" customFormat="1" ht="12" customHeight="1">
      <c r="B11" s="192"/>
      <c r="C11" s="199"/>
      <c r="D11" s="199"/>
      <c r="E11" s="199"/>
      <c r="F11" s="204"/>
      <c r="G11" s="199"/>
      <c r="H11" s="199"/>
      <c r="I11" s="199"/>
      <c r="J11" s="199"/>
      <c r="K11" s="199"/>
      <c r="L11" s="199"/>
      <c r="M11" s="199"/>
      <c r="N11" s="192"/>
    </row>
    <row r="12" spans="1:14" s="50" customFormat="1" ht="12" customHeight="1">
      <c r="A12" s="50" t="s">
        <v>2</v>
      </c>
      <c r="B12" s="193"/>
      <c r="C12" s="200"/>
      <c r="D12" s="200"/>
      <c r="E12" s="200"/>
      <c r="F12" s="205"/>
      <c r="G12" s="200"/>
      <c r="H12" s="200"/>
      <c r="I12" s="200"/>
      <c r="J12" s="200"/>
      <c r="K12" s="200"/>
      <c r="L12" s="200"/>
      <c r="M12" s="200"/>
      <c r="N12" s="193"/>
    </row>
    <row r="13" spans="1:14" s="50" customFormat="1" ht="12" customHeight="1">
      <c r="A13" s="50" t="s">
        <v>77</v>
      </c>
      <c r="B13" s="193">
        <v>140</v>
      </c>
      <c r="C13" s="200"/>
      <c r="D13" s="200">
        <v>0</v>
      </c>
      <c r="E13" s="200"/>
      <c r="F13" s="205">
        <v>0</v>
      </c>
      <c r="G13" s="200"/>
      <c r="H13" s="200">
        <v>0</v>
      </c>
      <c r="I13" s="200"/>
      <c r="J13" s="200">
        <v>-5</v>
      </c>
      <c r="K13" s="200"/>
      <c r="L13" s="200">
        <v>0</v>
      </c>
      <c r="M13" s="200"/>
      <c r="N13" s="193">
        <v>135</v>
      </c>
    </row>
    <row r="14" spans="1:14" s="50" customFormat="1" ht="12" customHeight="1">
      <c r="A14" s="50" t="s">
        <v>78</v>
      </c>
      <c r="B14" s="193">
        <v>74</v>
      </c>
      <c r="C14" s="200"/>
      <c r="D14" s="200">
        <v>0</v>
      </c>
      <c r="E14" s="200"/>
      <c r="F14" s="205">
        <v>0</v>
      </c>
      <c r="G14" s="200"/>
      <c r="H14" s="200">
        <v>0</v>
      </c>
      <c r="I14" s="200"/>
      <c r="J14" s="200">
        <v>-9</v>
      </c>
      <c r="K14" s="200"/>
      <c r="L14" s="200">
        <v>0</v>
      </c>
      <c r="M14" s="200"/>
      <c r="N14" s="193">
        <v>65</v>
      </c>
    </row>
    <row r="15" spans="1:14" s="50" customFormat="1" ht="12" customHeight="1">
      <c r="A15" s="50" t="s">
        <v>79</v>
      </c>
      <c r="B15" s="193">
        <v>285</v>
      </c>
      <c r="C15" s="200"/>
      <c r="D15" s="200">
        <v>0</v>
      </c>
      <c r="E15" s="200"/>
      <c r="F15" s="205">
        <v>0</v>
      </c>
      <c r="G15" s="200"/>
      <c r="H15" s="200">
        <v>0</v>
      </c>
      <c r="I15" s="200"/>
      <c r="J15" s="200">
        <v>-23</v>
      </c>
      <c r="K15" s="200"/>
      <c r="L15" s="200">
        <v>0</v>
      </c>
      <c r="M15" s="200"/>
      <c r="N15" s="193">
        <v>262</v>
      </c>
    </row>
    <row r="16" spans="1:14" s="50" customFormat="1">
      <c r="A16" s="50" t="s">
        <v>80</v>
      </c>
      <c r="B16" s="193">
        <v>2</v>
      </c>
      <c r="C16" s="200"/>
      <c r="D16" s="200">
        <v>-2</v>
      </c>
      <c r="E16" s="200"/>
      <c r="F16" s="205">
        <v>0</v>
      </c>
      <c r="G16" s="200"/>
      <c r="H16" s="200">
        <v>0</v>
      </c>
      <c r="I16" s="200"/>
      <c r="J16" s="200">
        <v>0</v>
      </c>
      <c r="K16" s="200"/>
      <c r="L16" s="200">
        <v>0</v>
      </c>
      <c r="M16" s="200"/>
      <c r="N16" s="193">
        <v>0</v>
      </c>
    </row>
    <row r="17" spans="1:14" s="50" customFormat="1" ht="12" customHeight="1">
      <c r="A17" s="50" t="s">
        <v>81</v>
      </c>
      <c r="B17" s="193">
        <v>13</v>
      </c>
      <c r="C17" s="200"/>
      <c r="D17" s="200">
        <v>-13</v>
      </c>
      <c r="E17" s="200"/>
      <c r="F17" s="205">
        <v>0</v>
      </c>
      <c r="G17" s="200"/>
      <c r="H17" s="200">
        <v>0</v>
      </c>
      <c r="I17" s="200"/>
      <c r="J17" s="200">
        <v>0</v>
      </c>
      <c r="K17" s="200"/>
      <c r="L17" s="200">
        <v>0</v>
      </c>
      <c r="M17" s="200"/>
      <c r="N17" s="193">
        <v>0</v>
      </c>
    </row>
    <row r="18" spans="1:14" s="50" customFormat="1" ht="14.25" customHeight="1">
      <c r="A18" s="50" t="s">
        <v>207</v>
      </c>
      <c r="B18" s="194">
        <v>18</v>
      </c>
      <c r="C18" s="201"/>
      <c r="D18" s="195">
        <v>0</v>
      </c>
      <c r="E18" s="195"/>
      <c r="F18" s="201">
        <v>0</v>
      </c>
      <c r="G18" s="195"/>
      <c r="H18" s="195">
        <v>-18</v>
      </c>
      <c r="I18" s="195"/>
      <c r="J18" s="195">
        <v>0</v>
      </c>
      <c r="K18" s="195"/>
      <c r="L18" s="195">
        <v>0</v>
      </c>
      <c r="M18" s="195"/>
      <c r="N18" s="196" t="s">
        <v>9</v>
      </c>
    </row>
    <row r="19" spans="1:14" s="50" customFormat="1" ht="12.75" customHeight="1">
      <c r="A19" s="50" t="s">
        <v>82</v>
      </c>
      <c r="B19" s="191">
        <v>532</v>
      </c>
      <c r="C19" s="195"/>
      <c r="D19" s="195">
        <v>-15</v>
      </c>
      <c r="E19" s="195"/>
      <c r="F19" s="201">
        <v>0</v>
      </c>
      <c r="G19" s="195"/>
      <c r="H19" s="195">
        <v>-18</v>
      </c>
      <c r="I19" s="195"/>
      <c r="J19" s="195">
        <v>-37</v>
      </c>
      <c r="K19" s="195"/>
      <c r="L19" s="195">
        <v>0</v>
      </c>
      <c r="M19" s="195"/>
      <c r="N19" s="191">
        <v>462</v>
      </c>
    </row>
    <row r="20" spans="1:14" s="50" customFormat="1" ht="12" customHeight="1">
      <c r="B20" s="193"/>
      <c r="C20" s="200"/>
      <c r="D20" s="200"/>
      <c r="E20" s="200"/>
      <c r="F20" s="205"/>
      <c r="G20" s="200"/>
      <c r="H20" s="200"/>
      <c r="I20" s="200"/>
      <c r="J20" s="200"/>
      <c r="K20" s="200"/>
      <c r="L20" s="200"/>
      <c r="M20" s="200"/>
      <c r="N20" s="193"/>
    </row>
    <row r="21" spans="1:14" s="71" customFormat="1" ht="12.75" customHeight="1">
      <c r="A21" s="1" t="s">
        <v>11</v>
      </c>
      <c r="B21" s="192">
        <v>227</v>
      </c>
      <c r="C21" s="199"/>
      <c r="D21" s="204">
        <v>18</v>
      </c>
      <c r="E21" s="199"/>
      <c r="F21" s="204">
        <v>-475</v>
      </c>
      <c r="G21" s="199"/>
      <c r="H21" s="204">
        <v>18</v>
      </c>
      <c r="I21" s="199"/>
      <c r="J21" s="204">
        <v>38</v>
      </c>
      <c r="K21" s="199"/>
      <c r="L21" s="204">
        <v>0</v>
      </c>
      <c r="M21" s="199"/>
      <c r="N21" s="192">
        <v>-174</v>
      </c>
    </row>
    <row r="22" spans="1:14" s="71" customFormat="1" ht="12" customHeight="1">
      <c r="A22" s="72"/>
      <c r="B22" s="192"/>
      <c r="C22" s="199"/>
      <c r="D22" s="199"/>
      <c r="E22" s="199"/>
      <c r="F22" s="204"/>
      <c r="G22" s="199"/>
      <c r="H22" s="199"/>
      <c r="I22" s="199"/>
      <c r="J22" s="199"/>
      <c r="K22" s="199"/>
      <c r="L22" s="199"/>
      <c r="M22" s="199"/>
      <c r="N22" s="192"/>
    </row>
    <row r="23" spans="1:14" s="74" customFormat="1" ht="14.25">
      <c r="A23" s="280" t="s">
        <v>83</v>
      </c>
      <c r="B23" s="191">
        <v>3</v>
      </c>
      <c r="C23" s="195"/>
      <c r="D23" s="195">
        <v>0</v>
      </c>
      <c r="E23" s="195"/>
      <c r="F23" s="201">
        <v>0</v>
      </c>
      <c r="G23" s="195"/>
      <c r="H23" s="195">
        <v>0</v>
      </c>
      <c r="I23" s="195"/>
      <c r="J23" s="195">
        <v>0</v>
      </c>
      <c r="K23" s="195"/>
      <c r="L23" s="195">
        <v>0</v>
      </c>
      <c r="M23" s="195"/>
      <c r="N23" s="191">
        <v>3</v>
      </c>
    </row>
    <row r="24" spans="1:14" s="74" customFormat="1" ht="12" customHeight="1">
      <c r="B24" s="193"/>
      <c r="C24" s="200"/>
      <c r="D24" s="200"/>
      <c r="E24" s="200"/>
      <c r="F24" s="205"/>
      <c r="G24" s="200"/>
      <c r="H24" s="200"/>
      <c r="I24" s="200"/>
      <c r="J24" s="200"/>
      <c r="K24" s="200"/>
      <c r="L24" s="200"/>
      <c r="M24" s="200"/>
      <c r="N24" s="193"/>
    </row>
    <row r="25" spans="1:14" s="74" customFormat="1" ht="12" customHeight="1">
      <c r="A25" s="4" t="s">
        <v>22</v>
      </c>
      <c r="B25" s="193">
        <v>230</v>
      </c>
      <c r="C25" s="200"/>
      <c r="D25" s="205">
        <v>18</v>
      </c>
      <c r="E25" s="200"/>
      <c r="F25" s="205">
        <v>-475</v>
      </c>
      <c r="G25" s="200"/>
      <c r="H25" s="205">
        <v>18</v>
      </c>
      <c r="I25" s="200"/>
      <c r="J25" s="205">
        <v>38</v>
      </c>
      <c r="K25" s="200"/>
      <c r="L25" s="205">
        <v>0</v>
      </c>
      <c r="M25" s="200"/>
      <c r="N25" s="193">
        <v>-171</v>
      </c>
    </row>
    <row r="26" spans="1:14" s="74" customFormat="1" ht="12" customHeight="1">
      <c r="A26" s="4"/>
      <c r="B26" s="193"/>
      <c r="C26" s="200"/>
      <c r="D26" s="200"/>
      <c r="E26" s="200"/>
      <c r="F26" s="205"/>
      <c r="G26" s="200"/>
      <c r="H26" s="200"/>
      <c r="I26" s="200"/>
      <c r="J26" s="200"/>
      <c r="K26" s="200"/>
      <c r="L26" s="200"/>
      <c r="M26" s="200"/>
      <c r="N26" s="193"/>
    </row>
    <row r="27" spans="1:14" s="74" customFormat="1" ht="14.25" customHeight="1">
      <c r="A27" s="4" t="s">
        <v>23</v>
      </c>
      <c r="B27" s="191">
        <v>9</v>
      </c>
      <c r="C27" s="195"/>
      <c r="D27" s="201">
        <v>0</v>
      </c>
      <c r="E27" s="195"/>
      <c r="F27" s="201">
        <v>0</v>
      </c>
      <c r="G27" s="195"/>
      <c r="H27" s="201">
        <v>0</v>
      </c>
      <c r="I27" s="195"/>
      <c r="J27" s="201">
        <v>0</v>
      </c>
      <c r="K27" s="195"/>
      <c r="L27" s="195">
        <v>-57</v>
      </c>
      <c r="M27" s="195"/>
      <c r="N27" s="191">
        <v>-48</v>
      </c>
    </row>
    <row r="28" spans="1:14" s="74" customFormat="1" ht="12" customHeight="1">
      <c r="B28" s="193"/>
      <c r="C28" s="200"/>
      <c r="D28" s="200"/>
      <c r="E28" s="200"/>
      <c r="F28" s="205"/>
      <c r="G28" s="200"/>
      <c r="H28" s="200"/>
      <c r="I28" s="200"/>
      <c r="J28" s="200"/>
      <c r="K28" s="200"/>
      <c r="L28" s="200"/>
      <c r="M28" s="200"/>
      <c r="N28" s="193"/>
    </row>
    <row r="29" spans="1:14" s="63" customFormat="1" ht="12.75" customHeight="1">
      <c r="A29" s="76" t="s">
        <v>14</v>
      </c>
      <c r="B29" s="112">
        <v>221</v>
      </c>
      <c r="C29" s="77"/>
      <c r="D29" s="20">
        <v>18</v>
      </c>
      <c r="E29" s="77"/>
      <c r="F29" s="20">
        <v>-475</v>
      </c>
      <c r="G29" s="77"/>
      <c r="H29" s="20">
        <v>18</v>
      </c>
      <c r="I29" s="77"/>
      <c r="J29" s="20">
        <v>38</v>
      </c>
      <c r="K29" s="77"/>
      <c r="L29" s="20">
        <v>57</v>
      </c>
      <c r="M29" s="77"/>
      <c r="N29" s="112">
        <v>-123</v>
      </c>
    </row>
    <row r="30" spans="1:14" s="63" customFormat="1" ht="12" customHeight="1">
      <c r="A30" s="76"/>
      <c r="B30" s="113"/>
      <c r="C30" s="49"/>
      <c r="D30" s="49"/>
      <c r="E30" s="49"/>
      <c r="F30" s="49"/>
      <c r="G30" s="49"/>
      <c r="J30" s="49"/>
      <c r="K30" s="49"/>
      <c r="L30" s="49"/>
      <c r="M30" s="49"/>
      <c r="N30" s="113"/>
    </row>
    <row r="31" spans="1:14" s="63" customFormat="1" ht="12" customHeight="1">
      <c r="A31" s="104" t="s">
        <v>140</v>
      </c>
      <c r="B31" s="113"/>
      <c r="C31" s="49"/>
      <c r="D31" s="49"/>
      <c r="E31" s="49"/>
      <c r="F31" s="49"/>
      <c r="G31" s="49"/>
      <c r="J31" s="104" t="s">
        <v>139</v>
      </c>
      <c r="K31" s="49"/>
      <c r="L31" s="49"/>
      <c r="M31" s="49"/>
      <c r="N31" s="113"/>
    </row>
    <row r="32" spans="1:14" s="45" customFormat="1" ht="12" customHeight="1">
      <c r="A32" s="105" t="s">
        <v>107</v>
      </c>
      <c r="B32" s="114">
        <v>0.67</v>
      </c>
      <c r="C32" s="106"/>
      <c r="D32" s="106"/>
      <c r="E32" s="106"/>
      <c r="F32" s="106"/>
      <c r="G32" s="106"/>
      <c r="J32" s="105" t="s">
        <v>109</v>
      </c>
      <c r="K32" s="106"/>
      <c r="L32" s="106"/>
      <c r="M32" s="106"/>
      <c r="N32" s="114">
        <v>-0.37</v>
      </c>
    </row>
    <row r="33" spans="1:14" s="45" customFormat="1" ht="12" customHeight="1">
      <c r="A33" s="105" t="s">
        <v>108</v>
      </c>
      <c r="B33" s="114">
        <v>0.66</v>
      </c>
      <c r="C33" s="106"/>
      <c r="D33" s="106"/>
      <c r="E33" s="106"/>
      <c r="F33" s="106"/>
      <c r="G33" s="106"/>
      <c r="J33" s="105"/>
      <c r="K33" s="106"/>
      <c r="L33" s="106"/>
      <c r="M33" s="106"/>
      <c r="N33" s="114"/>
    </row>
    <row r="34" spans="1:14" s="45" customFormat="1" ht="12" customHeight="1">
      <c r="A34" s="105"/>
      <c r="B34" s="114"/>
      <c r="C34" s="106"/>
      <c r="D34" s="106"/>
      <c r="E34" s="106"/>
      <c r="F34" s="106"/>
      <c r="G34" s="106"/>
      <c r="H34" s="104"/>
      <c r="J34" s="80"/>
      <c r="K34" s="106"/>
      <c r="L34" s="106"/>
      <c r="M34" s="106"/>
      <c r="N34" s="114"/>
    </row>
    <row r="35" spans="1:14" s="45" customFormat="1" ht="12" customHeight="1">
      <c r="A35" s="80" t="s">
        <v>110</v>
      </c>
      <c r="B35" s="197"/>
      <c r="C35" s="202"/>
      <c r="D35" s="202"/>
      <c r="E35" s="202"/>
      <c r="F35" s="202"/>
      <c r="G35" s="202"/>
      <c r="H35" s="105"/>
      <c r="J35" s="80" t="s">
        <v>110</v>
      </c>
      <c r="K35" s="202"/>
      <c r="L35" s="202"/>
      <c r="M35" s="202"/>
      <c r="N35" s="197"/>
    </row>
    <row r="36" spans="1:14" s="45" customFormat="1" ht="12" customHeight="1">
      <c r="A36" s="80" t="s">
        <v>107</v>
      </c>
      <c r="B36" s="198">
        <v>331</v>
      </c>
      <c r="C36" s="203"/>
      <c r="D36" s="202"/>
      <c r="E36" s="202"/>
      <c r="F36" s="202"/>
      <c r="G36" s="202"/>
      <c r="H36" s="105"/>
      <c r="J36" s="80" t="s">
        <v>109</v>
      </c>
      <c r="K36" s="202"/>
      <c r="L36" s="202"/>
      <c r="M36" s="202"/>
      <c r="N36" s="198">
        <v>331</v>
      </c>
    </row>
    <row r="37" spans="1:14" s="45" customFormat="1" ht="12" customHeight="1">
      <c r="A37" s="80" t="s">
        <v>108</v>
      </c>
      <c r="B37" s="198">
        <v>337</v>
      </c>
      <c r="C37" s="203"/>
      <c r="D37" s="202"/>
      <c r="E37" s="202"/>
      <c r="F37" s="202"/>
      <c r="G37" s="202"/>
      <c r="J37" s="80"/>
      <c r="K37" s="202"/>
      <c r="L37" s="202"/>
      <c r="M37" s="202"/>
      <c r="N37" s="203"/>
    </row>
    <row r="38" spans="1:14" ht="12" customHeight="1">
      <c r="A38" s="80"/>
    </row>
    <row r="39" spans="1:14" ht="12" customHeight="1">
      <c r="A39" s="80"/>
    </row>
  </sheetData>
  <mergeCells count="4">
    <mergeCell ref="A1:N1"/>
    <mergeCell ref="A2:N2"/>
    <mergeCell ref="A3:N3"/>
    <mergeCell ref="B6:N6"/>
  </mergeCells>
  <phoneticPr fontId="15" type="noConversion"/>
  <pageMargins left="0.7" right="0.7" top="0.75" bottom="0.75" header="0.3" footer="0.3"/>
  <pageSetup scale="78" orientation="landscape" r:id="rId1"/>
  <headerFooter>
    <oddFooter>&amp;LElectronic Arts Inc.&amp;C&amp;D&amp;R&amp;P of &amp;N</oddFooter>
  </headerFooter>
  <customProperties>
    <customPr name="ConnName"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P37"/>
  <sheetViews>
    <sheetView zoomScaleNormal="100" workbookViewId="0">
      <pane xSplit="1" ySplit="7" topLeftCell="B8" activePane="bottomRight" state="frozen"/>
      <selection pane="topRight" activeCell="B1" sqref="B1"/>
      <selection pane="bottomLeft" activeCell="A8" sqref="A8"/>
      <selection pane="bottomRight" activeCell="L7" sqref="L7"/>
    </sheetView>
  </sheetViews>
  <sheetFormatPr defaultColWidth="11.42578125" defaultRowHeight="12" customHeight="1"/>
  <cols>
    <col min="1" max="1" width="45.14062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4" width="11.42578125" style="23"/>
    <col min="15" max="15" width="1.5703125" style="23" customWidth="1"/>
    <col min="16" max="16384" width="11.42578125" style="23"/>
  </cols>
  <sheetData>
    <row r="1" spans="1:16" s="7" customFormat="1" ht="12" customHeight="1">
      <c r="A1" s="371" t="s">
        <v>68</v>
      </c>
      <c r="B1" s="370"/>
      <c r="C1" s="370"/>
      <c r="D1" s="370"/>
      <c r="E1" s="370"/>
      <c r="F1" s="370"/>
      <c r="G1" s="370"/>
      <c r="H1" s="370"/>
      <c r="I1" s="370"/>
      <c r="J1" s="370"/>
      <c r="K1" s="370"/>
      <c r="L1" s="370"/>
      <c r="M1" s="370"/>
      <c r="N1" s="370"/>
      <c r="O1" s="58"/>
      <c r="P1" s="54"/>
    </row>
    <row r="2" spans="1:16" s="7" customFormat="1" ht="12" customHeight="1">
      <c r="A2" s="371" t="s">
        <v>69</v>
      </c>
      <c r="B2" s="370"/>
      <c r="C2" s="370"/>
      <c r="D2" s="370"/>
      <c r="E2" s="370"/>
      <c r="F2" s="370"/>
      <c r="G2" s="370"/>
      <c r="H2" s="370"/>
      <c r="I2" s="370"/>
      <c r="J2" s="370"/>
      <c r="K2" s="370"/>
      <c r="L2" s="370"/>
      <c r="M2" s="370"/>
      <c r="N2" s="370"/>
      <c r="O2" s="58"/>
      <c r="P2" s="54"/>
    </row>
    <row r="3" spans="1:16" s="7" customFormat="1" ht="12" customHeight="1">
      <c r="A3" s="371" t="s">
        <v>70</v>
      </c>
      <c r="B3" s="370"/>
      <c r="C3" s="370"/>
      <c r="D3" s="370"/>
      <c r="E3" s="370"/>
      <c r="F3" s="370"/>
      <c r="G3" s="370"/>
      <c r="H3" s="370"/>
      <c r="I3" s="370"/>
      <c r="J3" s="370"/>
      <c r="K3" s="370"/>
      <c r="L3" s="370"/>
      <c r="M3" s="370"/>
      <c r="N3" s="370"/>
      <c r="O3" s="58"/>
      <c r="P3" s="54"/>
    </row>
    <row r="4" spans="1:16" s="7" customFormat="1" ht="12" customHeight="1">
      <c r="A4" s="6"/>
      <c r="B4" s="6"/>
      <c r="C4" s="6"/>
      <c r="D4" s="6"/>
      <c r="E4" s="6"/>
      <c r="F4" s="6"/>
      <c r="G4" s="6"/>
      <c r="H4" s="6"/>
      <c r="I4" s="6"/>
      <c r="J4" s="6"/>
      <c r="K4" s="6"/>
      <c r="L4" s="6"/>
      <c r="M4" s="6"/>
      <c r="N4" s="6"/>
      <c r="O4" s="6"/>
      <c r="P4" s="6"/>
    </row>
    <row r="5" spans="1:16" s="7" customFormat="1" ht="12" customHeight="1">
      <c r="B5" s="59"/>
      <c r="C5" s="59"/>
      <c r="D5" s="59"/>
      <c r="E5" s="59"/>
      <c r="F5" s="59"/>
      <c r="G5" s="59"/>
      <c r="H5" s="60"/>
      <c r="I5" s="60"/>
      <c r="J5" s="59"/>
      <c r="K5" s="59"/>
      <c r="L5" s="59"/>
    </row>
    <row r="6" spans="1:16" s="7" customFormat="1" ht="12" customHeight="1">
      <c r="B6" s="379" t="s">
        <v>145</v>
      </c>
      <c r="C6" s="382"/>
      <c r="D6" s="382"/>
      <c r="E6" s="382"/>
      <c r="F6" s="382"/>
      <c r="G6" s="382"/>
      <c r="H6" s="382"/>
      <c r="I6" s="382"/>
      <c r="J6" s="382"/>
      <c r="K6" s="382"/>
      <c r="L6" s="382"/>
      <c r="M6" s="382"/>
      <c r="N6" s="382"/>
    </row>
    <row r="7" spans="1:16" s="48" customFormat="1" ht="87" customHeight="1">
      <c r="B7" s="55" t="s">
        <v>72</v>
      </c>
      <c r="C7" s="61"/>
      <c r="D7" s="55" t="s">
        <v>41</v>
      </c>
      <c r="E7" s="62"/>
      <c r="F7" s="55" t="s">
        <v>73</v>
      </c>
      <c r="H7" s="55" t="s">
        <v>144</v>
      </c>
      <c r="I7" s="62"/>
      <c r="J7" s="55" t="s">
        <v>217</v>
      </c>
      <c r="K7" s="62"/>
      <c r="L7" s="55" t="s">
        <v>218</v>
      </c>
      <c r="M7" s="62"/>
      <c r="N7" s="55" t="s">
        <v>76</v>
      </c>
    </row>
    <row r="8" spans="1:16" s="49" customFormat="1" ht="12" customHeight="1">
      <c r="A8" s="63" t="s">
        <v>0</v>
      </c>
      <c r="B8" s="107">
        <v>1090</v>
      </c>
      <c r="C8" s="64"/>
      <c r="D8" s="64">
        <v>0</v>
      </c>
      <c r="E8" s="64"/>
      <c r="F8" s="15">
        <v>-95</v>
      </c>
      <c r="H8" s="64">
        <v>0</v>
      </c>
      <c r="I8" s="64"/>
      <c r="J8" s="64">
        <v>0</v>
      </c>
      <c r="K8" s="64"/>
      <c r="L8" s="64">
        <v>0</v>
      </c>
      <c r="M8" s="64"/>
      <c r="N8" s="107">
        <v>995</v>
      </c>
    </row>
    <row r="9" spans="1:16" s="50" customFormat="1" ht="14.25" customHeight="1">
      <c r="A9" s="50" t="s">
        <v>202</v>
      </c>
      <c r="B9" s="108">
        <v>328</v>
      </c>
      <c r="C9" s="65"/>
      <c r="D9" s="57">
        <v>-3</v>
      </c>
      <c r="E9" s="57"/>
      <c r="F9" s="19">
        <v>0</v>
      </c>
      <c r="H9" s="57">
        <v>0</v>
      </c>
      <c r="I9" s="57"/>
      <c r="J9" s="57">
        <v>0</v>
      </c>
      <c r="K9" s="57"/>
      <c r="L9" s="57">
        <v>0</v>
      </c>
      <c r="M9" s="57"/>
      <c r="N9" s="108">
        <v>325</v>
      </c>
    </row>
    <row r="10" spans="1:16" s="66" customFormat="1" ht="12.75" customHeight="1">
      <c r="A10" s="66" t="s">
        <v>1</v>
      </c>
      <c r="B10" s="109">
        <v>762</v>
      </c>
      <c r="C10" s="68"/>
      <c r="D10" s="67">
        <v>3</v>
      </c>
      <c r="E10" s="67"/>
      <c r="F10" s="17">
        <v>-95</v>
      </c>
      <c r="H10" s="67">
        <v>0</v>
      </c>
      <c r="I10" s="67"/>
      <c r="J10" s="67">
        <v>0</v>
      </c>
      <c r="K10" s="67"/>
      <c r="L10" s="67">
        <v>0</v>
      </c>
      <c r="M10" s="67"/>
      <c r="N10" s="109">
        <v>670</v>
      </c>
    </row>
    <row r="11" spans="1:16" s="66" customFormat="1" ht="12" customHeight="1">
      <c r="B11" s="115"/>
      <c r="C11" s="69"/>
      <c r="D11" s="67"/>
      <c r="E11" s="67"/>
      <c r="F11" s="17"/>
      <c r="H11" s="67"/>
      <c r="I11" s="67"/>
      <c r="J11" s="67"/>
      <c r="K11" s="67"/>
      <c r="L11" s="67"/>
      <c r="M11" s="67"/>
      <c r="N11" s="118"/>
    </row>
    <row r="12" spans="1:16" s="50" customFormat="1" ht="12" customHeight="1">
      <c r="A12" s="50" t="s">
        <v>2</v>
      </c>
      <c r="B12" s="110"/>
      <c r="C12" s="70"/>
      <c r="D12" s="44"/>
      <c r="E12" s="44"/>
      <c r="F12" s="18"/>
      <c r="H12" s="44"/>
      <c r="I12" s="44"/>
      <c r="J12" s="44"/>
      <c r="K12" s="44"/>
      <c r="L12" s="44"/>
      <c r="M12" s="44"/>
      <c r="N12" s="110"/>
    </row>
    <row r="13" spans="1:16" s="50" customFormat="1" ht="12" customHeight="1">
      <c r="A13" s="50" t="s">
        <v>77</v>
      </c>
      <c r="B13" s="110">
        <v>194</v>
      </c>
      <c r="C13" s="65"/>
      <c r="D13" s="44">
        <v>0</v>
      </c>
      <c r="E13" s="44"/>
      <c r="F13" s="18">
        <v>0</v>
      </c>
      <c r="H13" s="44">
        <v>0</v>
      </c>
      <c r="I13" s="44"/>
      <c r="J13" s="44">
        <v>-5</v>
      </c>
      <c r="K13" s="44"/>
      <c r="L13" s="44">
        <v>0</v>
      </c>
      <c r="M13" s="44"/>
      <c r="N13" s="110">
        <v>189</v>
      </c>
    </row>
    <row r="14" spans="1:16" s="50" customFormat="1" ht="12" customHeight="1">
      <c r="A14" s="50" t="s">
        <v>78</v>
      </c>
      <c r="B14" s="110">
        <v>75</v>
      </c>
      <c r="C14" s="65"/>
      <c r="D14" s="44">
        <v>0</v>
      </c>
      <c r="E14" s="44"/>
      <c r="F14" s="18">
        <v>0</v>
      </c>
      <c r="H14" s="44">
        <v>0</v>
      </c>
      <c r="I14" s="44"/>
      <c r="J14" s="44">
        <v>-8</v>
      </c>
      <c r="K14" s="44"/>
      <c r="L14" s="44">
        <v>0</v>
      </c>
      <c r="M14" s="44"/>
      <c r="N14" s="110">
        <v>67</v>
      </c>
    </row>
    <row r="15" spans="1:16" s="50" customFormat="1" ht="12" customHeight="1">
      <c r="A15" s="50" t="s">
        <v>79</v>
      </c>
      <c r="B15" s="110">
        <v>328</v>
      </c>
      <c r="C15" s="65"/>
      <c r="D15" s="44">
        <v>0</v>
      </c>
      <c r="E15" s="44"/>
      <c r="F15" s="18">
        <v>0</v>
      </c>
      <c r="H15" s="44">
        <v>0</v>
      </c>
      <c r="I15" s="44"/>
      <c r="J15" s="44">
        <v>-25</v>
      </c>
      <c r="K15" s="44"/>
      <c r="L15" s="44">
        <v>0</v>
      </c>
      <c r="M15" s="44"/>
      <c r="N15" s="110">
        <v>303</v>
      </c>
    </row>
    <row r="16" spans="1:16" s="50" customFormat="1">
      <c r="A16" s="50" t="s">
        <v>80</v>
      </c>
      <c r="B16" s="110">
        <v>8</v>
      </c>
      <c r="C16" s="65"/>
      <c r="D16" s="44">
        <v>-8</v>
      </c>
      <c r="E16" s="44"/>
      <c r="F16" s="18">
        <v>0</v>
      </c>
      <c r="H16" s="44">
        <v>0</v>
      </c>
      <c r="I16" s="44"/>
      <c r="J16" s="44">
        <v>0</v>
      </c>
      <c r="K16" s="44"/>
      <c r="L16" s="44">
        <v>0</v>
      </c>
      <c r="M16" s="44"/>
      <c r="N16" s="110">
        <v>0</v>
      </c>
    </row>
    <row r="17" spans="1:15" s="50" customFormat="1" ht="12" customHeight="1">
      <c r="A17" s="50" t="s">
        <v>81</v>
      </c>
      <c r="B17" s="110">
        <v>13</v>
      </c>
      <c r="C17" s="65"/>
      <c r="D17" s="44">
        <v>-13</v>
      </c>
      <c r="E17" s="44"/>
      <c r="F17" s="18">
        <v>0</v>
      </c>
      <c r="H17" s="44">
        <v>0</v>
      </c>
      <c r="I17" s="44"/>
      <c r="J17" s="44">
        <v>0</v>
      </c>
      <c r="K17" s="44"/>
      <c r="L17" s="44">
        <v>0</v>
      </c>
      <c r="M17" s="44"/>
      <c r="N17" s="110">
        <v>0</v>
      </c>
    </row>
    <row r="18" spans="1:15" s="50" customFormat="1" ht="13.5" customHeight="1">
      <c r="A18" s="50" t="s">
        <v>207</v>
      </c>
      <c r="B18" s="111">
        <v>-1</v>
      </c>
      <c r="C18" s="65"/>
      <c r="D18" s="57">
        <v>0</v>
      </c>
      <c r="E18" s="57"/>
      <c r="F18" s="19">
        <v>0</v>
      </c>
      <c r="H18" s="57">
        <v>1</v>
      </c>
      <c r="I18" s="57"/>
      <c r="J18" s="57">
        <v>0</v>
      </c>
      <c r="K18" s="57"/>
      <c r="L18" s="57">
        <v>0</v>
      </c>
      <c r="M18" s="57"/>
      <c r="N18" s="108">
        <v>0</v>
      </c>
    </row>
    <row r="19" spans="1:15" s="50" customFormat="1" ht="12.75" customHeight="1">
      <c r="A19" s="50" t="s">
        <v>82</v>
      </c>
      <c r="B19" s="108">
        <v>617</v>
      </c>
      <c r="C19" s="65"/>
      <c r="D19" s="57">
        <v>-21</v>
      </c>
      <c r="E19" s="57"/>
      <c r="F19" s="19">
        <v>0</v>
      </c>
      <c r="H19" s="57">
        <v>1</v>
      </c>
      <c r="I19" s="57"/>
      <c r="J19" s="57">
        <v>-38</v>
      </c>
      <c r="K19" s="57"/>
      <c r="L19" s="57">
        <v>0</v>
      </c>
      <c r="M19" s="57"/>
      <c r="N19" s="108">
        <v>559</v>
      </c>
    </row>
    <row r="20" spans="1:15" s="50" customFormat="1" ht="12" customHeight="1">
      <c r="B20" s="110"/>
      <c r="C20" s="70"/>
      <c r="D20" s="44"/>
      <c r="E20" s="44"/>
      <c r="F20" s="18"/>
      <c r="H20" s="44"/>
      <c r="I20" s="44"/>
      <c r="J20" s="44"/>
      <c r="K20" s="44"/>
      <c r="L20" s="44"/>
      <c r="M20" s="44"/>
      <c r="N20" s="110"/>
    </row>
    <row r="21" spans="1:15" s="71" customFormat="1" ht="12.75" customHeight="1">
      <c r="A21" s="1" t="s">
        <v>88</v>
      </c>
      <c r="B21" s="109">
        <v>145</v>
      </c>
      <c r="C21" s="68"/>
      <c r="D21" s="17">
        <v>24</v>
      </c>
      <c r="E21" s="67"/>
      <c r="F21" s="17">
        <v>-95</v>
      </c>
      <c r="H21" s="17">
        <v>-1</v>
      </c>
      <c r="I21" s="67"/>
      <c r="J21" s="17">
        <v>38</v>
      </c>
      <c r="K21" s="67"/>
      <c r="L21" s="17">
        <v>0</v>
      </c>
      <c r="M21" s="67"/>
      <c r="N21" s="109">
        <v>111</v>
      </c>
    </row>
    <row r="22" spans="1:15" s="71" customFormat="1" ht="12" customHeight="1">
      <c r="A22" s="72"/>
      <c r="B22" s="109"/>
      <c r="C22" s="69"/>
      <c r="D22" s="67"/>
      <c r="E22" s="67"/>
      <c r="F22" s="17"/>
      <c r="H22" s="67"/>
      <c r="I22" s="67"/>
      <c r="J22" s="67"/>
      <c r="K22" s="67"/>
      <c r="L22" s="67"/>
      <c r="M22" s="67"/>
      <c r="N22" s="109"/>
    </row>
    <row r="23" spans="1:15" s="74" customFormat="1" ht="14.25">
      <c r="A23" s="280" t="s">
        <v>83</v>
      </c>
      <c r="B23" s="108">
        <v>4</v>
      </c>
      <c r="C23" s="65"/>
      <c r="D23" s="57">
        <v>0</v>
      </c>
      <c r="E23" s="57"/>
      <c r="F23" s="19">
        <v>0</v>
      </c>
      <c r="H23" s="57">
        <v>0</v>
      </c>
      <c r="I23" s="57"/>
      <c r="J23" s="57">
        <v>0</v>
      </c>
      <c r="K23" s="57"/>
      <c r="L23" s="57">
        <v>0</v>
      </c>
      <c r="M23" s="57"/>
      <c r="N23" s="108">
        <v>4</v>
      </c>
    </row>
    <row r="24" spans="1:15" s="74" customFormat="1" ht="12" customHeight="1">
      <c r="B24" s="110"/>
      <c r="C24" s="70"/>
      <c r="D24" s="44"/>
      <c r="E24" s="44"/>
      <c r="F24" s="18"/>
      <c r="H24" s="44"/>
      <c r="I24" s="44"/>
      <c r="J24" s="44"/>
      <c r="K24" s="44"/>
      <c r="L24" s="44"/>
      <c r="M24" s="44"/>
      <c r="N24" s="110"/>
    </row>
    <row r="25" spans="1:15" s="74" customFormat="1" ht="12" customHeight="1">
      <c r="A25" s="4" t="s">
        <v>147</v>
      </c>
      <c r="B25" s="110">
        <v>149</v>
      </c>
      <c r="C25" s="65"/>
      <c r="D25" s="18">
        <v>24</v>
      </c>
      <c r="E25" s="44"/>
      <c r="F25" s="18">
        <v>-95</v>
      </c>
      <c r="H25" s="18">
        <v>-1</v>
      </c>
      <c r="I25" s="44"/>
      <c r="J25" s="18">
        <v>38</v>
      </c>
      <c r="K25" s="44"/>
      <c r="L25" s="18">
        <v>0</v>
      </c>
      <c r="M25" s="44"/>
      <c r="N25" s="110">
        <v>115</v>
      </c>
    </row>
    <row r="26" spans="1:15" s="74" customFormat="1" ht="12" customHeight="1">
      <c r="A26" s="4"/>
      <c r="B26" s="110"/>
      <c r="C26" s="70"/>
      <c r="D26" s="44"/>
      <c r="E26" s="44"/>
      <c r="F26" s="18"/>
      <c r="H26" s="44"/>
      <c r="I26" s="44"/>
      <c r="J26" s="44"/>
      <c r="K26" s="44"/>
      <c r="L26" s="44"/>
      <c r="M26" s="44"/>
      <c r="N26" s="110"/>
    </row>
    <row r="27" spans="1:15" s="74" customFormat="1" ht="14.25" customHeight="1">
      <c r="A27" s="4" t="s">
        <v>23</v>
      </c>
      <c r="B27" s="108">
        <v>-2</v>
      </c>
      <c r="C27" s="65"/>
      <c r="D27" s="57">
        <v>0</v>
      </c>
      <c r="E27" s="57"/>
      <c r="F27" s="57">
        <v>0</v>
      </c>
      <c r="H27" s="57">
        <v>0</v>
      </c>
      <c r="I27" s="57"/>
      <c r="J27" s="57">
        <v>0</v>
      </c>
      <c r="K27" s="57"/>
      <c r="L27" s="57">
        <v>34</v>
      </c>
      <c r="M27" s="57"/>
      <c r="N27" s="108">
        <v>32</v>
      </c>
      <c r="O27" s="75"/>
    </row>
    <row r="28" spans="1:15" s="74" customFormat="1" ht="12" customHeight="1">
      <c r="B28" s="110"/>
      <c r="C28" s="70"/>
      <c r="D28" s="44"/>
      <c r="E28" s="44"/>
      <c r="F28" s="18"/>
      <c r="H28" s="44"/>
      <c r="I28" s="44"/>
      <c r="J28" s="44"/>
      <c r="K28" s="44"/>
      <c r="L28" s="44"/>
      <c r="M28" s="44"/>
      <c r="N28" s="110"/>
    </row>
    <row r="29" spans="1:15" s="63" customFormat="1" ht="12.75" customHeight="1">
      <c r="A29" s="76" t="s">
        <v>91</v>
      </c>
      <c r="B29" s="112">
        <v>151</v>
      </c>
      <c r="C29" s="68"/>
      <c r="D29" s="20">
        <v>24</v>
      </c>
      <c r="E29" s="77"/>
      <c r="F29" s="20">
        <v>-95</v>
      </c>
      <c r="H29" s="20">
        <v>-1</v>
      </c>
      <c r="I29" s="77"/>
      <c r="J29" s="20">
        <v>38</v>
      </c>
      <c r="K29" s="77"/>
      <c r="L29" s="20">
        <v>-34</v>
      </c>
      <c r="M29" s="77"/>
      <c r="N29" s="112">
        <v>83</v>
      </c>
    </row>
    <row r="30" spans="1:15" s="63" customFormat="1" ht="12" customHeight="1">
      <c r="A30" s="76"/>
      <c r="B30" s="113"/>
      <c r="C30" s="49"/>
      <c r="D30" s="49"/>
      <c r="E30" s="49"/>
      <c r="F30" s="49"/>
      <c r="G30" s="49"/>
      <c r="J30" s="49"/>
      <c r="K30" s="49"/>
      <c r="L30" s="49"/>
      <c r="M30" s="49"/>
      <c r="N30" s="113"/>
    </row>
    <row r="31" spans="1:15" ht="12" customHeight="1">
      <c r="A31" s="88" t="s">
        <v>142</v>
      </c>
      <c r="B31" s="119"/>
      <c r="J31" s="88" t="s">
        <v>140</v>
      </c>
      <c r="N31" s="119"/>
    </row>
    <row r="32" spans="1:15" ht="12" customHeight="1">
      <c r="A32" s="89" t="s">
        <v>107</v>
      </c>
      <c r="B32" s="120">
        <v>0.45</v>
      </c>
      <c r="J32" s="89" t="s">
        <v>107</v>
      </c>
      <c r="N32" s="120">
        <v>0.25</v>
      </c>
    </row>
    <row r="33" spans="1:14" ht="12" customHeight="1">
      <c r="A33" s="89" t="s">
        <v>108</v>
      </c>
      <c r="B33" s="120">
        <v>0.45</v>
      </c>
      <c r="J33" s="89" t="s">
        <v>108</v>
      </c>
      <c r="N33" s="120">
        <v>0.25</v>
      </c>
    </row>
    <row r="34" spans="1:14" ht="12" customHeight="1">
      <c r="A34" s="89"/>
      <c r="B34" s="120"/>
      <c r="N34" s="119"/>
    </row>
    <row r="35" spans="1:14" ht="12" customHeight="1">
      <c r="A35" s="90" t="s">
        <v>110</v>
      </c>
      <c r="B35" s="120"/>
      <c r="J35" s="90" t="s">
        <v>110</v>
      </c>
      <c r="N35" s="119"/>
    </row>
    <row r="36" spans="1:14" ht="12" customHeight="1">
      <c r="A36" s="90" t="s">
        <v>107</v>
      </c>
      <c r="B36" s="119">
        <v>333</v>
      </c>
      <c r="J36" s="90" t="s">
        <v>107</v>
      </c>
      <c r="N36" s="119">
        <v>333</v>
      </c>
    </row>
    <row r="37" spans="1:14" ht="12" customHeight="1">
      <c r="A37" s="90" t="s">
        <v>108</v>
      </c>
      <c r="B37" s="119">
        <v>336</v>
      </c>
      <c r="J37" s="90" t="s">
        <v>108</v>
      </c>
      <c r="N37" s="119">
        <v>336</v>
      </c>
    </row>
  </sheetData>
  <mergeCells count="4">
    <mergeCell ref="A1:N1"/>
    <mergeCell ref="A2:N2"/>
    <mergeCell ref="A3:N3"/>
    <mergeCell ref="B6:N6"/>
  </mergeCells>
  <phoneticPr fontId="15" type="noConversion"/>
  <pageMargins left="0.7" right="0.7" top="0.75" bottom="0.75" header="0.3" footer="0.3"/>
  <pageSetup scale="75" orientation="landscape" r:id="rId1"/>
  <headerFooter alignWithMargins="0">
    <oddFooter>&amp;LElectronic Arts Inc.&amp;C&amp;D&amp;R&amp;P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P37"/>
  <sheetViews>
    <sheetView zoomScaleNormal="100" workbookViewId="0">
      <pane xSplit="1" ySplit="7" topLeftCell="B8" activePane="bottomRight" state="frozen"/>
      <selection pane="topRight" activeCell="B1" sqref="B1"/>
      <selection pane="bottomLeft" activeCell="A8" sqref="A8"/>
      <selection pane="bottomRight" activeCell="L7" sqref="L7"/>
    </sheetView>
  </sheetViews>
  <sheetFormatPr defaultColWidth="11.42578125" defaultRowHeight="12" customHeight="1"/>
  <cols>
    <col min="1" max="1" width="39.570312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5" style="23" customWidth="1"/>
    <col min="9" max="9" width="1.7109375" style="23" customWidth="1"/>
    <col min="10" max="10" width="15.140625" style="23" customWidth="1"/>
    <col min="11" max="11" width="1.5703125" style="23" customWidth="1"/>
    <col min="12" max="12" width="15.140625" style="23" customWidth="1"/>
    <col min="13" max="13" width="1.5703125" style="23" customWidth="1"/>
    <col min="14" max="14" width="11.42578125" style="23"/>
    <col min="15" max="15" width="1.5703125" style="23" customWidth="1"/>
    <col min="16" max="16384" width="11.42578125" style="23"/>
  </cols>
  <sheetData>
    <row r="1" spans="1:16" s="7" customFormat="1" ht="12" customHeight="1">
      <c r="A1" s="371" t="s">
        <v>68</v>
      </c>
      <c r="B1" s="370"/>
      <c r="C1" s="370"/>
      <c r="D1" s="370"/>
      <c r="E1" s="370"/>
      <c r="F1" s="370"/>
      <c r="G1" s="370"/>
      <c r="H1" s="370"/>
      <c r="I1" s="370"/>
      <c r="J1" s="370"/>
      <c r="K1" s="370"/>
      <c r="L1" s="370"/>
      <c r="M1" s="370"/>
      <c r="N1" s="370"/>
      <c r="O1" s="58"/>
      <c r="P1" s="54"/>
    </row>
    <row r="2" spans="1:16" s="7" customFormat="1" ht="12" customHeight="1">
      <c r="A2" s="371" t="s">
        <v>69</v>
      </c>
      <c r="B2" s="370"/>
      <c r="C2" s="370"/>
      <c r="D2" s="370"/>
      <c r="E2" s="370"/>
      <c r="F2" s="370"/>
      <c r="G2" s="370"/>
      <c r="H2" s="370"/>
      <c r="I2" s="370"/>
      <c r="J2" s="370"/>
      <c r="K2" s="370"/>
      <c r="L2" s="370"/>
      <c r="M2" s="370"/>
      <c r="N2" s="370"/>
      <c r="O2" s="58"/>
      <c r="P2" s="54"/>
    </row>
    <row r="3" spans="1:16" s="7" customFormat="1" ht="12" customHeight="1">
      <c r="A3" s="371" t="s">
        <v>70</v>
      </c>
      <c r="B3" s="370"/>
      <c r="C3" s="370"/>
      <c r="D3" s="370"/>
      <c r="E3" s="370"/>
      <c r="F3" s="370"/>
      <c r="G3" s="370"/>
      <c r="H3" s="370"/>
      <c r="I3" s="370"/>
      <c r="J3" s="370"/>
      <c r="K3" s="370"/>
      <c r="L3" s="370"/>
      <c r="M3" s="370"/>
      <c r="N3" s="370"/>
      <c r="O3" s="58"/>
      <c r="P3" s="54"/>
    </row>
    <row r="4" spans="1:16" s="7" customFormat="1" ht="12" customHeight="1">
      <c r="A4" s="6"/>
      <c r="B4" s="6"/>
      <c r="C4" s="6"/>
      <c r="D4" s="6"/>
      <c r="E4" s="6"/>
      <c r="F4" s="6"/>
      <c r="G4" s="6"/>
      <c r="H4" s="6"/>
      <c r="I4" s="6"/>
      <c r="J4" s="6"/>
      <c r="K4" s="6"/>
      <c r="L4" s="6"/>
      <c r="M4" s="6"/>
      <c r="N4" s="6"/>
      <c r="O4" s="6"/>
      <c r="P4" s="6"/>
    </row>
    <row r="5" spans="1:16" s="7" customFormat="1" ht="12" customHeight="1">
      <c r="B5" s="59"/>
      <c r="C5" s="59"/>
      <c r="D5" s="59"/>
      <c r="E5" s="59"/>
      <c r="F5" s="59"/>
      <c r="G5" s="59"/>
      <c r="H5" s="60"/>
      <c r="I5" s="60"/>
      <c r="J5" s="59"/>
      <c r="K5" s="59"/>
      <c r="L5" s="59"/>
    </row>
    <row r="6" spans="1:16" s="7" customFormat="1" ht="12" customHeight="1">
      <c r="B6" s="379" t="s">
        <v>138</v>
      </c>
      <c r="C6" s="382"/>
      <c r="D6" s="382"/>
      <c r="E6" s="382"/>
      <c r="F6" s="382"/>
      <c r="G6" s="382"/>
      <c r="H6" s="382"/>
      <c r="I6" s="382"/>
      <c r="J6" s="382"/>
      <c r="K6" s="382"/>
      <c r="L6" s="382"/>
      <c r="M6" s="382"/>
      <c r="N6" s="382"/>
    </row>
    <row r="7" spans="1:16" s="48" customFormat="1" ht="87" customHeight="1">
      <c r="B7" s="55" t="s">
        <v>72</v>
      </c>
      <c r="C7" s="61"/>
      <c r="D7" s="55" t="s">
        <v>41</v>
      </c>
      <c r="E7" s="62"/>
      <c r="F7" s="55" t="s">
        <v>73</v>
      </c>
      <c r="H7" s="55" t="s">
        <v>144</v>
      </c>
      <c r="I7" s="62"/>
      <c r="J7" s="55" t="s">
        <v>217</v>
      </c>
      <c r="K7" s="62"/>
      <c r="L7" s="55" t="s">
        <v>218</v>
      </c>
      <c r="M7" s="62"/>
      <c r="N7" s="55" t="s">
        <v>76</v>
      </c>
    </row>
    <row r="8" spans="1:16" s="49" customFormat="1" ht="12" customHeight="1">
      <c r="A8" s="63" t="s">
        <v>0</v>
      </c>
      <c r="B8" s="107">
        <v>1053</v>
      </c>
      <c r="C8" s="64"/>
      <c r="D8" s="64">
        <v>0</v>
      </c>
      <c r="E8" s="64"/>
      <c r="F8" s="15">
        <v>357</v>
      </c>
      <c r="H8" s="64">
        <v>0</v>
      </c>
      <c r="I8" s="64"/>
      <c r="J8" s="64">
        <v>0</v>
      </c>
      <c r="K8" s="64"/>
      <c r="L8" s="64">
        <v>0</v>
      </c>
      <c r="M8" s="64"/>
      <c r="N8" s="107">
        <v>1410</v>
      </c>
    </row>
    <row r="9" spans="1:16" s="50" customFormat="1" ht="14.25" customHeight="1">
      <c r="A9" s="50" t="s">
        <v>202</v>
      </c>
      <c r="B9" s="108">
        <v>586</v>
      </c>
      <c r="C9" s="65"/>
      <c r="D9" s="57">
        <v>-3</v>
      </c>
      <c r="E9" s="57"/>
      <c r="F9" s="19">
        <v>0</v>
      </c>
      <c r="H9" s="57">
        <v>0</v>
      </c>
      <c r="I9" s="57"/>
      <c r="J9" s="57">
        <v>-1</v>
      </c>
      <c r="K9" s="57"/>
      <c r="L9" s="57">
        <v>0</v>
      </c>
      <c r="M9" s="57"/>
      <c r="N9" s="108">
        <v>582</v>
      </c>
    </row>
    <row r="10" spans="1:16" s="66" customFormat="1" ht="12.75" customHeight="1">
      <c r="A10" s="66" t="s">
        <v>1</v>
      </c>
      <c r="B10" s="109">
        <v>467</v>
      </c>
      <c r="C10" s="68"/>
      <c r="D10" s="67">
        <v>3</v>
      </c>
      <c r="E10" s="67"/>
      <c r="F10" s="17">
        <v>357</v>
      </c>
      <c r="H10" s="67">
        <v>0</v>
      </c>
      <c r="I10" s="67"/>
      <c r="J10" s="67">
        <v>1</v>
      </c>
      <c r="K10" s="67"/>
      <c r="L10" s="67">
        <v>0</v>
      </c>
      <c r="M10" s="67"/>
      <c r="N10" s="109">
        <v>828</v>
      </c>
    </row>
    <row r="11" spans="1:16" s="66" customFormat="1" ht="12" customHeight="1">
      <c r="B11" s="115"/>
      <c r="C11" s="69"/>
      <c r="D11" s="67"/>
      <c r="E11" s="67"/>
      <c r="F11" s="17"/>
      <c r="H11" s="67"/>
      <c r="I11" s="67"/>
      <c r="J11" s="67"/>
      <c r="K11" s="67"/>
      <c r="L11" s="67"/>
      <c r="M11" s="67"/>
      <c r="N11" s="118"/>
    </row>
    <row r="12" spans="1:16" s="50" customFormat="1" ht="12" customHeight="1">
      <c r="A12" s="50" t="s">
        <v>2</v>
      </c>
      <c r="B12" s="110"/>
      <c r="C12" s="70"/>
      <c r="D12" s="44"/>
      <c r="E12" s="44"/>
      <c r="F12" s="18"/>
      <c r="H12" s="44"/>
      <c r="I12" s="44"/>
      <c r="J12" s="44"/>
      <c r="K12" s="44"/>
      <c r="L12" s="44"/>
      <c r="M12" s="44"/>
      <c r="N12" s="110"/>
    </row>
    <row r="13" spans="1:16" s="50" customFormat="1" ht="12" customHeight="1">
      <c r="A13" s="50" t="s">
        <v>77</v>
      </c>
      <c r="B13" s="110">
        <v>253</v>
      </c>
      <c r="C13" s="65"/>
      <c r="D13" s="44">
        <v>0</v>
      </c>
      <c r="E13" s="44"/>
      <c r="F13" s="18">
        <v>0</v>
      </c>
      <c r="H13" s="44">
        <v>0</v>
      </c>
      <c r="I13" s="44"/>
      <c r="J13" s="44">
        <v>-6</v>
      </c>
      <c r="K13" s="44"/>
      <c r="L13" s="44">
        <v>0</v>
      </c>
      <c r="M13" s="44"/>
      <c r="N13" s="110">
        <v>247</v>
      </c>
    </row>
    <row r="14" spans="1:16" s="50" customFormat="1" ht="12" customHeight="1">
      <c r="A14" s="50" t="s">
        <v>78</v>
      </c>
      <c r="B14" s="110">
        <v>75</v>
      </c>
      <c r="C14" s="65"/>
      <c r="D14" s="44">
        <v>0</v>
      </c>
      <c r="E14" s="44"/>
      <c r="F14" s="18">
        <v>0</v>
      </c>
      <c r="H14" s="44">
        <v>0</v>
      </c>
      <c r="I14" s="44"/>
      <c r="J14" s="44">
        <v>-10</v>
      </c>
      <c r="K14" s="44"/>
      <c r="L14" s="44">
        <v>0</v>
      </c>
      <c r="M14" s="44"/>
      <c r="N14" s="110">
        <v>65</v>
      </c>
    </row>
    <row r="15" spans="1:16" s="50" customFormat="1" ht="12" customHeight="1">
      <c r="A15" s="50" t="s">
        <v>79</v>
      </c>
      <c r="B15" s="110">
        <v>273</v>
      </c>
      <c r="C15" s="65"/>
      <c r="D15" s="44">
        <v>0</v>
      </c>
      <c r="E15" s="44"/>
      <c r="F15" s="18">
        <v>0</v>
      </c>
      <c r="H15" s="44">
        <v>0</v>
      </c>
      <c r="I15" s="44"/>
      <c r="J15" s="44">
        <v>-29</v>
      </c>
      <c r="K15" s="44"/>
      <c r="L15" s="44">
        <v>0</v>
      </c>
      <c r="M15" s="44"/>
      <c r="N15" s="110">
        <v>244</v>
      </c>
    </row>
    <row r="16" spans="1:16" s="50" customFormat="1">
      <c r="A16" s="50" t="s">
        <v>80</v>
      </c>
      <c r="B16" s="110">
        <v>1</v>
      </c>
      <c r="C16" s="65"/>
      <c r="D16" s="44">
        <v>-1</v>
      </c>
      <c r="E16" s="44"/>
      <c r="F16" s="18">
        <v>0</v>
      </c>
      <c r="H16" s="44">
        <v>0</v>
      </c>
      <c r="I16" s="44"/>
      <c r="J16" s="44">
        <v>0</v>
      </c>
      <c r="K16" s="44"/>
      <c r="L16" s="44">
        <v>0</v>
      </c>
      <c r="M16" s="44"/>
      <c r="N16" s="110">
        <v>0</v>
      </c>
    </row>
    <row r="17" spans="1:15" s="50" customFormat="1" ht="12" customHeight="1">
      <c r="A17" s="50" t="s">
        <v>81</v>
      </c>
      <c r="B17" s="110">
        <v>14</v>
      </c>
      <c r="C17" s="65"/>
      <c r="D17" s="44">
        <v>-14</v>
      </c>
      <c r="E17" s="44"/>
      <c r="F17" s="18">
        <v>0</v>
      </c>
      <c r="H17" s="44">
        <v>0</v>
      </c>
      <c r="I17" s="44"/>
      <c r="J17" s="44">
        <v>0</v>
      </c>
      <c r="K17" s="44"/>
      <c r="L17" s="44">
        <v>0</v>
      </c>
      <c r="M17" s="44"/>
      <c r="N17" s="110">
        <v>0</v>
      </c>
    </row>
    <row r="18" spans="1:15" s="50" customFormat="1" ht="13.5" customHeight="1">
      <c r="A18" s="50" t="s">
        <v>207</v>
      </c>
      <c r="B18" s="111">
        <v>154</v>
      </c>
      <c r="C18" s="65"/>
      <c r="D18" s="57">
        <v>0</v>
      </c>
      <c r="E18" s="57"/>
      <c r="F18" s="19">
        <v>0</v>
      </c>
      <c r="H18" s="57">
        <v>-154</v>
      </c>
      <c r="I18" s="57"/>
      <c r="J18" s="57">
        <v>0</v>
      </c>
      <c r="K18" s="57"/>
      <c r="L18" s="57">
        <v>0</v>
      </c>
      <c r="M18" s="57"/>
      <c r="N18" s="108">
        <v>0</v>
      </c>
    </row>
    <row r="19" spans="1:15" s="50" customFormat="1" ht="12.75" customHeight="1">
      <c r="A19" s="50" t="s">
        <v>82</v>
      </c>
      <c r="B19" s="108">
        <v>770</v>
      </c>
      <c r="C19" s="65"/>
      <c r="D19" s="57">
        <v>-15</v>
      </c>
      <c r="E19" s="57"/>
      <c r="F19" s="19">
        <v>0</v>
      </c>
      <c r="H19" s="57">
        <v>-154</v>
      </c>
      <c r="I19" s="57"/>
      <c r="J19" s="57">
        <v>-45</v>
      </c>
      <c r="K19" s="57"/>
      <c r="L19" s="57">
        <v>0</v>
      </c>
      <c r="M19" s="57"/>
      <c r="N19" s="108">
        <v>556</v>
      </c>
    </row>
    <row r="20" spans="1:15" s="50" customFormat="1" ht="12" customHeight="1">
      <c r="B20" s="110"/>
      <c r="C20" s="70"/>
      <c r="D20" s="44"/>
      <c r="E20" s="44"/>
      <c r="F20" s="18"/>
      <c r="H20" s="44"/>
      <c r="I20" s="44"/>
      <c r="J20" s="44"/>
      <c r="K20" s="44"/>
      <c r="L20" s="44"/>
      <c r="M20" s="44"/>
      <c r="N20" s="110"/>
    </row>
    <row r="21" spans="1:15" s="71" customFormat="1" ht="12.75" customHeight="1">
      <c r="A21" s="1" t="s">
        <v>11</v>
      </c>
      <c r="B21" s="109">
        <v>-303</v>
      </c>
      <c r="C21" s="68"/>
      <c r="D21" s="17">
        <v>18</v>
      </c>
      <c r="E21" s="67"/>
      <c r="F21" s="17">
        <v>357</v>
      </c>
      <c r="H21" s="17">
        <v>154</v>
      </c>
      <c r="I21" s="67"/>
      <c r="J21" s="17">
        <v>46</v>
      </c>
      <c r="K21" s="67"/>
      <c r="L21" s="17">
        <v>0</v>
      </c>
      <c r="M21" s="67"/>
      <c r="N21" s="109">
        <v>272</v>
      </c>
    </row>
    <row r="22" spans="1:15" s="71" customFormat="1" ht="12" customHeight="1">
      <c r="A22" s="72"/>
      <c r="B22" s="109"/>
      <c r="C22" s="69"/>
      <c r="D22" s="67"/>
      <c r="E22" s="67"/>
      <c r="F22" s="17"/>
      <c r="H22" s="67"/>
      <c r="I22" s="67"/>
      <c r="J22" s="67"/>
      <c r="K22" s="67"/>
      <c r="L22" s="67"/>
      <c r="M22" s="67"/>
      <c r="N22" s="109"/>
    </row>
    <row r="23" spans="1:15" s="74" customFormat="1" ht="14.25">
      <c r="A23" s="280" t="s">
        <v>83</v>
      </c>
      <c r="B23" s="108">
        <v>0</v>
      </c>
      <c r="C23" s="65"/>
      <c r="D23" s="57">
        <v>0</v>
      </c>
      <c r="E23" s="57"/>
      <c r="F23" s="19">
        <v>0</v>
      </c>
      <c r="H23" s="57">
        <v>0</v>
      </c>
      <c r="I23" s="57"/>
      <c r="J23" s="57">
        <v>0</v>
      </c>
      <c r="K23" s="57"/>
      <c r="L23" s="57">
        <v>0</v>
      </c>
      <c r="M23" s="57"/>
      <c r="N23" s="108">
        <v>0</v>
      </c>
    </row>
    <row r="24" spans="1:15" s="74" customFormat="1" ht="12" customHeight="1">
      <c r="B24" s="110"/>
      <c r="C24" s="70"/>
      <c r="D24" s="44"/>
      <c r="E24" s="44"/>
      <c r="F24" s="18"/>
      <c r="H24" s="44"/>
      <c r="I24" s="44"/>
      <c r="J24" s="44"/>
      <c r="K24" s="44"/>
      <c r="L24" s="44"/>
      <c r="M24" s="44"/>
      <c r="N24" s="110"/>
    </row>
    <row r="25" spans="1:15" s="74" customFormat="1" ht="12" customHeight="1">
      <c r="A25" s="4" t="s">
        <v>92</v>
      </c>
      <c r="B25" s="110">
        <v>-303</v>
      </c>
      <c r="C25" s="65"/>
      <c r="D25" s="18">
        <v>18</v>
      </c>
      <c r="E25" s="44"/>
      <c r="F25" s="18">
        <v>357</v>
      </c>
      <c r="H25" s="18">
        <v>154</v>
      </c>
      <c r="I25" s="44"/>
      <c r="J25" s="18">
        <v>46</v>
      </c>
      <c r="K25" s="44"/>
      <c r="L25" s="18">
        <v>0</v>
      </c>
      <c r="M25" s="44"/>
      <c r="N25" s="110">
        <v>272</v>
      </c>
    </row>
    <row r="26" spans="1:15" s="74" customFormat="1" ht="12" customHeight="1">
      <c r="A26" s="4"/>
      <c r="B26" s="110"/>
      <c r="C26" s="70"/>
      <c r="D26" s="44"/>
      <c r="E26" s="44"/>
      <c r="F26" s="18"/>
      <c r="H26" s="44"/>
      <c r="I26" s="44"/>
      <c r="J26" s="44"/>
      <c r="K26" s="44"/>
      <c r="L26" s="44"/>
      <c r="M26" s="44"/>
      <c r="N26" s="110"/>
    </row>
    <row r="27" spans="1:15" s="74" customFormat="1" ht="14.25" customHeight="1">
      <c r="A27" s="4" t="s">
        <v>90</v>
      </c>
      <c r="B27" s="108">
        <v>19</v>
      </c>
      <c r="C27" s="65"/>
      <c r="D27" s="19" t="s">
        <v>67</v>
      </c>
      <c r="E27" s="57"/>
      <c r="F27" s="19" t="s">
        <v>67</v>
      </c>
      <c r="H27" s="19" t="s">
        <v>67</v>
      </c>
      <c r="I27" s="57"/>
      <c r="J27" s="19" t="s">
        <v>67</v>
      </c>
      <c r="K27" s="57"/>
      <c r="L27" s="57">
        <v>57</v>
      </c>
      <c r="M27" s="57"/>
      <c r="N27" s="108">
        <v>76</v>
      </c>
      <c r="O27" s="75"/>
    </row>
    <row r="28" spans="1:15" s="74" customFormat="1" ht="12" customHeight="1">
      <c r="B28" s="110"/>
      <c r="C28" s="70"/>
      <c r="D28" s="44"/>
      <c r="E28" s="44"/>
      <c r="F28" s="18"/>
      <c r="H28" s="44"/>
      <c r="I28" s="44"/>
      <c r="J28" s="44"/>
      <c r="K28" s="44"/>
      <c r="L28" s="44"/>
      <c r="M28" s="44"/>
      <c r="N28" s="110"/>
    </row>
    <row r="29" spans="1:15" s="63" customFormat="1" ht="12.75" customHeight="1">
      <c r="A29" s="76" t="s">
        <v>14</v>
      </c>
      <c r="B29" s="112">
        <v>-322</v>
      </c>
      <c r="C29" s="68"/>
      <c r="D29" s="20">
        <v>18</v>
      </c>
      <c r="E29" s="77"/>
      <c r="F29" s="20">
        <v>357</v>
      </c>
      <c r="H29" s="20">
        <v>154</v>
      </c>
      <c r="I29" s="77"/>
      <c r="J29" s="20">
        <v>46</v>
      </c>
      <c r="K29" s="77"/>
      <c r="L29" s="20">
        <v>-57</v>
      </c>
      <c r="M29" s="77"/>
      <c r="N29" s="112">
        <v>196</v>
      </c>
    </row>
    <row r="30" spans="1:15" s="63" customFormat="1" ht="12" customHeight="1">
      <c r="A30" s="76"/>
      <c r="B30" s="113"/>
      <c r="C30" s="49"/>
      <c r="D30" s="49"/>
      <c r="E30" s="49"/>
      <c r="F30" s="49"/>
      <c r="G30" s="49"/>
      <c r="J30" s="49"/>
      <c r="K30" s="49"/>
      <c r="L30" s="49"/>
      <c r="M30" s="49"/>
      <c r="N30" s="113"/>
    </row>
    <row r="31" spans="1:15" ht="12" customHeight="1">
      <c r="A31" s="88" t="s">
        <v>139</v>
      </c>
      <c r="B31" s="119"/>
      <c r="J31" s="88" t="s">
        <v>140</v>
      </c>
      <c r="N31" s="119"/>
    </row>
    <row r="32" spans="1:15" ht="12" customHeight="1">
      <c r="A32" s="89" t="s">
        <v>109</v>
      </c>
      <c r="B32" s="120">
        <v>-0.97</v>
      </c>
      <c r="J32" s="89" t="s">
        <v>107</v>
      </c>
      <c r="N32" s="120">
        <v>0.59</v>
      </c>
    </row>
    <row r="33" spans="1:14" ht="12" customHeight="1">
      <c r="A33" s="89"/>
      <c r="B33" s="120"/>
      <c r="J33" s="89" t="s">
        <v>108</v>
      </c>
      <c r="N33" s="120">
        <v>0.59</v>
      </c>
    </row>
    <row r="34" spans="1:14" ht="12" customHeight="1">
      <c r="A34" s="89"/>
      <c r="B34" s="120"/>
      <c r="N34" s="119"/>
    </row>
    <row r="35" spans="1:14" ht="12" customHeight="1">
      <c r="A35" s="90" t="s">
        <v>110</v>
      </c>
      <c r="B35" s="120"/>
      <c r="J35" s="90" t="s">
        <v>110</v>
      </c>
      <c r="N35" s="119"/>
    </row>
    <row r="36" spans="1:14" ht="12" customHeight="1">
      <c r="A36" s="90" t="s">
        <v>109</v>
      </c>
      <c r="B36" s="119">
        <v>332</v>
      </c>
      <c r="J36" s="90" t="s">
        <v>107</v>
      </c>
      <c r="N36" s="119">
        <v>332</v>
      </c>
    </row>
    <row r="37" spans="1:14" ht="12" customHeight="1">
      <c r="A37" s="90"/>
      <c r="J37" s="90" t="s">
        <v>108</v>
      </c>
      <c r="N37" s="119">
        <v>335</v>
      </c>
    </row>
  </sheetData>
  <mergeCells count="4">
    <mergeCell ref="A1:N1"/>
    <mergeCell ref="A2:N2"/>
    <mergeCell ref="A3:N3"/>
    <mergeCell ref="B6:N6"/>
  </mergeCells>
  <phoneticPr fontId="15" type="noConversion"/>
  <pageMargins left="0.7" right="0.7" top="0.75" bottom="0.75" header="0.3" footer="0.3"/>
  <pageSetup scale="78" orientation="landscape" r:id="rId1"/>
  <headerFooter>
    <oddFooter>&amp;LElectronic Arts Inc.&amp;C&amp;D&amp;R&amp;P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R42"/>
  <sheetViews>
    <sheetView zoomScale="80" zoomScaleNormal="80" workbookViewId="0">
      <pane xSplit="1" ySplit="7" topLeftCell="B8" activePane="bottomRight" state="frozen"/>
      <selection sqref="A1:T1"/>
      <selection pane="topRight" sqref="A1:T1"/>
      <selection pane="bottomLeft" sqref="A1:T1"/>
      <selection pane="bottomRight" activeCell="H7" sqref="H7"/>
    </sheetView>
  </sheetViews>
  <sheetFormatPr defaultColWidth="11.42578125" defaultRowHeight="12" customHeight="1"/>
  <cols>
    <col min="1" max="1" width="46.140625" style="23" customWidth="1"/>
    <col min="2" max="2" width="9.28515625"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3.5703125" style="23" customWidth="1"/>
    <col min="9" max="9" width="1.7109375" style="23" customWidth="1"/>
    <col min="10" max="10" width="13.42578125" style="23" customWidth="1"/>
    <col min="11" max="11" width="1.7109375" style="23" customWidth="1"/>
    <col min="12" max="12" width="15.140625" style="23" customWidth="1"/>
    <col min="13" max="13" width="2" style="23" customWidth="1"/>
    <col min="14" max="14" width="15.85546875" style="23"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2" customHeight="1">
      <c r="A1" s="371" t="s">
        <v>68</v>
      </c>
      <c r="B1" s="370"/>
      <c r="C1" s="370"/>
      <c r="D1" s="370"/>
      <c r="E1" s="370"/>
      <c r="F1" s="370"/>
      <c r="G1" s="370"/>
      <c r="H1" s="370"/>
      <c r="I1" s="370"/>
      <c r="J1" s="370"/>
      <c r="K1" s="370"/>
      <c r="L1" s="370"/>
      <c r="M1" s="370"/>
      <c r="N1" s="370"/>
      <c r="O1" s="370"/>
      <c r="P1" s="370"/>
      <c r="Q1" s="370"/>
      <c r="R1" s="370"/>
    </row>
    <row r="2" spans="1:18" s="7" customFormat="1" ht="12" customHeight="1">
      <c r="A2" s="371" t="s">
        <v>69</v>
      </c>
      <c r="B2" s="370"/>
      <c r="C2" s="370"/>
      <c r="D2" s="370"/>
      <c r="E2" s="370"/>
      <c r="F2" s="370"/>
      <c r="G2" s="370"/>
      <c r="H2" s="370"/>
      <c r="I2" s="370"/>
      <c r="J2" s="370"/>
      <c r="K2" s="370"/>
      <c r="L2" s="370"/>
      <c r="M2" s="370"/>
      <c r="N2" s="370"/>
      <c r="O2" s="370"/>
      <c r="P2" s="370"/>
      <c r="Q2" s="370"/>
      <c r="R2" s="370"/>
    </row>
    <row r="3" spans="1:18" s="7" customFormat="1" ht="12" customHeight="1">
      <c r="A3" s="371" t="s">
        <v>70</v>
      </c>
      <c r="B3" s="370"/>
      <c r="C3" s="370"/>
      <c r="D3" s="370"/>
      <c r="E3" s="370"/>
      <c r="F3" s="370"/>
      <c r="G3" s="370"/>
      <c r="H3" s="370"/>
      <c r="I3" s="370"/>
      <c r="J3" s="370"/>
      <c r="K3" s="370"/>
      <c r="L3" s="370"/>
      <c r="M3" s="370"/>
      <c r="N3" s="370"/>
      <c r="O3" s="370"/>
      <c r="P3" s="370"/>
      <c r="Q3" s="370"/>
      <c r="R3" s="370"/>
    </row>
    <row r="4" spans="1:18" s="7" customFormat="1" ht="12" customHeight="1">
      <c r="A4" s="6"/>
      <c r="B4" s="6"/>
      <c r="C4" s="6"/>
      <c r="D4" s="6"/>
      <c r="E4" s="6"/>
      <c r="F4" s="6"/>
      <c r="G4" s="6"/>
      <c r="H4" s="6"/>
      <c r="I4" s="6"/>
      <c r="J4" s="6"/>
      <c r="K4" s="6"/>
      <c r="L4" s="6"/>
      <c r="M4" s="6"/>
      <c r="N4" s="6"/>
      <c r="O4" s="6"/>
      <c r="P4" s="6"/>
      <c r="Q4" s="6"/>
      <c r="R4" s="6"/>
    </row>
    <row r="5" spans="1:18" s="7" customFormat="1" ht="12" customHeight="1">
      <c r="B5" s="59"/>
      <c r="C5" s="59"/>
      <c r="D5" s="59"/>
      <c r="E5" s="59"/>
      <c r="F5" s="59"/>
      <c r="G5" s="59"/>
      <c r="H5" s="60"/>
      <c r="I5" s="59"/>
      <c r="J5" s="60"/>
      <c r="K5" s="60"/>
      <c r="L5" s="60"/>
      <c r="M5" s="60"/>
      <c r="N5" s="60"/>
      <c r="O5" s="60"/>
      <c r="P5" s="59"/>
      <c r="Q5" s="59"/>
      <c r="R5" s="59"/>
    </row>
    <row r="6" spans="1:18" s="7" customFormat="1" ht="12" customHeight="1">
      <c r="B6" s="379" t="s">
        <v>123</v>
      </c>
      <c r="C6" s="382"/>
      <c r="D6" s="382"/>
      <c r="E6" s="382"/>
      <c r="F6" s="382"/>
      <c r="G6" s="382"/>
      <c r="H6" s="382"/>
      <c r="I6" s="382"/>
      <c r="J6" s="382"/>
      <c r="K6" s="382"/>
      <c r="L6" s="382"/>
      <c r="M6" s="382"/>
      <c r="N6" s="382"/>
      <c r="O6" s="382"/>
      <c r="P6" s="382"/>
      <c r="Q6" s="382"/>
      <c r="R6" s="382"/>
    </row>
    <row r="7" spans="1:18" s="48" customFormat="1" ht="102" customHeight="1">
      <c r="B7" s="55" t="s">
        <v>72</v>
      </c>
      <c r="C7" s="61"/>
      <c r="D7" s="55" t="s">
        <v>41</v>
      </c>
      <c r="E7" s="62"/>
      <c r="F7" s="55" t="s">
        <v>73</v>
      </c>
      <c r="H7" s="55" t="s">
        <v>38</v>
      </c>
      <c r="I7" s="62"/>
      <c r="J7" s="55" t="s">
        <v>93</v>
      </c>
      <c r="K7" s="62"/>
      <c r="L7" s="55" t="s">
        <v>144</v>
      </c>
      <c r="M7" s="62"/>
      <c r="N7" s="55" t="s">
        <v>217</v>
      </c>
      <c r="O7" s="62"/>
      <c r="P7" s="55" t="s">
        <v>218</v>
      </c>
      <c r="Q7" s="62"/>
      <c r="R7" s="55" t="s">
        <v>76</v>
      </c>
    </row>
    <row r="8" spans="1:18" s="49" customFormat="1" ht="12" customHeight="1">
      <c r="A8" s="63" t="s">
        <v>0</v>
      </c>
      <c r="B8" s="107">
        <v>631</v>
      </c>
      <c r="C8" s="64"/>
      <c r="D8" s="64">
        <v>0</v>
      </c>
      <c r="E8" s="64"/>
      <c r="F8" s="15">
        <v>253</v>
      </c>
      <c r="H8" s="64">
        <v>0</v>
      </c>
      <c r="I8" s="64"/>
      <c r="J8" s="64">
        <v>0</v>
      </c>
      <c r="K8" s="64"/>
      <c r="L8" s="64">
        <v>0</v>
      </c>
      <c r="M8" s="64"/>
      <c r="N8" s="64">
        <v>0</v>
      </c>
      <c r="O8" s="64"/>
      <c r="P8" s="64">
        <v>0</v>
      </c>
      <c r="Q8" s="64"/>
      <c r="R8" s="107">
        <v>884</v>
      </c>
    </row>
    <row r="9" spans="1:18" s="50" customFormat="1" ht="14.25" customHeight="1">
      <c r="A9" s="50" t="s">
        <v>202</v>
      </c>
      <c r="B9" s="108">
        <v>363</v>
      </c>
      <c r="C9" s="100"/>
      <c r="D9" s="57">
        <v>-3</v>
      </c>
      <c r="E9" s="57"/>
      <c r="F9" s="19">
        <v>0</v>
      </c>
      <c r="H9" s="57">
        <v>1</v>
      </c>
      <c r="I9" s="57"/>
      <c r="J9" s="57">
        <v>0</v>
      </c>
      <c r="K9" s="57"/>
      <c r="L9" s="57">
        <v>0</v>
      </c>
      <c r="M9" s="57"/>
      <c r="N9" s="57">
        <v>0</v>
      </c>
      <c r="O9" s="57"/>
      <c r="P9" s="57">
        <v>0</v>
      </c>
      <c r="Q9" s="57"/>
      <c r="R9" s="108">
        <v>361</v>
      </c>
    </row>
    <row r="10" spans="1:18" s="66" customFormat="1" ht="12.75" customHeight="1">
      <c r="A10" s="66" t="s">
        <v>1</v>
      </c>
      <c r="B10" s="109">
        <v>268</v>
      </c>
      <c r="C10" s="101"/>
      <c r="D10" s="67">
        <v>3</v>
      </c>
      <c r="E10" s="67"/>
      <c r="F10" s="17">
        <v>253</v>
      </c>
      <c r="H10" s="67">
        <v>-1</v>
      </c>
      <c r="I10" s="67"/>
      <c r="J10" s="67">
        <v>0</v>
      </c>
      <c r="K10" s="67"/>
      <c r="L10" s="67">
        <v>0</v>
      </c>
      <c r="M10" s="67"/>
      <c r="N10" s="67">
        <v>0</v>
      </c>
      <c r="O10" s="67"/>
      <c r="P10" s="67">
        <v>0</v>
      </c>
      <c r="Q10" s="67"/>
      <c r="R10" s="109">
        <v>523</v>
      </c>
    </row>
    <row r="11" spans="1:18" s="66" customFormat="1" ht="12" customHeight="1">
      <c r="B11" s="110"/>
      <c r="C11" s="102"/>
      <c r="D11" s="67"/>
      <c r="E11" s="67"/>
      <c r="F11" s="17"/>
      <c r="H11" s="67"/>
      <c r="I11" s="67"/>
      <c r="J11" s="67"/>
      <c r="K11" s="67"/>
      <c r="L11" s="67"/>
      <c r="M11" s="67"/>
      <c r="N11" s="67"/>
      <c r="O11" s="67"/>
      <c r="P11" s="67"/>
      <c r="Q11" s="67"/>
      <c r="R11" s="109"/>
    </row>
    <row r="12" spans="1:18" s="50" customFormat="1" ht="12" customHeight="1">
      <c r="A12" s="50" t="s">
        <v>2</v>
      </c>
      <c r="B12" s="110"/>
      <c r="C12" s="103"/>
      <c r="D12" s="44"/>
      <c r="E12" s="44"/>
      <c r="F12" s="18"/>
      <c r="H12" s="44"/>
      <c r="I12" s="44"/>
      <c r="J12" s="44"/>
      <c r="K12" s="44"/>
      <c r="L12" s="44"/>
      <c r="M12" s="44"/>
      <c r="N12" s="44"/>
      <c r="O12" s="44"/>
      <c r="P12" s="44"/>
      <c r="Q12" s="44"/>
      <c r="R12" s="110"/>
    </row>
    <row r="13" spans="1:18" s="50" customFormat="1" ht="12" customHeight="1">
      <c r="A13" s="50" t="s">
        <v>77</v>
      </c>
      <c r="B13" s="110">
        <v>173</v>
      </c>
      <c r="C13" s="100"/>
      <c r="D13" s="44">
        <v>0</v>
      </c>
      <c r="E13" s="44"/>
      <c r="F13" s="18">
        <v>0</v>
      </c>
      <c r="H13" s="44">
        <v>0</v>
      </c>
      <c r="I13" s="44"/>
      <c r="J13" s="44">
        <v>0</v>
      </c>
      <c r="K13" s="44"/>
      <c r="L13" s="44">
        <v>0</v>
      </c>
      <c r="M13" s="44"/>
      <c r="N13" s="44">
        <v>-6</v>
      </c>
      <c r="O13" s="44"/>
      <c r="P13" s="44">
        <v>0</v>
      </c>
      <c r="Q13" s="44"/>
      <c r="R13" s="110">
        <v>167</v>
      </c>
    </row>
    <row r="14" spans="1:18" s="50" customFormat="1" ht="12" customHeight="1">
      <c r="A14" s="50" t="s">
        <v>78</v>
      </c>
      <c r="B14" s="110">
        <v>77</v>
      </c>
      <c r="C14" s="100"/>
      <c r="D14" s="44">
        <v>0</v>
      </c>
      <c r="E14" s="44"/>
      <c r="F14" s="18">
        <v>0</v>
      </c>
      <c r="H14" s="44">
        <v>0</v>
      </c>
      <c r="I14" s="44"/>
      <c r="J14" s="44">
        <v>0</v>
      </c>
      <c r="K14" s="44"/>
      <c r="L14" s="44">
        <v>0</v>
      </c>
      <c r="M14" s="44"/>
      <c r="N14" s="44">
        <v>-10</v>
      </c>
      <c r="O14" s="44"/>
      <c r="P14" s="44">
        <v>0</v>
      </c>
      <c r="Q14" s="44"/>
      <c r="R14" s="110">
        <v>67</v>
      </c>
    </row>
    <row r="15" spans="1:18" s="50" customFormat="1" ht="12" customHeight="1">
      <c r="A15" s="50" t="s">
        <v>79</v>
      </c>
      <c r="B15" s="110">
        <v>277</v>
      </c>
      <c r="C15" s="100"/>
      <c r="D15" s="44">
        <v>0</v>
      </c>
      <c r="E15" s="44"/>
      <c r="F15" s="18">
        <v>0</v>
      </c>
      <c r="H15" s="44">
        <v>0</v>
      </c>
      <c r="I15" s="44"/>
      <c r="J15" s="44">
        <v>0</v>
      </c>
      <c r="K15" s="44"/>
      <c r="L15" s="44">
        <v>0</v>
      </c>
      <c r="M15" s="44"/>
      <c r="N15" s="44">
        <v>-27</v>
      </c>
      <c r="O15" s="44"/>
      <c r="P15" s="44">
        <v>0</v>
      </c>
      <c r="Q15" s="44"/>
      <c r="R15" s="110">
        <v>250</v>
      </c>
    </row>
    <row r="16" spans="1:18" s="50" customFormat="1">
      <c r="A16" s="50" t="s">
        <v>80</v>
      </c>
      <c r="B16" s="110">
        <v>-28</v>
      </c>
      <c r="C16" s="100"/>
      <c r="D16" s="44">
        <v>28</v>
      </c>
      <c r="E16" s="44"/>
      <c r="F16" s="18">
        <v>0</v>
      </c>
      <c r="H16" s="44">
        <v>0</v>
      </c>
      <c r="I16" s="44"/>
      <c r="J16" s="44">
        <v>0</v>
      </c>
      <c r="K16" s="44"/>
      <c r="L16" s="44">
        <v>0</v>
      </c>
      <c r="M16" s="44"/>
      <c r="N16" s="44">
        <v>0</v>
      </c>
      <c r="O16" s="44"/>
      <c r="P16" s="44">
        <v>0</v>
      </c>
      <c r="Q16" s="44"/>
      <c r="R16" s="110">
        <v>0</v>
      </c>
    </row>
    <row r="17" spans="1:18" s="50" customFormat="1" ht="12" customHeight="1">
      <c r="A17" s="50" t="s">
        <v>81</v>
      </c>
      <c r="B17" s="110">
        <v>15</v>
      </c>
      <c r="C17" s="100"/>
      <c r="D17" s="44">
        <v>-15</v>
      </c>
      <c r="E17" s="44"/>
      <c r="F17" s="18">
        <v>0</v>
      </c>
      <c r="H17" s="44">
        <v>0</v>
      </c>
      <c r="I17" s="44"/>
      <c r="J17" s="44">
        <v>0</v>
      </c>
      <c r="K17" s="44"/>
      <c r="L17" s="44">
        <v>0</v>
      </c>
      <c r="M17" s="44"/>
      <c r="N17" s="44">
        <v>0</v>
      </c>
      <c r="O17" s="44"/>
      <c r="P17" s="44">
        <v>0</v>
      </c>
      <c r="Q17" s="44"/>
      <c r="R17" s="110">
        <v>0</v>
      </c>
    </row>
    <row r="18" spans="1:18" s="50" customFormat="1" ht="13.5" customHeight="1">
      <c r="A18" s="50" t="s">
        <v>207</v>
      </c>
      <c r="B18" s="111">
        <v>6</v>
      </c>
      <c r="C18" s="100"/>
      <c r="D18" s="57">
        <v>0</v>
      </c>
      <c r="E18" s="57"/>
      <c r="F18" s="19">
        <v>0</v>
      </c>
      <c r="H18" s="57">
        <v>0</v>
      </c>
      <c r="I18" s="57"/>
      <c r="J18" s="57">
        <v>0</v>
      </c>
      <c r="K18" s="57"/>
      <c r="L18" s="57">
        <v>-6</v>
      </c>
      <c r="M18" s="57"/>
      <c r="N18" s="57">
        <v>0</v>
      </c>
      <c r="O18" s="57"/>
      <c r="P18" s="57">
        <v>0</v>
      </c>
      <c r="Q18" s="57"/>
      <c r="R18" s="117">
        <v>0</v>
      </c>
    </row>
    <row r="19" spans="1:18" s="50" customFormat="1" ht="12.75" customHeight="1">
      <c r="A19" s="50" t="s">
        <v>82</v>
      </c>
      <c r="B19" s="108">
        <v>520</v>
      </c>
      <c r="C19" s="100"/>
      <c r="D19" s="57">
        <v>13</v>
      </c>
      <c r="E19" s="57"/>
      <c r="F19" s="19">
        <v>0</v>
      </c>
      <c r="H19" s="57">
        <v>0</v>
      </c>
      <c r="I19" s="57"/>
      <c r="J19" s="57">
        <v>0</v>
      </c>
      <c r="K19" s="57"/>
      <c r="L19" s="57">
        <v>-6</v>
      </c>
      <c r="M19" s="57"/>
      <c r="N19" s="57">
        <v>-43</v>
      </c>
      <c r="O19" s="57"/>
      <c r="P19" s="57">
        <v>0</v>
      </c>
      <c r="Q19" s="57"/>
      <c r="R19" s="108">
        <v>484</v>
      </c>
    </row>
    <row r="20" spans="1:18" s="50" customFormat="1" ht="12" customHeight="1">
      <c r="B20" s="110"/>
      <c r="C20" s="103"/>
      <c r="D20" s="44"/>
      <c r="E20" s="44"/>
      <c r="F20" s="18"/>
      <c r="H20" s="44"/>
      <c r="I20" s="44"/>
      <c r="J20" s="44"/>
      <c r="K20" s="44"/>
      <c r="L20" s="44"/>
      <c r="M20" s="44"/>
      <c r="N20" s="44"/>
      <c r="O20" s="44"/>
      <c r="P20" s="44"/>
      <c r="Q20" s="44"/>
      <c r="R20" s="110"/>
    </row>
    <row r="21" spans="1:18" s="71" customFormat="1" ht="12.75" customHeight="1">
      <c r="A21" s="1" t="s">
        <v>11</v>
      </c>
      <c r="B21" s="109">
        <v>-252</v>
      </c>
      <c r="C21" s="101"/>
      <c r="D21" s="17">
        <v>-10</v>
      </c>
      <c r="E21" s="67"/>
      <c r="F21" s="17">
        <v>253</v>
      </c>
      <c r="H21" s="17">
        <v>-1</v>
      </c>
      <c r="I21" s="17"/>
      <c r="J21" s="17">
        <v>0</v>
      </c>
      <c r="K21" s="17"/>
      <c r="L21" s="17">
        <v>6</v>
      </c>
      <c r="M21" s="67"/>
      <c r="N21" s="17">
        <v>43</v>
      </c>
      <c r="O21" s="67"/>
      <c r="P21" s="17">
        <v>0</v>
      </c>
      <c r="Q21" s="67"/>
      <c r="R21" s="109">
        <v>39</v>
      </c>
    </row>
    <row r="22" spans="1:18" s="71" customFormat="1" ht="12" customHeight="1">
      <c r="A22" s="72"/>
      <c r="B22" s="109"/>
      <c r="C22" s="102"/>
      <c r="D22" s="67"/>
      <c r="E22" s="67"/>
      <c r="F22" s="17"/>
      <c r="H22" s="67"/>
      <c r="I22" s="67"/>
      <c r="J22" s="67"/>
      <c r="K22" s="67"/>
      <c r="L22" s="67"/>
      <c r="M22" s="67"/>
      <c r="N22" s="67"/>
      <c r="O22" s="67"/>
      <c r="P22" s="67"/>
      <c r="Q22" s="67"/>
      <c r="R22" s="109"/>
    </row>
    <row r="23" spans="1:18" s="74" customFormat="1" ht="12" customHeight="1">
      <c r="A23" s="73" t="s">
        <v>93</v>
      </c>
      <c r="B23" s="110">
        <v>28</v>
      </c>
      <c r="C23" s="100"/>
      <c r="D23" s="18">
        <v>0</v>
      </c>
      <c r="E23" s="44"/>
      <c r="F23" s="18">
        <v>0</v>
      </c>
      <c r="H23" s="18">
        <v>0</v>
      </c>
      <c r="I23" s="18"/>
      <c r="J23" s="18">
        <v>-28</v>
      </c>
      <c r="K23" s="18"/>
      <c r="L23" s="18">
        <v>0</v>
      </c>
      <c r="M23" s="44"/>
      <c r="N23" s="18">
        <v>0</v>
      </c>
      <c r="O23" s="44"/>
      <c r="P23" s="18">
        <v>0</v>
      </c>
      <c r="Q23" s="44"/>
      <c r="R23" s="110">
        <v>0</v>
      </c>
    </row>
    <row r="24" spans="1:18" s="74" customFormat="1" ht="14.25">
      <c r="A24" s="280" t="s">
        <v>83</v>
      </c>
      <c r="B24" s="108">
        <v>6</v>
      </c>
      <c r="C24" s="100"/>
      <c r="D24" s="57">
        <v>0</v>
      </c>
      <c r="E24" s="57"/>
      <c r="F24" s="19">
        <v>0</v>
      </c>
      <c r="H24" s="57">
        <v>0</v>
      </c>
      <c r="I24" s="57"/>
      <c r="J24" s="57">
        <v>0</v>
      </c>
      <c r="K24" s="57"/>
      <c r="L24" s="57">
        <v>0</v>
      </c>
      <c r="M24" s="57"/>
      <c r="N24" s="57">
        <v>0</v>
      </c>
      <c r="O24" s="57"/>
      <c r="P24" s="57">
        <v>0</v>
      </c>
      <c r="Q24" s="57"/>
      <c r="R24" s="108">
        <v>6</v>
      </c>
    </row>
    <row r="25" spans="1:18" s="74" customFormat="1" ht="12" customHeight="1">
      <c r="B25" s="110"/>
      <c r="C25" s="103"/>
      <c r="D25" s="44"/>
      <c r="E25" s="44"/>
      <c r="F25" s="18"/>
      <c r="H25" s="44"/>
      <c r="I25" s="44"/>
      <c r="J25" s="44"/>
      <c r="K25" s="44"/>
      <c r="L25" s="44"/>
      <c r="M25" s="44"/>
      <c r="N25" s="44"/>
      <c r="O25" s="44"/>
      <c r="P25" s="44"/>
      <c r="Q25" s="44"/>
      <c r="R25" s="110"/>
    </row>
    <row r="26" spans="1:18" s="74" customFormat="1" ht="12" customHeight="1">
      <c r="A26" s="4" t="s">
        <v>22</v>
      </c>
      <c r="B26" s="110">
        <v>-218</v>
      </c>
      <c r="C26" s="100"/>
      <c r="D26" s="18">
        <v>-10</v>
      </c>
      <c r="E26" s="44"/>
      <c r="F26" s="18">
        <v>253</v>
      </c>
      <c r="H26" s="18">
        <v>-1</v>
      </c>
      <c r="I26" s="18"/>
      <c r="J26" s="18">
        <v>-28</v>
      </c>
      <c r="K26" s="18"/>
      <c r="L26" s="18">
        <v>6</v>
      </c>
      <c r="M26" s="44"/>
      <c r="N26" s="18">
        <v>43</v>
      </c>
      <c r="O26" s="44"/>
      <c r="P26" s="18">
        <v>0</v>
      </c>
      <c r="Q26" s="44"/>
      <c r="R26" s="110">
        <v>45</v>
      </c>
    </row>
    <row r="27" spans="1:18" s="74" customFormat="1" ht="12" customHeight="1">
      <c r="A27" s="4"/>
      <c r="B27" s="110"/>
      <c r="C27" s="103"/>
      <c r="D27" s="44"/>
      <c r="E27" s="44"/>
      <c r="F27" s="18"/>
      <c r="H27" s="44"/>
      <c r="I27" s="44"/>
      <c r="J27" s="44"/>
      <c r="K27" s="44"/>
      <c r="L27" s="44"/>
      <c r="M27" s="44"/>
      <c r="N27" s="44"/>
      <c r="O27" s="44"/>
      <c r="P27" s="44"/>
      <c r="Q27" s="44"/>
      <c r="R27" s="110"/>
    </row>
    <row r="28" spans="1:18" s="74" customFormat="1" ht="14.25" customHeight="1">
      <c r="A28" s="4" t="s">
        <v>23</v>
      </c>
      <c r="B28" s="108">
        <v>-17</v>
      </c>
      <c r="C28" s="100"/>
      <c r="D28" s="19" t="s">
        <v>67</v>
      </c>
      <c r="E28" s="57"/>
      <c r="F28" s="19" t="s">
        <v>67</v>
      </c>
      <c r="H28" s="19" t="s">
        <v>67</v>
      </c>
      <c r="I28" s="19"/>
      <c r="J28" s="19" t="s">
        <v>67</v>
      </c>
      <c r="K28" s="19"/>
      <c r="L28" s="19" t="s">
        <v>67</v>
      </c>
      <c r="M28" s="57"/>
      <c r="N28" s="19" t="s">
        <v>67</v>
      </c>
      <c r="O28" s="57"/>
      <c r="P28" s="57">
        <v>30</v>
      </c>
      <c r="Q28" s="57"/>
      <c r="R28" s="108">
        <v>13</v>
      </c>
    </row>
    <row r="29" spans="1:18" s="74" customFormat="1" ht="12" customHeight="1">
      <c r="B29" s="110"/>
      <c r="C29" s="103"/>
      <c r="D29" s="44"/>
      <c r="E29" s="44"/>
      <c r="F29" s="18"/>
      <c r="H29" s="44"/>
      <c r="I29" s="44"/>
      <c r="J29" s="44"/>
      <c r="K29" s="44"/>
      <c r="L29" s="44"/>
      <c r="M29" s="44"/>
      <c r="N29" s="44"/>
      <c r="O29" s="44"/>
      <c r="P29" s="44"/>
      <c r="Q29" s="44"/>
      <c r="R29" s="110"/>
    </row>
    <row r="30" spans="1:18" s="63" customFormat="1" ht="12.75" customHeight="1">
      <c r="A30" s="76" t="s">
        <v>14</v>
      </c>
      <c r="B30" s="112">
        <v>-201</v>
      </c>
      <c r="C30" s="101"/>
      <c r="D30" s="20">
        <v>-10</v>
      </c>
      <c r="E30" s="77"/>
      <c r="F30" s="20">
        <v>253</v>
      </c>
      <c r="H30" s="20">
        <v>-1</v>
      </c>
      <c r="I30" s="20"/>
      <c r="J30" s="20">
        <v>-28</v>
      </c>
      <c r="K30" s="20"/>
      <c r="L30" s="20">
        <v>6</v>
      </c>
      <c r="M30" s="77"/>
      <c r="N30" s="20">
        <v>43</v>
      </c>
      <c r="O30" s="77"/>
      <c r="P30" s="20">
        <v>-30</v>
      </c>
      <c r="Q30" s="77"/>
      <c r="R30" s="112">
        <v>32</v>
      </c>
    </row>
    <row r="31" spans="1:18" s="63" customFormat="1" ht="12" customHeight="1">
      <c r="A31" s="76"/>
      <c r="B31" s="113"/>
      <c r="C31" s="49"/>
      <c r="D31" s="49"/>
      <c r="E31" s="49"/>
      <c r="F31" s="49"/>
      <c r="G31" s="49"/>
      <c r="H31" s="49"/>
      <c r="I31" s="49"/>
      <c r="J31" s="49"/>
      <c r="K31" s="49"/>
      <c r="N31" s="49"/>
      <c r="O31" s="49"/>
      <c r="P31" s="49"/>
      <c r="Q31" s="49"/>
      <c r="R31" s="113"/>
    </row>
    <row r="32" spans="1:18" s="63" customFormat="1" ht="12" customHeight="1">
      <c r="A32" s="104" t="s">
        <v>124</v>
      </c>
      <c r="B32" s="113"/>
      <c r="C32" s="49"/>
      <c r="D32" s="49"/>
      <c r="E32" s="49"/>
      <c r="F32" s="49"/>
      <c r="G32" s="49"/>
      <c r="H32" s="49"/>
      <c r="I32" s="49"/>
      <c r="J32" s="49"/>
      <c r="K32" s="49"/>
      <c r="N32" s="104" t="s">
        <v>111</v>
      </c>
      <c r="O32" s="49"/>
      <c r="P32" s="49"/>
      <c r="Q32" s="49"/>
      <c r="R32" s="113"/>
    </row>
    <row r="33" spans="1:18" s="45" customFormat="1" ht="12" customHeight="1">
      <c r="A33" s="105" t="s">
        <v>109</v>
      </c>
      <c r="B33" s="114">
        <v>-0.61</v>
      </c>
      <c r="C33" s="106"/>
      <c r="D33" s="106"/>
      <c r="E33" s="106"/>
      <c r="F33" s="106"/>
      <c r="G33" s="106"/>
      <c r="H33" s="106"/>
      <c r="I33" s="106"/>
      <c r="J33" s="106"/>
      <c r="K33" s="106"/>
      <c r="N33" s="105" t="s">
        <v>107</v>
      </c>
      <c r="O33" s="106"/>
      <c r="P33" s="106"/>
      <c r="Q33" s="106"/>
      <c r="R33" s="114">
        <v>0.1</v>
      </c>
    </row>
    <row r="34" spans="1:18" s="45" customFormat="1" ht="12" customHeight="1">
      <c r="A34" s="105"/>
      <c r="B34" s="114"/>
      <c r="C34" s="106"/>
      <c r="D34" s="106"/>
      <c r="E34" s="106"/>
      <c r="F34" s="106"/>
      <c r="G34" s="106"/>
      <c r="H34" s="106"/>
      <c r="I34" s="106"/>
      <c r="J34" s="106"/>
      <c r="K34" s="106"/>
      <c r="N34" s="105" t="s">
        <v>108</v>
      </c>
      <c r="O34" s="106"/>
      <c r="P34" s="106"/>
      <c r="Q34" s="106"/>
      <c r="R34" s="114">
        <v>0.1</v>
      </c>
    </row>
    <row r="35" spans="1:18" s="45" customFormat="1" ht="12" customHeight="1">
      <c r="A35" s="105"/>
      <c r="B35" s="114"/>
      <c r="C35" s="106"/>
      <c r="D35" s="106"/>
      <c r="E35" s="106"/>
      <c r="F35" s="106"/>
      <c r="G35" s="106"/>
      <c r="H35" s="106"/>
      <c r="I35" s="106"/>
      <c r="J35" s="106"/>
      <c r="K35" s="106"/>
      <c r="L35" s="104"/>
      <c r="N35" s="80"/>
      <c r="O35" s="106"/>
      <c r="P35" s="106"/>
      <c r="Q35" s="106"/>
      <c r="R35" s="114"/>
    </row>
    <row r="36" spans="1:18" s="45" customFormat="1" ht="12" customHeight="1">
      <c r="A36" s="80" t="s">
        <v>110</v>
      </c>
      <c r="B36" s="115"/>
      <c r="C36" s="81"/>
      <c r="D36" s="81"/>
      <c r="E36" s="81"/>
      <c r="F36" s="81"/>
      <c r="G36" s="81"/>
      <c r="H36" s="81"/>
      <c r="I36" s="81"/>
      <c r="J36" s="81"/>
      <c r="K36" s="80"/>
      <c r="L36" s="105"/>
      <c r="N36" s="80" t="s">
        <v>110</v>
      </c>
      <c r="O36" s="81"/>
      <c r="P36" s="81"/>
      <c r="Q36" s="81"/>
      <c r="R36" s="115"/>
    </row>
    <row r="37" spans="1:18" s="45" customFormat="1" ht="12" customHeight="1">
      <c r="A37" s="80" t="s">
        <v>109</v>
      </c>
      <c r="B37" s="116">
        <v>329</v>
      </c>
      <c r="C37" s="81"/>
      <c r="D37" s="81"/>
      <c r="E37" s="81"/>
      <c r="F37" s="81"/>
      <c r="G37" s="81"/>
      <c r="H37" s="81"/>
      <c r="I37" s="81"/>
      <c r="J37" s="81"/>
      <c r="K37" s="80"/>
      <c r="L37" s="105"/>
      <c r="N37" s="80" t="s">
        <v>107</v>
      </c>
      <c r="O37" s="81"/>
      <c r="P37" s="81"/>
      <c r="Q37" s="81"/>
      <c r="R37" s="116">
        <v>329</v>
      </c>
    </row>
    <row r="38" spans="1:18" s="45" customFormat="1" ht="12" customHeight="1">
      <c r="A38" s="80"/>
      <c r="B38" s="99"/>
      <c r="C38" s="81"/>
      <c r="D38" s="81"/>
      <c r="E38" s="81"/>
      <c r="F38" s="81"/>
      <c r="G38" s="81"/>
      <c r="H38" s="81"/>
      <c r="I38" s="81"/>
      <c r="J38" s="81"/>
      <c r="K38" s="80"/>
      <c r="N38" s="80" t="s">
        <v>108</v>
      </c>
      <c r="O38" s="81"/>
      <c r="P38" s="81"/>
      <c r="Q38" s="81"/>
      <c r="R38" s="116">
        <v>333</v>
      </c>
    </row>
    <row r="40" spans="1:18" ht="12" customHeight="1">
      <c r="A40" s="80"/>
    </row>
    <row r="41" spans="1:18" ht="12" customHeight="1">
      <c r="A41" s="80"/>
    </row>
    <row r="42" spans="1:18" ht="12" customHeight="1">
      <c r="A42" s="80"/>
    </row>
  </sheetData>
  <mergeCells count="4">
    <mergeCell ref="A1:R1"/>
    <mergeCell ref="A2:R2"/>
    <mergeCell ref="A3:R3"/>
    <mergeCell ref="B6:R6"/>
  </mergeCells>
  <phoneticPr fontId="15" type="noConversion"/>
  <pageMargins left="0.7" right="0.7" top="0.75" bottom="0.75" header="0.3" footer="0.3"/>
  <pageSetup scale="67" orientation="landscape" r:id="rId1"/>
  <headerFooter>
    <oddFooter>&amp;LElectronic Arts Inc.&amp;C&amp;D&amp;R&amp;P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38"/>
  <sheetViews>
    <sheetView zoomScale="80" zoomScaleNormal="80" workbookViewId="0">
      <pane xSplit="1" ySplit="7" topLeftCell="B8" activePane="bottomRight" state="frozen"/>
      <selection pane="topRight"/>
      <selection pane="bottomLeft"/>
      <selection pane="bottomRight" activeCell="H7" sqref="H7"/>
    </sheetView>
  </sheetViews>
  <sheetFormatPr defaultColWidth="11.42578125" defaultRowHeight="12" customHeight="1" outlineLevelRow="1"/>
  <cols>
    <col min="1" max="1" width="37.7109375" style="23" customWidth="1"/>
    <col min="2" max="2" width="9.42578125" style="23" customWidth="1"/>
    <col min="3" max="3" width="1.5703125" style="23" customWidth="1"/>
    <col min="4" max="4" width="15.140625" style="23" customWidth="1"/>
    <col min="5" max="5" width="1.7109375" style="23" customWidth="1"/>
    <col min="6" max="6" width="13" style="23" customWidth="1"/>
    <col min="7" max="7" width="1.7109375" style="23" customWidth="1"/>
    <col min="8" max="8" width="13.42578125" style="23" customWidth="1"/>
    <col min="9" max="9" width="1.7109375" style="23" customWidth="1"/>
    <col min="10" max="10" width="15" style="23" customWidth="1"/>
    <col min="11" max="11" width="1.7109375" style="23" customWidth="1"/>
    <col min="12" max="12" width="15.140625" style="23" customWidth="1"/>
    <col min="13" max="13" width="1.5703125" style="23" customWidth="1"/>
    <col min="14" max="14" width="14" style="23" customWidth="1"/>
    <col min="15" max="15" width="1.5703125" style="23" customWidth="1"/>
    <col min="16" max="16384" width="11.42578125" style="23"/>
  </cols>
  <sheetData>
    <row r="1" spans="1:17" s="7" customFormat="1" ht="12" customHeight="1">
      <c r="A1" s="371" t="s">
        <v>68</v>
      </c>
      <c r="B1" s="370"/>
      <c r="C1" s="370"/>
      <c r="D1" s="370"/>
      <c r="E1" s="370"/>
      <c r="F1" s="370"/>
      <c r="G1" s="370"/>
      <c r="H1" s="370"/>
      <c r="I1" s="370"/>
      <c r="J1" s="370"/>
      <c r="K1" s="370"/>
      <c r="L1" s="370"/>
      <c r="M1" s="370"/>
      <c r="N1" s="370"/>
      <c r="O1" s="370"/>
      <c r="P1" s="370"/>
      <c r="Q1" s="54"/>
    </row>
    <row r="2" spans="1:17" s="7" customFormat="1" ht="12" customHeight="1">
      <c r="A2" s="371" t="s">
        <v>69</v>
      </c>
      <c r="B2" s="370"/>
      <c r="C2" s="370"/>
      <c r="D2" s="370"/>
      <c r="E2" s="370"/>
      <c r="F2" s="370"/>
      <c r="G2" s="370"/>
      <c r="H2" s="370"/>
      <c r="I2" s="370"/>
      <c r="J2" s="370"/>
      <c r="K2" s="370"/>
      <c r="L2" s="370"/>
      <c r="M2" s="370"/>
      <c r="N2" s="370"/>
      <c r="O2" s="370"/>
      <c r="P2" s="370"/>
      <c r="Q2" s="54"/>
    </row>
    <row r="3" spans="1:17" s="7" customFormat="1" ht="12" customHeight="1">
      <c r="A3" s="371" t="s">
        <v>70</v>
      </c>
      <c r="B3" s="370"/>
      <c r="C3" s="370"/>
      <c r="D3" s="370"/>
      <c r="E3" s="370"/>
      <c r="F3" s="370"/>
      <c r="G3" s="370"/>
      <c r="H3" s="370"/>
      <c r="I3" s="370"/>
      <c r="J3" s="370"/>
      <c r="K3" s="370"/>
      <c r="L3" s="370"/>
      <c r="M3" s="370"/>
      <c r="N3" s="370"/>
      <c r="O3" s="370"/>
      <c r="P3" s="370"/>
      <c r="Q3" s="54"/>
    </row>
    <row r="4" spans="1:17" s="7" customFormat="1" ht="12" customHeight="1">
      <c r="A4" s="6"/>
      <c r="B4" s="6"/>
      <c r="C4" s="6"/>
      <c r="D4" s="6"/>
      <c r="E4" s="6"/>
      <c r="F4" s="6"/>
      <c r="G4" s="6"/>
      <c r="H4" s="6"/>
      <c r="I4" s="6"/>
      <c r="J4" s="6"/>
      <c r="K4" s="6"/>
      <c r="L4" s="6"/>
      <c r="M4" s="6"/>
      <c r="N4" s="6"/>
      <c r="O4" s="6"/>
      <c r="P4" s="6"/>
      <c r="Q4" s="6"/>
    </row>
    <row r="5" spans="1:17" s="7" customFormat="1" ht="12" customHeight="1">
      <c r="B5" s="59"/>
      <c r="C5" s="59"/>
      <c r="D5" s="59"/>
      <c r="E5" s="59"/>
      <c r="F5" s="59"/>
      <c r="G5" s="59"/>
      <c r="H5" s="60"/>
      <c r="I5" s="60"/>
      <c r="J5" s="60"/>
      <c r="K5" s="60"/>
      <c r="L5" s="59"/>
      <c r="M5" s="59"/>
      <c r="N5" s="59"/>
    </row>
    <row r="6" spans="1:17" s="7" customFormat="1" ht="12" customHeight="1">
      <c r="B6" s="379" t="s">
        <v>71</v>
      </c>
      <c r="C6" s="382"/>
      <c r="D6" s="382"/>
      <c r="E6" s="382"/>
      <c r="F6" s="382"/>
      <c r="G6" s="382"/>
      <c r="H6" s="382"/>
      <c r="I6" s="382"/>
      <c r="J6" s="382"/>
      <c r="K6" s="382"/>
      <c r="L6" s="382"/>
      <c r="M6" s="382"/>
      <c r="N6" s="382"/>
      <c r="O6" s="382"/>
      <c r="P6" s="382"/>
    </row>
    <row r="7" spans="1:17" s="48" customFormat="1" ht="102" customHeight="1">
      <c r="B7" s="55" t="s">
        <v>72</v>
      </c>
      <c r="C7" s="61"/>
      <c r="D7" s="55" t="s">
        <v>41</v>
      </c>
      <c r="E7" s="62"/>
      <c r="F7" s="55" t="s">
        <v>73</v>
      </c>
      <c r="H7" s="55" t="s">
        <v>12</v>
      </c>
      <c r="I7" s="62"/>
      <c r="J7" s="55" t="s">
        <v>144</v>
      </c>
      <c r="K7" s="62"/>
      <c r="L7" s="55" t="s">
        <v>217</v>
      </c>
      <c r="M7" s="62"/>
      <c r="N7" s="55" t="s">
        <v>218</v>
      </c>
      <c r="O7" s="62"/>
      <c r="P7" s="55" t="s">
        <v>76</v>
      </c>
    </row>
    <row r="8" spans="1:17" s="49" customFormat="1" ht="12" customHeight="1">
      <c r="A8" s="63" t="s">
        <v>0</v>
      </c>
      <c r="B8" s="107">
        <v>815</v>
      </c>
      <c r="C8" s="64"/>
      <c r="D8" s="64">
        <v>0</v>
      </c>
      <c r="E8" s="64"/>
      <c r="F8" s="15">
        <v>-276</v>
      </c>
      <c r="H8" s="64">
        <v>0</v>
      </c>
      <c r="I8" s="64"/>
      <c r="J8" s="64">
        <v>0</v>
      </c>
      <c r="K8" s="64"/>
      <c r="L8" s="64">
        <v>0</v>
      </c>
      <c r="M8" s="64"/>
      <c r="N8" s="64">
        <v>0</v>
      </c>
      <c r="O8" s="64"/>
      <c r="P8" s="107">
        <v>539</v>
      </c>
    </row>
    <row r="9" spans="1:17" s="50" customFormat="1" ht="14.25" customHeight="1">
      <c r="A9" s="50" t="s">
        <v>202</v>
      </c>
      <c r="B9" s="108">
        <v>222</v>
      </c>
      <c r="C9" s="65"/>
      <c r="D9" s="57">
        <v>-3</v>
      </c>
      <c r="E9" s="57"/>
      <c r="F9" s="19">
        <v>0</v>
      </c>
      <c r="H9" s="57">
        <v>0</v>
      </c>
      <c r="I9" s="57"/>
      <c r="J9" s="57">
        <v>0</v>
      </c>
      <c r="K9" s="57"/>
      <c r="L9" s="57">
        <v>-1</v>
      </c>
      <c r="M9" s="57"/>
      <c r="N9" s="57">
        <v>0</v>
      </c>
      <c r="O9" s="57"/>
      <c r="P9" s="108">
        <v>218</v>
      </c>
    </row>
    <row r="10" spans="1:17" s="66" customFormat="1" ht="12.75" customHeight="1">
      <c r="A10" s="66" t="s">
        <v>1</v>
      </c>
      <c r="B10" s="109">
        <v>593</v>
      </c>
      <c r="C10" s="68"/>
      <c r="D10" s="67">
        <v>3</v>
      </c>
      <c r="E10" s="67"/>
      <c r="F10" s="17">
        <v>-276</v>
      </c>
      <c r="H10" s="67">
        <v>0</v>
      </c>
      <c r="I10" s="67"/>
      <c r="J10" s="67">
        <v>0</v>
      </c>
      <c r="K10" s="67"/>
      <c r="L10" s="67">
        <v>1</v>
      </c>
      <c r="M10" s="67"/>
      <c r="N10" s="67">
        <v>0</v>
      </c>
      <c r="O10" s="67"/>
      <c r="P10" s="109">
        <v>321</v>
      </c>
    </row>
    <row r="11" spans="1:17" s="66" customFormat="1" ht="12" customHeight="1">
      <c r="B11" s="118"/>
      <c r="C11" s="69"/>
      <c r="D11" s="67"/>
      <c r="E11" s="67"/>
      <c r="F11" s="17"/>
      <c r="H11" s="67"/>
      <c r="I11" s="67"/>
      <c r="J11" s="67"/>
      <c r="K11" s="67"/>
      <c r="L11" s="67"/>
      <c r="M11" s="67"/>
      <c r="N11" s="67"/>
      <c r="O11" s="67"/>
      <c r="P11" s="118"/>
    </row>
    <row r="12" spans="1:17" s="50" customFormat="1" ht="12" customHeight="1">
      <c r="A12" s="50" t="s">
        <v>2</v>
      </c>
      <c r="B12" s="110"/>
      <c r="C12" s="70"/>
      <c r="D12" s="44"/>
      <c r="E12" s="44"/>
      <c r="F12" s="18"/>
      <c r="H12" s="44"/>
      <c r="I12" s="44"/>
      <c r="J12" s="44"/>
      <c r="K12" s="44"/>
      <c r="L12" s="44"/>
      <c r="M12" s="44"/>
      <c r="N12" s="44"/>
      <c r="O12" s="44"/>
      <c r="P12" s="110"/>
    </row>
    <row r="13" spans="1:17" s="50" customFormat="1" ht="12" customHeight="1">
      <c r="A13" s="50" t="s">
        <v>77</v>
      </c>
      <c r="B13" s="110">
        <v>127</v>
      </c>
      <c r="C13" s="65"/>
      <c r="D13" s="44">
        <v>0</v>
      </c>
      <c r="E13" s="44"/>
      <c r="F13" s="18">
        <v>0</v>
      </c>
      <c r="H13" s="44">
        <v>0</v>
      </c>
      <c r="I13" s="44"/>
      <c r="J13" s="44">
        <v>0</v>
      </c>
      <c r="K13" s="44"/>
      <c r="L13" s="44">
        <v>-4</v>
      </c>
      <c r="M13" s="44"/>
      <c r="N13" s="44">
        <v>0</v>
      </c>
      <c r="O13" s="44"/>
      <c r="P13" s="110">
        <v>123</v>
      </c>
    </row>
    <row r="14" spans="1:17" s="50" customFormat="1" ht="12" customHeight="1">
      <c r="A14" s="50" t="s">
        <v>78</v>
      </c>
      <c r="B14" s="110">
        <v>74</v>
      </c>
      <c r="C14" s="65"/>
      <c r="D14" s="44">
        <v>0</v>
      </c>
      <c r="E14" s="44"/>
      <c r="F14" s="18">
        <v>0</v>
      </c>
      <c r="H14" s="44">
        <v>0</v>
      </c>
      <c r="I14" s="44"/>
      <c r="J14" s="44">
        <v>0</v>
      </c>
      <c r="K14" s="44"/>
      <c r="L14" s="44">
        <v>-12</v>
      </c>
      <c r="M14" s="44"/>
      <c r="N14" s="44">
        <v>0</v>
      </c>
      <c r="O14" s="44"/>
      <c r="P14" s="110">
        <v>62</v>
      </c>
    </row>
    <row r="15" spans="1:17" s="50" customFormat="1" ht="12" customHeight="1">
      <c r="A15" s="50" t="s">
        <v>79</v>
      </c>
      <c r="B15" s="110">
        <v>275</v>
      </c>
      <c r="C15" s="65"/>
      <c r="D15" s="44">
        <v>0</v>
      </c>
      <c r="E15" s="44"/>
      <c r="F15" s="18">
        <v>0</v>
      </c>
      <c r="H15" s="44">
        <v>0</v>
      </c>
      <c r="I15" s="44"/>
      <c r="J15" s="44">
        <v>0</v>
      </c>
      <c r="K15" s="44"/>
      <c r="L15" s="44">
        <v>-30</v>
      </c>
      <c r="M15" s="44"/>
      <c r="N15" s="44">
        <v>0</v>
      </c>
      <c r="O15" s="44"/>
      <c r="P15" s="110">
        <v>245</v>
      </c>
    </row>
    <row r="16" spans="1:17" s="50" customFormat="1">
      <c r="A16" s="50" t="s">
        <v>80</v>
      </c>
      <c r="B16" s="110">
        <v>2</v>
      </c>
      <c r="C16" s="65"/>
      <c r="D16" s="44">
        <v>-2</v>
      </c>
      <c r="E16" s="44"/>
      <c r="F16" s="18">
        <v>0</v>
      </c>
      <c r="H16" s="44">
        <v>0</v>
      </c>
      <c r="I16" s="44"/>
      <c r="J16" s="44">
        <v>0</v>
      </c>
      <c r="K16" s="44"/>
      <c r="L16" s="44">
        <v>0</v>
      </c>
      <c r="M16" s="44"/>
      <c r="N16" s="44">
        <v>0</v>
      </c>
      <c r="O16" s="44"/>
      <c r="P16" s="110">
        <v>0</v>
      </c>
    </row>
    <row r="17" spans="1:16" s="50" customFormat="1" ht="12" customHeight="1">
      <c r="A17" s="50" t="s">
        <v>81</v>
      </c>
      <c r="B17" s="110">
        <v>15</v>
      </c>
      <c r="C17" s="65"/>
      <c r="D17" s="44">
        <v>-15</v>
      </c>
      <c r="E17" s="44"/>
      <c r="F17" s="18">
        <v>0</v>
      </c>
      <c r="H17" s="44">
        <v>0</v>
      </c>
      <c r="I17" s="44"/>
      <c r="J17" s="44">
        <v>0</v>
      </c>
      <c r="K17" s="44"/>
      <c r="L17" s="44">
        <v>0</v>
      </c>
      <c r="M17" s="44"/>
      <c r="N17" s="44">
        <v>0</v>
      </c>
      <c r="O17" s="44"/>
      <c r="P17" s="110">
        <v>0</v>
      </c>
    </row>
    <row r="18" spans="1:16" s="50" customFormat="1" ht="13.5" customHeight="1">
      <c r="A18" s="50" t="s">
        <v>207</v>
      </c>
      <c r="B18" s="111">
        <v>2</v>
      </c>
      <c r="C18" s="65"/>
      <c r="D18" s="57">
        <v>0</v>
      </c>
      <c r="E18" s="57"/>
      <c r="F18" s="19">
        <v>0</v>
      </c>
      <c r="H18" s="57">
        <v>0</v>
      </c>
      <c r="I18" s="57"/>
      <c r="J18" s="57">
        <v>-2</v>
      </c>
      <c r="K18" s="57"/>
      <c r="L18" s="57">
        <v>0</v>
      </c>
      <c r="M18" s="57"/>
      <c r="N18" s="57">
        <v>0</v>
      </c>
      <c r="O18" s="57"/>
      <c r="P18" s="108">
        <v>0</v>
      </c>
    </row>
    <row r="19" spans="1:16" s="50" customFormat="1" ht="12.75" customHeight="1">
      <c r="A19" s="50" t="s">
        <v>82</v>
      </c>
      <c r="B19" s="108">
        <v>495</v>
      </c>
      <c r="C19" s="65"/>
      <c r="D19" s="57">
        <v>-17</v>
      </c>
      <c r="E19" s="57"/>
      <c r="F19" s="19">
        <v>0</v>
      </c>
      <c r="H19" s="57">
        <v>0</v>
      </c>
      <c r="I19" s="57"/>
      <c r="J19" s="57">
        <v>-2</v>
      </c>
      <c r="K19" s="57"/>
      <c r="L19" s="57">
        <v>-46</v>
      </c>
      <c r="M19" s="57"/>
      <c r="N19" s="57">
        <v>0</v>
      </c>
      <c r="O19" s="57"/>
      <c r="P19" s="108">
        <v>430</v>
      </c>
    </row>
    <row r="20" spans="1:16" s="50" customFormat="1" ht="12" customHeight="1">
      <c r="B20" s="110"/>
      <c r="C20" s="70"/>
      <c r="D20" s="44"/>
      <c r="E20" s="44"/>
      <c r="F20" s="18"/>
      <c r="H20" s="44"/>
      <c r="I20" s="44"/>
      <c r="J20" s="44"/>
      <c r="K20" s="44"/>
      <c r="L20" s="44"/>
      <c r="M20" s="44"/>
      <c r="N20" s="44"/>
      <c r="O20" s="44"/>
      <c r="P20" s="110"/>
    </row>
    <row r="21" spans="1:16" s="71" customFormat="1" ht="12.75" customHeight="1">
      <c r="A21" s="1" t="s">
        <v>11</v>
      </c>
      <c r="B21" s="109">
        <v>98</v>
      </c>
      <c r="C21" s="68"/>
      <c r="D21" s="17">
        <v>20</v>
      </c>
      <c r="E21" s="67"/>
      <c r="F21" s="17">
        <v>-276</v>
      </c>
      <c r="H21" s="17">
        <v>0</v>
      </c>
      <c r="I21" s="17"/>
      <c r="J21" s="17">
        <v>2</v>
      </c>
      <c r="K21" s="67"/>
      <c r="L21" s="17">
        <v>47</v>
      </c>
      <c r="M21" s="67"/>
      <c r="N21" s="17">
        <v>0</v>
      </c>
      <c r="O21" s="67"/>
      <c r="P21" s="109">
        <v>-109</v>
      </c>
    </row>
    <row r="22" spans="1:16" s="71" customFormat="1" ht="12" customHeight="1">
      <c r="A22" s="72"/>
      <c r="B22" s="109"/>
      <c r="C22" s="69"/>
      <c r="D22" s="67"/>
      <c r="E22" s="67"/>
      <c r="F22" s="17"/>
      <c r="H22" s="67"/>
      <c r="I22" s="67"/>
      <c r="J22" s="67"/>
      <c r="K22" s="67"/>
      <c r="L22" s="67"/>
      <c r="M22" s="67"/>
      <c r="N22" s="67"/>
      <c r="O22" s="67"/>
      <c r="P22" s="109"/>
    </row>
    <row r="23" spans="1:16" s="74" customFormat="1" ht="12" customHeight="1">
      <c r="A23" s="73" t="s">
        <v>12</v>
      </c>
      <c r="B23" s="210">
        <v>-5</v>
      </c>
      <c r="C23" s="211"/>
      <c r="D23" s="212">
        <v>0</v>
      </c>
      <c r="E23" s="213"/>
      <c r="F23" s="212">
        <v>0</v>
      </c>
      <c r="G23" s="214"/>
      <c r="H23" s="212">
        <v>5</v>
      </c>
      <c r="I23" s="212"/>
      <c r="J23" s="212">
        <v>0</v>
      </c>
      <c r="K23" s="213"/>
      <c r="L23" s="212">
        <v>0</v>
      </c>
      <c r="M23" s="213"/>
      <c r="N23" s="212">
        <v>0</v>
      </c>
      <c r="O23" s="213"/>
      <c r="P23" s="210">
        <v>0</v>
      </c>
    </row>
    <row r="24" spans="1:16" s="74" customFormat="1" ht="14.25" hidden="1" outlineLevel="1">
      <c r="A24" s="74" t="s">
        <v>13</v>
      </c>
      <c r="B24" s="108">
        <v>0</v>
      </c>
      <c r="C24" s="65"/>
      <c r="D24" s="57">
        <v>0</v>
      </c>
      <c r="E24" s="57"/>
      <c r="F24" s="19">
        <v>0</v>
      </c>
      <c r="H24" s="57">
        <v>0</v>
      </c>
      <c r="I24" s="57"/>
      <c r="J24" s="57">
        <v>0</v>
      </c>
      <c r="K24" s="57"/>
      <c r="L24" s="57">
        <v>0</v>
      </c>
      <c r="M24" s="57"/>
      <c r="N24" s="57">
        <v>0</v>
      </c>
      <c r="O24" s="57"/>
      <c r="P24" s="108">
        <v>0</v>
      </c>
    </row>
    <row r="25" spans="1:16" s="74" customFormat="1" ht="12" customHeight="1" collapsed="1">
      <c r="B25" s="110"/>
      <c r="C25" s="70"/>
      <c r="D25" s="44"/>
      <c r="E25" s="44"/>
      <c r="F25" s="18"/>
      <c r="H25" s="44"/>
      <c r="I25" s="44"/>
      <c r="J25" s="44"/>
      <c r="K25" s="44"/>
      <c r="L25" s="44"/>
      <c r="M25" s="44"/>
      <c r="N25" s="44"/>
      <c r="O25" s="44"/>
      <c r="P25" s="110"/>
    </row>
    <row r="26" spans="1:16" s="74" customFormat="1" ht="12" customHeight="1">
      <c r="A26" s="4" t="s">
        <v>84</v>
      </c>
      <c r="B26" s="110">
        <v>93</v>
      </c>
      <c r="C26" s="65"/>
      <c r="D26" s="18">
        <v>20</v>
      </c>
      <c r="E26" s="44"/>
      <c r="F26" s="18">
        <v>-276</v>
      </c>
      <c r="H26" s="18">
        <v>5</v>
      </c>
      <c r="I26" s="18"/>
      <c r="J26" s="18">
        <v>2</v>
      </c>
      <c r="K26" s="44"/>
      <c r="L26" s="18">
        <v>47</v>
      </c>
      <c r="M26" s="44"/>
      <c r="N26" s="18">
        <v>0</v>
      </c>
      <c r="O26" s="44"/>
      <c r="P26" s="110">
        <v>-109</v>
      </c>
    </row>
    <row r="27" spans="1:16" s="74" customFormat="1" ht="12" customHeight="1">
      <c r="A27" s="4"/>
      <c r="B27" s="110"/>
      <c r="C27" s="70"/>
      <c r="D27" s="44"/>
      <c r="E27" s="44"/>
      <c r="F27" s="18"/>
      <c r="H27" s="44"/>
      <c r="I27" s="44"/>
      <c r="J27" s="44"/>
      <c r="K27" s="44"/>
      <c r="L27" s="44"/>
      <c r="M27" s="44"/>
      <c r="N27" s="44"/>
      <c r="O27" s="44"/>
      <c r="P27" s="110"/>
    </row>
    <row r="28" spans="1:16" s="74" customFormat="1" ht="14.25" customHeight="1">
      <c r="A28" s="4" t="s">
        <v>85</v>
      </c>
      <c r="B28" s="108">
        <v>-3</v>
      </c>
      <c r="C28" s="65"/>
      <c r="D28" s="19" t="s">
        <v>67</v>
      </c>
      <c r="E28" s="57"/>
      <c r="F28" s="19" t="s">
        <v>67</v>
      </c>
      <c r="H28" s="19" t="s">
        <v>67</v>
      </c>
      <c r="I28" s="19"/>
      <c r="J28" s="19" t="s">
        <v>67</v>
      </c>
      <c r="K28" s="57"/>
      <c r="L28" s="19" t="s">
        <v>67</v>
      </c>
      <c r="M28" s="57"/>
      <c r="N28" s="57">
        <v>-28</v>
      </c>
      <c r="O28" s="57"/>
      <c r="P28" s="108">
        <v>-31</v>
      </c>
    </row>
    <row r="29" spans="1:16" s="74" customFormat="1" ht="12" customHeight="1">
      <c r="B29" s="110"/>
      <c r="C29" s="70"/>
      <c r="D29" s="44"/>
      <c r="E29" s="44"/>
      <c r="F29" s="18"/>
      <c r="H29" s="44"/>
      <c r="I29" s="44"/>
      <c r="J29" s="44"/>
      <c r="K29" s="44"/>
      <c r="L29" s="44"/>
      <c r="M29" s="44"/>
      <c r="N29" s="44"/>
      <c r="O29" s="44"/>
      <c r="P29" s="110"/>
    </row>
    <row r="30" spans="1:16" s="63" customFormat="1" ht="12.75" customHeight="1">
      <c r="A30" s="76" t="s">
        <v>14</v>
      </c>
      <c r="B30" s="112">
        <v>96</v>
      </c>
      <c r="C30" s="68"/>
      <c r="D30" s="20">
        <v>20</v>
      </c>
      <c r="E30" s="77"/>
      <c r="F30" s="20">
        <v>-276</v>
      </c>
      <c r="H30" s="20">
        <v>5</v>
      </c>
      <c r="I30" s="20"/>
      <c r="J30" s="20">
        <v>2</v>
      </c>
      <c r="K30" s="77"/>
      <c r="L30" s="20">
        <v>47</v>
      </c>
      <c r="M30" s="77"/>
      <c r="N30" s="20">
        <v>28</v>
      </c>
      <c r="O30" s="77"/>
      <c r="P30" s="112">
        <v>-78</v>
      </c>
    </row>
    <row r="31" spans="1:16" s="63" customFormat="1" ht="12" customHeight="1">
      <c r="A31" s="76"/>
      <c r="B31" s="113"/>
      <c r="C31" s="49"/>
      <c r="D31" s="49"/>
      <c r="E31" s="49"/>
      <c r="F31" s="49"/>
      <c r="G31" s="49"/>
      <c r="H31" s="49"/>
      <c r="I31" s="49"/>
      <c r="L31" s="49"/>
      <c r="M31" s="49"/>
      <c r="N31" s="49"/>
      <c r="O31" s="49"/>
      <c r="P31" s="113"/>
    </row>
    <row r="32" spans="1:16" ht="12" customHeight="1">
      <c r="A32" s="88" t="s">
        <v>111</v>
      </c>
      <c r="B32" s="119"/>
      <c r="L32" s="88" t="s">
        <v>112</v>
      </c>
      <c r="P32" s="119"/>
    </row>
    <row r="33" spans="1:16" ht="12" customHeight="1">
      <c r="A33" s="89" t="s">
        <v>107</v>
      </c>
      <c r="B33" s="120">
        <v>0.28999999999999998</v>
      </c>
      <c r="L33" s="89" t="s">
        <v>109</v>
      </c>
      <c r="P33" s="120">
        <v>-0.24</v>
      </c>
    </row>
    <row r="34" spans="1:16" ht="12" customHeight="1">
      <c r="A34" s="89" t="s">
        <v>108</v>
      </c>
      <c r="B34" s="120">
        <v>0.28999999999999998</v>
      </c>
      <c r="P34" s="119"/>
    </row>
    <row r="35" spans="1:16" ht="12" customHeight="1">
      <c r="A35" s="89"/>
      <c r="P35" s="119"/>
    </row>
    <row r="36" spans="1:16" ht="12" customHeight="1">
      <c r="A36" s="90" t="s">
        <v>110</v>
      </c>
      <c r="L36" s="90" t="s">
        <v>110</v>
      </c>
      <c r="P36" s="119"/>
    </row>
    <row r="37" spans="1:16" ht="12" customHeight="1">
      <c r="A37" s="90" t="s">
        <v>107</v>
      </c>
      <c r="B37" s="23">
        <v>328</v>
      </c>
      <c r="L37" s="90" t="s">
        <v>109</v>
      </c>
      <c r="P37" s="119">
        <v>328</v>
      </c>
    </row>
    <row r="38" spans="1:16" ht="12" customHeight="1">
      <c r="A38" s="90" t="s">
        <v>108</v>
      </c>
      <c r="B38" s="23">
        <v>332</v>
      </c>
    </row>
  </sheetData>
  <mergeCells count="4">
    <mergeCell ref="A1:P1"/>
    <mergeCell ref="A2:P2"/>
    <mergeCell ref="A3:P3"/>
    <mergeCell ref="B6:P6"/>
  </mergeCells>
  <phoneticPr fontId="15" type="noConversion"/>
  <pageMargins left="0.7" right="0.7" top="0.75" bottom="0.75" header="0.3" footer="0.3"/>
  <pageSetup scale="73" orientation="landscape" r:id="rId1"/>
  <headerFooter>
    <oddFooter>&amp;LElectronic Arts Inc.&amp;C&amp;D&amp;R&amp;P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Z39"/>
  <sheetViews>
    <sheetView zoomScale="80" zoomScaleNormal="80" workbookViewId="0">
      <pane xSplit="1" ySplit="7" topLeftCell="B8" activePane="bottomRight" state="frozen"/>
      <selection pane="topRight"/>
      <selection pane="bottomLeft"/>
      <selection pane="bottomRight" activeCell="J7" sqref="J7"/>
    </sheetView>
  </sheetViews>
  <sheetFormatPr defaultColWidth="11.42578125" defaultRowHeight="12" customHeight="1"/>
  <cols>
    <col min="1" max="1" width="35.7109375" style="23" customWidth="1"/>
    <col min="2" max="2" width="9.28515625" style="23" customWidth="1"/>
    <col min="3" max="3" width="1.7109375" style="23" customWidth="1"/>
    <col min="4" max="4" width="13.28515625" style="23" customWidth="1"/>
    <col min="5" max="5" width="1.7109375" style="23" customWidth="1"/>
    <col min="6" max="6" width="11.28515625" style="23" customWidth="1"/>
    <col min="7" max="7" width="1.7109375" style="23" customWidth="1"/>
    <col min="8" max="8" width="13" style="23" customWidth="1"/>
    <col min="9" max="9" width="1.7109375" style="23" customWidth="1"/>
    <col min="10" max="10" width="12.85546875" style="23" customWidth="1"/>
    <col min="11" max="11" width="1.7109375" style="23" customWidth="1"/>
    <col min="12" max="12" width="15.28515625" style="23" customWidth="1"/>
    <col min="13" max="13" width="1.7109375" style="23" customWidth="1"/>
    <col min="14" max="14" width="15" style="23" customWidth="1"/>
    <col min="15" max="15" width="1.7109375" style="23" customWidth="1"/>
    <col min="16" max="16" width="15" style="23" customWidth="1"/>
    <col min="17" max="17" width="1.7109375" style="23" customWidth="1"/>
    <col min="18" max="18" width="12" style="23" customWidth="1"/>
    <col min="19" max="19" width="1.5703125" style="23" customWidth="1"/>
    <col min="20" max="20" width="9.28515625" style="23" customWidth="1"/>
    <col min="21" max="21" width="1.5703125" style="23" customWidth="1"/>
    <col min="22" max="22" width="11.42578125" style="23"/>
    <col min="23" max="23" width="1.5703125" style="23" customWidth="1"/>
    <col min="24" max="16384" width="11.42578125" style="23"/>
  </cols>
  <sheetData>
    <row r="1" spans="1:26" s="7" customFormat="1" ht="12" customHeight="1">
      <c r="A1" s="371" t="s">
        <v>68</v>
      </c>
      <c r="B1" s="371"/>
      <c r="C1" s="371"/>
      <c r="D1" s="371"/>
      <c r="E1" s="371"/>
      <c r="F1" s="371"/>
      <c r="G1" s="371"/>
      <c r="H1" s="371"/>
      <c r="I1" s="371"/>
      <c r="J1" s="371"/>
      <c r="K1" s="371"/>
      <c r="L1" s="371"/>
      <c r="M1" s="371"/>
      <c r="N1" s="371"/>
      <c r="O1" s="371"/>
      <c r="P1" s="371"/>
      <c r="Q1" s="371"/>
      <c r="R1" s="371"/>
      <c r="S1" s="6"/>
      <c r="T1" s="6"/>
      <c r="U1" s="58"/>
      <c r="V1" s="58"/>
      <c r="W1" s="54"/>
      <c r="X1" s="54"/>
      <c r="Y1" s="54"/>
      <c r="Z1" s="54"/>
    </row>
    <row r="2" spans="1:26" s="7" customFormat="1" ht="12" customHeight="1">
      <c r="A2" s="371" t="s">
        <v>69</v>
      </c>
      <c r="B2" s="371"/>
      <c r="C2" s="371"/>
      <c r="D2" s="371"/>
      <c r="E2" s="371"/>
      <c r="F2" s="371"/>
      <c r="G2" s="371"/>
      <c r="H2" s="371"/>
      <c r="I2" s="371"/>
      <c r="J2" s="371"/>
      <c r="K2" s="371"/>
      <c r="L2" s="371"/>
      <c r="M2" s="371"/>
      <c r="N2" s="371"/>
      <c r="O2" s="371"/>
      <c r="P2" s="371"/>
      <c r="Q2" s="371"/>
      <c r="R2" s="371"/>
      <c r="S2" s="6"/>
      <c r="T2" s="6"/>
      <c r="U2" s="58"/>
      <c r="V2" s="58"/>
      <c r="W2" s="54"/>
      <c r="X2" s="54"/>
      <c r="Y2" s="54"/>
      <c r="Z2" s="54"/>
    </row>
    <row r="3" spans="1:26" s="7" customFormat="1" ht="12" customHeight="1">
      <c r="A3" s="371" t="s">
        <v>70</v>
      </c>
      <c r="B3" s="371"/>
      <c r="C3" s="371"/>
      <c r="D3" s="371"/>
      <c r="E3" s="371"/>
      <c r="F3" s="371"/>
      <c r="G3" s="371"/>
      <c r="H3" s="371"/>
      <c r="I3" s="371"/>
      <c r="J3" s="371"/>
      <c r="K3" s="371"/>
      <c r="L3" s="371"/>
      <c r="M3" s="371"/>
      <c r="N3" s="371"/>
      <c r="O3" s="371"/>
      <c r="P3" s="371"/>
      <c r="Q3" s="371"/>
      <c r="R3" s="371"/>
      <c r="S3" s="6"/>
      <c r="T3" s="6"/>
      <c r="U3" s="58"/>
      <c r="V3" s="58"/>
      <c r="W3" s="54"/>
      <c r="X3" s="54"/>
      <c r="Y3" s="54"/>
      <c r="Z3" s="54"/>
    </row>
    <row r="4" spans="1:26" ht="12" customHeight="1">
      <c r="A4" s="6"/>
      <c r="B4" s="6"/>
      <c r="C4" s="6"/>
      <c r="D4" s="6"/>
      <c r="E4" s="6"/>
      <c r="F4" s="6"/>
      <c r="G4" s="6"/>
      <c r="H4" s="6"/>
      <c r="I4" s="6"/>
      <c r="J4" s="6"/>
      <c r="K4" s="6"/>
      <c r="L4" s="6"/>
      <c r="M4" s="6"/>
      <c r="N4" s="6"/>
      <c r="O4" s="6"/>
      <c r="P4" s="6"/>
      <c r="Q4" s="6"/>
      <c r="R4" s="6"/>
      <c r="S4" s="6"/>
      <c r="T4" s="6"/>
      <c r="U4" s="6"/>
      <c r="V4" s="6"/>
      <c r="W4" s="6"/>
      <c r="X4" s="6"/>
      <c r="Y4" s="6"/>
      <c r="Z4" s="6"/>
    </row>
    <row r="5" spans="1:26" ht="12" customHeight="1">
      <c r="A5" s="7"/>
      <c r="B5" s="59"/>
      <c r="C5" s="59"/>
      <c r="D5" s="59"/>
      <c r="E5" s="59"/>
      <c r="F5" s="59"/>
      <c r="G5" s="59"/>
      <c r="H5" s="59"/>
      <c r="I5" s="59"/>
      <c r="J5" s="59"/>
      <c r="K5" s="59"/>
      <c r="L5" s="60"/>
      <c r="M5" s="60"/>
      <c r="N5" s="60"/>
      <c r="O5" s="60"/>
      <c r="P5" s="60"/>
      <c r="Q5" s="60"/>
      <c r="R5" s="59"/>
      <c r="S5" s="79"/>
      <c r="T5" s="79"/>
    </row>
    <row r="6" spans="1:26" ht="12" customHeight="1">
      <c r="A6" s="7"/>
      <c r="B6" s="379" t="s">
        <v>87</v>
      </c>
      <c r="C6" s="382"/>
      <c r="D6" s="382"/>
      <c r="E6" s="382"/>
      <c r="F6" s="382"/>
      <c r="G6" s="382"/>
      <c r="H6" s="382"/>
      <c r="I6" s="382"/>
      <c r="J6" s="382"/>
      <c r="K6" s="382"/>
      <c r="L6" s="382"/>
      <c r="M6" s="382"/>
      <c r="N6" s="382"/>
      <c r="O6" s="382"/>
      <c r="P6" s="382"/>
      <c r="Q6" s="382"/>
      <c r="R6" s="382"/>
      <c r="S6" s="58"/>
      <c r="T6" s="24"/>
      <c r="U6" s="8"/>
      <c r="V6" s="8"/>
      <c r="W6" s="8"/>
      <c r="X6" s="8"/>
    </row>
    <row r="7" spans="1:26" s="48" customFormat="1" ht="117" customHeight="1">
      <c r="B7" s="55" t="s">
        <v>72</v>
      </c>
      <c r="C7" s="62"/>
      <c r="D7" s="55" t="s">
        <v>41</v>
      </c>
      <c r="E7" s="62"/>
      <c r="F7" s="55" t="s">
        <v>73</v>
      </c>
      <c r="G7" s="62"/>
      <c r="H7" s="55" t="s">
        <v>12</v>
      </c>
      <c r="I7" s="62"/>
      <c r="J7" s="55" t="s">
        <v>38</v>
      </c>
      <c r="K7" s="62"/>
      <c r="L7" s="55" t="s">
        <v>144</v>
      </c>
      <c r="M7" s="62"/>
      <c r="N7" s="55" t="s">
        <v>217</v>
      </c>
      <c r="O7" s="62"/>
      <c r="P7" s="55" t="s">
        <v>218</v>
      </c>
      <c r="Q7" s="62"/>
      <c r="R7" s="55" t="s">
        <v>76</v>
      </c>
    </row>
    <row r="8" spans="1:26" s="49" customFormat="1" ht="12" customHeight="1">
      <c r="A8" s="63" t="s">
        <v>0</v>
      </c>
      <c r="B8" s="107">
        <v>979</v>
      </c>
      <c r="C8" s="64"/>
      <c r="D8" s="64">
        <v>0</v>
      </c>
      <c r="E8" s="64"/>
      <c r="F8" s="15">
        <v>-129</v>
      </c>
      <c r="G8" s="64"/>
      <c r="H8" s="64">
        <v>0</v>
      </c>
      <c r="I8" s="64"/>
      <c r="J8" s="64">
        <v>0</v>
      </c>
      <c r="K8" s="64"/>
      <c r="L8" s="64">
        <v>0</v>
      </c>
      <c r="M8" s="64"/>
      <c r="N8" s="64">
        <v>0</v>
      </c>
      <c r="O8" s="64"/>
      <c r="P8" s="64">
        <v>0</v>
      </c>
      <c r="Q8" s="64"/>
      <c r="R8" s="107">
        <v>850</v>
      </c>
    </row>
    <row r="9" spans="1:26" s="50" customFormat="1" ht="14.25" customHeight="1">
      <c r="A9" s="50" t="s">
        <v>202</v>
      </c>
      <c r="B9" s="108">
        <v>298</v>
      </c>
      <c r="C9" s="57"/>
      <c r="D9" s="57">
        <v>-2</v>
      </c>
      <c r="E9" s="57"/>
      <c r="F9" s="19">
        <v>0</v>
      </c>
      <c r="G9" s="57"/>
      <c r="H9" s="57">
        <v>0</v>
      </c>
      <c r="I9" s="57"/>
      <c r="J9" s="57">
        <v>1</v>
      </c>
      <c r="K9" s="57"/>
      <c r="L9" s="57">
        <v>0</v>
      </c>
      <c r="M9" s="57"/>
      <c r="N9" s="57">
        <v>-1</v>
      </c>
      <c r="O9" s="57"/>
      <c r="P9" s="57">
        <v>0</v>
      </c>
      <c r="Q9" s="57"/>
      <c r="R9" s="108">
        <v>296</v>
      </c>
    </row>
    <row r="10" spans="1:26" s="66" customFormat="1" ht="12.75" customHeight="1">
      <c r="A10" s="66" t="s">
        <v>1</v>
      </c>
      <c r="B10" s="109">
        <v>681</v>
      </c>
      <c r="C10" s="67"/>
      <c r="D10" s="67">
        <v>2</v>
      </c>
      <c r="E10" s="67"/>
      <c r="F10" s="17">
        <v>-129</v>
      </c>
      <c r="G10" s="67"/>
      <c r="H10" s="67">
        <v>0</v>
      </c>
      <c r="I10" s="67"/>
      <c r="J10" s="67">
        <v>-1</v>
      </c>
      <c r="K10" s="67"/>
      <c r="L10" s="67">
        <v>0</v>
      </c>
      <c r="M10" s="67"/>
      <c r="N10" s="67">
        <v>1</v>
      </c>
      <c r="O10" s="67"/>
      <c r="P10" s="67">
        <v>0</v>
      </c>
      <c r="Q10" s="67"/>
      <c r="R10" s="109">
        <v>554</v>
      </c>
    </row>
    <row r="11" spans="1:26" s="66" customFormat="1" ht="12" customHeight="1">
      <c r="B11" s="109"/>
      <c r="C11" s="67"/>
      <c r="D11" s="67"/>
      <c r="E11" s="67"/>
      <c r="F11" s="17"/>
      <c r="G11" s="67"/>
      <c r="H11" s="67"/>
      <c r="I11" s="67"/>
      <c r="J11" s="67"/>
      <c r="K11" s="67"/>
      <c r="L11" s="67"/>
      <c r="M11" s="67"/>
      <c r="N11" s="67"/>
      <c r="O11" s="67"/>
      <c r="P11" s="67"/>
      <c r="Q11" s="67"/>
      <c r="R11" s="109"/>
    </row>
    <row r="12" spans="1:26" s="50" customFormat="1" ht="12" customHeight="1">
      <c r="A12" s="50" t="s">
        <v>2</v>
      </c>
      <c r="B12" s="110"/>
      <c r="C12" s="44"/>
      <c r="D12" s="44"/>
      <c r="E12" s="44"/>
      <c r="F12" s="18"/>
      <c r="G12" s="44"/>
      <c r="H12" s="44"/>
      <c r="I12" s="44"/>
      <c r="J12" s="44"/>
      <c r="K12" s="44"/>
      <c r="L12" s="44"/>
      <c r="M12" s="44"/>
      <c r="N12" s="44"/>
      <c r="O12" s="44"/>
      <c r="P12" s="44"/>
      <c r="Q12" s="44"/>
      <c r="R12" s="110"/>
    </row>
    <row r="13" spans="1:26" s="50" customFormat="1" ht="12" customHeight="1">
      <c r="A13" s="50" t="s">
        <v>77</v>
      </c>
      <c r="B13" s="110">
        <v>171</v>
      </c>
      <c r="C13" s="44"/>
      <c r="D13" s="44">
        <v>0</v>
      </c>
      <c r="E13" s="44"/>
      <c r="F13" s="18">
        <v>0</v>
      </c>
      <c r="G13" s="44"/>
      <c r="H13" s="44">
        <v>0</v>
      </c>
      <c r="I13" s="44"/>
      <c r="J13" s="44">
        <v>0</v>
      </c>
      <c r="K13" s="44"/>
      <c r="L13" s="44">
        <v>0</v>
      </c>
      <c r="M13" s="44"/>
      <c r="N13" s="44">
        <v>-4</v>
      </c>
      <c r="O13" s="44"/>
      <c r="P13" s="44">
        <v>0</v>
      </c>
      <c r="Q13" s="44"/>
      <c r="R13" s="110">
        <v>167</v>
      </c>
    </row>
    <row r="14" spans="1:26" s="50" customFormat="1" ht="12" customHeight="1">
      <c r="A14" s="50" t="s">
        <v>78</v>
      </c>
      <c r="B14" s="110">
        <v>79</v>
      </c>
      <c r="C14" s="44"/>
      <c r="D14" s="44">
        <v>0</v>
      </c>
      <c r="E14" s="44"/>
      <c r="F14" s="18">
        <v>0</v>
      </c>
      <c r="G14" s="44"/>
      <c r="H14" s="44">
        <v>0</v>
      </c>
      <c r="I14" s="44"/>
      <c r="J14" s="44">
        <v>0</v>
      </c>
      <c r="K14" s="44"/>
      <c r="L14" s="44">
        <v>0</v>
      </c>
      <c r="M14" s="44"/>
      <c r="N14" s="44">
        <v>-9</v>
      </c>
      <c r="O14" s="44"/>
      <c r="P14" s="44">
        <v>0</v>
      </c>
      <c r="Q14" s="44"/>
      <c r="R14" s="110">
        <v>70</v>
      </c>
    </row>
    <row r="15" spans="1:26" s="50" customFormat="1" ht="12" customHeight="1">
      <c r="A15" s="50" t="s">
        <v>79</v>
      </c>
      <c r="B15" s="110">
        <v>311</v>
      </c>
      <c r="C15" s="44"/>
      <c r="D15" s="44">
        <v>0</v>
      </c>
      <c r="E15" s="44"/>
      <c r="F15" s="18">
        <v>0</v>
      </c>
      <c r="G15" s="44"/>
      <c r="H15" s="44">
        <v>0</v>
      </c>
      <c r="I15" s="44"/>
      <c r="J15" s="44">
        <v>0</v>
      </c>
      <c r="K15" s="44"/>
      <c r="L15" s="44">
        <v>0</v>
      </c>
      <c r="M15" s="44"/>
      <c r="N15" s="44">
        <v>-28</v>
      </c>
      <c r="O15" s="44"/>
      <c r="P15" s="44">
        <v>0</v>
      </c>
      <c r="Q15" s="44"/>
      <c r="R15" s="110">
        <v>283</v>
      </c>
    </row>
    <row r="16" spans="1:26" s="50" customFormat="1">
      <c r="A16" s="50" t="s">
        <v>80</v>
      </c>
      <c r="B16" s="110">
        <v>2</v>
      </c>
      <c r="C16" s="44"/>
      <c r="D16" s="44">
        <v>-2</v>
      </c>
      <c r="E16" s="44"/>
      <c r="F16" s="18">
        <v>0</v>
      </c>
      <c r="G16" s="44"/>
      <c r="H16" s="44"/>
      <c r="I16" s="44"/>
      <c r="J16" s="44"/>
      <c r="K16" s="44"/>
      <c r="L16" s="44">
        <v>0</v>
      </c>
      <c r="M16" s="44"/>
      <c r="N16" s="44">
        <v>0</v>
      </c>
      <c r="O16" s="44"/>
      <c r="P16" s="44">
        <v>0</v>
      </c>
      <c r="Q16" s="44"/>
      <c r="R16" s="110">
        <v>0</v>
      </c>
    </row>
    <row r="17" spans="1:19" s="50" customFormat="1" ht="12" customHeight="1">
      <c r="A17" s="50" t="s">
        <v>81</v>
      </c>
      <c r="B17" s="110">
        <v>15</v>
      </c>
      <c r="C17" s="44"/>
      <c r="D17" s="44">
        <v>-15</v>
      </c>
      <c r="E17" s="44"/>
      <c r="F17" s="18">
        <v>0</v>
      </c>
      <c r="G17" s="44"/>
      <c r="H17" s="44">
        <v>0</v>
      </c>
      <c r="I17" s="44"/>
      <c r="J17" s="44">
        <v>0</v>
      </c>
      <c r="K17" s="44"/>
      <c r="L17" s="44">
        <v>0</v>
      </c>
      <c r="M17" s="44"/>
      <c r="N17" s="44">
        <v>0</v>
      </c>
      <c r="O17" s="44"/>
      <c r="P17" s="44">
        <v>0</v>
      </c>
      <c r="Q17" s="44"/>
      <c r="R17" s="110">
        <v>0</v>
      </c>
    </row>
    <row r="18" spans="1:19" s="50" customFormat="1" ht="13.5" customHeight="1">
      <c r="A18" s="50" t="s">
        <v>207</v>
      </c>
      <c r="B18" s="111">
        <v>20</v>
      </c>
      <c r="C18" s="57"/>
      <c r="D18" s="57">
        <v>0</v>
      </c>
      <c r="E18" s="57"/>
      <c r="F18" s="19">
        <v>0</v>
      </c>
      <c r="G18" s="57"/>
      <c r="H18" s="57">
        <v>0</v>
      </c>
      <c r="I18" s="57"/>
      <c r="J18" s="57">
        <v>0</v>
      </c>
      <c r="K18" s="57"/>
      <c r="L18" s="57">
        <v>-20</v>
      </c>
      <c r="M18" s="57"/>
      <c r="N18" s="57">
        <v>0</v>
      </c>
      <c r="O18" s="57"/>
      <c r="P18" s="57">
        <v>0</v>
      </c>
      <c r="Q18" s="57"/>
      <c r="R18" s="108">
        <v>0</v>
      </c>
    </row>
    <row r="19" spans="1:19" s="50" customFormat="1" ht="12.75" customHeight="1">
      <c r="A19" s="50" t="s">
        <v>82</v>
      </c>
      <c r="B19" s="108">
        <v>598</v>
      </c>
      <c r="C19" s="57"/>
      <c r="D19" s="57">
        <v>-17</v>
      </c>
      <c r="E19" s="57"/>
      <c r="F19" s="19">
        <v>0</v>
      </c>
      <c r="G19" s="57"/>
      <c r="H19" s="57">
        <v>0</v>
      </c>
      <c r="I19" s="57"/>
      <c r="J19" s="57">
        <v>0</v>
      </c>
      <c r="K19" s="57"/>
      <c r="L19" s="57">
        <v>-20</v>
      </c>
      <c r="M19" s="57"/>
      <c r="N19" s="57">
        <v>-41</v>
      </c>
      <c r="O19" s="57"/>
      <c r="P19" s="57">
        <v>0</v>
      </c>
      <c r="Q19" s="57"/>
      <c r="R19" s="108">
        <v>520</v>
      </c>
    </row>
    <row r="20" spans="1:19" s="50" customFormat="1" ht="12" customHeight="1">
      <c r="B20" s="110"/>
      <c r="C20" s="44"/>
      <c r="D20" s="44"/>
      <c r="E20" s="44"/>
      <c r="F20" s="18"/>
      <c r="G20" s="44"/>
      <c r="H20" s="44"/>
      <c r="I20" s="44"/>
      <c r="J20" s="44"/>
      <c r="K20" s="44"/>
      <c r="L20" s="44"/>
      <c r="M20" s="44"/>
      <c r="N20" s="44"/>
      <c r="O20" s="44"/>
      <c r="P20" s="44"/>
      <c r="Q20" s="44"/>
      <c r="R20" s="110"/>
    </row>
    <row r="21" spans="1:19" s="71" customFormat="1" ht="12.75" customHeight="1">
      <c r="A21" s="1" t="s">
        <v>88</v>
      </c>
      <c r="B21" s="109">
        <v>83</v>
      </c>
      <c r="C21" s="67"/>
      <c r="D21" s="17">
        <v>19</v>
      </c>
      <c r="E21" s="67"/>
      <c r="F21" s="17">
        <v>-129</v>
      </c>
      <c r="G21" s="67"/>
      <c r="H21" s="17">
        <v>0</v>
      </c>
      <c r="I21" s="67"/>
      <c r="J21" s="17">
        <v>-1</v>
      </c>
      <c r="K21" s="17"/>
      <c r="L21" s="17">
        <v>20</v>
      </c>
      <c r="M21" s="67"/>
      <c r="N21" s="17">
        <v>42</v>
      </c>
      <c r="O21" s="67"/>
      <c r="P21" s="17">
        <v>0</v>
      </c>
      <c r="Q21" s="67"/>
      <c r="R21" s="109">
        <v>34</v>
      </c>
    </row>
    <row r="22" spans="1:19" s="71" customFormat="1" ht="12" customHeight="1">
      <c r="A22" s="72"/>
      <c r="B22" s="109"/>
      <c r="C22" s="67"/>
      <c r="D22" s="67"/>
      <c r="E22" s="67"/>
      <c r="F22" s="17"/>
      <c r="G22" s="67"/>
      <c r="H22" s="67"/>
      <c r="I22" s="67"/>
      <c r="J22" s="67"/>
      <c r="K22" s="67"/>
      <c r="L22" s="67"/>
      <c r="M22" s="67"/>
      <c r="N22" s="67"/>
      <c r="O22" s="67"/>
      <c r="P22" s="67"/>
      <c r="Q22" s="67"/>
      <c r="R22" s="109"/>
    </row>
    <row r="23" spans="1:19" s="74" customFormat="1" ht="12" customHeight="1">
      <c r="A23" s="73" t="s">
        <v>12</v>
      </c>
      <c r="B23" s="110">
        <v>-1</v>
      </c>
      <c r="C23" s="44"/>
      <c r="D23" s="18">
        <v>0</v>
      </c>
      <c r="E23" s="44"/>
      <c r="F23" s="18">
        <v>0</v>
      </c>
      <c r="G23" s="44"/>
      <c r="H23" s="18">
        <v>1</v>
      </c>
      <c r="I23" s="44"/>
      <c r="J23" s="18">
        <v>0</v>
      </c>
      <c r="K23" s="18"/>
      <c r="L23" s="18">
        <v>0</v>
      </c>
      <c r="M23" s="44"/>
      <c r="N23" s="18">
        <v>0</v>
      </c>
      <c r="O23" s="44"/>
      <c r="P23" s="18">
        <v>0</v>
      </c>
      <c r="Q23" s="44"/>
      <c r="R23" s="110">
        <v>0</v>
      </c>
    </row>
    <row r="24" spans="1:19" s="74" customFormat="1" ht="14.25">
      <c r="A24" s="74" t="s">
        <v>83</v>
      </c>
      <c r="B24" s="108">
        <v>-2</v>
      </c>
      <c r="C24" s="57"/>
      <c r="D24" s="57">
        <v>0</v>
      </c>
      <c r="E24" s="57"/>
      <c r="F24" s="19">
        <v>0</v>
      </c>
      <c r="G24" s="57"/>
      <c r="H24" s="57">
        <v>0</v>
      </c>
      <c r="I24" s="57"/>
      <c r="J24" s="57">
        <v>0</v>
      </c>
      <c r="K24" s="57"/>
      <c r="L24" s="57">
        <v>0</v>
      </c>
      <c r="M24" s="57"/>
      <c r="N24" s="57">
        <v>0</v>
      </c>
      <c r="O24" s="57"/>
      <c r="P24" s="57">
        <v>0</v>
      </c>
      <c r="Q24" s="57"/>
      <c r="R24" s="108">
        <v>-2</v>
      </c>
    </row>
    <row r="25" spans="1:19" s="74" customFormat="1" ht="12" customHeight="1">
      <c r="B25" s="110"/>
      <c r="C25" s="44"/>
      <c r="D25" s="44"/>
      <c r="E25" s="44"/>
      <c r="F25" s="18"/>
      <c r="G25" s="44"/>
      <c r="H25" s="44"/>
      <c r="I25" s="44"/>
      <c r="J25" s="44"/>
      <c r="K25" s="44"/>
      <c r="L25" s="44"/>
      <c r="M25" s="44"/>
      <c r="N25" s="44"/>
      <c r="O25" s="44"/>
      <c r="P25" s="44"/>
      <c r="Q25" s="44"/>
      <c r="R25" s="110"/>
    </row>
    <row r="26" spans="1:19" s="74" customFormat="1" ht="12" customHeight="1">
      <c r="A26" s="4" t="s">
        <v>89</v>
      </c>
      <c r="B26" s="110">
        <v>80</v>
      </c>
      <c r="C26" s="44"/>
      <c r="D26" s="18">
        <v>19</v>
      </c>
      <c r="E26" s="44"/>
      <c r="F26" s="18">
        <v>-129</v>
      </c>
      <c r="G26" s="44"/>
      <c r="H26" s="18">
        <v>1</v>
      </c>
      <c r="I26" s="44"/>
      <c r="J26" s="18">
        <v>-1</v>
      </c>
      <c r="K26" s="18"/>
      <c r="L26" s="18">
        <v>20</v>
      </c>
      <c r="M26" s="44"/>
      <c r="N26" s="18">
        <v>42</v>
      </c>
      <c r="O26" s="44"/>
      <c r="P26" s="18">
        <v>0</v>
      </c>
      <c r="Q26" s="44"/>
      <c r="R26" s="110">
        <v>32</v>
      </c>
    </row>
    <row r="27" spans="1:19" s="74" customFormat="1" ht="12" customHeight="1">
      <c r="A27" s="4"/>
      <c r="B27" s="110"/>
      <c r="C27" s="44"/>
      <c r="D27" s="44"/>
      <c r="E27" s="44"/>
      <c r="F27" s="18"/>
      <c r="G27" s="44"/>
      <c r="H27" s="44"/>
      <c r="I27" s="44"/>
      <c r="J27" s="44"/>
      <c r="K27" s="44"/>
      <c r="L27" s="44"/>
      <c r="M27" s="44"/>
      <c r="N27" s="44"/>
      <c r="O27" s="44"/>
      <c r="P27" s="44"/>
      <c r="Q27" s="44"/>
      <c r="R27" s="110"/>
    </row>
    <row r="28" spans="1:19" s="74" customFormat="1" ht="14.25" customHeight="1">
      <c r="A28" s="4" t="s">
        <v>90</v>
      </c>
      <c r="B28" s="108">
        <v>50</v>
      </c>
      <c r="C28" s="57"/>
      <c r="D28" s="19" t="s">
        <v>67</v>
      </c>
      <c r="E28" s="57"/>
      <c r="F28" s="19" t="s">
        <v>67</v>
      </c>
      <c r="G28" s="57"/>
      <c r="H28" s="19" t="s">
        <v>67</v>
      </c>
      <c r="I28" s="57"/>
      <c r="J28" s="19" t="s">
        <v>67</v>
      </c>
      <c r="K28" s="19"/>
      <c r="L28" s="19" t="s">
        <v>67</v>
      </c>
      <c r="M28" s="57"/>
      <c r="N28" s="19" t="s">
        <v>67</v>
      </c>
      <c r="O28" s="57"/>
      <c r="P28" s="57">
        <v>-41</v>
      </c>
      <c r="Q28" s="57"/>
      <c r="R28" s="108">
        <v>9</v>
      </c>
      <c r="S28" s="75"/>
    </row>
    <row r="29" spans="1:19" s="74" customFormat="1" ht="12" customHeight="1">
      <c r="B29" s="110"/>
      <c r="C29" s="44"/>
      <c r="D29" s="44"/>
      <c r="E29" s="44"/>
      <c r="F29" s="18"/>
      <c r="G29" s="44"/>
      <c r="H29" s="44"/>
      <c r="I29" s="44"/>
      <c r="J29" s="44"/>
      <c r="K29" s="44"/>
      <c r="L29" s="44"/>
      <c r="M29" s="44"/>
      <c r="N29" s="44"/>
      <c r="O29" s="44"/>
      <c r="P29" s="44"/>
      <c r="Q29" s="44"/>
      <c r="R29" s="110"/>
    </row>
    <row r="30" spans="1:19" s="63" customFormat="1" ht="12.75" customHeight="1">
      <c r="A30" s="76" t="s">
        <v>91</v>
      </c>
      <c r="B30" s="112">
        <v>30</v>
      </c>
      <c r="C30" s="77"/>
      <c r="D30" s="20">
        <v>19</v>
      </c>
      <c r="E30" s="77"/>
      <c r="F30" s="20">
        <v>-129</v>
      </c>
      <c r="G30" s="77"/>
      <c r="H30" s="20">
        <v>1</v>
      </c>
      <c r="I30" s="77"/>
      <c r="J30" s="20">
        <v>-1</v>
      </c>
      <c r="K30" s="20"/>
      <c r="L30" s="20">
        <v>20</v>
      </c>
      <c r="M30" s="77"/>
      <c r="N30" s="20">
        <v>42</v>
      </c>
      <c r="O30" s="77"/>
      <c r="P30" s="20">
        <v>41</v>
      </c>
      <c r="Q30" s="77"/>
      <c r="R30" s="112">
        <v>23</v>
      </c>
    </row>
    <row r="31" spans="1:19" s="63" customFormat="1" ht="12" customHeight="1">
      <c r="A31" s="76"/>
      <c r="B31" s="113"/>
      <c r="C31" s="49"/>
      <c r="D31" s="49"/>
      <c r="E31" s="49"/>
      <c r="F31" s="49"/>
      <c r="G31" s="49"/>
      <c r="H31" s="49"/>
      <c r="I31" s="49"/>
      <c r="J31" s="49"/>
      <c r="K31" s="49"/>
      <c r="N31" s="49"/>
      <c r="O31" s="49"/>
      <c r="P31" s="49"/>
      <c r="Q31" s="49"/>
      <c r="R31" s="113"/>
    </row>
    <row r="32" spans="1:19" ht="12" customHeight="1">
      <c r="A32" s="88" t="s">
        <v>111</v>
      </c>
      <c r="B32" s="119"/>
      <c r="L32" s="88"/>
      <c r="N32" s="88" t="s">
        <v>111</v>
      </c>
      <c r="R32" s="119"/>
    </row>
    <row r="33" spans="1:18" ht="12" customHeight="1">
      <c r="A33" s="89" t="s">
        <v>107</v>
      </c>
      <c r="B33" s="120">
        <v>0.09</v>
      </c>
      <c r="L33" s="89"/>
      <c r="N33" s="89" t="s">
        <v>107</v>
      </c>
      <c r="R33" s="120">
        <v>7.0000000000000007E-2</v>
      </c>
    </row>
    <row r="34" spans="1:18" ht="12" customHeight="1">
      <c r="A34" s="89" t="s">
        <v>108</v>
      </c>
      <c r="B34" s="120">
        <v>0.09</v>
      </c>
      <c r="N34" s="89" t="s">
        <v>108</v>
      </c>
      <c r="R34" s="120">
        <v>7.0000000000000007E-2</v>
      </c>
    </row>
    <row r="35" spans="1:18" ht="12" customHeight="1">
      <c r="A35" s="89"/>
      <c r="B35" s="119"/>
      <c r="N35" s="89"/>
      <c r="R35" s="119"/>
    </row>
    <row r="36" spans="1:18" ht="12" customHeight="1">
      <c r="A36" s="90" t="s">
        <v>110</v>
      </c>
      <c r="B36" s="119"/>
      <c r="L36" s="90"/>
      <c r="N36" s="90" t="s">
        <v>110</v>
      </c>
      <c r="R36" s="119"/>
    </row>
    <row r="37" spans="1:18" ht="12" customHeight="1">
      <c r="A37" s="90" t="s">
        <v>107</v>
      </c>
      <c r="B37" s="119">
        <v>327</v>
      </c>
      <c r="L37" s="90"/>
      <c r="N37" s="90" t="s">
        <v>107</v>
      </c>
      <c r="R37" s="119">
        <v>327</v>
      </c>
    </row>
    <row r="38" spans="1:18" ht="12" customHeight="1">
      <c r="A38" s="90" t="s">
        <v>108</v>
      </c>
      <c r="B38" s="119">
        <v>330</v>
      </c>
      <c r="N38" s="90" t="s">
        <v>108</v>
      </c>
      <c r="R38" s="119">
        <v>330</v>
      </c>
    </row>
    <row r="39" spans="1:18" ht="12" customHeight="1">
      <c r="N39" s="90"/>
    </row>
  </sheetData>
  <mergeCells count="4">
    <mergeCell ref="A1:R1"/>
    <mergeCell ref="A2:R2"/>
    <mergeCell ref="A3:R3"/>
    <mergeCell ref="B6:R6"/>
  </mergeCells>
  <phoneticPr fontId="15" type="noConversion"/>
  <pageMargins left="0.7" right="0.7" top="0.75" bottom="0.75" header="0.3" footer="0.3"/>
  <pageSetup scale="73" orientation="landscape" r:id="rId1"/>
  <headerFooter>
    <oddFooter>&amp;LElectronic Arts Inc.&amp;C&amp;D&amp;R&amp;P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2"/>
  <sheetViews>
    <sheetView zoomScale="75" zoomScaleNormal="75" workbookViewId="0">
      <selection activeCell="A6" sqref="A6"/>
    </sheetView>
  </sheetViews>
  <sheetFormatPr defaultColWidth="11.42578125" defaultRowHeight="12" customHeight="1"/>
  <cols>
    <col min="1" max="1" width="51.5703125" style="319" customWidth="1"/>
    <col min="2" max="2" width="11.140625" style="319" customWidth="1"/>
    <col min="3" max="3" width="1.42578125" style="319" customWidth="1"/>
    <col min="4" max="4" width="15.140625" style="319" customWidth="1"/>
    <col min="5" max="5" width="1.7109375" style="319" customWidth="1"/>
    <col min="6" max="6" width="15.140625" style="319" customWidth="1"/>
    <col min="7" max="7" width="1.7109375" style="319" customWidth="1"/>
    <col min="8" max="8" width="15.140625" style="319" customWidth="1"/>
    <col min="9" max="9" width="1.7109375" style="319" customWidth="1"/>
    <col min="10" max="10" width="13" style="319" customWidth="1"/>
    <col min="11" max="11" width="15" style="361" customWidth="1"/>
    <col min="12" max="12" width="15" style="319" customWidth="1"/>
    <col min="13" max="13" width="1.7109375" style="319" customWidth="1"/>
    <col min="14" max="14" width="15.140625" style="319" customWidth="1"/>
    <col min="15" max="15" width="1.5703125" style="319" customWidth="1"/>
    <col min="16" max="16" width="14.5703125" style="319" customWidth="1"/>
    <col min="17" max="17" width="1.5703125" style="319" customWidth="1"/>
    <col min="18" max="16384" width="11.42578125" style="319"/>
  </cols>
  <sheetData>
    <row r="1" spans="1:19" s="248" customFormat="1" ht="15">
      <c r="A1" s="375" t="s">
        <v>68</v>
      </c>
      <c r="B1" s="370"/>
      <c r="C1" s="370"/>
      <c r="D1" s="370"/>
      <c r="E1" s="370"/>
      <c r="F1" s="370"/>
      <c r="G1" s="370"/>
      <c r="H1" s="370"/>
      <c r="I1" s="370"/>
      <c r="J1" s="370"/>
      <c r="K1" s="370"/>
      <c r="L1" s="370"/>
      <c r="M1" s="370"/>
      <c r="N1" s="370"/>
      <c r="O1" s="370"/>
      <c r="P1" s="370"/>
      <c r="Q1" s="370"/>
      <c r="R1" s="370"/>
      <c r="S1" s="247"/>
    </row>
    <row r="2" spans="1:19" s="248" customFormat="1" ht="15">
      <c r="A2" s="375" t="s">
        <v>69</v>
      </c>
      <c r="B2" s="370"/>
      <c r="C2" s="370"/>
      <c r="D2" s="370"/>
      <c r="E2" s="370"/>
      <c r="F2" s="370"/>
      <c r="G2" s="370"/>
      <c r="H2" s="370"/>
      <c r="I2" s="370"/>
      <c r="J2" s="370"/>
      <c r="K2" s="370"/>
      <c r="L2" s="370"/>
      <c r="M2" s="370"/>
      <c r="N2" s="370"/>
      <c r="O2" s="370"/>
      <c r="P2" s="370"/>
      <c r="Q2" s="370"/>
      <c r="R2" s="370"/>
      <c r="S2" s="247"/>
    </row>
    <row r="3" spans="1:19" s="248" customFormat="1" ht="15">
      <c r="A3" s="375" t="s">
        <v>70</v>
      </c>
      <c r="B3" s="370"/>
      <c r="C3" s="370"/>
      <c r="D3" s="370"/>
      <c r="E3" s="370"/>
      <c r="F3" s="370"/>
      <c r="G3" s="370"/>
      <c r="H3" s="370"/>
      <c r="I3" s="370"/>
      <c r="J3" s="370"/>
      <c r="K3" s="370"/>
      <c r="L3" s="370"/>
      <c r="M3" s="370"/>
      <c r="N3" s="370"/>
      <c r="O3" s="370"/>
      <c r="P3" s="370"/>
      <c r="Q3" s="370"/>
      <c r="R3" s="370"/>
      <c r="S3" s="247"/>
    </row>
    <row r="4" spans="1:19" s="248" customFormat="1">
      <c r="A4" s="337"/>
      <c r="B4" s="337"/>
      <c r="C4" s="337"/>
      <c r="D4" s="337"/>
      <c r="E4" s="337"/>
      <c r="F4" s="337"/>
      <c r="G4" s="337"/>
      <c r="H4" s="337"/>
      <c r="I4" s="337"/>
      <c r="J4" s="337"/>
      <c r="K4" s="350"/>
      <c r="L4" s="337"/>
      <c r="M4" s="337"/>
      <c r="N4" s="337"/>
      <c r="O4" s="337"/>
      <c r="P4" s="337"/>
      <c r="Q4" s="337"/>
      <c r="R4" s="337"/>
      <c r="S4" s="337"/>
    </row>
    <row r="5" spans="1:19" s="248" customFormat="1">
      <c r="B5" s="297"/>
      <c r="C5" s="297"/>
      <c r="D5" s="297"/>
      <c r="E5" s="298"/>
      <c r="F5" s="297"/>
      <c r="G5" s="298"/>
      <c r="H5" s="297"/>
      <c r="I5" s="297"/>
      <c r="J5" s="297"/>
      <c r="K5" s="357"/>
      <c r="L5" s="298"/>
      <c r="M5" s="298"/>
      <c r="N5" s="297"/>
      <c r="O5" s="297"/>
      <c r="P5" s="297"/>
    </row>
    <row r="6" spans="1:19" s="248" customFormat="1" ht="15">
      <c r="B6" s="383" t="s">
        <v>216</v>
      </c>
      <c r="C6" s="382"/>
      <c r="D6" s="382"/>
      <c r="E6" s="382"/>
      <c r="F6" s="382"/>
      <c r="G6" s="382"/>
      <c r="H6" s="382"/>
      <c r="I6" s="382"/>
      <c r="J6" s="382"/>
      <c r="K6" s="382"/>
      <c r="L6" s="382"/>
      <c r="M6" s="382"/>
      <c r="N6" s="382"/>
      <c r="O6" s="382"/>
      <c r="P6" s="382"/>
      <c r="Q6" s="382"/>
      <c r="R6" s="382"/>
    </row>
    <row r="7" spans="1:19" s="299" customFormat="1" ht="84">
      <c r="B7" s="256" t="s">
        <v>72</v>
      </c>
      <c r="C7" s="257"/>
      <c r="D7" s="256" t="s">
        <v>41</v>
      </c>
      <c r="E7" s="300"/>
      <c r="F7" s="258" t="s">
        <v>182</v>
      </c>
      <c r="G7" s="300"/>
      <c r="H7" s="258" t="s">
        <v>198</v>
      </c>
      <c r="I7" s="300"/>
      <c r="J7" s="256" t="s">
        <v>73</v>
      </c>
      <c r="K7" s="352" t="s">
        <v>93</v>
      </c>
      <c r="L7" s="351" t="s">
        <v>144</v>
      </c>
      <c r="M7" s="300"/>
      <c r="N7" s="256" t="s">
        <v>217</v>
      </c>
      <c r="O7" s="300"/>
      <c r="P7" s="256" t="s">
        <v>218</v>
      </c>
      <c r="Q7" s="300"/>
      <c r="R7" s="256" t="s">
        <v>76</v>
      </c>
    </row>
    <row r="8" spans="1:19" s="303" customFormat="1">
      <c r="A8" s="301" t="s">
        <v>0</v>
      </c>
      <c r="B8" s="261">
        <v>3956</v>
      </c>
      <c r="C8" s="302"/>
      <c r="D8" s="302">
        <v>0</v>
      </c>
      <c r="E8" s="302"/>
      <c r="F8" s="302">
        <v>0</v>
      </c>
      <c r="G8" s="302"/>
      <c r="H8" s="302">
        <v>0</v>
      </c>
      <c r="I8" s="302"/>
      <c r="J8" s="263">
        <v>-226</v>
      </c>
      <c r="K8" s="359">
        <v>0</v>
      </c>
      <c r="L8" s="302">
        <v>0</v>
      </c>
      <c r="M8" s="302"/>
      <c r="N8" s="302">
        <v>0</v>
      </c>
      <c r="O8" s="302"/>
      <c r="P8" s="302">
        <v>0</v>
      </c>
      <c r="Q8" s="302"/>
      <c r="R8" s="261">
        <v>3730</v>
      </c>
    </row>
    <row r="9" spans="1:19" s="304" customFormat="1" ht="14.25">
      <c r="A9" s="50" t="s">
        <v>202</v>
      </c>
      <c r="B9" s="191">
        <v>1453</v>
      </c>
      <c r="C9" s="305"/>
      <c r="D9" s="195">
        <v>-79</v>
      </c>
      <c r="E9" s="195"/>
      <c r="F9" s="306" t="s">
        <v>9</v>
      </c>
      <c r="G9" s="195"/>
      <c r="H9" s="306" t="s">
        <v>9</v>
      </c>
      <c r="I9" s="195"/>
      <c r="J9" s="201">
        <v>0</v>
      </c>
      <c r="K9" s="344">
        <v>0</v>
      </c>
      <c r="L9" s="195">
        <v>0</v>
      </c>
      <c r="M9" s="195"/>
      <c r="N9" s="195">
        <v>-2</v>
      </c>
      <c r="O9" s="195"/>
      <c r="P9" s="195">
        <v>0</v>
      </c>
      <c r="Q9" s="195"/>
      <c r="R9" s="191">
        <v>1372</v>
      </c>
      <c r="S9" s="303"/>
    </row>
    <row r="10" spans="1:19" s="307" customFormat="1">
      <c r="A10" s="307" t="s">
        <v>1</v>
      </c>
      <c r="B10" s="192">
        <v>2503</v>
      </c>
      <c r="C10" s="308"/>
      <c r="D10" s="199">
        <v>79</v>
      </c>
      <c r="E10" s="199"/>
      <c r="F10" s="309" t="s">
        <v>9</v>
      </c>
      <c r="G10" s="199"/>
      <c r="H10" s="309" t="s">
        <v>9</v>
      </c>
      <c r="I10" s="199"/>
      <c r="J10" s="199">
        <v>-226</v>
      </c>
      <c r="K10" s="345">
        <v>0</v>
      </c>
      <c r="L10" s="199">
        <v>0</v>
      </c>
      <c r="M10" s="199"/>
      <c r="N10" s="199">
        <v>2</v>
      </c>
      <c r="O10" s="199"/>
      <c r="P10" s="199">
        <v>0</v>
      </c>
      <c r="Q10" s="199"/>
      <c r="R10" s="192">
        <v>2358</v>
      </c>
      <c r="S10" s="303"/>
    </row>
    <row r="11" spans="1:19" s="307" customFormat="1">
      <c r="B11" s="192"/>
      <c r="C11" s="206"/>
      <c r="D11" s="199"/>
      <c r="E11" s="199"/>
      <c r="F11" s="199"/>
      <c r="G11" s="199"/>
      <c r="H11" s="199"/>
      <c r="I11" s="199"/>
      <c r="J11" s="204"/>
      <c r="K11" s="345"/>
      <c r="L11" s="199"/>
      <c r="M11" s="199"/>
      <c r="N11" s="199"/>
      <c r="O11" s="199"/>
      <c r="P11" s="199"/>
      <c r="Q11" s="199"/>
      <c r="R11" s="192"/>
      <c r="S11" s="303"/>
    </row>
    <row r="12" spans="1:19" s="304" customFormat="1">
      <c r="A12" s="304" t="s">
        <v>2</v>
      </c>
      <c r="B12" s="193"/>
      <c r="C12" s="207"/>
      <c r="D12" s="200"/>
      <c r="E12" s="200"/>
      <c r="F12" s="200"/>
      <c r="G12" s="200"/>
      <c r="H12" s="200"/>
      <c r="I12" s="200"/>
      <c r="J12" s="205"/>
      <c r="K12" s="346"/>
      <c r="L12" s="200"/>
      <c r="M12" s="200"/>
      <c r="N12" s="200"/>
      <c r="O12" s="200"/>
      <c r="P12" s="200"/>
      <c r="Q12" s="200"/>
      <c r="R12" s="193"/>
      <c r="S12" s="303"/>
    </row>
    <row r="13" spans="1:19" s="304" customFormat="1">
      <c r="A13" s="304" t="s">
        <v>77</v>
      </c>
      <c r="B13" s="193">
        <v>793</v>
      </c>
      <c r="C13" s="305"/>
      <c r="D13" s="200">
        <v>0</v>
      </c>
      <c r="E13" s="200"/>
      <c r="F13" s="200">
        <v>0</v>
      </c>
      <c r="G13" s="200"/>
      <c r="H13" s="200">
        <v>0</v>
      </c>
      <c r="I13" s="200"/>
      <c r="J13" s="205">
        <v>0</v>
      </c>
      <c r="K13" s="346">
        <v>0</v>
      </c>
      <c r="L13" s="200">
        <v>0</v>
      </c>
      <c r="M13" s="200"/>
      <c r="N13" s="200">
        <v>-30</v>
      </c>
      <c r="O13" s="200"/>
      <c r="P13" s="200">
        <v>0</v>
      </c>
      <c r="Q13" s="200"/>
      <c r="R13" s="193">
        <v>763</v>
      </c>
      <c r="S13" s="303"/>
    </row>
    <row r="14" spans="1:19" s="304" customFormat="1">
      <c r="A14" s="304" t="s">
        <v>78</v>
      </c>
      <c r="B14" s="193">
        <v>368</v>
      </c>
      <c r="C14" s="305"/>
      <c r="D14" s="200">
        <v>0</v>
      </c>
      <c r="E14" s="200"/>
      <c r="F14" s="200">
        <v>0</v>
      </c>
      <c r="G14" s="200"/>
      <c r="H14" s="200">
        <v>-27</v>
      </c>
      <c r="I14" s="200"/>
      <c r="J14" s="205">
        <v>0</v>
      </c>
      <c r="K14" s="346">
        <v>0</v>
      </c>
      <c r="L14" s="200">
        <v>0</v>
      </c>
      <c r="M14" s="200"/>
      <c r="N14" s="200">
        <v>-32</v>
      </c>
      <c r="O14" s="200"/>
      <c r="P14" s="200">
        <v>0</v>
      </c>
      <c r="Q14" s="200"/>
      <c r="R14" s="193">
        <v>309</v>
      </c>
      <c r="S14" s="303"/>
    </row>
    <row r="15" spans="1:19" s="304" customFormat="1">
      <c r="A15" s="304" t="s">
        <v>79</v>
      </c>
      <c r="B15" s="193">
        <v>1174</v>
      </c>
      <c r="C15" s="305"/>
      <c r="D15" s="200">
        <v>0</v>
      </c>
      <c r="E15" s="200"/>
      <c r="F15" s="200">
        <v>0</v>
      </c>
      <c r="G15" s="200"/>
      <c r="H15" s="200">
        <v>0</v>
      </c>
      <c r="I15" s="200"/>
      <c r="J15" s="205">
        <v>0</v>
      </c>
      <c r="K15" s="346">
        <v>0</v>
      </c>
      <c r="L15" s="200">
        <v>0</v>
      </c>
      <c r="M15" s="200"/>
      <c r="N15" s="200">
        <v>-99</v>
      </c>
      <c r="O15" s="200"/>
      <c r="P15" s="200">
        <v>0</v>
      </c>
      <c r="Q15" s="200"/>
      <c r="R15" s="193">
        <v>1075</v>
      </c>
      <c r="S15" s="303"/>
    </row>
    <row r="16" spans="1:19" s="304" customFormat="1">
      <c r="A16" s="304" t="s">
        <v>80</v>
      </c>
      <c r="B16" s="193">
        <v>-62</v>
      </c>
      <c r="C16" s="305"/>
      <c r="D16" s="200">
        <v>62</v>
      </c>
      <c r="E16" s="200"/>
      <c r="F16" s="200">
        <v>0</v>
      </c>
      <c r="G16" s="200"/>
      <c r="H16" s="200">
        <v>0</v>
      </c>
      <c r="I16" s="200"/>
      <c r="J16" s="205">
        <v>0</v>
      </c>
      <c r="K16" s="346">
        <v>0</v>
      </c>
      <c r="L16" s="200">
        <v>0</v>
      </c>
      <c r="M16" s="200"/>
      <c r="N16" s="200">
        <v>0</v>
      </c>
      <c r="O16" s="200"/>
      <c r="P16" s="200">
        <v>0</v>
      </c>
      <c r="Q16" s="200"/>
      <c r="R16" s="193">
        <v>0</v>
      </c>
      <c r="S16" s="303"/>
    </row>
    <row r="17" spans="1:19" s="304" customFormat="1">
      <c r="A17" s="304" t="s">
        <v>81</v>
      </c>
      <c r="B17" s="193">
        <v>27</v>
      </c>
      <c r="C17" s="305"/>
      <c r="D17" s="200">
        <v>-27</v>
      </c>
      <c r="E17" s="200"/>
      <c r="F17" s="200">
        <v>0</v>
      </c>
      <c r="G17" s="200"/>
      <c r="H17" s="200">
        <v>0</v>
      </c>
      <c r="I17" s="200"/>
      <c r="J17" s="205">
        <v>0</v>
      </c>
      <c r="K17" s="346">
        <v>0</v>
      </c>
      <c r="L17" s="200">
        <v>0</v>
      </c>
      <c r="M17" s="200"/>
      <c r="N17" s="200">
        <v>0</v>
      </c>
      <c r="O17" s="200"/>
      <c r="P17" s="200">
        <v>0</v>
      </c>
      <c r="Q17" s="200"/>
      <c r="R17" s="208">
        <v>0</v>
      </c>
      <c r="S17" s="303"/>
    </row>
    <row r="18" spans="1:19" s="304" customFormat="1" ht="14.25">
      <c r="A18" s="265" t="s">
        <v>207</v>
      </c>
      <c r="B18" s="194">
        <v>26</v>
      </c>
      <c r="C18" s="305"/>
      <c r="D18" s="195">
        <v>0</v>
      </c>
      <c r="E18" s="195"/>
      <c r="F18" s="195">
        <v>0</v>
      </c>
      <c r="G18" s="195"/>
      <c r="H18" s="195">
        <v>0</v>
      </c>
      <c r="I18" s="195"/>
      <c r="J18" s="201">
        <v>0</v>
      </c>
      <c r="K18" s="344">
        <v>0</v>
      </c>
      <c r="L18" s="195">
        <v>-26</v>
      </c>
      <c r="M18" s="195"/>
      <c r="N18" s="195">
        <v>0</v>
      </c>
      <c r="O18" s="195"/>
      <c r="P18" s="195">
        <v>0</v>
      </c>
      <c r="Q18" s="195"/>
      <c r="R18" s="196">
        <v>0</v>
      </c>
      <c r="S18" s="303"/>
    </row>
    <row r="19" spans="1:19" s="304" customFormat="1" ht="14.25">
      <c r="A19" s="304" t="s">
        <v>82</v>
      </c>
      <c r="B19" s="191">
        <v>2326</v>
      </c>
      <c r="C19" s="305"/>
      <c r="D19" s="195">
        <v>35</v>
      </c>
      <c r="E19" s="195"/>
      <c r="F19" s="195">
        <v>0</v>
      </c>
      <c r="G19" s="195"/>
      <c r="H19" s="195">
        <v>-27</v>
      </c>
      <c r="I19" s="195"/>
      <c r="J19" s="195">
        <v>0</v>
      </c>
      <c r="K19" s="344">
        <v>0</v>
      </c>
      <c r="L19" s="195">
        <v>-26</v>
      </c>
      <c r="M19" s="195"/>
      <c r="N19" s="195">
        <v>-161</v>
      </c>
      <c r="O19" s="195"/>
      <c r="P19" s="195">
        <v>0</v>
      </c>
      <c r="Q19" s="195"/>
      <c r="R19" s="191">
        <v>2147</v>
      </c>
      <c r="S19" s="303"/>
    </row>
    <row r="20" spans="1:19" s="304" customFormat="1">
      <c r="B20" s="193"/>
      <c r="C20" s="207"/>
      <c r="D20" s="200"/>
      <c r="E20" s="200"/>
      <c r="F20" s="200"/>
      <c r="G20" s="200"/>
      <c r="H20" s="200"/>
      <c r="I20" s="200"/>
      <c r="J20" s="205"/>
      <c r="K20" s="346"/>
      <c r="L20" s="200"/>
      <c r="M20" s="200"/>
      <c r="N20" s="200"/>
      <c r="O20" s="200"/>
      <c r="P20" s="200"/>
      <c r="Q20" s="200"/>
      <c r="R20" s="193"/>
      <c r="S20" s="303"/>
    </row>
    <row r="21" spans="1:19" s="310" customFormat="1">
      <c r="A21" s="277" t="s">
        <v>88</v>
      </c>
      <c r="B21" s="192">
        <v>177</v>
      </c>
      <c r="C21" s="308"/>
      <c r="D21" s="204">
        <v>44</v>
      </c>
      <c r="E21" s="204"/>
      <c r="F21" s="349">
        <v>0</v>
      </c>
      <c r="G21" s="204"/>
      <c r="H21" s="204">
        <v>27</v>
      </c>
      <c r="I21" s="199"/>
      <c r="J21" s="204">
        <v>-226</v>
      </c>
      <c r="K21" s="348">
        <v>0</v>
      </c>
      <c r="L21" s="204">
        <v>26</v>
      </c>
      <c r="M21" s="199"/>
      <c r="N21" s="204">
        <v>163</v>
      </c>
      <c r="O21" s="199"/>
      <c r="P21" s="204">
        <v>0</v>
      </c>
      <c r="Q21" s="199"/>
      <c r="R21" s="192">
        <v>211</v>
      </c>
      <c r="S21" s="303"/>
    </row>
    <row r="22" spans="1:19" s="310" customFormat="1">
      <c r="A22" s="311"/>
      <c r="B22" s="192"/>
      <c r="C22" s="206"/>
      <c r="D22" s="199"/>
      <c r="E22" s="199"/>
      <c r="F22" s="199"/>
      <c r="G22" s="199"/>
      <c r="H22" s="199"/>
      <c r="I22" s="199"/>
      <c r="J22" s="204"/>
      <c r="K22" s="345"/>
      <c r="L22" s="199"/>
      <c r="M22" s="199"/>
      <c r="N22" s="199"/>
      <c r="O22" s="199"/>
      <c r="P22" s="199"/>
      <c r="Q22" s="199"/>
      <c r="R22" s="192"/>
      <c r="S22" s="303"/>
    </row>
    <row r="23" spans="1:19" s="310" customFormat="1">
      <c r="A23" s="356" t="s">
        <v>93</v>
      </c>
      <c r="B23" s="343">
        <v>14</v>
      </c>
      <c r="C23" s="206"/>
      <c r="D23" s="346">
        <v>0</v>
      </c>
      <c r="E23" s="199"/>
      <c r="F23" s="346">
        <v>0</v>
      </c>
      <c r="G23" s="199"/>
      <c r="H23" s="346">
        <v>0</v>
      </c>
      <c r="I23" s="199"/>
      <c r="J23" s="204">
        <v>0</v>
      </c>
      <c r="K23" s="346">
        <v>-14</v>
      </c>
      <c r="L23" s="346">
        <v>0</v>
      </c>
      <c r="M23" s="346"/>
      <c r="N23" s="346">
        <v>0</v>
      </c>
      <c r="O23" s="346"/>
      <c r="P23" s="346">
        <v>0</v>
      </c>
      <c r="Q23" s="346"/>
      <c r="R23" s="343">
        <v>0</v>
      </c>
      <c r="S23" s="303"/>
    </row>
    <row r="24" spans="1:19" s="313" customFormat="1" ht="14.25">
      <c r="A24" s="280" t="s">
        <v>83</v>
      </c>
      <c r="B24" s="191">
        <v>-21</v>
      </c>
      <c r="C24" s="305"/>
      <c r="D24" s="195">
        <v>0</v>
      </c>
      <c r="E24" s="195"/>
      <c r="F24" s="344">
        <v>20</v>
      </c>
      <c r="G24" s="195"/>
      <c r="H24" s="347">
        <v>0</v>
      </c>
      <c r="I24" s="195"/>
      <c r="J24" s="201">
        <v>0</v>
      </c>
      <c r="K24" s="344">
        <v>0</v>
      </c>
      <c r="L24" s="344">
        <v>0</v>
      </c>
      <c r="M24" s="344"/>
      <c r="N24" s="344">
        <v>0</v>
      </c>
      <c r="O24" s="344"/>
      <c r="P24" s="344">
        <v>0</v>
      </c>
      <c r="Q24" s="344"/>
      <c r="R24" s="342">
        <v>-1</v>
      </c>
      <c r="S24" s="303"/>
    </row>
    <row r="25" spans="1:19" s="313" customFormat="1">
      <c r="B25" s="193"/>
      <c r="C25" s="207"/>
      <c r="D25" s="200"/>
      <c r="E25" s="200"/>
      <c r="F25" s="200"/>
      <c r="G25" s="200"/>
      <c r="H25" s="200"/>
      <c r="I25" s="200"/>
      <c r="J25" s="205"/>
      <c r="K25" s="346"/>
      <c r="L25" s="200"/>
      <c r="M25" s="200"/>
      <c r="N25" s="200"/>
      <c r="O25" s="200"/>
      <c r="P25" s="200"/>
      <c r="Q25" s="200"/>
      <c r="R25" s="193"/>
      <c r="S25" s="303"/>
    </row>
    <row r="26" spans="1:19" s="313" customFormat="1">
      <c r="A26" s="281" t="s">
        <v>147</v>
      </c>
      <c r="B26" s="193">
        <v>170</v>
      </c>
      <c r="C26" s="305"/>
      <c r="D26" s="205">
        <v>44</v>
      </c>
      <c r="E26" s="205"/>
      <c r="F26" s="205">
        <v>20</v>
      </c>
      <c r="G26" s="205"/>
      <c r="H26" s="205">
        <v>27</v>
      </c>
      <c r="I26" s="200"/>
      <c r="J26" s="205">
        <v>-226</v>
      </c>
      <c r="K26" s="349">
        <v>-14</v>
      </c>
      <c r="L26" s="205">
        <v>26</v>
      </c>
      <c r="M26" s="200"/>
      <c r="N26" s="205">
        <v>163</v>
      </c>
      <c r="O26" s="200"/>
      <c r="P26" s="205">
        <v>0</v>
      </c>
      <c r="Q26" s="200"/>
      <c r="R26" s="193">
        <v>210</v>
      </c>
      <c r="S26" s="303"/>
    </row>
    <row r="27" spans="1:19" s="313" customFormat="1">
      <c r="A27" s="282"/>
      <c r="B27" s="193"/>
      <c r="C27" s="207"/>
      <c r="D27" s="200"/>
      <c r="E27" s="200"/>
      <c r="F27" s="200"/>
      <c r="G27" s="200"/>
      <c r="H27" s="200"/>
      <c r="I27" s="200"/>
      <c r="J27" s="205"/>
      <c r="K27" s="346"/>
      <c r="L27" s="200"/>
      <c r="M27" s="200"/>
      <c r="N27" s="200"/>
      <c r="O27" s="200"/>
      <c r="P27" s="200"/>
      <c r="Q27" s="200"/>
      <c r="R27" s="193"/>
      <c r="S27" s="303"/>
    </row>
    <row r="28" spans="1:19" s="313" customFormat="1" ht="14.25">
      <c r="A28" s="282" t="s">
        <v>23</v>
      </c>
      <c r="B28" s="191">
        <v>-5</v>
      </c>
      <c r="C28" s="305"/>
      <c r="D28" s="201">
        <v>0</v>
      </c>
      <c r="E28" s="201"/>
      <c r="F28" s="201">
        <v>0</v>
      </c>
      <c r="G28" s="201"/>
      <c r="H28" s="201">
        <v>0</v>
      </c>
      <c r="I28" s="195"/>
      <c r="J28" s="201">
        <v>0</v>
      </c>
      <c r="K28" s="347">
        <v>0</v>
      </c>
      <c r="L28" s="201">
        <v>0</v>
      </c>
      <c r="M28" s="195"/>
      <c r="N28" s="201">
        <v>0</v>
      </c>
      <c r="O28" s="195"/>
      <c r="P28" s="195">
        <v>64</v>
      </c>
      <c r="Q28" s="195"/>
      <c r="R28" s="191">
        <v>59</v>
      </c>
      <c r="S28" s="303"/>
    </row>
    <row r="29" spans="1:19" s="313" customFormat="1">
      <c r="B29" s="193"/>
      <c r="C29" s="207"/>
      <c r="D29" s="200"/>
      <c r="E29" s="200"/>
      <c r="F29" s="200"/>
      <c r="G29" s="200"/>
      <c r="H29" s="200"/>
      <c r="I29" s="200"/>
      <c r="J29" s="205"/>
      <c r="K29" s="346"/>
      <c r="L29" s="200"/>
      <c r="M29" s="200"/>
      <c r="N29" s="200"/>
      <c r="O29" s="200"/>
      <c r="P29" s="200"/>
      <c r="Q29" s="200"/>
      <c r="R29" s="193"/>
      <c r="S29" s="303"/>
    </row>
    <row r="30" spans="1:19" s="301" customFormat="1" ht="14.25">
      <c r="A30" s="283" t="s">
        <v>91</v>
      </c>
      <c r="B30" s="284">
        <v>175</v>
      </c>
      <c r="C30" s="308"/>
      <c r="D30" s="314">
        <v>44</v>
      </c>
      <c r="E30" s="314"/>
      <c r="F30" s="314">
        <v>20</v>
      </c>
      <c r="G30" s="314"/>
      <c r="H30" s="314">
        <v>27</v>
      </c>
      <c r="I30" s="315"/>
      <c r="J30" s="314">
        <v>-226</v>
      </c>
      <c r="K30" s="360">
        <v>-14</v>
      </c>
      <c r="L30" s="314">
        <v>26</v>
      </c>
      <c r="M30" s="315"/>
      <c r="N30" s="314">
        <v>163</v>
      </c>
      <c r="O30" s="315"/>
      <c r="P30" s="314">
        <v>-64</v>
      </c>
      <c r="Q30" s="315"/>
      <c r="R30" s="316">
        <v>151</v>
      </c>
      <c r="S30" s="303"/>
    </row>
    <row r="31" spans="1:19" s="301" customFormat="1">
      <c r="A31" s="317"/>
      <c r="B31" s="287"/>
      <c r="C31" s="303"/>
      <c r="D31" s="303"/>
      <c r="E31" s="303"/>
      <c r="F31" s="303"/>
      <c r="G31" s="303"/>
      <c r="H31" s="303"/>
      <c r="I31" s="303"/>
      <c r="J31" s="303"/>
      <c r="K31" s="358"/>
      <c r="N31" s="303"/>
      <c r="O31" s="303"/>
      <c r="P31" s="303"/>
      <c r="Q31" s="303"/>
      <c r="R31" s="287"/>
    </row>
    <row r="32" spans="1:19">
      <c r="A32" s="318"/>
    </row>
  </sheetData>
  <mergeCells count="4">
    <mergeCell ref="A1:R1"/>
    <mergeCell ref="A2:R2"/>
    <mergeCell ref="A3:R3"/>
    <mergeCell ref="B6:R6"/>
  </mergeCells>
  <pageMargins left="0.7" right="0.7" top="0.75" bottom="0.75" header="0.3" footer="0.3"/>
  <pageSetup scale="6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zoomScaleNormal="100" workbookViewId="0">
      <pane xSplit="1" ySplit="7" topLeftCell="E8" activePane="bottomRight" state="frozen"/>
      <selection activeCell="A6" sqref="A6"/>
      <selection pane="topRight" activeCell="A6" sqref="A6"/>
      <selection pane="bottomLeft" activeCell="A6" sqref="A6"/>
      <selection pane="bottomRight" activeCell="A6" sqref="A6"/>
    </sheetView>
  </sheetViews>
  <sheetFormatPr defaultColWidth="11.42578125" defaultRowHeight="12" customHeight="1"/>
  <cols>
    <col min="1" max="1" width="51.5703125" style="319" customWidth="1"/>
    <col min="2" max="2" width="11.140625" style="319" customWidth="1"/>
    <col min="3" max="3" width="1.42578125" style="319" customWidth="1"/>
    <col min="4" max="4" width="15.140625" style="319" customWidth="1"/>
    <col min="5" max="5" width="1.7109375" style="319" customWidth="1"/>
    <col min="6" max="6" width="15.140625" style="319" customWidth="1"/>
    <col min="7" max="7" width="1.7109375" style="319" customWidth="1"/>
    <col min="8" max="8" width="15.140625" style="319" customWidth="1"/>
    <col min="9" max="9" width="1.7109375" style="319" customWidth="1"/>
    <col min="10" max="10" width="13" style="319" customWidth="1"/>
    <col min="11" max="11" width="15" style="319" customWidth="1"/>
    <col min="12" max="12" width="1.7109375" style="319" customWidth="1"/>
    <col min="13" max="13" width="15.140625" style="319" customWidth="1"/>
    <col min="14" max="14" width="1.5703125" style="319" customWidth="1"/>
    <col min="15" max="15" width="14.5703125" style="319" customWidth="1"/>
    <col min="16" max="16" width="1.5703125" style="319" customWidth="1"/>
    <col min="17" max="16384" width="11.42578125" style="319"/>
  </cols>
  <sheetData>
    <row r="1" spans="1:18" s="248" customFormat="1" ht="15">
      <c r="A1" s="375" t="s">
        <v>68</v>
      </c>
      <c r="B1" s="370"/>
      <c r="C1" s="370"/>
      <c r="D1" s="370"/>
      <c r="E1" s="370"/>
      <c r="F1" s="370"/>
      <c r="G1" s="370"/>
      <c r="H1" s="370"/>
      <c r="I1" s="370"/>
      <c r="J1" s="370"/>
      <c r="K1" s="370"/>
      <c r="L1" s="370"/>
      <c r="M1" s="370"/>
      <c r="N1" s="370"/>
      <c r="O1" s="370"/>
      <c r="P1" s="370"/>
      <c r="Q1" s="370"/>
      <c r="R1" s="247"/>
    </row>
    <row r="2" spans="1:18" s="248" customFormat="1" ht="15">
      <c r="A2" s="375" t="s">
        <v>69</v>
      </c>
      <c r="B2" s="370"/>
      <c r="C2" s="370"/>
      <c r="D2" s="370"/>
      <c r="E2" s="370"/>
      <c r="F2" s="370"/>
      <c r="G2" s="370"/>
      <c r="H2" s="370"/>
      <c r="I2" s="370"/>
      <c r="J2" s="370"/>
      <c r="K2" s="370"/>
      <c r="L2" s="370"/>
      <c r="M2" s="370"/>
      <c r="N2" s="370"/>
      <c r="O2" s="370"/>
      <c r="P2" s="370"/>
      <c r="Q2" s="370"/>
      <c r="R2" s="247"/>
    </row>
    <row r="3" spans="1:18" s="248" customFormat="1" ht="15">
      <c r="A3" s="375" t="s">
        <v>70</v>
      </c>
      <c r="B3" s="370"/>
      <c r="C3" s="370"/>
      <c r="D3" s="370"/>
      <c r="E3" s="370"/>
      <c r="F3" s="370"/>
      <c r="G3" s="370"/>
      <c r="H3" s="370"/>
      <c r="I3" s="370"/>
      <c r="J3" s="370"/>
      <c r="K3" s="370"/>
      <c r="L3" s="370"/>
      <c r="M3" s="370"/>
      <c r="N3" s="370"/>
      <c r="O3" s="370"/>
      <c r="P3" s="370"/>
      <c r="Q3" s="370"/>
      <c r="R3" s="247"/>
    </row>
    <row r="4" spans="1:18" s="248" customFormat="1">
      <c r="A4" s="331"/>
      <c r="B4" s="331"/>
      <c r="C4" s="331"/>
      <c r="D4" s="331"/>
      <c r="E4" s="331"/>
      <c r="F4" s="331"/>
      <c r="G4" s="331"/>
      <c r="H4" s="331"/>
      <c r="I4" s="331"/>
      <c r="J4" s="331"/>
      <c r="K4" s="331"/>
      <c r="L4" s="331"/>
      <c r="M4" s="331"/>
      <c r="N4" s="331"/>
      <c r="O4" s="331"/>
      <c r="P4" s="331"/>
      <c r="Q4" s="331"/>
      <c r="R4" s="331"/>
    </row>
    <row r="5" spans="1:18" s="248" customFormat="1">
      <c r="B5" s="297"/>
      <c r="C5" s="297"/>
      <c r="D5" s="297"/>
      <c r="E5" s="298"/>
      <c r="F5" s="297"/>
      <c r="G5" s="298"/>
      <c r="H5" s="297"/>
      <c r="I5" s="297"/>
      <c r="J5" s="297"/>
      <c r="K5" s="298"/>
      <c r="L5" s="298"/>
      <c r="M5" s="297"/>
      <c r="N5" s="297"/>
      <c r="O5" s="297"/>
    </row>
    <row r="6" spans="1:18" s="248" customFormat="1" ht="15">
      <c r="B6" s="383" t="s">
        <v>212</v>
      </c>
      <c r="C6" s="382"/>
      <c r="D6" s="382"/>
      <c r="E6" s="382"/>
      <c r="F6" s="382"/>
      <c r="G6" s="382"/>
      <c r="H6" s="382"/>
      <c r="I6" s="382"/>
      <c r="J6" s="382"/>
      <c r="K6" s="382"/>
      <c r="L6" s="382"/>
      <c r="M6" s="382"/>
      <c r="N6" s="382"/>
      <c r="O6" s="382"/>
      <c r="P6" s="382"/>
      <c r="Q6" s="382"/>
    </row>
    <row r="7" spans="1:18" s="299" customFormat="1" ht="84">
      <c r="B7" s="256" t="s">
        <v>72</v>
      </c>
      <c r="C7" s="257"/>
      <c r="D7" s="256" t="s">
        <v>41</v>
      </c>
      <c r="E7" s="300"/>
      <c r="F7" s="258" t="s">
        <v>182</v>
      </c>
      <c r="G7" s="300"/>
      <c r="H7" s="258" t="s">
        <v>198</v>
      </c>
      <c r="I7" s="300"/>
      <c r="J7" s="256" t="s">
        <v>73</v>
      </c>
      <c r="K7" s="258" t="s">
        <v>144</v>
      </c>
      <c r="L7" s="300"/>
      <c r="M7" s="351" t="s">
        <v>217</v>
      </c>
      <c r="N7" s="300"/>
      <c r="O7" s="351" t="s">
        <v>218</v>
      </c>
      <c r="P7" s="300"/>
      <c r="Q7" s="256" t="s">
        <v>76</v>
      </c>
    </row>
    <row r="8" spans="1:18" s="303" customFormat="1">
      <c r="A8" s="301" t="s">
        <v>0</v>
      </c>
      <c r="B8" s="261">
        <v>4095</v>
      </c>
      <c r="C8" s="302"/>
      <c r="D8" s="302">
        <v>0</v>
      </c>
      <c r="E8" s="302"/>
      <c r="F8" s="302">
        <v>0</v>
      </c>
      <c r="G8" s="302"/>
      <c r="H8" s="302">
        <v>0</v>
      </c>
      <c r="I8" s="302"/>
      <c r="J8" s="263">
        <v>104</v>
      </c>
      <c r="K8" s="302">
        <v>0</v>
      </c>
      <c r="L8" s="302"/>
      <c r="M8" s="302">
        <v>0</v>
      </c>
      <c r="N8" s="302"/>
      <c r="O8" s="302">
        <v>0</v>
      </c>
      <c r="P8" s="302"/>
      <c r="Q8" s="261">
        <v>4199</v>
      </c>
    </row>
    <row r="9" spans="1:18" s="304" customFormat="1" ht="14.25">
      <c r="A9" s="50" t="s">
        <v>202</v>
      </c>
      <c r="B9" s="191">
        <v>1576</v>
      </c>
      <c r="C9" s="305"/>
      <c r="D9" s="195">
        <v>-70</v>
      </c>
      <c r="E9" s="195"/>
      <c r="F9" s="306" t="s">
        <v>9</v>
      </c>
      <c r="G9" s="195"/>
      <c r="H9" s="306" t="s">
        <v>9</v>
      </c>
      <c r="I9" s="195"/>
      <c r="J9" s="201">
        <v>0</v>
      </c>
      <c r="K9" s="195">
        <v>0</v>
      </c>
      <c r="L9" s="195"/>
      <c r="M9" s="195">
        <v>-2</v>
      </c>
      <c r="N9" s="195"/>
      <c r="O9" s="195">
        <v>0</v>
      </c>
      <c r="P9" s="195"/>
      <c r="Q9" s="191">
        <v>1504</v>
      </c>
      <c r="R9" s="303"/>
    </row>
    <row r="10" spans="1:18" s="307" customFormat="1">
      <c r="A10" s="307" t="s">
        <v>1</v>
      </c>
      <c r="B10" s="192">
        <v>2519</v>
      </c>
      <c r="C10" s="308"/>
      <c r="D10" s="199">
        <v>70</v>
      </c>
      <c r="E10" s="199"/>
      <c r="F10" s="309" t="s">
        <v>9</v>
      </c>
      <c r="G10" s="199"/>
      <c r="H10" s="309" t="s">
        <v>9</v>
      </c>
      <c r="I10" s="199"/>
      <c r="J10" s="199">
        <v>104</v>
      </c>
      <c r="K10" s="199">
        <v>0</v>
      </c>
      <c r="L10" s="199"/>
      <c r="M10" s="199">
        <v>2</v>
      </c>
      <c r="N10" s="199"/>
      <c r="O10" s="199">
        <v>0</v>
      </c>
      <c r="P10" s="199"/>
      <c r="Q10" s="192">
        <v>2695</v>
      </c>
      <c r="R10" s="303"/>
    </row>
    <row r="11" spans="1:18" s="307" customFormat="1">
      <c r="B11" s="192"/>
      <c r="C11" s="206"/>
      <c r="D11" s="199"/>
      <c r="E11" s="199"/>
      <c r="F11" s="199"/>
      <c r="G11" s="199"/>
      <c r="H11" s="199"/>
      <c r="I11" s="199"/>
      <c r="J11" s="204"/>
      <c r="K11" s="199"/>
      <c r="L11" s="199"/>
      <c r="M11" s="199"/>
      <c r="N11" s="199"/>
      <c r="O11" s="199"/>
      <c r="P11" s="199"/>
      <c r="Q11" s="192"/>
      <c r="R11" s="303"/>
    </row>
    <row r="12" spans="1:18" s="304" customFormat="1">
      <c r="A12" s="304" t="s">
        <v>2</v>
      </c>
      <c r="B12" s="193"/>
      <c r="C12" s="207"/>
      <c r="D12" s="200"/>
      <c r="E12" s="200"/>
      <c r="F12" s="200"/>
      <c r="G12" s="200"/>
      <c r="H12" s="200"/>
      <c r="I12" s="200"/>
      <c r="J12" s="205"/>
      <c r="K12" s="200"/>
      <c r="L12" s="200"/>
      <c r="M12" s="200"/>
      <c r="N12" s="200"/>
      <c r="O12" s="200"/>
      <c r="P12" s="200"/>
      <c r="Q12" s="193"/>
      <c r="R12" s="303"/>
    </row>
    <row r="13" spans="1:18" s="304" customFormat="1">
      <c r="A13" s="304" t="s">
        <v>77</v>
      </c>
      <c r="B13" s="193">
        <v>848</v>
      </c>
      <c r="C13" s="305"/>
      <c r="D13" s="200">
        <v>0</v>
      </c>
      <c r="E13" s="200"/>
      <c r="F13" s="200">
        <v>0</v>
      </c>
      <c r="G13" s="200"/>
      <c r="H13" s="200">
        <v>0</v>
      </c>
      <c r="I13" s="200"/>
      <c r="J13" s="205">
        <v>0</v>
      </c>
      <c r="K13" s="200">
        <v>0</v>
      </c>
      <c r="L13" s="200"/>
      <c r="M13" s="200">
        <v>-30</v>
      </c>
      <c r="N13" s="200"/>
      <c r="O13" s="200">
        <v>0</v>
      </c>
      <c r="P13" s="200"/>
      <c r="Q13" s="193">
        <v>818</v>
      </c>
      <c r="R13" s="303"/>
    </row>
    <row r="14" spans="1:18" s="304" customFormat="1">
      <c r="A14" s="304" t="s">
        <v>78</v>
      </c>
      <c r="B14" s="193">
        <v>398</v>
      </c>
      <c r="C14" s="305"/>
      <c r="D14" s="200">
        <v>0</v>
      </c>
      <c r="E14" s="200"/>
      <c r="F14" s="200">
        <v>0</v>
      </c>
      <c r="G14" s="200"/>
      <c r="H14" s="200">
        <v>-27</v>
      </c>
      <c r="I14" s="200"/>
      <c r="J14" s="205">
        <v>0</v>
      </c>
      <c r="K14" s="200">
        <v>0</v>
      </c>
      <c r="L14" s="200"/>
      <c r="M14" s="200">
        <v>-36</v>
      </c>
      <c r="N14" s="200"/>
      <c r="O14" s="200">
        <v>0</v>
      </c>
      <c r="P14" s="200"/>
      <c r="Q14" s="193">
        <v>335</v>
      </c>
      <c r="R14" s="303"/>
    </row>
    <row r="15" spans="1:18" s="304" customFormat="1">
      <c r="A15" s="304" t="s">
        <v>79</v>
      </c>
      <c r="B15" s="193">
        <v>1213</v>
      </c>
      <c r="C15" s="305"/>
      <c r="D15" s="200">
        <v>0</v>
      </c>
      <c r="E15" s="200"/>
      <c r="F15" s="200">
        <v>0</v>
      </c>
      <c r="G15" s="200"/>
      <c r="H15" s="200">
        <v>0</v>
      </c>
      <c r="I15" s="200"/>
      <c r="J15" s="205">
        <v>0</v>
      </c>
      <c r="K15" s="200">
        <v>0</v>
      </c>
      <c r="L15" s="200"/>
      <c r="M15" s="200">
        <v>-104</v>
      </c>
      <c r="N15" s="200"/>
      <c r="O15" s="200">
        <v>0</v>
      </c>
      <c r="P15" s="200"/>
      <c r="Q15" s="193">
        <v>1109</v>
      </c>
      <c r="R15" s="303"/>
    </row>
    <row r="16" spans="1:18" s="304" customFormat="1">
      <c r="A16" s="304" t="s">
        <v>80</v>
      </c>
      <c r="B16" s="193">
        <v>-28</v>
      </c>
      <c r="C16" s="305"/>
      <c r="D16" s="200">
        <v>28</v>
      </c>
      <c r="E16" s="200"/>
      <c r="F16" s="200">
        <v>0</v>
      </c>
      <c r="G16" s="200"/>
      <c r="H16" s="200">
        <v>0</v>
      </c>
      <c r="I16" s="200"/>
      <c r="J16" s="205">
        <v>0</v>
      </c>
      <c r="K16" s="200">
        <v>0</v>
      </c>
      <c r="L16" s="200"/>
      <c r="M16" s="200">
        <v>0</v>
      </c>
      <c r="N16" s="200"/>
      <c r="O16" s="200">
        <v>0</v>
      </c>
      <c r="P16" s="200"/>
      <c r="Q16" s="193">
        <v>0</v>
      </c>
      <c r="R16" s="303"/>
    </row>
    <row r="17" spans="1:18" s="304" customFormat="1">
      <c r="A17" s="304" t="s">
        <v>81</v>
      </c>
      <c r="B17" s="193">
        <v>31</v>
      </c>
      <c r="C17" s="305"/>
      <c r="D17" s="200">
        <v>-31</v>
      </c>
      <c r="E17" s="200"/>
      <c r="F17" s="200">
        <v>0</v>
      </c>
      <c r="G17" s="200"/>
      <c r="H17" s="200">
        <v>0</v>
      </c>
      <c r="I17" s="200"/>
      <c r="J17" s="205">
        <v>0</v>
      </c>
      <c r="K17" s="200">
        <v>0</v>
      </c>
      <c r="L17" s="200"/>
      <c r="M17" s="200">
        <v>0</v>
      </c>
      <c r="N17" s="200"/>
      <c r="O17" s="200">
        <v>0</v>
      </c>
      <c r="P17" s="200"/>
      <c r="Q17" s="208">
        <v>0</v>
      </c>
      <c r="R17" s="303"/>
    </row>
    <row r="18" spans="1:18" s="304" customFormat="1" ht="14.25">
      <c r="A18" s="265" t="s">
        <v>207</v>
      </c>
      <c r="B18" s="194">
        <v>24</v>
      </c>
      <c r="C18" s="305"/>
      <c r="D18" s="195">
        <v>0</v>
      </c>
      <c r="E18" s="195"/>
      <c r="F18" s="195">
        <v>0</v>
      </c>
      <c r="G18" s="195"/>
      <c r="H18" s="195">
        <v>0</v>
      </c>
      <c r="I18" s="195"/>
      <c r="J18" s="201">
        <v>0</v>
      </c>
      <c r="K18" s="195">
        <v>-24</v>
      </c>
      <c r="L18" s="195"/>
      <c r="M18" s="195">
        <v>0</v>
      </c>
      <c r="N18" s="195"/>
      <c r="O18" s="195">
        <v>0</v>
      </c>
      <c r="P18" s="195"/>
      <c r="Q18" s="196">
        <v>0</v>
      </c>
      <c r="R18" s="303"/>
    </row>
    <row r="19" spans="1:18" s="304" customFormat="1" ht="14.25">
      <c r="A19" s="304" t="s">
        <v>82</v>
      </c>
      <c r="B19" s="191">
        <v>2486</v>
      </c>
      <c r="C19" s="305"/>
      <c r="D19" s="195">
        <v>-3</v>
      </c>
      <c r="E19" s="195"/>
      <c r="F19" s="195">
        <v>0</v>
      </c>
      <c r="G19" s="195"/>
      <c r="H19" s="195">
        <v>-27</v>
      </c>
      <c r="I19" s="195"/>
      <c r="J19" s="195">
        <v>0</v>
      </c>
      <c r="K19" s="195">
        <v>-24</v>
      </c>
      <c r="L19" s="195"/>
      <c r="M19" s="195">
        <v>-170</v>
      </c>
      <c r="N19" s="195"/>
      <c r="O19" s="195">
        <v>0</v>
      </c>
      <c r="P19" s="195"/>
      <c r="Q19" s="191">
        <v>2262</v>
      </c>
      <c r="R19" s="303"/>
    </row>
    <row r="20" spans="1:18" s="304" customFormat="1">
      <c r="B20" s="193"/>
      <c r="C20" s="207"/>
      <c r="D20" s="200"/>
      <c r="E20" s="200"/>
      <c r="F20" s="200"/>
      <c r="G20" s="200"/>
      <c r="H20" s="200"/>
      <c r="I20" s="200"/>
      <c r="J20" s="205"/>
      <c r="K20" s="200"/>
      <c r="L20" s="200"/>
      <c r="M20" s="200"/>
      <c r="N20" s="200"/>
      <c r="O20" s="200"/>
      <c r="P20" s="200"/>
      <c r="Q20" s="193"/>
      <c r="R20" s="303"/>
    </row>
    <row r="21" spans="1:18" s="310" customFormat="1">
      <c r="A21" s="277" t="s">
        <v>88</v>
      </c>
      <c r="B21" s="192">
        <v>33</v>
      </c>
      <c r="C21" s="308"/>
      <c r="D21" s="204">
        <v>73</v>
      </c>
      <c r="E21" s="204"/>
      <c r="F21" s="204">
        <v>0</v>
      </c>
      <c r="G21" s="204"/>
      <c r="H21" s="204">
        <v>27</v>
      </c>
      <c r="I21" s="199"/>
      <c r="J21" s="204">
        <v>104</v>
      </c>
      <c r="K21" s="204">
        <v>24</v>
      </c>
      <c r="L21" s="199"/>
      <c r="M21" s="204">
        <v>172</v>
      </c>
      <c r="N21" s="199"/>
      <c r="O21" s="204">
        <v>0</v>
      </c>
      <c r="P21" s="199"/>
      <c r="Q21" s="192">
        <v>433</v>
      </c>
      <c r="R21" s="303"/>
    </row>
    <row r="22" spans="1:18" s="310" customFormat="1">
      <c r="A22" s="311"/>
      <c r="B22" s="192"/>
      <c r="C22" s="206"/>
      <c r="D22" s="199"/>
      <c r="E22" s="199"/>
      <c r="F22" s="199"/>
      <c r="G22" s="199"/>
      <c r="H22" s="199"/>
      <c r="I22" s="199"/>
      <c r="J22" s="204"/>
      <c r="K22" s="199"/>
      <c r="L22" s="199"/>
      <c r="M22" s="199"/>
      <c r="N22" s="199"/>
      <c r="O22" s="199"/>
      <c r="P22" s="199"/>
      <c r="Q22" s="192"/>
      <c r="R22" s="303"/>
    </row>
    <row r="23" spans="1:18" s="313" customFormat="1" ht="14.25">
      <c r="A23" s="280" t="s">
        <v>83</v>
      </c>
      <c r="B23" s="191">
        <v>-23</v>
      </c>
      <c r="C23" s="305"/>
      <c r="D23" s="195">
        <v>0</v>
      </c>
      <c r="E23" s="195"/>
      <c r="F23" s="195">
        <v>20</v>
      </c>
      <c r="G23" s="195"/>
      <c r="H23" s="201">
        <v>0</v>
      </c>
      <c r="I23" s="195"/>
      <c r="J23" s="201">
        <v>0</v>
      </c>
      <c r="K23" s="195">
        <v>0</v>
      </c>
      <c r="L23" s="195"/>
      <c r="M23" s="195">
        <v>0</v>
      </c>
      <c r="N23" s="195"/>
      <c r="O23" s="195">
        <v>0</v>
      </c>
      <c r="P23" s="195"/>
      <c r="Q23" s="191">
        <v>-3</v>
      </c>
      <c r="R23" s="303"/>
    </row>
    <row r="24" spans="1:18" s="313" customFormat="1">
      <c r="B24" s="193"/>
      <c r="C24" s="207"/>
      <c r="D24" s="200"/>
      <c r="E24" s="200"/>
      <c r="F24" s="200"/>
      <c r="G24" s="200"/>
      <c r="H24" s="200"/>
      <c r="I24" s="200"/>
      <c r="J24" s="205"/>
      <c r="K24" s="200"/>
      <c r="L24" s="200"/>
      <c r="M24" s="200"/>
      <c r="N24" s="200"/>
      <c r="O24" s="200"/>
      <c r="P24" s="200"/>
      <c r="Q24" s="193"/>
      <c r="R24" s="303"/>
    </row>
    <row r="25" spans="1:18" s="313" customFormat="1">
      <c r="A25" s="281" t="s">
        <v>147</v>
      </c>
      <c r="B25" s="193">
        <v>10</v>
      </c>
      <c r="C25" s="305"/>
      <c r="D25" s="205">
        <v>73</v>
      </c>
      <c r="E25" s="205"/>
      <c r="F25" s="205">
        <v>20</v>
      </c>
      <c r="G25" s="205"/>
      <c r="H25" s="205">
        <v>27</v>
      </c>
      <c r="I25" s="200"/>
      <c r="J25" s="205">
        <v>104</v>
      </c>
      <c r="K25" s="205">
        <v>24</v>
      </c>
      <c r="L25" s="200"/>
      <c r="M25" s="205">
        <v>172</v>
      </c>
      <c r="N25" s="200"/>
      <c r="O25" s="205">
        <v>0</v>
      </c>
      <c r="P25" s="200"/>
      <c r="Q25" s="193">
        <v>430</v>
      </c>
      <c r="R25" s="303"/>
    </row>
    <row r="26" spans="1:18" s="313" customFormat="1">
      <c r="A26" s="282"/>
      <c r="B26" s="193"/>
      <c r="C26" s="207"/>
      <c r="D26" s="200"/>
      <c r="E26" s="200"/>
      <c r="F26" s="200"/>
      <c r="G26" s="200"/>
      <c r="H26" s="200"/>
      <c r="I26" s="200"/>
      <c r="J26" s="205"/>
      <c r="K26" s="200"/>
      <c r="L26" s="200"/>
      <c r="M26" s="200"/>
      <c r="N26" s="200"/>
      <c r="O26" s="200"/>
      <c r="P26" s="200"/>
      <c r="Q26" s="193"/>
      <c r="R26" s="303"/>
    </row>
    <row r="27" spans="1:18" s="313" customFormat="1" ht="14.25">
      <c r="A27" s="282" t="s">
        <v>23</v>
      </c>
      <c r="B27" s="191">
        <v>-5</v>
      </c>
      <c r="C27" s="305"/>
      <c r="D27" s="201">
        <v>0</v>
      </c>
      <c r="E27" s="201"/>
      <c r="F27" s="201">
        <v>0</v>
      </c>
      <c r="G27" s="201"/>
      <c r="H27" s="201">
        <v>0</v>
      </c>
      <c r="I27" s="195"/>
      <c r="J27" s="201">
        <v>0</v>
      </c>
      <c r="K27" s="201">
        <v>0</v>
      </c>
      <c r="L27" s="195"/>
      <c r="M27" s="201">
        <v>0</v>
      </c>
      <c r="N27" s="195"/>
      <c r="O27" s="195">
        <v>126</v>
      </c>
      <c r="P27" s="195"/>
      <c r="Q27" s="191">
        <v>121</v>
      </c>
      <c r="R27" s="303"/>
    </row>
    <row r="28" spans="1:18" s="313" customFormat="1">
      <c r="B28" s="193"/>
      <c r="C28" s="207"/>
      <c r="D28" s="200"/>
      <c r="E28" s="200"/>
      <c r="F28" s="200"/>
      <c r="G28" s="200"/>
      <c r="H28" s="200"/>
      <c r="I28" s="200"/>
      <c r="J28" s="205"/>
      <c r="K28" s="200"/>
      <c r="L28" s="200"/>
      <c r="M28" s="200"/>
      <c r="N28" s="200"/>
      <c r="O28" s="200"/>
      <c r="P28" s="200"/>
      <c r="Q28" s="193"/>
      <c r="R28" s="303"/>
    </row>
    <row r="29" spans="1:18" s="301" customFormat="1" ht="14.25">
      <c r="A29" s="283" t="s">
        <v>91</v>
      </c>
      <c r="B29" s="284">
        <v>15</v>
      </c>
      <c r="C29" s="308"/>
      <c r="D29" s="314">
        <v>73</v>
      </c>
      <c r="E29" s="314"/>
      <c r="F29" s="314">
        <v>20</v>
      </c>
      <c r="G29" s="314"/>
      <c r="H29" s="314">
        <v>27</v>
      </c>
      <c r="I29" s="315"/>
      <c r="J29" s="314">
        <v>104</v>
      </c>
      <c r="K29" s="314">
        <v>24</v>
      </c>
      <c r="L29" s="315"/>
      <c r="M29" s="314">
        <v>172</v>
      </c>
      <c r="N29" s="315"/>
      <c r="O29" s="314">
        <v>-126</v>
      </c>
      <c r="P29" s="315"/>
      <c r="Q29" s="316">
        <v>309</v>
      </c>
      <c r="R29" s="303"/>
    </row>
    <row r="30" spans="1:18" s="301" customFormat="1">
      <c r="A30" s="317"/>
      <c r="B30" s="287"/>
      <c r="C30" s="303"/>
      <c r="D30" s="303"/>
      <c r="E30" s="303"/>
      <c r="F30" s="303"/>
      <c r="G30" s="303"/>
      <c r="H30" s="303"/>
      <c r="I30" s="303"/>
      <c r="J30" s="303"/>
      <c r="M30" s="303"/>
      <c r="N30" s="303"/>
      <c r="O30" s="303"/>
      <c r="P30" s="303"/>
      <c r="Q30" s="287"/>
    </row>
    <row r="31" spans="1:18">
      <c r="A31" s="318"/>
    </row>
  </sheetData>
  <mergeCells count="4">
    <mergeCell ref="A1:Q1"/>
    <mergeCell ref="A2:Q2"/>
    <mergeCell ref="A3:Q3"/>
    <mergeCell ref="B6:Q6"/>
  </mergeCells>
  <pageMargins left="0.7" right="0.7" top="0.75" bottom="0.75" header="0.3" footer="0.3"/>
  <pageSetup scale="64"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32"/>
  <sheetViews>
    <sheetView zoomScaleNormal="100" workbookViewId="0">
      <pane xSplit="1" ySplit="7" topLeftCell="D8" activePane="bottomRight" state="frozen"/>
      <selection activeCell="A6" sqref="A6"/>
      <selection pane="topRight" activeCell="A6" sqref="A6"/>
      <selection pane="bottomLeft" activeCell="A6" sqref="A6"/>
      <selection pane="bottomRight" activeCell="A6" sqref="A6"/>
    </sheetView>
  </sheetViews>
  <sheetFormatPr defaultColWidth="11.42578125" defaultRowHeight="12" customHeight="1"/>
  <cols>
    <col min="1" max="1" width="51.5703125" style="319" customWidth="1"/>
    <col min="2" max="2" width="11.140625" style="319" customWidth="1"/>
    <col min="3" max="3" width="1.42578125" style="319" customWidth="1"/>
    <col min="4" max="4" width="15.140625" style="319" customWidth="1"/>
    <col min="5" max="5" width="1.7109375" style="319" customWidth="1"/>
    <col min="6" max="6" width="15.140625" style="319" customWidth="1"/>
    <col min="7" max="7" width="1.7109375" style="319" customWidth="1"/>
    <col min="8" max="8" width="15.140625" style="319" customWidth="1"/>
    <col min="9" max="9" width="1.7109375" style="319" customWidth="1"/>
    <col min="10" max="10" width="13" style="319" customWidth="1"/>
    <col min="11" max="11" width="1.7109375" style="319" hidden="1" customWidth="1"/>
    <col min="12" max="12" width="12.140625" style="319" hidden="1" customWidth="1"/>
    <col min="13" max="13" width="1.7109375" style="319" hidden="1" customWidth="1"/>
    <col min="14" max="14" width="12.140625" style="319" hidden="1" customWidth="1"/>
    <col min="15" max="15" width="1.7109375" style="319" hidden="1" customWidth="1"/>
    <col min="16" max="16" width="13.42578125" style="319" hidden="1" customWidth="1"/>
    <col min="17" max="17" width="1.7109375" style="319" hidden="1" customWidth="1"/>
    <col min="18" max="18" width="13.85546875" style="319" hidden="1" customWidth="1"/>
    <col min="19" max="19" width="1.7109375" style="319" customWidth="1"/>
    <col min="20" max="20" width="15" style="319" customWidth="1"/>
    <col min="21" max="21" width="1.7109375" style="319" customWidth="1"/>
    <col min="22" max="22" width="15.140625" style="319" customWidth="1"/>
    <col min="23" max="23" width="1.5703125" style="319" customWidth="1"/>
    <col min="24" max="24" width="14.5703125" style="319" customWidth="1"/>
    <col min="25" max="25" width="1.5703125" style="319" customWidth="1"/>
    <col min="26" max="16384" width="11.42578125" style="319"/>
  </cols>
  <sheetData>
    <row r="1" spans="1:27" s="248" customFormat="1" ht="15">
      <c r="A1" s="375" t="s">
        <v>68</v>
      </c>
      <c r="B1" s="370"/>
      <c r="C1" s="370"/>
      <c r="D1" s="370"/>
      <c r="E1" s="370"/>
      <c r="F1" s="370"/>
      <c r="G1" s="370"/>
      <c r="H1" s="370"/>
      <c r="I1" s="370"/>
      <c r="J1" s="370"/>
      <c r="K1" s="370"/>
      <c r="L1" s="370"/>
      <c r="M1" s="370"/>
      <c r="N1" s="370"/>
      <c r="O1" s="370"/>
      <c r="P1" s="370"/>
      <c r="Q1" s="370"/>
      <c r="R1" s="370"/>
      <c r="S1" s="370"/>
      <c r="T1" s="370"/>
      <c r="U1" s="370"/>
      <c r="V1" s="370"/>
      <c r="W1" s="370"/>
      <c r="X1" s="370"/>
      <c r="Y1" s="370"/>
      <c r="Z1" s="370"/>
      <c r="AA1" s="247"/>
    </row>
    <row r="2" spans="1:27" s="248" customFormat="1" ht="15">
      <c r="A2" s="375" t="s">
        <v>69</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247"/>
    </row>
    <row r="3" spans="1:27" s="248" customFormat="1" ht="15">
      <c r="A3" s="375" t="s">
        <v>70</v>
      </c>
      <c r="B3" s="370"/>
      <c r="C3" s="370"/>
      <c r="D3" s="370"/>
      <c r="E3" s="370"/>
      <c r="F3" s="370"/>
      <c r="G3" s="370"/>
      <c r="H3" s="370"/>
      <c r="I3" s="370"/>
      <c r="J3" s="370"/>
      <c r="K3" s="370"/>
      <c r="L3" s="370"/>
      <c r="M3" s="370"/>
      <c r="N3" s="370"/>
      <c r="O3" s="370"/>
      <c r="P3" s="370"/>
      <c r="Q3" s="370"/>
      <c r="R3" s="370"/>
      <c r="S3" s="370"/>
      <c r="T3" s="370"/>
      <c r="U3" s="370"/>
      <c r="V3" s="370"/>
      <c r="W3" s="370"/>
      <c r="X3" s="370"/>
      <c r="Y3" s="370"/>
      <c r="Z3" s="370"/>
      <c r="AA3" s="247"/>
    </row>
    <row r="4" spans="1:27" s="248" customFormat="1">
      <c r="A4" s="328"/>
      <c r="B4" s="328"/>
      <c r="C4" s="328"/>
      <c r="D4" s="328"/>
      <c r="E4" s="328"/>
      <c r="F4" s="328"/>
      <c r="G4" s="328"/>
      <c r="H4" s="328"/>
      <c r="I4" s="328"/>
      <c r="J4" s="328"/>
      <c r="K4" s="328"/>
      <c r="L4" s="328"/>
      <c r="M4" s="328"/>
      <c r="N4" s="328"/>
      <c r="O4" s="328"/>
      <c r="P4" s="328"/>
      <c r="Q4" s="328"/>
      <c r="R4" s="328"/>
      <c r="S4" s="328"/>
      <c r="T4" s="328"/>
      <c r="U4" s="328"/>
      <c r="V4" s="328"/>
      <c r="W4" s="328"/>
      <c r="X4" s="328"/>
      <c r="Y4" s="328"/>
      <c r="Z4" s="328"/>
      <c r="AA4" s="328"/>
    </row>
    <row r="5" spans="1:27" s="248" customFormat="1">
      <c r="B5" s="297"/>
      <c r="C5" s="297"/>
      <c r="D5" s="297"/>
      <c r="E5" s="298"/>
      <c r="F5" s="297"/>
      <c r="G5" s="298"/>
      <c r="H5" s="297"/>
      <c r="I5" s="297"/>
      <c r="J5" s="297"/>
      <c r="K5" s="297"/>
      <c r="L5" s="298"/>
      <c r="M5" s="297"/>
      <c r="N5" s="298"/>
      <c r="O5" s="297"/>
      <c r="P5" s="298"/>
      <c r="Q5" s="298"/>
      <c r="R5" s="298"/>
      <c r="S5" s="298"/>
      <c r="T5" s="298"/>
      <c r="U5" s="298"/>
      <c r="V5" s="297"/>
      <c r="W5" s="297"/>
      <c r="X5" s="297"/>
    </row>
    <row r="6" spans="1:27" s="248" customFormat="1" ht="15">
      <c r="B6" s="383" t="s">
        <v>206</v>
      </c>
      <c r="C6" s="382"/>
      <c r="D6" s="382"/>
      <c r="E6" s="382"/>
      <c r="F6" s="382"/>
      <c r="G6" s="382"/>
      <c r="H6" s="382"/>
      <c r="I6" s="382"/>
      <c r="J6" s="382"/>
      <c r="K6" s="382"/>
      <c r="L6" s="382"/>
      <c r="M6" s="382"/>
      <c r="N6" s="382"/>
      <c r="O6" s="382"/>
      <c r="P6" s="382"/>
      <c r="Q6" s="382"/>
      <c r="R6" s="382"/>
      <c r="S6" s="382"/>
      <c r="T6" s="382"/>
      <c r="U6" s="382"/>
      <c r="V6" s="382"/>
      <c r="W6" s="382"/>
      <c r="X6" s="382"/>
      <c r="Y6" s="382"/>
      <c r="Z6" s="382"/>
    </row>
    <row r="7" spans="1:27" s="299" customFormat="1" ht="84">
      <c r="B7" s="256" t="s">
        <v>72</v>
      </c>
      <c r="C7" s="257"/>
      <c r="D7" s="256" t="s">
        <v>41</v>
      </c>
      <c r="E7" s="300"/>
      <c r="F7" s="258" t="s">
        <v>182</v>
      </c>
      <c r="G7" s="300"/>
      <c r="H7" s="258" t="s">
        <v>198</v>
      </c>
      <c r="I7" s="300"/>
      <c r="J7" s="256" t="s">
        <v>73</v>
      </c>
      <c r="K7" s="300"/>
      <c r="L7" s="256" t="s">
        <v>74</v>
      </c>
      <c r="M7" s="300"/>
      <c r="N7" s="256" t="s">
        <v>75</v>
      </c>
      <c r="P7" s="256" t="s">
        <v>75</v>
      </c>
      <c r="Q7" s="300"/>
      <c r="R7" s="256" t="s">
        <v>126</v>
      </c>
      <c r="S7" s="300"/>
      <c r="T7" s="258" t="s">
        <v>144</v>
      </c>
      <c r="U7" s="300"/>
      <c r="V7" s="351" t="s">
        <v>217</v>
      </c>
      <c r="W7" s="300"/>
      <c r="X7" s="351" t="s">
        <v>218</v>
      </c>
      <c r="Y7" s="300"/>
      <c r="Z7" s="256" t="s">
        <v>76</v>
      </c>
    </row>
    <row r="8" spans="1:27" s="303" customFormat="1">
      <c r="A8" s="301" t="s">
        <v>0</v>
      </c>
      <c r="B8" s="261">
        <v>4099</v>
      </c>
      <c r="C8" s="302"/>
      <c r="D8" s="302">
        <v>0</v>
      </c>
      <c r="E8" s="302"/>
      <c r="F8" s="302">
        <v>0</v>
      </c>
      <c r="G8" s="302"/>
      <c r="H8" s="302">
        <v>0</v>
      </c>
      <c r="I8" s="302"/>
      <c r="J8" s="263">
        <v>54</v>
      </c>
      <c r="K8" s="302"/>
      <c r="L8" s="302">
        <v>0</v>
      </c>
      <c r="M8" s="302"/>
      <c r="N8" s="302">
        <v>0</v>
      </c>
      <c r="P8" s="302">
        <v>0</v>
      </c>
      <c r="Q8" s="302"/>
      <c r="R8" s="302">
        <v>0</v>
      </c>
      <c r="S8" s="302"/>
      <c r="T8" s="302">
        <v>0</v>
      </c>
      <c r="U8" s="302"/>
      <c r="V8" s="302">
        <v>0</v>
      </c>
      <c r="W8" s="302"/>
      <c r="X8" s="302">
        <v>0</v>
      </c>
      <c r="Y8" s="302"/>
      <c r="Z8" s="261">
        <v>4153</v>
      </c>
    </row>
    <row r="9" spans="1:27" s="304" customFormat="1" ht="14.25">
      <c r="A9" s="50" t="s">
        <v>202</v>
      </c>
      <c r="B9" s="191">
        <v>1563</v>
      </c>
      <c r="C9" s="305"/>
      <c r="D9" s="195">
        <v>-64</v>
      </c>
      <c r="E9" s="195"/>
      <c r="F9" s="306" t="s">
        <v>9</v>
      </c>
      <c r="G9" s="195"/>
      <c r="H9" s="306" t="s">
        <v>9</v>
      </c>
      <c r="I9" s="195"/>
      <c r="J9" s="201">
        <v>0</v>
      </c>
      <c r="K9" s="195"/>
      <c r="L9" s="195">
        <v>0</v>
      </c>
      <c r="M9" s="195"/>
      <c r="N9" s="195">
        <v>-1.46363474</v>
      </c>
      <c r="P9" s="195">
        <v>0</v>
      </c>
      <c r="Q9" s="195"/>
      <c r="R9" s="195">
        <v>0</v>
      </c>
      <c r="S9" s="195"/>
      <c r="T9" s="195">
        <v>0</v>
      </c>
      <c r="U9" s="195"/>
      <c r="V9" s="195">
        <v>-2</v>
      </c>
      <c r="W9" s="195"/>
      <c r="X9" s="195">
        <v>0</v>
      </c>
      <c r="Y9" s="195"/>
      <c r="Z9" s="191">
        <v>1497</v>
      </c>
      <c r="AA9" s="303"/>
    </row>
    <row r="10" spans="1:27" s="307" customFormat="1">
      <c r="A10" s="307" t="s">
        <v>1</v>
      </c>
      <c r="B10" s="192">
        <v>2536</v>
      </c>
      <c r="C10" s="308"/>
      <c r="D10" s="199">
        <v>64</v>
      </c>
      <c r="E10" s="199"/>
      <c r="F10" s="309" t="s">
        <v>9</v>
      </c>
      <c r="G10" s="199"/>
      <c r="H10" s="309" t="s">
        <v>9</v>
      </c>
      <c r="I10" s="199"/>
      <c r="J10" s="199">
        <v>54</v>
      </c>
      <c r="K10" s="199"/>
      <c r="L10" s="199">
        <v>0</v>
      </c>
      <c r="M10" s="199"/>
      <c r="N10" s="199">
        <v>1.46363474</v>
      </c>
      <c r="P10" s="199">
        <v>0</v>
      </c>
      <c r="Q10" s="199"/>
      <c r="R10" s="199">
        <v>0</v>
      </c>
      <c r="S10" s="199"/>
      <c r="T10" s="199">
        <v>0</v>
      </c>
      <c r="U10" s="199"/>
      <c r="V10" s="199">
        <v>2</v>
      </c>
      <c r="W10" s="199"/>
      <c r="X10" s="199">
        <v>0</v>
      </c>
      <c r="Y10" s="199"/>
      <c r="Z10" s="192">
        <v>2656</v>
      </c>
      <c r="AA10" s="303"/>
    </row>
    <row r="11" spans="1:27" s="307" customFormat="1">
      <c r="B11" s="192"/>
      <c r="C11" s="206"/>
      <c r="D11" s="199"/>
      <c r="E11" s="199"/>
      <c r="F11" s="199"/>
      <c r="G11" s="199"/>
      <c r="H11" s="199"/>
      <c r="I11" s="199"/>
      <c r="J11" s="204"/>
      <c r="K11" s="199"/>
      <c r="L11" s="199"/>
      <c r="M11" s="199"/>
      <c r="N11" s="199"/>
      <c r="P11" s="199"/>
      <c r="Q11" s="199"/>
      <c r="R11" s="199"/>
      <c r="S11" s="199"/>
      <c r="T11" s="199"/>
      <c r="U11" s="199"/>
      <c r="V11" s="199"/>
      <c r="W11" s="199"/>
      <c r="X11" s="199"/>
      <c r="Y11" s="199"/>
      <c r="Z11" s="192"/>
      <c r="AA11" s="303"/>
    </row>
    <row r="12" spans="1:27" s="304" customFormat="1">
      <c r="A12" s="304" t="s">
        <v>2</v>
      </c>
      <c r="B12" s="193"/>
      <c r="C12" s="207"/>
      <c r="D12" s="200"/>
      <c r="E12" s="200"/>
      <c r="F12" s="200"/>
      <c r="G12" s="200"/>
      <c r="H12" s="200"/>
      <c r="I12" s="200"/>
      <c r="J12" s="205"/>
      <c r="K12" s="200"/>
      <c r="L12" s="200"/>
      <c r="M12" s="200"/>
      <c r="N12" s="200"/>
      <c r="P12" s="200"/>
      <c r="Q12" s="200"/>
      <c r="R12" s="200"/>
      <c r="S12" s="200"/>
      <c r="T12" s="200"/>
      <c r="U12" s="200"/>
      <c r="V12" s="200"/>
      <c r="W12" s="200"/>
      <c r="X12" s="200"/>
      <c r="Y12" s="200"/>
      <c r="Z12" s="193"/>
      <c r="AA12" s="303"/>
    </row>
    <row r="13" spans="1:27" s="304" customFormat="1">
      <c r="A13" s="304" t="s">
        <v>77</v>
      </c>
      <c r="B13" s="193">
        <v>858</v>
      </c>
      <c r="C13" s="305"/>
      <c r="D13" s="200">
        <v>0</v>
      </c>
      <c r="E13" s="200"/>
      <c r="F13" s="200">
        <v>0</v>
      </c>
      <c r="G13" s="200"/>
      <c r="H13" s="200">
        <v>0</v>
      </c>
      <c r="I13" s="200"/>
      <c r="J13" s="205">
        <v>0</v>
      </c>
      <c r="K13" s="200"/>
      <c r="L13" s="200">
        <v>0</v>
      </c>
      <c r="M13" s="200"/>
      <c r="N13" s="200">
        <v>0</v>
      </c>
      <c r="P13" s="200">
        <v>0</v>
      </c>
      <c r="Q13" s="200"/>
      <c r="R13" s="200">
        <v>0</v>
      </c>
      <c r="S13" s="200"/>
      <c r="T13" s="200">
        <v>0</v>
      </c>
      <c r="U13" s="200"/>
      <c r="V13" s="200">
        <v>-28</v>
      </c>
      <c r="W13" s="200"/>
      <c r="X13" s="200">
        <v>0</v>
      </c>
      <c r="Y13" s="200"/>
      <c r="Z13" s="193">
        <v>830</v>
      </c>
      <c r="AA13" s="303"/>
    </row>
    <row r="14" spans="1:27" s="304" customFormat="1">
      <c r="A14" s="304" t="s">
        <v>78</v>
      </c>
      <c r="B14" s="193">
        <v>387</v>
      </c>
      <c r="C14" s="305"/>
      <c r="D14" s="200">
        <v>0</v>
      </c>
      <c r="E14" s="200"/>
      <c r="F14" s="200">
        <v>0</v>
      </c>
      <c r="G14" s="200"/>
      <c r="H14" s="200">
        <v>-27</v>
      </c>
      <c r="I14" s="200"/>
      <c r="J14" s="205">
        <v>0</v>
      </c>
      <c r="K14" s="200"/>
      <c r="L14" s="200">
        <v>0</v>
      </c>
      <c r="M14" s="200"/>
      <c r="N14" s="200">
        <v>0</v>
      </c>
      <c r="P14" s="200">
        <v>0</v>
      </c>
      <c r="Q14" s="200"/>
      <c r="R14" s="200">
        <v>0</v>
      </c>
      <c r="S14" s="200"/>
      <c r="T14" s="200">
        <v>0</v>
      </c>
      <c r="U14" s="200"/>
      <c r="V14" s="200">
        <v>-36</v>
      </c>
      <c r="W14" s="200"/>
      <c r="X14" s="200">
        <v>0</v>
      </c>
      <c r="Y14" s="200"/>
      <c r="Z14" s="193">
        <v>324</v>
      </c>
      <c r="AA14" s="303"/>
    </row>
    <row r="15" spans="1:27" s="304" customFormat="1">
      <c r="A15" s="304" t="s">
        <v>79</v>
      </c>
      <c r="B15" s="193">
        <v>1217</v>
      </c>
      <c r="C15" s="305"/>
      <c r="D15" s="200">
        <v>0</v>
      </c>
      <c r="E15" s="200"/>
      <c r="F15" s="200">
        <v>0</v>
      </c>
      <c r="G15" s="200"/>
      <c r="H15" s="200">
        <v>0</v>
      </c>
      <c r="I15" s="200"/>
      <c r="J15" s="205">
        <v>0</v>
      </c>
      <c r="K15" s="200"/>
      <c r="L15" s="200">
        <v>0</v>
      </c>
      <c r="M15" s="200"/>
      <c r="N15" s="200">
        <v>0</v>
      </c>
      <c r="P15" s="200">
        <v>0</v>
      </c>
      <c r="Q15" s="200"/>
      <c r="R15" s="200">
        <v>0</v>
      </c>
      <c r="S15" s="200"/>
      <c r="T15" s="200">
        <v>0</v>
      </c>
      <c r="U15" s="200"/>
      <c r="V15" s="200">
        <v>-105</v>
      </c>
      <c r="W15" s="200"/>
      <c r="X15" s="200">
        <v>0</v>
      </c>
      <c r="Y15" s="200"/>
      <c r="Z15" s="193">
        <v>1112</v>
      </c>
      <c r="AA15" s="303"/>
    </row>
    <row r="16" spans="1:27" s="304" customFormat="1">
      <c r="A16" s="304" t="s">
        <v>80</v>
      </c>
      <c r="B16" s="193">
        <v>-11</v>
      </c>
      <c r="C16" s="305"/>
      <c r="D16" s="200">
        <v>11</v>
      </c>
      <c r="E16" s="200"/>
      <c r="F16" s="200">
        <v>0</v>
      </c>
      <c r="G16" s="200"/>
      <c r="H16" s="200">
        <v>0</v>
      </c>
      <c r="I16" s="200"/>
      <c r="J16" s="205">
        <v>0</v>
      </c>
      <c r="K16" s="200"/>
      <c r="L16" s="200"/>
      <c r="M16" s="200"/>
      <c r="N16" s="200"/>
      <c r="P16" s="200">
        <v>0</v>
      </c>
      <c r="Q16" s="200"/>
      <c r="R16" s="200">
        <v>0</v>
      </c>
      <c r="S16" s="200"/>
      <c r="T16" s="200">
        <v>0</v>
      </c>
      <c r="U16" s="200"/>
      <c r="V16" s="200">
        <v>0</v>
      </c>
      <c r="W16" s="200"/>
      <c r="X16" s="200">
        <v>0</v>
      </c>
      <c r="Y16" s="200"/>
      <c r="Z16" s="193">
        <v>0</v>
      </c>
      <c r="AA16" s="303"/>
    </row>
    <row r="17" spans="1:27" s="304" customFormat="1">
      <c r="A17" s="304" t="s">
        <v>81</v>
      </c>
      <c r="B17" s="193">
        <v>37</v>
      </c>
      <c r="C17" s="305"/>
      <c r="D17" s="200">
        <v>-37</v>
      </c>
      <c r="E17" s="200"/>
      <c r="F17" s="200">
        <v>0</v>
      </c>
      <c r="G17" s="200"/>
      <c r="H17" s="200">
        <v>0</v>
      </c>
      <c r="I17" s="200"/>
      <c r="J17" s="205">
        <v>0</v>
      </c>
      <c r="K17" s="200"/>
      <c r="L17" s="200">
        <v>0</v>
      </c>
      <c r="M17" s="200"/>
      <c r="N17" s="200">
        <v>0</v>
      </c>
      <c r="P17" s="200">
        <v>0</v>
      </c>
      <c r="Q17" s="200"/>
      <c r="R17" s="200">
        <v>0</v>
      </c>
      <c r="S17" s="200"/>
      <c r="T17" s="200">
        <v>0</v>
      </c>
      <c r="U17" s="200"/>
      <c r="V17" s="200">
        <v>0</v>
      </c>
      <c r="W17" s="200"/>
      <c r="X17" s="200">
        <v>0</v>
      </c>
      <c r="Y17" s="200"/>
      <c r="Z17" s="208">
        <v>0</v>
      </c>
      <c r="AA17" s="303"/>
    </row>
    <row r="18" spans="1:27" s="304" customFormat="1" ht="14.25">
      <c r="A18" s="265" t="s">
        <v>207</v>
      </c>
      <c r="B18" s="194">
        <v>25</v>
      </c>
      <c r="C18" s="305"/>
      <c r="D18" s="195">
        <v>0</v>
      </c>
      <c r="E18" s="195"/>
      <c r="F18" s="195">
        <v>0</v>
      </c>
      <c r="G18" s="195"/>
      <c r="H18" s="195">
        <v>0</v>
      </c>
      <c r="I18" s="195"/>
      <c r="J18" s="201">
        <v>0</v>
      </c>
      <c r="K18" s="195"/>
      <c r="L18" s="195">
        <v>0</v>
      </c>
      <c r="M18" s="195"/>
      <c r="N18" s="195">
        <v>0</v>
      </c>
      <c r="P18" s="195">
        <v>0</v>
      </c>
      <c r="Q18" s="195"/>
      <c r="R18" s="195">
        <v>0</v>
      </c>
      <c r="S18" s="195"/>
      <c r="T18" s="195">
        <v>-25</v>
      </c>
      <c r="U18" s="195"/>
      <c r="V18" s="195">
        <v>0</v>
      </c>
      <c r="W18" s="195"/>
      <c r="X18" s="195">
        <v>0</v>
      </c>
      <c r="Y18" s="195"/>
      <c r="Z18" s="196">
        <v>0</v>
      </c>
      <c r="AA18" s="303"/>
    </row>
    <row r="19" spans="1:27" s="304" customFormat="1" ht="14.25">
      <c r="A19" s="304" t="s">
        <v>82</v>
      </c>
      <c r="B19" s="191">
        <v>2513</v>
      </c>
      <c r="C19" s="305"/>
      <c r="D19" s="195">
        <v>-26</v>
      </c>
      <c r="E19" s="195"/>
      <c r="F19" s="195">
        <v>0</v>
      </c>
      <c r="G19" s="195"/>
      <c r="H19" s="195">
        <v>-27</v>
      </c>
      <c r="I19" s="195"/>
      <c r="J19" s="195">
        <v>0</v>
      </c>
      <c r="K19" s="195"/>
      <c r="L19" s="195">
        <v>0</v>
      </c>
      <c r="M19" s="195"/>
      <c r="N19" s="195">
        <v>0</v>
      </c>
      <c r="P19" s="195">
        <v>0</v>
      </c>
      <c r="Q19" s="195"/>
      <c r="R19" s="195">
        <v>0</v>
      </c>
      <c r="S19" s="195"/>
      <c r="T19" s="195">
        <v>-25</v>
      </c>
      <c r="U19" s="195"/>
      <c r="V19" s="195">
        <v>-169</v>
      </c>
      <c r="W19" s="195"/>
      <c r="X19" s="195">
        <v>0</v>
      </c>
      <c r="Y19" s="195"/>
      <c r="Z19" s="191">
        <v>2266</v>
      </c>
      <c r="AA19" s="303"/>
    </row>
    <row r="20" spans="1:27" s="304" customFormat="1">
      <c r="B20" s="193"/>
      <c r="C20" s="207"/>
      <c r="D20" s="200"/>
      <c r="E20" s="200"/>
      <c r="F20" s="200"/>
      <c r="G20" s="200"/>
      <c r="H20" s="200"/>
      <c r="I20" s="200"/>
      <c r="J20" s="205"/>
      <c r="K20" s="200"/>
      <c r="L20" s="200"/>
      <c r="M20" s="200"/>
      <c r="N20" s="200"/>
      <c r="P20" s="200"/>
      <c r="Q20" s="200"/>
      <c r="R20" s="200"/>
      <c r="S20" s="200"/>
      <c r="T20" s="200"/>
      <c r="U20" s="200"/>
      <c r="V20" s="200"/>
      <c r="W20" s="200"/>
      <c r="X20" s="200"/>
      <c r="Y20" s="200"/>
      <c r="Z20" s="193"/>
      <c r="AA20" s="303"/>
    </row>
    <row r="21" spans="1:27" s="310" customFormat="1">
      <c r="A21" s="277" t="s">
        <v>88</v>
      </c>
      <c r="B21" s="192">
        <v>23</v>
      </c>
      <c r="C21" s="308"/>
      <c r="D21" s="204">
        <v>90</v>
      </c>
      <c r="E21" s="204"/>
      <c r="F21" s="204">
        <v>0</v>
      </c>
      <c r="G21" s="204"/>
      <c r="H21" s="204">
        <v>27</v>
      </c>
      <c r="I21" s="199"/>
      <c r="J21" s="204">
        <v>54</v>
      </c>
      <c r="K21" s="199"/>
      <c r="L21" s="204">
        <v>0</v>
      </c>
      <c r="M21" s="199"/>
      <c r="N21" s="204">
        <v>1.46363474</v>
      </c>
      <c r="P21" s="204">
        <v>0</v>
      </c>
      <c r="Q21" s="204"/>
      <c r="R21" s="204">
        <v>0</v>
      </c>
      <c r="S21" s="204"/>
      <c r="T21" s="204">
        <v>25</v>
      </c>
      <c r="U21" s="199"/>
      <c r="V21" s="204">
        <v>171</v>
      </c>
      <c r="W21" s="199"/>
      <c r="X21" s="204">
        <v>0</v>
      </c>
      <c r="Y21" s="199"/>
      <c r="Z21" s="192">
        <v>390</v>
      </c>
      <c r="AA21" s="303"/>
    </row>
    <row r="22" spans="1:27" s="310" customFormat="1">
      <c r="A22" s="311"/>
      <c r="B22" s="192"/>
      <c r="C22" s="206"/>
      <c r="D22" s="199"/>
      <c r="E22" s="199"/>
      <c r="F22" s="199"/>
      <c r="G22" s="199"/>
      <c r="H22" s="199"/>
      <c r="I22" s="199"/>
      <c r="J22" s="204"/>
      <c r="K22" s="199"/>
      <c r="L22" s="199"/>
      <c r="M22" s="199"/>
      <c r="N22" s="199"/>
      <c r="P22" s="199"/>
      <c r="Q22" s="199"/>
      <c r="R22" s="199"/>
      <c r="S22" s="199"/>
      <c r="T22" s="199"/>
      <c r="U22" s="199"/>
      <c r="V22" s="199"/>
      <c r="W22" s="199"/>
      <c r="X22" s="199"/>
      <c r="Y22" s="199"/>
      <c r="Z22" s="192"/>
      <c r="AA22" s="303"/>
    </row>
    <row r="23" spans="1:27" s="313" customFormat="1" hidden="1">
      <c r="A23" s="312" t="s">
        <v>93</v>
      </c>
      <c r="B23" s="193">
        <v>0</v>
      </c>
      <c r="C23" s="305"/>
      <c r="D23" s="205">
        <v>0</v>
      </c>
      <c r="E23" s="205"/>
      <c r="F23" s="205">
        <v>0</v>
      </c>
      <c r="G23" s="205"/>
      <c r="H23" s="205">
        <v>0</v>
      </c>
      <c r="I23" s="200"/>
      <c r="J23" s="205">
        <v>0</v>
      </c>
      <c r="K23" s="200"/>
      <c r="L23" s="205">
        <v>0</v>
      </c>
      <c r="M23" s="200"/>
      <c r="N23" s="205">
        <v>0</v>
      </c>
      <c r="P23" s="205">
        <v>0</v>
      </c>
      <c r="Q23" s="205"/>
      <c r="R23" s="205">
        <v>0</v>
      </c>
      <c r="S23" s="205"/>
      <c r="T23" s="205">
        <v>0</v>
      </c>
      <c r="U23" s="200"/>
      <c r="V23" s="205">
        <v>0</v>
      </c>
      <c r="W23" s="200"/>
      <c r="X23" s="205">
        <v>0</v>
      </c>
      <c r="Y23" s="200"/>
      <c r="Z23" s="208">
        <v>0</v>
      </c>
      <c r="AA23" s="303"/>
    </row>
    <row r="24" spans="1:27" s="313" customFormat="1" ht="14.25">
      <c r="A24" s="280" t="s">
        <v>83</v>
      </c>
      <c r="B24" s="191">
        <v>-25</v>
      </c>
      <c r="C24" s="305"/>
      <c r="D24" s="195">
        <v>0</v>
      </c>
      <c r="E24" s="195"/>
      <c r="F24" s="195">
        <v>19</v>
      </c>
      <c r="G24" s="195"/>
      <c r="H24" s="201">
        <v>0</v>
      </c>
      <c r="I24" s="195"/>
      <c r="J24" s="201">
        <v>0</v>
      </c>
      <c r="K24" s="195"/>
      <c r="L24" s="195">
        <v>0</v>
      </c>
      <c r="M24" s="195"/>
      <c r="N24" s="195">
        <v>0</v>
      </c>
      <c r="P24" s="195">
        <v>0</v>
      </c>
      <c r="Q24" s="195"/>
      <c r="R24" s="195">
        <v>0</v>
      </c>
      <c r="S24" s="195"/>
      <c r="T24" s="195">
        <v>0</v>
      </c>
      <c r="U24" s="195"/>
      <c r="V24" s="195">
        <v>0</v>
      </c>
      <c r="W24" s="195"/>
      <c r="X24" s="195">
        <v>0</v>
      </c>
      <c r="Y24" s="195"/>
      <c r="Z24" s="191">
        <v>-6</v>
      </c>
      <c r="AA24" s="303"/>
    </row>
    <row r="25" spans="1:27" s="313" customFormat="1">
      <c r="B25" s="193"/>
      <c r="C25" s="207"/>
      <c r="D25" s="200"/>
      <c r="E25" s="200"/>
      <c r="F25" s="200"/>
      <c r="G25" s="200"/>
      <c r="H25" s="200"/>
      <c r="I25" s="200"/>
      <c r="J25" s="205"/>
      <c r="K25" s="200"/>
      <c r="L25" s="200"/>
      <c r="M25" s="200"/>
      <c r="N25" s="200"/>
      <c r="P25" s="200"/>
      <c r="Q25" s="200"/>
      <c r="R25" s="200"/>
      <c r="S25" s="200"/>
      <c r="T25" s="200"/>
      <c r="U25" s="200"/>
      <c r="V25" s="200"/>
      <c r="W25" s="200"/>
      <c r="X25" s="200"/>
      <c r="Y25" s="200"/>
      <c r="Z25" s="193"/>
      <c r="AA25" s="303"/>
    </row>
    <row r="26" spans="1:27" s="313" customFormat="1">
      <c r="A26" s="281" t="s">
        <v>22</v>
      </c>
      <c r="B26" s="193">
        <v>-2</v>
      </c>
      <c r="C26" s="305"/>
      <c r="D26" s="205">
        <v>90</v>
      </c>
      <c r="E26" s="205"/>
      <c r="F26" s="205">
        <v>19</v>
      </c>
      <c r="G26" s="205"/>
      <c r="H26" s="205">
        <v>27</v>
      </c>
      <c r="I26" s="200"/>
      <c r="J26" s="205">
        <v>54</v>
      </c>
      <c r="K26" s="200"/>
      <c r="L26" s="205">
        <v>0</v>
      </c>
      <c r="M26" s="200"/>
      <c r="N26" s="205">
        <v>1.46363474</v>
      </c>
      <c r="P26" s="205">
        <v>0</v>
      </c>
      <c r="Q26" s="205"/>
      <c r="R26" s="205">
        <v>0</v>
      </c>
      <c r="S26" s="205"/>
      <c r="T26" s="205">
        <v>25</v>
      </c>
      <c r="U26" s="200"/>
      <c r="V26" s="205">
        <v>171</v>
      </c>
      <c r="W26" s="200"/>
      <c r="X26" s="205">
        <v>0</v>
      </c>
      <c r="Y26" s="200"/>
      <c r="Z26" s="193">
        <v>384</v>
      </c>
      <c r="AA26" s="303"/>
    </row>
    <row r="27" spans="1:27" s="313" customFormat="1">
      <c r="A27" s="282"/>
      <c r="B27" s="193"/>
      <c r="C27" s="207"/>
      <c r="D27" s="200"/>
      <c r="E27" s="200"/>
      <c r="F27" s="200"/>
      <c r="G27" s="200"/>
      <c r="H27" s="200"/>
      <c r="I27" s="200"/>
      <c r="J27" s="205"/>
      <c r="K27" s="200"/>
      <c r="L27" s="200"/>
      <c r="M27" s="200"/>
      <c r="N27" s="200"/>
      <c r="P27" s="200"/>
      <c r="Q27" s="200"/>
      <c r="R27" s="200"/>
      <c r="S27" s="200"/>
      <c r="T27" s="200"/>
      <c r="U27" s="200"/>
      <c r="V27" s="200"/>
      <c r="W27" s="200"/>
      <c r="X27" s="200"/>
      <c r="Y27" s="200"/>
      <c r="Z27" s="193"/>
      <c r="AA27" s="303"/>
    </row>
    <row r="28" spans="1:27" s="313" customFormat="1" ht="14.25">
      <c r="A28" s="282" t="s">
        <v>23</v>
      </c>
      <c r="B28" s="191">
        <v>-58</v>
      </c>
      <c r="C28" s="305"/>
      <c r="D28" s="201">
        <v>0</v>
      </c>
      <c r="E28" s="201"/>
      <c r="F28" s="201">
        <v>0</v>
      </c>
      <c r="G28" s="201"/>
      <c r="H28" s="201">
        <v>0</v>
      </c>
      <c r="I28" s="195"/>
      <c r="J28" s="201">
        <v>0</v>
      </c>
      <c r="K28" s="195"/>
      <c r="L28" s="201" t="s">
        <v>67</v>
      </c>
      <c r="M28" s="195"/>
      <c r="N28" s="201" t="s">
        <v>67</v>
      </c>
      <c r="P28" s="201">
        <v>0</v>
      </c>
      <c r="Q28" s="201"/>
      <c r="R28" s="201">
        <v>0</v>
      </c>
      <c r="S28" s="201"/>
      <c r="T28" s="201">
        <v>0</v>
      </c>
      <c r="U28" s="195"/>
      <c r="V28" s="201">
        <v>0</v>
      </c>
      <c r="W28" s="195"/>
      <c r="X28" s="195">
        <v>165</v>
      </c>
      <c r="Y28" s="195"/>
      <c r="Z28" s="191">
        <v>107</v>
      </c>
      <c r="AA28" s="303"/>
    </row>
    <row r="29" spans="1:27" s="313" customFormat="1">
      <c r="B29" s="193"/>
      <c r="C29" s="207"/>
      <c r="D29" s="200"/>
      <c r="E29" s="200"/>
      <c r="F29" s="200"/>
      <c r="G29" s="200"/>
      <c r="H29" s="200"/>
      <c r="I29" s="200"/>
      <c r="J29" s="205"/>
      <c r="K29" s="200"/>
      <c r="L29" s="200"/>
      <c r="M29" s="200"/>
      <c r="N29" s="200"/>
      <c r="P29" s="200"/>
      <c r="Q29" s="200"/>
      <c r="R29" s="200"/>
      <c r="S29" s="200"/>
      <c r="T29" s="200"/>
      <c r="U29" s="200"/>
      <c r="V29" s="200"/>
      <c r="W29" s="200"/>
      <c r="X29" s="200"/>
      <c r="Y29" s="200"/>
      <c r="Z29" s="193"/>
      <c r="AA29" s="303"/>
    </row>
    <row r="30" spans="1:27" s="301" customFormat="1" ht="14.25">
      <c r="A30" s="283" t="s">
        <v>91</v>
      </c>
      <c r="B30" s="284">
        <v>56</v>
      </c>
      <c r="C30" s="308"/>
      <c r="D30" s="314">
        <v>90</v>
      </c>
      <c r="E30" s="314"/>
      <c r="F30" s="314">
        <v>19</v>
      </c>
      <c r="G30" s="314"/>
      <c r="H30" s="314">
        <v>27</v>
      </c>
      <c r="I30" s="315"/>
      <c r="J30" s="314">
        <v>54</v>
      </c>
      <c r="K30" s="315"/>
      <c r="L30" s="314" t="e">
        <v>#REF!</v>
      </c>
      <c r="M30" s="315"/>
      <c r="N30" s="314" t="e">
        <v>#REF!</v>
      </c>
      <c r="P30" s="314">
        <v>0</v>
      </c>
      <c r="Q30" s="314"/>
      <c r="R30" s="314">
        <v>0</v>
      </c>
      <c r="S30" s="314"/>
      <c r="T30" s="314">
        <v>25</v>
      </c>
      <c r="U30" s="315"/>
      <c r="V30" s="314">
        <v>171</v>
      </c>
      <c r="W30" s="315"/>
      <c r="X30" s="314">
        <v>-165</v>
      </c>
      <c r="Y30" s="315"/>
      <c r="Z30" s="316">
        <v>277</v>
      </c>
      <c r="AA30" s="303"/>
    </row>
    <row r="31" spans="1:27" s="301" customFormat="1">
      <c r="A31" s="317"/>
      <c r="B31" s="287"/>
      <c r="C31" s="303"/>
      <c r="D31" s="303"/>
      <c r="E31" s="303"/>
      <c r="F31" s="303"/>
      <c r="G31" s="303"/>
      <c r="H31" s="303"/>
      <c r="I31" s="303"/>
      <c r="J31" s="303"/>
      <c r="K31" s="303"/>
      <c r="L31" s="303"/>
      <c r="M31" s="303"/>
      <c r="N31" s="303"/>
      <c r="O31" s="303"/>
      <c r="P31" s="303"/>
      <c r="Q31" s="303"/>
      <c r="R31" s="303"/>
      <c r="S31" s="303"/>
      <c r="V31" s="303"/>
      <c r="W31" s="303"/>
      <c r="X31" s="303"/>
      <c r="Y31" s="303"/>
      <c r="Z31" s="287"/>
    </row>
    <row r="32" spans="1:27">
      <c r="A32" s="318"/>
    </row>
  </sheetData>
  <mergeCells count="4">
    <mergeCell ref="A1:Z1"/>
    <mergeCell ref="A2:Z2"/>
    <mergeCell ref="A3:Z3"/>
    <mergeCell ref="B6:Z6"/>
  </mergeCells>
  <pageMargins left="0.7" right="0.7" top="0.75" bottom="0.75" header="0.3" footer="0.3"/>
  <pageSetup scale="64"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AA32"/>
  <sheetViews>
    <sheetView zoomScaleNormal="100" workbookViewId="0">
      <pane xSplit="1" ySplit="7" topLeftCell="B8" activePane="bottomRight" state="frozen"/>
      <selection activeCell="A6" sqref="A6"/>
      <selection pane="topRight" activeCell="A6" sqref="A6"/>
      <selection pane="bottomLeft" activeCell="A6" sqref="A6"/>
      <selection pane="bottomRight" activeCell="A5" sqref="A5"/>
    </sheetView>
  </sheetViews>
  <sheetFormatPr defaultColWidth="11.42578125" defaultRowHeight="12" customHeight="1"/>
  <cols>
    <col min="1" max="1" width="51.5703125" style="319" customWidth="1"/>
    <col min="2" max="2" width="11.140625" style="319" customWidth="1"/>
    <col min="3" max="3" width="1.42578125" style="319" customWidth="1"/>
    <col min="4" max="4" width="15.140625" style="319" customWidth="1"/>
    <col min="5" max="5" width="1.7109375" style="319" customWidth="1"/>
    <col min="6" max="6" width="15.140625" style="319" customWidth="1"/>
    <col min="7" max="7" width="1.7109375" style="319" customWidth="1"/>
    <col min="8" max="8" width="15.140625" style="319" customWidth="1"/>
    <col min="9" max="9" width="1.7109375" style="319" customWidth="1"/>
    <col min="10" max="10" width="13" style="319" customWidth="1"/>
    <col min="11" max="11" width="1.7109375" style="319" hidden="1" customWidth="1"/>
    <col min="12" max="12" width="12.140625" style="319" hidden="1" customWidth="1"/>
    <col min="13" max="13" width="1.7109375" style="319" hidden="1" customWidth="1"/>
    <col min="14" max="14" width="12.140625" style="319" hidden="1" customWidth="1"/>
    <col min="15" max="15" width="1.7109375" style="319" hidden="1" customWidth="1"/>
    <col min="16" max="16" width="13.42578125" style="319" hidden="1" customWidth="1"/>
    <col min="17" max="17" width="1.7109375" style="319" hidden="1" customWidth="1"/>
    <col min="18" max="18" width="13.85546875" style="319" hidden="1" customWidth="1"/>
    <col min="19" max="19" width="1.7109375" style="319" customWidth="1"/>
    <col min="20" max="20" width="15" style="319" customWidth="1"/>
    <col min="21" max="21" width="1.7109375" style="319" customWidth="1"/>
    <col min="22" max="22" width="15.140625" style="319" customWidth="1"/>
    <col min="23" max="23" width="1.5703125" style="319" customWidth="1"/>
    <col min="24" max="24" width="14.5703125" style="319" customWidth="1"/>
    <col min="25" max="25" width="1.5703125" style="319" customWidth="1"/>
    <col min="26" max="16384" width="11.42578125" style="319"/>
  </cols>
  <sheetData>
    <row r="1" spans="1:27" s="248" customFormat="1" ht="15">
      <c r="A1" s="375" t="s">
        <v>68</v>
      </c>
      <c r="B1" s="370"/>
      <c r="C1" s="370"/>
      <c r="D1" s="370"/>
      <c r="E1" s="370"/>
      <c r="F1" s="370"/>
      <c r="G1" s="370"/>
      <c r="H1" s="370"/>
      <c r="I1" s="370"/>
      <c r="J1" s="370"/>
      <c r="K1" s="370"/>
      <c r="L1" s="370"/>
      <c r="M1" s="370"/>
      <c r="N1" s="370"/>
      <c r="O1" s="370"/>
      <c r="P1" s="370"/>
      <c r="Q1" s="370"/>
      <c r="R1" s="370"/>
      <c r="S1" s="370"/>
      <c r="T1" s="370"/>
      <c r="U1" s="370"/>
      <c r="V1" s="370"/>
      <c r="W1" s="370"/>
      <c r="X1" s="370"/>
      <c r="Y1" s="370"/>
      <c r="Z1" s="370"/>
      <c r="AA1" s="247"/>
    </row>
    <row r="2" spans="1:27" s="248" customFormat="1" ht="15">
      <c r="A2" s="375" t="s">
        <v>69</v>
      </c>
      <c r="B2" s="370"/>
      <c r="C2" s="370"/>
      <c r="D2" s="370"/>
      <c r="E2" s="370"/>
      <c r="F2" s="370"/>
      <c r="G2" s="370"/>
      <c r="H2" s="370"/>
      <c r="I2" s="370"/>
      <c r="J2" s="370"/>
      <c r="K2" s="370"/>
      <c r="L2" s="370"/>
      <c r="M2" s="370"/>
      <c r="N2" s="370"/>
      <c r="O2" s="370"/>
      <c r="P2" s="370"/>
      <c r="Q2" s="370"/>
      <c r="R2" s="370"/>
      <c r="S2" s="370"/>
      <c r="T2" s="370"/>
      <c r="U2" s="370"/>
      <c r="V2" s="370"/>
      <c r="W2" s="370"/>
      <c r="X2" s="370"/>
      <c r="Y2" s="370"/>
      <c r="Z2" s="370"/>
      <c r="AA2" s="247"/>
    </row>
    <row r="3" spans="1:27" s="248" customFormat="1" ht="15">
      <c r="A3" s="375" t="s">
        <v>70</v>
      </c>
      <c r="B3" s="370"/>
      <c r="C3" s="370"/>
      <c r="D3" s="370"/>
      <c r="E3" s="370"/>
      <c r="F3" s="370"/>
      <c r="G3" s="370"/>
      <c r="H3" s="370"/>
      <c r="I3" s="370"/>
      <c r="J3" s="370"/>
      <c r="K3" s="370"/>
      <c r="L3" s="370"/>
      <c r="M3" s="370"/>
      <c r="N3" s="370"/>
      <c r="O3" s="370"/>
      <c r="P3" s="370"/>
      <c r="Q3" s="370"/>
      <c r="R3" s="370"/>
      <c r="S3" s="370"/>
      <c r="T3" s="370"/>
      <c r="U3" s="370"/>
      <c r="V3" s="370"/>
      <c r="W3" s="370"/>
      <c r="X3" s="370"/>
      <c r="Y3" s="370"/>
      <c r="Z3" s="370"/>
      <c r="AA3" s="247"/>
    </row>
    <row r="4" spans="1:27" s="248" customFormat="1">
      <c r="A4" s="320"/>
      <c r="B4" s="320"/>
      <c r="C4" s="320"/>
      <c r="D4" s="320"/>
      <c r="E4" s="320"/>
      <c r="F4" s="320"/>
      <c r="G4" s="320"/>
      <c r="H4" s="320"/>
      <c r="I4" s="320"/>
      <c r="J4" s="320"/>
      <c r="K4" s="320"/>
      <c r="L4" s="320"/>
      <c r="M4" s="320"/>
      <c r="N4" s="320"/>
      <c r="O4" s="320"/>
      <c r="P4" s="320"/>
      <c r="Q4" s="320"/>
      <c r="R4" s="320"/>
      <c r="S4" s="320"/>
      <c r="T4" s="320"/>
      <c r="U4" s="320"/>
      <c r="V4" s="320"/>
      <c r="W4" s="320"/>
      <c r="X4" s="320"/>
      <c r="Y4" s="320"/>
      <c r="Z4" s="320"/>
      <c r="AA4" s="249"/>
    </row>
    <row r="5" spans="1:27" s="248" customFormat="1">
      <c r="B5" s="297"/>
      <c r="C5" s="297"/>
      <c r="D5" s="297"/>
      <c r="E5" s="298"/>
      <c r="F5" s="297"/>
      <c r="G5" s="298"/>
      <c r="H5" s="297"/>
      <c r="I5" s="297"/>
      <c r="J5" s="297"/>
      <c r="K5" s="297"/>
      <c r="L5" s="298"/>
      <c r="M5" s="297"/>
      <c r="N5" s="298"/>
      <c r="O5" s="297"/>
      <c r="P5" s="298"/>
      <c r="Q5" s="298"/>
      <c r="R5" s="298"/>
      <c r="S5" s="298"/>
      <c r="T5" s="298"/>
      <c r="U5" s="298"/>
      <c r="V5" s="297"/>
      <c r="W5" s="297"/>
      <c r="X5" s="297"/>
    </row>
    <row r="6" spans="1:27" s="248" customFormat="1" ht="15">
      <c r="B6" s="383" t="s">
        <v>205</v>
      </c>
      <c r="C6" s="382"/>
      <c r="D6" s="382"/>
      <c r="E6" s="382"/>
      <c r="F6" s="382"/>
      <c r="G6" s="382"/>
      <c r="H6" s="382"/>
      <c r="I6" s="382"/>
      <c r="J6" s="382"/>
      <c r="K6" s="382"/>
      <c r="L6" s="382"/>
      <c r="M6" s="382"/>
      <c r="N6" s="382"/>
      <c r="O6" s="382"/>
      <c r="P6" s="382"/>
      <c r="Q6" s="382"/>
      <c r="R6" s="382"/>
      <c r="S6" s="382"/>
      <c r="T6" s="382"/>
      <c r="U6" s="382"/>
      <c r="V6" s="382"/>
      <c r="W6" s="382"/>
      <c r="X6" s="382"/>
      <c r="Y6" s="382"/>
      <c r="Z6" s="382"/>
    </row>
    <row r="7" spans="1:27" s="299" customFormat="1" ht="84">
      <c r="B7" s="256" t="s">
        <v>72</v>
      </c>
      <c r="C7" s="257"/>
      <c r="D7" s="256" t="s">
        <v>41</v>
      </c>
      <c r="E7" s="300"/>
      <c r="F7" s="258" t="s">
        <v>182</v>
      </c>
      <c r="G7" s="300"/>
      <c r="H7" s="258" t="s">
        <v>198</v>
      </c>
      <c r="I7" s="300"/>
      <c r="J7" s="256" t="s">
        <v>73</v>
      </c>
      <c r="K7" s="300"/>
      <c r="L7" s="256" t="s">
        <v>74</v>
      </c>
      <c r="M7" s="300"/>
      <c r="N7" s="256" t="s">
        <v>75</v>
      </c>
      <c r="P7" s="256" t="s">
        <v>75</v>
      </c>
      <c r="Q7" s="300"/>
      <c r="R7" s="256" t="s">
        <v>126</v>
      </c>
      <c r="S7" s="300"/>
      <c r="T7" s="258" t="s">
        <v>144</v>
      </c>
      <c r="U7" s="300"/>
      <c r="V7" s="351" t="s">
        <v>217</v>
      </c>
      <c r="W7" s="300"/>
      <c r="X7" s="351" t="s">
        <v>218</v>
      </c>
      <c r="Y7" s="300"/>
      <c r="Z7" s="256" t="s">
        <v>76</v>
      </c>
    </row>
    <row r="8" spans="1:27" s="303" customFormat="1">
      <c r="A8" s="301" t="s">
        <v>0</v>
      </c>
      <c r="B8" s="261">
        <v>4143</v>
      </c>
      <c r="C8" s="302"/>
      <c r="D8" s="302">
        <v>0</v>
      </c>
      <c r="E8" s="302"/>
      <c r="F8" s="302">
        <v>0</v>
      </c>
      <c r="G8" s="302"/>
      <c r="H8" s="302">
        <v>0</v>
      </c>
      <c r="I8" s="302"/>
      <c r="J8" s="263">
        <v>43</v>
      </c>
      <c r="K8" s="302"/>
      <c r="L8" s="302">
        <v>0</v>
      </c>
      <c r="M8" s="302"/>
      <c r="N8" s="302">
        <v>0</v>
      </c>
      <c r="P8" s="302">
        <v>0</v>
      </c>
      <c r="Q8" s="302"/>
      <c r="R8" s="302">
        <v>0</v>
      </c>
      <c r="S8" s="302"/>
      <c r="T8" s="302">
        <v>0</v>
      </c>
      <c r="U8" s="302"/>
      <c r="V8" s="302">
        <v>0</v>
      </c>
      <c r="W8" s="302"/>
      <c r="X8" s="302">
        <v>0</v>
      </c>
      <c r="Y8" s="302"/>
      <c r="Z8" s="261">
        <v>4186</v>
      </c>
    </row>
    <row r="9" spans="1:27" s="304" customFormat="1" ht="14.25">
      <c r="A9" s="50" t="s">
        <v>202</v>
      </c>
      <c r="B9" s="191">
        <v>1598</v>
      </c>
      <c r="C9" s="305"/>
      <c r="D9" s="195">
        <v>-52</v>
      </c>
      <c r="E9" s="195"/>
      <c r="F9" s="306" t="s">
        <v>9</v>
      </c>
      <c r="G9" s="195"/>
      <c r="H9" s="306" t="s">
        <v>9</v>
      </c>
      <c r="I9" s="195"/>
      <c r="J9" s="201">
        <v>0</v>
      </c>
      <c r="K9" s="195"/>
      <c r="L9" s="195">
        <v>0</v>
      </c>
      <c r="M9" s="195"/>
      <c r="N9" s="195">
        <v>-1.46363474</v>
      </c>
      <c r="P9" s="195">
        <v>0</v>
      </c>
      <c r="Q9" s="195"/>
      <c r="R9" s="195">
        <v>0</v>
      </c>
      <c r="S9" s="195"/>
      <c r="T9" s="195">
        <v>0</v>
      </c>
      <c r="U9" s="195"/>
      <c r="V9" s="195">
        <v>-2</v>
      </c>
      <c r="W9" s="195"/>
      <c r="X9" s="195">
        <v>0</v>
      </c>
      <c r="Y9" s="195"/>
      <c r="Z9" s="191">
        <v>1544</v>
      </c>
    </row>
    <row r="10" spans="1:27" s="307" customFormat="1">
      <c r="A10" s="307" t="s">
        <v>1</v>
      </c>
      <c r="B10" s="192">
        <v>2545</v>
      </c>
      <c r="C10" s="308"/>
      <c r="D10" s="199">
        <v>52</v>
      </c>
      <c r="E10" s="199"/>
      <c r="F10" s="309" t="s">
        <v>9</v>
      </c>
      <c r="G10" s="199"/>
      <c r="H10" s="309" t="s">
        <v>9</v>
      </c>
      <c r="I10" s="199"/>
      <c r="J10" s="199">
        <v>43</v>
      </c>
      <c r="K10" s="199"/>
      <c r="L10" s="199">
        <v>0</v>
      </c>
      <c r="M10" s="199"/>
      <c r="N10" s="199">
        <v>1.46363474</v>
      </c>
      <c r="P10" s="199">
        <v>0</v>
      </c>
      <c r="Q10" s="199"/>
      <c r="R10" s="199">
        <v>0</v>
      </c>
      <c r="S10" s="199"/>
      <c r="T10" s="199">
        <v>0</v>
      </c>
      <c r="U10" s="199"/>
      <c r="V10" s="199">
        <v>2</v>
      </c>
      <c r="W10" s="199"/>
      <c r="X10" s="199">
        <v>0</v>
      </c>
      <c r="Y10" s="199"/>
      <c r="Z10" s="192">
        <v>2642</v>
      </c>
    </row>
    <row r="11" spans="1:27" s="307" customFormat="1">
      <c r="B11" s="192"/>
      <c r="C11" s="206"/>
      <c r="D11" s="199"/>
      <c r="E11" s="199"/>
      <c r="F11" s="199"/>
      <c r="G11" s="199"/>
      <c r="H11" s="199"/>
      <c r="I11" s="199"/>
      <c r="J11" s="204"/>
      <c r="K11" s="199"/>
      <c r="L11" s="199"/>
      <c r="M11" s="199"/>
      <c r="N11" s="199"/>
      <c r="P11" s="199"/>
      <c r="Q11" s="199"/>
      <c r="R11" s="199"/>
      <c r="S11" s="199"/>
      <c r="T11" s="199"/>
      <c r="U11" s="199"/>
      <c r="V11" s="199"/>
      <c r="W11" s="199"/>
      <c r="X11" s="199"/>
      <c r="Y11" s="199"/>
      <c r="Z11" s="192"/>
    </row>
    <row r="12" spans="1:27" s="304" customFormat="1">
      <c r="A12" s="304" t="s">
        <v>2</v>
      </c>
      <c r="B12" s="193"/>
      <c r="C12" s="207"/>
      <c r="D12" s="200"/>
      <c r="E12" s="200"/>
      <c r="F12" s="200"/>
      <c r="G12" s="200"/>
      <c r="H12" s="200"/>
      <c r="I12" s="200"/>
      <c r="J12" s="205"/>
      <c r="K12" s="200"/>
      <c r="L12" s="200"/>
      <c r="M12" s="200"/>
      <c r="N12" s="200"/>
      <c r="P12" s="200"/>
      <c r="Q12" s="200"/>
      <c r="R12" s="200"/>
      <c r="S12" s="200"/>
      <c r="T12" s="200"/>
      <c r="U12" s="200"/>
      <c r="V12" s="200"/>
      <c r="W12" s="200"/>
      <c r="X12" s="200"/>
      <c r="Y12" s="200"/>
      <c r="Z12" s="193"/>
    </row>
    <row r="13" spans="1:27" s="304" customFormat="1">
      <c r="A13" s="304" t="s">
        <v>77</v>
      </c>
      <c r="B13" s="193">
        <v>853</v>
      </c>
      <c r="C13" s="305"/>
      <c r="D13" s="200">
        <v>0</v>
      </c>
      <c r="E13" s="200"/>
      <c r="F13" s="200">
        <v>0</v>
      </c>
      <c r="G13" s="200"/>
      <c r="H13" s="200">
        <v>0</v>
      </c>
      <c r="I13" s="200"/>
      <c r="J13" s="205">
        <v>0</v>
      </c>
      <c r="K13" s="200"/>
      <c r="L13" s="200">
        <v>0</v>
      </c>
      <c r="M13" s="200"/>
      <c r="N13" s="200">
        <v>0</v>
      </c>
      <c r="P13" s="200">
        <v>0</v>
      </c>
      <c r="Q13" s="200"/>
      <c r="R13" s="200">
        <v>0</v>
      </c>
      <c r="S13" s="200"/>
      <c r="T13" s="200">
        <v>0</v>
      </c>
      <c r="U13" s="200"/>
      <c r="V13" s="200">
        <v>-26</v>
      </c>
      <c r="W13" s="200"/>
      <c r="X13" s="200">
        <v>0</v>
      </c>
      <c r="Y13" s="200"/>
      <c r="Z13" s="193">
        <v>827</v>
      </c>
    </row>
    <row r="14" spans="1:27" s="304" customFormat="1">
      <c r="A14" s="304" t="s">
        <v>78</v>
      </c>
      <c r="B14" s="193">
        <v>375</v>
      </c>
      <c r="C14" s="305"/>
      <c r="D14" s="200">
        <v>0</v>
      </c>
      <c r="E14" s="200"/>
      <c r="F14" s="200">
        <v>0</v>
      </c>
      <c r="G14" s="200"/>
      <c r="H14" s="200">
        <v>-27</v>
      </c>
      <c r="I14" s="200"/>
      <c r="J14" s="205">
        <v>0</v>
      </c>
      <c r="K14" s="200"/>
      <c r="L14" s="200">
        <v>0</v>
      </c>
      <c r="M14" s="200"/>
      <c r="N14" s="200">
        <v>0</v>
      </c>
      <c r="P14" s="200">
        <v>0</v>
      </c>
      <c r="Q14" s="200"/>
      <c r="R14" s="200">
        <v>0</v>
      </c>
      <c r="S14" s="200"/>
      <c r="T14" s="200">
        <v>0</v>
      </c>
      <c r="U14" s="200"/>
      <c r="V14" s="200">
        <v>-36</v>
      </c>
      <c r="W14" s="200"/>
      <c r="X14" s="200">
        <v>0</v>
      </c>
      <c r="Y14" s="200"/>
      <c r="Z14" s="193">
        <v>312</v>
      </c>
    </row>
    <row r="15" spans="1:27" s="304" customFormat="1">
      <c r="A15" s="304" t="s">
        <v>79</v>
      </c>
      <c r="B15" s="193">
        <v>1212</v>
      </c>
      <c r="C15" s="305"/>
      <c r="D15" s="200">
        <v>0</v>
      </c>
      <c r="E15" s="200"/>
      <c r="F15" s="200">
        <v>0</v>
      </c>
      <c r="G15" s="200"/>
      <c r="H15" s="200">
        <v>0</v>
      </c>
      <c r="I15" s="200"/>
      <c r="J15" s="205">
        <v>0</v>
      </c>
      <c r="K15" s="200"/>
      <c r="L15" s="200">
        <v>0</v>
      </c>
      <c r="M15" s="200"/>
      <c r="N15" s="200">
        <v>0</v>
      </c>
      <c r="P15" s="200">
        <v>0</v>
      </c>
      <c r="Q15" s="200"/>
      <c r="R15" s="200">
        <v>0</v>
      </c>
      <c r="S15" s="200"/>
      <c r="T15" s="200">
        <v>0</v>
      </c>
      <c r="U15" s="200"/>
      <c r="V15" s="200">
        <v>-106</v>
      </c>
      <c r="W15" s="200"/>
      <c r="X15" s="200">
        <v>0</v>
      </c>
      <c r="Y15" s="200"/>
      <c r="Z15" s="193">
        <v>1106</v>
      </c>
    </row>
    <row r="16" spans="1:27" s="304" customFormat="1">
      <c r="A16" s="304" t="s">
        <v>80</v>
      </c>
      <c r="B16" s="193">
        <v>11</v>
      </c>
      <c r="C16" s="305"/>
      <c r="D16" s="200">
        <v>-11</v>
      </c>
      <c r="E16" s="200"/>
      <c r="F16" s="200">
        <v>0</v>
      </c>
      <c r="G16" s="200"/>
      <c r="H16" s="200">
        <v>0</v>
      </c>
      <c r="I16" s="200"/>
      <c r="J16" s="205">
        <v>0</v>
      </c>
      <c r="K16" s="200"/>
      <c r="L16" s="200"/>
      <c r="M16" s="200"/>
      <c r="N16" s="200"/>
      <c r="P16" s="200">
        <v>0</v>
      </c>
      <c r="Q16" s="200"/>
      <c r="R16" s="200">
        <v>0</v>
      </c>
      <c r="S16" s="200"/>
      <c r="T16" s="200">
        <v>0</v>
      </c>
      <c r="U16" s="200"/>
      <c r="V16" s="200">
        <v>0</v>
      </c>
      <c r="W16" s="200"/>
      <c r="X16" s="200">
        <v>0</v>
      </c>
      <c r="Y16" s="200"/>
      <c r="Z16" s="193">
        <v>0</v>
      </c>
    </row>
    <row r="17" spans="1:26" s="304" customFormat="1">
      <c r="A17" s="304" t="s">
        <v>81</v>
      </c>
      <c r="B17" s="193">
        <v>43</v>
      </c>
      <c r="C17" s="305"/>
      <c r="D17" s="200">
        <v>-43</v>
      </c>
      <c r="E17" s="200"/>
      <c r="F17" s="200">
        <v>0</v>
      </c>
      <c r="G17" s="200"/>
      <c r="H17" s="200">
        <v>0</v>
      </c>
      <c r="I17" s="200"/>
      <c r="J17" s="205">
        <v>0</v>
      </c>
      <c r="K17" s="200"/>
      <c r="L17" s="200">
        <v>0</v>
      </c>
      <c r="M17" s="200"/>
      <c r="N17" s="200">
        <v>0</v>
      </c>
      <c r="P17" s="200">
        <v>0</v>
      </c>
      <c r="Q17" s="200"/>
      <c r="R17" s="200">
        <v>0</v>
      </c>
      <c r="S17" s="200"/>
      <c r="T17" s="200">
        <v>0</v>
      </c>
      <c r="U17" s="200"/>
      <c r="V17" s="200">
        <v>0</v>
      </c>
      <c r="W17" s="200"/>
      <c r="X17" s="200">
        <v>0</v>
      </c>
      <c r="Y17" s="200"/>
      <c r="Z17" s="208">
        <v>0</v>
      </c>
    </row>
    <row r="18" spans="1:26" s="304" customFormat="1" ht="14.25">
      <c r="A18" s="265" t="s">
        <v>207</v>
      </c>
      <c r="B18" s="194">
        <v>16</v>
      </c>
      <c r="C18" s="305"/>
      <c r="D18" s="195">
        <v>0</v>
      </c>
      <c r="E18" s="195"/>
      <c r="F18" s="195">
        <v>0</v>
      </c>
      <c r="G18" s="195"/>
      <c r="H18" s="195">
        <v>0</v>
      </c>
      <c r="I18" s="195"/>
      <c r="J18" s="201">
        <v>0</v>
      </c>
      <c r="K18" s="195"/>
      <c r="L18" s="195">
        <v>0</v>
      </c>
      <c r="M18" s="195"/>
      <c r="N18" s="195">
        <v>0</v>
      </c>
      <c r="P18" s="195">
        <v>0</v>
      </c>
      <c r="Q18" s="195"/>
      <c r="R18" s="195">
        <v>0</v>
      </c>
      <c r="S18" s="195"/>
      <c r="T18" s="195">
        <v>-16</v>
      </c>
      <c r="U18" s="195"/>
      <c r="V18" s="195">
        <v>0</v>
      </c>
      <c r="W18" s="195"/>
      <c r="X18" s="195">
        <v>0</v>
      </c>
      <c r="Y18" s="195"/>
      <c r="Z18" s="196">
        <v>0</v>
      </c>
    </row>
    <row r="19" spans="1:26" s="304" customFormat="1" ht="14.25">
      <c r="A19" s="304" t="s">
        <v>82</v>
      </c>
      <c r="B19" s="191">
        <v>2510</v>
      </c>
      <c r="C19" s="305"/>
      <c r="D19" s="195">
        <v>-54</v>
      </c>
      <c r="E19" s="195"/>
      <c r="F19" s="195">
        <v>0</v>
      </c>
      <c r="G19" s="195"/>
      <c r="H19" s="195">
        <v>-27</v>
      </c>
      <c r="I19" s="195"/>
      <c r="J19" s="195">
        <v>0</v>
      </c>
      <c r="K19" s="195"/>
      <c r="L19" s="195">
        <v>0</v>
      </c>
      <c r="M19" s="195"/>
      <c r="N19" s="195">
        <v>0</v>
      </c>
      <c r="P19" s="195">
        <v>0</v>
      </c>
      <c r="Q19" s="195"/>
      <c r="R19" s="195">
        <v>0</v>
      </c>
      <c r="S19" s="195"/>
      <c r="T19" s="195">
        <v>-16</v>
      </c>
      <c r="U19" s="195"/>
      <c r="V19" s="195">
        <v>-168</v>
      </c>
      <c r="W19" s="195"/>
      <c r="X19" s="195">
        <v>0</v>
      </c>
      <c r="Y19" s="195"/>
      <c r="Z19" s="191">
        <v>2245</v>
      </c>
    </row>
    <row r="20" spans="1:26" s="304" customFormat="1">
      <c r="B20" s="193"/>
      <c r="C20" s="207"/>
      <c r="D20" s="200"/>
      <c r="E20" s="200"/>
      <c r="F20" s="200"/>
      <c r="G20" s="200"/>
      <c r="H20" s="200"/>
      <c r="I20" s="200"/>
      <c r="J20" s="205"/>
      <c r="K20" s="200"/>
      <c r="L20" s="200"/>
      <c r="M20" s="200"/>
      <c r="N20" s="200"/>
      <c r="P20" s="200"/>
      <c r="Q20" s="200"/>
      <c r="R20" s="200"/>
      <c r="S20" s="200"/>
      <c r="T20" s="200"/>
      <c r="U20" s="200"/>
      <c r="V20" s="200"/>
      <c r="W20" s="200"/>
      <c r="X20" s="200"/>
      <c r="Y20" s="200"/>
      <c r="Z20" s="193"/>
    </row>
    <row r="21" spans="1:26" s="310" customFormat="1">
      <c r="A21" s="277" t="s">
        <v>88</v>
      </c>
      <c r="B21" s="192">
        <v>35</v>
      </c>
      <c r="C21" s="308"/>
      <c r="D21" s="204">
        <v>106</v>
      </c>
      <c r="E21" s="204"/>
      <c r="F21" s="204">
        <v>0</v>
      </c>
      <c r="G21" s="204"/>
      <c r="H21" s="204">
        <v>27</v>
      </c>
      <c r="I21" s="199"/>
      <c r="J21" s="204">
        <v>43</v>
      </c>
      <c r="K21" s="199"/>
      <c r="L21" s="204">
        <v>0</v>
      </c>
      <c r="M21" s="199"/>
      <c r="N21" s="204">
        <v>1.46363474</v>
      </c>
      <c r="P21" s="204">
        <v>0</v>
      </c>
      <c r="Q21" s="204"/>
      <c r="R21" s="204">
        <v>0</v>
      </c>
      <c r="S21" s="204"/>
      <c r="T21" s="204">
        <v>16</v>
      </c>
      <c r="U21" s="199"/>
      <c r="V21" s="204">
        <v>170</v>
      </c>
      <c r="W21" s="199"/>
      <c r="X21" s="204">
        <v>0</v>
      </c>
      <c r="Y21" s="199"/>
      <c r="Z21" s="192">
        <v>397</v>
      </c>
    </row>
    <row r="22" spans="1:26" s="310" customFormat="1">
      <c r="A22" s="311"/>
      <c r="B22" s="192"/>
      <c r="C22" s="206"/>
      <c r="D22" s="199"/>
      <c r="E22" s="199"/>
      <c r="F22" s="199"/>
      <c r="G22" s="199"/>
      <c r="H22" s="199"/>
      <c r="I22" s="199"/>
      <c r="J22" s="204"/>
      <c r="K22" s="199"/>
      <c r="L22" s="199"/>
      <c r="M22" s="199"/>
      <c r="N22" s="199"/>
      <c r="P22" s="199"/>
      <c r="Q22" s="199"/>
      <c r="R22" s="199"/>
      <c r="S22" s="199"/>
      <c r="T22" s="199"/>
      <c r="U22" s="199"/>
      <c r="V22" s="199"/>
      <c r="W22" s="199"/>
      <c r="X22" s="199"/>
      <c r="Y22" s="199"/>
      <c r="Z22" s="192"/>
    </row>
    <row r="23" spans="1:26" s="313" customFormat="1" hidden="1">
      <c r="A23" s="312" t="s">
        <v>93</v>
      </c>
      <c r="B23" s="193">
        <v>0</v>
      </c>
      <c r="C23" s="305"/>
      <c r="D23" s="205">
        <v>0</v>
      </c>
      <c r="E23" s="205"/>
      <c r="F23" s="205">
        <v>0</v>
      </c>
      <c r="G23" s="205"/>
      <c r="H23" s="205">
        <v>0</v>
      </c>
      <c r="I23" s="200"/>
      <c r="J23" s="205">
        <v>0</v>
      </c>
      <c r="K23" s="200"/>
      <c r="L23" s="205">
        <v>0</v>
      </c>
      <c r="M23" s="200"/>
      <c r="N23" s="205">
        <v>0</v>
      </c>
      <c r="P23" s="205">
        <v>0</v>
      </c>
      <c r="Q23" s="205"/>
      <c r="R23" s="205">
        <v>0</v>
      </c>
      <c r="S23" s="205"/>
      <c r="T23" s="205">
        <v>0</v>
      </c>
      <c r="U23" s="200"/>
      <c r="V23" s="205">
        <v>0</v>
      </c>
      <c r="W23" s="200"/>
      <c r="X23" s="205">
        <v>0</v>
      </c>
      <c r="Y23" s="200"/>
      <c r="Z23" s="208">
        <v>0</v>
      </c>
    </row>
    <row r="24" spans="1:26" s="313" customFormat="1" ht="14.25">
      <c r="A24" s="280" t="s">
        <v>83</v>
      </c>
      <c r="B24" s="191">
        <v>-17</v>
      </c>
      <c r="C24" s="305"/>
      <c r="D24" s="195">
        <v>0</v>
      </c>
      <c r="E24" s="195"/>
      <c r="F24" s="195">
        <v>14</v>
      </c>
      <c r="G24" s="195"/>
      <c r="H24" s="201">
        <v>0</v>
      </c>
      <c r="I24" s="195"/>
      <c r="J24" s="201">
        <v>0</v>
      </c>
      <c r="K24" s="195"/>
      <c r="L24" s="195">
        <v>0</v>
      </c>
      <c r="M24" s="195"/>
      <c r="N24" s="195">
        <v>0</v>
      </c>
      <c r="P24" s="195">
        <v>0</v>
      </c>
      <c r="Q24" s="195"/>
      <c r="R24" s="195">
        <v>0</v>
      </c>
      <c r="S24" s="195"/>
      <c r="T24" s="195">
        <v>0</v>
      </c>
      <c r="U24" s="195"/>
      <c r="V24" s="195">
        <v>0</v>
      </c>
      <c r="W24" s="195"/>
      <c r="X24" s="195">
        <v>0</v>
      </c>
      <c r="Y24" s="195"/>
      <c r="Z24" s="191">
        <v>-3</v>
      </c>
    </row>
    <row r="25" spans="1:26" s="313" customFormat="1">
      <c r="B25" s="193"/>
      <c r="C25" s="207"/>
      <c r="D25" s="200"/>
      <c r="E25" s="200"/>
      <c r="F25" s="200"/>
      <c r="G25" s="200"/>
      <c r="H25" s="200"/>
      <c r="I25" s="200"/>
      <c r="J25" s="205"/>
      <c r="K25" s="200"/>
      <c r="L25" s="200"/>
      <c r="M25" s="200"/>
      <c r="N25" s="200"/>
      <c r="P25" s="200"/>
      <c r="Q25" s="200"/>
      <c r="R25" s="200"/>
      <c r="S25" s="200"/>
      <c r="T25" s="200"/>
      <c r="U25" s="200"/>
      <c r="V25" s="200"/>
      <c r="W25" s="200"/>
      <c r="X25" s="200"/>
      <c r="Y25" s="200"/>
      <c r="Z25" s="193"/>
    </row>
    <row r="26" spans="1:26" s="313" customFormat="1">
      <c r="A26" s="281" t="s">
        <v>147</v>
      </c>
      <c r="B26" s="193">
        <v>18</v>
      </c>
      <c r="C26" s="305"/>
      <c r="D26" s="205">
        <v>106</v>
      </c>
      <c r="E26" s="205"/>
      <c r="F26" s="205">
        <v>14</v>
      </c>
      <c r="G26" s="205"/>
      <c r="H26" s="205">
        <v>27</v>
      </c>
      <c r="I26" s="200"/>
      <c r="J26" s="205">
        <v>43</v>
      </c>
      <c r="K26" s="200"/>
      <c r="L26" s="205">
        <v>0</v>
      </c>
      <c r="M26" s="200"/>
      <c r="N26" s="205">
        <v>1.46363474</v>
      </c>
      <c r="P26" s="205">
        <v>0</v>
      </c>
      <c r="Q26" s="205"/>
      <c r="R26" s="205">
        <v>0</v>
      </c>
      <c r="S26" s="205"/>
      <c r="T26" s="205">
        <v>16</v>
      </c>
      <c r="U26" s="200"/>
      <c r="V26" s="205">
        <v>170</v>
      </c>
      <c r="W26" s="200"/>
      <c r="X26" s="205">
        <v>0</v>
      </c>
      <c r="Y26" s="200"/>
      <c r="Z26" s="193">
        <v>394</v>
      </c>
    </row>
    <row r="27" spans="1:26" s="313" customFormat="1">
      <c r="A27" s="282"/>
      <c r="B27" s="193"/>
      <c r="C27" s="207"/>
      <c r="D27" s="200"/>
      <c r="E27" s="200"/>
      <c r="F27" s="200"/>
      <c r="G27" s="200"/>
      <c r="H27" s="200"/>
      <c r="I27" s="200"/>
      <c r="J27" s="205"/>
      <c r="K27" s="200"/>
      <c r="L27" s="200"/>
      <c r="M27" s="200"/>
      <c r="N27" s="200"/>
      <c r="P27" s="200"/>
      <c r="Q27" s="200"/>
      <c r="R27" s="200"/>
      <c r="S27" s="200"/>
      <c r="T27" s="200"/>
      <c r="U27" s="200"/>
      <c r="V27" s="200"/>
      <c r="W27" s="200"/>
      <c r="X27" s="200"/>
      <c r="Y27" s="200"/>
      <c r="Z27" s="193"/>
    </row>
    <row r="28" spans="1:26" s="313" customFormat="1" ht="14.25">
      <c r="A28" s="282" t="s">
        <v>23</v>
      </c>
      <c r="B28" s="191">
        <v>-58</v>
      </c>
      <c r="C28" s="305"/>
      <c r="D28" s="201">
        <v>0</v>
      </c>
      <c r="E28" s="201"/>
      <c r="F28" s="201">
        <v>0</v>
      </c>
      <c r="G28" s="201"/>
      <c r="H28" s="201">
        <v>0</v>
      </c>
      <c r="I28" s="195"/>
      <c r="J28" s="201">
        <v>0</v>
      </c>
      <c r="K28" s="195"/>
      <c r="L28" s="201" t="s">
        <v>67</v>
      </c>
      <c r="M28" s="195"/>
      <c r="N28" s="201" t="s">
        <v>67</v>
      </c>
      <c r="P28" s="201">
        <v>0</v>
      </c>
      <c r="Q28" s="201"/>
      <c r="R28" s="201">
        <v>0</v>
      </c>
      <c r="S28" s="201"/>
      <c r="T28" s="201">
        <v>0</v>
      </c>
      <c r="U28" s="195"/>
      <c r="V28" s="201">
        <v>0</v>
      </c>
      <c r="W28" s="195"/>
      <c r="X28" s="195">
        <v>168</v>
      </c>
      <c r="Y28" s="195"/>
      <c r="Z28" s="191">
        <v>110</v>
      </c>
    </row>
    <row r="29" spans="1:26" s="313" customFormat="1">
      <c r="B29" s="193"/>
      <c r="C29" s="207"/>
      <c r="D29" s="200"/>
      <c r="E29" s="200"/>
      <c r="F29" s="200"/>
      <c r="G29" s="200"/>
      <c r="H29" s="200"/>
      <c r="I29" s="200"/>
      <c r="J29" s="205"/>
      <c r="K29" s="200"/>
      <c r="L29" s="200"/>
      <c r="M29" s="200"/>
      <c r="N29" s="200"/>
      <c r="P29" s="200"/>
      <c r="Q29" s="200"/>
      <c r="R29" s="200"/>
      <c r="S29" s="200"/>
      <c r="T29" s="200"/>
      <c r="U29" s="200"/>
      <c r="V29" s="200"/>
      <c r="W29" s="200"/>
      <c r="X29" s="200"/>
      <c r="Y29" s="200"/>
      <c r="Z29" s="193"/>
    </row>
    <row r="30" spans="1:26" s="301" customFormat="1" ht="14.25">
      <c r="A30" s="283" t="s">
        <v>91</v>
      </c>
      <c r="B30" s="284">
        <v>76</v>
      </c>
      <c r="C30" s="308"/>
      <c r="D30" s="314">
        <v>106</v>
      </c>
      <c r="E30" s="314"/>
      <c r="F30" s="314">
        <v>14</v>
      </c>
      <c r="G30" s="314"/>
      <c r="H30" s="314">
        <v>27</v>
      </c>
      <c r="I30" s="315"/>
      <c r="J30" s="314">
        <v>43</v>
      </c>
      <c r="K30" s="315"/>
      <c r="L30" s="314" t="e">
        <v>#REF!</v>
      </c>
      <c r="M30" s="315"/>
      <c r="N30" s="314" t="e">
        <v>#REF!</v>
      </c>
      <c r="P30" s="314">
        <v>0</v>
      </c>
      <c r="Q30" s="314"/>
      <c r="R30" s="314">
        <v>0</v>
      </c>
      <c r="S30" s="314"/>
      <c r="T30" s="314">
        <v>16</v>
      </c>
      <c r="U30" s="315"/>
      <c r="V30" s="314">
        <v>170</v>
      </c>
      <c r="W30" s="315"/>
      <c r="X30" s="314">
        <v>-168</v>
      </c>
      <c r="Y30" s="315"/>
      <c r="Z30" s="316">
        <v>284</v>
      </c>
    </row>
    <row r="31" spans="1:26" s="301" customFormat="1">
      <c r="A31" s="317"/>
      <c r="B31" s="287"/>
      <c r="C31" s="303"/>
      <c r="D31" s="303"/>
      <c r="E31" s="303"/>
      <c r="F31" s="303"/>
      <c r="G31" s="303"/>
      <c r="H31" s="303"/>
      <c r="I31" s="303"/>
      <c r="J31" s="303"/>
      <c r="K31" s="303"/>
      <c r="L31" s="303"/>
      <c r="M31" s="303"/>
      <c r="N31" s="303"/>
      <c r="O31" s="303"/>
      <c r="P31" s="303"/>
      <c r="Q31" s="303"/>
      <c r="R31" s="303"/>
      <c r="S31" s="303"/>
      <c r="V31" s="303"/>
      <c r="W31" s="303"/>
      <c r="X31" s="303"/>
      <c r="Y31" s="303"/>
      <c r="Z31" s="287"/>
    </row>
    <row r="32" spans="1:26">
      <c r="A32" s="318"/>
    </row>
  </sheetData>
  <mergeCells count="4">
    <mergeCell ref="A1:Z1"/>
    <mergeCell ref="A2:Z2"/>
    <mergeCell ref="A3:Z3"/>
    <mergeCell ref="B6:Z6"/>
  </mergeCells>
  <pageMargins left="0.7" right="0.7" top="0.75" bottom="0.75" header="0.3" footer="0.3"/>
  <pageSetup scale="64"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U36"/>
  <sheetViews>
    <sheetView zoomScaleNormal="100" workbookViewId="0">
      <pane xSplit="1" ySplit="7" topLeftCell="B8" activePane="bottomRight" state="frozen"/>
      <selection activeCell="A6" sqref="A6"/>
      <selection pane="topRight" activeCell="A6" sqref="A6"/>
      <selection pane="bottomLeft" activeCell="A6" sqref="A6"/>
      <selection pane="bottomRight" activeCell="A5" sqref="A5"/>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7109375" style="23" customWidth="1"/>
    <col min="7" max="7" width="1.7109375" style="23" customWidth="1"/>
    <col min="8" max="8" width="13" style="23" customWidth="1"/>
    <col min="9" max="9" width="1.7109375" style="23" customWidth="1"/>
    <col min="10" max="10" width="13.42578125" style="23" hidden="1" customWidth="1"/>
    <col min="11" max="11" width="1.7109375" style="23" hidden="1" customWidth="1"/>
    <col min="12" max="12" width="13.85546875" style="23" hidden="1" customWidth="1"/>
    <col min="13" max="13" width="1.7109375" style="23" hidden="1" customWidth="1"/>
    <col min="14" max="14" width="15" style="23" customWidth="1"/>
    <col min="15" max="15" width="1.7109375" style="23" customWidth="1"/>
    <col min="16" max="16" width="15.140625" style="23" customWidth="1"/>
    <col min="17" max="17" width="1.5703125" style="23" customWidth="1"/>
    <col min="18" max="18" width="14.5703125" style="23" customWidth="1"/>
    <col min="19" max="19" width="1.5703125" style="23" customWidth="1"/>
    <col min="20" max="16384" width="11.42578125" style="23"/>
  </cols>
  <sheetData>
    <row r="1" spans="1:21" s="7" customFormat="1" ht="15">
      <c r="A1" s="371" t="s">
        <v>68</v>
      </c>
      <c r="B1" s="374"/>
      <c r="C1" s="374"/>
      <c r="D1" s="374"/>
      <c r="E1" s="374"/>
      <c r="F1" s="374"/>
      <c r="G1" s="374"/>
      <c r="H1" s="374"/>
      <c r="I1" s="374"/>
      <c r="J1" s="374"/>
      <c r="K1" s="374"/>
      <c r="L1" s="374"/>
      <c r="M1" s="374"/>
      <c r="N1" s="374"/>
      <c r="O1" s="374"/>
      <c r="P1" s="374"/>
      <c r="Q1" s="374"/>
      <c r="R1" s="374"/>
      <c r="S1" s="374"/>
      <c r="T1" s="374"/>
      <c r="U1" s="54"/>
    </row>
    <row r="2" spans="1:21" s="7" customFormat="1" ht="15">
      <c r="A2" s="371" t="s">
        <v>128</v>
      </c>
      <c r="B2" s="372"/>
      <c r="C2" s="372"/>
      <c r="D2" s="372"/>
      <c r="E2" s="372"/>
      <c r="F2" s="372"/>
      <c r="G2" s="372"/>
      <c r="H2" s="372"/>
      <c r="I2" s="372"/>
      <c r="J2" s="372"/>
      <c r="K2" s="372"/>
      <c r="L2" s="372"/>
      <c r="M2" s="372"/>
      <c r="N2" s="372"/>
      <c r="O2" s="372"/>
      <c r="P2" s="372"/>
      <c r="Q2" s="372"/>
      <c r="R2" s="372"/>
      <c r="S2" s="372"/>
      <c r="T2" s="372"/>
      <c r="U2" s="54"/>
    </row>
    <row r="3" spans="1:21" s="7" customFormat="1" ht="15">
      <c r="A3" s="371" t="s">
        <v>70</v>
      </c>
      <c r="B3" s="374"/>
      <c r="C3" s="374"/>
      <c r="D3" s="374"/>
      <c r="E3" s="374"/>
      <c r="F3" s="374"/>
      <c r="G3" s="374"/>
      <c r="H3" s="374"/>
      <c r="I3" s="374"/>
      <c r="J3" s="374"/>
      <c r="K3" s="374"/>
      <c r="L3" s="374"/>
      <c r="M3" s="374"/>
      <c r="N3" s="374"/>
      <c r="O3" s="374"/>
      <c r="P3" s="374"/>
      <c r="Q3" s="374"/>
      <c r="R3" s="374"/>
      <c r="S3" s="374"/>
      <c r="T3" s="374"/>
      <c r="U3" s="54"/>
    </row>
    <row r="4" spans="1:21" s="7" customFormat="1">
      <c r="A4" s="6"/>
      <c r="B4" s="6"/>
      <c r="C4" s="6"/>
      <c r="D4" s="6"/>
      <c r="E4" s="6"/>
      <c r="F4" s="6"/>
      <c r="G4" s="6"/>
      <c r="H4" s="6"/>
      <c r="I4" s="6"/>
      <c r="J4" s="6"/>
      <c r="K4" s="6"/>
      <c r="L4" s="6"/>
      <c r="M4" s="6"/>
      <c r="N4" s="6"/>
      <c r="O4" s="6"/>
      <c r="P4" s="6"/>
      <c r="Q4" s="6"/>
      <c r="R4" s="6"/>
      <c r="S4" s="6"/>
      <c r="T4" s="6"/>
      <c r="U4" s="6"/>
    </row>
    <row r="5" spans="1:21" s="7" customFormat="1">
      <c r="B5" s="59"/>
      <c r="C5" s="59"/>
      <c r="D5" s="59"/>
      <c r="E5" s="59"/>
      <c r="F5" s="59"/>
      <c r="G5" s="59"/>
      <c r="H5" s="59"/>
      <c r="I5" s="59"/>
      <c r="J5" s="60"/>
      <c r="K5" s="60"/>
      <c r="L5" s="60"/>
      <c r="M5" s="60"/>
      <c r="N5" s="60"/>
      <c r="O5" s="60"/>
      <c r="P5" s="59"/>
      <c r="Q5" s="59"/>
      <c r="R5" s="59"/>
    </row>
    <row r="6" spans="1:21" s="7" customFormat="1" ht="15">
      <c r="B6" s="379" t="s">
        <v>189</v>
      </c>
      <c r="C6" s="384"/>
      <c r="D6" s="384"/>
      <c r="E6" s="384"/>
      <c r="F6" s="384"/>
      <c r="G6" s="384"/>
      <c r="H6" s="384"/>
      <c r="I6" s="384"/>
      <c r="J6" s="384"/>
      <c r="K6" s="384"/>
      <c r="L6" s="384"/>
      <c r="M6" s="384"/>
      <c r="N6" s="384"/>
      <c r="O6" s="384"/>
      <c r="P6" s="384"/>
      <c r="Q6" s="384"/>
      <c r="R6" s="384"/>
      <c r="S6" s="384"/>
      <c r="T6" s="384"/>
    </row>
    <row r="7" spans="1:21" s="48" customFormat="1" ht="84">
      <c r="B7" s="55" t="s">
        <v>72</v>
      </c>
      <c r="C7" s="61"/>
      <c r="D7" s="55" t="s">
        <v>41</v>
      </c>
      <c r="E7" s="62"/>
      <c r="F7" s="232" t="s">
        <v>182</v>
      </c>
      <c r="G7" s="62"/>
      <c r="H7" s="55" t="s">
        <v>73</v>
      </c>
      <c r="I7" s="62"/>
      <c r="J7" s="55" t="s">
        <v>75</v>
      </c>
      <c r="K7" s="62"/>
      <c r="L7" s="55" t="s">
        <v>126</v>
      </c>
      <c r="M7" s="62"/>
      <c r="N7" s="56" t="s">
        <v>144</v>
      </c>
      <c r="O7" s="62"/>
      <c r="P7" s="351" t="s">
        <v>217</v>
      </c>
      <c r="Q7" s="62"/>
      <c r="R7" s="351" t="s">
        <v>218</v>
      </c>
      <c r="S7" s="62"/>
      <c r="T7" s="55" t="s">
        <v>76</v>
      </c>
    </row>
    <row r="8" spans="1:21" s="49" customFormat="1">
      <c r="A8" s="63" t="s">
        <v>0</v>
      </c>
      <c r="B8" s="107">
        <v>3865</v>
      </c>
      <c r="C8" s="64"/>
      <c r="D8" s="64">
        <v>0</v>
      </c>
      <c r="E8" s="64"/>
      <c r="F8" s="64">
        <v>0</v>
      </c>
      <c r="G8" s="64"/>
      <c r="H8" s="15">
        <v>339</v>
      </c>
      <c r="I8" s="64"/>
      <c r="J8" s="64">
        <v>0</v>
      </c>
      <c r="K8" s="64"/>
      <c r="L8" s="64">
        <v>0</v>
      </c>
      <c r="M8" s="64"/>
      <c r="N8" s="64">
        <v>0</v>
      </c>
      <c r="O8" s="64"/>
      <c r="P8" s="64">
        <v>0</v>
      </c>
      <c r="Q8" s="64"/>
      <c r="R8" s="64">
        <v>0</v>
      </c>
      <c r="S8" s="64"/>
      <c r="T8" s="107">
        <v>4204</v>
      </c>
    </row>
    <row r="9" spans="1:21" s="50" customFormat="1" ht="14.25">
      <c r="A9" s="50" t="s">
        <v>202</v>
      </c>
      <c r="B9" s="108">
        <v>1552</v>
      </c>
      <c r="C9" s="100"/>
      <c r="D9" s="195">
        <v>-28</v>
      </c>
      <c r="E9" s="195"/>
      <c r="F9" s="195">
        <v>0</v>
      </c>
      <c r="G9" s="195"/>
      <c r="H9" s="201">
        <v>0</v>
      </c>
      <c r="I9" s="195"/>
      <c r="J9" s="195">
        <v>0</v>
      </c>
      <c r="K9" s="195"/>
      <c r="L9" s="195">
        <v>0</v>
      </c>
      <c r="M9" s="195"/>
      <c r="N9" s="195">
        <v>0</v>
      </c>
      <c r="O9" s="195"/>
      <c r="P9" s="195">
        <v>-1</v>
      </c>
      <c r="Q9" s="195"/>
      <c r="R9" s="195">
        <v>0</v>
      </c>
      <c r="S9" s="195"/>
      <c r="T9" s="191">
        <v>1523</v>
      </c>
    </row>
    <row r="10" spans="1:21" s="66" customFormat="1">
      <c r="A10" s="66" t="s">
        <v>1</v>
      </c>
      <c r="B10" s="109">
        <v>2313</v>
      </c>
      <c r="C10" s="101"/>
      <c r="D10" s="199">
        <v>28</v>
      </c>
      <c r="E10" s="199"/>
      <c r="F10" s="199">
        <v>0</v>
      </c>
      <c r="G10" s="199"/>
      <c r="H10" s="204">
        <v>339</v>
      </c>
      <c r="I10" s="199"/>
      <c r="J10" s="199">
        <v>0</v>
      </c>
      <c r="K10" s="199"/>
      <c r="L10" s="199">
        <v>0</v>
      </c>
      <c r="M10" s="199"/>
      <c r="N10" s="199">
        <v>0</v>
      </c>
      <c r="O10" s="199"/>
      <c r="P10" s="199">
        <v>1</v>
      </c>
      <c r="Q10" s="199"/>
      <c r="R10" s="199">
        <v>0</v>
      </c>
      <c r="S10" s="199"/>
      <c r="T10" s="192">
        <v>2681</v>
      </c>
    </row>
    <row r="11" spans="1:21" s="66" customFormat="1">
      <c r="B11" s="192"/>
      <c r="C11" s="206"/>
      <c r="D11" s="199"/>
      <c r="E11" s="199"/>
      <c r="F11" s="199"/>
      <c r="G11" s="199"/>
      <c r="H11" s="204"/>
      <c r="I11" s="199"/>
      <c r="J11" s="199"/>
      <c r="K11" s="199"/>
      <c r="L11" s="199"/>
      <c r="M11" s="199"/>
      <c r="N11" s="199"/>
      <c r="O11" s="199"/>
      <c r="P11" s="199"/>
      <c r="Q11" s="199"/>
      <c r="R11" s="199"/>
      <c r="S11" s="199"/>
      <c r="T11" s="192"/>
    </row>
    <row r="12" spans="1:21" s="50" customFormat="1">
      <c r="A12" s="50" t="s">
        <v>2</v>
      </c>
      <c r="B12" s="193"/>
      <c r="C12" s="207"/>
      <c r="D12" s="200"/>
      <c r="E12" s="200"/>
      <c r="F12" s="200"/>
      <c r="G12" s="200"/>
      <c r="H12" s="205"/>
      <c r="I12" s="200"/>
      <c r="J12" s="200"/>
      <c r="K12" s="200"/>
      <c r="L12" s="200"/>
      <c r="M12" s="200"/>
      <c r="N12" s="200"/>
      <c r="O12" s="200"/>
      <c r="P12" s="200"/>
      <c r="Q12" s="200"/>
      <c r="R12" s="200"/>
      <c r="S12" s="200"/>
      <c r="T12" s="193"/>
    </row>
    <row r="13" spans="1:21" s="50" customFormat="1">
      <c r="A13" s="50" t="s">
        <v>77</v>
      </c>
      <c r="B13" s="193">
        <v>825</v>
      </c>
      <c r="C13" s="100"/>
      <c r="D13" s="200">
        <v>0</v>
      </c>
      <c r="E13" s="200"/>
      <c r="F13" s="200">
        <v>0</v>
      </c>
      <c r="G13" s="200"/>
      <c r="H13" s="205">
        <v>0</v>
      </c>
      <c r="I13" s="200"/>
      <c r="J13" s="200">
        <v>0</v>
      </c>
      <c r="K13" s="200"/>
      <c r="L13" s="200">
        <v>0</v>
      </c>
      <c r="M13" s="200"/>
      <c r="N13" s="200">
        <v>0</v>
      </c>
      <c r="O13" s="200"/>
      <c r="P13" s="44">
        <v>-23</v>
      </c>
      <c r="Q13" s="200"/>
      <c r="R13" s="200">
        <v>0</v>
      </c>
      <c r="S13" s="200"/>
      <c r="T13" s="193">
        <v>802</v>
      </c>
    </row>
    <row r="14" spans="1:21" s="50" customFormat="1">
      <c r="A14" s="50" t="s">
        <v>78</v>
      </c>
      <c r="B14" s="193">
        <v>335</v>
      </c>
      <c r="C14" s="100"/>
      <c r="D14" s="200">
        <v>0</v>
      </c>
      <c r="E14" s="200"/>
      <c r="F14" s="200">
        <v>0</v>
      </c>
      <c r="G14" s="200"/>
      <c r="H14" s="205">
        <v>0</v>
      </c>
      <c r="I14" s="200"/>
      <c r="J14" s="200">
        <v>0</v>
      </c>
      <c r="K14" s="200"/>
      <c r="L14" s="200">
        <v>0</v>
      </c>
      <c r="M14" s="200"/>
      <c r="N14" s="200">
        <v>0</v>
      </c>
      <c r="O14" s="200"/>
      <c r="P14" s="44">
        <v>-37</v>
      </c>
      <c r="Q14" s="200"/>
      <c r="R14" s="200">
        <v>0</v>
      </c>
      <c r="S14" s="200"/>
      <c r="T14" s="193">
        <v>298</v>
      </c>
    </row>
    <row r="15" spans="1:21" s="50" customFormat="1">
      <c r="A15" s="50" t="s">
        <v>79</v>
      </c>
      <c r="B15" s="193">
        <v>1256</v>
      </c>
      <c r="C15" s="100"/>
      <c r="D15" s="200">
        <v>0</v>
      </c>
      <c r="E15" s="200"/>
      <c r="F15" s="200">
        <v>0</v>
      </c>
      <c r="G15" s="200"/>
      <c r="H15" s="205">
        <v>0</v>
      </c>
      <c r="I15" s="200"/>
      <c r="J15" s="200">
        <v>0</v>
      </c>
      <c r="K15" s="200"/>
      <c r="L15" s="200">
        <v>0</v>
      </c>
      <c r="M15" s="200"/>
      <c r="N15" s="200">
        <v>0</v>
      </c>
      <c r="O15" s="200"/>
      <c r="P15" s="44">
        <v>-106</v>
      </c>
      <c r="Q15" s="200"/>
      <c r="R15" s="200">
        <v>0</v>
      </c>
      <c r="S15" s="200"/>
      <c r="T15" s="193">
        <v>1150</v>
      </c>
    </row>
    <row r="16" spans="1:21" s="50" customFormat="1">
      <c r="A16" s="50" t="s">
        <v>80</v>
      </c>
      <c r="B16" s="193">
        <v>16</v>
      </c>
      <c r="C16" s="100"/>
      <c r="D16" s="200">
        <v>-16</v>
      </c>
      <c r="E16" s="200"/>
      <c r="F16" s="200">
        <v>0</v>
      </c>
      <c r="G16" s="200"/>
      <c r="H16" s="205">
        <v>0</v>
      </c>
      <c r="I16" s="200"/>
      <c r="J16" s="200">
        <v>0</v>
      </c>
      <c r="K16" s="200"/>
      <c r="L16" s="200">
        <v>0</v>
      </c>
      <c r="M16" s="200"/>
      <c r="N16" s="200">
        <v>0</v>
      </c>
      <c r="O16" s="200"/>
      <c r="P16" s="200">
        <v>0</v>
      </c>
      <c r="Q16" s="200"/>
      <c r="R16" s="200">
        <v>0</v>
      </c>
      <c r="S16" s="200"/>
      <c r="T16" s="193">
        <v>0</v>
      </c>
    </row>
    <row r="17" spans="1:20" s="50" customFormat="1">
      <c r="A17" s="50" t="s">
        <v>81</v>
      </c>
      <c r="B17" s="193">
        <v>50</v>
      </c>
      <c r="C17" s="100"/>
      <c r="D17" s="200">
        <v>-50</v>
      </c>
      <c r="E17" s="200"/>
      <c r="F17" s="200">
        <v>0</v>
      </c>
      <c r="G17" s="200"/>
      <c r="H17" s="205">
        <v>0</v>
      </c>
      <c r="I17" s="200"/>
      <c r="J17" s="200">
        <v>0</v>
      </c>
      <c r="K17" s="200"/>
      <c r="L17" s="200">
        <v>0</v>
      </c>
      <c r="M17" s="200"/>
      <c r="N17" s="200">
        <v>0</v>
      </c>
      <c r="O17" s="200"/>
      <c r="P17" s="200">
        <v>0</v>
      </c>
      <c r="Q17" s="200"/>
      <c r="R17" s="200">
        <v>0</v>
      </c>
      <c r="S17" s="200"/>
      <c r="T17" s="208">
        <v>0</v>
      </c>
    </row>
    <row r="18" spans="1:20" s="50" customFormat="1" ht="14.25">
      <c r="A18" s="190" t="s">
        <v>207</v>
      </c>
      <c r="B18" s="194">
        <v>16</v>
      </c>
      <c r="C18" s="100"/>
      <c r="D18" s="195">
        <v>0</v>
      </c>
      <c r="E18" s="195"/>
      <c r="F18" s="195">
        <v>0</v>
      </c>
      <c r="G18" s="195"/>
      <c r="H18" s="201">
        <v>0</v>
      </c>
      <c r="I18" s="195"/>
      <c r="J18" s="195">
        <v>0</v>
      </c>
      <c r="K18" s="195"/>
      <c r="L18" s="195">
        <v>0</v>
      </c>
      <c r="M18" s="195"/>
      <c r="N18" s="195">
        <v>-16</v>
      </c>
      <c r="O18" s="195"/>
      <c r="P18" s="195">
        <v>0</v>
      </c>
      <c r="Q18" s="195"/>
      <c r="R18" s="195">
        <v>0</v>
      </c>
      <c r="S18" s="195"/>
      <c r="T18" s="196">
        <v>0</v>
      </c>
    </row>
    <row r="19" spans="1:20" s="50" customFormat="1" ht="14.25">
      <c r="A19" s="50" t="s">
        <v>82</v>
      </c>
      <c r="B19" s="191">
        <v>2498</v>
      </c>
      <c r="C19" s="100"/>
      <c r="D19" s="195">
        <v>-66</v>
      </c>
      <c r="E19" s="195"/>
      <c r="F19" s="195">
        <v>0</v>
      </c>
      <c r="G19" s="195"/>
      <c r="H19" s="201">
        <v>0</v>
      </c>
      <c r="I19" s="195"/>
      <c r="J19" s="195">
        <v>0</v>
      </c>
      <c r="K19" s="195"/>
      <c r="L19" s="195">
        <v>0</v>
      </c>
      <c r="M19" s="195"/>
      <c r="N19" s="195">
        <v>-16</v>
      </c>
      <c r="O19" s="195"/>
      <c r="P19" s="195">
        <v>-166</v>
      </c>
      <c r="Q19" s="195"/>
      <c r="R19" s="195">
        <v>0</v>
      </c>
      <c r="S19" s="195"/>
      <c r="T19" s="191">
        <v>2250</v>
      </c>
    </row>
    <row r="20" spans="1:20" s="50" customFormat="1" ht="6" customHeight="1">
      <c r="B20" s="193"/>
      <c r="C20" s="207"/>
      <c r="D20" s="200"/>
      <c r="E20" s="200"/>
      <c r="F20" s="200"/>
      <c r="G20" s="200"/>
      <c r="H20" s="205"/>
      <c r="I20" s="200"/>
      <c r="J20" s="200"/>
      <c r="K20" s="200"/>
      <c r="L20" s="200"/>
      <c r="M20" s="200"/>
      <c r="N20" s="200"/>
      <c r="O20" s="200"/>
      <c r="P20" s="200"/>
      <c r="Q20" s="200"/>
      <c r="R20" s="200"/>
      <c r="S20" s="200"/>
      <c r="T20" s="193"/>
    </row>
    <row r="21" spans="1:20" s="71" customFormat="1" ht="13.5" customHeight="1">
      <c r="A21" s="1" t="s">
        <v>11</v>
      </c>
      <c r="B21" s="192">
        <v>-185</v>
      </c>
      <c r="C21" s="101"/>
      <c r="D21" s="204">
        <v>94</v>
      </c>
      <c r="E21" s="199"/>
      <c r="F21" s="204">
        <v>0</v>
      </c>
      <c r="G21" s="199"/>
      <c r="H21" s="204">
        <v>339</v>
      </c>
      <c r="I21" s="199"/>
      <c r="J21" s="204">
        <v>0</v>
      </c>
      <c r="K21" s="204"/>
      <c r="L21" s="204">
        <v>0</v>
      </c>
      <c r="M21" s="204"/>
      <c r="N21" s="204">
        <v>16</v>
      </c>
      <c r="O21" s="199"/>
      <c r="P21" s="204">
        <v>167</v>
      </c>
      <c r="Q21" s="199"/>
      <c r="R21" s="204">
        <v>0</v>
      </c>
      <c r="S21" s="199"/>
      <c r="T21" s="192">
        <v>431</v>
      </c>
    </row>
    <row r="22" spans="1:20" s="71" customFormat="1" hidden="1">
      <c r="A22" s="72"/>
      <c r="B22" s="192">
        <v>2498</v>
      </c>
      <c r="C22" s="206"/>
      <c r="D22" s="199"/>
      <c r="E22" s="199"/>
      <c r="F22" s="199"/>
      <c r="G22" s="199"/>
      <c r="H22" s="204"/>
      <c r="I22" s="199"/>
      <c r="J22" s="199"/>
      <c r="K22" s="199"/>
      <c r="L22" s="199"/>
      <c r="M22" s="199"/>
      <c r="N22" s="199"/>
      <c r="O22" s="199"/>
      <c r="P22" s="199"/>
      <c r="Q22" s="199"/>
      <c r="R22" s="199"/>
      <c r="S22" s="199"/>
      <c r="T22" s="192">
        <v>0</v>
      </c>
    </row>
    <row r="23" spans="1:20" s="74" customFormat="1" hidden="1">
      <c r="A23" s="73" t="s">
        <v>93</v>
      </c>
      <c r="B23" s="193">
        <v>-185</v>
      </c>
      <c r="C23" s="100"/>
      <c r="D23" s="205">
        <v>0</v>
      </c>
      <c r="E23" s="200"/>
      <c r="F23" s="205">
        <v>0</v>
      </c>
      <c r="G23" s="200"/>
      <c r="H23" s="205">
        <v>0</v>
      </c>
      <c r="I23" s="200"/>
      <c r="J23" s="205">
        <v>0</v>
      </c>
      <c r="K23" s="205"/>
      <c r="L23" s="205">
        <v>0</v>
      </c>
      <c r="M23" s="205"/>
      <c r="N23" s="205">
        <v>0</v>
      </c>
      <c r="O23" s="200"/>
      <c r="P23" s="205">
        <v>0</v>
      </c>
      <c r="Q23" s="200"/>
      <c r="R23" s="205">
        <v>0</v>
      </c>
      <c r="S23" s="200"/>
      <c r="T23" s="208">
        <v>0.92</v>
      </c>
    </row>
    <row r="24" spans="1:20" s="74" customFormat="1" ht="14.25">
      <c r="A24" s="280" t="s">
        <v>83</v>
      </c>
      <c r="B24" s="191">
        <v>-9</v>
      </c>
      <c r="C24" s="100"/>
      <c r="D24" s="195">
        <v>0</v>
      </c>
      <c r="E24" s="195"/>
      <c r="F24" s="195">
        <v>9</v>
      </c>
      <c r="G24" s="195"/>
      <c r="H24" s="201">
        <v>0</v>
      </c>
      <c r="I24" s="195"/>
      <c r="J24" s="195">
        <v>0</v>
      </c>
      <c r="K24" s="195"/>
      <c r="L24" s="195">
        <v>0</v>
      </c>
      <c r="M24" s="195"/>
      <c r="N24" s="195">
        <v>0</v>
      </c>
      <c r="O24" s="195"/>
      <c r="P24" s="195">
        <v>0</v>
      </c>
      <c r="Q24" s="195"/>
      <c r="R24" s="195">
        <v>0</v>
      </c>
      <c r="S24" s="195"/>
      <c r="T24" s="191">
        <v>0</v>
      </c>
    </row>
    <row r="25" spans="1:20" s="74" customFormat="1">
      <c r="B25" s="193"/>
      <c r="C25" s="207"/>
      <c r="D25" s="200"/>
      <c r="E25" s="200"/>
      <c r="F25" s="200"/>
      <c r="G25" s="200"/>
      <c r="H25" s="205"/>
      <c r="I25" s="200"/>
      <c r="J25" s="200"/>
      <c r="K25" s="200"/>
      <c r="L25" s="200"/>
      <c r="M25" s="200"/>
      <c r="N25" s="200"/>
      <c r="O25" s="200"/>
      <c r="P25" s="200"/>
      <c r="Q25" s="200"/>
      <c r="R25" s="200"/>
      <c r="S25" s="200"/>
      <c r="T25" s="193"/>
    </row>
    <row r="26" spans="1:20" s="74" customFormat="1">
      <c r="A26" s="4" t="s">
        <v>22</v>
      </c>
      <c r="B26" s="193">
        <v>-194</v>
      </c>
      <c r="C26" s="100"/>
      <c r="D26" s="205">
        <v>94</v>
      </c>
      <c r="E26" s="200"/>
      <c r="F26" s="205">
        <v>9</v>
      </c>
      <c r="G26" s="200"/>
      <c r="H26" s="205">
        <v>339</v>
      </c>
      <c r="I26" s="200"/>
      <c r="J26" s="205">
        <v>0</v>
      </c>
      <c r="K26" s="205"/>
      <c r="L26" s="205">
        <v>0</v>
      </c>
      <c r="M26" s="205"/>
      <c r="N26" s="205">
        <v>16</v>
      </c>
      <c r="O26" s="200"/>
      <c r="P26" s="205">
        <v>167</v>
      </c>
      <c r="Q26" s="200"/>
      <c r="R26" s="205">
        <v>0</v>
      </c>
      <c r="S26" s="200"/>
      <c r="T26" s="193">
        <v>431</v>
      </c>
    </row>
    <row r="27" spans="1:20" s="74" customFormat="1">
      <c r="A27" s="4"/>
      <c r="B27" s="193"/>
      <c r="C27" s="207"/>
      <c r="D27" s="200"/>
      <c r="E27" s="200"/>
      <c r="F27" s="200"/>
      <c r="G27" s="200"/>
      <c r="H27" s="205"/>
      <c r="I27" s="200"/>
      <c r="J27" s="200"/>
      <c r="K27" s="200"/>
      <c r="L27" s="200"/>
      <c r="M27" s="200"/>
      <c r="N27" s="200"/>
      <c r="O27" s="200"/>
      <c r="P27" s="200"/>
      <c r="Q27" s="200"/>
      <c r="R27" s="200"/>
      <c r="S27" s="200"/>
      <c r="T27" s="193"/>
    </row>
    <row r="28" spans="1:20" s="74" customFormat="1" ht="14.25">
      <c r="A28" s="4" t="s">
        <v>23</v>
      </c>
      <c r="B28" s="191">
        <v>-21</v>
      </c>
      <c r="C28" s="100"/>
      <c r="D28" s="201">
        <v>0</v>
      </c>
      <c r="E28" s="195"/>
      <c r="F28" s="201">
        <v>0</v>
      </c>
      <c r="G28" s="195"/>
      <c r="H28" s="201">
        <v>0</v>
      </c>
      <c r="I28" s="195"/>
      <c r="J28" s="201">
        <v>0</v>
      </c>
      <c r="K28" s="201"/>
      <c r="L28" s="201">
        <v>0</v>
      </c>
      <c r="M28" s="201"/>
      <c r="N28" s="201">
        <v>0</v>
      </c>
      <c r="O28" s="195"/>
      <c r="P28" s="201">
        <v>0</v>
      </c>
      <c r="Q28" s="195"/>
      <c r="R28" s="195">
        <v>141</v>
      </c>
      <c r="S28" s="195"/>
      <c r="T28" s="191">
        <v>120</v>
      </c>
    </row>
    <row r="29" spans="1:20" s="74" customFormat="1">
      <c r="B29" s="193"/>
      <c r="C29" s="207"/>
      <c r="D29" s="200"/>
      <c r="E29" s="200"/>
      <c r="F29" s="200"/>
      <c r="G29" s="200"/>
      <c r="H29" s="205"/>
      <c r="I29" s="200"/>
      <c r="J29" s="200"/>
      <c r="K29" s="200"/>
      <c r="L29" s="200"/>
      <c r="M29" s="200"/>
      <c r="N29" s="200"/>
      <c r="O29" s="200"/>
      <c r="P29" s="200"/>
      <c r="Q29" s="200"/>
      <c r="R29" s="200"/>
      <c r="S29" s="200"/>
      <c r="T29" s="193"/>
    </row>
    <row r="30" spans="1:20" s="63" customFormat="1" ht="14.25">
      <c r="A30" s="76" t="s">
        <v>14</v>
      </c>
      <c r="B30" s="112">
        <v>-173</v>
      </c>
      <c r="C30" s="101"/>
      <c r="D30" s="20">
        <v>94</v>
      </c>
      <c r="E30" s="77"/>
      <c r="F30" s="20">
        <v>9</v>
      </c>
      <c r="G30" s="77"/>
      <c r="H30" s="20">
        <v>339</v>
      </c>
      <c r="I30" s="77"/>
      <c r="J30" s="20">
        <v>0</v>
      </c>
      <c r="K30" s="20"/>
      <c r="L30" s="20">
        <v>0</v>
      </c>
      <c r="M30" s="20"/>
      <c r="N30" s="20">
        <v>16</v>
      </c>
      <c r="O30" s="77"/>
      <c r="P30" s="20">
        <v>167</v>
      </c>
      <c r="Q30" s="77"/>
      <c r="R30" s="20">
        <v>-141</v>
      </c>
      <c r="S30" s="77"/>
      <c r="T30" s="209">
        <v>311</v>
      </c>
    </row>
    <row r="31" spans="1:20" s="63" customFormat="1">
      <c r="A31" s="76"/>
      <c r="B31" s="113"/>
      <c r="C31" s="49"/>
      <c r="D31" s="49"/>
      <c r="E31" s="49"/>
      <c r="F31" s="49"/>
      <c r="G31" s="49"/>
      <c r="H31" s="49"/>
      <c r="I31" s="49"/>
      <c r="J31" s="49"/>
      <c r="K31" s="49"/>
      <c r="L31" s="49"/>
      <c r="M31" s="49"/>
      <c r="P31" s="49"/>
      <c r="Q31" s="49"/>
      <c r="R31" s="49"/>
      <c r="S31" s="49"/>
      <c r="T31" s="113"/>
    </row>
    <row r="32" spans="1:20" s="45" customFormat="1">
      <c r="A32" s="80"/>
      <c r="B32" s="203"/>
      <c r="C32" s="202"/>
      <c r="D32" s="202"/>
      <c r="E32" s="202"/>
      <c r="F32" s="202"/>
      <c r="G32" s="202"/>
      <c r="H32" s="202"/>
      <c r="I32" s="202"/>
      <c r="J32" s="202"/>
      <c r="K32" s="202"/>
      <c r="L32" s="202"/>
      <c r="M32" s="80"/>
    </row>
    <row r="34" spans="1:1">
      <c r="A34" s="80"/>
    </row>
    <row r="35" spans="1:1">
      <c r="A35" s="80"/>
    </row>
    <row r="36" spans="1:1">
      <c r="A36" s="80"/>
    </row>
  </sheetData>
  <mergeCells count="4">
    <mergeCell ref="A1:T1"/>
    <mergeCell ref="A2:T2"/>
    <mergeCell ref="A3:T3"/>
    <mergeCell ref="B6:T6"/>
  </mergeCells>
  <phoneticPr fontId="15" type="noConversion"/>
  <pageMargins left="0.7" right="0.7" top="0.75" bottom="0.75" header="0.3" footer="0.3"/>
  <pageSetup scale="70" orientation="landscape" r:id="rId1"/>
  <headerFooter alignWithMargins="0">
    <oddFooter>&amp;LElectronic Arts Inc.&amp;C&amp;D&amp;R&amp;P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Q36"/>
  <sheetViews>
    <sheetView zoomScaleNormal="100" workbookViewId="0">
      <pane xSplit="1" ySplit="7" topLeftCell="B8" activePane="bottomRight" state="frozen"/>
      <selection activeCell="A6" sqref="A6"/>
      <selection pane="topRight" activeCell="A6" sqref="A6"/>
      <selection pane="bottomLeft" activeCell="A6" sqref="A6"/>
      <selection pane="bottomRight" activeCell="A6" sqref="A6"/>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7109375" style="23" customWidth="1"/>
    <col min="7" max="7" width="1.7109375" style="23" customWidth="1"/>
    <col min="8" max="8" width="13" style="23" customWidth="1"/>
    <col min="9" max="9" width="1.7109375" style="23" customWidth="1"/>
    <col min="10" max="10" width="15" style="23" customWidth="1"/>
    <col min="11" max="11" width="1.7109375" style="23" customWidth="1"/>
    <col min="12" max="12" width="15.140625" style="23" customWidth="1"/>
    <col min="13" max="13" width="1.5703125" style="23" customWidth="1"/>
    <col min="14" max="14" width="14.5703125" style="23" customWidth="1"/>
    <col min="15" max="15" width="1.5703125" style="23" customWidth="1"/>
    <col min="16" max="16384" width="11.42578125" style="23"/>
  </cols>
  <sheetData>
    <row r="1" spans="1:17" s="7" customFormat="1" ht="15">
      <c r="A1" s="371" t="s">
        <v>68</v>
      </c>
      <c r="B1" s="374"/>
      <c r="C1" s="374"/>
      <c r="D1" s="374"/>
      <c r="E1" s="374"/>
      <c r="F1" s="374"/>
      <c r="G1" s="374"/>
      <c r="H1" s="374"/>
      <c r="I1" s="374"/>
      <c r="J1" s="374"/>
      <c r="K1" s="374"/>
      <c r="L1" s="374"/>
      <c r="M1" s="374"/>
      <c r="N1" s="374"/>
      <c r="O1" s="374"/>
      <c r="P1" s="374"/>
      <c r="Q1" s="54"/>
    </row>
    <row r="2" spans="1:17" s="7" customFormat="1" ht="15">
      <c r="A2" s="371" t="s">
        <v>128</v>
      </c>
      <c r="B2" s="372"/>
      <c r="C2" s="372"/>
      <c r="D2" s="372"/>
      <c r="E2" s="372"/>
      <c r="F2" s="372"/>
      <c r="G2" s="372"/>
      <c r="H2" s="372"/>
      <c r="I2" s="372"/>
      <c r="J2" s="372"/>
      <c r="K2" s="372"/>
      <c r="L2" s="372"/>
      <c r="M2" s="372"/>
      <c r="N2" s="372"/>
      <c r="O2" s="372"/>
      <c r="P2" s="372"/>
      <c r="Q2" s="54"/>
    </row>
    <row r="3" spans="1:17" s="7" customFormat="1" ht="15">
      <c r="A3" s="371" t="s">
        <v>70</v>
      </c>
      <c r="B3" s="374"/>
      <c r="C3" s="374"/>
      <c r="D3" s="374"/>
      <c r="E3" s="374"/>
      <c r="F3" s="374"/>
      <c r="G3" s="374"/>
      <c r="H3" s="374"/>
      <c r="I3" s="374"/>
      <c r="J3" s="374"/>
      <c r="K3" s="374"/>
      <c r="L3" s="374"/>
      <c r="M3" s="374"/>
      <c r="N3" s="374"/>
      <c r="O3" s="374"/>
      <c r="P3" s="374"/>
      <c r="Q3" s="54"/>
    </row>
    <row r="4" spans="1:17" s="7" customFormat="1">
      <c r="A4" s="6"/>
      <c r="B4" s="6"/>
      <c r="C4" s="6"/>
      <c r="D4" s="6"/>
      <c r="E4" s="6"/>
      <c r="F4" s="6"/>
      <c r="G4" s="6"/>
      <c r="H4" s="6"/>
      <c r="I4" s="6"/>
      <c r="J4" s="6"/>
      <c r="K4" s="6"/>
      <c r="L4" s="6"/>
      <c r="M4" s="6"/>
      <c r="N4" s="6"/>
      <c r="O4" s="6"/>
      <c r="P4" s="6"/>
      <c r="Q4" s="6"/>
    </row>
    <row r="5" spans="1:17" s="7" customFormat="1">
      <c r="B5" s="59"/>
      <c r="C5" s="59"/>
      <c r="D5" s="59"/>
      <c r="E5" s="59"/>
      <c r="F5" s="59"/>
      <c r="G5" s="59"/>
      <c r="H5" s="59"/>
      <c r="I5" s="59"/>
      <c r="J5" s="60"/>
      <c r="K5" s="60"/>
      <c r="L5" s="59"/>
      <c r="M5" s="59"/>
      <c r="N5" s="59"/>
    </row>
    <row r="6" spans="1:17" s="7" customFormat="1" ht="15">
      <c r="B6" s="379" t="s">
        <v>185</v>
      </c>
      <c r="C6" s="384"/>
      <c r="D6" s="384"/>
      <c r="E6" s="384"/>
      <c r="F6" s="384"/>
      <c r="G6" s="384"/>
      <c r="H6" s="384"/>
      <c r="I6" s="384"/>
      <c r="J6" s="384"/>
      <c r="K6" s="384"/>
      <c r="L6" s="384"/>
      <c r="M6" s="384"/>
      <c r="N6" s="384"/>
      <c r="O6" s="384"/>
      <c r="P6" s="384"/>
    </row>
    <row r="7" spans="1:17" s="48" customFormat="1" ht="84">
      <c r="B7" s="55" t="s">
        <v>72</v>
      </c>
      <c r="C7" s="61"/>
      <c r="D7" s="55" t="s">
        <v>41</v>
      </c>
      <c r="E7" s="62"/>
      <c r="F7" s="218" t="s">
        <v>182</v>
      </c>
      <c r="G7" s="62"/>
      <c r="H7" s="55" t="s">
        <v>73</v>
      </c>
      <c r="I7" s="62"/>
      <c r="J7" s="56" t="s">
        <v>144</v>
      </c>
      <c r="K7" s="62"/>
      <c r="L7" s="351" t="s">
        <v>217</v>
      </c>
      <c r="M7" s="62"/>
      <c r="N7" s="351" t="s">
        <v>218</v>
      </c>
      <c r="O7" s="62"/>
      <c r="P7" s="55" t="s">
        <v>76</v>
      </c>
    </row>
    <row r="8" spans="1:17" s="49" customFormat="1">
      <c r="A8" s="63" t="s">
        <v>0</v>
      </c>
      <c r="B8" s="107">
        <v>3857</v>
      </c>
      <c r="C8" s="64"/>
      <c r="D8" s="64">
        <v>0</v>
      </c>
      <c r="E8" s="64"/>
      <c r="F8" s="64">
        <v>0</v>
      </c>
      <c r="G8" s="64"/>
      <c r="H8" s="15">
        <v>106</v>
      </c>
      <c r="I8" s="64"/>
      <c r="J8" s="64">
        <v>0</v>
      </c>
      <c r="K8" s="64"/>
      <c r="L8" s="64">
        <v>0</v>
      </c>
      <c r="M8" s="64"/>
      <c r="N8" s="64">
        <v>0</v>
      </c>
      <c r="O8" s="64"/>
      <c r="P8" s="107">
        <v>3963</v>
      </c>
    </row>
    <row r="9" spans="1:17" s="50" customFormat="1" ht="14.25">
      <c r="A9" s="50" t="s">
        <v>202</v>
      </c>
      <c r="B9" s="191">
        <v>1586</v>
      </c>
      <c r="C9" s="100"/>
      <c r="D9" s="195">
        <v>-17</v>
      </c>
      <c r="E9" s="195"/>
      <c r="F9" s="195">
        <v>0</v>
      </c>
      <c r="G9" s="195"/>
      <c r="H9" s="201">
        <v>0</v>
      </c>
      <c r="I9" s="195"/>
      <c r="J9" s="195">
        <v>0</v>
      </c>
      <c r="K9" s="195"/>
      <c r="L9" s="195">
        <v>-2</v>
      </c>
      <c r="M9" s="195"/>
      <c r="N9" s="195">
        <v>0</v>
      </c>
      <c r="O9" s="195"/>
      <c r="P9" s="191">
        <v>1567</v>
      </c>
    </row>
    <row r="10" spans="1:17" s="66" customFormat="1">
      <c r="A10" s="66" t="s">
        <v>1</v>
      </c>
      <c r="B10" s="192">
        <v>2271</v>
      </c>
      <c r="C10" s="101"/>
      <c r="D10" s="199">
        <v>17</v>
      </c>
      <c r="E10" s="199"/>
      <c r="F10" s="199">
        <v>0</v>
      </c>
      <c r="G10" s="199"/>
      <c r="H10" s="204">
        <v>106</v>
      </c>
      <c r="I10" s="199"/>
      <c r="J10" s="199">
        <v>0</v>
      </c>
      <c r="K10" s="199"/>
      <c r="L10" s="199">
        <v>2</v>
      </c>
      <c r="M10" s="199"/>
      <c r="N10" s="199">
        <v>0</v>
      </c>
      <c r="O10" s="199"/>
      <c r="P10" s="192">
        <v>2396</v>
      </c>
    </row>
    <row r="11" spans="1:17" s="66" customFormat="1">
      <c r="B11" s="192"/>
      <c r="C11" s="206"/>
      <c r="D11" s="199"/>
      <c r="E11" s="199"/>
      <c r="F11" s="199"/>
      <c r="G11" s="199"/>
      <c r="H11" s="204"/>
      <c r="I11" s="199"/>
      <c r="J11" s="199"/>
      <c r="K11" s="199"/>
      <c r="L11" s="199"/>
      <c r="M11" s="199"/>
      <c r="N11" s="199"/>
      <c r="O11" s="199"/>
      <c r="P11" s="192"/>
    </row>
    <row r="12" spans="1:17" s="50" customFormat="1">
      <c r="A12" s="50" t="s">
        <v>2</v>
      </c>
      <c r="B12" s="193"/>
      <c r="C12" s="207"/>
      <c r="D12" s="200"/>
      <c r="E12" s="200"/>
      <c r="F12" s="200"/>
      <c r="G12" s="200"/>
      <c r="H12" s="205"/>
      <c r="I12" s="200"/>
      <c r="J12" s="200"/>
      <c r="K12" s="200"/>
      <c r="L12" s="200"/>
      <c r="M12" s="200"/>
      <c r="N12" s="200"/>
      <c r="O12" s="200"/>
      <c r="P12" s="193"/>
    </row>
    <row r="13" spans="1:17" s="50" customFormat="1">
      <c r="A13" s="50" t="s">
        <v>77</v>
      </c>
      <c r="B13" s="193">
        <v>809</v>
      </c>
      <c r="C13" s="100"/>
      <c r="D13" s="200">
        <v>0</v>
      </c>
      <c r="E13" s="200"/>
      <c r="F13" s="200">
        <v>0</v>
      </c>
      <c r="G13" s="200"/>
      <c r="H13" s="205">
        <v>0</v>
      </c>
      <c r="I13" s="200"/>
      <c r="J13" s="200">
        <v>0</v>
      </c>
      <c r="K13" s="200"/>
      <c r="L13" s="200">
        <v>-22</v>
      </c>
      <c r="M13" s="200"/>
      <c r="N13" s="200">
        <v>0</v>
      </c>
      <c r="O13" s="200"/>
      <c r="P13" s="193">
        <v>787</v>
      </c>
    </row>
    <row r="14" spans="1:17" s="50" customFormat="1">
      <c r="A14" s="50" t="s">
        <v>78</v>
      </c>
      <c r="B14" s="193">
        <v>312</v>
      </c>
      <c r="C14" s="100"/>
      <c r="D14" s="200">
        <v>0</v>
      </c>
      <c r="E14" s="200"/>
      <c r="F14" s="200">
        <v>0</v>
      </c>
      <c r="G14" s="200"/>
      <c r="H14" s="205">
        <v>0</v>
      </c>
      <c r="I14" s="200"/>
      <c r="J14" s="200">
        <v>0</v>
      </c>
      <c r="K14" s="200"/>
      <c r="L14" s="200">
        <v>-36</v>
      </c>
      <c r="M14" s="200"/>
      <c r="N14" s="200">
        <v>0</v>
      </c>
      <c r="O14" s="200"/>
      <c r="P14" s="193">
        <v>276</v>
      </c>
    </row>
    <row r="15" spans="1:17" s="50" customFormat="1">
      <c r="A15" s="50" t="s">
        <v>79</v>
      </c>
      <c r="B15" s="193">
        <v>1204</v>
      </c>
      <c r="C15" s="100"/>
      <c r="D15" s="200">
        <v>0</v>
      </c>
      <c r="E15" s="200"/>
      <c r="F15" s="200">
        <v>0</v>
      </c>
      <c r="G15" s="200"/>
      <c r="H15" s="205">
        <v>0</v>
      </c>
      <c r="I15" s="200"/>
      <c r="J15" s="200">
        <v>0</v>
      </c>
      <c r="K15" s="200"/>
      <c r="L15" s="200">
        <v>-105</v>
      </c>
      <c r="M15" s="200"/>
      <c r="N15" s="200">
        <v>0</v>
      </c>
      <c r="O15" s="200"/>
      <c r="P15" s="193">
        <v>1099</v>
      </c>
    </row>
    <row r="16" spans="1:17" s="50" customFormat="1">
      <c r="A16" s="50" t="s">
        <v>80</v>
      </c>
      <c r="B16" s="193">
        <v>28</v>
      </c>
      <c r="C16" s="100"/>
      <c r="D16" s="200">
        <v>-28</v>
      </c>
      <c r="E16" s="200"/>
      <c r="F16" s="200">
        <v>0</v>
      </c>
      <c r="G16" s="200"/>
      <c r="H16" s="205">
        <v>0</v>
      </c>
      <c r="I16" s="200"/>
      <c r="J16" s="200">
        <v>0</v>
      </c>
      <c r="K16" s="200"/>
      <c r="L16" s="200">
        <v>0</v>
      </c>
      <c r="M16" s="200"/>
      <c r="N16" s="200">
        <v>0</v>
      </c>
      <c r="O16" s="200"/>
      <c r="P16" s="193">
        <v>0</v>
      </c>
    </row>
    <row r="17" spans="1:16" s="50" customFormat="1">
      <c r="A17" s="50" t="s">
        <v>81</v>
      </c>
      <c r="B17" s="193">
        <v>53</v>
      </c>
      <c r="C17" s="100"/>
      <c r="D17" s="200">
        <v>-53</v>
      </c>
      <c r="E17" s="200"/>
      <c r="F17" s="200">
        <v>0</v>
      </c>
      <c r="G17" s="200"/>
      <c r="H17" s="205">
        <v>0</v>
      </c>
      <c r="I17" s="200"/>
      <c r="J17" s="200">
        <v>0</v>
      </c>
      <c r="K17" s="200"/>
      <c r="L17" s="200">
        <v>0</v>
      </c>
      <c r="M17" s="200"/>
      <c r="N17" s="200">
        <v>0</v>
      </c>
      <c r="O17" s="200"/>
      <c r="P17" s="208" t="s">
        <v>9</v>
      </c>
    </row>
    <row r="18" spans="1:16" s="50" customFormat="1" ht="14.25">
      <c r="A18" s="190" t="s">
        <v>207</v>
      </c>
      <c r="B18" s="194">
        <v>170</v>
      </c>
      <c r="C18" s="100"/>
      <c r="D18" s="195">
        <v>0</v>
      </c>
      <c r="E18" s="195"/>
      <c r="F18" s="195">
        <v>0</v>
      </c>
      <c r="G18" s="195"/>
      <c r="H18" s="201">
        <v>0</v>
      </c>
      <c r="I18" s="195"/>
      <c r="J18" s="195">
        <v>-170</v>
      </c>
      <c r="K18" s="195"/>
      <c r="L18" s="195">
        <v>0</v>
      </c>
      <c r="M18" s="195"/>
      <c r="N18" s="195">
        <v>0</v>
      </c>
      <c r="O18" s="195"/>
      <c r="P18" s="196" t="s">
        <v>9</v>
      </c>
    </row>
    <row r="19" spans="1:16" s="50" customFormat="1" ht="14.25">
      <c r="A19" s="50" t="s">
        <v>82</v>
      </c>
      <c r="B19" s="191">
        <v>2576</v>
      </c>
      <c r="C19" s="100"/>
      <c r="D19" s="195">
        <v>-81</v>
      </c>
      <c r="E19" s="195"/>
      <c r="F19" s="195">
        <v>0</v>
      </c>
      <c r="G19" s="195"/>
      <c r="H19" s="201">
        <v>0</v>
      </c>
      <c r="I19" s="195"/>
      <c r="J19" s="195">
        <v>-170</v>
      </c>
      <c r="K19" s="195"/>
      <c r="L19" s="195">
        <v>-163</v>
      </c>
      <c r="M19" s="195"/>
      <c r="N19" s="195">
        <v>0</v>
      </c>
      <c r="O19" s="195"/>
      <c r="P19" s="191">
        <v>2162</v>
      </c>
    </row>
    <row r="20" spans="1:16" s="50" customFormat="1" ht="6" customHeight="1">
      <c r="B20" s="193"/>
      <c r="C20" s="207"/>
      <c r="D20" s="200"/>
      <c r="E20" s="200"/>
      <c r="F20" s="200"/>
      <c r="G20" s="200"/>
      <c r="H20" s="205"/>
      <c r="I20" s="200"/>
      <c r="J20" s="200"/>
      <c r="K20" s="200"/>
      <c r="L20" s="200"/>
      <c r="M20" s="200"/>
      <c r="N20" s="200"/>
      <c r="O20" s="200"/>
      <c r="P20" s="193"/>
    </row>
    <row r="21" spans="1:16" s="71" customFormat="1" ht="13.5" customHeight="1">
      <c r="A21" s="1" t="s">
        <v>11</v>
      </c>
      <c r="B21" s="192">
        <v>-305</v>
      </c>
      <c r="C21" s="101"/>
      <c r="D21" s="204">
        <v>98</v>
      </c>
      <c r="E21" s="199"/>
      <c r="F21" s="204">
        <v>0</v>
      </c>
      <c r="G21" s="199"/>
      <c r="H21" s="204">
        <v>106</v>
      </c>
      <c r="I21" s="199"/>
      <c r="J21" s="204">
        <v>170</v>
      </c>
      <c r="K21" s="199"/>
      <c r="L21" s="204">
        <v>165</v>
      </c>
      <c r="M21" s="199"/>
      <c r="N21" s="204">
        <v>0</v>
      </c>
      <c r="O21" s="199"/>
      <c r="P21" s="192">
        <v>234</v>
      </c>
    </row>
    <row r="22" spans="1:16" s="71" customFormat="1" hidden="1">
      <c r="A22" s="72"/>
      <c r="B22" s="192"/>
      <c r="C22" s="206"/>
      <c r="D22" s="199"/>
      <c r="E22" s="199"/>
      <c r="F22" s="199"/>
      <c r="G22" s="199"/>
      <c r="H22" s="204"/>
      <c r="I22" s="199"/>
      <c r="J22" s="199"/>
      <c r="K22" s="199"/>
      <c r="L22" s="199"/>
      <c r="M22" s="199"/>
      <c r="N22" s="199"/>
      <c r="O22" s="199"/>
      <c r="P22" s="192"/>
    </row>
    <row r="23" spans="1:16" s="74" customFormat="1" hidden="1">
      <c r="A23" s="73" t="s">
        <v>93</v>
      </c>
      <c r="B23" s="193">
        <v>0</v>
      </c>
      <c r="C23" s="100"/>
      <c r="D23" s="205">
        <v>0</v>
      </c>
      <c r="E23" s="200"/>
      <c r="F23" s="205">
        <v>0</v>
      </c>
      <c r="G23" s="200"/>
      <c r="H23" s="205">
        <v>0</v>
      </c>
      <c r="I23" s="200"/>
      <c r="J23" s="205">
        <v>0</v>
      </c>
      <c r="K23" s="200"/>
      <c r="L23" s="205">
        <v>0</v>
      </c>
      <c r="M23" s="200"/>
      <c r="N23" s="205">
        <v>0</v>
      </c>
      <c r="O23" s="200"/>
      <c r="P23" s="208" t="s">
        <v>9</v>
      </c>
    </row>
    <row r="24" spans="1:16" s="74" customFormat="1" ht="14.25">
      <c r="A24" s="280" t="s">
        <v>83</v>
      </c>
      <c r="B24" s="191">
        <v>1</v>
      </c>
      <c r="C24" s="100"/>
      <c r="D24" s="195">
        <v>0</v>
      </c>
      <c r="E24" s="195"/>
      <c r="F24" s="195">
        <v>4</v>
      </c>
      <c r="G24" s="195"/>
      <c r="H24" s="201">
        <v>0</v>
      </c>
      <c r="I24" s="195"/>
      <c r="J24" s="195">
        <v>0</v>
      </c>
      <c r="K24" s="195"/>
      <c r="L24" s="195">
        <v>0</v>
      </c>
      <c r="M24" s="195"/>
      <c r="N24" s="195">
        <v>0</v>
      </c>
      <c r="O24" s="195"/>
      <c r="P24" s="191">
        <v>5</v>
      </c>
    </row>
    <row r="25" spans="1:16" s="74" customFormat="1">
      <c r="B25" s="193"/>
      <c r="C25" s="207"/>
      <c r="D25" s="200"/>
      <c r="E25" s="200"/>
      <c r="F25" s="200"/>
      <c r="G25" s="200"/>
      <c r="H25" s="205"/>
      <c r="I25" s="200"/>
      <c r="J25" s="200"/>
      <c r="K25" s="200"/>
      <c r="L25" s="200"/>
      <c r="M25" s="200"/>
      <c r="N25" s="200"/>
      <c r="O25" s="200"/>
      <c r="P25" s="193"/>
    </row>
    <row r="26" spans="1:16" s="74" customFormat="1">
      <c r="A26" s="4" t="s">
        <v>22</v>
      </c>
      <c r="B26" s="193">
        <v>-304</v>
      </c>
      <c r="C26" s="100"/>
      <c r="D26" s="205">
        <v>98</v>
      </c>
      <c r="E26" s="200"/>
      <c r="F26" s="205">
        <v>4</v>
      </c>
      <c r="G26" s="200"/>
      <c r="H26" s="205">
        <v>106</v>
      </c>
      <c r="I26" s="200"/>
      <c r="J26" s="205">
        <v>170</v>
      </c>
      <c r="K26" s="200"/>
      <c r="L26" s="205">
        <v>165</v>
      </c>
      <c r="M26" s="200"/>
      <c r="N26" s="205">
        <v>0</v>
      </c>
      <c r="O26" s="200"/>
      <c r="P26" s="193">
        <v>239</v>
      </c>
    </row>
    <row r="27" spans="1:16" s="74" customFormat="1">
      <c r="A27" s="4"/>
      <c r="B27" s="193"/>
      <c r="C27" s="207"/>
      <c r="D27" s="200"/>
      <c r="E27" s="200"/>
      <c r="F27" s="200"/>
      <c r="G27" s="200"/>
      <c r="H27" s="205"/>
      <c r="I27" s="200"/>
      <c r="J27" s="200"/>
      <c r="K27" s="200"/>
      <c r="L27" s="200"/>
      <c r="M27" s="200"/>
      <c r="N27" s="200"/>
      <c r="O27" s="200"/>
      <c r="P27" s="193"/>
    </row>
    <row r="28" spans="1:16" s="74" customFormat="1" ht="14.25">
      <c r="A28" s="4" t="s">
        <v>23</v>
      </c>
      <c r="B28" s="191">
        <v>-14</v>
      </c>
      <c r="C28" s="100"/>
      <c r="D28" s="201">
        <v>0</v>
      </c>
      <c r="E28" s="195"/>
      <c r="F28" s="201">
        <v>0</v>
      </c>
      <c r="G28" s="195"/>
      <c r="H28" s="201">
        <v>0</v>
      </c>
      <c r="I28" s="195"/>
      <c r="J28" s="201">
        <v>0</v>
      </c>
      <c r="K28" s="195"/>
      <c r="L28" s="201">
        <v>0</v>
      </c>
      <c r="M28" s="195"/>
      <c r="N28" s="195">
        <v>80</v>
      </c>
      <c r="O28" s="195"/>
      <c r="P28" s="191">
        <v>66</v>
      </c>
    </row>
    <row r="29" spans="1:16" s="74" customFormat="1">
      <c r="B29" s="193"/>
      <c r="C29" s="207"/>
      <c r="D29" s="200"/>
      <c r="E29" s="200"/>
      <c r="F29" s="200"/>
      <c r="G29" s="200"/>
      <c r="H29" s="205"/>
      <c r="I29" s="200"/>
      <c r="J29" s="200"/>
      <c r="K29" s="200"/>
      <c r="L29" s="200"/>
      <c r="M29" s="200"/>
      <c r="N29" s="200"/>
      <c r="O29" s="200"/>
      <c r="P29" s="193"/>
    </row>
    <row r="30" spans="1:16" s="63" customFormat="1" ht="14.25">
      <c r="A30" s="76" t="s">
        <v>14</v>
      </c>
      <c r="B30" s="112">
        <v>-290</v>
      </c>
      <c r="C30" s="101"/>
      <c r="D30" s="20">
        <v>98</v>
      </c>
      <c r="E30" s="77"/>
      <c r="F30" s="20">
        <v>4</v>
      </c>
      <c r="G30" s="77"/>
      <c r="H30" s="20">
        <v>106</v>
      </c>
      <c r="I30" s="77"/>
      <c r="J30" s="20">
        <v>170</v>
      </c>
      <c r="K30" s="77"/>
      <c r="L30" s="20">
        <v>165</v>
      </c>
      <c r="M30" s="77"/>
      <c r="N30" s="20">
        <v>-80</v>
      </c>
      <c r="O30" s="77"/>
      <c r="P30" s="209">
        <v>173</v>
      </c>
    </row>
    <row r="31" spans="1:16" s="63" customFormat="1">
      <c r="A31" s="76"/>
      <c r="B31" s="113"/>
      <c r="C31" s="49"/>
      <c r="D31" s="49"/>
      <c r="E31" s="49"/>
      <c r="F31" s="49"/>
      <c r="G31" s="49"/>
      <c r="H31" s="49"/>
      <c r="I31" s="49"/>
      <c r="L31" s="49"/>
      <c r="M31" s="49"/>
      <c r="N31" s="49"/>
      <c r="O31" s="49"/>
      <c r="P31" s="113"/>
    </row>
    <row r="32" spans="1:16" s="45" customFormat="1">
      <c r="A32" s="80"/>
      <c r="B32" s="203"/>
      <c r="C32" s="202"/>
      <c r="D32" s="202"/>
      <c r="E32" s="202"/>
      <c r="F32" s="202"/>
      <c r="G32" s="202"/>
      <c r="H32" s="202"/>
      <c r="I32" s="202"/>
    </row>
    <row r="34" spans="1:1">
      <c r="A34" s="80"/>
    </row>
    <row r="35" spans="1:1">
      <c r="A35" s="80"/>
    </row>
    <row r="36" spans="1:1">
      <c r="A36" s="80"/>
    </row>
  </sheetData>
  <mergeCells count="4">
    <mergeCell ref="A1:P1"/>
    <mergeCell ref="A2:P2"/>
    <mergeCell ref="A3:P3"/>
    <mergeCell ref="B6:P6"/>
  </mergeCells>
  <phoneticPr fontId="15" type="noConversion"/>
  <pageMargins left="0.7" right="0.7" top="0.75" bottom="0.75" header="0.3" footer="0.3"/>
  <pageSetup scale="70" orientation="landscape" r:id="rId1"/>
  <headerFooter alignWithMargins="0">
    <oddFooter>&amp;LElectronic Arts Inc.&amp;C&amp;D&amp;R&amp;P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S36"/>
  <sheetViews>
    <sheetView topLeftCell="A4" zoomScaleNormal="100" workbookViewId="0">
      <pane xSplit="1" ySplit="4" topLeftCell="C8" activePane="bottomRight" state="frozen"/>
      <selection activeCell="A6" sqref="A6"/>
      <selection pane="topRight" activeCell="A6" sqref="A6"/>
      <selection pane="bottomLeft" activeCell="A6" sqref="A6"/>
      <selection pane="bottomRight" activeCell="A6" sqref="A6"/>
    </sheetView>
  </sheetViews>
  <sheetFormatPr defaultColWidth="11.42578125" defaultRowHeight="12" customHeight="1"/>
  <cols>
    <col min="1" max="1" width="51.5703125" style="23" customWidth="1"/>
    <col min="2" max="2" width="11.140625" style="23" customWidth="1"/>
    <col min="3" max="3" width="2.42578125" style="23" customWidth="1"/>
    <col min="4" max="4" width="15.140625" style="23" customWidth="1"/>
    <col min="5" max="5" width="1.7109375" style="23" customWidth="1"/>
    <col min="6" max="6" width="13" style="23" customWidth="1"/>
    <col min="7" max="7" width="1.7109375" style="23" customWidth="1"/>
    <col min="8" max="8" width="13.42578125" style="23" customWidth="1"/>
    <col min="9" max="9" width="1.7109375" style="23" customWidth="1"/>
    <col min="10" max="10" width="13.85546875" style="23" customWidth="1"/>
    <col min="11" max="11" width="1.7109375" style="23" customWidth="1"/>
    <col min="12" max="12" width="15" style="23" customWidth="1"/>
    <col min="13" max="13" width="1.7109375" style="23" customWidth="1"/>
    <col min="14" max="14" width="15.140625" style="23" customWidth="1"/>
    <col min="15" max="15" width="1.5703125" style="23" customWidth="1"/>
    <col min="16" max="16" width="14.5703125" style="23" customWidth="1"/>
    <col min="17" max="17" width="1.5703125" style="23" customWidth="1"/>
    <col min="18" max="16384" width="11.42578125" style="23"/>
  </cols>
  <sheetData>
    <row r="1" spans="1:19" s="7" customFormat="1" ht="15">
      <c r="A1" s="371" t="s">
        <v>68</v>
      </c>
      <c r="B1" s="370"/>
      <c r="C1" s="370"/>
      <c r="D1" s="370"/>
      <c r="E1" s="370"/>
      <c r="F1" s="370"/>
      <c r="G1" s="370"/>
      <c r="H1" s="370"/>
      <c r="I1" s="370"/>
      <c r="J1" s="370"/>
      <c r="K1" s="370"/>
      <c r="L1" s="370"/>
      <c r="M1" s="370"/>
      <c r="N1" s="370"/>
      <c r="O1" s="370"/>
      <c r="P1" s="370"/>
      <c r="Q1" s="370"/>
      <c r="R1" s="370"/>
      <c r="S1" s="54"/>
    </row>
    <row r="2" spans="1:19" s="7" customFormat="1" ht="15">
      <c r="A2" s="371" t="s">
        <v>128</v>
      </c>
      <c r="B2" s="377"/>
      <c r="C2" s="377"/>
      <c r="D2" s="377"/>
      <c r="E2" s="377"/>
      <c r="F2" s="377"/>
      <c r="G2" s="377"/>
      <c r="H2" s="377"/>
      <c r="I2" s="377"/>
      <c r="J2" s="377"/>
      <c r="K2" s="377"/>
      <c r="L2" s="377"/>
      <c r="M2" s="377"/>
      <c r="N2" s="377"/>
      <c r="O2" s="377"/>
      <c r="P2" s="377"/>
      <c r="Q2" s="377"/>
      <c r="R2" s="377"/>
      <c r="S2" s="54"/>
    </row>
    <row r="3" spans="1:19" s="7" customFormat="1" ht="15">
      <c r="A3" s="371" t="s">
        <v>70</v>
      </c>
      <c r="B3" s="370"/>
      <c r="C3" s="370"/>
      <c r="D3" s="370"/>
      <c r="E3" s="370"/>
      <c r="F3" s="370"/>
      <c r="G3" s="370"/>
      <c r="H3" s="370"/>
      <c r="I3" s="370"/>
      <c r="J3" s="370"/>
      <c r="K3" s="370"/>
      <c r="L3" s="370"/>
      <c r="M3" s="370"/>
      <c r="N3" s="370"/>
      <c r="O3" s="370"/>
      <c r="P3" s="370"/>
      <c r="Q3" s="370"/>
      <c r="R3" s="370"/>
      <c r="S3" s="54"/>
    </row>
    <row r="4" spans="1:19" s="7" customFormat="1">
      <c r="A4" s="6"/>
      <c r="B4" s="6"/>
      <c r="C4" s="6"/>
      <c r="D4" s="6"/>
      <c r="E4" s="6"/>
      <c r="F4" s="6"/>
      <c r="G4" s="6"/>
      <c r="H4" s="6"/>
      <c r="I4" s="6"/>
      <c r="J4" s="6"/>
      <c r="K4" s="6"/>
      <c r="L4" s="6"/>
      <c r="M4" s="6"/>
      <c r="N4" s="6"/>
      <c r="O4" s="6"/>
      <c r="P4" s="6"/>
      <c r="Q4" s="6"/>
      <c r="R4" s="6"/>
      <c r="S4" s="6"/>
    </row>
    <row r="5" spans="1:19" s="7" customFormat="1">
      <c r="B5" s="59"/>
      <c r="C5" s="59"/>
      <c r="D5" s="59"/>
      <c r="E5" s="59"/>
      <c r="F5" s="59"/>
      <c r="G5" s="59"/>
      <c r="H5" s="60"/>
      <c r="I5" s="60"/>
      <c r="J5" s="60"/>
      <c r="K5" s="60"/>
      <c r="L5" s="60"/>
      <c r="M5" s="60"/>
      <c r="N5" s="59"/>
      <c r="O5" s="59"/>
      <c r="P5" s="59"/>
    </row>
    <row r="6" spans="1:19" s="7" customFormat="1" ht="15">
      <c r="B6" s="379" t="s">
        <v>179</v>
      </c>
      <c r="C6" s="382"/>
      <c r="D6" s="382"/>
      <c r="E6" s="382"/>
      <c r="F6" s="382"/>
      <c r="G6" s="382"/>
      <c r="H6" s="382"/>
      <c r="I6" s="382"/>
      <c r="J6" s="382"/>
      <c r="K6" s="382"/>
      <c r="L6" s="382"/>
      <c r="M6" s="382"/>
      <c r="N6" s="382"/>
      <c r="O6" s="382"/>
      <c r="P6" s="382"/>
      <c r="Q6" s="382"/>
      <c r="R6" s="382"/>
    </row>
    <row r="7" spans="1:19" s="48" customFormat="1" ht="84">
      <c r="B7" s="55" t="s">
        <v>72</v>
      </c>
      <c r="C7" s="61"/>
      <c r="D7" s="55" t="s">
        <v>41</v>
      </c>
      <c r="E7" s="62"/>
      <c r="F7" s="55" t="s">
        <v>73</v>
      </c>
      <c r="G7" s="62"/>
      <c r="H7" s="55" t="s">
        <v>38</v>
      </c>
      <c r="I7" s="62"/>
      <c r="J7" s="55" t="s">
        <v>219</v>
      </c>
      <c r="K7" s="62"/>
      <c r="L7" s="56" t="s">
        <v>144</v>
      </c>
      <c r="M7" s="62"/>
      <c r="N7" s="351" t="s">
        <v>217</v>
      </c>
      <c r="O7" s="62"/>
      <c r="P7" s="351" t="s">
        <v>218</v>
      </c>
      <c r="Q7" s="62"/>
      <c r="R7" s="55" t="s">
        <v>76</v>
      </c>
    </row>
    <row r="8" spans="1:19" s="49" customFormat="1">
      <c r="A8" s="63" t="s">
        <v>0</v>
      </c>
      <c r="B8" s="107">
        <v>3773</v>
      </c>
      <c r="C8" s="64"/>
      <c r="D8" s="64">
        <v>0</v>
      </c>
      <c r="E8" s="64"/>
      <c r="F8" s="15">
        <v>40</v>
      </c>
      <c r="G8" s="64"/>
      <c r="H8" s="64">
        <v>0</v>
      </c>
      <c r="I8" s="64"/>
      <c r="J8" s="64">
        <v>0</v>
      </c>
      <c r="K8" s="64"/>
      <c r="L8" s="64">
        <v>0</v>
      </c>
      <c r="M8" s="64"/>
      <c r="N8" s="64">
        <v>0</v>
      </c>
      <c r="O8" s="64"/>
      <c r="P8" s="64">
        <v>0</v>
      </c>
      <c r="Q8" s="64"/>
      <c r="R8" s="107">
        <v>3813</v>
      </c>
    </row>
    <row r="9" spans="1:19" s="50" customFormat="1" ht="14.25">
      <c r="A9" s="50" t="s">
        <v>202</v>
      </c>
      <c r="B9" s="191">
        <v>1517</v>
      </c>
      <c r="C9" s="100"/>
      <c r="D9" s="195">
        <v>-12</v>
      </c>
      <c r="E9" s="195"/>
      <c r="F9" s="201">
        <v>0</v>
      </c>
      <c r="G9" s="195"/>
      <c r="H9" s="195">
        <v>1</v>
      </c>
      <c r="I9" s="195"/>
      <c r="J9" s="195">
        <v>0</v>
      </c>
      <c r="K9" s="195"/>
      <c r="L9" s="195">
        <v>0</v>
      </c>
      <c r="M9" s="195"/>
      <c r="N9" s="195">
        <v>-2</v>
      </c>
      <c r="O9" s="195"/>
      <c r="P9" s="195">
        <v>0</v>
      </c>
      <c r="Q9" s="195"/>
      <c r="R9" s="191">
        <v>1504</v>
      </c>
    </row>
    <row r="10" spans="1:19" s="66" customFormat="1">
      <c r="A10" s="66" t="s">
        <v>1</v>
      </c>
      <c r="B10" s="192">
        <v>2256</v>
      </c>
      <c r="C10" s="101"/>
      <c r="D10" s="199">
        <v>12</v>
      </c>
      <c r="E10" s="199"/>
      <c r="F10" s="204">
        <v>40</v>
      </c>
      <c r="G10" s="199"/>
      <c r="H10" s="199">
        <v>-1</v>
      </c>
      <c r="I10" s="199"/>
      <c r="J10" s="199">
        <v>0</v>
      </c>
      <c r="K10" s="199"/>
      <c r="L10" s="199">
        <v>0</v>
      </c>
      <c r="M10" s="199"/>
      <c r="N10" s="199">
        <v>2</v>
      </c>
      <c r="O10" s="199"/>
      <c r="P10" s="199">
        <v>0</v>
      </c>
      <c r="Q10" s="199"/>
      <c r="R10" s="192">
        <v>2309</v>
      </c>
    </row>
    <row r="11" spans="1:19" s="66" customFormat="1">
      <c r="B11" s="192"/>
      <c r="C11" s="206"/>
      <c r="D11" s="199"/>
      <c r="E11" s="199"/>
      <c r="F11" s="204"/>
      <c r="G11" s="199"/>
      <c r="H11" s="199"/>
      <c r="I11" s="199"/>
      <c r="J11" s="199"/>
      <c r="K11" s="199"/>
      <c r="L11" s="199"/>
      <c r="M11" s="199"/>
      <c r="N11" s="199"/>
      <c r="O11" s="199"/>
      <c r="P11" s="199"/>
      <c r="Q11" s="199"/>
      <c r="R11" s="192"/>
    </row>
    <row r="12" spans="1:19" s="50" customFormat="1">
      <c r="A12" s="50" t="s">
        <v>2</v>
      </c>
      <c r="B12" s="193"/>
      <c r="C12" s="207"/>
      <c r="D12" s="200"/>
      <c r="E12" s="200"/>
      <c r="F12" s="205"/>
      <c r="G12" s="200"/>
      <c r="H12" s="200"/>
      <c r="I12" s="200"/>
      <c r="J12" s="200"/>
      <c r="K12" s="200"/>
      <c r="L12" s="200"/>
      <c r="M12" s="200"/>
      <c r="N12" s="200"/>
      <c r="O12" s="200"/>
      <c r="P12" s="200"/>
      <c r="Q12" s="200"/>
      <c r="R12" s="193"/>
    </row>
    <row r="13" spans="1:19" s="50" customFormat="1">
      <c r="A13" s="50" t="s">
        <v>77</v>
      </c>
      <c r="B13" s="193">
        <v>760</v>
      </c>
      <c r="C13" s="100"/>
      <c r="D13" s="200">
        <v>0</v>
      </c>
      <c r="E13" s="200"/>
      <c r="F13" s="205">
        <v>0</v>
      </c>
      <c r="G13" s="200"/>
      <c r="H13" s="200">
        <v>0</v>
      </c>
      <c r="I13" s="200"/>
      <c r="J13" s="200">
        <v>0</v>
      </c>
      <c r="K13" s="200"/>
      <c r="L13" s="200">
        <v>0</v>
      </c>
      <c r="M13" s="200"/>
      <c r="N13" s="200">
        <v>-22</v>
      </c>
      <c r="O13" s="200"/>
      <c r="P13" s="200">
        <v>0</v>
      </c>
      <c r="Q13" s="200"/>
      <c r="R13" s="193">
        <v>738</v>
      </c>
    </row>
    <row r="14" spans="1:19" s="50" customFormat="1">
      <c r="A14" s="50" t="s">
        <v>78</v>
      </c>
      <c r="B14" s="193">
        <v>301</v>
      </c>
      <c r="C14" s="100"/>
      <c r="D14" s="200">
        <v>0</v>
      </c>
      <c r="E14" s="200"/>
      <c r="F14" s="205">
        <v>0</v>
      </c>
      <c r="G14" s="200"/>
      <c r="H14" s="200">
        <v>0</v>
      </c>
      <c r="I14" s="200"/>
      <c r="J14" s="200">
        <v>0</v>
      </c>
      <c r="K14" s="200"/>
      <c r="L14" s="200">
        <v>0</v>
      </c>
      <c r="M14" s="200"/>
      <c r="N14" s="200">
        <v>-37</v>
      </c>
      <c r="O14" s="200"/>
      <c r="P14" s="200">
        <v>0</v>
      </c>
      <c r="Q14" s="200"/>
      <c r="R14" s="193">
        <v>264</v>
      </c>
    </row>
    <row r="15" spans="1:19" s="50" customFormat="1">
      <c r="A15" s="50" t="s">
        <v>79</v>
      </c>
      <c r="B15" s="193">
        <v>1163</v>
      </c>
      <c r="C15" s="100"/>
      <c r="D15" s="200">
        <v>0</v>
      </c>
      <c r="E15" s="200"/>
      <c r="F15" s="205">
        <v>0</v>
      </c>
      <c r="G15" s="200"/>
      <c r="H15" s="200">
        <v>0</v>
      </c>
      <c r="I15" s="200"/>
      <c r="J15" s="200">
        <v>0</v>
      </c>
      <c r="K15" s="200"/>
      <c r="L15" s="200">
        <v>0</v>
      </c>
      <c r="M15" s="200"/>
      <c r="N15" s="200">
        <v>-104</v>
      </c>
      <c r="O15" s="200"/>
      <c r="P15" s="200">
        <v>0</v>
      </c>
      <c r="Q15" s="200"/>
      <c r="R15" s="193">
        <v>1059</v>
      </c>
    </row>
    <row r="16" spans="1:19" s="50" customFormat="1">
      <c r="A16" s="50" t="s">
        <v>80</v>
      </c>
      <c r="B16" s="193">
        <v>-17</v>
      </c>
      <c r="C16" s="100"/>
      <c r="D16" s="200">
        <v>17</v>
      </c>
      <c r="E16" s="200"/>
      <c r="F16" s="205">
        <v>0</v>
      </c>
      <c r="G16" s="200"/>
      <c r="H16" s="200">
        <v>0</v>
      </c>
      <c r="I16" s="200"/>
      <c r="J16" s="200">
        <v>0</v>
      </c>
      <c r="K16" s="200"/>
      <c r="L16" s="200">
        <v>0</v>
      </c>
      <c r="M16" s="200"/>
      <c r="N16" s="200">
        <v>0</v>
      </c>
      <c r="O16" s="200"/>
      <c r="P16" s="200">
        <v>0</v>
      </c>
      <c r="Q16" s="200"/>
      <c r="R16" s="193">
        <v>0</v>
      </c>
    </row>
    <row r="17" spans="1:18" s="50" customFormat="1">
      <c r="A17" s="50" t="s">
        <v>81</v>
      </c>
      <c r="B17" s="193">
        <v>55</v>
      </c>
      <c r="C17" s="100"/>
      <c r="D17" s="200">
        <v>-55</v>
      </c>
      <c r="E17" s="200"/>
      <c r="F17" s="205">
        <v>0</v>
      </c>
      <c r="G17" s="200"/>
      <c r="H17" s="200">
        <v>0</v>
      </c>
      <c r="I17" s="200"/>
      <c r="J17" s="200">
        <v>0</v>
      </c>
      <c r="K17" s="200"/>
      <c r="L17" s="200">
        <v>0</v>
      </c>
      <c r="M17" s="200"/>
      <c r="N17" s="200">
        <v>0</v>
      </c>
      <c r="O17" s="200"/>
      <c r="P17" s="200">
        <v>0</v>
      </c>
      <c r="Q17" s="200"/>
      <c r="R17" s="208" t="s">
        <v>9</v>
      </c>
    </row>
    <row r="18" spans="1:18" s="50" customFormat="1" ht="14.25">
      <c r="A18" s="190" t="s">
        <v>207</v>
      </c>
      <c r="B18" s="194">
        <v>177</v>
      </c>
      <c r="C18" s="100"/>
      <c r="D18" s="195">
        <v>0</v>
      </c>
      <c r="E18" s="195"/>
      <c r="F18" s="201">
        <v>0</v>
      </c>
      <c r="G18" s="195"/>
      <c r="H18" s="195">
        <v>0</v>
      </c>
      <c r="I18" s="195"/>
      <c r="J18" s="195">
        <v>0</v>
      </c>
      <c r="K18" s="195"/>
      <c r="L18" s="195">
        <v>-177</v>
      </c>
      <c r="M18" s="195"/>
      <c r="N18" s="195">
        <v>0</v>
      </c>
      <c r="O18" s="195"/>
      <c r="P18" s="195">
        <v>0</v>
      </c>
      <c r="Q18" s="195"/>
      <c r="R18" s="196" t="s">
        <v>9</v>
      </c>
    </row>
    <row r="19" spans="1:18" s="50" customFormat="1" ht="14.25">
      <c r="A19" s="50" t="s">
        <v>82</v>
      </c>
      <c r="B19" s="191">
        <v>2439</v>
      </c>
      <c r="C19" s="100"/>
      <c r="D19" s="195">
        <v>-38</v>
      </c>
      <c r="E19" s="195"/>
      <c r="F19" s="201">
        <v>0</v>
      </c>
      <c r="G19" s="195"/>
      <c r="H19" s="195">
        <v>0</v>
      </c>
      <c r="I19" s="195"/>
      <c r="J19" s="195">
        <v>0</v>
      </c>
      <c r="K19" s="195"/>
      <c r="L19" s="195">
        <v>-177</v>
      </c>
      <c r="M19" s="195"/>
      <c r="N19" s="195">
        <v>-163</v>
      </c>
      <c r="O19" s="195"/>
      <c r="P19" s="195">
        <v>0</v>
      </c>
      <c r="Q19" s="195"/>
      <c r="R19" s="191">
        <v>2061</v>
      </c>
    </row>
    <row r="20" spans="1:18" s="50" customFormat="1">
      <c r="B20" s="193"/>
      <c r="C20" s="207"/>
      <c r="D20" s="200"/>
      <c r="E20" s="200"/>
      <c r="F20" s="205"/>
      <c r="G20" s="200"/>
      <c r="H20" s="200"/>
      <c r="I20" s="200"/>
      <c r="J20" s="200"/>
      <c r="K20" s="200"/>
      <c r="L20" s="200"/>
      <c r="M20" s="200"/>
      <c r="N20" s="200"/>
      <c r="O20" s="200"/>
      <c r="P20" s="200"/>
      <c r="Q20" s="200"/>
      <c r="R20" s="193"/>
    </row>
    <row r="21" spans="1:18" s="71" customFormat="1">
      <c r="A21" s="1" t="s">
        <v>11</v>
      </c>
      <c r="B21" s="192">
        <v>-183</v>
      </c>
      <c r="C21" s="101"/>
      <c r="D21" s="204">
        <v>50</v>
      </c>
      <c r="E21" s="199"/>
      <c r="F21" s="204">
        <v>40</v>
      </c>
      <c r="G21" s="199"/>
      <c r="H21" s="204">
        <v>-1</v>
      </c>
      <c r="I21" s="204"/>
      <c r="J21" s="204">
        <v>0</v>
      </c>
      <c r="K21" s="204"/>
      <c r="L21" s="204">
        <v>177</v>
      </c>
      <c r="M21" s="199"/>
      <c r="N21" s="204">
        <v>165</v>
      </c>
      <c r="O21" s="199"/>
      <c r="P21" s="204">
        <v>0</v>
      </c>
      <c r="Q21" s="199"/>
      <c r="R21" s="192">
        <v>248</v>
      </c>
    </row>
    <row r="22" spans="1:18" s="71" customFormat="1">
      <c r="A22" s="72"/>
      <c r="B22" s="192"/>
      <c r="C22" s="206"/>
      <c r="D22" s="199"/>
      <c r="E22" s="199"/>
      <c r="F22" s="204"/>
      <c r="G22" s="199"/>
      <c r="H22" s="199"/>
      <c r="I22" s="199"/>
      <c r="J22" s="199"/>
      <c r="K22" s="199"/>
      <c r="L22" s="199"/>
      <c r="M22" s="199"/>
      <c r="N22" s="199"/>
      <c r="O22" s="199"/>
      <c r="P22" s="199"/>
      <c r="Q22" s="199"/>
      <c r="R22" s="192"/>
    </row>
    <row r="23" spans="1:18" s="74" customFormat="1">
      <c r="A23" s="73" t="s">
        <v>93</v>
      </c>
      <c r="B23" s="193">
        <v>28</v>
      </c>
      <c r="C23" s="100"/>
      <c r="D23" s="205">
        <v>0</v>
      </c>
      <c r="E23" s="200"/>
      <c r="F23" s="205">
        <v>0</v>
      </c>
      <c r="G23" s="200"/>
      <c r="H23" s="205">
        <v>0</v>
      </c>
      <c r="I23" s="205"/>
      <c r="J23" s="205">
        <v>-28</v>
      </c>
      <c r="K23" s="205"/>
      <c r="L23" s="205">
        <v>0</v>
      </c>
      <c r="M23" s="200"/>
      <c r="N23" s="205">
        <v>0</v>
      </c>
      <c r="O23" s="200"/>
      <c r="P23" s="205">
        <v>0</v>
      </c>
      <c r="Q23" s="200"/>
      <c r="R23" s="208" t="s">
        <v>9</v>
      </c>
    </row>
    <row r="24" spans="1:18" s="74" customFormat="1" ht="14.25">
      <c r="A24" s="280" t="s">
        <v>83</v>
      </c>
      <c r="B24" s="191">
        <v>13</v>
      </c>
      <c r="C24" s="100"/>
      <c r="D24" s="195">
        <v>0</v>
      </c>
      <c r="E24" s="195"/>
      <c r="F24" s="201">
        <v>0</v>
      </c>
      <c r="G24" s="195"/>
      <c r="H24" s="195">
        <v>0</v>
      </c>
      <c r="I24" s="195"/>
      <c r="J24" s="195">
        <v>0</v>
      </c>
      <c r="K24" s="195"/>
      <c r="L24" s="195">
        <v>0</v>
      </c>
      <c r="M24" s="195"/>
      <c r="N24" s="195">
        <v>0</v>
      </c>
      <c r="O24" s="195"/>
      <c r="P24" s="195">
        <v>0</v>
      </c>
      <c r="Q24" s="195"/>
      <c r="R24" s="191">
        <v>13</v>
      </c>
    </row>
    <row r="25" spans="1:18" s="74" customFormat="1">
      <c r="B25" s="193"/>
      <c r="C25" s="207"/>
      <c r="D25" s="200"/>
      <c r="E25" s="200"/>
      <c r="F25" s="205"/>
      <c r="G25" s="200"/>
      <c r="H25" s="200"/>
      <c r="I25" s="200"/>
      <c r="J25" s="200"/>
      <c r="K25" s="200"/>
      <c r="L25" s="200"/>
      <c r="M25" s="200"/>
      <c r="N25" s="200"/>
      <c r="O25" s="200"/>
      <c r="P25" s="200"/>
      <c r="Q25" s="200"/>
      <c r="R25" s="193"/>
    </row>
    <row r="26" spans="1:18" s="74" customFormat="1">
      <c r="A26" s="4" t="s">
        <v>92</v>
      </c>
      <c r="B26" s="193">
        <v>-142</v>
      </c>
      <c r="C26" s="100"/>
      <c r="D26" s="205">
        <v>50</v>
      </c>
      <c r="E26" s="200"/>
      <c r="F26" s="205">
        <v>40</v>
      </c>
      <c r="G26" s="200"/>
      <c r="H26" s="205">
        <v>-1</v>
      </c>
      <c r="I26" s="205"/>
      <c r="J26" s="205">
        <v>-28</v>
      </c>
      <c r="K26" s="205"/>
      <c r="L26" s="205">
        <v>177</v>
      </c>
      <c r="M26" s="200"/>
      <c r="N26" s="205">
        <v>165</v>
      </c>
      <c r="O26" s="200"/>
      <c r="P26" s="205">
        <v>0</v>
      </c>
      <c r="Q26" s="200"/>
      <c r="R26" s="193">
        <v>261</v>
      </c>
    </row>
    <row r="27" spans="1:18" s="74" customFormat="1">
      <c r="A27" s="4"/>
      <c r="B27" s="193"/>
      <c r="C27" s="207"/>
      <c r="D27" s="200"/>
      <c r="E27" s="200"/>
      <c r="F27" s="205"/>
      <c r="G27" s="200"/>
      <c r="H27" s="200"/>
      <c r="I27" s="200"/>
      <c r="J27" s="200"/>
      <c r="K27" s="200"/>
      <c r="L27" s="200"/>
      <c r="M27" s="200"/>
      <c r="N27" s="200"/>
      <c r="O27" s="200"/>
      <c r="P27" s="200"/>
      <c r="Q27" s="200"/>
      <c r="R27" s="193"/>
    </row>
    <row r="28" spans="1:18" s="74" customFormat="1" ht="14.25">
      <c r="A28" s="4" t="s">
        <v>90</v>
      </c>
      <c r="B28" s="191">
        <v>9</v>
      </c>
      <c r="C28" s="100"/>
      <c r="D28" s="201">
        <v>0</v>
      </c>
      <c r="E28" s="195"/>
      <c r="F28" s="201">
        <v>0</v>
      </c>
      <c r="G28" s="195"/>
      <c r="H28" s="201">
        <v>0</v>
      </c>
      <c r="I28" s="201"/>
      <c r="J28" s="201">
        <v>0</v>
      </c>
      <c r="K28" s="201"/>
      <c r="L28" s="201">
        <v>0</v>
      </c>
      <c r="M28" s="195"/>
      <c r="N28" s="201">
        <v>0</v>
      </c>
      <c r="O28" s="195"/>
      <c r="P28" s="195">
        <v>64</v>
      </c>
      <c r="Q28" s="195"/>
      <c r="R28" s="191">
        <v>73</v>
      </c>
    </row>
    <row r="29" spans="1:18" s="74" customFormat="1">
      <c r="B29" s="193"/>
      <c r="C29" s="207"/>
      <c r="D29" s="200"/>
      <c r="E29" s="200"/>
      <c r="F29" s="205"/>
      <c r="G29" s="200"/>
      <c r="H29" s="200"/>
      <c r="I29" s="200"/>
      <c r="J29" s="200"/>
      <c r="K29" s="200"/>
      <c r="L29" s="200"/>
      <c r="M29" s="200"/>
      <c r="N29" s="200"/>
      <c r="O29" s="200"/>
      <c r="P29" s="200"/>
      <c r="Q29" s="200"/>
      <c r="R29" s="193"/>
    </row>
    <row r="30" spans="1:18" s="63" customFormat="1" ht="14.25">
      <c r="A30" s="76" t="s">
        <v>14</v>
      </c>
      <c r="B30" s="112">
        <v>-151</v>
      </c>
      <c r="C30" s="101"/>
      <c r="D30" s="20">
        <v>50</v>
      </c>
      <c r="E30" s="77"/>
      <c r="F30" s="20">
        <v>40</v>
      </c>
      <c r="G30" s="77"/>
      <c r="H30" s="20">
        <v>-1</v>
      </c>
      <c r="I30" s="20"/>
      <c r="J30" s="20">
        <v>-28</v>
      </c>
      <c r="K30" s="20"/>
      <c r="L30" s="20">
        <v>177</v>
      </c>
      <c r="M30" s="77"/>
      <c r="N30" s="20">
        <v>165</v>
      </c>
      <c r="O30" s="77"/>
      <c r="P30" s="20">
        <v>-64</v>
      </c>
      <c r="Q30" s="77"/>
      <c r="R30" s="209">
        <v>188</v>
      </c>
    </row>
    <row r="31" spans="1:18" s="63" customFormat="1">
      <c r="A31" s="76"/>
      <c r="B31" s="113"/>
      <c r="C31" s="49"/>
      <c r="D31" s="49"/>
      <c r="E31" s="49"/>
      <c r="F31" s="49"/>
      <c r="G31" s="49"/>
      <c r="H31" s="49"/>
      <c r="I31" s="49"/>
      <c r="J31" s="49"/>
      <c r="K31" s="49"/>
      <c r="N31" s="49"/>
      <c r="O31" s="49"/>
      <c r="P31" s="49"/>
      <c r="Q31" s="49"/>
      <c r="R31" s="113"/>
    </row>
    <row r="32" spans="1:18" s="45" customFormat="1">
      <c r="A32" s="80"/>
      <c r="B32" s="203"/>
      <c r="C32" s="202"/>
      <c r="D32" s="202"/>
      <c r="E32" s="202"/>
      <c r="F32" s="202"/>
      <c r="G32" s="202"/>
      <c r="H32" s="202"/>
      <c r="I32" s="202"/>
      <c r="J32" s="202"/>
      <c r="K32" s="80"/>
    </row>
    <row r="34" spans="1:1">
      <c r="A34" s="80"/>
    </row>
    <row r="35" spans="1:1">
      <c r="A35" s="80"/>
    </row>
    <row r="36" spans="1:1">
      <c r="A36" s="80"/>
    </row>
  </sheetData>
  <mergeCells count="4">
    <mergeCell ref="A1:R1"/>
    <mergeCell ref="A2:R2"/>
    <mergeCell ref="A3:R3"/>
    <mergeCell ref="B6:R6"/>
  </mergeCells>
  <phoneticPr fontId="15" type="noConversion"/>
  <pageMargins left="0.7" right="0.7" top="0.75" bottom="0.75" header="0.3" footer="0.3"/>
  <pageSetup scale="64" orientation="landscape" r:id="rId1"/>
  <headerFooter>
    <oddFooter>&amp;LElectronic Arts Inc.&amp;C&amp;D&amp;R&amp;P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S30"/>
  <sheetViews>
    <sheetView topLeftCell="A7" zoomScaleNormal="100" workbookViewId="0">
      <pane xSplit="1" ySplit="1" topLeftCell="B8" activePane="bottomRight" state="frozen"/>
      <selection activeCell="H8" sqref="H8"/>
      <selection pane="topRight" activeCell="H8" sqref="H8"/>
      <selection pane="bottomLeft" activeCell="H8" sqref="H8"/>
      <selection pane="bottomRight" activeCell="A7" sqref="A7"/>
    </sheetView>
  </sheetViews>
  <sheetFormatPr defaultColWidth="11.42578125" defaultRowHeight="12" customHeight="1"/>
  <cols>
    <col min="1" max="1" width="49.28515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3.7109375" style="23" customWidth="1"/>
    <col min="13" max="13" width="1.7109375" style="23" customWidth="1"/>
    <col min="14" max="14" width="16.140625" style="23" customWidth="1"/>
    <col min="15" max="15" width="1.7109375" style="23" customWidth="1"/>
    <col min="16" max="16" width="15.140625" style="23" customWidth="1"/>
    <col min="17" max="17" width="2.28515625" style="23" customWidth="1"/>
    <col min="18" max="18" width="14" style="23" customWidth="1"/>
    <col min="19" max="19" width="1.5703125" style="23" customWidth="1"/>
    <col min="20" max="16384" width="11.42578125" style="23"/>
  </cols>
  <sheetData>
    <row r="1" spans="1:19" s="7" customFormat="1" ht="15">
      <c r="A1" s="371" t="s">
        <v>68</v>
      </c>
      <c r="B1" s="377"/>
      <c r="C1" s="377"/>
      <c r="D1" s="377"/>
      <c r="E1" s="377"/>
      <c r="F1" s="377"/>
      <c r="G1" s="377"/>
      <c r="H1" s="377"/>
      <c r="I1" s="377"/>
      <c r="J1" s="377"/>
      <c r="K1" s="377"/>
      <c r="L1" s="377"/>
      <c r="M1" s="377"/>
      <c r="N1" s="377"/>
      <c r="O1" s="377"/>
      <c r="P1" s="377"/>
      <c r="Q1" s="377"/>
      <c r="R1" s="377"/>
      <c r="S1" s="58"/>
    </row>
    <row r="2" spans="1:19" s="7" customFormat="1" ht="15">
      <c r="A2" s="371" t="s">
        <v>128</v>
      </c>
      <c r="B2" s="377"/>
      <c r="C2" s="377"/>
      <c r="D2" s="377"/>
      <c r="E2" s="377"/>
      <c r="F2" s="377"/>
      <c r="G2" s="377"/>
      <c r="H2" s="377"/>
      <c r="I2" s="377"/>
      <c r="J2" s="377"/>
      <c r="K2" s="377"/>
      <c r="L2" s="377"/>
      <c r="M2" s="377"/>
      <c r="N2" s="377"/>
      <c r="O2" s="377"/>
      <c r="P2" s="377"/>
      <c r="Q2" s="377"/>
      <c r="R2" s="377"/>
      <c r="S2" s="58"/>
    </row>
    <row r="3" spans="1:19" s="7" customFormat="1" ht="15">
      <c r="A3" s="371" t="s">
        <v>70</v>
      </c>
      <c r="B3" s="377"/>
      <c r="C3" s="377"/>
      <c r="D3" s="377"/>
      <c r="E3" s="377"/>
      <c r="F3" s="377"/>
      <c r="G3" s="377"/>
      <c r="H3" s="377"/>
      <c r="I3" s="377"/>
      <c r="J3" s="377"/>
      <c r="K3" s="377"/>
      <c r="L3" s="377"/>
      <c r="M3" s="377"/>
      <c r="N3" s="377"/>
      <c r="O3" s="377"/>
      <c r="P3" s="377"/>
      <c r="Q3" s="377"/>
      <c r="R3" s="377"/>
      <c r="S3" s="58"/>
    </row>
    <row r="4" spans="1:19" s="7" customFormat="1">
      <c r="A4" s="6"/>
      <c r="B4" s="6"/>
      <c r="C4" s="6"/>
      <c r="D4" s="6"/>
      <c r="E4" s="6"/>
      <c r="F4" s="6"/>
      <c r="G4" s="6"/>
      <c r="H4" s="6"/>
      <c r="I4" s="6"/>
      <c r="J4" s="6"/>
      <c r="K4" s="6"/>
      <c r="L4" s="6"/>
      <c r="M4" s="6"/>
      <c r="N4" s="6"/>
      <c r="O4" s="6"/>
      <c r="P4" s="6"/>
      <c r="Q4" s="6"/>
      <c r="R4" s="6"/>
      <c r="S4" s="6"/>
    </row>
    <row r="5" spans="1:19" s="7" customFormat="1">
      <c r="B5" s="59"/>
      <c r="C5" s="59"/>
      <c r="D5" s="59"/>
      <c r="E5" s="59"/>
      <c r="F5" s="59"/>
      <c r="G5" s="59"/>
      <c r="H5" s="59"/>
      <c r="I5" s="59"/>
      <c r="J5" s="59"/>
      <c r="K5" s="59"/>
      <c r="L5" s="60"/>
      <c r="M5" s="60"/>
      <c r="N5" s="60"/>
      <c r="O5" s="60"/>
      <c r="P5" s="59"/>
      <c r="Q5" s="59"/>
      <c r="R5" s="59"/>
    </row>
    <row r="6" spans="1:19" s="7" customFormat="1" ht="15">
      <c r="B6" s="379" t="s">
        <v>146</v>
      </c>
      <c r="C6" s="382"/>
      <c r="D6" s="382"/>
      <c r="E6" s="382"/>
      <c r="F6" s="382"/>
      <c r="G6" s="382"/>
      <c r="H6" s="382"/>
      <c r="I6" s="382"/>
      <c r="J6" s="382"/>
      <c r="K6" s="382"/>
      <c r="L6" s="382"/>
      <c r="M6" s="382"/>
      <c r="N6" s="382"/>
      <c r="O6" s="382"/>
      <c r="P6" s="382"/>
      <c r="Q6" s="382"/>
      <c r="R6" s="382"/>
      <c r="S6" s="78"/>
    </row>
    <row r="7" spans="1:19" s="48" customFormat="1" ht="84">
      <c r="B7" s="55" t="s">
        <v>72</v>
      </c>
      <c r="C7" s="62"/>
      <c r="D7" s="56" t="s">
        <v>41</v>
      </c>
      <c r="E7" s="62"/>
      <c r="F7" s="55" t="s">
        <v>73</v>
      </c>
      <c r="G7" s="62"/>
      <c r="H7" s="55" t="s">
        <v>38</v>
      </c>
      <c r="I7" s="62"/>
      <c r="J7" s="55" t="s">
        <v>219</v>
      </c>
      <c r="K7" s="62"/>
      <c r="L7" s="55" t="s">
        <v>144</v>
      </c>
      <c r="M7" s="62"/>
      <c r="N7" s="351" t="s">
        <v>217</v>
      </c>
      <c r="O7" s="62"/>
      <c r="P7" s="351" t="s">
        <v>218</v>
      </c>
      <c r="Q7" s="62"/>
      <c r="R7" s="55" t="s">
        <v>76</v>
      </c>
    </row>
    <row r="8" spans="1:19" s="49" customFormat="1">
      <c r="A8" s="63" t="s">
        <v>0</v>
      </c>
      <c r="B8" s="107">
        <v>3589</v>
      </c>
      <c r="C8" s="64"/>
      <c r="D8" s="64">
        <v>0</v>
      </c>
      <c r="E8" s="64"/>
      <c r="F8" s="15">
        <v>239</v>
      </c>
      <c r="G8" s="64"/>
      <c r="H8" s="64">
        <v>0</v>
      </c>
      <c r="I8" s="64"/>
      <c r="J8" s="64">
        <v>0</v>
      </c>
      <c r="K8" s="64"/>
      <c r="L8" s="64">
        <v>0</v>
      </c>
      <c r="M8" s="64"/>
      <c r="N8" s="64">
        <v>0</v>
      </c>
      <c r="O8" s="64"/>
      <c r="P8" s="64">
        <v>0</v>
      </c>
      <c r="Q8" s="64"/>
      <c r="R8" s="107">
        <v>3828</v>
      </c>
    </row>
    <row r="9" spans="1:19" s="50" customFormat="1" ht="14.25">
      <c r="A9" s="50" t="s">
        <v>202</v>
      </c>
      <c r="B9" s="108">
        <v>1499</v>
      </c>
      <c r="C9" s="57"/>
      <c r="D9" s="57">
        <v>-12</v>
      </c>
      <c r="E9" s="57"/>
      <c r="F9" s="19">
        <v>0</v>
      </c>
      <c r="G9" s="57"/>
      <c r="H9" s="57">
        <v>1</v>
      </c>
      <c r="I9" s="57"/>
      <c r="J9" s="57">
        <v>0</v>
      </c>
      <c r="K9" s="57"/>
      <c r="L9" s="57">
        <v>0</v>
      </c>
      <c r="M9" s="57"/>
      <c r="N9" s="57">
        <v>-2</v>
      </c>
      <c r="O9" s="57"/>
      <c r="P9" s="57">
        <v>0</v>
      </c>
      <c r="Q9" s="57"/>
      <c r="R9" s="108">
        <v>1486</v>
      </c>
    </row>
    <row r="10" spans="1:19" s="66" customFormat="1">
      <c r="A10" s="66" t="s">
        <v>1</v>
      </c>
      <c r="B10" s="109">
        <v>2090</v>
      </c>
      <c r="C10" s="67"/>
      <c r="D10" s="67">
        <v>12</v>
      </c>
      <c r="E10" s="67"/>
      <c r="F10" s="17">
        <v>239</v>
      </c>
      <c r="G10" s="67"/>
      <c r="H10" s="67">
        <v>-1</v>
      </c>
      <c r="I10" s="67"/>
      <c r="J10" s="67">
        <v>0</v>
      </c>
      <c r="K10" s="67"/>
      <c r="L10" s="67">
        <v>0</v>
      </c>
      <c r="M10" s="67"/>
      <c r="N10" s="67">
        <v>2</v>
      </c>
      <c r="O10" s="67"/>
      <c r="P10" s="67">
        <v>0</v>
      </c>
      <c r="Q10" s="67"/>
      <c r="R10" s="109">
        <v>2342</v>
      </c>
    </row>
    <row r="11" spans="1:19" s="50" customFormat="1">
      <c r="A11" s="50" t="s">
        <v>2</v>
      </c>
      <c r="B11" s="110"/>
      <c r="C11" s="44"/>
      <c r="D11" s="44"/>
      <c r="E11" s="44"/>
      <c r="F11" s="18"/>
      <c r="G11" s="44"/>
      <c r="H11" s="44"/>
      <c r="I11" s="44"/>
      <c r="J11" s="44"/>
      <c r="K11" s="44"/>
      <c r="L11" s="44"/>
      <c r="M11" s="44"/>
      <c r="N11" s="44"/>
      <c r="O11" s="44"/>
      <c r="P11" s="44"/>
      <c r="Q11" s="44"/>
      <c r="R11" s="110"/>
    </row>
    <row r="12" spans="1:19" s="50" customFormat="1">
      <c r="A12" s="50" t="s">
        <v>77</v>
      </c>
      <c r="B12" s="110">
        <v>747</v>
      </c>
      <c r="C12" s="44"/>
      <c r="D12" s="44">
        <v>0</v>
      </c>
      <c r="E12" s="44"/>
      <c r="F12" s="18">
        <v>0</v>
      </c>
      <c r="G12" s="44"/>
      <c r="H12" s="44">
        <v>0</v>
      </c>
      <c r="I12" s="44"/>
      <c r="J12" s="44">
        <v>0</v>
      </c>
      <c r="K12" s="44"/>
      <c r="L12" s="44">
        <v>0</v>
      </c>
      <c r="M12" s="44"/>
      <c r="N12" s="44">
        <v>-21</v>
      </c>
      <c r="O12" s="44"/>
      <c r="P12" s="44">
        <v>0</v>
      </c>
      <c r="Q12" s="44"/>
      <c r="R12" s="110">
        <v>726</v>
      </c>
    </row>
    <row r="13" spans="1:19" s="50" customFormat="1">
      <c r="A13" s="50" t="s">
        <v>78</v>
      </c>
      <c r="B13" s="110">
        <v>301</v>
      </c>
      <c r="C13" s="44"/>
      <c r="D13" s="44">
        <v>0</v>
      </c>
      <c r="E13" s="44"/>
      <c r="F13" s="18">
        <v>0</v>
      </c>
      <c r="G13" s="44"/>
      <c r="H13" s="44">
        <v>0</v>
      </c>
      <c r="I13" s="44"/>
      <c r="J13" s="44">
        <v>0</v>
      </c>
      <c r="K13" s="44"/>
      <c r="L13" s="44">
        <v>0</v>
      </c>
      <c r="M13" s="44"/>
      <c r="N13" s="44">
        <v>-40</v>
      </c>
      <c r="O13" s="44"/>
      <c r="P13" s="44">
        <v>0</v>
      </c>
      <c r="Q13" s="44"/>
      <c r="R13" s="110">
        <v>261</v>
      </c>
    </row>
    <row r="14" spans="1:19" s="50" customFormat="1">
      <c r="A14" s="50" t="s">
        <v>79</v>
      </c>
      <c r="B14" s="110">
        <v>1153</v>
      </c>
      <c r="C14" s="44"/>
      <c r="D14" s="44">
        <v>0</v>
      </c>
      <c r="E14" s="44"/>
      <c r="F14" s="18">
        <v>0</v>
      </c>
      <c r="G14" s="44"/>
      <c r="H14" s="44">
        <v>0</v>
      </c>
      <c r="I14" s="44"/>
      <c r="J14" s="44">
        <v>0</v>
      </c>
      <c r="K14" s="44"/>
      <c r="L14" s="44">
        <v>0</v>
      </c>
      <c r="M14" s="44"/>
      <c r="N14" s="44">
        <v>-111</v>
      </c>
      <c r="O14" s="44"/>
      <c r="P14" s="44">
        <v>0</v>
      </c>
      <c r="Q14" s="44"/>
      <c r="R14" s="110">
        <v>1042</v>
      </c>
    </row>
    <row r="15" spans="1:19" s="50" customFormat="1">
      <c r="A15" s="50" t="s">
        <v>80</v>
      </c>
      <c r="B15" s="110">
        <v>-17</v>
      </c>
      <c r="C15" s="44"/>
      <c r="D15" s="44">
        <v>17</v>
      </c>
      <c r="E15" s="44"/>
      <c r="F15" s="18">
        <v>0</v>
      </c>
      <c r="G15" s="44"/>
      <c r="H15" s="44">
        <v>0</v>
      </c>
      <c r="I15" s="44"/>
      <c r="J15" s="44">
        <v>0</v>
      </c>
      <c r="K15" s="44"/>
      <c r="L15" s="44">
        <v>0</v>
      </c>
      <c r="M15" s="44"/>
      <c r="N15" s="44">
        <v>0</v>
      </c>
      <c r="O15" s="44"/>
      <c r="P15" s="44">
        <v>0</v>
      </c>
      <c r="Q15" s="44"/>
      <c r="R15" s="110">
        <v>0</v>
      </c>
    </row>
    <row r="16" spans="1:19" s="50" customFormat="1">
      <c r="A16" s="50" t="s">
        <v>81</v>
      </c>
      <c r="B16" s="110">
        <v>57</v>
      </c>
      <c r="C16" s="44"/>
      <c r="D16" s="44">
        <v>-57</v>
      </c>
      <c r="E16" s="44"/>
      <c r="F16" s="18">
        <v>0</v>
      </c>
      <c r="G16" s="44"/>
      <c r="H16" s="44">
        <v>0</v>
      </c>
      <c r="I16" s="44"/>
      <c r="J16" s="44">
        <v>0</v>
      </c>
      <c r="K16" s="44"/>
      <c r="L16" s="44">
        <v>0</v>
      </c>
      <c r="M16" s="44"/>
      <c r="N16" s="44">
        <v>0</v>
      </c>
      <c r="O16" s="44"/>
      <c r="P16" s="44">
        <v>0</v>
      </c>
      <c r="Q16" s="44"/>
      <c r="R16" s="110">
        <v>0</v>
      </c>
    </row>
    <row r="17" spans="1:19" s="50" customFormat="1" ht="14.25">
      <c r="A17" s="50" t="s">
        <v>207</v>
      </c>
      <c r="B17" s="111">
        <v>161</v>
      </c>
      <c r="C17" s="57"/>
      <c r="D17" s="57">
        <v>0</v>
      </c>
      <c r="E17" s="57"/>
      <c r="F17" s="19">
        <v>0</v>
      </c>
      <c r="G17" s="57"/>
      <c r="H17" s="57">
        <v>0</v>
      </c>
      <c r="I17" s="57"/>
      <c r="J17" s="57">
        <v>0</v>
      </c>
      <c r="K17" s="57"/>
      <c r="L17" s="57">
        <v>-161</v>
      </c>
      <c r="M17" s="57"/>
      <c r="N17" s="57">
        <v>0</v>
      </c>
      <c r="O17" s="57"/>
      <c r="P17" s="57">
        <v>0</v>
      </c>
      <c r="Q17" s="57"/>
      <c r="R17" s="108">
        <v>0</v>
      </c>
    </row>
    <row r="18" spans="1:19" s="50" customFormat="1" ht="14.25">
      <c r="A18" s="50" t="s">
        <v>82</v>
      </c>
      <c r="B18" s="108">
        <v>2402</v>
      </c>
      <c r="C18" s="57"/>
      <c r="D18" s="57">
        <v>-40</v>
      </c>
      <c r="E18" s="57"/>
      <c r="F18" s="19">
        <v>0</v>
      </c>
      <c r="G18" s="57"/>
      <c r="H18" s="57">
        <v>0</v>
      </c>
      <c r="I18" s="57"/>
      <c r="J18" s="57">
        <v>0</v>
      </c>
      <c r="K18" s="57"/>
      <c r="L18" s="57">
        <v>-161</v>
      </c>
      <c r="M18" s="57"/>
      <c r="N18" s="57">
        <v>-172</v>
      </c>
      <c r="O18" s="57"/>
      <c r="P18" s="57">
        <v>0</v>
      </c>
      <c r="Q18" s="57"/>
      <c r="R18" s="108">
        <v>2029</v>
      </c>
    </row>
    <row r="19" spans="1:19" s="50" customFormat="1">
      <c r="B19" s="110"/>
      <c r="C19" s="44"/>
      <c r="D19" s="44"/>
      <c r="E19" s="44"/>
      <c r="F19" s="18"/>
      <c r="G19" s="44"/>
      <c r="H19" s="44"/>
      <c r="I19" s="44"/>
      <c r="J19" s="44"/>
      <c r="K19" s="44"/>
      <c r="L19" s="44"/>
      <c r="M19" s="44"/>
      <c r="N19" s="44"/>
      <c r="O19" s="44"/>
      <c r="P19" s="44"/>
      <c r="Q19" s="44"/>
      <c r="R19" s="110"/>
    </row>
    <row r="20" spans="1:19" s="71" customFormat="1">
      <c r="A20" s="1" t="s">
        <v>11</v>
      </c>
      <c r="B20" s="109">
        <v>-312</v>
      </c>
      <c r="C20" s="67"/>
      <c r="D20" s="17">
        <v>52</v>
      </c>
      <c r="E20" s="67"/>
      <c r="F20" s="17">
        <v>239</v>
      </c>
      <c r="G20" s="67"/>
      <c r="H20" s="17">
        <v>-1</v>
      </c>
      <c r="I20" s="17"/>
      <c r="J20" s="17">
        <v>0</v>
      </c>
      <c r="K20" s="17"/>
      <c r="L20" s="17">
        <v>161</v>
      </c>
      <c r="M20" s="67"/>
      <c r="N20" s="17">
        <v>174</v>
      </c>
      <c r="O20" s="67"/>
      <c r="P20" s="17">
        <v>0</v>
      </c>
      <c r="Q20" s="67"/>
      <c r="R20" s="109">
        <v>313</v>
      </c>
    </row>
    <row r="21" spans="1:19" s="71" customFormat="1">
      <c r="A21" s="72"/>
      <c r="B21" s="109"/>
      <c r="C21" s="67"/>
      <c r="D21" s="67"/>
      <c r="E21" s="67"/>
      <c r="F21" s="17"/>
      <c r="G21" s="67"/>
      <c r="H21" s="67"/>
      <c r="I21" s="67"/>
      <c r="J21" s="67"/>
      <c r="K21" s="67"/>
      <c r="L21" s="67"/>
      <c r="M21" s="67"/>
      <c r="N21" s="67"/>
      <c r="O21" s="67"/>
      <c r="P21" s="67"/>
      <c r="Q21" s="67"/>
      <c r="R21" s="109"/>
    </row>
    <row r="22" spans="1:19" s="74" customFormat="1">
      <c r="A22" s="73" t="s">
        <v>93</v>
      </c>
      <c r="B22" s="110">
        <v>23</v>
      </c>
      <c r="C22" s="44"/>
      <c r="D22" s="18">
        <v>0</v>
      </c>
      <c r="E22" s="44"/>
      <c r="F22" s="18">
        <v>0</v>
      </c>
      <c r="G22" s="44"/>
      <c r="H22" s="18">
        <v>0</v>
      </c>
      <c r="I22" s="18"/>
      <c r="J22" s="18">
        <v>-23</v>
      </c>
      <c r="K22" s="18"/>
      <c r="L22" s="18">
        <v>0</v>
      </c>
      <c r="M22" s="44"/>
      <c r="N22" s="18">
        <v>0</v>
      </c>
      <c r="O22" s="44"/>
      <c r="P22" s="18">
        <v>0</v>
      </c>
      <c r="Q22" s="44"/>
      <c r="R22" s="110">
        <v>0</v>
      </c>
    </row>
    <row r="23" spans="1:19" s="74" customFormat="1" ht="14.25">
      <c r="A23" s="280" t="s">
        <v>83</v>
      </c>
      <c r="B23" s="108">
        <v>10</v>
      </c>
      <c r="C23" s="57"/>
      <c r="D23" s="57">
        <v>0</v>
      </c>
      <c r="E23" s="57"/>
      <c r="F23" s="19">
        <v>0</v>
      </c>
      <c r="G23" s="57"/>
      <c r="H23" s="57">
        <v>0</v>
      </c>
      <c r="I23" s="57"/>
      <c r="J23" s="57">
        <v>0</v>
      </c>
      <c r="K23" s="57"/>
      <c r="L23" s="57">
        <v>0</v>
      </c>
      <c r="M23" s="57"/>
      <c r="N23" s="57">
        <v>0</v>
      </c>
      <c r="O23" s="57"/>
      <c r="P23" s="57">
        <v>0</v>
      </c>
      <c r="Q23" s="57"/>
      <c r="R23" s="108">
        <v>10</v>
      </c>
    </row>
    <row r="24" spans="1:19" s="74" customFormat="1">
      <c r="B24" s="110"/>
      <c r="C24" s="44"/>
      <c r="D24" s="44"/>
      <c r="E24" s="44"/>
      <c r="F24" s="18"/>
      <c r="G24" s="44"/>
      <c r="H24" s="44"/>
      <c r="I24" s="44"/>
      <c r="J24" s="44"/>
      <c r="K24" s="44"/>
      <c r="L24" s="44"/>
      <c r="M24" s="44"/>
      <c r="N24" s="44"/>
      <c r="O24" s="44"/>
      <c r="P24" s="44"/>
      <c r="Q24" s="44"/>
      <c r="R24" s="110"/>
    </row>
    <row r="25" spans="1:19" s="74" customFormat="1">
      <c r="A25" s="4" t="s">
        <v>86</v>
      </c>
      <c r="B25" s="110">
        <v>-279</v>
      </c>
      <c r="C25" s="44"/>
      <c r="D25" s="18">
        <v>52</v>
      </c>
      <c r="E25" s="44"/>
      <c r="F25" s="18">
        <v>239</v>
      </c>
      <c r="G25" s="44"/>
      <c r="H25" s="18">
        <v>-1</v>
      </c>
      <c r="I25" s="18"/>
      <c r="J25" s="18">
        <v>-23</v>
      </c>
      <c r="K25" s="18"/>
      <c r="L25" s="18">
        <v>161</v>
      </c>
      <c r="M25" s="44"/>
      <c r="N25" s="18">
        <v>174</v>
      </c>
      <c r="O25" s="44"/>
      <c r="P25" s="18">
        <v>0</v>
      </c>
      <c r="Q25" s="44"/>
      <c r="R25" s="110">
        <v>323</v>
      </c>
    </row>
    <row r="26" spans="1:19" s="74" customFormat="1">
      <c r="A26" s="4"/>
      <c r="B26" s="110"/>
      <c r="C26" s="44"/>
      <c r="D26" s="44"/>
      <c r="E26" s="44"/>
      <c r="F26" s="18"/>
      <c r="G26" s="44"/>
      <c r="H26" s="44"/>
      <c r="I26" s="44"/>
      <c r="J26" s="44"/>
      <c r="K26" s="44"/>
      <c r="L26" s="44"/>
      <c r="M26" s="44"/>
      <c r="N26" s="44"/>
      <c r="O26" s="44"/>
      <c r="P26" s="44"/>
      <c r="Q26" s="44"/>
      <c r="R26" s="110"/>
    </row>
    <row r="27" spans="1:19" s="74" customFormat="1" ht="14.25">
      <c r="A27" s="4" t="s">
        <v>23</v>
      </c>
      <c r="B27" s="108">
        <v>-3</v>
      </c>
      <c r="C27" s="57"/>
      <c r="D27" s="19">
        <v>0</v>
      </c>
      <c r="E27" s="57"/>
      <c r="F27" s="19">
        <v>0</v>
      </c>
      <c r="G27" s="57"/>
      <c r="H27" s="19">
        <v>0</v>
      </c>
      <c r="I27" s="19"/>
      <c r="J27" s="19">
        <v>0</v>
      </c>
      <c r="K27" s="19"/>
      <c r="L27" s="19">
        <v>0</v>
      </c>
      <c r="M27" s="57"/>
      <c r="N27" s="19">
        <v>0</v>
      </c>
      <c r="O27" s="57"/>
      <c r="P27" s="57">
        <v>93</v>
      </c>
      <c r="Q27" s="57"/>
      <c r="R27" s="108">
        <v>90</v>
      </c>
      <c r="S27" s="75"/>
    </row>
    <row r="28" spans="1:19" s="74" customFormat="1">
      <c r="B28" s="110"/>
      <c r="C28" s="44"/>
      <c r="D28" s="44"/>
      <c r="E28" s="44"/>
      <c r="F28" s="18"/>
      <c r="G28" s="44"/>
      <c r="H28" s="44"/>
      <c r="I28" s="44"/>
      <c r="J28" s="44"/>
      <c r="K28" s="44"/>
      <c r="L28" s="44"/>
      <c r="M28" s="44"/>
      <c r="N28" s="44"/>
      <c r="O28" s="44"/>
      <c r="P28" s="44"/>
      <c r="Q28" s="44"/>
      <c r="R28" s="110"/>
    </row>
    <row r="29" spans="1:19" s="63" customFormat="1" ht="14.25">
      <c r="A29" s="76" t="s">
        <v>14</v>
      </c>
      <c r="B29" s="112">
        <v>-276</v>
      </c>
      <c r="C29" s="77"/>
      <c r="D29" s="20">
        <v>52</v>
      </c>
      <c r="E29" s="77"/>
      <c r="F29" s="20">
        <v>239</v>
      </c>
      <c r="G29" s="77"/>
      <c r="H29" s="20">
        <v>-1</v>
      </c>
      <c r="I29" s="20"/>
      <c r="J29" s="20">
        <v>-23</v>
      </c>
      <c r="K29" s="20"/>
      <c r="L29" s="20">
        <v>161</v>
      </c>
      <c r="M29" s="77"/>
      <c r="N29" s="20">
        <v>174</v>
      </c>
      <c r="O29" s="77"/>
      <c r="P29" s="20">
        <v>-93</v>
      </c>
      <c r="Q29" s="77"/>
      <c r="R29" s="112">
        <v>233</v>
      </c>
    </row>
    <row r="30" spans="1:19" ht="12" customHeight="1">
      <c r="B30" s="119"/>
      <c r="R30" s="119"/>
    </row>
  </sheetData>
  <mergeCells count="4">
    <mergeCell ref="A1:R1"/>
    <mergeCell ref="A2:R2"/>
    <mergeCell ref="A3:R3"/>
    <mergeCell ref="B6:R6"/>
  </mergeCells>
  <phoneticPr fontId="15" type="noConversion"/>
  <pageMargins left="0.7" right="0.7" top="0.75" bottom="0.75" header="0.3" footer="0.3"/>
  <pageSetup scale="63" orientation="landscape" r:id="rId1"/>
  <headerFooter alignWithMargins="0">
    <oddFooter>&amp;LElectronic Arts Inc.&amp;C&amp;D&amp;R&amp;P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0"/>
  <sheetViews>
    <sheetView zoomScaleNormal="100" workbookViewId="0">
      <pane xSplit="1" ySplit="7" topLeftCell="B8" activePane="bottomRight" state="frozen"/>
      <selection activeCell="H8" sqref="H8"/>
      <selection pane="topRight" activeCell="H8" sqref="H8"/>
      <selection pane="bottomLeft" activeCell="H8" sqref="H8"/>
      <selection pane="bottomRight" activeCell="A6" sqref="A6"/>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2.28515625" style="23" customWidth="1"/>
    <col min="18" max="18" width="14" style="23" customWidth="1"/>
    <col min="19" max="16384" width="11.42578125" style="23"/>
  </cols>
  <sheetData>
    <row r="1" spans="1:18" s="7" customFormat="1" ht="15">
      <c r="A1" s="371" t="s">
        <v>68</v>
      </c>
      <c r="B1" s="370"/>
      <c r="C1" s="370"/>
      <c r="D1" s="370"/>
      <c r="E1" s="370"/>
      <c r="F1" s="370"/>
      <c r="G1" s="370"/>
      <c r="H1" s="370"/>
      <c r="I1" s="370"/>
      <c r="J1" s="370"/>
      <c r="K1" s="370"/>
      <c r="L1" s="370"/>
      <c r="M1" s="370"/>
      <c r="N1" s="370"/>
      <c r="O1" s="370"/>
      <c r="P1" s="370"/>
      <c r="Q1" s="370"/>
      <c r="R1" s="370"/>
    </row>
    <row r="2" spans="1:18" s="7" customFormat="1" ht="15">
      <c r="A2" s="371" t="s">
        <v>128</v>
      </c>
      <c r="B2" s="370"/>
      <c r="C2" s="370"/>
      <c r="D2" s="370"/>
      <c r="E2" s="370"/>
      <c r="F2" s="370"/>
      <c r="G2" s="370"/>
      <c r="H2" s="370"/>
      <c r="I2" s="370"/>
      <c r="J2" s="370"/>
      <c r="K2" s="370"/>
      <c r="L2" s="370"/>
      <c r="M2" s="370"/>
      <c r="N2" s="370"/>
      <c r="O2" s="370"/>
      <c r="P2" s="370"/>
      <c r="Q2" s="370"/>
      <c r="R2" s="370"/>
    </row>
    <row r="3" spans="1:18" s="7" customFormat="1" ht="15">
      <c r="A3" s="371" t="s">
        <v>70</v>
      </c>
      <c r="B3" s="370"/>
      <c r="C3" s="370"/>
      <c r="D3" s="370"/>
      <c r="E3" s="370"/>
      <c r="F3" s="370"/>
      <c r="G3" s="370"/>
      <c r="H3" s="370"/>
      <c r="I3" s="370"/>
      <c r="J3" s="370"/>
      <c r="K3" s="370"/>
      <c r="L3" s="370"/>
      <c r="M3" s="370"/>
      <c r="N3" s="370"/>
      <c r="O3" s="370"/>
      <c r="P3" s="370"/>
      <c r="Q3" s="370"/>
      <c r="R3" s="370"/>
    </row>
    <row r="4" spans="1:18" s="7" customFormat="1">
      <c r="A4" s="6"/>
      <c r="B4" s="6"/>
      <c r="C4" s="6"/>
      <c r="D4" s="6"/>
      <c r="E4" s="6"/>
      <c r="F4" s="6"/>
      <c r="G4" s="6"/>
      <c r="H4" s="6"/>
      <c r="I4" s="6"/>
      <c r="J4" s="6"/>
      <c r="K4" s="6"/>
      <c r="L4" s="6"/>
      <c r="M4" s="6"/>
      <c r="N4" s="6"/>
      <c r="O4" s="6"/>
      <c r="P4" s="6"/>
      <c r="Q4" s="6"/>
      <c r="R4" s="6"/>
    </row>
    <row r="5" spans="1:18" s="7" customFormat="1">
      <c r="B5" s="59"/>
      <c r="C5" s="59"/>
      <c r="D5" s="59"/>
      <c r="E5" s="59"/>
      <c r="F5" s="59"/>
      <c r="G5" s="59"/>
      <c r="H5" s="59"/>
      <c r="I5" s="59"/>
      <c r="J5" s="59"/>
      <c r="K5" s="59"/>
      <c r="L5" s="60"/>
      <c r="M5" s="60"/>
      <c r="N5" s="60"/>
      <c r="O5" s="60"/>
      <c r="P5" s="59"/>
      <c r="Q5" s="59"/>
      <c r="R5" s="59"/>
    </row>
    <row r="6" spans="1:18" s="7" customFormat="1" ht="15">
      <c r="B6" s="379" t="s">
        <v>141</v>
      </c>
      <c r="C6" s="382"/>
      <c r="D6" s="382"/>
      <c r="E6" s="382"/>
      <c r="F6" s="382"/>
      <c r="G6" s="382"/>
      <c r="H6" s="382"/>
      <c r="I6" s="382"/>
      <c r="J6" s="382"/>
      <c r="K6" s="382"/>
      <c r="L6" s="382"/>
      <c r="M6" s="382"/>
      <c r="N6" s="382"/>
      <c r="O6" s="382"/>
      <c r="P6" s="382"/>
      <c r="Q6" s="382"/>
      <c r="R6" s="382"/>
    </row>
    <row r="7" spans="1:18" s="48" customFormat="1" ht="84">
      <c r="B7" s="55" t="s">
        <v>72</v>
      </c>
      <c r="C7" s="62"/>
      <c r="D7" s="56" t="s">
        <v>41</v>
      </c>
      <c r="E7" s="62"/>
      <c r="F7" s="55" t="s">
        <v>73</v>
      </c>
      <c r="G7" s="62"/>
      <c r="H7" s="55" t="s">
        <v>38</v>
      </c>
      <c r="I7" s="62"/>
      <c r="J7" s="55" t="s">
        <v>220</v>
      </c>
      <c r="K7" s="62"/>
      <c r="L7" s="55" t="s">
        <v>144</v>
      </c>
      <c r="M7" s="62"/>
      <c r="N7" s="351" t="s">
        <v>217</v>
      </c>
      <c r="O7" s="62"/>
      <c r="P7" s="351" t="s">
        <v>218</v>
      </c>
      <c r="Q7" s="62"/>
      <c r="R7" s="55" t="s">
        <v>76</v>
      </c>
    </row>
    <row r="8" spans="1:18" s="49" customFormat="1">
      <c r="A8" s="63" t="s">
        <v>0</v>
      </c>
      <c r="B8" s="107">
        <v>3478</v>
      </c>
      <c r="C8" s="64"/>
      <c r="D8" s="64">
        <v>0</v>
      </c>
      <c r="E8" s="64"/>
      <c r="F8" s="15">
        <v>205</v>
      </c>
      <c r="G8" s="64"/>
      <c r="H8" s="64">
        <v>0</v>
      </c>
      <c r="I8" s="64"/>
      <c r="J8" s="64">
        <v>0</v>
      </c>
      <c r="K8" s="64"/>
      <c r="L8" s="64">
        <v>0</v>
      </c>
      <c r="M8" s="64"/>
      <c r="N8" s="64">
        <v>0</v>
      </c>
      <c r="O8" s="64"/>
      <c r="P8" s="64">
        <v>0</v>
      </c>
      <c r="Q8" s="64"/>
      <c r="R8" s="107">
        <v>3683</v>
      </c>
    </row>
    <row r="9" spans="1:18" s="50" customFormat="1" ht="14.25">
      <c r="A9" s="50" t="s">
        <v>202</v>
      </c>
      <c r="B9" s="108">
        <v>1469</v>
      </c>
      <c r="C9" s="57"/>
      <c r="D9" s="57">
        <v>-11</v>
      </c>
      <c r="E9" s="57"/>
      <c r="F9" s="19">
        <v>0</v>
      </c>
      <c r="G9" s="57"/>
      <c r="H9" s="57">
        <v>2</v>
      </c>
      <c r="I9" s="57"/>
      <c r="J9" s="57">
        <v>0</v>
      </c>
      <c r="K9" s="57"/>
      <c r="L9" s="57">
        <v>0</v>
      </c>
      <c r="M9" s="57"/>
      <c r="N9" s="57">
        <v>-3</v>
      </c>
      <c r="O9" s="57"/>
      <c r="P9" s="57">
        <v>0</v>
      </c>
      <c r="Q9" s="57"/>
      <c r="R9" s="108">
        <v>1457</v>
      </c>
    </row>
    <row r="10" spans="1:18" s="66" customFormat="1">
      <c r="A10" s="66" t="s">
        <v>1</v>
      </c>
      <c r="B10" s="109">
        <v>2009</v>
      </c>
      <c r="C10" s="67"/>
      <c r="D10" s="67">
        <v>11</v>
      </c>
      <c r="E10" s="67"/>
      <c r="F10" s="17">
        <v>205</v>
      </c>
      <c r="G10" s="67"/>
      <c r="H10" s="67">
        <v>-2</v>
      </c>
      <c r="I10" s="67"/>
      <c r="J10" s="67">
        <v>0</v>
      </c>
      <c r="K10" s="67"/>
      <c r="L10" s="67">
        <v>0</v>
      </c>
      <c r="M10" s="67"/>
      <c r="N10" s="67">
        <v>3</v>
      </c>
      <c r="O10" s="67"/>
      <c r="P10" s="67">
        <v>0</v>
      </c>
      <c r="Q10" s="67"/>
      <c r="R10" s="109">
        <v>2226</v>
      </c>
    </row>
    <row r="11" spans="1:18" s="50" customFormat="1">
      <c r="A11" s="50" t="s">
        <v>2</v>
      </c>
      <c r="B11" s="110"/>
      <c r="C11" s="44"/>
      <c r="D11" s="44"/>
      <c r="E11" s="44"/>
      <c r="F11" s="18"/>
      <c r="G11" s="44"/>
      <c r="H11" s="44"/>
      <c r="I11" s="44"/>
      <c r="J11" s="44"/>
      <c r="K11" s="44"/>
      <c r="L11" s="44"/>
      <c r="M11" s="44"/>
      <c r="N11" s="44"/>
      <c r="O11" s="44"/>
      <c r="P11" s="44"/>
      <c r="Q11" s="44"/>
      <c r="R11" s="110"/>
    </row>
    <row r="12" spans="1:18" s="50" customFormat="1">
      <c r="A12" s="50" t="s">
        <v>77</v>
      </c>
      <c r="B12" s="110">
        <v>724</v>
      </c>
      <c r="C12" s="44"/>
      <c r="D12" s="44">
        <v>0</v>
      </c>
      <c r="E12" s="44"/>
      <c r="F12" s="18">
        <v>0</v>
      </c>
      <c r="G12" s="44"/>
      <c r="H12" s="44">
        <v>0</v>
      </c>
      <c r="I12" s="44"/>
      <c r="J12" s="44">
        <v>0</v>
      </c>
      <c r="K12" s="44"/>
      <c r="L12" s="44">
        <v>0</v>
      </c>
      <c r="M12" s="44"/>
      <c r="N12" s="44">
        <v>-20</v>
      </c>
      <c r="O12" s="44"/>
      <c r="P12" s="44">
        <v>0</v>
      </c>
      <c r="Q12" s="44"/>
      <c r="R12" s="110">
        <v>704</v>
      </c>
    </row>
    <row r="13" spans="1:18" s="50" customFormat="1">
      <c r="A13" s="50" t="s">
        <v>78</v>
      </c>
      <c r="B13" s="110">
        <v>305</v>
      </c>
      <c r="C13" s="44"/>
      <c r="D13" s="44">
        <v>0</v>
      </c>
      <c r="E13" s="44"/>
      <c r="F13" s="18">
        <v>0</v>
      </c>
      <c r="G13" s="44"/>
      <c r="H13" s="44">
        <v>0</v>
      </c>
      <c r="I13" s="44"/>
      <c r="J13" s="44">
        <v>0</v>
      </c>
      <c r="K13" s="44"/>
      <c r="L13" s="44">
        <v>0</v>
      </c>
      <c r="M13" s="44"/>
      <c r="N13" s="44">
        <v>-41</v>
      </c>
      <c r="O13" s="44"/>
      <c r="P13" s="44">
        <v>0</v>
      </c>
      <c r="Q13" s="44"/>
      <c r="R13" s="110">
        <v>264</v>
      </c>
    </row>
    <row r="14" spans="1:18" s="50" customFormat="1">
      <c r="A14" s="50" t="s">
        <v>79</v>
      </c>
      <c r="B14" s="110">
        <v>1136</v>
      </c>
      <c r="C14" s="44"/>
      <c r="D14" s="44">
        <v>0</v>
      </c>
      <c r="E14" s="44"/>
      <c r="F14" s="18">
        <v>0</v>
      </c>
      <c r="G14" s="44"/>
      <c r="H14" s="44">
        <v>0</v>
      </c>
      <c r="I14" s="44"/>
      <c r="J14" s="44">
        <v>0</v>
      </c>
      <c r="K14" s="44"/>
      <c r="L14" s="44">
        <v>0</v>
      </c>
      <c r="M14" s="44"/>
      <c r="N14" s="44">
        <v>-114</v>
      </c>
      <c r="O14" s="44"/>
      <c r="P14" s="44">
        <v>0</v>
      </c>
      <c r="Q14" s="44"/>
      <c r="R14" s="110">
        <v>1022</v>
      </c>
    </row>
    <row r="15" spans="1:18" s="50" customFormat="1">
      <c r="A15" s="50" t="s">
        <v>80</v>
      </c>
      <c r="B15" s="110">
        <v>-23</v>
      </c>
      <c r="C15" s="44"/>
      <c r="D15" s="44">
        <v>23</v>
      </c>
      <c r="E15" s="44"/>
      <c r="F15" s="18">
        <v>0</v>
      </c>
      <c r="G15" s="44"/>
      <c r="H15" s="44">
        <v>0</v>
      </c>
      <c r="I15" s="44"/>
      <c r="J15" s="44">
        <v>0</v>
      </c>
      <c r="K15" s="44"/>
      <c r="L15" s="44">
        <v>0</v>
      </c>
      <c r="M15" s="44"/>
      <c r="N15" s="44">
        <v>0</v>
      </c>
      <c r="O15" s="44"/>
      <c r="P15" s="44">
        <v>0</v>
      </c>
      <c r="Q15" s="44"/>
      <c r="R15" s="110">
        <v>0</v>
      </c>
    </row>
    <row r="16" spans="1:18" s="50" customFormat="1">
      <c r="A16" s="50" t="s">
        <v>81</v>
      </c>
      <c r="B16" s="110">
        <v>59</v>
      </c>
      <c r="C16" s="44"/>
      <c r="D16" s="44">
        <v>-59</v>
      </c>
      <c r="E16" s="44"/>
      <c r="F16" s="18">
        <v>0</v>
      </c>
      <c r="G16" s="44"/>
      <c r="H16" s="44">
        <v>0</v>
      </c>
      <c r="I16" s="44"/>
      <c r="J16" s="44">
        <v>0</v>
      </c>
      <c r="K16" s="44"/>
      <c r="L16" s="44">
        <v>0</v>
      </c>
      <c r="M16" s="44"/>
      <c r="N16" s="44">
        <v>0</v>
      </c>
      <c r="O16" s="44"/>
      <c r="P16" s="44">
        <v>0</v>
      </c>
      <c r="Q16" s="44"/>
      <c r="R16" s="110">
        <v>0</v>
      </c>
    </row>
    <row r="17" spans="1:18" s="50" customFormat="1" ht="14.25">
      <c r="A17" s="50" t="s">
        <v>207</v>
      </c>
      <c r="B17" s="111">
        <v>182</v>
      </c>
      <c r="C17" s="57"/>
      <c r="D17" s="57">
        <v>0</v>
      </c>
      <c r="E17" s="57"/>
      <c r="F17" s="19">
        <v>0</v>
      </c>
      <c r="G17" s="57"/>
      <c r="H17" s="57">
        <v>0</v>
      </c>
      <c r="I17" s="57"/>
      <c r="J17" s="57">
        <v>0</v>
      </c>
      <c r="K17" s="57"/>
      <c r="L17" s="57">
        <v>-182</v>
      </c>
      <c r="M17" s="57"/>
      <c r="N17" s="57">
        <v>0</v>
      </c>
      <c r="O17" s="57"/>
      <c r="P17" s="57">
        <v>0</v>
      </c>
      <c r="Q17" s="57"/>
      <c r="R17" s="108">
        <v>0</v>
      </c>
    </row>
    <row r="18" spans="1:18" s="50" customFormat="1" ht="14.25">
      <c r="A18" s="50" t="s">
        <v>82</v>
      </c>
      <c r="B18" s="108">
        <v>2383</v>
      </c>
      <c r="C18" s="57"/>
      <c r="D18" s="57">
        <v>-36</v>
      </c>
      <c r="E18" s="57"/>
      <c r="F18" s="19">
        <v>0</v>
      </c>
      <c r="G18" s="57"/>
      <c r="H18" s="57">
        <v>0</v>
      </c>
      <c r="I18" s="57"/>
      <c r="J18" s="57">
        <v>0</v>
      </c>
      <c r="K18" s="57"/>
      <c r="L18" s="57">
        <v>-182</v>
      </c>
      <c r="M18" s="57"/>
      <c r="N18" s="57">
        <v>-175</v>
      </c>
      <c r="O18" s="57"/>
      <c r="P18" s="57">
        <v>0</v>
      </c>
      <c r="Q18" s="57"/>
      <c r="R18" s="108">
        <v>1990</v>
      </c>
    </row>
    <row r="19" spans="1:18" s="50" customFormat="1">
      <c r="B19" s="110"/>
      <c r="C19" s="44"/>
      <c r="D19" s="44"/>
      <c r="E19" s="44"/>
      <c r="F19" s="18"/>
      <c r="G19" s="44"/>
      <c r="H19" s="44"/>
      <c r="I19" s="44"/>
      <c r="J19" s="44"/>
      <c r="K19" s="44"/>
      <c r="L19" s="44"/>
      <c r="M19" s="44"/>
      <c r="N19" s="44"/>
      <c r="O19" s="44"/>
      <c r="P19" s="44"/>
      <c r="Q19" s="44"/>
      <c r="R19" s="110"/>
    </row>
    <row r="20" spans="1:18" s="71" customFormat="1">
      <c r="A20" s="1" t="s">
        <v>11</v>
      </c>
      <c r="B20" s="109">
        <v>-374</v>
      </c>
      <c r="C20" s="67"/>
      <c r="D20" s="17">
        <v>47</v>
      </c>
      <c r="E20" s="67"/>
      <c r="F20" s="17">
        <v>205</v>
      </c>
      <c r="G20" s="67"/>
      <c r="H20" s="17">
        <v>-2</v>
      </c>
      <c r="I20" s="17"/>
      <c r="J20" s="17">
        <v>0</v>
      </c>
      <c r="K20" s="17"/>
      <c r="L20" s="17">
        <v>182</v>
      </c>
      <c r="M20" s="67"/>
      <c r="N20" s="17">
        <v>178</v>
      </c>
      <c r="O20" s="67"/>
      <c r="P20" s="17">
        <v>0</v>
      </c>
      <c r="Q20" s="67"/>
      <c r="R20" s="109">
        <v>236</v>
      </c>
    </row>
    <row r="21" spans="1:18" s="71" customFormat="1">
      <c r="A21" s="72"/>
      <c r="B21" s="109"/>
      <c r="C21" s="67"/>
      <c r="D21" s="67"/>
      <c r="E21" s="67"/>
      <c r="F21" s="17"/>
      <c r="G21" s="67"/>
      <c r="H21" s="67"/>
      <c r="I21" s="67"/>
      <c r="J21" s="67"/>
      <c r="K21" s="67"/>
      <c r="L21" s="67"/>
      <c r="M21" s="67"/>
      <c r="N21" s="67"/>
      <c r="O21" s="67"/>
      <c r="P21" s="67"/>
      <c r="Q21" s="67"/>
      <c r="R21" s="109"/>
    </row>
    <row r="22" spans="1:18" s="74" customFormat="1">
      <c r="A22" s="73" t="s">
        <v>93</v>
      </c>
      <c r="B22" s="110">
        <v>22</v>
      </c>
      <c r="C22" s="44"/>
      <c r="D22" s="18">
        <v>0</v>
      </c>
      <c r="E22" s="44"/>
      <c r="F22" s="18">
        <v>0</v>
      </c>
      <c r="G22" s="44"/>
      <c r="H22" s="18">
        <v>0</v>
      </c>
      <c r="I22" s="18"/>
      <c r="J22" s="18">
        <v>-22</v>
      </c>
      <c r="K22" s="18"/>
      <c r="L22" s="18">
        <v>0</v>
      </c>
      <c r="M22" s="44"/>
      <c r="N22" s="18">
        <v>0</v>
      </c>
      <c r="O22" s="44"/>
      <c r="P22" s="18">
        <v>0</v>
      </c>
      <c r="Q22" s="44"/>
      <c r="R22" s="110">
        <v>0</v>
      </c>
    </row>
    <row r="23" spans="1:18" s="74" customFormat="1" ht="14.25">
      <c r="A23" s="280" t="s">
        <v>83</v>
      </c>
      <c r="B23" s="108">
        <v>4</v>
      </c>
      <c r="C23" s="57"/>
      <c r="D23" s="57">
        <v>0</v>
      </c>
      <c r="E23" s="57"/>
      <c r="F23" s="19">
        <v>0</v>
      </c>
      <c r="G23" s="57"/>
      <c r="H23" s="57">
        <v>0</v>
      </c>
      <c r="I23" s="57"/>
      <c r="J23" s="57">
        <v>0</v>
      </c>
      <c r="K23" s="57"/>
      <c r="L23" s="57">
        <v>0</v>
      </c>
      <c r="M23" s="57"/>
      <c r="N23" s="57">
        <v>0</v>
      </c>
      <c r="O23" s="57"/>
      <c r="P23" s="57">
        <v>0</v>
      </c>
      <c r="Q23" s="57"/>
      <c r="R23" s="108">
        <v>4</v>
      </c>
    </row>
    <row r="24" spans="1:18" s="74" customFormat="1">
      <c r="B24" s="110"/>
      <c r="C24" s="44"/>
      <c r="D24" s="44"/>
      <c r="E24" s="44"/>
      <c r="F24" s="18"/>
      <c r="G24" s="44"/>
      <c r="H24" s="44"/>
      <c r="I24" s="44"/>
      <c r="J24" s="44"/>
      <c r="K24" s="44"/>
      <c r="L24" s="44"/>
      <c r="M24" s="44"/>
      <c r="N24" s="44"/>
      <c r="O24" s="44"/>
      <c r="P24" s="44"/>
      <c r="Q24" s="44"/>
      <c r="R24" s="110"/>
    </row>
    <row r="25" spans="1:18" s="74" customFormat="1">
      <c r="A25" s="4" t="s">
        <v>96</v>
      </c>
      <c r="B25" s="110">
        <v>-348</v>
      </c>
      <c r="C25" s="44"/>
      <c r="D25" s="18">
        <v>47</v>
      </c>
      <c r="E25" s="44"/>
      <c r="F25" s="18">
        <v>205</v>
      </c>
      <c r="G25" s="44"/>
      <c r="H25" s="18">
        <v>-2</v>
      </c>
      <c r="I25" s="18"/>
      <c r="J25" s="18">
        <v>-22</v>
      </c>
      <c r="K25" s="18"/>
      <c r="L25" s="18">
        <v>182</v>
      </c>
      <c r="M25" s="44"/>
      <c r="N25" s="18">
        <v>178</v>
      </c>
      <c r="O25" s="44"/>
      <c r="P25" s="18">
        <v>0</v>
      </c>
      <c r="Q25" s="44"/>
      <c r="R25" s="110">
        <v>240</v>
      </c>
    </row>
    <row r="26" spans="1:18" s="74" customFormat="1">
      <c r="A26" s="4"/>
      <c r="B26" s="110"/>
      <c r="C26" s="44"/>
      <c r="D26" s="44"/>
      <c r="E26" s="44"/>
      <c r="F26" s="18"/>
      <c r="G26" s="44"/>
      <c r="H26" s="44"/>
      <c r="I26" s="44"/>
      <c r="J26" s="44"/>
      <c r="K26" s="44"/>
      <c r="L26" s="44"/>
      <c r="M26" s="44"/>
      <c r="N26" s="44"/>
      <c r="O26" s="44"/>
      <c r="P26" s="44"/>
      <c r="Q26" s="44"/>
      <c r="R26" s="110"/>
    </row>
    <row r="27" spans="1:18" s="74" customFormat="1" ht="14.25">
      <c r="A27" s="4" t="s">
        <v>90</v>
      </c>
      <c r="B27" s="108">
        <v>49</v>
      </c>
      <c r="C27" s="57"/>
      <c r="D27" s="19">
        <v>0</v>
      </c>
      <c r="E27" s="57"/>
      <c r="F27" s="19">
        <v>0</v>
      </c>
      <c r="G27" s="57"/>
      <c r="H27" s="19">
        <v>0</v>
      </c>
      <c r="I27" s="19"/>
      <c r="J27" s="19">
        <v>0</v>
      </c>
      <c r="K27" s="19"/>
      <c r="L27" s="19">
        <v>0</v>
      </c>
      <c r="M27" s="57"/>
      <c r="N27" s="19">
        <v>0</v>
      </c>
      <c r="O27" s="57"/>
      <c r="P27" s="57">
        <v>18</v>
      </c>
      <c r="Q27" s="57"/>
      <c r="R27" s="108">
        <v>67</v>
      </c>
    </row>
    <row r="28" spans="1:18" s="74" customFormat="1">
      <c r="B28" s="110"/>
      <c r="C28" s="44"/>
      <c r="D28" s="44"/>
      <c r="E28" s="44"/>
      <c r="F28" s="18"/>
      <c r="G28" s="44"/>
      <c r="H28" s="44"/>
      <c r="I28" s="44"/>
      <c r="J28" s="44"/>
      <c r="K28" s="44"/>
      <c r="L28" s="44"/>
      <c r="M28" s="44"/>
      <c r="N28" s="44"/>
      <c r="O28" s="44"/>
      <c r="P28" s="44"/>
      <c r="Q28" s="44"/>
      <c r="R28" s="110"/>
    </row>
    <row r="29" spans="1:18" s="63" customFormat="1" ht="14.25">
      <c r="A29" s="76" t="s">
        <v>14</v>
      </c>
      <c r="B29" s="112">
        <v>-397</v>
      </c>
      <c r="C29" s="77"/>
      <c r="D29" s="20">
        <v>47</v>
      </c>
      <c r="E29" s="77"/>
      <c r="F29" s="20">
        <v>205</v>
      </c>
      <c r="G29" s="77"/>
      <c r="H29" s="20">
        <v>-2</v>
      </c>
      <c r="I29" s="20"/>
      <c r="J29" s="20">
        <v>-22</v>
      </c>
      <c r="K29" s="20"/>
      <c r="L29" s="20">
        <v>182</v>
      </c>
      <c r="M29" s="77"/>
      <c r="N29" s="20">
        <v>178</v>
      </c>
      <c r="O29" s="77"/>
      <c r="P29" s="20">
        <v>-18</v>
      </c>
      <c r="Q29" s="77"/>
      <c r="R29" s="112">
        <v>173</v>
      </c>
    </row>
    <row r="30" spans="1:18" ht="12" customHeight="1">
      <c r="B30" s="119"/>
      <c r="R30" s="119"/>
    </row>
  </sheetData>
  <mergeCells count="4">
    <mergeCell ref="A1:R1"/>
    <mergeCell ref="A2:R2"/>
    <mergeCell ref="A3:R3"/>
    <mergeCell ref="B6:R6"/>
  </mergeCells>
  <phoneticPr fontId="15" type="noConversion"/>
  <pageMargins left="0.7" right="0.7" top="0.75" bottom="0.75" header="0.3" footer="0.3"/>
  <pageSetup scale="64" orientation="landscape" r:id="rId1"/>
  <headerFooter>
    <oddFooter>&amp;LElectronic Arts Inc.&amp;C&amp;D&amp;R&amp;P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R30"/>
  <sheetViews>
    <sheetView zoomScale="80" zoomScaleNormal="80" workbookViewId="0">
      <pane xSplit="1" ySplit="7" topLeftCell="B8" activePane="bottomRight" state="frozen"/>
      <selection activeCell="H8" sqref="H8"/>
      <selection pane="topRight" activeCell="H8" sqref="H8"/>
      <selection pane="bottomLeft" activeCell="H8" sqref="H8"/>
      <selection pane="bottomRight" activeCell="A6" sqref="A6"/>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4.42578125" style="23" customWidth="1"/>
    <col min="9" max="9" width="1.5703125" style="23" customWidth="1"/>
    <col min="10" max="10" width="14.5703125" style="23" customWidth="1"/>
    <col min="11" max="11" width="1.7109375" style="23" customWidth="1"/>
    <col min="12" max="12" width="15.42578125" style="23" customWidth="1"/>
    <col min="13" max="13" width="1.7109375" style="23" customWidth="1"/>
    <col min="14" max="14" width="16.140625" style="23" customWidth="1"/>
    <col min="15" max="15" width="1.7109375" style="23" customWidth="1"/>
    <col min="16" max="16" width="15.140625" style="23" customWidth="1"/>
    <col min="17" max="17" width="1.5703125" style="23" customWidth="1"/>
    <col min="18" max="18" width="14" style="23" customWidth="1"/>
    <col min="19" max="16384" width="11.42578125" style="23"/>
  </cols>
  <sheetData>
    <row r="1" spans="1:18" s="7" customFormat="1" ht="15">
      <c r="A1" s="371" t="s">
        <v>68</v>
      </c>
      <c r="B1" s="374"/>
      <c r="C1" s="374"/>
      <c r="D1" s="374"/>
      <c r="E1" s="374"/>
      <c r="F1" s="374"/>
      <c r="G1" s="374"/>
      <c r="H1" s="374"/>
      <c r="I1" s="374"/>
      <c r="J1" s="374"/>
      <c r="K1" s="374"/>
      <c r="L1" s="374"/>
      <c r="M1" s="374"/>
      <c r="N1" s="374"/>
      <c r="O1" s="374"/>
      <c r="P1" s="374"/>
      <c r="Q1" s="374"/>
      <c r="R1" s="374"/>
    </row>
    <row r="2" spans="1:18" s="7" customFormat="1" ht="15">
      <c r="A2" s="371" t="s">
        <v>128</v>
      </c>
      <c r="B2" s="374"/>
      <c r="C2" s="374"/>
      <c r="D2" s="374"/>
      <c r="E2" s="374"/>
      <c r="F2" s="374"/>
      <c r="G2" s="374"/>
      <c r="H2" s="374"/>
      <c r="I2" s="374"/>
      <c r="J2" s="374"/>
      <c r="K2" s="374"/>
      <c r="L2" s="374"/>
      <c r="M2" s="374"/>
      <c r="N2" s="374"/>
      <c r="O2" s="374"/>
      <c r="P2" s="374"/>
      <c r="Q2" s="374"/>
      <c r="R2" s="374"/>
    </row>
    <row r="3" spans="1:18" s="7" customFormat="1" ht="15">
      <c r="A3" s="371" t="s">
        <v>70</v>
      </c>
      <c r="B3" s="374"/>
      <c r="C3" s="374"/>
      <c r="D3" s="374"/>
      <c r="E3" s="374"/>
      <c r="F3" s="374"/>
      <c r="G3" s="374"/>
      <c r="H3" s="374"/>
      <c r="I3" s="374"/>
      <c r="J3" s="374"/>
      <c r="K3" s="374"/>
      <c r="L3" s="374"/>
      <c r="M3" s="374"/>
      <c r="N3" s="374"/>
      <c r="O3" s="374"/>
      <c r="P3" s="374"/>
      <c r="Q3" s="374"/>
      <c r="R3" s="374"/>
    </row>
    <row r="4" spans="1:18" s="7" customFormat="1">
      <c r="A4" s="6"/>
      <c r="B4" s="6"/>
      <c r="C4" s="6"/>
      <c r="D4" s="6"/>
      <c r="E4" s="6"/>
      <c r="F4" s="6"/>
      <c r="G4" s="6"/>
      <c r="H4" s="6"/>
      <c r="I4" s="6"/>
      <c r="J4" s="6"/>
      <c r="K4" s="6"/>
      <c r="L4" s="6"/>
      <c r="M4" s="6"/>
      <c r="N4" s="6"/>
      <c r="O4" s="6"/>
      <c r="P4" s="6"/>
      <c r="Q4" s="6"/>
      <c r="R4" s="6"/>
    </row>
    <row r="5" spans="1:18" s="7" customFormat="1">
      <c r="B5" s="59"/>
      <c r="C5" s="59"/>
      <c r="D5" s="59"/>
      <c r="E5" s="59"/>
      <c r="F5" s="59"/>
      <c r="G5" s="59"/>
      <c r="H5" s="59"/>
      <c r="I5" s="59"/>
      <c r="J5" s="59"/>
      <c r="K5" s="59"/>
      <c r="L5" s="60"/>
      <c r="M5" s="60"/>
      <c r="N5" s="60"/>
      <c r="O5" s="60"/>
      <c r="P5" s="59"/>
      <c r="Q5" s="59"/>
      <c r="R5" s="59"/>
    </row>
    <row r="6" spans="1:18" s="7" customFormat="1" ht="15">
      <c r="B6" s="379" t="s">
        <v>125</v>
      </c>
      <c r="C6" s="384"/>
      <c r="D6" s="384"/>
      <c r="E6" s="384"/>
      <c r="F6" s="384"/>
      <c r="G6" s="384"/>
      <c r="H6" s="384"/>
      <c r="I6" s="384"/>
      <c r="J6" s="384"/>
      <c r="K6" s="384"/>
      <c r="L6" s="384"/>
      <c r="M6" s="384"/>
      <c r="N6" s="384"/>
      <c r="O6" s="384"/>
      <c r="P6" s="384"/>
      <c r="Q6" s="384"/>
      <c r="R6" s="384"/>
    </row>
    <row r="7" spans="1:18" s="48" customFormat="1" ht="84">
      <c r="B7" s="55" t="s">
        <v>72</v>
      </c>
      <c r="C7" s="62"/>
      <c r="D7" s="56" t="s">
        <v>41</v>
      </c>
      <c r="E7" s="62"/>
      <c r="F7" s="55" t="s">
        <v>73</v>
      </c>
      <c r="G7" s="62"/>
      <c r="H7" s="55" t="s">
        <v>38</v>
      </c>
      <c r="I7" s="62"/>
      <c r="J7" s="55" t="s">
        <v>219</v>
      </c>
      <c r="K7" s="62"/>
      <c r="L7" s="55" t="s">
        <v>144</v>
      </c>
      <c r="M7" s="62"/>
      <c r="N7" s="351" t="s">
        <v>217</v>
      </c>
      <c r="O7" s="62"/>
      <c r="P7" s="351" t="s">
        <v>218</v>
      </c>
      <c r="Q7" s="62"/>
      <c r="R7" s="55" t="s">
        <v>76</v>
      </c>
    </row>
    <row r="8" spans="1:18" s="49" customFormat="1">
      <c r="A8" s="63" t="s">
        <v>0</v>
      </c>
      <c r="B8" s="107">
        <v>3668</v>
      </c>
      <c r="C8" s="64"/>
      <c r="D8" s="64">
        <v>0</v>
      </c>
      <c r="E8" s="64"/>
      <c r="F8" s="15">
        <v>-49</v>
      </c>
      <c r="G8" s="64"/>
      <c r="H8" s="64">
        <v>0</v>
      </c>
      <c r="I8" s="64"/>
      <c r="J8" s="64">
        <v>0</v>
      </c>
      <c r="K8" s="64"/>
      <c r="L8" s="64">
        <v>0</v>
      </c>
      <c r="M8" s="64"/>
      <c r="N8" s="64">
        <v>0</v>
      </c>
      <c r="O8" s="64"/>
      <c r="P8" s="64">
        <v>0</v>
      </c>
      <c r="Q8" s="64"/>
      <c r="R8" s="107">
        <v>3619</v>
      </c>
    </row>
    <row r="9" spans="1:18" s="50" customFormat="1" ht="14.25">
      <c r="A9" s="50" t="s">
        <v>202</v>
      </c>
      <c r="B9" s="108">
        <v>1537</v>
      </c>
      <c r="C9" s="57"/>
      <c r="D9" s="57">
        <v>-10</v>
      </c>
      <c r="E9" s="57"/>
      <c r="F9" s="19">
        <v>0</v>
      </c>
      <c r="G9" s="57"/>
      <c r="H9" s="57">
        <v>2</v>
      </c>
      <c r="I9" s="57"/>
      <c r="J9" s="57">
        <v>0</v>
      </c>
      <c r="K9" s="57"/>
      <c r="L9" s="57">
        <v>0</v>
      </c>
      <c r="M9" s="57"/>
      <c r="N9" s="57">
        <v>-2</v>
      </c>
      <c r="O9" s="57"/>
      <c r="P9" s="57">
        <v>0</v>
      </c>
      <c r="Q9" s="57"/>
      <c r="R9" s="108">
        <v>1527</v>
      </c>
    </row>
    <row r="10" spans="1:18" s="66" customFormat="1">
      <c r="A10" s="66" t="s">
        <v>1</v>
      </c>
      <c r="B10" s="109">
        <v>2131</v>
      </c>
      <c r="C10" s="67"/>
      <c r="D10" s="67">
        <v>10</v>
      </c>
      <c r="E10" s="67"/>
      <c r="F10" s="17">
        <v>-49</v>
      </c>
      <c r="G10" s="67"/>
      <c r="H10" s="67">
        <v>-2</v>
      </c>
      <c r="I10" s="67"/>
      <c r="J10" s="67">
        <v>0</v>
      </c>
      <c r="K10" s="67"/>
      <c r="L10" s="67">
        <v>0</v>
      </c>
      <c r="M10" s="67"/>
      <c r="N10" s="67">
        <v>2</v>
      </c>
      <c r="O10" s="67"/>
      <c r="P10" s="67">
        <v>0</v>
      </c>
      <c r="Q10" s="67"/>
      <c r="R10" s="109">
        <v>2092</v>
      </c>
    </row>
    <row r="11" spans="1:18" s="50" customFormat="1">
      <c r="A11" s="50" t="s">
        <v>2</v>
      </c>
      <c r="B11" s="110"/>
      <c r="C11" s="44"/>
      <c r="D11" s="44"/>
      <c r="E11" s="44"/>
      <c r="F11" s="18"/>
      <c r="G11" s="44"/>
      <c r="H11" s="44"/>
      <c r="I11" s="44"/>
      <c r="J11" s="44"/>
      <c r="K11" s="44"/>
      <c r="L11" s="44"/>
      <c r="M11" s="44"/>
      <c r="N11" s="44"/>
      <c r="O11" s="44"/>
      <c r="P11" s="44"/>
      <c r="Q11" s="44"/>
      <c r="R11" s="110"/>
    </row>
    <row r="12" spans="1:18" s="50" customFormat="1">
      <c r="A12" s="50" t="s">
        <v>77</v>
      </c>
      <c r="B12" s="110">
        <v>679</v>
      </c>
      <c r="C12" s="44"/>
      <c r="D12" s="44">
        <v>0</v>
      </c>
      <c r="E12" s="44"/>
      <c r="F12" s="18">
        <v>0</v>
      </c>
      <c r="G12" s="44"/>
      <c r="H12" s="44">
        <v>0</v>
      </c>
      <c r="I12" s="44"/>
      <c r="J12" s="44">
        <v>0</v>
      </c>
      <c r="K12" s="44"/>
      <c r="L12" s="44">
        <v>0</v>
      </c>
      <c r="M12" s="44"/>
      <c r="N12" s="44">
        <v>-18</v>
      </c>
      <c r="O12" s="44"/>
      <c r="P12" s="44">
        <v>0</v>
      </c>
      <c r="Q12" s="44"/>
      <c r="R12" s="110">
        <v>661</v>
      </c>
    </row>
    <row r="13" spans="1:18" s="50" customFormat="1">
      <c r="A13" s="50" t="s">
        <v>78</v>
      </c>
      <c r="B13" s="110">
        <v>314</v>
      </c>
      <c r="C13" s="44"/>
      <c r="D13" s="44">
        <v>0</v>
      </c>
      <c r="E13" s="44"/>
      <c r="F13" s="18">
        <v>0</v>
      </c>
      <c r="G13" s="44"/>
      <c r="H13" s="44">
        <v>0</v>
      </c>
      <c r="I13" s="44"/>
      <c r="J13" s="44">
        <v>0</v>
      </c>
      <c r="K13" s="44"/>
      <c r="L13" s="44">
        <v>0</v>
      </c>
      <c r="M13" s="44"/>
      <c r="N13" s="44">
        <v>-40</v>
      </c>
      <c r="O13" s="44"/>
      <c r="P13" s="44">
        <v>0</v>
      </c>
      <c r="Q13" s="44"/>
      <c r="R13" s="110">
        <v>274</v>
      </c>
    </row>
    <row r="14" spans="1:18" s="50" customFormat="1">
      <c r="A14" s="50" t="s">
        <v>79</v>
      </c>
      <c r="B14" s="110">
        <v>1153</v>
      </c>
      <c r="C14" s="44"/>
      <c r="D14" s="44">
        <v>0</v>
      </c>
      <c r="E14" s="44"/>
      <c r="F14" s="18">
        <v>0</v>
      </c>
      <c r="G14" s="44"/>
      <c r="H14" s="44">
        <v>0</v>
      </c>
      <c r="I14" s="44"/>
      <c r="J14" s="44">
        <v>0</v>
      </c>
      <c r="K14" s="44"/>
      <c r="L14" s="44">
        <v>0</v>
      </c>
      <c r="M14" s="44"/>
      <c r="N14" s="44">
        <v>-114</v>
      </c>
      <c r="O14" s="44"/>
      <c r="P14" s="44">
        <v>0</v>
      </c>
      <c r="Q14" s="44"/>
      <c r="R14" s="110">
        <v>1039</v>
      </c>
    </row>
    <row r="15" spans="1:18" s="50" customFormat="1">
      <c r="A15" s="50" t="s">
        <v>80</v>
      </c>
      <c r="B15" s="110">
        <v>-24</v>
      </c>
      <c r="C15" s="44"/>
      <c r="D15" s="44">
        <v>24</v>
      </c>
      <c r="E15" s="44"/>
      <c r="F15" s="18">
        <v>0</v>
      </c>
      <c r="G15" s="44"/>
      <c r="H15" s="44">
        <v>0</v>
      </c>
      <c r="I15" s="44"/>
      <c r="J15" s="44">
        <v>0</v>
      </c>
      <c r="K15" s="44"/>
      <c r="L15" s="44">
        <v>0</v>
      </c>
      <c r="M15" s="44"/>
      <c r="N15" s="44">
        <v>0</v>
      </c>
      <c r="O15" s="44"/>
      <c r="P15" s="44">
        <v>0</v>
      </c>
      <c r="Q15" s="44"/>
      <c r="R15" s="110">
        <v>0</v>
      </c>
    </row>
    <row r="16" spans="1:18" s="50" customFormat="1">
      <c r="A16" s="50" t="s">
        <v>81</v>
      </c>
      <c r="B16" s="110">
        <v>59</v>
      </c>
      <c r="C16" s="44"/>
      <c r="D16" s="44">
        <v>-59</v>
      </c>
      <c r="E16" s="44"/>
      <c r="F16" s="18">
        <v>0</v>
      </c>
      <c r="G16" s="44"/>
      <c r="H16" s="44">
        <v>0</v>
      </c>
      <c r="I16" s="44"/>
      <c r="J16" s="44">
        <v>0</v>
      </c>
      <c r="K16" s="44"/>
      <c r="L16" s="44">
        <v>0</v>
      </c>
      <c r="M16" s="44"/>
      <c r="N16" s="44">
        <v>0</v>
      </c>
      <c r="O16" s="44"/>
      <c r="P16" s="44">
        <v>0</v>
      </c>
      <c r="Q16" s="44"/>
      <c r="R16" s="110">
        <v>0</v>
      </c>
    </row>
    <row r="17" spans="1:18" s="50" customFormat="1" ht="14.25">
      <c r="A17" s="50" t="s">
        <v>207</v>
      </c>
      <c r="B17" s="111">
        <v>128</v>
      </c>
      <c r="C17" s="57"/>
      <c r="D17" s="57">
        <v>0</v>
      </c>
      <c r="E17" s="57"/>
      <c r="F17" s="19">
        <v>0</v>
      </c>
      <c r="G17" s="57"/>
      <c r="H17" s="57">
        <v>0</v>
      </c>
      <c r="I17" s="57"/>
      <c r="J17" s="57">
        <v>0</v>
      </c>
      <c r="K17" s="57"/>
      <c r="L17" s="57">
        <v>-128</v>
      </c>
      <c r="M17" s="57"/>
      <c r="N17" s="57">
        <v>0</v>
      </c>
      <c r="O17" s="57"/>
      <c r="P17" s="57">
        <v>0</v>
      </c>
      <c r="Q17" s="57"/>
      <c r="R17" s="108">
        <v>0</v>
      </c>
    </row>
    <row r="18" spans="1:18" s="50" customFormat="1" ht="14.25">
      <c r="A18" s="50" t="s">
        <v>82</v>
      </c>
      <c r="B18" s="108">
        <v>2309</v>
      </c>
      <c r="C18" s="57"/>
      <c r="D18" s="57">
        <v>-35</v>
      </c>
      <c r="E18" s="57"/>
      <c r="F18" s="19">
        <v>0</v>
      </c>
      <c r="G18" s="57"/>
      <c r="H18" s="57">
        <v>0</v>
      </c>
      <c r="I18" s="57"/>
      <c r="J18" s="57">
        <v>0</v>
      </c>
      <c r="K18" s="57"/>
      <c r="L18" s="57">
        <v>-128</v>
      </c>
      <c r="M18" s="57"/>
      <c r="N18" s="57">
        <v>-172</v>
      </c>
      <c r="O18" s="57"/>
      <c r="P18" s="57">
        <v>0</v>
      </c>
      <c r="Q18" s="57"/>
      <c r="R18" s="108">
        <v>1974</v>
      </c>
    </row>
    <row r="19" spans="1:18" s="50" customFormat="1">
      <c r="B19" s="110"/>
      <c r="C19" s="44"/>
      <c r="D19" s="44"/>
      <c r="E19" s="44"/>
      <c r="F19" s="18"/>
      <c r="G19" s="44"/>
      <c r="H19" s="44"/>
      <c r="I19" s="44"/>
      <c r="J19" s="44"/>
      <c r="K19" s="44"/>
      <c r="L19" s="44"/>
      <c r="M19" s="44"/>
      <c r="N19" s="44"/>
      <c r="O19" s="44"/>
      <c r="P19" s="44"/>
      <c r="Q19" s="44"/>
      <c r="R19" s="110"/>
    </row>
    <row r="20" spans="1:18" s="71" customFormat="1">
      <c r="A20" s="1" t="s">
        <v>11</v>
      </c>
      <c r="B20" s="109">
        <v>-178</v>
      </c>
      <c r="C20" s="67"/>
      <c r="D20" s="17">
        <v>45</v>
      </c>
      <c r="E20" s="67"/>
      <c r="F20" s="17">
        <v>-49</v>
      </c>
      <c r="G20" s="67"/>
      <c r="H20" s="17">
        <v>-2</v>
      </c>
      <c r="I20" s="17"/>
      <c r="J20" s="17">
        <v>0</v>
      </c>
      <c r="K20" s="17"/>
      <c r="L20" s="17">
        <v>128</v>
      </c>
      <c r="M20" s="67"/>
      <c r="N20" s="17">
        <v>174</v>
      </c>
      <c r="O20" s="67"/>
      <c r="P20" s="17">
        <v>0</v>
      </c>
      <c r="Q20" s="67"/>
      <c r="R20" s="109">
        <v>118</v>
      </c>
    </row>
    <row r="21" spans="1:18" s="71" customFormat="1">
      <c r="A21" s="72"/>
      <c r="B21" s="109"/>
      <c r="C21" s="67"/>
      <c r="D21" s="67"/>
      <c r="E21" s="67"/>
      <c r="F21" s="17"/>
      <c r="G21" s="67"/>
      <c r="H21" s="67"/>
      <c r="I21" s="67"/>
      <c r="J21" s="67"/>
      <c r="K21" s="67"/>
      <c r="L21" s="67"/>
      <c r="M21" s="67"/>
      <c r="N21" s="67"/>
      <c r="O21" s="67"/>
      <c r="P21" s="67"/>
      <c r="Q21" s="67"/>
      <c r="R21" s="109"/>
    </row>
    <row r="22" spans="1:18" s="74" customFormat="1">
      <c r="A22" s="73" t="s">
        <v>93</v>
      </c>
      <c r="B22" s="110">
        <v>21</v>
      </c>
      <c r="C22" s="44"/>
      <c r="D22" s="18">
        <v>0</v>
      </c>
      <c r="E22" s="44"/>
      <c r="F22" s="18">
        <v>0</v>
      </c>
      <c r="G22" s="44"/>
      <c r="H22" s="18">
        <v>0</v>
      </c>
      <c r="I22" s="18"/>
      <c r="J22" s="18">
        <v>-21</v>
      </c>
      <c r="K22" s="18"/>
      <c r="L22" s="18">
        <v>0</v>
      </c>
      <c r="M22" s="44"/>
      <c r="N22" s="18">
        <v>0</v>
      </c>
      <c r="O22" s="44"/>
      <c r="P22" s="18">
        <v>0</v>
      </c>
      <c r="Q22" s="44"/>
      <c r="R22" s="110">
        <v>0</v>
      </c>
    </row>
    <row r="23" spans="1:18" s="74" customFormat="1" ht="14.25">
      <c r="A23" s="280" t="s">
        <v>83</v>
      </c>
      <c r="B23" s="108">
        <v>2</v>
      </c>
      <c r="C23" s="57"/>
      <c r="D23" s="57">
        <v>0</v>
      </c>
      <c r="E23" s="57"/>
      <c r="F23" s="19">
        <v>0</v>
      </c>
      <c r="G23" s="57"/>
      <c r="H23" s="57">
        <v>0</v>
      </c>
      <c r="I23" s="57"/>
      <c r="J23" s="57">
        <v>0</v>
      </c>
      <c r="K23" s="57"/>
      <c r="L23" s="57">
        <v>0</v>
      </c>
      <c r="M23" s="57"/>
      <c r="N23" s="57">
        <v>0</v>
      </c>
      <c r="O23" s="57"/>
      <c r="P23" s="57">
        <v>0</v>
      </c>
      <c r="Q23" s="57"/>
      <c r="R23" s="108">
        <v>2</v>
      </c>
    </row>
    <row r="24" spans="1:18" s="74" customFormat="1">
      <c r="B24" s="110"/>
      <c r="C24" s="44"/>
      <c r="D24" s="44"/>
      <c r="E24" s="44"/>
      <c r="F24" s="18"/>
      <c r="G24" s="44"/>
      <c r="H24" s="44"/>
      <c r="I24" s="44"/>
      <c r="J24" s="44"/>
      <c r="K24" s="44"/>
      <c r="L24" s="44"/>
      <c r="M24" s="44"/>
      <c r="N24" s="44"/>
      <c r="O24" s="44"/>
      <c r="P24" s="44"/>
      <c r="Q24" s="44"/>
      <c r="R24" s="110"/>
    </row>
    <row r="25" spans="1:18" s="74" customFormat="1">
      <c r="A25" s="4" t="s">
        <v>96</v>
      </c>
      <c r="B25" s="110">
        <v>-155</v>
      </c>
      <c r="C25" s="44"/>
      <c r="D25" s="18">
        <v>45</v>
      </c>
      <c r="E25" s="44"/>
      <c r="F25" s="18">
        <v>-49</v>
      </c>
      <c r="G25" s="44"/>
      <c r="H25" s="18">
        <v>-2</v>
      </c>
      <c r="I25" s="18"/>
      <c r="J25" s="18">
        <v>-21</v>
      </c>
      <c r="K25" s="18"/>
      <c r="L25" s="18">
        <v>128</v>
      </c>
      <c r="M25" s="44"/>
      <c r="N25" s="18">
        <v>174</v>
      </c>
      <c r="O25" s="44"/>
      <c r="P25" s="18">
        <v>0</v>
      </c>
      <c r="Q25" s="44"/>
      <c r="R25" s="110">
        <v>120</v>
      </c>
    </row>
    <row r="26" spans="1:18" s="74" customFormat="1">
      <c r="A26" s="4"/>
      <c r="B26" s="110"/>
      <c r="C26" s="44"/>
      <c r="D26" s="44"/>
      <c r="E26" s="44"/>
      <c r="F26" s="18"/>
      <c r="G26" s="44"/>
      <c r="H26" s="44"/>
      <c r="I26" s="44"/>
      <c r="J26" s="44"/>
      <c r="K26" s="44"/>
      <c r="L26" s="44"/>
      <c r="M26" s="44"/>
      <c r="N26" s="44"/>
      <c r="O26" s="44"/>
      <c r="P26" s="44"/>
      <c r="Q26" s="44"/>
      <c r="R26" s="110"/>
    </row>
    <row r="27" spans="1:18" s="74" customFormat="1" ht="14.25">
      <c r="A27" s="4" t="s">
        <v>90</v>
      </c>
      <c r="B27" s="108">
        <v>2</v>
      </c>
      <c r="C27" s="57"/>
      <c r="D27" s="19">
        <v>0</v>
      </c>
      <c r="E27" s="57"/>
      <c r="F27" s="19">
        <v>0</v>
      </c>
      <c r="G27" s="57"/>
      <c r="H27" s="19">
        <v>0</v>
      </c>
      <c r="I27" s="19"/>
      <c r="J27" s="19">
        <v>0</v>
      </c>
      <c r="K27" s="19"/>
      <c r="L27" s="19">
        <v>0</v>
      </c>
      <c r="M27" s="57"/>
      <c r="N27" s="19">
        <v>0</v>
      </c>
      <c r="O27" s="57"/>
      <c r="P27" s="57">
        <v>32</v>
      </c>
      <c r="Q27" s="57"/>
      <c r="R27" s="108">
        <v>34</v>
      </c>
    </row>
    <row r="28" spans="1:18" s="74" customFormat="1">
      <c r="B28" s="110"/>
      <c r="C28" s="44"/>
      <c r="D28" s="44"/>
      <c r="E28" s="44"/>
      <c r="F28" s="18"/>
      <c r="G28" s="44"/>
      <c r="H28" s="44"/>
      <c r="I28" s="44"/>
      <c r="J28" s="44"/>
      <c r="K28" s="44"/>
      <c r="L28" s="44"/>
      <c r="M28" s="44"/>
      <c r="N28" s="44"/>
      <c r="O28" s="44"/>
      <c r="P28" s="44"/>
      <c r="Q28" s="44"/>
      <c r="R28" s="110"/>
    </row>
    <row r="29" spans="1:18" s="63" customFormat="1" ht="14.25">
      <c r="A29" s="76" t="s">
        <v>14</v>
      </c>
      <c r="B29" s="112">
        <v>-157</v>
      </c>
      <c r="C29" s="77"/>
      <c r="D29" s="20">
        <v>45</v>
      </c>
      <c r="E29" s="77"/>
      <c r="F29" s="20">
        <v>-49</v>
      </c>
      <c r="G29" s="77"/>
      <c r="H29" s="20">
        <v>-2</v>
      </c>
      <c r="I29" s="20"/>
      <c r="J29" s="20">
        <v>-21</v>
      </c>
      <c r="K29" s="20"/>
      <c r="L29" s="20">
        <v>128</v>
      </c>
      <c r="M29" s="77"/>
      <c r="N29" s="20">
        <v>174</v>
      </c>
      <c r="O29" s="77"/>
      <c r="P29" s="20">
        <v>-32</v>
      </c>
      <c r="Q29" s="77"/>
      <c r="R29" s="112">
        <v>86</v>
      </c>
    </row>
    <row r="30" spans="1:18" ht="12" customHeight="1">
      <c r="B30" s="119"/>
      <c r="R30" s="119"/>
    </row>
  </sheetData>
  <mergeCells count="4">
    <mergeCell ref="A1:R1"/>
    <mergeCell ref="A2:R2"/>
    <mergeCell ref="A3:R3"/>
    <mergeCell ref="B6:R6"/>
  </mergeCells>
  <phoneticPr fontId="15" type="noConversion"/>
  <pageMargins left="0.7" right="0.7" top="0.75" bottom="0.75" header="0.3" footer="0.3"/>
  <pageSetup scale="64" orientation="landscape" r:id="rId1"/>
  <headerFooter>
    <oddFooter>&amp;LElectronic Arts Inc.&amp;C&amp;D&amp;R&amp;P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T30"/>
  <sheetViews>
    <sheetView zoomScale="80" zoomScaleNormal="80" workbookViewId="0">
      <pane xSplit="1" ySplit="7" topLeftCell="B8" activePane="bottomRight" state="frozen"/>
      <selection activeCell="H8" sqref="H8"/>
      <selection pane="topRight" activeCell="H8" sqref="H8"/>
      <selection pane="bottomLeft" activeCell="H8" sqref="H8"/>
      <selection pane="bottomRight" activeCell="A6" sqref="A6"/>
    </sheetView>
  </sheetViews>
  <sheetFormatPr defaultColWidth="11.42578125" defaultRowHeight="12" customHeight="1"/>
  <cols>
    <col min="1" max="1" width="46.140625" style="23" customWidth="1"/>
    <col min="2" max="2" width="11" style="23" customWidth="1"/>
    <col min="3" max="3" width="1.7109375" style="23" customWidth="1"/>
    <col min="4" max="4" width="15.140625" style="23" customWidth="1"/>
    <col min="5" max="5" width="1.7109375" style="23" customWidth="1"/>
    <col min="6" max="6" width="13" style="23" customWidth="1"/>
    <col min="7" max="7" width="1.7109375" style="23" customWidth="1"/>
    <col min="8" max="8" width="12.140625" style="23" customWidth="1"/>
    <col min="9" max="9" width="1.7109375" style="23" customWidth="1"/>
    <col min="10" max="10" width="14.42578125" style="23" customWidth="1"/>
    <col min="11" max="11" width="1.5703125" style="23" customWidth="1"/>
    <col min="12" max="12" width="14.5703125" style="23" customWidth="1"/>
    <col min="13" max="13" width="1.7109375" style="23" customWidth="1"/>
    <col min="14" max="14" width="15.42578125" style="23" customWidth="1"/>
    <col min="15" max="15" width="1.7109375" style="23" customWidth="1"/>
    <col min="16" max="16" width="16.140625" style="23"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71" t="s">
        <v>68</v>
      </c>
      <c r="B1" s="370"/>
      <c r="C1" s="370"/>
      <c r="D1" s="370"/>
      <c r="E1" s="370"/>
      <c r="F1" s="370"/>
      <c r="G1" s="370"/>
      <c r="H1" s="370"/>
      <c r="I1" s="370"/>
      <c r="J1" s="370"/>
      <c r="K1" s="370"/>
      <c r="L1" s="370"/>
      <c r="M1" s="370"/>
      <c r="N1" s="370"/>
      <c r="O1" s="370"/>
      <c r="P1" s="370"/>
      <c r="Q1" s="370"/>
      <c r="R1" s="370"/>
      <c r="S1" s="370"/>
      <c r="T1" s="370"/>
    </row>
    <row r="2" spans="1:20" s="7" customFormat="1" ht="15">
      <c r="A2" s="371" t="s">
        <v>128</v>
      </c>
      <c r="B2" s="370"/>
      <c r="C2" s="370"/>
      <c r="D2" s="370"/>
      <c r="E2" s="370"/>
      <c r="F2" s="370"/>
      <c r="G2" s="370"/>
      <c r="H2" s="370"/>
      <c r="I2" s="370"/>
      <c r="J2" s="370"/>
      <c r="K2" s="370"/>
      <c r="L2" s="370"/>
      <c r="M2" s="370"/>
      <c r="N2" s="370"/>
      <c r="O2" s="370"/>
      <c r="P2" s="370"/>
      <c r="Q2" s="370"/>
      <c r="R2" s="370"/>
      <c r="S2" s="370"/>
      <c r="T2" s="370"/>
    </row>
    <row r="3" spans="1:20" s="7" customFormat="1" ht="15">
      <c r="A3" s="371" t="s">
        <v>70</v>
      </c>
      <c r="B3" s="370"/>
      <c r="C3" s="370"/>
      <c r="D3" s="370"/>
      <c r="E3" s="370"/>
      <c r="F3" s="370"/>
      <c r="G3" s="370"/>
      <c r="H3" s="370"/>
      <c r="I3" s="370"/>
      <c r="J3" s="370"/>
      <c r="K3" s="370"/>
      <c r="L3" s="370"/>
      <c r="M3" s="370"/>
      <c r="N3" s="370"/>
      <c r="O3" s="370"/>
      <c r="P3" s="370"/>
      <c r="Q3" s="370"/>
      <c r="R3" s="370"/>
      <c r="S3" s="370"/>
      <c r="T3" s="370"/>
    </row>
    <row r="4" spans="1:20" s="7" customFormat="1">
      <c r="A4" s="6"/>
      <c r="B4" s="6"/>
      <c r="C4" s="6"/>
      <c r="D4" s="6"/>
      <c r="E4" s="6"/>
      <c r="F4" s="6"/>
      <c r="G4" s="6"/>
      <c r="H4" s="6"/>
      <c r="I4" s="6"/>
      <c r="J4" s="6"/>
      <c r="K4" s="6"/>
      <c r="L4" s="6"/>
      <c r="M4" s="6"/>
      <c r="N4" s="6"/>
      <c r="O4" s="6"/>
      <c r="P4" s="6"/>
      <c r="Q4" s="6"/>
      <c r="R4" s="6"/>
      <c r="S4" s="6"/>
      <c r="T4" s="6"/>
    </row>
    <row r="5" spans="1:20" s="7" customFormat="1">
      <c r="B5" s="59"/>
      <c r="C5" s="59"/>
      <c r="D5" s="59"/>
      <c r="E5" s="59"/>
      <c r="F5" s="59"/>
      <c r="G5" s="59"/>
      <c r="H5" s="59"/>
      <c r="I5" s="59"/>
      <c r="J5" s="59"/>
      <c r="K5" s="59"/>
      <c r="L5" s="59"/>
      <c r="M5" s="59"/>
      <c r="N5" s="60"/>
      <c r="O5" s="60"/>
      <c r="P5" s="60"/>
      <c r="Q5" s="60"/>
      <c r="R5" s="59"/>
      <c r="S5" s="59"/>
      <c r="T5" s="59"/>
    </row>
    <row r="6" spans="1:20" s="7" customFormat="1" ht="15">
      <c r="B6" s="379" t="s">
        <v>94</v>
      </c>
      <c r="C6" s="382"/>
      <c r="D6" s="382"/>
      <c r="E6" s="382"/>
      <c r="F6" s="382"/>
      <c r="G6" s="382"/>
      <c r="H6" s="382"/>
      <c r="I6" s="382"/>
      <c r="J6" s="382"/>
      <c r="K6" s="382"/>
      <c r="L6" s="382"/>
      <c r="M6" s="382"/>
      <c r="N6" s="382"/>
      <c r="O6" s="382"/>
      <c r="P6" s="382"/>
      <c r="Q6" s="382"/>
      <c r="R6" s="382"/>
      <c r="S6" s="382"/>
      <c r="T6" s="382"/>
    </row>
    <row r="7" spans="1:20" s="48" customFormat="1" ht="84">
      <c r="B7" s="55" t="s">
        <v>72</v>
      </c>
      <c r="C7" s="62"/>
      <c r="D7" s="56" t="s">
        <v>41</v>
      </c>
      <c r="E7" s="62"/>
      <c r="F7" s="55" t="s">
        <v>73</v>
      </c>
      <c r="G7" s="62"/>
      <c r="H7" s="55" t="s">
        <v>37</v>
      </c>
      <c r="I7" s="62"/>
      <c r="J7" s="55" t="s">
        <v>38</v>
      </c>
      <c r="K7" s="62"/>
      <c r="L7" s="55" t="s">
        <v>220</v>
      </c>
      <c r="M7" s="62"/>
      <c r="N7" s="55" t="s">
        <v>144</v>
      </c>
      <c r="O7" s="62"/>
      <c r="P7" s="351" t="s">
        <v>217</v>
      </c>
      <c r="Q7" s="62"/>
      <c r="R7" s="351" t="s">
        <v>218</v>
      </c>
      <c r="S7" s="62"/>
      <c r="T7" s="55" t="s">
        <v>76</v>
      </c>
    </row>
    <row r="8" spans="1:20" s="49" customFormat="1">
      <c r="A8" s="63" t="s">
        <v>0</v>
      </c>
      <c r="B8" s="107">
        <v>3825</v>
      </c>
      <c r="C8" s="64"/>
      <c r="D8" s="64">
        <v>0</v>
      </c>
      <c r="E8" s="64"/>
      <c r="F8" s="15">
        <v>57</v>
      </c>
      <c r="G8" s="64"/>
      <c r="H8" s="64">
        <v>0</v>
      </c>
      <c r="I8" s="64"/>
      <c r="J8" s="64">
        <v>0</v>
      </c>
      <c r="K8" s="64"/>
      <c r="L8" s="64">
        <v>0</v>
      </c>
      <c r="M8" s="64"/>
      <c r="N8" s="64">
        <v>0</v>
      </c>
      <c r="O8" s="64"/>
      <c r="P8" s="64">
        <v>0</v>
      </c>
      <c r="Q8" s="64"/>
      <c r="R8" s="64">
        <v>0</v>
      </c>
      <c r="S8" s="64"/>
      <c r="T8" s="107">
        <v>3882</v>
      </c>
    </row>
    <row r="9" spans="1:20" s="50" customFormat="1" ht="14.25">
      <c r="A9" s="50" t="s">
        <v>202</v>
      </c>
      <c r="B9" s="108">
        <v>1767</v>
      </c>
      <c r="C9" s="57"/>
      <c r="D9" s="57">
        <v>-10</v>
      </c>
      <c r="E9" s="57"/>
      <c r="F9" s="19">
        <v>0</v>
      </c>
      <c r="G9" s="57"/>
      <c r="H9" s="57">
        <v>0</v>
      </c>
      <c r="I9" s="57"/>
      <c r="J9" s="57">
        <v>3</v>
      </c>
      <c r="K9" s="57"/>
      <c r="L9" s="57">
        <v>0</v>
      </c>
      <c r="M9" s="57"/>
      <c r="N9" s="57">
        <v>0</v>
      </c>
      <c r="O9" s="57"/>
      <c r="P9" s="57">
        <v>-2</v>
      </c>
      <c r="Q9" s="57"/>
      <c r="R9" s="57">
        <v>0</v>
      </c>
      <c r="S9" s="57"/>
      <c r="T9" s="108">
        <v>1758</v>
      </c>
    </row>
    <row r="10" spans="1:20" s="66" customFormat="1">
      <c r="A10" s="66" t="s">
        <v>1</v>
      </c>
      <c r="B10" s="109">
        <v>2058</v>
      </c>
      <c r="C10" s="67"/>
      <c r="D10" s="67">
        <v>10</v>
      </c>
      <c r="E10" s="67"/>
      <c r="F10" s="17">
        <v>57</v>
      </c>
      <c r="G10" s="67"/>
      <c r="H10" s="67">
        <v>0</v>
      </c>
      <c r="I10" s="67"/>
      <c r="J10" s="67">
        <v>-3</v>
      </c>
      <c r="K10" s="67"/>
      <c r="L10" s="67">
        <v>0</v>
      </c>
      <c r="M10" s="67"/>
      <c r="N10" s="67">
        <v>0</v>
      </c>
      <c r="O10" s="67"/>
      <c r="P10" s="67">
        <v>2</v>
      </c>
      <c r="Q10" s="67"/>
      <c r="R10" s="67">
        <v>0</v>
      </c>
      <c r="S10" s="67"/>
      <c r="T10" s="109">
        <v>2124</v>
      </c>
    </row>
    <row r="11" spans="1:20" s="50" customFormat="1">
      <c r="A11" s="50" t="s">
        <v>2</v>
      </c>
      <c r="B11" s="110"/>
      <c r="C11" s="44"/>
      <c r="D11" s="44"/>
      <c r="E11" s="44"/>
      <c r="F11" s="18"/>
      <c r="G11" s="44"/>
      <c r="H11" s="44"/>
      <c r="I11" s="44"/>
      <c r="J11" s="44"/>
      <c r="K11" s="44"/>
      <c r="L11" s="44"/>
      <c r="M11" s="44"/>
      <c r="N11" s="44"/>
      <c r="O11" s="44"/>
      <c r="P11" s="44"/>
      <c r="Q11" s="44"/>
      <c r="R11" s="44"/>
      <c r="S11" s="44"/>
      <c r="T11" s="110"/>
    </row>
    <row r="12" spans="1:20" s="50" customFormat="1">
      <c r="A12" s="50" t="s">
        <v>77</v>
      </c>
      <c r="B12" s="110">
        <v>693</v>
      </c>
      <c r="C12" s="44"/>
      <c r="D12" s="44">
        <v>0</v>
      </c>
      <c r="E12" s="44"/>
      <c r="F12" s="18">
        <v>0</v>
      </c>
      <c r="G12" s="44"/>
      <c r="H12" s="44">
        <v>0</v>
      </c>
      <c r="I12" s="44"/>
      <c r="J12" s="44">
        <v>0</v>
      </c>
      <c r="K12" s="44"/>
      <c r="L12" s="44">
        <v>0</v>
      </c>
      <c r="M12" s="44"/>
      <c r="N12" s="44">
        <v>0</v>
      </c>
      <c r="O12" s="44"/>
      <c r="P12" s="44">
        <v>-17</v>
      </c>
      <c r="Q12" s="44"/>
      <c r="R12" s="44">
        <v>0</v>
      </c>
      <c r="S12" s="44"/>
      <c r="T12" s="110">
        <v>676</v>
      </c>
    </row>
    <row r="13" spans="1:20" s="50" customFormat="1">
      <c r="A13" s="50" t="s">
        <v>78</v>
      </c>
      <c r="B13" s="110">
        <v>328</v>
      </c>
      <c r="C13" s="44"/>
      <c r="D13" s="44">
        <v>0</v>
      </c>
      <c r="E13" s="44"/>
      <c r="F13" s="18">
        <v>0</v>
      </c>
      <c r="G13" s="44"/>
      <c r="H13" s="44">
        <v>-14</v>
      </c>
      <c r="I13" s="44"/>
      <c r="J13" s="44">
        <v>0</v>
      </c>
      <c r="K13" s="44"/>
      <c r="L13" s="44">
        <v>0</v>
      </c>
      <c r="M13" s="44"/>
      <c r="N13" s="44">
        <v>0</v>
      </c>
      <c r="O13" s="44"/>
      <c r="P13" s="44">
        <v>-40</v>
      </c>
      <c r="Q13" s="44"/>
      <c r="R13" s="44">
        <v>0</v>
      </c>
      <c r="S13" s="44"/>
      <c r="T13" s="110">
        <v>274</v>
      </c>
    </row>
    <row r="14" spans="1:20" s="50" customFormat="1">
      <c r="A14" s="50" t="s">
        <v>79</v>
      </c>
      <c r="B14" s="110">
        <v>1192</v>
      </c>
      <c r="C14" s="44"/>
      <c r="D14" s="44">
        <v>0</v>
      </c>
      <c r="E14" s="44"/>
      <c r="F14" s="18">
        <v>0</v>
      </c>
      <c r="G14" s="44"/>
      <c r="H14" s="44">
        <v>0</v>
      </c>
      <c r="I14" s="44"/>
      <c r="J14" s="44">
        <v>0</v>
      </c>
      <c r="K14" s="44"/>
      <c r="L14" s="44">
        <v>0</v>
      </c>
      <c r="M14" s="44"/>
      <c r="N14" s="44">
        <v>0</v>
      </c>
      <c r="O14" s="44"/>
      <c r="P14" s="44">
        <v>-116</v>
      </c>
      <c r="Q14" s="44"/>
      <c r="R14" s="44">
        <v>0</v>
      </c>
      <c r="S14" s="44"/>
      <c r="T14" s="110">
        <v>1076</v>
      </c>
    </row>
    <row r="15" spans="1:20" s="50" customFormat="1">
      <c r="A15" s="50" t="s">
        <v>80</v>
      </c>
      <c r="B15" s="110">
        <v>4</v>
      </c>
      <c r="C15" s="44"/>
      <c r="D15" s="44">
        <v>-4</v>
      </c>
      <c r="E15" s="44"/>
      <c r="F15" s="18">
        <v>0</v>
      </c>
      <c r="G15" s="44"/>
      <c r="H15" s="44">
        <v>0</v>
      </c>
      <c r="I15" s="44"/>
      <c r="J15" s="44">
        <v>0</v>
      </c>
      <c r="K15" s="44"/>
      <c r="L15" s="44">
        <v>0</v>
      </c>
      <c r="M15" s="44"/>
      <c r="N15" s="44">
        <v>0</v>
      </c>
      <c r="O15" s="44"/>
      <c r="P15" s="44">
        <v>0</v>
      </c>
      <c r="Q15" s="44"/>
      <c r="R15" s="44">
        <v>0</v>
      </c>
      <c r="S15" s="44"/>
      <c r="T15" s="110">
        <v>0</v>
      </c>
    </row>
    <row r="16" spans="1:20" s="50" customFormat="1">
      <c r="A16" s="50" t="s">
        <v>81</v>
      </c>
      <c r="B16" s="110">
        <v>56</v>
      </c>
      <c r="C16" s="44"/>
      <c r="D16" s="44">
        <v>-56</v>
      </c>
      <c r="E16" s="44"/>
      <c r="F16" s="18">
        <v>0</v>
      </c>
      <c r="G16" s="44"/>
      <c r="H16" s="44">
        <v>0</v>
      </c>
      <c r="I16" s="44"/>
      <c r="J16" s="44">
        <v>0</v>
      </c>
      <c r="K16" s="44"/>
      <c r="L16" s="44">
        <v>0</v>
      </c>
      <c r="M16" s="44"/>
      <c r="N16" s="44">
        <v>0</v>
      </c>
      <c r="O16" s="44"/>
      <c r="P16" s="44">
        <v>0</v>
      </c>
      <c r="Q16" s="44"/>
      <c r="R16" s="44">
        <v>0</v>
      </c>
      <c r="S16" s="44"/>
      <c r="T16" s="110">
        <v>0</v>
      </c>
    </row>
    <row r="17" spans="1:20" s="50" customFormat="1" ht="14.25">
      <c r="A17" s="50" t="s">
        <v>207</v>
      </c>
      <c r="B17" s="111">
        <v>128</v>
      </c>
      <c r="C17" s="57"/>
      <c r="D17" s="57">
        <v>0</v>
      </c>
      <c r="E17" s="57"/>
      <c r="F17" s="19">
        <v>0</v>
      </c>
      <c r="G17" s="57"/>
      <c r="H17" s="57">
        <v>0</v>
      </c>
      <c r="I17" s="57"/>
      <c r="J17" s="57">
        <v>0</v>
      </c>
      <c r="K17" s="57"/>
      <c r="L17" s="57">
        <v>0</v>
      </c>
      <c r="M17" s="57"/>
      <c r="N17" s="57">
        <v>-128</v>
      </c>
      <c r="O17" s="57"/>
      <c r="P17" s="57">
        <v>0</v>
      </c>
      <c r="Q17" s="57"/>
      <c r="R17" s="57">
        <v>0</v>
      </c>
      <c r="S17" s="57"/>
      <c r="T17" s="108">
        <v>0</v>
      </c>
    </row>
    <row r="18" spans="1:20" s="50" customFormat="1" ht="14.25">
      <c r="A18" s="50" t="s">
        <v>82</v>
      </c>
      <c r="B18" s="108">
        <v>2401</v>
      </c>
      <c r="C18" s="57"/>
      <c r="D18" s="57">
        <v>-60</v>
      </c>
      <c r="E18" s="57"/>
      <c r="F18" s="19">
        <v>0</v>
      </c>
      <c r="G18" s="57"/>
      <c r="H18" s="57">
        <v>-14</v>
      </c>
      <c r="I18" s="57"/>
      <c r="J18" s="57">
        <v>0</v>
      </c>
      <c r="K18" s="57"/>
      <c r="L18" s="57">
        <v>0</v>
      </c>
      <c r="M18" s="57"/>
      <c r="N18" s="57">
        <v>-128</v>
      </c>
      <c r="O18" s="57"/>
      <c r="P18" s="57">
        <v>-173</v>
      </c>
      <c r="Q18" s="57"/>
      <c r="R18" s="57">
        <v>0</v>
      </c>
      <c r="S18" s="57"/>
      <c r="T18" s="108">
        <v>2026</v>
      </c>
    </row>
    <row r="19" spans="1:20" s="50" customFormat="1">
      <c r="B19" s="110"/>
      <c r="C19" s="44"/>
      <c r="D19" s="44"/>
      <c r="E19" s="44"/>
      <c r="F19" s="18"/>
      <c r="G19" s="44"/>
      <c r="H19" s="44"/>
      <c r="I19" s="44"/>
      <c r="J19" s="44"/>
      <c r="K19" s="44"/>
      <c r="L19" s="44"/>
      <c r="M19" s="44"/>
      <c r="N19" s="44"/>
      <c r="O19" s="44"/>
      <c r="P19" s="44"/>
      <c r="Q19" s="44"/>
      <c r="R19" s="44"/>
      <c r="S19" s="44"/>
      <c r="T19" s="110"/>
    </row>
    <row r="20" spans="1:20" s="71" customFormat="1">
      <c r="A20" s="1" t="s">
        <v>11</v>
      </c>
      <c r="B20" s="109">
        <v>-343</v>
      </c>
      <c r="C20" s="67"/>
      <c r="D20" s="17">
        <v>70</v>
      </c>
      <c r="E20" s="67"/>
      <c r="F20" s="17">
        <v>57</v>
      </c>
      <c r="G20" s="67"/>
      <c r="H20" s="17">
        <v>14</v>
      </c>
      <c r="I20" s="67"/>
      <c r="J20" s="17">
        <v>-3</v>
      </c>
      <c r="K20" s="17"/>
      <c r="L20" s="17">
        <v>0</v>
      </c>
      <c r="M20" s="17"/>
      <c r="N20" s="17">
        <v>128</v>
      </c>
      <c r="O20" s="67"/>
      <c r="P20" s="17">
        <v>175</v>
      </c>
      <c r="Q20" s="67"/>
      <c r="R20" s="17">
        <v>0</v>
      </c>
      <c r="S20" s="67"/>
      <c r="T20" s="109">
        <v>98</v>
      </c>
    </row>
    <row r="21" spans="1:20" s="71" customFormat="1">
      <c r="A21" s="72"/>
      <c r="B21" s="109"/>
      <c r="C21" s="67"/>
      <c r="D21" s="67"/>
      <c r="E21" s="67"/>
      <c r="F21" s="17"/>
      <c r="G21" s="67"/>
      <c r="H21" s="67"/>
      <c r="I21" s="67"/>
      <c r="J21" s="67"/>
      <c r="K21" s="67"/>
      <c r="L21" s="67"/>
      <c r="M21" s="67"/>
      <c r="N21" s="67"/>
      <c r="O21" s="67"/>
      <c r="P21" s="67"/>
      <c r="Q21" s="67"/>
      <c r="R21" s="67"/>
      <c r="S21" s="67"/>
      <c r="T21" s="109"/>
    </row>
    <row r="22" spans="1:20" s="74" customFormat="1">
      <c r="A22" s="73" t="s">
        <v>12</v>
      </c>
      <c r="B22" s="110">
        <v>-15</v>
      </c>
      <c r="C22" s="44"/>
      <c r="D22" s="18">
        <v>0</v>
      </c>
      <c r="E22" s="44"/>
      <c r="F22" s="18">
        <v>0</v>
      </c>
      <c r="G22" s="44"/>
      <c r="H22" s="18">
        <v>0</v>
      </c>
      <c r="I22" s="44"/>
      <c r="J22" s="18">
        <v>0</v>
      </c>
      <c r="K22" s="18"/>
      <c r="L22" s="18">
        <v>15</v>
      </c>
      <c r="M22" s="18"/>
      <c r="N22" s="18">
        <v>0</v>
      </c>
      <c r="O22" s="44"/>
      <c r="P22" s="18">
        <v>0</v>
      </c>
      <c r="Q22" s="44"/>
      <c r="R22" s="18">
        <v>0</v>
      </c>
      <c r="S22" s="44"/>
      <c r="T22" s="110">
        <v>0</v>
      </c>
    </row>
    <row r="23" spans="1:20" s="74" customFormat="1" ht="14.25">
      <c r="A23" s="280" t="s">
        <v>83</v>
      </c>
      <c r="B23" s="108">
        <v>3</v>
      </c>
      <c r="C23" s="57"/>
      <c r="D23" s="57">
        <v>0</v>
      </c>
      <c r="E23" s="57"/>
      <c r="F23" s="19">
        <v>0</v>
      </c>
      <c r="G23" s="57"/>
      <c r="H23" s="57">
        <v>0</v>
      </c>
      <c r="I23" s="57"/>
      <c r="J23" s="57">
        <v>0</v>
      </c>
      <c r="K23" s="57"/>
      <c r="L23" s="57">
        <v>0</v>
      </c>
      <c r="M23" s="57"/>
      <c r="N23" s="57">
        <v>0</v>
      </c>
      <c r="O23" s="57"/>
      <c r="P23" s="57">
        <v>0</v>
      </c>
      <c r="Q23" s="57"/>
      <c r="R23" s="57">
        <v>0</v>
      </c>
      <c r="S23" s="57"/>
      <c r="T23" s="108">
        <v>3</v>
      </c>
    </row>
    <row r="24" spans="1:20" s="74" customFormat="1">
      <c r="B24" s="110"/>
      <c r="C24" s="44"/>
      <c r="D24" s="44"/>
      <c r="E24" s="44"/>
      <c r="F24" s="18"/>
      <c r="G24" s="44"/>
      <c r="H24" s="44"/>
      <c r="I24" s="44"/>
      <c r="J24" s="44"/>
      <c r="K24" s="44"/>
      <c r="L24" s="44"/>
      <c r="M24" s="44"/>
      <c r="N24" s="44"/>
      <c r="O24" s="44"/>
      <c r="P24" s="44"/>
      <c r="Q24" s="44"/>
      <c r="R24" s="44"/>
      <c r="S24" s="44"/>
      <c r="T24" s="110"/>
    </row>
    <row r="25" spans="1:20" s="74" customFormat="1">
      <c r="A25" s="4" t="s">
        <v>86</v>
      </c>
      <c r="B25" s="110">
        <v>-355</v>
      </c>
      <c r="C25" s="44"/>
      <c r="D25" s="18">
        <v>70</v>
      </c>
      <c r="E25" s="44"/>
      <c r="F25" s="18">
        <v>57</v>
      </c>
      <c r="G25" s="44"/>
      <c r="H25" s="18">
        <v>14</v>
      </c>
      <c r="I25" s="44"/>
      <c r="J25" s="18">
        <v>-3</v>
      </c>
      <c r="K25" s="18"/>
      <c r="L25" s="18">
        <v>15</v>
      </c>
      <c r="M25" s="18"/>
      <c r="N25" s="18">
        <v>128</v>
      </c>
      <c r="O25" s="44"/>
      <c r="P25" s="18">
        <v>175</v>
      </c>
      <c r="Q25" s="44"/>
      <c r="R25" s="18">
        <v>0</v>
      </c>
      <c r="S25" s="44"/>
      <c r="T25" s="110">
        <v>101</v>
      </c>
    </row>
    <row r="26" spans="1:20" s="74" customFormat="1">
      <c r="A26" s="4"/>
      <c r="B26" s="110"/>
      <c r="C26" s="44"/>
      <c r="D26" s="44"/>
      <c r="E26" s="44"/>
      <c r="F26" s="18"/>
      <c r="G26" s="44"/>
      <c r="H26" s="44"/>
      <c r="I26" s="44"/>
      <c r="J26" s="44"/>
      <c r="K26" s="44"/>
      <c r="L26" s="44"/>
      <c r="M26" s="44"/>
      <c r="N26" s="44"/>
      <c r="O26" s="44"/>
      <c r="P26" s="44"/>
      <c r="Q26" s="44"/>
      <c r="R26" s="44"/>
      <c r="S26" s="44"/>
      <c r="T26" s="110"/>
    </row>
    <row r="27" spans="1:20" s="74" customFormat="1" ht="14.25">
      <c r="A27" s="4" t="s">
        <v>23</v>
      </c>
      <c r="B27" s="108">
        <v>-8</v>
      </c>
      <c r="C27" s="57"/>
      <c r="D27" s="19">
        <v>0</v>
      </c>
      <c r="E27" s="57"/>
      <c r="F27" s="19">
        <v>0</v>
      </c>
      <c r="G27" s="57"/>
      <c r="H27" s="19">
        <v>0</v>
      </c>
      <c r="I27" s="57"/>
      <c r="J27" s="19">
        <v>0</v>
      </c>
      <c r="K27" s="19"/>
      <c r="L27" s="19">
        <v>0</v>
      </c>
      <c r="M27" s="19"/>
      <c r="N27" s="19">
        <v>0</v>
      </c>
      <c r="O27" s="57"/>
      <c r="P27" s="19">
        <v>0</v>
      </c>
      <c r="Q27" s="57"/>
      <c r="R27" s="57">
        <v>36</v>
      </c>
      <c r="S27" s="57"/>
      <c r="T27" s="108">
        <v>28</v>
      </c>
    </row>
    <row r="28" spans="1:20" s="74" customFormat="1">
      <c r="B28" s="110"/>
      <c r="C28" s="44"/>
      <c r="D28" s="44"/>
      <c r="E28" s="44"/>
      <c r="F28" s="18"/>
      <c r="G28" s="44"/>
      <c r="H28" s="44"/>
      <c r="I28" s="44"/>
      <c r="J28" s="44"/>
      <c r="K28" s="44"/>
      <c r="L28" s="44"/>
      <c r="M28" s="44"/>
      <c r="N28" s="44"/>
      <c r="O28" s="44"/>
      <c r="P28" s="44"/>
      <c r="Q28" s="44"/>
      <c r="R28" s="44"/>
      <c r="S28" s="44"/>
      <c r="T28" s="110"/>
    </row>
    <row r="29" spans="1:20" s="63" customFormat="1" ht="14.25">
      <c r="A29" s="76" t="s">
        <v>14</v>
      </c>
      <c r="B29" s="112">
        <v>-347</v>
      </c>
      <c r="C29" s="77"/>
      <c r="D29" s="20">
        <v>70</v>
      </c>
      <c r="E29" s="77"/>
      <c r="F29" s="20">
        <v>57</v>
      </c>
      <c r="G29" s="77"/>
      <c r="H29" s="20">
        <v>14</v>
      </c>
      <c r="I29" s="77"/>
      <c r="J29" s="20">
        <v>-3</v>
      </c>
      <c r="K29" s="20"/>
      <c r="L29" s="20">
        <v>15</v>
      </c>
      <c r="M29" s="20"/>
      <c r="N29" s="20">
        <v>128</v>
      </c>
      <c r="O29" s="77"/>
      <c r="P29" s="20">
        <v>175</v>
      </c>
      <c r="Q29" s="77"/>
      <c r="R29" s="20">
        <v>-36</v>
      </c>
      <c r="S29" s="77"/>
      <c r="T29" s="112">
        <v>73</v>
      </c>
    </row>
    <row r="30" spans="1:20" ht="12" customHeight="1">
      <c r="B30" s="119"/>
      <c r="T30" s="119"/>
    </row>
  </sheetData>
  <mergeCells count="4">
    <mergeCell ref="A1:T1"/>
    <mergeCell ref="A2:T2"/>
    <mergeCell ref="A3:T3"/>
    <mergeCell ref="B6:T6"/>
  </mergeCells>
  <phoneticPr fontId="15" type="noConversion"/>
  <pageMargins left="0.7" right="0.7" top="0.75" bottom="0.75" header="0.3" footer="0.3"/>
  <pageSetup scale="60" orientation="landscape" r:id="rId1"/>
  <headerFooter>
    <oddFooter>&amp;LElectronic Arts Inc.&amp;C&amp;D&amp;R&amp;P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T30"/>
  <sheetViews>
    <sheetView zoomScale="80" zoomScaleNormal="80" workbookViewId="0">
      <pane xSplit="1" ySplit="7" topLeftCell="B8" activePane="bottomRight" state="frozen"/>
      <selection activeCell="H8" sqref="H8"/>
      <selection pane="topRight" activeCell="H8" sqref="H8"/>
      <selection pane="bottomLeft" activeCell="H8" sqref="H8"/>
      <selection pane="bottomRight" activeCell="A6" sqref="A6"/>
    </sheetView>
  </sheetViews>
  <sheetFormatPr defaultColWidth="11.42578125" defaultRowHeight="12" customHeight="1"/>
  <cols>
    <col min="1" max="1" width="52.42578125" style="23" customWidth="1"/>
    <col min="2" max="2" width="10.7109375" style="23" customWidth="1"/>
    <col min="3" max="3" width="1.7109375" style="23" customWidth="1"/>
    <col min="4" max="4" width="16.140625" style="23" customWidth="1"/>
    <col min="5" max="5" width="1.7109375" style="23" customWidth="1"/>
    <col min="6" max="6" width="13" style="23" customWidth="1"/>
    <col min="7" max="7" width="1.7109375" style="23" customWidth="1"/>
    <col min="8" max="8" width="12" style="23" customWidth="1"/>
    <col min="9" max="9" width="1.7109375" style="23" customWidth="1"/>
    <col min="10" max="10" width="14" style="23" customWidth="1"/>
    <col min="11" max="11" width="1.5703125" style="23" customWidth="1"/>
    <col min="12" max="12" width="14.42578125" style="23" customWidth="1"/>
    <col min="13" max="13" width="1.7109375" style="23" customWidth="1"/>
    <col min="14" max="14" width="16.7109375" style="23" customWidth="1"/>
    <col min="15" max="15" width="1.7109375" style="23" customWidth="1"/>
    <col min="16" max="16" width="16.7109375" style="23" customWidth="1"/>
    <col min="17" max="17" width="1.7109375" style="23" customWidth="1"/>
    <col min="18" max="18" width="15.140625" style="23" customWidth="1"/>
    <col min="19" max="19" width="1.5703125" style="23" customWidth="1"/>
    <col min="20" max="20" width="14" style="23" customWidth="1"/>
    <col min="21" max="16384" width="11.42578125" style="23"/>
  </cols>
  <sheetData>
    <row r="1" spans="1:20" s="7" customFormat="1" ht="15">
      <c r="A1" s="371" t="s">
        <v>68</v>
      </c>
      <c r="B1" s="370"/>
      <c r="C1" s="370"/>
      <c r="D1" s="370"/>
      <c r="E1" s="370"/>
      <c r="F1" s="370"/>
      <c r="G1" s="370"/>
      <c r="H1" s="370"/>
      <c r="I1" s="370"/>
      <c r="J1" s="370"/>
      <c r="K1" s="370"/>
      <c r="L1" s="370"/>
      <c r="M1" s="370"/>
      <c r="N1" s="370"/>
      <c r="O1" s="370"/>
      <c r="P1" s="370"/>
      <c r="Q1" s="370"/>
      <c r="R1" s="370"/>
      <c r="S1" s="370"/>
      <c r="T1" s="370"/>
    </row>
    <row r="2" spans="1:20" s="7" customFormat="1" ht="15">
      <c r="A2" s="371" t="s">
        <v>129</v>
      </c>
      <c r="B2" s="370"/>
      <c r="C2" s="370"/>
      <c r="D2" s="370"/>
      <c r="E2" s="370"/>
      <c r="F2" s="370"/>
      <c r="G2" s="370"/>
      <c r="H2" s="370"/>
      <c r="I2" s="370"/>
      <c r="J2" s="370"/>
      <c r="K2" s="370"/>
      <c r="L2" s="370"/>
      <c r="M2" s="370"/>
      <c r="N2" s="370"/>
      <c r="O2" s="370"/>
      <c r="P2" s="370"/>
      <c r="Q2" s="370"/>
      <c r="R2" s="370"/>
      <c r="S2" s="370"/>
      <c r="T2" s="370"/>
    </row>
    <row r="3" spans="1:20" s="7" customFormat="1" ht="15">
      <c r="A3" s="371" t="s">
        <v>70</v>
      </c>
      <c r="B3" s="370"/>
      <c r="C3" s="370"/>
      <c r="D3" s="370"/>
      <c r="E3" s="370"/>
      <c r="F3" s="370"/>
      <c r="G3" s="370"/>
      <c r="H3" s="370"/>
      <c r="I3" s="370"/>
      <c r="J3" s="370"/>
      <c r="K3" s="370"/>
      <c r="L3" s="370"/>
      <c r="M3" s="370"/>
      <c r="N3" s="370"/>
      <c r="O3" s="370"/>
      <c r="P3" s="370"/>
      <c r="Q3" s="370"/>
      <c r="R3" s="370"/>
      <c r="S3" s="370"/>
      <c r="T3" s="370"/>
    </row>
    <row r="4" spans="1:20" s="7" customFormat="1">
      <c r="A4" s="6"/>
      <c r="B4" s="6"/>
      <c r="C4" s="6"/>
      <c r="D4" s="6"/>
      <c r="E4" s="6"/>
      <c r="F4" s="6"/>
      <c r="G4" s="6"/>
      <c r="H4" s="6"/>
      <c r="I4" s="6"/>
      <c r="J4" s="6"/>
      <c r="K4" s="6"/>
      <c r="L4" s="6"/>
      <c r="M4" s="6"/>
      <c r="N4" s="6"/>
      <c r="O4" s="6"/>
      <c r="P4" s="6"/>
      <c r="Q4" s="6"/>
      <c r="R4" s="6"/>
      <c r="S4" s="6"/>
      <c r="T4" s="6"/>
    </row>
    <row r="5" spans="1:20" s="7" customFormat="1">
      <c r="B5" s="59"/>
      <c r="C5" s="59"/>
      <c r="D5" s="59"/>
      <c r="E5" s="59"/>
      <c r="F5" s="59"/>
      <c r="G5" s="59"/>
      <c r="H5" s="59"/>
      <c r="I5" s="59"/>
      <c r="J5" s="59"/>
      <c r="K5" s="59"/>
      <c r="L5" s="59"/>
      <c r="M5" s="59"/>
      <c r="N5" s="60"/>
      <c r="O5" s="60"/>
      <c r="P5" s="60"/>
      <c r="Q5" s="60"/>
      <c r="R5" s="59"/>
      <c r="S5" s="59"/>
      <c r="T5" s="59"/>
    </row>
    <row r="6" spans="1:20" s="7" customFormat="1" ht="15">
      <c r="B6" s="379" t="s">
        <v>95</v>
      </c>
      <c r="C6" s="382"/>
      <c r="D6" s="382"/>
      <c r="E6" s="382"/>
      <c r="F6" s="382"/>
      <c r="G6" s="382"/>
      <c r="H6" s="382"/>
      <c r="I6" s="382"/>
      <c r="J6" s="382"/>
      <c r="K6" s="382"/>
      <c r="L6" s="382"/>
      <c r="M6" s="382"/>
      <c r="N6" s="382"/>
      <c r="O6" s="382"/>
      <c r="P6" s="382"/>
      <c r="Q6" s="382"/>
      <c r="R6" s="382"/>
      <c r="S6" s="382"/>
      <c r="T6" s="382"/>
    </row>
    <row r="7" spans="1:20" s="48" customFormat="1" ht="111.6" customHeight="1">
      <c r="B7" s="55" t="s">
        <v>72</v>
      </c>
      <c r="C7" s="62"/>
      <c r="D7" s="56" t="s">
        <v>41</v>
      </c>
      <c r="E7" s="62"/>
      <c r="F7" s="55" t="s">
        <v>73</v>
      </c>
      <c r="G7" s="62"/>
      <c r="H7" s="55" t="s">
        <v>37</v>
      </c>
      <c r="I7" s="62"/>
      <c r="J7" s="55" t="s">
        <v>38</v>
      </c>
      <c r="K7" s="62"/>
      <c r="L7" s="55" t="s">
        <v>220</v>
      </c>
      <c r="M7" s="62"/>
      <c r="N7" s="55" t="s">
        <v>144</v>
      </c>
      <c r="O7" s="62"/>
      <c r="P7" s="351" t="s">
        <v>217</v>
      </c>
      <c r="Q7" s="62"/>
      <c r="R7" s="351" t="s">
        <v>218</v>
      </c>
      <c r="S7" s="62"/>
      <c r="T7" s="55" t="s">
        <v>76</v>
      </c>
    </row>
    <row r="8" spans="1:20" s="49" customFormat="1">
      <c r="A8" s="63" t="s">
        <v>0</v>
      </c>
      <c r="B8" s="107">
        <v>3654</v>
      </c>
      <c r="C8" s="64"/>
      <c r="D8" s="64">
        <v>0</v>
      </c>
      <c r="E8" s="64"/>
      <c r="F8" s="15">
        <v>505</v>
      </c>
      <c r="G8" s="64"/>
      <c r="H8" s="64">
        <v>0</v>
      </c>
      <c r="I8" s="64"/>
      <c r="J8" s="64">
        <v>0</v>
      </c>
      <c r="K8" s="64"/>
      <c r="L8" s="64">
        <v>0</v>
      </c>
      <c r="M8" s="64"/>
      <c r="N8" s="64">
        <v>0</v>
      </c>
      <c r="O8" s="64"/>
      <c r="P8" s="64">
        <v>0</v>
      </c>
      <c r="Q8" s="64"/>
      <c r="R8" s="64">
        <v>0</v>
      </c>
      <c r="S8" s="64"/>
      <c r="T8" s="107">
        <v>4159</v>
      </c>
    </row>
    <row r="9" spans="1:20" s="50" customFormat="1" ht="14.25">
      <c r="A9" s="50" t="s">
        <v>202</v>
      </c>
      <c r="B9" s="108">
        <v>1866</v>
      </c>
      <c r="C9" s="57"/>
      <c r="D9" s="57">
        <v>-10</v>
      </c>
      <c r="E9" s="57"/>
      <c r="F9" s="19">
        <v>0</v>
      </c>
      <c r="G9" s="57"/>
      <c r="H9" s="57">
        <v>0</v>
      </c>
      <c r="I9" s="57"/>
      <c r="J9" s="57">
        <v>3</v>
      </c>
      <c r="K9" s="57"/>
      <c r="L9" s="57">
        <v>0</v>
      </c>
      <c r="M9" s="57"/>
      <c r="N9" s="57">
        <v>0</v>
      </c>
      <c r="O9" s="57"/>
      <c r="P9" s="57">
        <v>-2</v>
      </c>
      <c r="Q9" s="57"/>
      <c r="R9" s="57">
        <v>0</v>
      </c>
      <c r="S9" s="57"/>
      <c r="T9" s="108">
        <v>1857</v>
      </c>
    </row>
    <row r="10" spans="1:20" s="66" customFormat="1">
      <c r="A10" s="66" t="s">
        <v>1</v>
      </c>
      <c r="B10" s="109">
        <v>1788</v>
      </c>
      <c r="C10" s="67"/>
      <c r="D10" s="67">
        <v>10</v>
      </c>
      <c r="E10" s="67"/>
      <c r="F10" s="17">
        <v>505</v>
      </c>
      <c r="G10" s="67"/>
      <c r="H10" s="67">
        <v>0</v>
      </c>
      <c r="I10" s="67"/>
      <c r="J10" s="67">
        <v>-3</v>
      </c>
      <c r="K10" s="67"/>
      <c r="L10" s="67">
        <v>0</v>
      </c>
      <c r="M10" s="67"/>
      <c r="N10" s="67">
        <v>0</v>
      </c>
      <c r="O10" s="67"/>
      <c r="P10" s="67">
        <v>2</v>
      </c>
      <c r="Q10" s="67"/>
      <c r="R10" s="67">
        <v>0</v>
      </c>
      <c r="S10" s="67"/>
      <c r="T10" s="109">
        <v>2302</v>
      </c>
    </row>
    <row r="11" spans="1:20" s="50" customFormat="1">
      <c r="A11" s="50" t="s">
        <v>2</v>
      </c>
      <c r="B11" s="110"/>
      <c r="C11" s="44"/>
      <c r="D11" s="44"/>
      <c r="E11" s="44"/>
      <c r="F11" s="18"/>
      <c r="G11" s="44"/>
      <c r="H11" s="44"/>
      <c r="I11" s="44"/>
      <c r="J11" s="44"/>
      <c r="K11" s="44"/>
      <c r="L11" s="44"/>
      <c r="M11" s="44"/>
      <c r="N11" s="44"/>
      <c r="O11" s="44"/>
      <c r="P11" s="44"/>
      <c r="Q11" s="44"/>
      <c r="R11" s="44"/>
      <c r="S11" s="44"/>
      <c r="T11" s="110"/>
    </row>
    <row r="12" spans="1:20" s="50" customFormat="1">
      <c r="A12" s="50" t="s">
        <v>77</v>
      </c>
      <c r="B12" s="110">
        <v>730</v>
      </c>
      <c r="C12" s="44"/>
      <c r="D12" s="44">
        <v>0</v>
      </c>
      <c r="E12" s="44"/>
      <c r="F12" s="18">
        <v>0</v>
      </c>
      <c r="G12" s="44"/>
      <c r="H12" s="44">
        <v>0</v>
      </c>
      <c r="I12" s="44"/>
      <c r="J12" s="44">
        <v>0</v>
      </c>
      <c r="K12" s="44"/>
      <c r="L12" s="44">
        <v>0</v>
      </c>
      <c r="M12" s="44"/>
      <c r="N12" s="44">
        <v>0</v>
      </c>
      <c r="O12" s="44"/>
      <c r="P12" s="44">
        <v>-16</v>
      </c>
      <c r="Q12" s="44"/>
      <c r="R12" s="44">
        <v>0</v>
      </c>
      <c r="S12" s="44"/>
      <c r="T12" s="110">
        <v>714</v>
      </c>
    </row>
    <row r="13" spans="1:20" s="50" customFormat="1">
      <c r="A13" s="50" t="s">
        <v>78</v>
      </c>
      <c r="B13" s="110">
        <v>320</v>
      </c>
      <c r="C13" s="44"/>
      <c r="D13" s="44">
        <v>0</v>
      </c>
      <c r="E13" s="44"/>
      <c r="F13" s="18">
        <v>0</v>
      </c>
      <c r="G13" s="44"/>
      <c r="H13" s="44">
        <v>-14</v>
      </c>
      <c r="I13" s="44"/>
      <c r="J13" s="44">
        <v>0</v>
      </c>
      <c r="K13" s="44"/>
      <c r="L13" s="44">
        <v>0</v>
      </c>
      <c r="M13" s="44"/>
      <c r="N13" s="44">
        <v>0</v>
      </c>
      <c r="O13" s="44"/>
      <c r="P13" s="44">
        <v>-33</v>
      </c>
      <c r="Q13" s="44"/>
      <c r="R13" s="44">
        <v>0</v>
      </c>
      <c r="S13" s="44"/>
      <c r="T13" s="110">
        <v>273</v>
      </c>
    </row>
    <row r="14" spans="1:20" s="50" customFormat="1">
      <c r="A14" s="50" t="s">
        <v>79</v>
      </c>
      <c r="B14" s="110">
        <v>1229</v>
      </c>
      <c r="C14" s="44"/>
      <c r="D14" s="44">
        <v>0</v>
      </c>
      <c r="E14" s="44"/>
      <c r="F14" s="18">
        <v>0</v>
      </c>
      <c r="G14" s="44"/>
      <c r="H14" s="44">
        <v>0</v>
      </c>
      <c r="I14" s="44"/>
      <c r="J14" s="44">
        <v>0</v>
      </c>
      <c r="K14" s="44"/>
      <c r="L14" s="44">
        <v>0</v>
      </c>
      <c r="M14" s="44"/>
      <c r="N14" s="44">
        <v>0</v>
      </c>
      <c r="O14" s="44"/>
      <c r="P14" s="44">
        <v>-110</v>
      </c>
      <c r="Q14" s="44"/>
      <c r="R14" s="44">
        <v>0</v>
      </c>
      <c r="S14" s="44"/>
      <c r="T14" s="110">
        <v>1119</v>
      </c>
    </row>
    <row r="15" spans="1:20" s="50" customFormat="1">
      <c r="A15" s="50" t="s">
        <v>80</v>
      </c>
      <c r="B15" s="110">
        <v>2</v>
      </c>
      <c r="C15" s="44"/>
      <c r="D15" s="44">
        <v>-2</v>
      </c>
      <c r="E15" s="44"/>
      <c r="F15" s="18">
        <v>0</v>
      </c>
      <c r="G15" s="44"/>
      <c r="H15" s="44">
        <v>0</v>
      </c>
      <c r="I15" s="44"/>
      <c r="J15" s="44">
        <v>0</v>
      </c>
      <c r="K15" s="44"/>
      <c r="L15" s="44">
        <v>0</v>
      </c>
      <c r="M15" s="44"/>
      <c r="N15" s="44">
        <v>0</v>
      </c>
      <c r="O15" s="44"/>
      <c r="P15" s="44">
        <v>0</v>
      </c>
      <c r="Q15" s="44"/>
      <c r="R15" s="44">
        <v>0</v>
      </c>
      <c r="S15" s="44"/>
      <c r="T15" s="110">
        <v>0</v>
      </c>
    </row>
    <row r="16" spans="1:20" s="50" customFormat="1">
      <c r="A16" s="50" t="s">
        <v>81</v>
      </c>
      <c r="B16" s="110">
        <v>53</v>
      </c>
      <c r="C16" s="44"/>
      <c r="D16" s="44">
        <v>-53</v>
      </c>
      <c r="E16" s="44"/>
      <c r="F16" s="18">
        <v>0</v>
      </c>
      <c r="G16" s="44"/>
      <c r="H16" s="44">
        <v>0</v>
      </c>
      <c r="I16" s="44"/>
      <c r="J16" s="44">
        <v>0</v>
      </c>
      <c r="K16" s="44"/>
      <c r="L16" s="44">
        <v>0</v>
      </c>
      <c r="M16" s="44"/>
      <c r="N16" s="44">
        <v>0</v>
      </c>
      <c r="O16" s="44"/>
      <c r="P16" s="44">
        <v>0</v>
      </c>
      <c r="Q16" s="44"/>
      <c r="R16" s="44">
        <v>0</v>
      </c>
      <c r="S16" s="44"/>
      <c r="T16" s="110">
        <v>0</v>
      </c>
    </row>
    <row r="17" spans="1:20" s="50" customFormat="1" ht="14.25">
      <c r="A17" s="50" t="s">
        <v>207</v>
      </c>
      <c r="B17" s="111">
        <v>140</v>
      </c>
      <c r="C17" s="57"/>
      <c r="D17" s="57">
        <v>0</v>
      </c>
      <c r="E17" s="57"/>
      <c r="F17" s="19">
        <v>0</v>
      </c>
      <c r="G17" s="57"/>
      <c r="H17" s="57">
        <v>0</v>
      </c>
      <c r="I17" s="57"/>
      <c r="J17" s="57">
        <v>0</v>
      </c>
      <c r="K17" s="57"/>
      <c r="L17" s="57">
        <v>0</v>
      </c>
      <c r="M17" s="57"/>
      <c r="N17" s="57">
        <v>-140</v>
      </c>
      <c r="O17" s="57"/>
      <c r="P17" s="57">
        <v>0</v>
      </c>
      <c r="Q17" s="57"/>
      <c r="R17" s="57">
        <v>0</v>
      </c>
      <c r="S17" s="57"/>
      <c r="T17" s="108">
        <v>0</v>
      </c>
    </row>
    <row r="18" spans="1:20" s="50" customFormat="1" ht="14.25">
      <c r="A18" s="50" t="s">
        <v>82</v>
      </c>
      <c r="B18" s="108">
        <v>2474</v>
      </c>
      <c r="C18" s="57"/>
      <c r="D18" s="57">
        <v>-55</v>
      </c>
      <c r="E18" s="57"/>
      <c r="F18" s="19">
        <v>0</v>
      </c>
      <c r="G18" s="57"/>
      <c r="H18" s="57">
        <v>-14</v>
      </c>
      <c r="I18" s="57"/>
      <c r="J18" s="57">
        <v>0</v>
      </c>
      <c r="K18" s="57"/>
      <c r="L18" s="57">
        <v>0</v>
      </c>
      <c r="M18" s="57"/>
      <c r="N18" s="57">
        <v>-140</v>
      </c>
      <c r="O18" s="57"/>
      <c r="P18" s="57">
        <v>-159</v>
      </c>
      <c r="Q18" s="57"/>
      <c r="R18" s="57">
        <v>0</v>
      </c>
      <c r="S18" s="57"/>
      <c r="T18" s="108">
        <v>2106</v>
      </c>
    </row>
    <row r="19" spans="1:20" s="50" customFormat="1">
      <c r="B19" s="110"/>
      <c r="C19" s="44"/>
      <c r="D19" s="44"/>
      <c r="E19" s="44"/>
      <c r="F19" s="18"/>
      <c r="G19" s="44"/>
      <c r="H19" s="44"/>
      <c r="I19" s="44"/>
      <c r="J19" s="44"/>
      <c r="K19" s="44"/>
      <c r="L19" s="44"/>
      <c r="M19" s="44"/>
      <c r="N19" s="44"/>
      <c r="O19" s="44"/>
      <c r="P19" s="44"/>
      <c r="Q19" s="44"/>
      <c r="R19" s="44"/>
      <c r="S19" s="44"/>
      <c r="T19" s="110"/>
    </row>
    <row r="20" spans="1:20" s="71" customFormat="1">
      <c r="A20" s="1" t="s">
        <v>11</v>
      </c>
      <c r="B20" s="109">
        <v>-686</v>
      </c>
      <c r="C20" s="67"/>
      <c r="D20" s="17">
        <v>65</v>
      </c>
      <c r="E20" s="67"/>
      <c r="F20" s="17">
        <v>505</v>
      </c>
      <c r="G20" s="67"/>
      <c r="H20" s="17">
        <v>14</v>
      </c>
      <c r="I20" s="67"/>
      <c r="J20" s="17">
        <v>-3</v>
      </c>
      <c r="K20" s="17"/>
      <c r="L20" s="17">
        <v>0</v>
      </c>
      <c r="M20" s="17"/>
      <c r="N20" s="17">
        <v>140</v>
      </c>
      <c r="O20" s="67"/>
      <c r="P20" s="17">
        <v>161</v>
      </c>
      <c r="Q20" s="67"/>
      <c r="R20" s="17">
        <v>0</v>
      </c>
      <c r="S20" s="67"/>
      <c r="T20" s="109">
        <v>196</v>
      </c>
    </row>
    <row r="21" spans="1:20" s="71" customFormat="1">
      <c r="A21" s="72"/>
      <c r="B21" s="109"/>
      <c r="C21" s="67"/>
      <c r="D21" s="67"/>
      <c r="E21" s="67"/>
      <c r="F21" s="17"/>
      <c r="G21" s="67"/>
      <c r="H21" s="67"/>
      <c r="I21" s="67"/>
      <c r="J21" s="67"/>
      <c r="K21" s="67"/>
      <c r="L21" s="67"/>
      <c r="M21" s="67"/>
      <c r="N21" s="67"/>
      <c r="O21" s="67"/>
      <c r="P21" s="67"/>
      <c r="Q21" s="67"/>
      <c r="R21" s="67"/>
      <c r="S21" s="67"/>
      <c r="T21" s="109"/>
    </row>
    <row r="22" spans="1:20" s="74" customFormat="1">
      <c r="A22" s="73" t="s">
        <v>12</v>
      </c>
      <c r="B22" s="110">
        <v>-26</v>
      </c>
      <c r="C22" s="44"/>
      <c r="D22" s="18">
        <v>0</v>
      </c>
      <c r="E22" s="44"/>
      <c r="F22" s="18">
        <v>0</v>
      </c>
      <c r="G22" s="44"/>
      <c r="H22" s="18">
        <v>0</v>
      </c>
      <c r="I22" s="44"/>
      <c r="J22" s="18">
        <v>0</v>
      </c>
      <c r="K22" s="18"/>
      <c r="L22" s="18">
        <v>26</v>
      </c>
      <c r="M22" s="18"/>
      <c r="N22" s="18">
        <v>0</v>
      </c>
      <c r="O22" s="44"/>
      <c r="P22" s="18">
        <v>0</v>
      </c>
      <c r="Q22" s="44"/>
      <c r="R22" s="18">
        <v>0</v>
      </c>
      <c r="S22" s="44"/>
      <c r="T22" s="110">
        <v>0</v>
      </c>
    </row>
    <row r="23" spans="1:20" s="74" customFormat="1" ht="14.25">
      <c r="A23" s="280" t="s">
        <v>83</v>
      </c>
      <c r="B23" s="108">
        <v>6</v>
      </c>
      <c r="C23" s="57"/>
      <c r="D23" s="57">
        <v>0</v>
      </c>
      <c r="E23" s="57"/>
      <c r="F23" s="19">
        <v>0</v>
      </c>
      <c r="G23" s="57"/>
      <c r="H23" s="57">
        <v>0</v>
      </c>
      <c r="I23" s="57"/>
      <c r="J23" s="57">
        <v>0</v>
      </c>
      <c r="K23" s="57"/>
      <c r="L23" s="57">
        <v>0</v>
      </c>
      <c r="M23" s="57"/>
      <c r="N23" s="57">
        <v>0</v>
      </c>
      <c r="O23" s="57"/>
      <c r="P23" s="57">
        <v>0</v>
      </c>
      <c r="Q23" s="57"/>
      <c r="R23" s="57">
        <v>0</v>
      </c>
      <c r="S23" s="57"/>
      <c r="T23" s="108">
        <v>6</v>
      </c>
    </row>
    <row r="24" spans="1:20" s="74" customFormat="1">
      <c r="B24" s="110"/>
      <c r="C24" s="44"/>
      <c r="D24" s="44"/>
      <c r="E24" s="44"/>
      <c r="F24" s="18"/>
      <c r="G24" s="44"/>
      <c r="H24" s="44"/>
      <c r="I24" s="44"/>
      <c r="J24" s="44"/>
      <c r="K24" s="44"/>
      <c r="L24" s="44"/>
      <c r="M24" s="44"/>
      <c r="N24" s="44"/>
      <c r="O24" s="44"/>
      <c r="P24" s="44"/>
      <c r="Q24" s="44"/>
      <c r="R24" s="44"/>
      <c r="S24" s="44"/>
      <c r="T24" s="110"/>
    </row>
    <row r="25" spans="1:20" s="74" customFormat="1">
      <c r="A25" s="4" t="s">
        <v>86</v>
      </c>
      <c r="B25" s="110">
        <v>-706</v>
      </c>
      <c r="C25" s="44"/>
      <c r="D25" s="18">
        <v>65</v>
      </c>
      <c r="E25" s="44"/>
      <c r="F25" s="18">
        <v>505</v>
      </c>
      <c r="G25" s="44"/>
      <c r="H25" s="18">
        <v>14</v>
      </c>
      <c r="I25" s="44"/>
      <c r="J25" s="18">
        <v>-3</v>
      </c>
      <c r="K25" s="18"/>
      <c r="L25" s="18">
        <v>26</v>
      </c>
      <c r="M25" s="18"/>
      <c r="N25" s="18">
        <v>140</v>
      </c>
      <c r="O25" s="44"/>
      <c r="P25" s="18">
        <v>161</v>
      </c>
      <c r="Q25" s="44"/>
      <c r="R25" s="18">
        <v>0</v>
      </c>
      <c r="S25" s="44"/>
      <c r="T25" s="110">
        <v>202</v>
      </c>
    </row>
    <row r="26" spans="1:20" s="74" customFormat="1">
      <c r="A26" s="4"/>
      <c r="B26" s="110"/>
      <c r="C26" s="44"/>
      <c r="D26" s="44"/>
      <c r="E26" s="44"/>
      <c r="F26" s="18"/>
      <c r="G26" s="44"/>
      <c r="H26" s="44"/>
      <c r="I26" s="44"/>
      <c r="J26" s="44"/>
      <c r="K26" s="44"/>
      <c r="L26" s="44"/>
      <c r="M26" s="44"/>
      <c r="N26" s="44"/>
      <c r="O26" s="44"/>
      <c r="P26" s="44"/>
      <c r="Q26" s="44"/>
      <c r="R26" s="44"/>
      <c r="S26" s="44"/>
      <c r="T26" s="110"/>
    </row>
    <row r="27" spans="1:20" s="74" customFormat="1" ht="14.25">
      <c r="A27" s="4" t="s">
        <v>23</v>
      </c>
      <c r="B27" s="108">
        <v>-29</v>
      </c>
      <c r="C27" s="57"/>
      <c r="D27" s="19">
        <v>0</v>
      </c>
      <c r="E27" s="57"/>
      <c r="F27" s="19">
        <v>0</v>
      </c>
      <c r="G27" s="57"/>
      <c r="H27" s="19">
        <v>0</v>
      </c>
      <c r="I27" s="57"/>
      <c r="J27" s="19">
        <v>0</v>
      </c>
      <c r="K27" s="19"/>
      <c r="L27" s="19">
        <v>0</v>
      </c>
      <c r="M27" s="19"/>
      <c r="N27" s="19">
        <v>0</v>
      </c>
      <c r="O27" s="57"/>
      <c r="P27" s="19">
        <v>0</v>
      </c>
      <c r="Q27" s="57"/>
      <c r="R27" s="57">
        <v>86</v>
      </c>
      <c r="S27" s="57"/>
      <c r="T27" s="108">
        <v>57</v>
      </c>
    </row>
    <row r="28" spans="1:20" s="74" customFormat="1">
      <c r="B28" s="110"/>
      <c r="C28" s="44"/>
      <c r="D28" s="44"/>
      <c r="E28" s="44"/>
      <c r="F28" s="18"/>
      <c r="G28" s="44"/>
      <c r="H28" s="44"/>
      <c r="I28" s="44"/>
      <c r="J28" s="44"/>
      <c r="K28" s="44"/>
      <c r="L28" s="44"/>
      <c r="M28" s="44"/>
      <c r="N28" s="44"/>
      <c r="O28" s="44"/>
      <c r="P28" s="44"/>
      <c r="Q28" s="44"/>
      <c r="R28" s="44"/>
      <c r="S28" s="44"/>
      <c r="T28" s="110"/>
    </row>
    <row r="29" spans="1:20" s="63" customFormat="1" ht="14.25">
      <c r="A29" s="76" t="s">
        <v>14</v>
      </c>
      <c r="B29" s="112">
        <v>-677</v>
      </c>
      <c r="C29" s="77"/>
      <c r="D29" s="20">
        <v>65</v>
      </c>
      <c r="E29" s="77"/>
      <c r="F29" s="20">
        <v>505</v>
      </c>
      <c r="G29" s="77"/>
      <c r="H29" s="20">
        <v>14</v>
      </c>
      <c r="I29" s="77"/>
      <c r="J29" s="20">
        <v>-3</v>
      </c>
      <c r="K29" s="20"/>
      <c r="L29" s="20">
        <v>26</v>
      </c>
      <c r="M29" s="20"/>
      <c r="N29" s="20">
        <v>140</v>
      </c>
      <c r="O29" s="77"/>
      <c r="P29" s="20">
        <v>161</v>
      </c>
      <c r="Q29" s="77"/>
      <c r="R29" s="20">
        <v>-86</v>
      </c>
      <c r="S29" s="77"/>
      <c r="T29" s="112">
        <v>145</v>
      </c>
    </row>
    <row r="30" spans="1:20" ht="12" customHeight="1">
      <c r="B30" s="119"/>
      <c r="T30" s="119"/>
    </row>
  </sheetData>
  <mergeCells count="4">
    <mergeCell ref="A1:T1"/>
    <mergeCell ref="A2:T2"/>
    <mergeCell ref="A3:T3"/>
    <mergeCell ref="B6:T6"/>
  </mergeCells>
  <phoneticPr fontId="15" type="noConversion"/>
  <pageMargins left="0.7" right="0.7" top="0.75" bottom="0.75" header="0.3" footer="0.3"/>
  <pageSetup scale="58" orientation="landscape" r:id="rId1"/>
  <headerFooter>
    <oddFooter>&amp;LElectronic Arts Inc.&amp;C&amp;D&amp;R&amp;P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EmailTo xmlns="http://schemas.microsoft.com/sharepoint/v3" xsi:nil="true"/>
    <Status xmlns="15314a97-f564-421f-b3de-c0a754aa5713">Green</Status>
    <EmailSender xmlns="http://schemas.microsoft.com/sharepoint/v3" xsi:nil="true"/>
    <EmailFrom xmlns="http://schemas.microsoft.com/sharepoint/v3" xsi:nil="true"/>
    <Pinning_x0020_to_x0020_top_x0020_1 xmlns="15314a97-f564-421f-b3de-c0a754aa5713" xsi:nil="true"/>
    <EmailSubject xmlns="http://schemas.microsoft.com/sharepoint/v3" xsi:nil="true"/>
    <EmailCc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B92C8B2DFE245B425548B3B8B21B9" ma:contentTypeVersion="8" ma:contentTypeDescription="Create a new document." ma:contentTypeScope="" ma:versionID="9d3a41f7b20b81efa66fb8f6b1aba627">
  <xsd:schema xmlns:xsd="http://www.w3.org/2001/XMLSchema" xmlns:p="http://schemas.microsoft.com/office/2006/metadata/properties" xmlns:ns1="http://schemas.microsoft.com/sharepoint/v3" xmlns:ns2="15314a97-f564-421f-b3de-c0a754aa5713" targetNamespace="http://schemas.microsoft.com/office/2006/metadata/properties" ma:root="true" ma:fieldsID="38b2cafbc391c544082e194801d50443" ns1:_="" ns2:_="">
    <xsd:import namespace="http://schemas.microsoft.com/sharepoint/v3"/>
    <xsd:import namespace="15314a97-f564-421f-b3de-c0a754aa5713"/>
    <xsd:element name="properties">
      <xsd:complexType>
        <xsd:sequence>
          <xsd:element name="documentManagement">
            <xsd:complexType>
              <xsd:all>
                <xsd:element ref="ns2:Pinning_x0020_to_x0020_top_x0020_1" minOccurs="0"/>
                <xsd:element ref="ns1:EmailSender" minOccurs="0"/>
                <xsd:element ref="ns1:EmailTo" minOccurs="0"/>
                <xsd:element ref="ns1:EmailCc" minOccurs="0"/>
                <xsd:element ref="ns1:EmailFrom" minOccurs="0"/>
                <xsd:element ref="ns1:EmailSubject" minOccurs="0"/>
                <xsd:element ref="ns2:Status"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EmailSender" ma:index="9" nillable="true" ma:displayName="E-Mail Sender" ma:hidden="true" ma:internalName="EmailSender">
      <xsd:simpleType>
        <xsd:restriction base="dms:Note"/>
      </xsd:simpleType>
    </xsd:element>
    <xsd:element name="EmailTo" ma:index="10" nillable="true" ma:displayName="E-Mail To" ma:hidden="true" ma:internalName="EmailTo">
      <xsd:simpleType>
        <xsd:restriction base="dms:Note"/>
      </xsd:simpleType>
    </xsd:element>
    <xsd:element name="EmailCc" ma:index="11" nillable="true" ma:displayName="E-Mail Cc" ma:hidden="true" ma:internalName="EmailCc">
      <xsd:simpleType>
        <xsd:restriction base="dms:Note"/>
      </xsd:simpleType>
    </xsd:element>
    <xsd:element name="EmailFrom" ma:index="12" nillable="true" ma:displayName="E-Mail From" ma:hidden="true" ma:internalName="EmailFrom">
      <xsd:simpleType>
        <xsd:restriction base="dms:Text"/>
      </xsd:simpleType>
    </xsd:element>
    <xsd:element name="EmailSubject" ma:index="13" nillable="true" ma:displayName="E-Mail Subject" ma:hidden="true" ma:internalName="EmailSubject">
      <xsd:simpleType>
        <xsd:restriction base="dms:Text"/>
      </xsd:simpleType>
    </xsd:element>
  </xsd:schema>
  <xsd:schema xmlns:xsd="http://www.w3.org/2001/XMLSchema" xmlns:dms="http://schemas.microsoft.com/office/2006/documentManagement/types" targetNamespace="15314a97-f564-421f-b3de-c0a754aa5713" elementFormDefault="qualified">
    <xsd:import namespace="http://schemas.microsoft.com/office/2006/documentManagement/types"/>
    <xsd:element name="Pinning_x0020_to_x0020_top_x0020_1" ma:index="8" nillable="true" ma:displayName="Pin" ma:decimals="0" ma:internalName="Pinning_x0020_to_x0020_top_x0020_1" ma:percentage="FALSE">
      <xsd:simpleType>
        <xsd:restriction base="dms:Number">
          <xsd:maxInclusive value="50"/>
          <xsd:minInclusive value="1"/>
        </xsd:restriction>
      </xsd:simpleType>
    </xsd:element>
    <xsd:element name="Status" ma:index="14" nillable="true" ma:displayName="Status" ma:default="Green" ma:format="Dropdown" ma:internalName="Status">
      <xsd:simpleType>
        <xsd:restriction base="dms:Choice">
          <xsd:enumeration value="Green"/>
          <xsd:enumeration value="Yellow"/>
          <xsd:enumeration value="R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0DC528-8D15-4018-9A11-9133EAA0A3E3}">
  <ds:schemaRefs>
    <ds:schemaRef ds:uri="http://schemas.microsoft.com/office/2006/metadata/properties"/>
    <ds:schemaRef ds:uri="http://purl.org/dc/dcmitype/"/>
    <ds:schemaRef ds:uri="http://purl.org/dc/elements/1.1/"/>
    <ds:schemaRef ds:uri="http://schemas.microsoft.com/office/2006/documentManagement/types"/>
    <ds:schemaRef ds:uri="http://schemas.openxmlformats.org/package/2006/metadata/core-properties"/>
    <ds:schemaRef ds:uri="http://purl.org/dc/terms/"/>
    <ds:schemaRef ds:uri="15314a97-f564-421f-b3de-c0a754aa5713"/>
    <ds:schemaRef ds:uri="http://schemas.microsoft.com/sharepoint/v3"/>
    <ds:schemaRef ds:uri="http://www.w3.org/XML/1998/namespace"/>
  </ds:schemaRefs>
</ds:datastoreItem>
</file>

<file path=customXml/itemProps2.xml><?xml version="1.0" encoding="utf-8"?>
<ds:datastoreItem xmlns:ds="http://schemas.openxmlformats.org/officeDocument/2006/customXml" ds:itemID="{F4AD44AD-5E04-4958-B96C-5A9B0C3BF5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5314a97-f564-421f-b3de-c0a754aa571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6305C24C-E1D6-4E51-A6C0-44D4FAB53E91}">
  <ds:schemaRefs>
    <ds:schemaRef ds:uri="http://schemas.microsoft.com/office/2006/metadata/longProperties"/>
  </ds:schemaRefs>
</ds:datastoreItem>
</file>

<file path=customXml/itemProps4.xml><?xml version="1.0" encoding="utf-8"?>
<ds:datastoreItem xmlns:ds="http://schemas.openxmlformats.org/officeDocument/2006/customXml" ds:itemID="{0E84F52C-4B5C-4DFA-8FC9-9158506E61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27</vt:i4>
      </vt:variant>
    </vt:vector>
  </HeadingPairs>
  <TitlesOfParts>
    <vt:vector size="58" baseType="lpstr">
      <vt:lpstr>Non-GAAP Financial Measures</vt:lpstr>
      <vt:lpstr>QTD P&amp;L - 12 quarters</vt:lpstr>
      <vt:lpstr>TTM P&amp;L - 12 quarters</vt:lpstr>
      <vt:lpstr>QTD Net Rev - 12 quarters</vt:lpstr>
      <vt:lpstr>TTM Net Rev - 12 quarters</vt:lpstr>
      <vt:lpstr>Balance Sheet - 12 quarters</vt:lpstr>
      <vt:lpstr>Cashflow - 12 Quarters</vt:lpstr>
      <vt:lpstr>QTD Recon Q3FY13</vt:lpstr>
      <vt:lpstr>QTD Recon Q2FY13</vt:lpstr>
      <vt:lpstr>QTD Recon Q1FY13</vt:lpstr>
      <vt:lpstr>QTD Recon Q4FY12</vt:lpstr>
      <vt:lpstr>QTD Recon Q3FY12</vt:lpstr>
      <vt:lpstr>QTD Recon Q2FY12</vt:lpstr>
      <vt:lpstr>QTD Recon Q1FY12</vt:lpstr>
      <vt:lpstr>QTD Recon Q4FY11</vt:lpstr>
      <vt:lpstr>QTD Recon Q3FY11</vt:lpstr>
      <vt:lpstr>QTD Recon Q2FY11</vt:lpstr>
      <vt:lpstr>QTD Recon Q1FY11</vt:lpstr>
      <vt:lpstr>QTD Recon Q4FY10</vt:lpstr>
      <vt:lpstr>TTM Recon Q3FY13</vt:lpstr>
      <vt:lpstr>TTM Recon Q2FY13</vt:lpstr>
      <vt:lpstr>TTM Recon Q1FY13</vt:lpstr>
      <vt:lpstr>TTM Recon Q4FY12</vt:lpstr>
      <vt:lpstr>TTM Recon Q3FY12</vt:lpstr>
      <vt:lpstr>TTM Recon Q2FY12</vt:lpstr>
      <vt:lpstr>TTM Recon Q1FY12</vt:lpstr>
      <vt:lpstr>TTM Recon Q4FY11</vt:lpstr>
      <vt:lpstr>TTM Recon Q3FY11</vt:lpstr>
      <vt:lpstr>TTM Recon Q2FY11</vt:lpstr>
      <vt:lpstr>TTM Recon Q1FY11</vt:lpstr>
      <vt:lpstr>TTM Recon Q4FY10</vt:lpstr>
      <vt:lpstr>'Balance Sheet - 12 quarters'!Print_Area</vt:lpstr>
      <vt:lpstr>'Cashflow - 12 Quarters'!Print_Area</vt:lpstr>
      <vt:lpstr>'Non-GAAP Financial Measures'!Print_Area</vt:lpstr>
      <vt:lpstr>'QTD Net Rev - 12 quarters'!Print_Area</vt:lpstr>
      <vt:lpstr>'QTD P&amp;L - 12 quarters'!Print_Area</vt:lpstr>
      <vt:lpstr>'QTD Recon Q1FY12'!Print_Area</vt:lpstr>
      <vt:lpstr>'QTD Recon Q1FY13'!Print_Area</vt:lpstr>
      <vt:lpstr>'QTD Recon Q2FY11'!Print_Area</vt:lpstr>
      <vt:lpstr>'QTD Recon Q2FY12'!Print_Area</vt:lpstr>
      <vt:lpstr>'QTD Recon Q2FY13'!Print_Area</vt:lpstr>
      <vt:lpstr>'QTD Recon Q3FY12'!Print_Area</vt:lpstr>
      <vt:lpstr>'QTD Recon Q3FY13'!Print_Area</vt:lpstr>
      <vt:lpstr>'QTD Recon Q4FY10'!Print_Area</vt:lpstr>
      <vt:lpstr>'QTD Recon Q4FY12'!Print_Area</vt:lpstr>
      <vt:lpstr>'TTM Net Rev - 12 quarters'!Print_Area</vt:lpstr>
      <vt:lpstr>'TTM P&amp;L - 12 quarters'!Print_Area</vt:lpstr>
      <vt:lpstr>'TTM Recon Q1FY11'!Print_Area</vt:lpstr>
      <vt:lpstr>'TTM Recon Q1FY12'!Print_Area</vt:lpstr>
      <vt:lpstr>'TTM Recon Q1FY13'!Print_Area</vt:lpstr>
      <vt:lpstr>'TTM Recon Q2FY12'!Print_Area</vt:lpstr>
      <vt:lpstr>'TTM Recon Q2FY13'!Print_Area</vt:lpstr>
      <vt:lpstr>'TTM Recon Q3FY12'!Print_Area</vt:lpstr>
      <vt:lpstr>'TTM Recon Q3FY13'!Print_Area</vt:lpstr>
      <vt:lpstr>'TTM Recon Q4FY10'!Print_Area</vt:lpstr>
      <vt:lpstr>'TTM Recon Q4FY12'!Print_Area</vt:lpstr>
      <vt:lpstr>'QTD Net Rev - 12 quarters'!Print_Titles</vt:lpstr>
      <vt:lpstr>'TTM Net Rev - 12 quarters'!Print_Titles</vt:lpstr>
    </vt:vector>
  </TitlesOfParts>
  <Company>Electronic Arts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Wieder, Andreas</dc:creator>
  <cp:lastModifiedBy>Chen, Shirley</cp:lastModifiedBy>
  <cp:lastPrinted>2013-01-28T19:39:52Z</cp:lastPrinted>
  <dcterms:created xsi:type="dcterms:W3CDTF">2010-07-21T13:25:15Z</dcterms:created>
  <dcterms:modified xsi:type="dcterms:W3CDTF">2013-01-28T19:39:57Z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EmailTo">
    <vt:lpwstr/>
  </property>
  <property fmtid="{D5CDD505-2E9C-101B-9397-08002B2CF9AE}" pid="4" name="Status">
    <vt:lpwstr>Green</vt:lpwstr>
  </property>
  <property fmtid="{D5CDD505-2E9C-101B-9397-08002B2CF9AE}" pid="5" name="EmailSender">
    <vt:lpwstr/>
  </property>
  <property fmtid="{D5CDD505-2E9C-101B-9397-08002B2CF9AE}" pid="6" name="EmailFrom">
    <vt:lpwstr/>
  </property>
  <property fmtid="{D5CDD505-2E9C-101B-9397-08002B2CF9AE}" pid="7" name="Pinning to top 1">
    <vt:lpwstr/>
  </property>
  <property fmtid="{D5CDD505-2E9C-101B-9397-08002B2CF9AE}" pid="8" name="EmailSubject">
    <vt:lpwstr/>
  </property>
  <property fmtid="{D5CDD505-2E9C-101B-9397-08002B2CF9AE}" pid="9" name="EmailCc">
    <vt:lpwstr/>
  </property>
</Properties>
</file>