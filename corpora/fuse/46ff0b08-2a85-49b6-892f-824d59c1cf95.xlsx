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worksheets/sheet1.xml" ContentType="application/vnd.openxmlformats-officedocument.spreadsheetml.workshee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pivotTables/pivotTable2.xml" ContentType="application/vnd.openxmlformats-officedocument.spreadsheetml.pivotTable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pivotTables/pivotTable3.xml" ContentType="application/vnd.openxmlformats-officedocument.spreadsheetml.pivotTable+xml"/>
  <Override PartName="/xl/pivotTables/pivotTable1.xml" ContentType="application/vnd.openxmlformats-officedocument.spreadsheetml.pivot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calcChain.xml" ContentType="application/vnd.openxmlformats-officedocument.spreadsheetml.calcChain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3.xml" ContentType="application/vnd.openxmlformats-officedocument.spreadsheetml.pivotCacheDefinit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externalLinks/externalLink4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Records3.xml" ContentType="application/vnd.openxmlformats-officedocument.spreadsheetml.pivotCacheRecord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65" windowWidth="27795" windowHeight="12210"/>
  </bookViews>
  <sheets>
    <sheet name="TABLE" sheetId="1" r:id="rId1"/>
    <sheet name="gender" sheetId="2" state="hidden" r:id="rId2"/>
    <sheet name="ethnic" sheetId="3" state="hidden" r:id="rId3"/>
    <sheet name="Sheet2" sheetId="4" state="hidden" r:id="rId4"/>
    <sheet name="graph base" sheetId="5" r:id="rId5"/>
    <sheet name="gender graph" sheetId="6" r:id="rId6"/>
    <sheet name="ethnicity graph" sheetId="7" r:id="rId7"/>
    <sheet name="age graph" sheetId="8" r:id="rId8"/>
  </sheets>
  <externalReferences>
    <externalReference r:id="rId9"/>
    <externalReference r:id="rId10"/>
    <externalReference r:id="rId11"/>
    <externalReference r:id="rId12"/>
  </externalReferences>
  <calcPr calcId="145621"/>
  <pivotCaches>
    <pivotCache cacheId="11" r:id="rId13"/>
    <pivotCache cacheId="14" r:id="rId14"/>
    <pivotCache cacheId="17" r:id="rId15"/>
  </pivotCaches>
</workbook>
</file>

<file path=xl/calcChain.xml><?xml version="1.0" encoding="utf-8"?>
<calcChain xmlns="http://schemas.openxmlformats.org/spreadsheetml/2006/main">
  <c r="B10" i="1" l="1"/>
  <c r="B24" i="1" s="1"/>
  <c r="E11" i="3" l="1"/>
  <c r="D11" i="3"/>
  <c r="C11" i="3"/>
  <c r="B11" i="3"/>
  <c r="A11" i="3"/>
  <c r="E10" i="3"/>
  <c r="D10" i="3"/>
  <c r="C10" i="3"/>
  <c r="B10" i="3"/>
  <c r="A10" i="3"/>
  <c r="E4" i="3"/>
  <c r="D4" i="3"/>
  <c r="C4" i="3"/>
  <c r="B4" i="3"/>
  <c r="A4" i="3"/>
  <c r="E9" i="3"/>
  <c r="D9" i="3"/>
  <c r="C9" i="3"/>
  <c r="B9" i="3"/>
  <c r="A9" i="3"/>
  <c r="E8" i="3"/>
  <c r="D8" i="3"/>
  <c r="C8" i="3"/>
  <c r="B8" i="3"/>
  <c r="A8" i="3"/>
  <c r="E7" i="3"/>
  <c r="D7" i="3"/>
  <c r="C7" i="3"/>
  <c r="B7" i="3"/>
  <c r="A7" i="3"/>
  <c r="E6" i="3"/>
  <c r="D6" i="3"/>
  <c r="C6" i="3"/>
  <c r="B6" i="3"/>
  <c r="A6" i="3"/>
  <c r="E5" i="3"/>
  <c r="D5" i="3"/>
  <c r="C5" i="3"/>
  <c r="B5" i="3"/>
  <c r="A5" i="3"/>
  <c r="E3" i="3"/>
  <c r="D3" i="3"/>
  <c r="C3" i="3"/>
  <c r="B3" i="3"/>
  <c r="A3" i="3"/>
  <c r="C43" i="5" l="1"/>
  <c r="D43" i="5"/>
  <c r="E43" i="5"/>
  <c r="F43" i="5"/>
  <c r="G43" i="5"/>
  <c r="H43" i="5"/>
  <c r="I43" i="5"/>
  <c r="J43" i="5"/>
  <c r="K43" i="5"/>
  <c r="L43" i="5"/>
  <c r="M43" i="5"/>
  <c r="B43" i="5"/>
  <c r="A43" i="5"/>
  <c r="A27" i="5"/>
  <c r="C13" i="5"/>
  <c r="C27" i="5" s="1"/>
  <c r="A13" i="5"/>
  <c r="D4" i="5"/>
  <c r="D13" i="5" s="1"/>
  <c r="D27" i="5" s="1"/>
  <c r="E4" i="5"/>
  <c r="E13" i="5" s="1"/>
  <c r="E27" i="5" s="1"/>
  <c r="F4" i="5"/>
  <c r="F13" i="5" s="1"/>
  <c r="F27" i="5" s="1"/>
  <c r="G4" i="5"/>
  <c r="G13" i="5" s="1"/>
  <c r="G27" i="5" s="1"/>
  <c r="H4" i="5"/>
  <c r="H13" i="5" s="1"/>
  <c r="H27" i="5" s="1"/>
  <c r="I4" i="5"/>
  <c r="I13" i="5" s="1"/>
  <c r="I27" i="5" s="1"/>
  <c r="J4" i="5"/>
  <c r="J13" i="5" s="1"/>
  <c r="J27" i="5" s="1"/>
  <c r="K4" i="5"/>
  <c r="K13" i="5" s="1"/>
  <c r="K27" i="5" s="1"/>
  <c r="L4" i="5"/>
  <c r="L13" i="5" s="1"/>
  <c r="L27" i="5" s="1"/>
  <c r="M4" i="5"/>
  <c r="M13" i="5" s="1"/>
  <c r="M27" i="5" s="1"/>
  <c r="C4" i="5"/>
  <c r="B4" i="5"/>
  <c r="B13" i="5" s="1"/>
  <c r="B27" i="5" s="1"/>
  <c r="A4" i="5"/>
  <c r="M44" i="5"/>
  <c r="J44" i="5"/>
  <c r="H44" i="5"/>
  <c r="F44" i="5"/>
  <c r="D44" i="5"/>
  <c r="B44" i="5"/>
  <c r="M36" i="5"/>
  <c r="M35" i="5"/>
  <c r="M34" i="5"/>
  <c r="M33" i="5"/>
  <c r="M32" i="5"/>
  <c r="M31" i="5"/>
  <c r="M30" i="5"/>
  <c r="M29" i="5"/>
  <c r="M28" i="5"/>
  <c r="M22" i="5"/>
  <c r="M21" i="5"/>
  <c r="M20" i="5"/>
  <c r="M19" i="5"/>
  <c r="M18" i="5"/>
  <c r="M17" i="5"/>
  <c r="M16" i="5"/>
  <c r="M15" i="5"/>
  <c r="M14" i="5"/>
  <c r="L8" i="5"/>
  <c r="M7" i="5" s="1"/>
  <c r="M5" i="5" l="1"/>
  <c r="M6" i="5"/>
  <c r="M43" i="1" l="1"/>
  <c r="M28" i="1" l="1"/>
  <c r="M29" i="1"/>
  <c r="M30" i="1"/>
  <c r="M31" i="1"/>
  <c r="M32" i="1"/>
  <c r="M33" i="1"/>
  <c r="M34" i="1"/>
  <c r="M35" i="1"/>
  <c r="M27" i="1"/>
  <c r="M14" i="1"/>
  <c r="M15" i="1"/>
  <c r="M16" i="1"/>
  <c r="M17" i="1"/>
  <c r="M18" i="1"/>
  <c r="M19" i="1"/>
  <c r="M20" i="1"/>
  <c r="M21" i="1"/>
  <c r="M13" i="1"/>
  <c r="F4" i="3"/>
  <c r="F6" i="3"/>
  <c r="F7" i="3"/>
  <c r="F8" i="3"/>
  <c r="F9" i="3"/>
  <c r="F10" i="3"/>
  <c r="F11" i="3"/>
  <c r="F3" i="3"/>
  <c r="H14" i="1" l="1"/>
  <c r="H15" i="5"/>
  <c r="D14" i="1"/>
  <c r="D15" i="5"/>
  <c r="D21" i="1"/>
  <c r="D22" i="5"/>
  <c r="D19" i="1"/>
  <c r="D20" i="5"/>
  <c r="D17" i="1"/>
  <c r="D18" i="5"/>
  <c r="D15" i="1"/>
  <c r="D16" i="5"/>
  <c r="B14" i="1"/>
  <c r="B15" i="5"/>
  <c r="J14" i="1"/>
  <c r="J15" i="5"/>
  <c r="F14" i="1"/>
  <c r="F15" i="5"/>
  <c r="D13" i="1"/>
  <c r="D14" i="5"/>
  <c r="J20" i="1"/>
  <c r="J21" i="5"/>
  <c r="B18" i="1"/>
  <c r="B19" i="5"/>
  <c r="B16" i="1"/>
  <c r="B17" i="5"/>
  <c r="H21" i="1" l="1"/>
  <c r="H22" i="5"/>
  <c r="D20" i="1"/>
  <c r="D21" i="5"/>
  <c r="F16" i="1"/>
  <c r="F17" i="5"/>
  <c r="H17" i="1"/>
  <c r="H18" i="5"/>
  <c r="J18" i="1"/>
  <c r="J19" i="5"/>
  <c r="H13" i="1"/>
  <c r="H14" i="5"/>
  <c r="F21" i="1"/>
  <c r="F22" i="5"/>
  <c r="F20" i="1"/>
  <c r="F21" i="5"/>
  <c r="F15" i="1"/>
  <c r="F16" i="5"/>
  <c r="D16" i="1"/>
  <c r="D17" i="5"/>
  <c r="B17" i="1"/>
  <c r="B18" i="5"/>
  <c r="J17" i="1"/>
  <c r="J18" i="5"/>
  <c r="H18" i="1"/>
  <c r="H19" i="5"/>
  <c r="F19" i="1"/>
  <c r="F20" i="5"/>
  <c r="F13" i="1"/>
  <c r="F14" i="5"/>
  <c r="H20" i="1"/>
  <c r="H21" i="5"/>
  <c r="B20" i="1"/>
  <c r="B21" i="5"/>
  <c r="B21" i="1"/>
  <c r="B22" i="5"/>
  <c r="H15" i="1"/>
  <c r="H16" i="5"/>
  <c r="J16" i="1"/>
  <c r="J17" i="5"/>
  <c r="F18" i="1"/>
  <c r="F19" i="5"/>
  <c r="H19" i="1"/>
  <c r="H20" i="5"/>
  <c r="B13" i="1"/>
  <c r="B14" i="5"/>
  <c r="J21" i="1"/>
  <c r="J22" i="5"/>
  <c r="B15" i="1"/>
  <c r="B16" i="5"/>
  <c r="J15" i="1"/>
  <c r="K15" i="1" s="1"/>
  <c r="N15" i="1" s="1"/>
  <c r="J16" i="5"/>
  <c r="H16" i="1"/>
  <c r="I20" i="1" s="1"/>
  <c r="H17" i="5"/>
  <c r="I17" i="5" s="1"/>
  <c r="F17" i="1"/>
  <c r="G16" i="1" s="1"/>
  <c r="F18" i="5"/>
  <c r="G18" i="5" s="1"/>
  <c r="D18" i="1"/>
  <c r="E20" i="1" s="1"/>
  <c r="D19" i="5"/>
  <c r="E19" i="5" s="1"/>
  <c r="B19" i="1"/>
  <c r="B20" i="5"/>
  <c r="C20" i="5" s="1"/>
  <c r="J19" i="1"/>
  <c r="J20" i="5"/>
  <c r="J13" i="1"/>
  <c r="K20" i="1" s="1"/>
  <c r="N20" i="1" s="1"/>
  <c r="J14" i="5"/>
  <c r="K14" i="5" s="1"/>
  <c r="K16" i="1"/>
  <c r="N16" i="1" s="1"/>
  <c r="K13" i="1"/>
  <c r="K14" i="1"/>
  <c r="N14" i="1" s="1"/>
  <c r="C20" i="1"/>
  <c r="I21" i="1"/>
  <c r="I17" i="1"/>
  <c r="G20" i="1"/>
  <c r="G15" i="1"/>
  <c r="E13" i="1"/>
  <c r="C17" i="1"/>
  <c r="I18" i="1"/>
  <c r="G19" i="1"/>
  <c r="G13" i="1"/>
  <c r="I15" i="1"/>
  <c r="G18" i="1"/>
  <c r="I19" i="1"/>
  <c r="C16" i="1"/>
  <c r="C15" i="1"/>
  <c r="I16" i="1"/>
  <c r="G17" i="1"/>
  <c r="E18" i="1"/>
  <c r="C19" i="1"/>
  <c r="C21" i="1"/>
  <c r="E14" i="1"/>
  <c r="E15" i="1"/>
  <c r="E19" i="1"/>
  <c r="C14" i="1"/>
  <c r="C18" i="1"/>
  <c r="C13" i="1"/>
  <c r="I13" i="1"/>
  <c r="G21" i="1"/>
  <c r="I14" i="1"/>
  <c r="E16" i="1"/>
  <c r="G14" i="1"/>
  <c r="E17" i="1"/>
  <c r="E21" i="1"/>
  <c r="L7" i="1"/>
  <c r="M6" i="1" s="1"/>
  <c r="B5" i="2"/>
  <c r="C5" i="2"/>
  <c r="D5" i="2"/>
  <c r="E5" i="2"/>
  <c r="A5" i="2"/>
  <c r="B4" i="2"/>
  <c r="C4" i="2"/>
  <c r="D4" i="2"/>
  <c r="E4" i="2"/>
  <c r="A4" i="2"/>
  <c r="B3" i="2"/>
  <c r="C3" i="2"/>
  <c r="D3" i="2"/>
  <c r="E3" i="2"/>
  <c r="A3" i="2"/>
  <c r="K18" i="1" l="1"/>
  <c r="N18" i="1" s="1"/>
  <c r="K19" i="1"/>
  <c r="N19" i="1" s="1"/>
  <c r="K21" i="1"/>
  <c r="N21" i="1" s="1"/>
  <c r="K17" i="1"/>
  <c r="N17" i="1" s="1"/>
  <c r="C19" i="5"/>
  <c r="H4" i="1"/>
  <c r="H5" i="5"/>
  <c r="D4" i="1"/>
  <c r="D5" i="5"/>
  <c r="J5" i="1"/>
  <c r="J6" i="5"/>
  <c r="F5" i="1"/>
  <c r="F6" i="5"/>
  <c r="B6" i="1"/>
  <c r="B7" i="5"/>
  <c r="H6" i="1"/>
  <c r="H7" i="5"/>
  <c r="D6" i="1"/>
  <c r="D7" i="5"/>
  <c r="E15" i="5"/>
  <c r="E20" i="5"/>
  <c r="E16" i="5"/>
  <c r="K15" i="5"/>
  <c r="E14" i="5"/>
  <c r="G14" i="5"/>
  <c r="G20" i="5"/>
  <c r="I19" i="5"/>
  <c r="K18" i="5"/>
  <c r="C18" i="5"/>
  <c r="E17" i="5"/>
  <c r="G16" i="5"/>
  <c r="G21" i="5"/>
  <c r="G22" i="5"/>
  <c r="I14" i="5"/>
  <c r="K19" i="5"/>
  <c r="I18" i="5"/>
  <c r="G17" i="5"/>
  <c r="E21" i="5"/>
  <c r="I22" i="5"/>
  <c r="B4" i="1"/>
  <c r="B5" i="5"/>
  <c r="J4" i="1"/>
  <c r="J5" i="5"/>
  <c r="F4" i="1"/>
  <c r="F5" i="5"/>
  <c r="B5" i="1"/>
  <c r="B6" i="5"/>
  <c r="H5" i="1"/>
  <c r="H6" i="5"/>
  <c r="D5" i="1"/>
  <c r="D7" i="1" s="1"/>
  <c r="D6" i="5"/>
  <c r="J6" i="1"/>
  <c r="J7" i="5"/>
  <c r="F6" i="1"/>
  <c r="F7" i="5"/>
  <c r="K20" i="5"/>
  <c r="K16" i="5"/>
  <c r="C16" i="5"/>
  <c r="K22" i="5"/>
  <c r="C14" i="5"/>
  <c r="I20" i="5"/>
  <c r="G19" i="5"/>
  <c r="K17" i="5"/>
  <c r="I16" i="5"/>
  <c r="C22" i="5"/>
  <c r="C21" i="5"/>
  <c r="I21" i="5"/>
  <c r="I15" i="5"/>
  <c r="E22" i="5"/>
  <c r="E18" i="5"/>
  <c r="C15" i="5"/>
  <c r="G15" i="5"/>
  <c r="K21" i="5"/>
  <c r="C17" i="5"/>
  <c r="N13" i="1"/>
  <c r="J7" i="1"/>
  <c r="M4" i="1"/>
  <c r="M5" i="1"/>
  <c r="F7" i="1" l="1"/>
  <c r="H7" i="1"/>
  <c r="I5" i="1" s="1"/>
  <c r="B7" i="1"/>
  <c r="F8" i="5"/>
  <c r="G44" i="5" s="1"/>
  <c r="J8" i="5"/>
  <c r="K44" i="5" s="1"/>
  <c r="B8" i="5"/>
  <c r="C5" i="5" s="1"/>
  <c r="D8" i="5"/>
  <c r="E44" i="5" s="1"/>
  <c r="H8" i="5"/>
  <c r="I44" i="5" s="1"/>
  <c r="K5" i="1"/>
  <c r="N5" i="1" s="1"/>
  <c r="N43" i="1"/>
  <c r="K6" i="1"/>
  <c r="N6" i="1" s="1"/>
  <c r="K4" i="1"/>
  <c r="N4" i="1" s="1"/>
  <c r="I6" i="1"/>
  <c r="G4" i="1"/>
  <c r="E6" i="1"/>
  <c r="C4" i="1"/>
  <c r="I4" i="1"/>
  <c r="G6" i="1"/>
  <c r="E4" i="1"/>
  <c r="E5" i="1"/>
  <c r="C5" i="1"/>
  <c r="C6" i="1"/>
  <c r="G5" i="1"/>
  <c r="G6" i="5" l="1"/>
  <c r="E7" i="5"/>
  <c r="I6" i="5"/>
  <c r="K7" i="5"/>
  <c r="I5" i="5"/>
  <c r="E5" i="5"/>
  <c r="K6" i="5"/>
  <c r="I7" i="5"/>
  <c r="C7" i="5"/>
  <c r="C44" i="5"/>
  <c r="K5" i="5"/>
  <c r="G5" i="5"/>
  <c r="C6" i="5"/>
  <c r="E6" i="5"/>
  <c r="G7" i="5"/>
  <c r="J36" i="5" l="1"/>
  <c r="F36" i="5"/>
  <c r="B36" i="5"/>
  <c r="J35" i="5"/>
  <c r="F35" i="5"/>
  <c r="B35" i="5"/>
  <c r="J34" i="5"/>
  <c r="F34" i="5"/>
  <c r="B34" i="5"/>
  <c r="J33" i="5"/>
  <c r="F33" i="5"/>
  <c r="B33" i="5"/>
  <c r="J32" i="5"/>
  <c r="F32" i="5"/>
  <c r="B32" i="5"/>
  <c r="J31" i="5"/>
  <c r="F31" i="5"/>
  <c r="B31" i="5"/>
  <c r="J30" i="5"/>
  <c r="F30" i="5"/>
  <c r="B30" i="5"/>
  <c r="J29" i="5"/>
  <c r="F29" i="5"/>
  <c r="B29" i="5"/>
  <c r="F28" i="5"/>
  <c r="G28" i="5" s="1"/>
  <c r="H36" i="5"/>
  <c r="D36" i="5"/>
  <c r="H35" i="5"/>
  <c r="D35" i="5"/>
  <c r="H34" i="5"/>
  <c r="D34" i="5"/>
  <c r="H33" i="5"/>
  <c r="D33" i="5"/>
  <c r="H32" i="5"/>
  <c r="D32" i="5"/>
  <c r="H31" i="5"/>
  <c r="D31" i="5"/>
  <c r="H30" i="5"/>
  <c r="D30" i="5"/>
  <c r="H29" i="5"/>
  <c r="D29" i="5"/>
  <c r="H28" i="5"/>
  <c r="I28" i="5" s="1"/>
  <c r="D28" i="5"/>
  <c r="E28" i="5" s="1"/>
  <c r="J28" i="5"/>
  <c r="K28" i="5" s="1"/>
  <c r="B28" i="5"/>
  <c r="C28" i="5" s="1"/>
  <c r="J27" i="1"/>
  <c r="J29" i="1"/>
  <c r="J31" i="1"/>
  <c r="J33" i="1"/>
  <c r="J35" i="1"/>
  <c r="J28" i="1"/>
  <c r="J30" i="1"/>
  <c r="J32" i="1"/>
  <c r="J34" i="1"/>
  <c r="K34" i="1" s="1"/>
  <c r="N34" i="1" s="1"/>
  <c r="D27" i="1"/>
  <c r="H27" i="1"/>
  <c r="F28" i="1"/>
  <c r="D29" i="1"/>
  <c r="H29" i="1"/>
  <c r="F30" i="1"/>
  <c r="D31" i="1"/>
  <c r="H31" i="1"/>
  <c r="F32" i="1"/>
  <c r="D33" i="1"/>
  <c r="H33" i="1"/>
  <c r="F34" i="1"/>
  <c r="D35" i="1"/>
  <c r="H35" i="1"/>
  <c r="B29" i="1"/>
  <c r="B31" i="1"/>
  <c r="B33" i="1"/>
  <c r="B35" i="1"/>
  <c r="D30" i="1"/>
  <c r="F31" i="1"/>
  <c r="H32" i="1"/>
  <c r="D34" i="1"/>
  <c r="F35" i="1"/>
  <c r="B30" i="1"/>
  <c r="B34" i="1"/>
  <c r="F27" i="1"/>
  <c r="D28" i="1"/>
  <c r="H28" i="1"/>
  <c r="F29" i="1"/>
  <c r="H30" i="1"/>
  <c r="D32" i="1"/>
  <c r="E32" i="1" s="1"/>
  <c r="F33" i="1"/>
  <c r="G33" i="1" s="1"/>
  <c r="H34" i="1"/>
  <c r="I34" i="1" s="1"/>
  <c r="B28" i="1"/>
  <c r="B32" i="1"/>
  <c r="B27" i="1"/>
  <c r="C32" i="1" l="1"/>
  <c r="K32" i="1"/>
  <c r="N32" i="1" s="1"/>
  <c r="C27" i="1"/>
  <c r="C28" i="1"/>
  <c r="I30" i="1"/>
  <c r="I28" i="1"/>
  <c r="G27" i="1"/>
  <c r="C30" i="1"/>
  <c r="E34" i="1"/>
  <c r="G31" i="1"/>
  <c r="C35" i="1"/>
  <c r="C31" i="1"/>
  <c r="I35" i="1"/>
  <c r="G34" i="1"/>
  <c r="E33" i="1"/>
  <c r="I31" i="1"/>
  <c r="G30" i="1"/>
  <c r="E29" i="1"/>
  <c r="I27" i="1"/>
  <c r="K30" i="1"/>
  <c r="N30" i="1" s="1"/>
  <c r="K35" i="1"/>
  <c r="N35" i="1" s="1"/>
  <c r="K31" i="1"/>
  <c r="N31" i="1" s="1"/>
  <c r="K27" i="1"/>
  <c r="N27" i="1" s="1"/>
  <c r="I29" i="5"/>
  <c r="I30" i="5"/>
  <c r="I31" i="5"/>
  <c r="I32" i="5"/>
  <c r="I33" i="5"/>
  <c r="I34" i="5"/>
  <c r="I35" i="5"/>
  <c r="I36" i="5"/>
  <c r="C29" i="5"/>
  <c r="K29" i="5"/>
  <c r="G30" i="5"/>
  <c r="C31" i="5"/>
  <c r="K31" i="5"/>
  <c r="G32" i="5"/>
  <c r="C33" i="5"/>
  <c r="K33" i="5"/>
  <c r="G34" i="5"/>
  <c r="C35" i="5"/>
  <c r="K35" i="5"/>
  <c r="G36" i="5"/>
  <c r="G29" i="1"/>
  <c r="E28" i="1"/>
  <c r="C34" i="1"/>
  <c r="G35" i="1"/>
  <c r="I32" i="1"/>
  <c r="E30" i="1"/>
  <c r="C33" i="1"/>
  <c r="C29" i="1"/>
  <c r="E35" i="1"/>
  <c r="I33" i="1"/>
  <c r="G32" i="1"/>
  <c r="E31" i="1"/>
  <c r="I29" i="1"/>
  <c r="G28" i="1"/>
  <c r="E27" i="1"/>
  <c r="K28" i="1"/>
  <c r="N28" i="1" s="1"/>
  <c r="K33" i="1"/>
  <c r="N33" i="1" s="1"/>
  <c r="K29" i="1"/>
  <c r="N29" i="1" s="1"/>
  <c r="E29" i="5"/>
  <c r="E30" i="5"/>
  <c r="E31" i="5"/>
  <c r="E32" i="5"/>
  <c r="E33" i="5"/>
  <c r="E34" i="5"/>
  <c r="E35" i="5"/>
  <c r="E36" i="5"/>
  <c r="G29" i="5"/>
  <c r="C30" i="5"/>
  <c r="K30" i="5"/>
  <c r="G31" i="5"/>
  <c r="C32" i="5"/>
  <c r="K32" i="5"/>
  <c r="G33" i="5"/>
  <c r="C34" i="5"/>
  <c r="K34" i="5"/>
  <c r="G35" i="5"/>
  <c r="C36" i="5"/>
  <c r="K36" i="5"/>
</calcChain>
</file>

<file path=xl/sharedStrings.xml><?xml version="1.0" encoding="utf-8"?>
<sst xmlns="http://schemas.openxmlformats.org/spreadsheetml/2006/main" count="316" uniqueCount="60">
  <si>
    <t>#1 Access</t>
  </si>
  <si>
    <t>Service Area</t>
  </si>
  <si>
    <t>Gap vs.</t>
  </si>
  <si>
    <t>AY07-08</t>
  </si>
  <si>
    <t>AY08-09</t>
  </si>
  <si>
    <t>AY09-10</t>
  </si>
  <si>
    <t>AY10-11</t>
  </si>
  <si>
    <t>AY11-12</t>
  </si>
  <si>
    <t>Recent AY</t>
  </si>
  <si>
    <t>Gender</t>
  </si>
  <si>
    <t>#</t>
  </si>
  <si>
    <t>%</t>
  </si>
  <si>
    <t>Female</t>
  </si>
  <si>
    <t>Male</t>
  </si>
  <si>
    <t>Unknown</t>
  </si>
  <si>
    <t>Total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</si>
  <si>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</si>
  <si>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</si>
  <si>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</si>
  <si>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</si>
  <si>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</si>
  <si>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</si>
  <si>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</si>
  <si>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</si>
  <si>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</si>
  <si>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</si>
  <si>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</si>
  <si>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</si>
  <si>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</si>
  <si>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</si>
  <si>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</si>
  <si>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</si>
  <si>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</si>
  <si>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50 +</t>
  </si>
  <si>
    <t>Average Age</t>
  </si>
  <si>
    <t>DSPS</t>
  </si>
  <si>
    <t>F</t>
  </si>
  <si>
    <t>M</t>
  </si>
  <si>
    <t>(blank)</t>
  </si>
  <si>
    <t>Median Age</t>
  </si>
  <si>
    <t>2010 Census</t>
  </si>
  <si>
    <t>2010 ACS*</t>
  </si>
  <si>
    <t>Riverside County</t>
  </si>
  <si>
    <t>5 Year MSJC Data</t>
  </si>
  <si>
    <t>Disabilities</t>
  </si>
  <si>
    <t>* note: DSPS comparison data is from the 2010 ACS for Riverside County, disability count for ages 18 to 64</t>
  </si>
  <si>
    <t xml:space="preserve">http://www.census.gov/acs/www/about_the_survey/american_community_survey/ </t>
  </si>
  <si>
    <t>Service Area Comparison Data from MSJC official Zip codes in the 2010 Census Data.</t>
  </si>
  <si>
    <t>B</t>
  </si>
  <si>
    <t>Grand Total</t>
  </si>
  <si>
    <t>Column Labels</t>
  </si>
  <si>
    <t>Values</t>
  </si>
  <si>
    <t>click here for graph</t>
  </si>
  <si>
    <t xml:space="preserve"> AY07-08#</t>
  </si>
  <si>
    <t xml:space="preserve"> AY08-09#</t>
  </si>
  <si>
    <t xml:space="preserve"> AY09-10#</t>
  </si>
  <si>
    <t xml:space="preserve"> AY10-11#</t>
  </si>
  <si>
    <t xml:space="preserve"> AY11-12#</t>
  </si>
  <si>
    <t>back to tables</t>
  </si>
  <si>
    <t>5 Year MSJC Online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</si>
</sst>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0.0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sz val="10"/>
      <name val="Arial"/>
    </font>
    <font>
      <sz val="10"/>
      <color rgb="FF0000FF"/>
      <name val="Arial"/>
    </font>
    <font>
      <sz val="8"/>
      <color rgb="FF0000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20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1" fillId="0" borderId="0"/>
    <xf numFmtId="9" fontId="31" fillId="0" borderId="0" applyFont="0" applyFill="0" applyBorder="0" applyAlignment="0" applyProtection="0"/>
  </cellStyleXfs>
  <cellXfs count="136">
    <xf numFmtId="0" fontId="0" fillId="0" borderId="0" xfId="0"/>
    <xf numFmtId="0" fontId="0" fillId="0" borderId="0" xfId="0"/>
    <xf numFmtId="0" fontId="1" fillId="0" borderId="0" xfId="0" applyFont="1"/>
    <xf numFmtId="0" fontId="22" fillId="0" borderId="16" xfId="2" applyFont="1" applyBorder="1" applyAlignment="1">
      <alignment horizontal="center" vertical="center" wrapText="1"/>
    </xf>
    <xf numFmtId="0" fontId="16" fillId="0" borderId="0" xfId="2" applyFont="1" applyBorder="1" applyAlignment="1">
      <alignment horizontal="right"/>
    </xf>
    <xf numFmtId="0" fontId="28" fillId="33" borderId="31" xfId="2" applyFont="1" applyFill="1" applyBorder="1" applyAlignment="1">
      <alignment wrapText="1"/>
    </xf>
    <xf numFmtId="0" fontId="21" fillId="0" borderId="30" xfId="2" applyFont="1" applyFill="1" applyBorder="1" applyAlignment="1">
      <alignment wrapText="1"/>
    </xf>
    <xf numFmtId="0" fontId="21" fillId="0" borderId="31" xfId="2" applyFont="1" applyFill="1" applyBorder="1" applyAlignment="1">
      <alignment wrapText="1"/>
    </xf>
    <xf numFmtId="0" fontId="21" fillId="0" borderId="27" xfId="2" applyFont="1" applyFill="1" applyBorder="1" applyAlignment="1">
      <alignment horizontal="left" vertical="center" wrapText="1"/>
    </xf>
    <xf numFmtId="0" fontId="23" fillId="0" borderId="10" xfId="2" applyFont="1" applyBorder="1" applyAlignment="1">
      <alignment horizontal="center" vertical="center"/>
    </xf>
    <xf numFmtId="0" fontId="23" fillId="0" borderId="0" xfId="2" applyFont="1" applyBorder="1" applyAlignment="1">
      <alignment horizontal="center" vertical="center"/>
    </xf>
    <xf numFmtId="0" fontId="23" fillId="0" borderId="17" xfId="2" applyFont="1" applyBorder="1" applyAlignment="1">
      <alignment horizontal="center" vertical="center"/>
    </xf>
    <xf numFmtId="0" fontId="23" fillId="0" borderId="14" xfId="2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0" borderId="35" xfId="49" applyFont="1" applyBorder="1" applyAlignment="1" applyProtection="1"/>
    <xf numFmtId="0" fontId="21" fillId="0" borderId="29" xfId="49" applyFont="1" applyBorder="1" applyAlignment="1" applyProtection="1"/>
    <xf numFmtId="0" fontId="21" fillId="0" borderId="32" xfId="49" applyFont="1" applyBorder="1" applyAlignment="1" applyProtection="1"/>
    <xf numFmtId="0" fontId="25" fillId="0" borderId="40" xfId="2" applyFont="1" applyBorder="1" applyAlignment="1">
      <alignment horizontal="center" vertical="center"/>
    </xf>
    <xf numFmtId="0" fontId="25" fillId="0" borderId="28" xfId="2" applyFont="1" applyBorder="1" applyAlignment="1">
      <alignment horizontal="center" vertical="center"/>
    </xf>
    <xf numFmtId="0" fontId="23" fillId="0" borderId="37" xfId="2" applyFont="1" applyBorder="1" applyAlignment="1">
      <alignment horizontal="center" vertical="center"/>
    </xf>
    <xf numFmtId="0" fontId="16" fillId="0" borderId="33" xfId="2" applyFont="1" applyBorder="1" applyAlignment="1">
      <alignment horizontal="right"/>
    </xf>
    <xf numFmtId="0" fontId="23" fillId="0" borderId="36" xfId="2" applyFont="1" applyBorder="1" applyAlignment="1">
      <alignment horizontal="center" vertical="center"/>
    </xf>
    <xf numFmtId="0" fontId="29" fillId="0" borderId="0" xfId="2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7" fillId="0" borderId="21" xfId="2" applyFont="1" applyBorder="1" applyAlignment="1">
      <alignment horizontal="center"/>
    </xf>
    <xf numFmtId="0" fontId="27" fillId="0" borderId="26" xfId="2" applyFont="1" applyBorder="1" applyAlignment="1">
      <alignment horizontal="center" vertical="center"/>
    </xf>
    <xf numFmtId="0" fontId="25" fillId="0" borderId="10" xfId="2" applyFont="1" applyBorder="1" applyAlignment="1"/>
    <xf numFmtId="3" fontId="23" fillId="0" borderId="34" xfId="2" applyNumberFormat="1" applyFont="1" applyBorder="1" applyAlignment="1">
      <alignment horizontal="center" vertical="center"/>
    </xf>
    <xf numFmtId="0" fontId="0" fillId="0" borderId="0" xfId="0"/>
    <xf numFmtId="0" fontId="27" fillId="0" borderId="40" xfId="2" applyFont="1" applyBorder="1" applyAlignment="1">
      <alignment horizontal="center" vertical="center"/>
    </xf>
    <xf numFmtId="0" fontId="29" fillId="0" borderId="21" xfId="2" applyFont="1" applyBorder="1" applyAlignment="1">
      <alignment horizontal="center" vertical="center"/>
    </xf>
    <xf numFmtId="0" fontId="0" fillId="0" borderId="0" xfId="0"/>
    <xf numFmtId="3" fontId="29" fillId="0" borderId="34" xfId="2" applyNumberFormat="1" applyFont="1" applyBorder="1" applyAlignment="1">
      <alignment horizontal="center" vertical="center"/>
    </xf>
    <xf numFmtId="0" fontId="22" fillId="0" borderId="16" xfId="2" applyFont="1" applyFill="1" applyBorder="1" applyAlignment="1">
      <alignment horizontal="center" vertical="center" wrapText="1"/>
    </xf>
    <xf numFmtId="0" fontId="25" fillId="0" borderId="12" xfId="2" applyFont="1" applyBorder="1" applyAlignment="1">
      <alignment horizontal="center" vertical="center"/>
    </xf>
    <xf numFmtId="0" fontId="27" fillId="0" borderId="21" xfId="2" applyFont="1" applyBorder="1" applyAlignment="1">
      <alignment horizontal="center" vertical="center"/>
    </xf>
    <xf numFmtId="0" fontId="16" fillId="0" borderId="27" xfId="2" applyFont="1" applyBorder="1"/>
    <xf numFmtId="0" fontId="16" fillId="0" borderId="29" xfId="2" applyFont="1" applyBorder="1"/>
    <xf numFmtId="0" fontId="16" fillId="0" borderId="41" xfId="2" applyFont="1" applyBorder="1"/>
    <xf numFmtId="3" fontId="23" fillId="0" borderId="12" xfId="2" applyNumberFormat="1" applyFont="1" applyBorder="1" applyAlignment="1">
      <alignment horizontal="center" vertical="center"/>
    </xf>
    <xf numFmtId="3" fontId="23" fillId="0" borderId="17" xfId="2" applyNumberFormat="1" applyFont="1" applyBorder="1" applyAlignment="1">
      <alignment horizontal="center" vertical="center"/>
    </xf>
    <xf numFmtId="3" fontId="23" fillId="0" borderId="14" xfId="2" applyNumberFormat="1" applyFont="1" applyBorder="1" applyAlignment="1">
      <alignment horizontal="center" vertical="center"/>
    </xf>
    <xf numFmtId="0" fontId="22" fillId="0" borderId="0" xfId="2" applyFont="1" applyBorder="1" applyAlignment="1">
      <alignment horizontal="center" vertical="center" wrapText="1"/>
    </xf>
    <xf numFmtId="0" fontId="22" fillId="0" borderId="40" xfId="2" applyFont="1" applyBorder="1" applyAlignment="1">
      <alignment horizontal="center" vertical="center" wrapText="1"/>
    </xf>
    <xf numFmtId="0" fontId="22" fillId="0" borderId="10" xfId="2" applyFont="1" applyBorder="1" applyAlignment="1">
      <alignment horizontal="center" vertical="center" wrapText="1"/>
    </xf>
    <xf numFmtId="0" fontId="23" fillId="0" borderId="38" xfId="2" applyFont="1" applyBorder="1" applyAlignment="1">
      <alignment horizontal="center" vertical="center"/>
    </xf>
    <xf numFmtId="3" fontId="23" fillId="0" borderId="0" xfId="2" applyNumberFormat="1" applyFont="1" applyBorder="1" applyAlignment="1">
      <alignment horizontal="center" vertical="center"/>
    </xf>
    <xf numFmtId="3" fontId="29" fillId="0" borderId="0" xfId="2" applyNumberFormat="1" applyFont="1" applyBorder="1" applyAlignment="1">
      <alignment horizontal="center" vertical="center"/>
    </xf>
    <xf numFmtId="0" fontId="22" fillId="0" borderId="0" xfId="2" applyFont="1" applyFill="1" applyBorder="1" applyAlignment="1">
      <alignment horizontal="center" vertical="center"/>
    </xf>
    <xf numFmtId="0" fontId="27" fillId="0" borderId="33" xfId="2" applyFont="1" applyBorder="1" applyAlignment="1">
      <alignment horizontal="center" vertical="center"/>
    </xf>
    <xf numFmtId="0" fontId="27" fillId="0" borderId="24" xfId="2" applyFont="1" applyBorder="1" applyAlignment="1">
      <alignment horizontal="center" vertical="center"/>
    </xf>
    <xf numFmtId="0" fontId="25" fillId="0" borderId="45" xfId="2" applyFont="1" applyBorder="1" applyAlignment="1">
      <alignment horizontal="center" vertical="center"/>
    </xf>
    <xf numFmtId="3" fontId="32" fillId="0" borderId="33" xfId="118" applyNumberFormat="1" applyFont="1" applyBorder="1"/>
    <xf numFmtId="3" fontId="33" fillId="0" borderId="11" xfId="118" applyNumberFormat="1" applyFont="1" applyBorder="1" applyAlignment="1"/>
    <xf numFmtId="3" fontId="33" fillId="0" borderId="0" xfId="118" applyNumberFormat="1" applyFont="1" applyBorder="1" applyAlignment="1"/>
    <xf numFmtId="164" fontId="23" fillId="0" borderId="36" xfId="2" applyNumberFormat="1" applyFont="1" applyBorder="1" applyAlignment="1">
      <alignment horizontal="center" vertical="center"/>
    </xf>
    <xf numFmtId="3" fontId="0" fillId="0" borderId="0" xfId="0" applyNumberFormat="1"/>
    <xf numFmtId="0" fontId="16" fillId="0" borderId="21" xfId="2" applyFont="1" applyBorder="1" applyAlignment="1">
      <alignment horizontal="right"/>
    </xf>
    <xf numFmtId="0" fontId="16" fillId="0" borderId="26" xfId="2" applyFont="1" applyBorder="1" applyAlignment="1">
      <alignment horizontal="right"/>
    </xf>
    <xf numFmtId="9" fontId="23" fillId="0" borderId="13" xfId="117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9" fontId="23" fillId="0" borderId="15" xfId="117" applyFont="1" applyBorder="1" applyAlignment="1">
      <alignment horizontal="center" vertical="center"/>
    </xf>
    <xf numFmtId="3" fontId="23" fillId="0" borderId="40" xfId="2" applyNumberFormat="1" applyFont="1" applyBorder="1" applyAlignment="1">
      <alignment horizontal="center" vertical="center"/>
    </xf>
    <xf numFmtId="9" fontId="23" fillId="0" borderId="28" xfId="117" applyFont="1" applyBorder="1" applyAlignment="1">
      <alignment horizontal="center" vertical="center"/>
    </xf>
    <xf numFmtId="0" fontId="27" fillId="0" borderId="28" xfId="2" applyFont="1" applyBorder="1" applyAlignment="1">
      <alignment horizontal="center" vertical="center"/>
    </xf>
    <xf numFmtId="0" fontId="30" fillId="0" borderId="12" xfId="0" applyFont="1" applyBorder="1"/>
    <xf numFmtId="9" fontId="29" fillId="0" borderId="13" xfId="117" applyFont="1" applyBorder="1" applyAlignment="1">
      <alignment horizontal="center" vertical="center"/>
    </xf>
    <xf numFmtId="0" fontId="30" fillId="0" borderId="17" xfId="0" applyFont="1" applyBorder="1"/>
    <xf numFmtId="9" fontId="29" fillId="0" borderId="18" xfId="117" applyFont="1" applyBorder="1" applyAlignment="1">
      <alignment horizontal="center" vertical="center"/>
    </xf>
    <xf numFmtId="0" fontId="29" fillId="0" borderId="14" xfId="2" applyFont="1" applyBorder="1" applyAlignment="1">
      <alignment horizontal="center" vertical="center"/>
    </xf>
    <xf numFmtId="9" fontId="29" fillId="0" borderId="15" xfId="117" applyFont="1" applyBorder="1" applyAlignment="1">
      <alignment horizontal="center" vertical="center"/>
    </xf>
    <xf numFmtId="9" fontId="29" fillId="0" borderId="51" xfId="2" applyNumberFormat="1" applyFont="1" applyBorder="1" applyAlignment="1">
      <alignment horizontal="center" vertical="center"/>
    </xf>
    <xf numFmtId="9" fontId="29" fillId="0" borderId="52" xfId="2" applyNumberFormat="1" applyFont="1" applyBorder="1" applyAlignment="1">
      <alignment horizontal="center" vertical="center"/>
    </xf>
    <xf numFmtId="9" fontId="29" fillId="0" borderId="53" xfId="2" applyNumberFormat="1" applyFont="1" applyBorder="1" applyAlignment="1">
      <alignment horizontal="center" vertical="center"/>
    </xf>
    <xf numFmtId="0" fontId="16" fillId="0" borderId="54" xfId="2" applyFont="1" applyBorder="1" applyAlignment="1">
      <alignment horizontal="right"/>
    </xf>
    <xf numFmtId="0" fontId="22" fillId="0" borderId="54" xfId="2" applyFont="1" applyBorder="1" applyAlignment="1">
      <alignment horizontal="center"/>
    </xf>
    <xf numFmtId="0" fontId="30" fillId="0" borderId="14" xfId="0" applyFont="1" applyBorder="1"/>
    <xf numFmtId="0" fontId="25" fillId="0" borderId="13" xfId="2" applyFont="1" applyBorder="1" applyAlignment="1">
      <alignment horizontal="center" vertical="center"/>
    </xf>
    <xf numFmtId="0" fontId="27" fillId="0" borderId="12" xfId="2" applyFont="1" applyBorder="1" applyAlignment="1">
      <alignment horizontal="center" vertical="center"/>
    </xf>
    <xf numFmtId="0" fontId="27" fillId="0" borderId="13" xfId="2" applyFont="1" applyBorder="1" applyAlignment="1">
      <alignment horizontal="center" vertical="center"/>
    </xf>
    <xf numFmtId="0" fontId="29" fillId="0" borderId="51" xfId="2" applyFont="1" applyBorder="1" applyAlignment="1">
      <alignment horizontal="center" vertical="center"/>
    </xf>
    <xf numFmtId="0" fontId="22" fillId="0" borderId="16" xfId="2" applyFont="1" applyFill="1" applyBorder="1" applyAlignment="1">
      <alignment horizontal="center" vertical="center"/>
    </xf>
    <xf numFmtId="0" fontId="0" fillId="0" borderId="16" xfId="0" applyBorder="1"/>
    <xf numFmtId="0" fontId="25" fillId="0" borderId="25" xfId="2" applyFont="1" applyBorder="1" applyAlignment="1">
      <alignment horizontal="center" vertical="center"/>
    </xf>
    <xf numFmtId="0" fontId="25" fillId="0" borderId="24" xfId="2" applyFont="1" applyBorder="1" applyAlignment="1">
      <alignment horizontal="center" vertical="center"/>
    </xf>
    <xf numFmtId="0" fontId="23" fillId="0" borderId="33" xfId="2" applyFont="1" applyBorder="1" applyAlignment="1">
      <alignment horizontal="center" vertical="center"/>
    </xf>
    <xf numFmtId="10" fontId="23" fillId="0" borderId="46" xfId="117" applyNumberFormat="1" applyFont="1" applyBorder="1" applyAlignment="1">
      <alignment horizontal="center" vertical="center"/>
    </xf>
    <xf numFmtId="10" fontId="23" fillId="0" borderId="55" xfId="117" applyNumberFormat="1" applyFont="1" applyBorder="1" applyAlignment="1">
      <alignment horizontal="center" vertical="center"/>
    </xf>
    <xf numFmtId="10" fontId="29" fillId="0" borderId="46" xfId="117" applyNumberFormat="1" applyFont="1" applyBorder="1" applyAlignment="1">
      <alignment horizontal="center" vertical="center"/>
    </xf>
    <xf numFmtId="0" fontId="30" fillId="0" borderId="51" xfId="0" applyFont="1" applyBorder="1"/>
    <xf numFmtId="0" fontId="30" fillId="0" borderId="52" xfId="0" applyFont="1" applyBorder="1"/>
    <xf numFmtId="0" fontId="27" fillId="0" borderId="11" xfId="2" applyFont="1" applyBorder="1" applyAlignment="1">
      <alignment horizontal="center" vertical="center"/>
    </xf>
    <xf numFmtId="10" fontId="29" fillId="0" borderId="26" xfId="2" applyNumberFormat="1" applyFont="1" applyBorder="1" applyAlignment="1">
      <alignment horizontal="center" vertical="center"/>
    </xf>
    <xf numFmtId="0" fontId="20" fillId="0" borderId="23" xfId="118" applyFont="1" applyBorder="1"/>
    <xf numFmtId="0" fontId="23" fillId="0" borderId="56" xfId="2" applyFont="1" applyBorder="1" applyAlignment="1">
      <alignment horizontal="center" vertical="center"/>
    </xf>
    <xf numFmtId="3" fontId="33" fillId="0" borderId="56" xfId="118" applyNumberFormat="1" applyFont="1" applyBorder="1" applyAlignment="1"/>
    <xf numFmtId="0" fontId="0" fillId="0" borderId="56" xfId="0" applyBorder="1"/>
    <xf numFmtId="0" fontId="0" fillId="0" borderId="48" xfId="0" applyBorder="1"/>
    <xf numFmtId="0" fontId="0" fillId="0" borderId="22" xfId="0" applyBorder="1"/>
    <xf numFmtId="0" fontId="0" fillId="0" borderId="0" xfId="0" applyBorder="1"/>
    <xf numFmtId="0" fontId="0" fillId="0" borderId="57" xfId="0" applyBorder="1"/>
    <xf numFmtId="0" fontId="19" fillId="0" borderId="54" xfId="49" applyBorder="1" applyAlignment="1" applyProtection="1"/>
    <xf numFmtId="0" fontId="0" fillId="0" borderId="55" xfId="0" applyBorder="1"/>
    <xf numFmtId="0" fontId="0" fillId="0" borderId="46" xfId="0" applyBorder="1"/>
    <xf numFmtId="0" fontId="31" fillId="0" borderId="0" xfId="118"/>
    <xf numFmtId="0" fontId="31" fillId="0" borderId="0" xfId="118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9" fillId="0" borderId="0" xfId="49" applyBorder="1" applyAlignment="1" applyProtection="1">
      <alignment horizontal="right"/>
    </xf>
    <xf numFmtId="0" fontId="19" fillId="0" borderId="0" xfId="49" applyAlignment="1" applyProtection="1"/>
    <xf numFmtId="9" fontId="23" fillId="0" borderId="0" xfId="117" applyFont="1" applyBorder="1" applyAlignment="1">
      <alignment horizontal="center" vertical="center"/>
    </xf>
    <xf numFmtId="0" fontId="30" fillId="0" borderId="0" xfId="0" applyFont="1" applyBorder="1"/>
    <xf numFmtId="9" fontId="29" fillId="0" borderId="0" xfId="117" applyFont="1" applyBorder="1" applyAlignment="1">
      <alignment horizontal="center" vertical="center"/>
    </xf>
    <xf numFmtId="9" fontId="29" fillId="0" borderId="0" xfId="2" applyNumberFormat="1" applyFont="1" applyBorder="1" applyAlignment="1">
      <alignment horizontal="center" vertical="center"/>
    </xf>
    <xf numFmtId="164" fontId="16" fillId="34" borderId="58" xfId="0" applyNumberFormat="1" applyFont="1" applyFill="1" applyBorder="1"/>
    <xf numFmtId="3" fontId="23" fillId="0" borderId="43" xfId="2" applyNumberFormat="1" applyFont="1" applyBorder="1" applyAlignment="1">
      <alignment horizontal="center" vertical="center"/>
    </xf>
    <xf numFmtId="3" fontId="23" fillId="0" borderId="44" xfId="2" applyNumberFormat="1" applyFont="1" applyBorder="1" applyAlignment="1">
      <alignment horizontal="center" vertical="center"/>
    </xf>
    <xf numFmtId="3" fontId="23" fillId="0" borderId="16" xfId="2" applyNumberFormat="1" applyFont="1" applyBorder="1" applyAlignment="1">
      <alignment horizontal="center" vertical="center"/>
    </xf>
    <xf numFmtId="0" fontId="30" fillId="0" borderId="27" xfId="0" applyFont="1" applyBorder="1" applyAlignment="1">
      <alignment horizontal="center"/>
    </xf>
    <xf numFmtId="0" fontId="30" fillId="0" borderId="49" xfId="0" applyFont="1" applyBorder="1" applyAlignment="1">
      <alignment horizontal="center"/>
    </xf>
    <xf numFmtId="0" fontId="30" fillId="0" borderId="32" xfId="0" applyFont="1" applyBorder="1" applyAlignment="1">
      <alignment horizontal="center"/>
    </xf>
    <xf numFmtId="0" fontId="30" fillId="0" borderId="50" xfId="0" applyFont="1" applyBorder="1" applyAlignment="1">
      <alignment horizontal="center"/>
    </xf>
    <xf numFmtId="0" fontId="27" fillId="0" borderId="12" xfId="2" applyFont="1" applyBorder="1" applyAlignment="1">
      <alignment horizontal="center"/>
    </xf>
    <xf numFmtId="0" fontId="27" fillId="0" borderId="13" xfId="2" applyFont="1" applyBorder="1" applyAlignment="1">
      <alignment horizontal="center"/>
    </xf>
    <xf numFmtId="0" fontId="27" fillId="0" borderId="19" xfId="2" applyFont="1" applyBorder="1" applyAlignment="1">
      <alignment horizontal="center"/>
    </xf>
    <xf numFmtId="0" fontId="27" fillId="0" borderId="20" xfId="2" applyFont="1" applyBorder="1" applyAlignment="1">
      <alignment horizontal="center"/>
    </xf>
    <xf numFmtId="0" fontId="25" fillId="0" borderId="40" xfId="2" applyFont="1" applyBorder="1" applyAlignment="1">
      <alignment horizontal="center"/>
    </xf>
    <xf numFmtId="0" fontId="25" fillId="0" borderId="28" xfId="2" applyFont="1" applyBorder="1" applyAlignment="1">
      <alignment horizontal="center"/>
    </xf>
    <xf numFmtId="0" fontId="25" fillId="0" borderId="47" xfId="2" applyFont="1" applyBorder="1" applyAlignment="1">
      <alignment horizontal="center"/>
    </xf>
    <xf numFmtId="0" fontId="25" fillId="0" borderId="42" xfId="2" applyFont="1" applyBorder="1" applyAlignment="1">
      <alignment horizontal="center"/>
    </xf>
    <xf numFmtId="0" fontId="24" fillId="0" borderId="40" xfId="2" applyFont="1" applyBorder="1" applyAlignment="1">
      <alignment horizontal="center"/>
    </xf>
    <xf numFmtId="0" fontId="24" fillId="0" borderId="39" xfId="2" applyFont="1" applyBorder="1" applyAlignment="1">
      <alignment horizontal="center"/>
    </xf>
    <xf numFmtId="0" fontId="24" fillId="0" borderId="28" xfId="2" applyFont="1" applyBorder="1" applyAlignment="1">
      <alignment horizontal="center"/>
    </xf>
    <xf numFmtId="0" fontId="26" fillId="0" borderId="21" xfId="2" applyFont="1" applyBorder="1" applyAlignment="1">
      <alignment horizontal="center" vertical="center"/>
    </xf>
    <xf numFmtId="0" fontId="26" fillId="0" borderId="26" xfId="2" applyFont="1" applyBorder="1" applyAlignment="1">
      <alignment horizontal="center" vertical="center"/>
    </xf>
  </cellXfs>
  <cellStyles count="120">
    <cellStyle name="20% - Accent1 2" xfId="78"/>
    <cellStyle name="20% - Accent1 3" xfId="23"/>
    <cellStyle name="20% - Accent2 2" xfId="82"/>
    <cellStyle name="20% - Accent2 3" xfId="27"/>
    <cellStyle name="20% - Accent3 2" xfId="86"/>
    <cellStyle name="20% - Accent3 3" xfId="31"/>
    <cellStyle name="20% - Accent4 2" xfId="90"/>
    <cellStyle name="20% - Accent4 3" xfId="35"/>
    <cellStyle name="20% - Accent5 2" xfId="94"/>
    <cellStyle name="20% - Accent5 3" xfId="39"/>
    <cellStyle name="20% - Accent6 2" xfId="98"/>
    <cellStyle name="20% - Accent6 3" xfId="43"/>
    <cellStyle name="40% - Accent1 2" xfId="79"/>
    <cellStyle name="40% - Accent1 3" xfId="24"/>
    <cellStyle name="40% - Accent2 2" xfId="83"/>
    <cellStyle name="40% - Accent2 3" xfId="28"/>
    <cellStyle name="40% - Accent3 2" xfId="87"/>
    <cellStyle name="40% - Accent3 3" xfId="32"/>
    <cellStyle name="40% - Accent4 2" xfId="91"/>
    <cellStyle name="40% - Accent4 3" xfId="36"/>
    <cellStyle name="40% - Accent5 2" xfId="95"/>
    <cellStyle name="40% - Accent5 3" xfId="40"/>
    <cellStyle name="40% - Accent6 2" xfId="99"/>
    <cellStyle name="40% - Accent6 3" xfId="44"/>
    <cellStyle name="60% - Accent1 2" xfId="80"/>
    <cellStyle name="60% - Accent1 3" xfId="25"/>
    <cellStyle name="60% - Accent2 2" xfId="84"/>
    <cellStyle name="60% - Accent2 3" xfId="29"/>
    <cellStyle name="60% - Accent3 2" xfId="88"/>
    <cellStyle name="60% - Accent3 3" xfId="33"/>
    <cellStyle name="60% - Accent4 2" xfId="92"/>
    <cellStyle name="60% - Accent4 3" xfId="37"/>
    <cellStyle name="60% - Accent5 2" xfId="96"/>
    <cellStyle name="60% - Accent5 3" xfId="41"/>
    <cellStyle name="60% - Accent6 2" xfId="100"/>
    <cellStyle name="60% - Accent6 3" xfId="45"/>
    <cellStyle name="Accent1 2" xfId="77"/>
    <cellStyle name="Accent1 3" xfId="22"/>
    <cellStyle name="Accent2 2" xfId="81"/>
    <cellStyle name="Accent2 3" xfId="26"/>
    <cellStyle name="Accent3 2" xfId="85"/>
    <cellStyle name="Accent3 3" xfId="30"/>
    <cellStyle name="Accent4 2" xfId="89"/>
    <cellStyle name="Accent4 3" xfId="34"/>
    <cellStyle name="Accent5 2" xfId="93"/>
    <cellStyle name="Accent5 3" xfId="38"/>
    <cellStyle name="Accent6 2" xfId="97"/>
    <cellStyle name="Accent6 3" xfId="42"/>
    <cellStyle name="Bad 2" xfId="66"/>
    <cellStyle name="Bad 3" xfId="11"/>
    <cellStyle name="Calculation 2" xfId="70"/>
    <cellStyle name="Calculation 3" xfId="15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 2" xfId="75"/>
    <cellStyle name="Explanatory Text 3" xfId="20"/>
    <cellStyle name="Good 2" xfId="65"/>
    <cellStyle name="Good 3" xfId="10"/>
    <cellStyle name="Heading 1 2" xfId="61"/>
    <cellStyle name="Heading 1 3" xfId="6"/>
    <cellStyle name="Heading 2 2" xfId="62"/>
    <cellStyle name="Heading 2 3" xfId="7"/>
    <cellStyle name="Heading 3 2" xfId="63"/>
    <cellStyle name="Heading 3 3" xfId="8"/>
    <cellStyle name="Heading 4 2" xfId="64"/>
    <cellStyle name="Heading 4 3" xfId="9"/>
    <cellStyle name="Hyperlink" xfId="49" builtinId="8"/>
    <cellStyle name="Hyperlink 2" xfId="53"/>
    <cellStyle name="Input 2" xfId="68"/>
    <cellStyle name="Input 3" xfId="13"/>
    <cellStyle name="Linked Cell 2" xfId="71"/>
    <cellStyle name="Linked Cell 3" xfId="16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 2" xfId="48"/>
    <cellStyle name="Note 3" xfId="74"/>
    <cellStyle name="Note 4" xfId="19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Title" xfId="1" builtinId="15" customBuiltin="1"/>
    <cellStyle name="Total 2" xfId="76"/>
    <cellStyle name="Total 3" xfId="21"/>
    <cellStyle name="Warning Text 2" xfId="73"/>
    <cellStyle name="Warning Text 3" xfId="18"/>
  </cellStyles>
  <dxfs count="0"/>
  <tableStyles count="0" defaultTableStyle="TableStyleMedium2" defaultPivotStyle="PivotStyleLight16"/>
  <colors>
    <mruColors>
      <color rgb="FF0066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externalLink" Target="externalLinks/externalLink2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pivotCacheDefinition" Target="pivotCache/pivotCacheDefinition2.xml"/><Relationship Id="rId22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Equity Access(Online).xlsx]gender graph!PivotTable2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AY</a:t>
            </a:r>
            <a:r>
              <a:rPr lang="en-US" baseline="0"/>
              <a:t> Unique Headcount by Gender</a:t>
            </a:r>
            <a:endParaRPr lang="en-US"/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  <c:dLbl>
          <c:idx val="0"/>
          <c:numFmt formatCode="General" sourceLinked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marker>
          <c:symbol val="none"/>
        </c:marker>
        <c:dLbl>
          <c:idx val="0"/>
          <c:numFmt formatCode="General" sourceLinked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dLbl>
          <c:idx val="0"/>
          <c:layout>
            <c:manualLayout>
              <c:x val="-8.0675933496865637E-2"/>
              <c:y val="-0.60581098357204088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1"/>
        <c:dLbl>
          <c:idx val="0"/>
          <c:layout>
            <c:manualLayout>
              <c:x val="-7.9585718179340417E-2"/>
              <c:y val="-0.48867532511702405"/>
            </c:manualLayout>
          </c:layout>
          <c:numFmt formatCode="0.00%" sourceLinked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2"/>
        <c:dLbl>
          <c:idx val="0"/>
          <c:layout>
            <c:manualLayout>
              <c:x val="-2.616516762060507E-2"/>
              <c:y val="-0.17021275369244654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3"/>
        <c:dLbl>
          <c:idx val="0"/>
          <c:layout>
            <c:manualLayout>
              <c:x val="-1.0902153175252113E-2"/>
              <c:y val="-0.27819718883066535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4"/>
        <c:dLbl>
          <c:idx val="0"/>
          <c:layout>
            <c:manualLayout>
              <c:x val="-3.2706459525756338E-3"/>
              <c:y val="-0.17753373234588513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5"/>
        <c:dLbl>
          <c:idx val="0"/>
          <c:layout>
            <c:manualLayout>
              <c:x val="-8.7217225402016901E-3"/>
              <c:y val="-6.5888807880947059E-2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9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5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9"/>
        <c:marker>
          <c:symbol val="none"/>
        </c:marker>
      </c:pivotFmt>
      <c:pivotFmt>
        <c:idx val="30"/>
        <c:marker>
          <c:symbol val="none"/>
        </c:marker>
      </c:pivotFmt>
      <c:pivotFmt>
        <c:idx val="31"/>
        <c:marker>
          <c:symbol val="none"/>
        </c:marker>
      </c:pivotFmt>
      <c:pivotFmt>
        <c:idx val="32"/>
        <c:marker>
          <c:symbol val="none"/>
        </c:marker>
      </c:pivotFmt>
      <c:pivotFmt>
        <c:idx val="33"/>
        <c:marker>
          <c:symbol val="none"/>
        </c:marker>
      </c:pivotFmt>
      <c:pivotFmt>
        <c:idx val="34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5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6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7"/>
        <c:marker>
          <c:symbol val="none"/>
        </c:marker>
      </c:pivotFmt>
      <c:pivotFmt>
        <c:idx val="38"/>
        <c:marker>
          <c:symbol val="none"/>
        </c:marker>
      </c:pivotFmt>
      <c:pivotFmt>
        <c:idx val="39"/>
        <c:marker>
          <c:symbol val="none"/>
        </c:marker>
      </c:pivotFmt>
      <c:pivotFmt>
        <c:idx val="40"/>
        <c:marker>
          <c:symbol val="none"/>
        </c:marker>
      </c:pivotFmt>
      <c:pivotFmt>
        <c:idx val="41"/>
        <c:marker>
          <c:symbol val="none"/>
        </c:marker>
      </c:pivotFmt>
      <c:pivotFmt>
        <c:idx val="42"/>
        <c:marker>
          <c:symbol val="none"/>
        </c:marker>
      </c:pivotFmt>
      <c:pivotFmt>
        <c:idx val="43"/>
        <c:marker>
          <c:symbol val="none"/>
        </c:marker>
      </c:pivotFmt>
      <c:pivotFmt>
        <c:idx val="44"/>
        <c:marker>
          <c:symbol val="none"/>
        </c:marker>
      </c:pivotFmt>
      <c:pivotFmt>
        <c:idx val="45"/>
        <c:marker>
          <c:symbol val="none"/>
        </c:marker>
      </c:pivotFmt>
      <c:pivotFmt>
        <c:idx val="46"/>
        <c:marker>
          <c:symbol val="none"/>
        </c:marker>
      </c:pivotFmt>
      <c:pivotFmt>
        <c:idx val="47"/>
        <c:marker>
          <c:symbol val="none"/>
        </c:marker>
      </c:pivotFmt>
      <c:pivotFmt>
        <c:idx val="48"/>
        <c:marker>
          <c:symbol val="none"/>
        </c:marker>
      </c:pivotFmt>
      <c:pivotFmt>
        <c:idx val="49"/>
        <c:marker>
          <c:symbol val="none"/>
        </c:marker>
      </c:pivotFmt>
      <c:pivotFmt>
        <c:idx val="50"/>
        <c:marker>
          <c:symbol val="none"/>
        </c:marker>
      </c:pivotFmt>
      <c:pivotFmt>
        <c:idx val="51"/>
        <c:marker>
          <c:symbol val="none"/>
        </c:marker>
      </c:pivotFmt>
      <c:pivotFmt>
        <c:idx val="52"/>
        <c:marker>
          <c:symbol val="none"/>
        </c:marker>
      </c:pivotFmt>
      <c:pivotFmt>
        <c:idx val="53"/>
        <c:marker>
          <c:symbol val="none"/>
        </c:marker>
      </c:pivotFmt>
      <c:pivotFmt>
        <c:idx val="54"/>
        <c:marker>
          <c:symbol val="none"/>
        </c:marker>
      </c:pivotFmt>
      <c:pivotFmt>
        <c:idx val="55"/>
        <c:marker>
          <c:symbol val="none"/>
        </c:marker>
      </c:pivotFmt>
      <c:pivotFmt>
        <c:idx val="5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9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1"/>
        <c:marker>
          <c:symbol val="none"/>
        </c:marker>
      </c:pivotFmt>
      <c:pivotFmt>
        <c:idx val="6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5"/>
        <c:marker>
          <c:symbol val="none"/>
        </c:marker>
      </c:pivotFmt>
      <c:pivotFmt>
        <c:idx val="66"/>
        <c:marker>
          <c:symbol val="none"/>
        </c:marker>
      </c:pivotFmt>
      <c:pivotFmt>
        <c:idx val="67"/>
        <c:marker>
          <c:symbol val="none"/>
        </c:marker>
      </c:pivotFmt>
      <c:pivotFmt>
        <c:idx val="68"/>
        <c:marker>
          <c:symbol val="none"/>
        </c:marker>
      </c:pivotFmt>
      <c:pivotFmt>
        <c:idx val="69"/>
        <c:marker>
          <c:symbol val="none"/>
        </c:marker>
      </c:pivotFmt>
      <c:pivotFmt>
        <c:idx val="70"/>
        <c:marker>
          <c:symbol val="none"/>
        </c:marker>
      </c:pivotFmt>
      <c:pivotFmt>
        <c:idx val="71"/>
        <c:marker>
          <c:symbol val="none"/>
        </c:marker>
      </c:pivotFmt>
      <c:pivotFmt>
        <c:idx val="72"/>
        <c:marker>
          <c:symbol val="none"/>
        </c:marker>
      </c:pivotFmt>
      <c:pivotFmt>
        <c:idx val="73"/>
        <c:marker>
          <c:symbol val="none"/>
        </c:marker>
      </c:pivotFmt>
      <c:pivotFmt>
        <c:idx val="74"/>
        <c:marker>
          <c:symbol val="none"/>
        </c:marker>
      </c:pivotFmt>
      <c:pivotFmt>
        <c:idx val="75"/>
        <c:marker>
          <c:symbol val="none"/>
        </c:marker>
      </c:pivotFmt>
      <c:pivotFmt>
        <c:idx val="76"/>
        <c:marker>
          <c:symbol val="none"/>
        </c:marker>
      </c:pivotFmt>
      <c:pivotFmt>
        <c:idx val="77"/>
        <c:marker>
          <c:symbol val="none"/>
        </c:marker>
      </c:pivotFmt>
      <c:pivotFmt>
        <c:idx val="7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79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8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'gender graph'!$AB$1:$AB$2</c:f>
              <c:strCache>
                <c:ptCount val="1"/>
                <c:pt idx="0">
                  <c:v>Female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'gender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'gender graph'!$AB$3:$AB$7</c:f>
              <c:numCache>
                <c:formatCode>General</c:formatCode>
                <c:ptCount val="5"/>
                <c:pt idx="0">
                  <c:v>4386</c:v>
                </c:pt>
                <c:pt idx="1">
                  <c:v>4993</c:v>
                </c:pt>
                <c:pt idx="2">
                  <c:v>4584</c:v>
                </c:pt>
                <c:pt idx="3">
                  <c:v>4149</c:v>
                </c:pt>
                <c:pt idx="4">
                  <c:v>3814</c:v>
                </c:pt>
              </c:numCache>
            </c:numRef>
          </c:val>
        </c:ser>
        <c:ser>
          <c:idx val="1"/>
          <c:order val="1"/>
          <c:tx>
            <c:strRef>
              <c:f>'gender graph'!$AC$1:$AC$2</c:f>
              <c:strCache>
                <c:ptCount val="1"/>
                <c:pt idx="0">
                  <c:v>Male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'gender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'gender graph'!$AC$3:$AC$7</c:f>
              <c:numCache>
                <c:formatCode>General</c:formatCode>
                <c:ptCount val="5"/>
                <c:pt idx="0">
                  <c:v>2148</c:v>
                </c:pt>
                <c:pt idx="1">
                  <c:v>2478</c:v>
                </c:pt>
                <c:pt idx="2">
                  <c:v>2459</c:v>
                </c:pt>
                <c:pt idx="3">
                  <c:v>2288</c:v>
                </c:pt>
                <c:pt idx="4">
                  <c:v>2246</c:v>
                </c:pt>
              </c:numCache>
            </c:numRef>
          </c:val>
        </c:ser>
        <c:ser>
          <c:idx val="2"/>
          <c:order val="2"/>
          <c:tx>
            <c:strRef>
              <c:f>'gender graph'!$AD$1:$AD$2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'gender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'gender graph'!$AD$3:$AD$7</c:f>
              <c:numCache>
                <c:formatCode>General</c:formatCode>
                <c:ptCount val="5"/>
                <c:pt idx="0">
                  <c:v>42</c:v>
                </c:pt>
                <c:pt idx="1">
                  <c:v>81</c:v>
                </c:pt>
                <c:pt idx="2">
                  <c:v>75</c:v>
                </c:pt>
                <c:pt idx="3">
                  <c:v>73</c:v>
                </c:pt>
                <c:pt idx="4">
                  <c:v>60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23648000"/>
        <c:axId val="223654272"/>
      </c:barChart>
      <c:catAx>
        <c:axId val="223648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Academic Year</a:t>
                </a:r>
              </a:p>
            </c:rich>
          </c:tx>
          <c:overlay val="0"/>
        </c:title>
        <c:majorTickMark val="out"/>
        <c:minorTickMark val="none"/>
        <c:tickLblPos val="nextTo"/>
        <c:crossAx val="223654272"/>
        <c:crosses val="autoZero"/>
        <c:auto val="1"/>
        <c:lblAlgn val="ctr"/>
        <c:lblOffset val="100"/>
        <c:noMultiLvlLbl val="0"/>
      </c:catAx>
      <c:valAx>
        <c:axId val="223654272"/>
        <c:scaling>
          <c:orientation val="minMax"/>
          <c:max val="25000"/>
        </c:scaling>
        <c:delete val="0"/>
        <c:axPos val="l"/>
        <c:majorGridlines>
          <c:spPr>
            <a:ln w="12700">
              <a:solidFill>
                <a:schemeClr val="tx1"/>
              </a:solidFill>
            </a:ln>
          </c:spPr>
        </c:majorGridlines>
        <c:minorGridlines>
          <c:spPr>
            <a:ln w="3175"/>
          </c:spPr>
        </c:min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Unique</a:t>
                </a:r>
                <a:endParaRPr lang="en-US" baseline="0"/>
              </a:p>
              <a:p>
                <a:pPr>
                  <a:defRPr/>
                </a:pPr>
                <a:r>
                  <a:rPr lang="en-US" baseline="0"/>
                  <a:t>Headcount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1440456681410961E-2"/>
              <c:y val="0.4998403807074416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236480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Equity Access(Online).xlsx]ethnicity graph!PivotTable2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AY Unique Headcount by Ethnicity</a:t>
            </a:r>
            <a:endParaRPr lang="en-US">
              <a:effectLst/>
            </a:endParaRPr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'ethnicity graph'!$AB$1:$AB$2</c:f>
              <c:strCache>
                <c:ptCount val="1"/>
                <c:pt idx="0">
                  <c:v>White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graph'!$AB$3:$AB$7</c:f>
              <c:numCache>
                <c:formatCode>General</c:formatCode>
                <c:ptCount val="5"/>
                <c:pt idx="0">
                  <c:v>3613</c:v>
                </c:pt>
                <c:pt idx="1">
                  <c:v>3904</c:v>
                </c:pt>
                <c:pt idx="2">
                  <c:v>3596</c:v>
                </c:pt>
                <c:pt idx="3">
                  <c:v>3184</c:v>
                </c:pt>
                <c:pt idx="4">
                  <c:v>2811</c:v>
                </c:pt>
              </c:numCache>
            </c:numRef>
          </c:val>
        </c:ser>
        <c:ser>
          <c:idx val="1"/>
          <c:order val="1"/>
          <c:tx>
            <c:strRef>
              <c:f>'ethnicity graph'!$AC$1:$AC$2</c:f>
              <c:strCache>
                <c:ptCount val="1"/>
                <c:pt idx="0">
                  <c:v>Hispanic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graph'!$AC$3:$AC$7</c:f>
              <c:numCache>
                <c:formatCode>General</c:formatCode>
                <c:ptCount val="5"/>
                <c:pt idx="0">
                  <c:v>1415</c:v>
                </c:pt>
                <c:pt idx="1">
                  <c:v>1777</c:v>
                </c:pt>
                <c:pt idx="2">
                  <c:v>1717</c:v>
                </c:pt>
                <c:pt idx="3">
                  <c:v>1717</c:v>
                </c:pt>
                <c:pt idx="4">
                  <c:v>1860</c:v>
                </c:pt>
              </c:numCache>
            </c:numRef>
          </c:val>
        </c:ser>
        <c:ser>
          <c:idx val="2"/>
          <c:order val="2"/>
          <c:tx>
            <c:strRef>
              <c:f>'ethnicity graph'!$AD$1:$AD$2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graph'!$AD$3:$AD$7</c:f>
              <c:numCache>
                <c:formatCode>General</c:formatCode>
                <c:ptCount val="5"/>
                <c:pt idx="0">
                  <c:v>470</c:v>
                </c:pt>
                <c:pt idx="1">
                  <c:v>593</c:v>
                </c:pt>
                <c:pt idx="2">
                  <c:v>528</c:v>
                </c:pt>
                <c:pt idx="3">
                  <c:v>398</c:v>
                </c:pt>
                <c:pt idx="4">
                  <c:v>271</c:v>
                </c:pt>
              </c:numCache>
            </c:numRef>
          </c:val>
        </c:ser>
        <c:ser>
          <c:idx val="3"/>
          <c:order val="3"/>
          <c:tx>
            <c:strRef>
              <c:f>'ethnicity graph'!$AE$1:$AE$2</c:f>
              <c:strCache>
                <c:ptCount val="1"/>
                <c:pt idx="0">
                  <c:v>African American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graph'!$AE$3:$AE$7</c:f>
              <c:numCache>
                <c:formatCode>General</c:formatCode>
                <c:ptCount val="5"/>
                <c:pt idx="0">
                  <c:v>455</c:v>
                </c:pt>
                <c:pt idx="1">
                  <c:v>539</c:v>
                </c:pt>
                <c:pt idx="2">
                  <c:v>562</c:v>
                </c:pt>
                <c:pt idx="3">
                  <c:v>485</c:v>
                </c:pt>
                <c:pt idx="4">
                  <c:v>480</c:v>
                </c:pt>
              </c:numCache>
            </c:numRef>
          </c:val>
        </c:ser>
        <c:ser>
          <c:idx val="4"/>
          <c:order val="4"/>
          <c:tx>
            <c:strRef>
              <c:f>'ethnicity graph'!$AF$1:$AF$2</c:f>
              <c:strCache>
                <c:ptCount val="1"/>
                <c:pt idx="0">
                  <c:v>Filipino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graph'!$AF$3:$AF$7</c:f>
              <c:numCache>
                <c:formatCode>General</c:formatCode>
                <c:ptCount val="5"/>
                <c:pt idx="0">
                  <c:v>230</c:v>
                </c:pt>
                <c:pt idx="1">
                  <c:v>280</c:v>
                </c:pt>
                <c:pt idx="2">
                  <c:v>250</c:v>
                </c:pt>
                <c:pt idx="3">
                  <c:v>202</c:v>
                </c:pt>
                <c:pt idx="4">
                  <c:v>188</c:v>
                </c:pt>
              </c:numCache>
            </c:numRef>
          </c:val>
        </c:ser>
        <c:ser>
          <c:idx val="5"/>
          <c:order val="5"/>
          <c:tx>
            <c:strRef>
              <c:f>'ethnicity graph'!$AG$1:$AG$2</c:f>
              <c:strCache>
                <c:ptCount val="1"/>
                <c:pt idx="0">
                  <c:v>Asian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graph'!$AG$3:$AG$7</c:f>
              <c:numCache>
                <c:formatCode>General</c:formatCode>
                <c:ptCount val="5"/>
                <c:pt idx="0">
                  <c:v>169</c:v>
                </c:pt>
                <c:pt idx="1">
                  <c:v>196</c:v>
                </c:pt>
                <c:pt idx="2">
                  <c:v>181</c:v>
                </c:pt>
                <c:pt idx="3">
                  <c:v>175</c:v>
                </c:pt>
                <c:pt idx="4">
                  <c:v>153</c:v>
                </c:pt>
              </c:numCache>
            </c:numRef>
          </c:val>
        </c:ser>
        <c:ser>
          <c:idx val="6"/>
          <c:order val="6"/>
          <c:tx>
            <c:strRef>
              <c:f>'ethnicity graph'!$AH$1:$AH$2</c:f>
              <c:strCache>
                <c:ptCount val="1"/>
                <c:pt idx="0">
                  <c:v>Multi-Race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graph'!$AH$3:$AH$7</c:f>
              <c:numCache>
                <c:formatCode>General</c:formatCode>
                <c:ptCount val="5"/>
                <c:pt idx="0">
                  <c:v>118</c:v>
                </c:pt>
                <c:pt idx="1">
                  <c:v>121</c:v>
                </c:pt>
                <c:pt idx="2">
                  <c:v>162</c:v>
                </c:pt>
                <c:pt idx="3">
                  <c:v>232</c:v>
                </c:pt>
                <c:pt idx="4">
                  <c:v>265</c:v>
                </c:pt>
              </c:numCache>
            </c:numRef>
          </c:val>
        </c:ser>
        <c:ser>
          <c:idx val="7"/>
          <c:order val="7"/>
          <c:tx>
            <c:strRef>
              <c:f>'ethnicity graph'!$AI$1:$AI$2</c:f>
              <c:strCache>
                <c:ptCount val="1"/>
                <c:pt idx="0">
                  <c:v>Native American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graph'!$AI$3:$AI$7</c:f>
              <c:numCache>
                <c:formatCode>General</c:formatCode>
                <c:ptCount val="5"/>
                <c:pt idx="0">
                  <c:v>61</c:v>
                </c:pt>
                <c:pt idx="1">
                  <c:v>89</c:v>
                </c:pt>
                <c:pt idx="2">
                  <c:v>76</c:v>
                </c:pt>
                <c:pt idx="3">
                  <c:v>69</c:v>
                </c:pt>
                <c:pt idx="4">
                  <c:v>54</c:v>
                </c:pt>
              </c:numCache>
            </c:numRef>
          </c:val>
        </c:ser>
        <c:ser>
          <c:idx val="8"/>
          <c:order val="8"/>
          <c:tx>
            <c:strRef>
              <c:f>'ethnicity graph'!$AJ$1:$AJ$2</c:f>
              <c:strCache>
                <c:ptCount val="1"/>
                <c:pt idx="0">
                  <c:v>Pacific Islander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graph'!$AJ$3:$AJ$7</c:f>
              <c:numCache>
                <c:formatCode>General</c:formatCode>
                <c:ptCount val="5"/>
                <c:pt idx="0">
                  <c:v>45</c:v>
                </c:pt>
                <c:pt idx="1">
                  <c:v>53</c:v>
                </c:pt>
                <c:pt idx="2">
                  <c:v>46</c:v>
                </c:pt>
                <c:pt idx="3">
                  <c:v>48</c:v>
                </c:pt>
                <c:pt idx="4">
                  <c:v>38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23686656"/>
        <c:axId val="223688576"/>
      </c:barChart>
      <c:catAx>
        <c:axId val="2236866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Academic Year</a:t>
                </a:r>
              </a:p>
            </c:rich>
          </c:tx>
          <c:overlay val="0"/>
        </c:title>
        <c:majorTickMark val="out"/>
        <c:minorTickMark val="none"/>
        <c:tickLblPos val="nextTo"/>
        <c:crossAx val="223688576"/>
        <c:crosses val="autoZero"/>
        <c:auto val="1"/>
        <c:lblAlgn val="ctr"/>
        <c:lblOffset val="100"/>
        <c:noMultiLvlLbl val="0"/>
      </c:catAx>
      <c:valAx>
        <c:axId val="223688576"/>
        <c:scaling>
          <c:orientation val="minMax"/>
          <c:max val="2500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Unique</a:t>
                </a:r>
              </a:p>
              <a:p>
                <a:pPr>
                  <a:defRPr/>
                </a:pPr>
                <a:r>
                  <a:rPr lang="en-US"/>
                  <a:t>Headcount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236866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Equity Access(Online).xlsx]age graph!PivotTable3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AY Unique Headcount by Age</a:t>
            </a:r>
            <a:endParaRPr lang="en-US">
              <a:effectLst/>
            </a:endParaRP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</c:pivotFmt>
      <c:pivotFmt>
        <c:idx val="16"/>
        <c:marker>
          <c:symbol val="none"/>
        </c:marker>
      </c:pivotFmt>
      <c:pivotFmt>
        <c:idx val="17"/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'age graph'!$AB$1:$AB$2</c:f>
              <c:strCache>
                <c:ptCount val="1"/>
                <c:pt idx="0">
                  <c:v>&lt;18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graph'!$AB$3:$AB$7</c:f>
              <c:numCache>
                <c:formatCode>General</c:formatCode>
                <c:ptCount val="5"/>
                <c:pt idx="0">
                  <c:v>145</c:v>
                </c:pt>
                <c:pt idx="1">
                  <c:v>149</c:v>
                </c:pt>
                <c:pt idx="2">
                  <c:v>75</c:v>
                </c:pt>
                <c:pt idx="3">
                  <c:v>48</c:v>
                </c:pt>
                <c:pt idx="4">
                  <c:v>23</c:v>
                </c:pt>
              </c:numCache>
            </c:numRef>
          </c:val>
        </c:ser>
        <c:ser>
          <c:idx val="1"/>
          <c:order val="1"/>
          <c:tx>
            <c:strRef>
              <c:f>'age graph'!$AC$1:$AC$2</c:f>
              <c:strCache>
                <c:ptCount val="1"/>
                <c:pt idx="0">
                  <c:v>18 &amp; 19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graph'!$AC$3:$AC$7</c:f>
              <c:numCache>
                <c:formatCode>General</c:formatCode>
                <c:ptCount val="5"/>
                <c:pt idx="0">
                  <c:v>994</c:v>
                </c:pt>
                <c:pt idx="1">
                  <c:v>1261</c:v>
                </c:pt>
                <c:pt idx="2">
                  <c:v>1031</c:v>
                </c:pt>
                <c:pt idx="3">
                  <c:v>807</c:v>
                </c:pt>
                <c:pt idx="4">
                  <c:v>706</c:v>
                </c:pt>
              </c:numCache>
            </c:numRef>
          </c:val>
        </c:ser>
        <c:ser>
          <c:idx val="2"/>
          <c:order val="2"/>
          <c:tx>
            <c:strRef>
              <c:f>'age graph'!$AD$1:$AD$2</c:f>
              <c:strCache>
                <c:ptCount val="1"/>
                <c:pt idx="0">
                  <c:v>20 to 24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graph'!$AD$3:$AD$7</c:f>
              <c:numCache>
                <c:formatCode>General</c:formatCode>
                <c:ptCount val="5"/>
                <c:pt idx="0">
                  <c:v>2434</c:v>
                </c:pt>
                <c:pt idx="1">
                  <c:v>2781</c:v>
                </c:pt>
                <c:pt idx="2">
                  <c:v>2729</c:v>
                </c:pt>
                <c:pt idx="3">
                  <c:v>2613</c:v>
                </c:pt>
                <c:pt idx="4">
                  <c:v>2476</c:v>
                </c:pt>
              </c:numCache>
            </c:numRef>
          </c:val>
        </c:ser>
        <c:ser>
          <c:idx val="3"/>
          <c:order val="3"/>
          <c:tx>
            <c:strRef>
              <c:f>'age graph'!$AE$1:$AE$2</c:f>
              <c:strCache>
                <c:ptCount val="1"/>
                <c:pt idx="0">
                  <c:v>25 to 29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graph'!$AE$3:$AE$7</c:f>
              <c:numCache>
                <c:formatCode>General</c:formatCode>
                <c:ptCount val="5"/>
                <c:pt idx="0">
                  <c:v>974</c:v>
                </c:pt>
                <c:pt idx="1">
                  <c:v>1100</c:v>
                </c:pt>
                <c:pt idx="2">
                  <c:v>1067</c:v>
                </c:pt>
                <c:pt idx="3">
                  <c:v>1063</c:v>
                </c:pt>
                <c:pt idx="4">
                  <c:v>1029</c:v>
                </c:pt>
              </c:numCache>
            </c:numRef>
          </c:val>
        </c:ser>
        <c:ser>
          <c:idx val="4"/>
          <c:order val="4"/>
          <c:tx>
            <c:strRef>
              <c:f>'age graph'!$AF$1:$AF$2</c:f>
              <c:strCache>
                <c:ptCount val="1"/>
                <c:pt idx="0">
                  <c:v>30 to 34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graph'!$AF$3:$AF$7</c:f>
              <c:numCache>
                <c:formatCode>General</c:formatCode>
                <c:ptCount val="5"/>
                <c:pt idx="0">
                  <c:v>622</c:v>
                </c:pt>
                <c:pt idx="1">
                  <c:v>710</c:v>
                </c:pt>
                <c:pt idx="2">
                  <c:v>666</c:v>
                </c:pt>
                <c:pt idx="3">
                  <c:v>610</c:v>
                </c:pt>
                <c:pt idx="4">
                  <c:v>611</c:v>
                </c:pt>
              </c:numCache>
            </c:numRef>
          </c:val>
        </c:ser>
        <c:ser>
          <c:idx val="5"/>
          <c:order val="5"/>
          <c:tx>
            <c:strRef>
              <c:f>'age graph'!$AG$1:$AG$2</c:f>
              <c:strCache>
                <c:ptCount val="1"/>
                <c:pt idx="0">
                  <c:v>35 to 39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graph'!$AG$3:$AG$7</c:f>
              <c:numCache>
                <c:formatCode>General</c:formatCode>
                <c:ptCount val="5"/>
                <c:pt idx="0">
                  <c:v>510</c:v>
                </c:pt>
                <c:pt idx="1">
                  <c:v>552</c:v>
                </c:pt>
                <c:pt idx="2">
                  <c:v>519</c:v>
                </c:pt>
                <c:pt idx="3">
                  <c:v>463</c:v>
                </c:pt>
                <c:pt idx="4">
                  <c:v>426</c:v>
                </c:pt>
              </c:numCache>
            </c:numRef>
          </c:val>
        </c:ser>
        <c:ser>
          <c:idx val="6"/>
          <c:order val="6"/>
          <c:tx>
            <c:strRef>
              <c:f>'age graph'!$AH$1:$AH$2</c:f>
              <c:strCache>
                <c:ptCount val="1"/>
                <c:pt idx="0">
                  <c:v>40 to 49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graph'!$AH$3:$AH$7</c:f>
              <c:numCache>
                <c:formatCode>General</c:formatCode>
                <c:ptCount val="5"/>
                <c:pt idx="0">
                  <c:v>660</c:v>
                </c:pt>
                <c:pt idx="1">
                  <c:v>699</c:v>
                </c:pt>
                <c:pt idx="2">
                  <c:v>719</c:v>
                </c:pt>
                <c:pt idx="3">
                  <c:v>619</c:v>
                </c:pt>
                <c:pt idx="4">
                  <c:v>568</c:v>
                </c:pt>
              </c:numCache>
            </c:numRef>
          </c:val>
        </c:ser>
        <c:ser>
          <c:idx val="7"/>
          <c:order val="7"/>
          <c:tx>
            <c:strRef>
              <c:f>'age graph'!$AI$1:$AI$2</c:f>
              <c:strCache>
                <c:ptCount val="1"/>
                <c:pt idx="0">
                  <c:v>50 +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graph'!$AI$3:$AI$7</c:f>
              <c:numCache>
                <c:formatCode>General</c:formatCode>
                <c:ptCount val="5"/>
                <c:pt idx="0">
                  <c:v>236</c:v>
                </c:pt>
                <c:pt idx="1">
                  <c:v>300</c:v>
                </c:pt>
                <c:pt idx="2">
                  <c:v>310</c:v>
                </c:pt>
                <c:pt idx="3">
                  <c:v>285</c:v>
                </c:pt>
                <c:pt idx="4">
                  <c:v>279</c:v>
                </c:pt>
              </c:numCache>
            </c:numRef>
          </c:val>
        </c:ser>
        <c:ser>
          <c:idx val="8"/>
          <c:order val="8"/>
          <c:tx>
            <c:strRef>
              <c:f>'age graph'!$AJ$1:$AJ$2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graph'!$AJ$3:$AJ$7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24059776"/>
        <c:axId val="224061696"/>
      </c:barChart>
      <c:catAx>
        <c:axId val="224059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Academic Year</a:t>
                </a:r>
              </a:p>
            </c:rich>
          </c:tx>
          <c:overlay val="0"/>
        </c:title>
        <c:majorTickMark val="out"/>
        <c:minorTickMark val="none"/>
        <c:tickLblPos val="nextTo"/>
        <c:crossAx val="224061696"/>
        <c:crosses val="autoZero"/>
        <c:auto val="1"/>
        <c:lblAlgn val="ctr"/>
        <c:lblOffset val="100"/>
        <c:noMultiLvlLbl val="0"/>
      </c:catAx>
      <c:valAx>
        <c:axId val="224061696"/>
        <c:scaling>
          <c:orientation val="minMax"/>
          <c:max val="2500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Unique</a:t>
                </a:r>
              </a:p>
              <a:p>
                <a:pPr>
                  <a:defRPr/>
                </a:pPr>
                <a:r>
                  <a:rPr lang="en-US"/>
                  <a:t>Headcount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240597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200024</xdr:colOff>
      <xdr:row>0</xdr:row>
      <xdr:rowOff>119061</xdr:rowOff>
    </xdr:from>
    <xdr:to>
      <xdr:col>16</xdr:col>
      <xdr:colOff>323850</xdr:colOff>
      <xdr:row>38</xdr:row>
      <xdr:rowOff>9525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0</xdr:row>
      <xdr:rowOff>47625</xdr:rowOff>
    </xdr:from>
    <xdr:to>
      <xdr:col>16</xdr:col>
      <xdr:colOff>1028700</xdr:colOff>
      <xdr:row>39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161925</xdr:colOff>
      <xdr:row>0</xdr:row>
      <xdr:rowOff>66674</xdr:rowOff>
    </xdr:from>
    <xdr:to>
      <xdr:col>24</xdr:col>
      <xdr:colOff>600075</xdr:colOff>
      <xdr:row>40</xdr:row>
      <xdr:rowOff>133349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ivots/age%20pivot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ivots/gender%20pivot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pivots/Ethnic%20pivot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DSPS/BASE/IREQUITYDSPSSTUDENTS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rt"/>
      <sheetName val="age headcounts"/>
      <sheetName val="average age"/>
      <sheetName val="median age"/>
      <sheetName val="Sheet3"/>
    </sheetNames>
    <sheetDataSet>
      <sheetData sheetId="0"/>
      <sheetData sheetId="1">
        <row r="1">
          <cell r="A1" t="str">
            <v>Row Labels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 t="str">
            <v>Grand Total</v>
          </cell>
          <cell r="H1">
            <v>0</v>
          </cell>
          <cell r="I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</row>
        <row r="3">
          <cell r="A3" t="str">
            <v>Count of Stc Person Id</v>
          </cell>
          <cell r="B3" t="str">
            <v>Column Labels</v>
          </cell>
        </row>
        <row r="4">
          <cell r="A4" t="str">
            <v>Row Labels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  <cell r="G4" t="str">
            <v>Grand Total</v>
          </cell>
        </row>
        <row r="5">
          <cell r="A5" t="str">
            <v>&lt;18</v>
          </cell>
          <cell r="B5">
            <v>145</v>
          </cell>
          <cell r="C5">
            <v>149</v>
          </cell>
          <cell r="D5">
            <v>75</v>
          </cell>
          <cell r="E5">
            <v>48</v>
          </cell>
          <cell r="F5">
            <v>23</v>
          </cell>
          <cell r="G5">
            <v>440</v>
          </cell>
        </row>
        <row r="6">
          <cell r="A6" t="str">
            <v>18 &amp; 19</v>
          </cell>
          <cell r="B6">
            <v>994</v>
          </cell>
          <cell r="C6">
            <v>1261</v>
          </cell>
          <cell r="D6">
            <v>1031</v>
          </cell>
          <cell r="E6">
            <v>807</v>
          </cell>
          <cell r="F6">
            <v>706</v>
          </cell>
          <cell r="G6">
            <v>4799</v>
          </cell>
        </row>
        <row r="7">
          <cell r="A7" t="str">
            <v>20 to 24</v>
          </cell>
          <cell r="B7">
            <v>2434</v>
          </cell>
          <cell r="C7">
            <v>2781</v>
          </cell>
          <cell r="D7">
            <v>2729</v>
          </cell>
          <cell r="E7">
            <v>2613</v>
          </cell>
          <cell r="F7">
            <v>2476</v>
          </cell>
          <cell r="G7">
            <v>13033</v>
          </cell>
        </row>
        <row r="8">
          <cell r="A8" t="str">
            <v>25 to 29</v>
          </cell>
          <cell r="B8">
            <v>974</v>
          </cell>
          <cell r="C8">
            <v>1100</v>
          </cell>
          <cell r="D8">
            <v>1067</v>
          </cell>
          <cell r="E8">
            <v>1063</v>
          </cell>
          <cell r="F8">
            <v>1029</v>
          </cell>
          <cell r="G8">
            <v>5233</v>
          </cell>
        </row>
        <row r="9">
          <cell r="A9" t="str">
            <v>30 to 34</v>
          </cell>
          <cell r="B9">
            <v>622</v>
          </cell>
          <cell r="C9">
            <v>710</v>
          </cell>
          <cell r="D9">
            <v>666</v>
          </cell>
          <cell r="E9">
            <v>610</v>
          </cell>
          <cell r="F9">
            <v>611</v>
          </cell>
          <cell r="G9">
            <v>3219</v>
          </cell>
        </row>
        <row r="10">
          <cell r="A10" t="str">
            <v>35 to 39</v>
          </cell>
          <cell r="B10">
            <v>510</v>
          </cell>
          <cell r="C10">
            <v>552</v>
          </cell>
          <cell r="D10">
            <v>519</v>
          </cell>
          <cell r="E10">
            <v>463</v>
          </cell>
          <cell r="F10">
            <v>426</v>
          </cell>
          <cell r="G10">
            <v>2470</v>
          </cell>
        </row>
        <row r="11">
          <cell r="A11" t="str">
            <v>40 to 49</v>
          </cell>
          <cell r="B11">
            <v>660</v>
          </cell>
          <cell r="C11">
            <v>699</v>
          </cell>
          <cell r="D11">
            <v>719</v>
          </cell>
          <cell r="E11">
            <v>619</v>
          </cell>
          <cell r="F11">
            <v>568</v>
          </cell>
          <cell r="G11">
            <v>3265</v>
          </cell>
        </row>
        <row r="12">
          <cell r="A12" t="str">
            <v>50 +</v>
          </cell>
          <cell r="B12">
            <v>236</v>
          </cell>
          <cell r="C12">
            <v>300</v>
          </cell>
          <cell r="D12">
            <v>310</v>
          </cell>
          <cell r="E12">
            <v>285</v>
          </cell>
          <cell r="F12">
            <v>279</v>
          </cell>
          <cell r="G12">
            <v>1410</v>
          </cell>
        </row>
        <row r="13">
          <cell r="A13" t="str">
            <v>unknown</v>
          </cell>
          <cell r="B13">
            <v>1</v>
          </cell>
          <cell r="D13">
            <v>2</v>
          </cell>
          <cell r="E13">
            <v>2</v>
          </cell>
          <cell r="F13">
            <v>2</v>
          </cell>
          <cell r="G13">
            <v>7</v>
          </cell>
        </row>
        <row r="14">
          <cell r="A14" t="str">
            <v>Grand Total</v>
          </cell>
          <cell r="B14">
            <v>6576</v>
          </cell>
          <cell r="C14">
            <v>7552</v>
          </cell>
          <cell r="D14">
            <v>7118</v>
          </cell>
          <cell r="E14">
            <v>6510</v>
          </cell>
          <cell r="F14">
            <v>6120</v>
          </cell>
          <cell r="G14">
            <v>33876</v>
          </cell>
        </row>
      </sheetData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rt"/>
      <sheetName val="gender heads"/>
      <sheetName val="gender rate"/>
    </sheetNames>
    <sheetDataSet>
      <sheetData sheetId="0"/>
      <sheetData sheetId="1">
        <row r="1">
          <cell r="A1" t="str">
            <v>Row Labels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 t="str">
            <v>Grand Total</v>
          </cell>
          <cell r="H1">
            <v>0</v>
          </cell>
          <cell r="I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</row>
        <row r="3">
          <cell r="A3" t="str">
            <v>Heads</v>
          </cell>
          <cell r="B3" t="str">
            <v>Column Labels</v>
          </cell>
        </row>
        <row r="4">
          <cell r="A4" t="str">
            <v>Row Labels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  <cell r="G4" t="str">
            <v>Grand Total</v>
          </cell>
        </row>
        <row r="5">
          <cell r="A5" t="str">
            <v>M</v>
          </cell>
          <cell r="B5">
            <v>2148</v>
          </cell>
          <cell r="C5">
            <v>2478</v>
          </cell>
          <cell r="D5">
            <v>2459</v>
          </cell>
          <cell r="E5">
            <v>2288</v>
          </cell>
          <cell r="F5">
            <v>2246</v>
          </cell>
          <cell r="G5">
            <v>11619</v>
          </cell>
        </row>
        <row r="6">
          <cell r="A6" t="str">
            <v>F</v>
          </cell>
          <cell r="B6">
            <v>4386</v>
          </cell>
          <cell r="C6">
            <v>4993</v>
          </cell>
          <cell r="D6">
            <v>4584</v>
          </cell>
          <cell r="E6">
            <v>4149</v>
          </cell>
          <cell r="F6">
            <v>3814</v>
          </cell>
          <cell r="G6">
            <v>21926</v>
          </cell>
        </row>
        <row r="7">
          <cell r="A7" t="str">
            <v>(blank)</v>
          </cell>
          <cell r="B7">
            <v>42</v>
          </cell>
          <cell r="C7">
            <v>81</v>
          </cell>
          <cell r="D7">
            <v>75</v>
          </cell>
          <cell r="E7">
            <v>73</v>
          </cell>
          <cell r="F7">
            <v>60</v>
          </cell>
          <cell r="G7">
            <v>331</v>
          </cell>
        </row>
        <row r="8">
          <cell r="A8" t="str">
            <v>Grand Total</v>
          </cell>
          <cell r="B8">
            <v>6576</v>
          </cell>
          <cell r="C8">
            <v>7552</v>
          </cell>
          <cell r="D8">
            <v>7118</v>
          </cell>
          <cell r="E8">
            <v>6510</v>
          </cell>
          <cell r="F8">
            <v>6120</v>
          </cell>
          <cell r="G8">
            <v>33876</v>
          </cell>
        </row>
      </sheetData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rt"/>
      <sheetName val="hispanic 1"/>
      <sheetName val="hispanic 2"/>
      <sheetName val="hispanic total"/>
      <sheetName val="Primary Races"/>
      <sheetName val="unknown"/>
      <sheetName val="multi race"/>
      <sheetName val="Sheet1"/>
    </sheetNames>
    <sheetDataSet>
      <sheetData sheetId="0"/>
      <sheetData sheetId="1"/>
      <sheetData sheetId="2"/>
      <sheetData sheetId="3">
        <row r="1">
          <cell r="A1" t="str">
            <v>Count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</row>
        <row r="3">
          <cell r="A3" t="str">
            <v>Count</v>
          </cell>
          <cell r="B3">
            <v>2007</v>
          </cell>
          <cell r="C3">
            <v>2008</v>
          </cell>
          <cell r="D3">
            <v>2009</v>
          </cell>
          <cell r="E3">
            <v>2010</v>
          </cell>
          <cell r="F3">
            <v>2011</v>
          </cell>
        </row>
        <row r="4">
          <cell r="A4" t="str">
            <v>Grand Total</v>
          </cell>
          <cell r="B4">
            <v>1408</v>
          </cell>
          <cell r="C4">
            <v>1770</v>
          </cell>
          <cell r="D4">
            <v>1680</v>
          </cell>
          <cell r="E4">
            <v>1672</v>
          </cell>
          <cell r="F4">
            <v>1809</v>
          </cell>
        </row>
        <row r="5">
          <cell r="A5" t="str">
            <v>Grand Total</v>
          </cell>
          <cell r="B5">
            <v>7</v>
          </cell>
          <cell r="C5">
            <v>7</v>
          </cell>
          <cell r="D5">
            <v>37</v>
          </cell>
          <cell r="E5">
            <v>45</v>
          </cell>
          <cell r="F5">
            <v>51</v>
          </cell>
        </row>
        <row r="6">
          <cell r="A6" t="str">
            <v>Hispanic</v>
          </cell>
          <cell r="B6">
            <v>1415</v>
          </cell>
          <cell r="C6">
            <v>1777</v>
          </cell>
          <cell r="D6">
            <v>1717</v>
          </cell>
          <cell r="E6">
            <v>1717</v>
          </cell>
          <cell r="F6">
            <v>1860</v>
          </cell>
        </row>
        <row r="7">
          <cell r="A7"/>
        </row>
        <row r="8">
          <cell r="A8"/>
        </row>
      </sheetData>
      <sheetData sheetId="4">
        <row r="1">
          <cell r="A1" t="str">
            <v>Row Labels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 t="str">
            <v>Grand Total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A3" t="str">
            <v>Count of Stc Person Id</v>
          </cell>
          <cell r="B3" t="str">
            <v>Column Labels</v>
          </cell>
        </row>
        <row r="4">
          <cell r="A4" t="str">
            <v>Row Labels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  <cell r="G4" t="str">
            <v>Grand Total</v>
          </cell>
        </row>
        <row r="5">
          <cell r="A5" t="str">
            <v>W</v>
          </cell>
          <cell r="B5">
            <v>3613</v>
          </cell>
          <cell r="C5">
            <v>3904</v>
          </cell>
          <cell r="D5">
            <v>3596</v>
          </cell>
          <cell r="E5">
            <v>3184</v>
          </cell>
          <cell r="F5">
            <v>2811</v>
          </cell>
          <cell r="G5">
            <v>17108</v>
          </cell>
        </row>
        <row r="6">
          <cell r="A6" t="str">
            <v>B</v>
          </cell>
          <cell r="B6">
            <v>455</v>
          </cell>
          <cell r="C6">
            <v>539</v>
          </cell>
          <cell r="D6">
            <v>562</v>
          </cell>
          <cell r="E6">
            <v>485</v>
          </cell>
          <cell r="F6">
            <v>480</v>
          </cell>
          <cell r="G6">
            <v>2521</v>
          </cell>
        </row>
        <row r="7">
          <cell r="A7" t="str">
            <v>A</v>
          </cell>
          <cell r="B7">
            <v>169</v>
          </cell>
          <cell r="C7">
            <v>196</v>
          </cell>
          <cell r="D7">
            <v>181</v>
          </cell>
          <cell r="E7">
            <v>175</v>
          </cell>
          <cell r="F7">
            <v>153</v>
          </cell>
          <cell r="G7">
            <v>874</v>
          </cell>
        </row>
        <row r="8">
          <cell r="A8" t="str">
            <v>N</v>
          </cell>
          <cell r="B8">
            <v>61</v>
          </cell>
          <cell r="C8">
            <v>89</v>
          </cell>
          <cell r="D8">
            <v>76</v>
          </cell>
          <cell r="E8">
            <v>69</v>
          </cell>
          <cell r="F8">
            <v>54</v>
          </cell>
          <cell r="G8">
            <v>349</v>
          </cell>
        </row>
        <row r="9">
          <cell r="A9" t="str">
            <v>F</v>
          </cell>
          <cell r="B9">
            <v>230</v>
          </cell>
          <cell r="C9">
            <v>280</v>
          </cell>
          <cell r="D9">
            <v>250</v>
          </cell>
          <cell r="E9">
            <v>202</v>
          </cell>
          <cell r="F9">
            <v>188</v>
          </cell>
          <cell r="G9">
            <v>1150</v>
          </cell>
        </row>
        <row r="10">
          <cell r="A10" t="str">
            <v>P</v>
          </cell>
          <cell r="B10">
            <v>45</v>
          </cell>
          <cell r="C10">
            <v>53</v>
          </cell>
          <cell r="D10">
            <v>46</v>
          </cell>
          <cell r="E10">
            <v>48</v>
          </cell>
          <cell r="F10">
            <v>38</v>
          </cell>
          <cell r="G10">
            <v>230</v>
          </cell>
        </row>
        <row r="11">
          <cell r="A11" t="str">
            <v>Grand Total</v>
          </cell>
          <cell r="B11">
            <v>4573</v>
          </cell>
          <cell r="C11">
            <v>5061</v>
          </cell>
          <cell r="D11">
            <v>4711</v>
          </cell>
          <cell r="E11">
            <v>4163</v>
          </cell>
          <cell r="F11">
            <v>3724</v>
          </cell>
          <cell r="G11">
            <v>22232</v>
          </cell>
        </row>
      </sheetData>
      <sheetData sheetId="5">
        <row r="1">
          <cell r="A1">
            <v>0</v>
          </cell>
          <cell r="B1" t="str">
            <v>Row Labels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 t="str">
            <v>Grand Total</v>
          </cell>
          <cell r="I1">
            <v>0</v>
          </cell>
          <cell r="J1">
            <v>0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B3" t="str">
            <v>Count of Stc Person Id</v>
          </cell>
          <cell r="C3" t="str">
            <v>Column Labels</v>
          </cell>
        </row>
        <row r="4">
          <cell r="B4" t="str">
            <v>Row Labels</v>
          </cell>
          <cell r="C4">
            <v>2007</v>
          </cell>
          <cell r="D4">
            <v>2008</v>
          </cell>
          <cell r="E4">
            <v>2009</v>
          </cell>
          <cell r="F4">
            <v>2010</v>
          </cell>
          <cell r="G4">
            <v>2011</v>
          </cell>
        </row>
        <row r="5">
          <cell r="B5"/>
          <cell r="C5">
            <v>470</v>
          </cell>
          <cell r="D5">
            <v>593</v>
          </cell>
          <cell r="E5">
            <v>528</v>
          </cell>
          <cell r="F5">
            <v>398</v>
          </cell>
          <cell r="G5">
            <v>271</v>
          </cell>
        </row>
        <row r="6">
          <cell r="A6" t="str">
            <v>U</v>
          </cell>
          <cell r="B6" t="str">
            <v>Grand Total</v>
          </cell>
          <cell r="C6">
            <v>470</v>
          </cell>
          <cell r="D6">
            <v>593</v>
          </cell>
          <cell r="E6">
            <v>528</v>
          </cell>
          <cell r="F6">
            <v>398</v>
          </cell>
          <cell r="G6">
            <v>271</v>
          </cell>
        </row>
      </sheetData>
      <sheetData sheetId="6">
        <row r="1">
          <cell r="A1">
            <v>0</v>
          </cell>
          <cell r="B1">
            <v>0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 t="str">
            <v>Grand Total</v>
          </cell>
          <cell r="I1">
            <v>0</v>
          </cell>
          <cell r="J1">
            <v>0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C3" t="str">
            <v>Column Labels</v>
          </cell>
        </row>
        <row r="4">
          <cell r="C4">
            <v>2007</v>
          </cell>
          <cell r="D4">
            <v>2008</v>
          </cell>
          <cell r="E4">
            <v>2009</v>
          </cell>
          <cell r="F4">
            <v>2010</v>
          </cell>
          <cell r="G4">
            <v>2011</v>
          </cell>
        </row>
        <row r="5">
          <cell r="A5" t="str">
            <v>M</v>
          </cell>
          <cell r="B5" t="str">
            <v>Count of Stc Person Id</v>
          </cell>
          <cell r="C5">
            <v>118</v>
          </cell>
          <cell r="D5">
            <v>121</v>
          </cell>
          <cell r="E5">
            <v>162</v>
          </cell>
          <cell r="F5">
            <v>232</v>
          </cell>
          <cell r="G5">
            <v>265</v>
          </cell>
        </row>
      </sheetData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EQUITYDSPSSTUDENTS(1)"/>
      <sheetName val="Sheet1"/>
    </sheetNames>
    <sheetDataSet>
      <sheetData sheetId="0"/>
      <sheetData sheetId="1">
        <row r="1">
          <cell r="A1" t="str">
            <v>Row Labels</v>
          </cell>
          <cell r="B1">
            <v>2006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>
            <v>2012</v>
          </cell>
          <cell r="I1" t="str">
            <v>(blank)</v>
          </cell>
          <cell r="J1" t="str">
            <v>Grand Total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A3" t="str">
            <v>Count of Stc Person Id</v>
          </cell>
          <cell r="B3" t="str">
            <v>Column Labels</v>
          </cell>
        </row>
        <row r="4">
          <cell r="A4" t="str">
            <v>Row Labels</v>
          </cell>
          <cell r="B4">
            <v>2006</v>
          </cell>
          <cell r="C4">
            <v>2007</v>
          </cell>
          <cell r="D4">
            <v>2008</v>
          </cell>
          <cell r="E4">
            <v>2009</v>
          </cell>
          <cell r="F4">
            <v>2010</v>
          </cell>
          <cell r="G4">
            <v>2011</v>
          </cell>
          <cell r="H4">
            <v>2012</v>
          </cell>
          <cell r="I4" t="str">
            <v>(blank)</v>
          </cell>
          <cell r="J4" t="str">
            <v>Grand Total</v>
          </cell>
        </row>
        <row r="5">
          <cell r="A5" t="str">
            <v>DSPS</v>
          </cell>
          <cell r="B5">
            <v>406</v>
          </cell>
          <cell r="C5">
            <v>649</v>
          </cell>
          <cell r="D5">
            <v>963</v>
          </cell>
          <cell r="E5">
            <v>1178</v>
          </cell>
          <cell r="F5">
            <v>1155</v>
          </cell>
          <cell r="G5">
            <v>1132</v>
          </cell>
          <cell r="H5">
            <v>7</v>
          </cell>
          <cell r="I5">
            <v>0</v>
          </cell>
          <cell r="J5">
            <v>5490</v>
          </cell>
        </row>
        <row r="6">
          <cell r="A6" t="str">
            <v>Grand Total</v>
          </cell>
          <cell r="B6">
            <v>406</v>
          </cell>
          <cell r="C6">
            <v>649</v>
          </cell>
          <cell r="D6">
            <v>963</v>
          </cell>
          <cell r="E6">
            <v>1178</v>
          </cell>
          <cell r="F6">
            <v>1155</v>
          </cell>
          <cell r="G6">
            <v>1132</v>
          </cell>
          <cell r="H6">
            <v>7</v>
          </cell>
          <cell r="I6">
            <v>0</v>
          </cell>
          <cell r="J6">
            <v>5490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mesaris" refreshedDate="41172.407790046294" createdVersion="4" refreshedVersion="4" minRefreshableVersion="3" recordCount="9">
  <cacheSource type="worksheet">
    <worksheetSource ref="A27:M36" sheet="graph base"/>
  </cacheSource>
  <cacheFields count="13">
    <cacheField name="Age " numFmtId="0">
      <sharedItems count="9">
        <s v="&lt;18"/>
        <s v="18 &amp; 19"/>
        <s v="20 to 24"/>
        <s v="25 to 29"/>
        <s v="30 to 34"/>
        <s v="35 to 39"/>
        <s v="40 to 49"/>
        <s v="50 +"/>
        <s v="Unknown"/>
      </sharedItems>
    </cacheField>
    <cacheField name="AY07-08#" numFmtId="0">
      <sharedItems containsSemiMixedTypes="0" containsString="0" containsNumber="1" containsInteger="1" minValue="1" maxValue="2434"/>
    </cacheField>
    <cacheField name="AY07-08%" numFmtId="0">
      <sharedItems containsSemiMixedTypes="0" containsString="0" containsNumber="1" minValue="1.5206812652068127E-4" maxValue="0.37013381995133821"/>
    </cacheField>
    <cacheField name="AY08-09#" numFmtId="0">
      <sharedItems containsSemiMixedTypes="0" containsString="0" containsNumber="1" containsInteger="1" minValue="0" maxValue="2781"/>
    </cacheField>
    <cacheField name="AY08-09%" numFmtId="0">
      <sharedItems containsSemiMixedTypes="0" containsString="0" containsNumber="1" minValue="0" maxValue="0.3682468220338983"/>
    </cacheField>
    <cacheField name="AY09-10#" numFmtId="0">
      <sharedItems containsSemiMixedTypes="0" containsString="0" containsNumber="1" containsInteger="1" minValue="2" maxValue="2729"/>
    </cacheField>
    <cacheField name="AY09-10%" numFmtId="0">
      <sharedItems containsSemiMixedTypes="0" containsString="0" containsNumber="1" minValue="2.8097780275358248E-4" maxValue="0.3833942118572633"/>
    </cacheField>
    <cacheField name="AY10-11#" numFmtId="0">
      <sharedItems containsSemiMixedTypes="0" containsString="0" containsNumber="1" containsInteger="1" minValue="2" maxValue="2613"/>
    </cacheField>
    <cacheField name="AY10-11%" numFmtId="0">
      <sharedItems containsSemiMixedTypes="0" containsString="0" containsNumber="1" minValue="3.0721966205837174E-4" maxValue="0.40138248847926267"/>
    </cacheField>
    <cacheField name="AY11-12#" numFmtId="0">
      <sharedItems containsSemiMixedTypes="0" containsString="0" containsNumber="1" containsInteger="1" minValue="2" maxValue="2476"/>
    </cacheField>
    <cacheField name="AY11-12%" numFmtId="0">
      <sharedItems containsSemiMixedTypes="0" containsString="0" containsNumber="1" minValue="3.2679738562091501E-4" maxValue="0.40457516339869282"/>
    </cacheField>
    <cacheField name="2010 Census#" numFmtId="0">
      <sharedItems containsSemiMixedTypes="0" containsString="0" containsNumber="1" containsInteger="1" minValue="0" maxValue="245217"/>
    </cacheField>
    <cacheField name="2010 Census%" numFmtId="0">
      <sharedItems containsSemiMixedTypes="0" containsString="0" containsNumber="1" minValue="0" maxValue="0.293019637646350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nmesaris" refreshedDate="41172.40779016204" createdVersion="4" refreshedVersion="4" minRefreshableVersion="3" recordCount="9">
  <cacheSource type="worksheet">
    <worksheetSource ref="A13:M22" sheet="graph base"/>
  </cacheSource>
  <cacheFields count="13">
    <cacheField name="Ethnicity" numFmtId="0">
      <sharedItems count="9">
        <s v="White"/>
        <s v="Hispanic"/>
        <s v="African American"/>
        <s v="Asian"/>
        <s v="Native American"/>
        <s v="Filipino"/>
        <s v="Pacific Islander"/>
        <s v="Multi-Race"/>
        <s v="Unknown"/>
      </sharedItems>
    </cacheField>
    <cacheField name="AY07-08#" numFmtId="0">
      <sharedItems containsSemiMixedTypes="0" containsString="0" containsNumber="1" containsInteger="1" minValue="45" maxValue="3613"/>
    </cacheField>
    <cacheField name="AY07-08%" numFmtId="0">
      <sharedItems containsSemiMixedTypes="0" containsString="0" containsNumber="1" minValue="6.8430656934306573E-3" maxValue="0.54942214111922139"/>
    </cacheField>
    <cacheField name="AY08-09#" numFmtId="0">
      <sharedItems containsSemiMixedTypes="0" containsString="0" containsNumber="1" containsInteger="1" minValue="53" maxValue="3904"/>
    </cacheField>
    <cacheField name="AY08-09%" numFmtId="0">
      <sharedItems containsSemiMixedTypes="0" containsString="0" containsNumber="1" minValue="7.0180084745762716E-3" maxValue="0.51694915254237284"/>
    </cacheField>
    <cacheField name="AY09-10#" numFmtId="0">
      <sharedItems containsSemiMixedTypes="0" containsString="0" containsNumber="1" containsInteger="1" minValue="46" maxValue="3596"/>
    </cacheField>
    <cacheField name="AY09-10%" numFmtId="0">
      <sharedItems containsSemiMixedTypes="0" containsString="0" containsNumber="1" minValue="6.4624894633323968E-3" maxValue="0.50519808935094124"/>
    </cacheField>
    <cacheField name="AY10-11#" numFmtId="0">
      <sharedItems containsSemiMixedTypes="0" containsString="0" containsNumber="1" containsInteger="1" minValue="48" maxValue="3184"/>
    </cacheField>
    <cacheField name="AY10-11%" numFmtId="0">
      <sharedItems containsSemiMixedTypes="0" containsString="0" containsNumber="1" minValue="7.3732718894009217E-3" maxValue="0.48909370199692781"/>
    </cacheField>
    <cacheField name="AY11-12#" numFmtId="0">
      <sharedItems containsSemiMixedTypes="0" containsString="0" containsNumber="1" containsInteger="1" minValue="38" maxValue="2811"/>
    </cacheField>
    <cacheField name="AY11-12%" numFmtId="0">
      <sharedItems containsSemiMixedTypes="0" containsString="0" containsNumber="1" minValue="6.2091503267973852E-3" maxValue="0.45931372549019606"/>
    </cacheField>
    <cacheField name="2010 Census#" numFmtId="0">
      <sharedItems containsSemiMixedTypes="0" containsString="0" containsNumber="1" containsInteger="1" minValue="1287" maxValue="398271"/>
    </cacheField>
    <cacheField name="2010 Census%" numFmtId="0">
      <sharedItems containsSemiMixedTypes="0" containsString="0" containsNumber="1" minValue="1.5378879671917233E-3" maxValue="0.475910006667766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nmesaris" refreshedDate="41172.407790277779" createdVersion="4" refreshedVersion="4" minRefreshableVersion="3" recordCount="3">
  <cacheSource type="worksheet">
    <worksheetSource ref="A4:M7" sheet="graph base"/>
  </cacheSource>
  <cacheFields count="13">
    <cacheField name="Gender" numFmtId="0">
      <sharedItems count="3">
        <s v="Female"/>
        <s v="Male"/>
        <s v="Unknown"/>
      </sharedItems>
    </cacheField>
    <cacheField name="AY07-08#" numFmtId="0">
      <sharedItems containsSemiMixedTypes="0" containsString="0" containsNumber="1" containsInteger="1" minValue="42" maxValue="4386"/>
    </cacheField>
    <cacheField name="AY07-08%" numFmtId="0">
      <sharedItems containsSemiMixedTypes="0" containsString="0" containsNumber="1" minValue="6.3868613138686131E-3" maxValue="0.66697080291970801"/>
    </cacheField>
    <cacheField name="AY08-09#" numFmtId="0">
      <sharedItems containsSemiMixedTypes="0" containsString="0" containsNumber="1" containsInteger="1" minValue="81" maxValue="4993"/>
    </cacheField>
    <cacheField name="AY08-09%" numFmtId="0">
      <sharedItems containsSemiMixedTypes="0" containsString="0" containsNumber="1" minValue="1.0725635593220338E-2" maxValue="0.66114936440677963"/>
    </cacheField>
    <cacheField name="AY09-10#" numFmtId="0">
      <sharedItems containsSemiMixedTypes="0" containsString="0" containsNumber="1" containsInteger="1" minValue="75" maxValue="4584"/>
    </cacheField>
    <cacheField name="AY09-10%" numFmtId="0">
      <sharedItems containsSemiMixedTypes="0" containsString="0" containsNumber="1" minValue="1.0536667603259343E-2" maxValue="0.644001123911211"/>
    </cacheField>
    <cacheField name="AY10-11#" numFmtId="0">
      <sharedItems containsSemiMixedTypes="0" containsString="0" containsNumber="1" containsInteger="1" minValue="73" maxValue="4149"/>
    </cacheField>
    <cacheField name="AY10-11%" numFmtId="0">
      <sharedItems containsSemiMixedTypes="0" containsString="0" containsNumber="1" minValue="1.1213517665130568E-2" maxValue="0.63732718894009222"/>
    </cacheField>
    <cacheField name="AY11-12#" numFmtId="0">
      <sharedItems containsSemiMixedTypes="0" containsString="0" containsNumber="1" containsInteger="1" minValue="60" maxValue="3814"/>
    </cacheField>
    <cacheField name="AY11-12%" numFmtId="0">
      <sharedItems containsSemiMixedTypes="0" containsString="0" containsNumber="1" minValue="9.8039215686274508E-3" maxValue="0.62320261437908497"/>
    </cacheField>
    <cacheField name="2010 Census#" numFmtId="0">
      <sharedItems containsSemiMixedTypes="0" containsString="0" containsNumber="1" containsInteger="1" minValue="0" maxValue="425726"/>
    </cacheField>
    <cacheField name="2010 Census%" numFmtId="0">
      <sharedItems containsSemiMixedTypes="0" containsString="0" containsNumber="1" minValue="0" maxValue="0.508717088361044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">
  <r>
    <x v="0"/>
    <n v="145"/>
    <n v="2.2049878345498784E-2"/>
    <n v="149"/>
    <n v="1.9729872881355932E-2"/>
    <n v="75"/>
    <n v="1.0536667603259343E-2"/>
    <n v="48"/>
    <n v="7.3732718894009217E-3"/>
    <n v="23"/>
    <n v="3.758169934640523E-3"/>
    <n v="245217"/>
    <n v="0.29301963764635031"/>
  </r>
  <r>
    <x v="1"/>
    <n v="994"/>
    <n v="0.15115571776155717"/>
    <n v="1261"/>
    <n v="0.16697563559322035"/>
    <n v="1031"/>
    <n v="0.14484405731947175"/>
    <n v="807"/>
    <n v="0.12396313364055299"/>
    <n v="706"/>
    <n v="0.11535947712418301"/>
    <n v="25706"/>
    <n v="3.0717131378889231E-2"/>
  </r>
  <r>
    <x v="2"/>
    <n v="2434"/>
    <n v="0.37013381995133821"/>
    <n v="2781"/>
    <n v="0.3682468220338983"/>
    <n v="2729"/>
    <n v="0.3833942118572633"/>
    <n v="2613"/>
    <n v="0.40138248847926267"/>
    <n v="2476"/>
    <n v="0.40457516339869282"/>
    <n v="52893"/>
    <n v="6.3203969113187125E-2"/>
  </r>
  <r>
    <x v="3"/>
    <n v="974"/>
    <n v="0.14811435523114355"/>
    <n v="1100"/>
    <n v="0.14565677966101695"/>
    <n v="1067"/>
    <n v="0.14990165776903625"/>
    <n v="1063"/>
    <n v="0.16328725038402458"/>
    <n v="1029"/>
    <n v="0.1681372549019608"/>
    <n v="52166"/>
    <n v="6.2335247627446341E-2"/>
  </r>
  <r>
    <x v="4"/>
    <n v="622"/>
    <n v="9.4586374695863742E-2"/>
    <n v="710"/>
    <n v="9.4014830508474576E-2"/>
    <n v="666"/>
    <n v="9.3565608316942966E-2"/>
    <n v="610"/>
    <n v="9.3701996927803385E-2"/>
    <n v="611"/>
    <n v="9.9836601307189549E-2"/>
    <n v="52145"/>
    <n v="6.2310153884391928E-2"/>
  </r>
  <r>
    <x v="5"/>
    <n v="510"/>
    <n v="7.7554744525547448E-2"/>
    <n v="552"/>
    <n v="7.309322033898305E-2"/>
    <n v="519"/>
    <n v="7.2913739814554651E-2"/>
    <n v="463"/>
    <n v="7.1121351766513061E-2"/>
    <n v="426"/>
    <n v="6.9607843137254904E-2"/>
    <n v="55384"/>
    <n v="6.6180565015498377E-2"/>
  </r>
  <r>
    <x v="6"/>
    <n v="660"/>
    <n v="0.10036496350364964"/>
    <n v="699"/>
    <n v="9.2558262711864403E-2"/>
    <n v="719"/>
    <n v="0.10101152008991289"/>
    <n v="619"/>
    <n v="9.5084485407066058E-2"/>
    <n v="568"/>
    <n v="9.2810457516339873E-2"/>
    <n v="116401"/>
    <n v="0.13909222787030598"/>
  </r>
  <r>
    <x v="7"/>
    <n v="236"/>
    <n v="3.5888077858880776E-2"/>
    <n v="300"/>
    <n v="3.9724576271186439E-2"/>
    <n v="310"/>
    <n v="4.3551559426805282E-2"/>
    <n v="285"/>
    <n v="4.377880184331797E-2"/>
    <n v="279"/>
    <n v="4.5588235294117645E-2"/>
    <n v="236950"/>
    <n v="0.28314106746393075"/>
  </r>
  <r>
    <x v="8"/>
    <n v="1"/>
    <n v="1.5206812652068127E-4"/>
    <n v="0"/>
    <n v="0"/>
    <n v="2"/>
    <n v="2.8097780275358248E-4"/>
    <n v="2"/>
    <n v="3.0721966205837174E-4"/>
    <n v="2"/>
    <n v="3.2679738562091501E-4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">
  <r>
    <x v="0"/>
    <n v="3613"/>
    <n v="0.54942214111922139"/>
    <n v="3904"/>
    <n v="0.51694915254237284"/>
    <n v="3596"/>
    <n v="0.50519808935094124"/>
    <n v="3184"/>
    <n v="0.48909370199692781"/>
    <n v="2811"/>
    <n v="0.45931372549019606"/>
    <n v="398271"/>
    <n v="0.47591000666776601"/>
  </r>
  <r>
    <x v="1"/>
    <n v="1415"/>
    <n v="0.215176399026764"/>
    <n v="1777"/>
    <n v="0.23530190677966101"/>
    <n v="1717"/>
    <n v="0.24121944366395054"/>
    <n v="1717"/>
    <n v="0.26374807987711213"/>
    <n v="1860"/>
    <n v="0.30392156862745096"/>
    <n v="318674"/>
    <n v="0.38079635591053246"/>
  </r>
  <r>
    <x v="2"/>
    <n v="455"/>
    <n v="6.9190997566909981E-2"/>
    <n v="539"/>
    <n v="7.1371822033898302E-2"/>
    <n v="562"/>
    <n v="7.8954762573756679E-2"/>
    <n v="485"/>
    <n v="7.4500768049155147E-2"/>
    <n v="480"/>
    <n v="7.8431372549019607E-2"/>
    <n v="43085"/>
    <n v="5.1483996166632011E-2"/>
  </r>
  <r>
    <x v="3"/>
    <n v="169"/>
    <n v="2.5699513381995134E-2"/>
    <n v="196"/>
    <n v="2.5953389830508475E-2"/>
    <n v="181"/>
    <n v="2.5428491149199213E-2"/>
    <n v="175"/>
    <n v="2.6881720430107527E-2"/>
    <n v="153"/>
    <n v="2.5000000000000001E-2"/>
    <n v="21251"/>
    <n v="2.5393673030917881E-2"/>
  </r>
  <r>
    <x v="4"/>
    <n v="61"/>
    <n v="9.276155717761558E-3"/>
    <n v="89"/>
    <n v="1.1784957627118644E-2"/>
    <n v="76"/>
    <n v="1.0677156504636133E-2"/>
    <n v="69"/>
    <n v="1.0599078341013824E-2"/>
    <n v="54"/>
    <n v="8.8235294117647058E-3"/>
    <n v="6071"/>
    <n v="7.254481623015503E-3"/>
  </r>
  <r>
    <x v="5"/>
    <n v="230"/>
    <n v="3.497566909975669E-2"/>
    <n v="280"/>
    <n v="3.7076271186440676E-2"/>
    <n v="250"/>
    <n v="3.5122225344197809E-2"/>
    <n v="202"/>
    <n v="3.1029185867895544E-2"/>
    <n v="188"/>
    <n v="3.0718954248366011E-2"/>
    <n v="23365"/>
    <n v="2.7919776498395197E-2"/>
  </r>
  <r>
    <x v="6"/>
    <n v="45"/>
    <n v="6.8430656934306573E-3"/>
    <n v="53"/>
    <n v="7.0180084745762716E-3"/>
    <n v="46"/>
    <n v="6.4624894633323968E-3"/>
    <n v="48"/>
    <n v="7.3732718894009217E-3"/>
    <n v="38"/>
    <n v="6.2091503267973852E-3"/>
    <n v="2305"/>
    <n v="2.7543370352579037E-3"/>
  </r>
  <r>
    <x v="7"/>
    <n v="118"/>
    <n v="1.7944038929440388E-2"/>
    <n v="121"/>
    <n v="1.6022245762711863E-2"/>
    <n v="162"/>
    <n v="2.275920202304018E-2"/>
    <n v="232"/>
    <n v="3.5637480798771125E-2"/>
    <n v="265"/>
    <n v="4.3300653594771241E-2"/>
    <n v="22553"/>
    <n v="2.6949485100291326E-2"/>
  </r>
  <r>
    <x v="8"/>
    <n v="470"/>
    <n v="7.1472019464720191E-2"/>
    <n v="593"/>
    <n v="7.852224576271187E-2"/>
    <n v="528"/>
    <n v="7.4178139926945774E-2"/>
    <n v="398"/>
    <n v="6.1136712749615976E-2"/>
    <n v="271"/>
    <n v="4.4281045751633989E-2"/>
    <n v="1287"/>
    <n v="1.5378879671917233E-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">
  <r>
    <x v="0"/>
    <n v="4386"/>
    <n v="0.66697080291970801"/>
    <n v="4993"/>
    <n v="0.66114936440677963"/>
    <n v="4584"/>
    <n v="0.644001123911211"/>
    <n v="4149"/>
    <n v="0.63732718894009222"/>
    <n v="3814"/>
    <n v="0.62320261437908497"/>
    <n v="425726"/>
    <n v="0.50871708836104401"/>
  </r>
  <r>
    <x v="1"/>
    <n v="2148"/>
    <n v="0.32664233576642338"/>
    <n v="2478"/>
    <n v="0.328125"/>
    <n v="2459"/>
    <n v="0.34546220848552966"/>
    <n v="2288"/>
    <n v="0.35145929339477727"/>
    <n v="2246"/>
    <n v="0.36699346405228755"/>
    <n v="411136"/>
    <n v="0.49128291163895599"/>
  </r>
  <r>
    <x v="2"/>
    <n v="42"/>
    <n v="6.3868613138686131E-3"/>
    <n v="81"/>
    <n v="1.0725635593220338E-2"/>
    <n v="75"/>
    <n v="1.0536667603259343E-2"/>
    <n v="73"/>
    <n v="1.1213517665130568E-2"/>
    <n v="60"/>
    <n v="9.8039215686274508E-3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7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A1:AE7" firstHeaderRow="1" firstDataRow="2" firstDataCol="1"/>
  <pivotFields count="13">
    <pivotField axis="axisCol" showAll="0">
      <items count="4">
        <item x="0"/>
        <item x="1"/>
        <item x="2"/>
        <item t="default"/>
      </items>
    </pivotField>
    <pivotField dataField="1"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0"/>
  </colFields>
  <colItems count="4">
    <i>
      <x/>
    </i>
    <i>
      <x v="1"/>
    </i>
    <i>
      <x v="2"/>
    </i>
    <i t="grand">
      <x/>
    </i>
  </colItems>
  <dataFields count="5">
    <dataField name=" AY07-08#" fld="1" baseField="0" baseItem="0"/>
    <dataField name=" AY08-09#" fld="3" baseField="0" baseItem="0"/>
    <dataField name=" AY09-10#" fld="5" baseField="0" baseItem="0"/>
    <dataField name=" AY10-11#" fld="7" baseField="0" baseItem="0"/>
    <dataField name=" AY11-12#" fld="9" baseField="0" baseItem="0"/>
  </dataFields>
  <chartFormats count="4">
    <chartFormat chart="0" format="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7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8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4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A1:AK7" firstHeaderRow="1" firstDataRow="2" firstDataCol="1"/>
  <pivotFields count="13">
    <pivotField axis="axisCol" showAll="0" sortType="descending">
      <items count="10">
        <item x="2"/>
        <item x="3"/>
        <item x="5"/>
        <item x="1"/>
        <item x="7"/>
        <item x="4"/>
        <item x="6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0"/>
  </colFields>
  <colItems count="10">
    <i>
      <x v="8"/>
    </i>
    <i>
      <x v="3"/>
    </i>
    <i>
      <x v="7"/>
    </i>
    <i>
      <x/>
    </i>
    <i>
      <x v="2"/>
    </i>
    <i>
      <x v="1"/>
    </i>
    <i>
      <x v="4"/>
    </i>
    <i>
      <x v="5"/>
    </i>
    <i>
      <x v="6"/>
    </i>
    <i t="grand">
      <x/>
    </i>
  </colItems>
  <dataFields count="5">
    <dataField name=" AY07-08#" fld="1" baseField="0" baseItem="0"/>
    <dataField name=" AY08-09#" fld="3" baseField="0" baseItem="0"/>
    <dataField name=" AY09-10#" fld="5" baseField="0" baseItem="0"/>
    <dataField name=" AY10-11#" fld="7" baseField="0" baseItem="0"/>
    <dataField name=" AY11-12#" fld="9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1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A1:AK7" firstHeaderRow="1" firstDataRow="2" firstDataCol="1"/>
  <pivotFields count="13">
    <pivotField axis="axisCol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0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5">
    <dataField name=" AY07-08#" fld="1" baseField="0" baseItem="0"/>
    <dataField name=" AY08-09#" fld="3" baseField="0" baseItem="0"/>
    <dataField name=" AY09-10#" fld="5" baseField="0" baseItem="0"/>
    <dataField name=" AY10-11#" fld="7" baseField="0" baseItem="0"/>
    <dataField name=" AY11-12#" fld="9" baseField="0" baseItem="0"/>
  </dataFields>
  <chartFormats count="1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8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ensus.gov/acs/www/about_the_survey/american_community_survey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8"/>
  <sheetViews>
    <sheetView tabSelected="1" workbookViewId="0">
      <selection activeCell="P8" sqref="P8"/>
    </sheetView>
  </sheetViews>
  <sheetFormatPr defaultRowHeight="15" x14ac:dyDescent="0.25"/>
  <cols>
    <col min="1" max="1" width="20.5703125" customWidth="1"/>
    <col min="2" max="2" width="6.42578125" bestFit="1" customWidth="1"/>
    <col min="3" max="3" width="5.7109375" bestFit="1" customWidth="1"/>
    <col min="4" max="4" width="6.42578125" bestFit="1" customWidth="1"/>
    <col min="5" max="5" width="5.7109375" bestFit="1" customWidth="1"/>
    <col min="6" max="6" width="6.42578125" bestFit="1" customWidth="1"/>
    <col min="7" max="7" width="5.7109375" bestFit="1" customWidth="1"/>
    <col min="8" max="8" width="6.42578125" bestFit="1" customWidth="1"/>
    <col min="9" max="9" width="5.7109375" bestFit="1" customWidth="1"/>
    <col min="10" max="10" width="6.42578125" bestFit="1" customWidth="1"/>
    <col min="11" max="11" width="5.7109375" bestFit="1" customWidth="1"/>
    <col min="12" max="12" width="7.85546875" bestFit="1" customWidth="1"/>
    <col min="13" max="13" width="5.7109375" bestFit="1" customWidth="1"/>
    <col min="14" max="14" width="9.85546875" bestFit="1" customWidth="1"/>
  </cols>
  <sheetData>
    <row r="1" spans="1:14" ht="15.75" customHeight="1" thickBot="1" x14ac:dyDescent="0.3">
      <c r="A1" s="134" t="s">
        <v>0</v>
      </c>
      <c r="B1" s="131" t="s">
        <v>59</v>
      </c>
      <c r="C1" s="132"/>
      <c r="D1" s="132"/>
      <c r="E1" s="132"/>
      <c r="F1" s="132"/>
      <c r="G1" s="132"/>
      <c r="H1" s="132"/>
      <c r="I1" s="132"/>
      <c r="J1" s="132"/>
      <c r="K1" s="133"/>
      <c r="L1" s="123" t="s">
        <v>1</v>
      </c>
      <c r="M1" s="124"/>
      <c r="N1" s="24" t="s">
        <v>2</v>
      </c>
    </row>
    <row r="2" spans="1:14" ht="15.75" customHeight="1" thickBot="1" x14ac:dyDescent="0.3">
      <c r="A2" s="135"/>
      <c r="B2" s="127" t="s">
        <v>3</v>
      </c>
      <c r="C2" s="128"/>
      <c r="D2" s="127" t="s">
        <v>4</v>
      </c>
      <c r="E2" s="128"/>
      <c r="F2" s="127" t="s">
        <v>5</v>
      </c>
      <c r="G2" s="128"/>
      <c r="H2" s="127" t="s">
        <v>6</v>
      </c>
      <c r="I2" s="128"/>
      <c r="J2" s="127" t="s">
        <v>7</v>
      </c>
      <c r="K2" s="128"/>
      <c r="L2" s="125" t="s">
        <v>40</v>
      </c>
      <c r="M2" s="126"/>
      <c r="N2" s="25" t="s">
        <v>8</v>
      </c>
    </row>
    <row r="3" spans="1:14" ht="15.75" thickBot="1" x14ac:dyDescent="0.3">
      <c r="A3" s="3" t="s">
        <v>9</v>
      </c>
      <c r="B3" s="17" t="s">
        <v>10</v>
      </c>
      <c r="C3" s="18" t="s">
        <v>11</v>
      </c>
      <c r="D3" s="17" t="s">
        <v>10</v>
      </c>
      <c r="E3" s="18" t="s">
        <v>11</v>
      </c>
      <c r="F3" s="17" t="s">
        <v>10</v>
      </c>
      <c r="G3" s="18" t="s">
        <v>11</v>
      </c>
      <c r="H3" s="17" t="s">
        <v>10</v>
      </c>
      <c r="I3" s="18" t="s">
        <v>11</v>
      </c>
      <c r="J3" s="17" t="s">
        <v>10</v>
      </c>
      <c r="K3" s="18" t="s">
        <v>11</v>
      </c>
      <c r="L3" s="29" t="s">
        <v>10</v>
      </c>
      <c r="M3" s="64" t="s">
        <v>11</v>
      </c>
      <c r="N3" s="35" t="s">
        <v>11</v>
      </c>
    </row>
    <row r="4" spans="1:14" x14ac:dyDescent="0.25">
      <c r="A4" s="36" t="s">
        <v>12</v>
      </c>
      <c r="B4" s="39">
        <f>gender!A3</f>
        <v>4386</v>
      </c>
      <c r="C4" s="59">
        <f>B4/B$7</f>
        <v>0.66697080291970801</v>
      </c>
      <c r="D4" s="39">
        <f>gender!B3</f>
        <v>4993</v>
      </c>
      <c r="E4" s="59">
        <f>D4/D$7</f>
        <v>0.66114936440677963</v>
      </c>
      <c r="F4" s="39">
        <f>gender!C3</f>
        <v>4584</v>
      </c>
      <c r="G4" s="59">
        <f>F4/F$7</f>
        <v>0.644001123911211</v>
      </c>
      <c r="H4" s="39">
        <f>gender!D3</f>
        <v>4149</v>
      </c>
      <c r="I4" s="59">
        <f>H4/H$7</f>
        <v>0.63732718894009222</v>
      </c>
      <c r="J4" s="62">
        <f>gender!E3</f>
        <v>3814</v>
      </c>
      <c r="K4" s="63">
        <f>J4/J$7</f>
        <v>0.62320261437908497</v>
      </c>
      <c r="L4" s="65">
        <v>425726</v>
      </c>
      <c r="M4" s="66">
        <f>L4/L$7</f>
        <v>0.50871708836104401</v>
      </c>
      <c r="N4" s="71">
        <f>K4-M4</f>
        <v>0.11448552601804096</v>
      </c>
    </row>
    <row r="5" spans="1:14" x14ac:dyDescent="0.25">
      <c r="A5" s="37" t="s">
        <v>13</v>
      </c>
      <c r="B5" s="40">
        <f>gender!A4</f>
        <v>2148</v>
      </c>
      <c r="C5" s="60">
        <f>B5/B$7</f>
        <v>0.32664233576642338</v>
      </c>
      <c r="D5" s="40">
        <f>gender!B4</f>
        <v>2478</v>
      </c>
      <c r="E5" s="60">
        <f>D5/D$7</f>
        <v>0.328125</v>
      </c>
      <c r="F5" s="40">
        <f>gender!C4</f>
        <v>2459</v>
      </c>
      <c r="G5" s="60">
        <f>F5/F$7</f>
        <v>0.34546220848552966</v>
      </c>
      <c r="H5" s="40">
        <f>gender!D4</f>
        <v>2288</v>
      </c>
      <c r="I5" s="60">
        <f>H5/H$7</f>
        <v>0.35145929339477727</v>
      </c>
      <c r="J5" s="40">
        <f>gender!E4</f>
        <v>2246</v>
      </c>
      <c r="K5" s="60">
        <f>J5/J$7</f>
        <v>0.36699346405228755</v>
      </c>
      <c r="L5" s="67">
        <v>411136</v>
      </c>
      <c r="M5" s="68">
        <f>L5/L$7</f>
        <v>0.49128291163895599</v>
      </c>
      <c r="N5" s="72">
        <f>K5-M5</f>
        <v>-0.12428944758666843</v>
      </c>
    </row>
    <row r="6" spans="1:14" ht="15.75" thickBot="1" x14ac:dyDescent="0.3">
      <c r="A6" s="38" t="s">
        <v>14</v>
      </c>
      <c r="B6" s="41">
        <f>gender!A5</f>
        <v>42</v>
      </c>
      <c r="C6" s="61">
        <f>B6/B$7</f>
        <v>6.3868613138686131E-3</v>
      </c>
      <c r="D6" s="41">
        <f>gender!B5</f>
        <v>81</v>
      </c>
      <c r="E6" s="61">
        <f>D6/D$7</f>
        <v>1.0725635593220338E-2</v>
      </c>
      <c r="F6" s="41">
        <f>gender!C5</f>
        <v>75</v>
      </c>
      <c r="G6" s="61">
        <f>F6/F$7</f>
        <v>1.0536667603259343E-2</v>
      </c>
      <c r="H6" s="41">
        <f>gender!D5</f>
        <v>73</v>
      </c>
      <c r="I6" s="61">
        <f>H6/H$7</f>
        <v>1.1213517665130568E-2</v>
      </c>
      <c r="J6" s="41">
        <f>gender!E5</f>
        <v>60</v>
      </c>
      <c r="K6" s="61">
        <f>J6/J$7</f>
        <v>9.8039215686274508E-3</v>
      </c>
      <c r="L6" s="69">
        <v>0</v>
      </c>
      <c r="M6" s="70">
        <f>L6/L$7</f>
        <v>0</v>
      </c>
      <c r="N6" s="73">
        <f>K6-M6</f>
        <v>9.8039215686274508E-3</v>
      </c>
    </row>
    <row r="7" spans="1:14" ht="16.5" thickTop="1" thickBot="1" x14ac:dyDescent="0.3">
      <c r="A7" s="20" t="s">
        <v>15</v>
      </c>
      <c r="B7" s="27">
        <f>SUM(B4:B6)</f>
        <v>6576</v>
      </c>
      <c r="C7" s="21"/>
      <c r="D7" s="27">
        <f>SUM(D4:D6)</f>
        <v>7552</v>
      </c>
      <c r="E7" s="21"/>
      <c r="F7" s="27">
        <f>SUM(F4:F6)</f>
        <v>7118</v>
      </c>
      <c r="G7" s="21"/>
      <c r="H7" s="27">
        <f>SUM(H4:H6)</f>
        <v>6510</v>
      </c>
      <c r="I7" s="21"/>
      <c r="J7" s="27">
        <f>SUM(J4:J6)</f>
        <v>6120</v>
      </c>
      <c r="K7" s="19"/>
      <c r="L7" s="32">
        <f>SUM(L4:L6)</f>
        <v>836862</v>
      </c>
      <c r="M7" s="22"/>
      <c r="N7" s="22"/>
    </row>
    <row r="8" spans="1:14" s="31" customFormat="1" x14ac:dyDescent="0.25">
      <c r="A8" s="109" t="s">
        <v>52</v>
      </c>
      <c r="B8" s="46"/>
      <c r="C8" s="10"/>
      <c r="D8" s="46"/>
      <c r="E8" s="10"/>
      <c r="F8" s="46"/>
      <c r="G8" s="10"/>
      <c r="H8" s="46"/>
      <c r="I8" s="10"/>
      <c r="J8" s="46"/>
      <c r="K8" s="10"/>
      <c r="L8" s="47"/>
      <c r="M8" s="22"/>
      <c r="N8" s="22"/>
    </row>
    <row r="9" spans="1:14" s="31" customFormat="1" ht="15.75" thickBot="1" x14ac:dyDescent="0.3">
      <c r="A9" s="4"/>
      <c r="B9" s="46"/>
      <c r="C9" s="10"/>
      <c r="D9" s="46"/>
      <c r="E9" s="10"/>
      <c r="F9" s="46"/>
      <c r="G9" s="10"/>
      <c r="H9" s="46"/>
      <c r="I9" s="10"/>
      <c r="J9" s="46"/>
      <c r="K9" s="10"/>
      <c r="L9" s="47"/>
      <c r="M9" s="22"/>
      <c r="N9" s="22"/>
    </row>
    <row r="10" spans="1:14" s="31" customFormat="1" ht="15.75" thickBot="1" x14ac:dyDescent="0.3">
      <c r="A10" s="57"/>
      <c r="B10" s="116" t="str">
        <f>B1</f>
        <v>5 Year MSJC Online Data</v>
      </c>
      <c r="C10" s="116"/>
      <c r="D10" s="116"/>
      <c r="E10" s="116"/>
      <c r="F10" s="116"/>
      <c r="G10" s="116"/>
      <c r="H10" s="116"/>
      <c r="I10" s="116"/>
      <c r="J10" s="116"/>
      <c r="K10" s="117"/>
      <c r="L10" s="123" t="s">
        <v>1</v>
      </c>
      <c r="M10" s="124"/>
      <c r="N10" s="24" t="s">
        <v>2</v>
      </c>
    </row>
    <row r="11" spans="1:14" ht="15.75" thickBot="1" x14ac:dyDescent="0.3">
      <c r="A11" s="74"/>
      <c r="B11" s="127" t="s">
        <v>3</v>
      </c>
      <c r="C11" s="128"/>
      <c r="D11" s="127" t="s">
        <v>4</v>
      </c>
      <c r="E11" s="128"/>
      <c r="F11" s="127" t="s">
        <v>5</v>
      </c>
      <c r="G11" s="128"/>
      <c r="H11" s="127" t="s">
        <v>6</v>
      </c>
      <c r="I11" s="128"/>
      <c r="J11" s="127" t="s">
        <v>7</v>
      </c>
      <c r="K11" s="128"/>
      <c r="L11" s="125" t="s">
        <v>40</v>
      </c>
      <c r="M11" s="126"/>
      <c r="N11" s="25" t="s">
        <v>8</v>
      </c>
    </row>
    <row r="12" spans="1:14" ht="15.75" thickBot="1" x14ac:dyDescent="0.3">
      <c r="A12" s="75" t="s">
        <v>16</v>
      </c>
      <c r="B12" s="17" t="s">
        <v>10</v>
      </c>
      <c r="C12" s="18" t="s">
        <v>11</v>
      </c>
      <c r="D12" s="17" t="s">
        <v>10</v>
      </c>
      <c r="E12" s="18" t="s">
        <v>11</v>
      </c>
      <c r="F12" s="17" t="s">
        <v>10</v>
      </c>
      <c r="G12" s="18" t="s">
        <v>11</v>
      </c>
      <c r="H12" s="17" t="s">
        <v>10</v>
      </c>
      <c r="I12" s="18" t="s">
        <v>11</v>
      </c>
      <c r="J12" s="17" t="s">
        <v>10</v>
      </c>
      <c r="K12" s="18" t="s">
        <v>11</v>
      </c>
      <c r="L12" s="29" t="s">
        <v>10</v>
      </c>
      <c r="M12" s="64" t="s">
        <v>11</v>
      </c>
      <c r="N12" s="30" t="s">
        <v>11</v>
      </c>
    </row>
    <row r="13" spans="1:14" x14ac:dyDescent="0.25">
      <c r="A13" s="14" t="s">
        <v>17</v>
      </c>
      <c r="B13" s="11">
        <f>ethnic!A3</f>
        <v>3613</v>
      </c>
      <c r="C13" s="60">
        <f t="shared" ref="C13:C21" si="0">B13/(SUM(B$13:B$21))</f>
        <v>0.54942214111922139</v>
      </c>
      <c r="D13" s="11">
        <f>ethnic!B3</f>
        <v>3904</v>
      </c>
      <c r="E13" s="60">
        <f t="shared" ref="E13:E21" si="1">D13/(SUM(D$13:D$21))</f>
        <v>0.51694915254237284</v>
      </c>
      <c r="F13" s="11">
        <f>ethnic!C3</f>
        <v>3596</v>
      </c>
      <c r="G13" s="60">
        <f t="shared" ref="G13:G21" si="2">F13/(SUM(F$13:F$21))</f>
        <v>0.50519808935094124</v>
      </c>
      <c r="H13" s="11">
        <f>ethnic!D3</f>
        <v>3184</v>
      </c>
      <c r="I13" s="60">
        <f t="shared" ref="I13:I21" si="3">H13/(SUM(H$13:H$21))</f>
        <v>0.48909370199692781</v>
      </c>
      <c r="J13" s="11">
        <f>ethnic!E3</f>
        <v>2811</v>
      </c>
      <c r="K13" s="60">
        <f t="shared" ref="K13:K21" si="4">J13/(SUM(J$13:J$21))</f>
        <v>0.45931372549019606</v>
      </c>
      <c r="L13" s="67">
        <v>398271</v>
      </c>
      <c r="M13" s="68">
        <f t="shared" ref="M13:M21" si="5">L13/(SUM(L$13:L$21))</f>
        <v>0.47591000666776601</v>
      </c>
      <c r="N13" s="72">
        <f t="shared" ref="N13:N21" si="6">K13-M13</f>
        <v>-1.6596281177569949E-2</v>
      </c>
    </row>
    <row r="14" spans="1:14" x14ac:dyDescent="0.25">
      <c r="A14" s="15" t="s">
        <v>18</v>
      </c>
      <c r="B14" s="11">
        <f>ethnic!A4</f>
        <v>1415</v>
      </c>
      <c r="C14" s="60">
        <f t="shared" si="0"/>
        <v>0.215176399026764</v>
      </c>
      <c r="D14" s="11">
        <f>ethnic!B4</f>
        <v>1777</v>
      </c>
      <c r="E14" s="60">
        <f t="shared" si="1"/>
        <v>0.23530190677966101</v>
      </c>
      <c r="F14" s="11">
        <f>ethnic!C4</f>
        <v>1717</v>
      </c>
      <c r="G14" s="60">
        <f t="shared" si="2"/>
        <v>0.24121944366395054</v>
      </c>
      <c r="H14" s="11">
        <f>ethnic!D4</f>
        <v>1717</v>
      </c>
      <c r="I14" s="60">
        <f t="shared" si="3"/>
        <v>0.26374807987711213</v>
      </c>
      <c r="J14" s="11">
        <f>ethnic!E4</f>
        <v>1860</v>
      </c>
      <c r="K14" s="60">
        <f t="shared" si="4"/>
        <v>0.30392156862745096</v>
      </c>
      <c r="L14" s="67">
        <v>318674</v>
      </c>
      <c r="M14" s="68">
        <f t="shared" si="5"/>
        <v>0.38079635591053246</v>
      </c>
      <c r="N14" s="72">
        <f t="shared" si="6"/>
        <v>-7.6874787283081503E-2</v>
      </c>
    </row>
    <row r="15" spans="1:14" x14ac:dyDescent="0.25">
      <c r="A15" s="15" t="s">
        <v>19</v>
      </c>
      <c r="B15" s="11">
        <f>ethnic!A5</f>
        <v>455</v>
      </c>
      <c r="C15" s="60">
        <f t="shared" si="0"/>
        <v>6.9190997566909981E-2</v>
      </c>
      <c r="D15" s="11">
        <f>ethnic!B5</f>
        <v>539</v>
      </c>
      <c r="E15" s="60">
        <f t="shared" si="1"/>
        <v>7.1371822033898302E-2</v>
      </c>
      <c r="F15" s="11">
        <f>ethnic!C5</f>
        <v>562</v>
      </c>
      <c r="G15" s="60">
        <f t="shared" si="2"/>
        <v>7.8954762573756679E-2</v>
      </c>
      <c r="H15" s="11">
        <f>ethnic!D5</f>
        <v>485</v>
      </c>
      <c r="I15" s="60">
        <f t="shared" si="3"/>
        <v>7.4500768049155147E-2</v>
      </c>
      <c r="J15" s="11">
        <f>ethnic!E5</f>
        <v>480</v>
      </c>
      <c r="K15" s="60">
        <f t="shared" si="4"/>
        <v>7.8431372549019607E-2</v>
      </c>
      <c r="L15" s="67">
        <v>43085</v>
      </c>
      <c r="M15" s="68">
        <f t="shared" si="5"/>
        <v>5.1483996166632011E-2</v>
      </c>
      <c r="N15" s="72">
        <f t="shared" si="6"/>
        <v>2.6947376382387596E-2</v>
      </c>
    </row>
    <row r="16" spans="1:14" x14ac:dyDescent="0.25">
      <c r="A16" s="15" t="s">
        <v>20</v>
      </c>
      <c r="B16" s="11">
        <f>ethnic!A6</f>
        <v>169</v>
      </c>
      <c r="C16" s="60">
        <f t="shared" si="0"/>
        <v>2.5699513381995134E-2</v>
      </c>
      <c r="D16" s="11">
        <f>ethnic!B6</f>
        <v>196</v>
      </c>
      <c r="E16" s="60">
        <f t="shared" si="1"/>
        <v>2.5953389830508475E-2</v>
      </c>
      <c r="F16" s="11">
        <f>ethnic!C6</f>
        <v>181</v>
      </c>
      <c r="G16" s="60">
        <f t="shared" si="2"/>
        <v>2.5428491149199213E-2</v>
      </c>
      <c r="H16" s="11">
        <f>ethnic!D6</f>
        <v>175</v>
      </c>
      <c r="I16" s="60">
        <f t="shared" si="3"/>
        <v>2.6881720430107527E-2</v>
      </c>
      <c r="J16" s="11">
        <f>ethnic!E6</f>
        <v>153</v>
      </c>
      <c r="K16" s="60">
        <f t="shared" si="4"/>
        <v>2.5000000000000001E-2</v>
      </c>
      <c r="L16" s="67">
        <v>21251</v>
      </c>
      <c r="M16" s="68">
        <f t="shared" si="5"/>
        <v>2.5393673030917881E-2</v>
      </c>
      <c r="N16" s="72">
        <f t="shared" si="6"/>
        <v>-3.9367303091788E-4</v>
      </c>
    </row>
    <row r="17" spans="1:17" x14ac:dyDescent="0.25">
      <c r="A17" s="15" t="s">
        <v>21</v>
      </c>
      <c r="B17" s="11">
        <f>ethnic!A7</f>
        <v>61</v>
      </c>
      <c r="C17" s="60">
        <f t="shared" si="0"/>
        <v>9.276155717761558E-3</v>
      </c>
      <c r="D17" s="11">
        <f>ethnic!B7</f>
        <v>89</v>
      </c>
      <c r="E17" s="60">
        <f t="shared" si="1"/>
        <v>1.1784957627118644E-2</v>
      </c>
      <c r="F17" s="11">
        <f>ethnic!C7</f>
        <v>76</v>
      </c>
      <c r="G17" s="60">
        <f t="shared" si="2"/>
        <v>1.0677156504636133E-2</v>
      </c>
      <c r="H17" s="11">
        <f>ethnic!D7</f>
        <v>69</v>
      </c>
      <c r="I17" s="60">
        <f t="shared" si="3"/>
        <v>1.0599078341013824E-2</v>
      </c>
      <c r="J17" s="11">
        <f>ethnic!E7</f>
        <v>54</v>
      </c>
      <c r="K17" s="60">
        <f t="shared" si="4"/>
        <v>8.8235294117647058E-3</v>
      </c>
      <c r="L17" s="67">
        <v>6071</v>
      </c>
      <c r="M17" s="68">
        <f t="shared" si="5"/>
        <v>7.254481623015503E-3</v>
      </c>
      <c r="N17" s="72">
        <f t="shared" si="6"/>
        <v>1.5690477887492027E-3</v>
      </c>
    </row>
    <row r="18" spans="1:17" x14ac:dyDescent="0.25">
      <c r="A18" s="15" t="s">
        <v>22</v>
      </c>
      <c r="B18" s="11">
        <f>ethnic!A8</f>
        <v>230</v>
      </c>
      <c r="C18" s="60">
        <f t="shared" si="0"/>
        <v>3.497566909975669E-2</v>
      </c>
      <c r="D18" s="11">
        <f>ethnic!B8</f>
        <v>280</v>
      </c>
      <c r="E18" s="60">
        <f t="shared" si="1"/>
        <v>3.7076271186440676E-2</v>
      </c>
      <c r="F18" s="11">
        <f>ethnic!C8</f>
        <v>250</v>
      </c>
      <c r="G18" s="60">
        <f t="shared" si="2"/>
        <v>3.5122225344197809E-2</v>
      </c>
      <c r="H18" s="11">
        <f>ethnic!D8</f>
        <v>202</v>
      </c>
      <c r="I18" s="60">
        <f t="shared" si="3"/>
        <v>3.1029185867895544E-2</v>
      </c>
      <c r="J18" s="11">
        <f>ethnic!E8</f>
        <v>188</v>
      </c>
      <c r="K18" s="60">
        <f t="shared" si="4"/>
        <v>3.0718954248366011E-2</v>
      </c>
      <c r="L18" s="67">
        <v>23365</v>
      </c>
      <c r="M18" s="68">
        <f t="shared" si="5"/>
        <v>2.7919776498395197E-2</v>
      </c>
      <c r="N18" s="72">
        <f t="shared" si="6"/>
        <v>2.7991777499708145E-3</v>
      </c>
    </row>
    <row r="19" spans="1:17" x14ac:dyDescent="0.25">
      <c r="A19" s="15" t="s">
        <v>23</v>
      </c>
      <c r="B19" s="11">
        <f>ethnic!A9</f>
        <v>45</v>
      </c>
      <c r="C19" s="60">
        <f t="shared" si="0"/>
        <v>6.8430656934306573E-3</v>
      </c>
      <c r="D19" s="11">
        <f>ethnic!B9</f>
        <v>53</v>
      </c>
      <c r="E19" s="60">
        <f t="shared" si="1"/>
        <v>7.0180084745762716E-3</v>
      </c>
      <c r="F19" s="11">
        <f>ethnic!C9</f>
        <v>46</v>
      </c>
      <c r="G19" s="60">
        <f t="shared" si="2"/>
        <v>6.4624894633323968E-3</v>
      </c>
      <c r="H19" s="11">
        <f>ethnic!D9</f>
        <v>48</v>
      </c>
      <c r="I19" s="60">
        <f t="shared" si="3"/>
        <v>7.3732718894009217E-3</v>
      </c>
      <c r="J19" s="11">
        <f>ethnic!E9</f>
        <v>38</v>
      </c>
      <c r="K19" s="60">
        <f t="shared" si="4"/>
        <v>6.2091503267973852E-3</v>
      </c>
      <c r="L19" s="67">
        <v>2305</v>
      </c>
      <c r="M19" s="68">
        <f t="shared" si="5"/>
        <v>2.7543370352579037E-3</v>
      </c>
      <c r="N19" s="72">
        <f t="shared" si="6"/>
        <v>3.4548132915394815E-3</v>
      </c>
    </row>
    <row r="20" spans="1:17" x14ac:dyDescent="0.25">
      <c r="A20" s="15" t="s">
        <v>24</v>
      </c>
      <c r="B20" s="11">
        <f>ethnic!A10</f>
        <v>118</v>
      </c>
      <c r="C20" s="60">
        <f t="shared" si="0"/>
        <v>1.7944038929440388E-2</v>
      </c>
      <c r="D20" s="11">
        <f>ethnic!B10</f>
        <v>121</v>
      </c>
      <c r="E20" s="60">
        <f t="shared" si="1"/>
        <v>1.6022245762711863E-2</v>
      </c>
      <c r="F20" s="11">
        <f>ethnic!C10</f>
        <v>162</v>
      </c>
      <c r="G20" s="60">
        <f t="shared" si="2"/>
        <v>2.275920202304018E-2</v>
      </c>
      <c r="H20" s="11">
        <f>ethnic!D10</f>
        <v>232</v>
      </c>
      <c r="I20" s="60">
        <f t="shared" si="3"/>
        <v>3.5637480798771125E-2</v>
      </c>
      <c r="J20" s="11">
        <f>ethnic!E10</f>
        <v>265</v>
      </c>
      <c r="K20" s="60">
        <f t="shared" si="4"/>
        <v>4.3300653594771241E-2</v>
      </c>
      <c r="L20" s="67">
        <v>22553</v>
      </c>
      <c r="M20" s="68">
        <f t="shared" si="5"/>
        <v>2.6949485100291326E-2</v>
      </c>
      <c r="N20" s="72">
        <f t="shared" si="6"/>
        <v>1.6351168494479915E-2</v>
      </c>
      <c r="P20" s="56"/>
      <c r="Q20" s="56"/>
    </row>
    <row r="21" spans="1:17" ht="15.75" thickBot="1" x14ac:dyDescent="0.3">
      <c r="A21" s="16" t="s">
        <v>14</v>
      </c>
      <c r="B21" s="12">
        <f>ethnic!A11</f>
        <v>470</v>
      </c>
      <c r="C21" s="61">
        <f t="shared" si="0"/>
        <v>7.1472019464720191E-2</v>
      </c>
      <c r="D21" s="12">
        <f>ethnic!B11</f>
        <v>593</v>
      </c>
      <c r="E21" s="61">
        <f t="shared" si="1"/>
        <v>7.852224576271187E-2</v>
      </c>
      <c r="F21" s="12">
        <f>ethnic!C11</f>
        <v>528</v>
      </c>
      <c r="G21" s="61">
        <f t="shared" si="2"/>
        <v>7.4178139926945774E-2</v>
      </c>
      <c r="H21" s="12">
        <f>ethnic!D11</f>
        <v>398</v>
      </c>
      <c r="I21" s="61">
        <f t="shared" si="3"/>
        <v>6.1136712749615976E-2</v>
      </c>
      <c r="J21" s="12">
        <f>ethnic!E11</f>
        <v>271</v>
      </c>
      <c r="K21" s="61">
        <f t="shared" si="4"/>
        <v>4.4281045751633989E-2</v>
      </c>
      <c r="L21" s="76">
        <v>1287</v>
      </c>
      <c r="M21" s="70">
        <f t="shared" si="5"/>
        <v>1.5378879671917233E-3</v>
      </c>
      <c r="N21" s="73">
        <f t="shared" si="6"/>
        <v>4.2743157784442265E-2</v>
      </c>
      <c r="Q21" s="31"/>
    </row>
    <row r="22" spans="1:17" s="31" customFormat="1" x14ac:dyDescent="0.25">
      <c r="A22" s="109" t="s">
        <v>52</v>
      </c>
      <c r="B22" s="10"/>
      <c r="C22" s="111"/>
      <c r="D22" s="10"/>
      <c r="E22" s="111"/>
      <c r="F22" s="10"/>
      <c r="G22" s="111"/>
      <c r="H22" s="10"/>
      <c r="I22" s="111"/>
      <c r="J22" s="10"/>
      <c r="K22" s="111"/>
      <c r="L22" s="112"/>
      <c r="M22" s="113"/>
      <c r="N22" s="114"/>
    </row>
    <row r="23" spans="1:17" ht="15.75" thickBot="1" x14ac:dyDescent="0.3">
      <c r="P23" s="56"/>
      <c r="Q23" s="56"/>
    </row>
    <row r="24" spans="1:17" s="31" customFormat="1" ht="15.75" customHeight="1" thickBot="1" x14ac:dyDescent="0.3">
      <c r="A24" s="57"/>
      <c r="B24" s="118" t="str">
        <f>B10</f>
        <v>5 Year MSJC Online Data</v>
      </c>
      <c r="C24" s="116"/>
      <c r="D24" s="116"/>
      <c r="E24" s="116"/>
      <c r="F24" s="116"/>
      <c r="G24" s="116"/>
      <c r="H24" s="116"/>
      <c r="I24" s="116"/>
      <c r="J24" s="116"/>
      <c r="K24" s="117"/>
      <c r="L24" s="123" t="s">
        <v>1</v>
      </c>
      <c r="M24" s="124"/>
      <c r="N24" s="24" t="s">
        <v>2</v>
      </c>
    </row>
    <row r="25" spans="1:17" s="31" customFormat="1" ht="15.75" thickBot="1" x14ac:dyDescent="0.3">
      <c r="A25" s="58"/>
      <c r="B25" s="127" t="s">
        <v>3</v>
      </c>
      <c r="C25" s="128"/>
      <c r="D25" s="127" t="s">
        <v>4</v>
      </c>
      <c r="E25" s="128"/>
      <c r="F25" s="127" t="s">
        <v>5</v>
      </c>
      <c r="G25" s="128"/>
      <c r="H25" s="127" t="s">
        <v>6</v>
      </c>
      <c r="I25" s="128"/>
      <c r="J25" s="127" t="s">
        <v>7</v>
      </c>
      <c r="K25" s="128"/>
      <c r="L25" s="125" t="s">
        <v>40</v>
      </c>
      <c r="M25" s="126"/>
      <c r="N25" s="25" t="s">
        <v>8</v>
      </c>
    </row>
    <row r="26" spans="1:17" ht="15.75" thickBot="1" x14ac:dyDescent="0.3">
      <c r="A26" s="33" t="s">
        <v>25</v>
      </c>
      <c r="B26" s="34" t="s">
        <v>10</v>
      </c>
      <c r="C26" s="77" t="s">
        <v>11</v>
      </c>
      <c r="D26" s="34" t="s">
        <v>10</v>
      </c>
      <c r="E26" s="77" t="s">
        <v>11</v>
      </c>
      <c r="F26" s="34" t="s">
        <v>10</v>
      </c>
      <c r="G26" s="77" t="s">
        <v>11</v>
      </c>
      <c r="H26" s="34" t="s">
        <v>10</v>
      </c>
      <c r="I26" s="77" t="s">
        <v>11</v>
      </c>
      <c r="J26" s="34" t="s">
        <v>10</v>
      </c>
      <c r="K26" s="77" t="s">
        <v>11</v>
      </c>
      <c r="L26" s="78" t="s">
        <v>10</v>
      </c>
      <c r="M26" s="79" t="s">
        <v>11</v>
      </c>
      <c r="N26" s="80" t="s">
        <v>11</v>
      </c>
    </row>
    <row r="27" spans="1:17" x14ac:dyDescent="0.25">
      <c r="A27" s="8" t="s">
        <v>26</v>
      </c>
      <c r="B27" s="11">
        <f>VLOOKUP($A27,'[1]age headcounts'!$A:$G,HLOOKUP(Sheet2!B$1,'[1]age headcounts'!$1:$2,2,FALSE),FALSE)</f>
        <v>145</v>
      </c>
      <c r="C27" s="60">
        <f>B27/(SUM(B$27:B$35))</f>
        <v>2.2049878345498784E-2</v>
      </c>
      <c r="D27" s="11">
        <f>VLOOKUP($A27,'[1]age headcounts'!$A:$G,HLOOKUP(Sheet2!D$1,'[1]age headcounts'!$1:$2,2,FALSE),FALSE)</f>
        <v>149</v>
      </c>
      <c r="E27" s="60">
        <f>D27/(SUM(D$27:D$35))</f>
        <v>1.9729872881355932E-2</v>
      </c>
      <c r="F27" s="11">
        <f>VLOOKUP($A27,'[1]age headcounts'!$A:$G,HLOOKUP(Sheet2!F$1,'[1]age headcounts'!$1:$2,2,FALSE),FALSE)</f>
        <v>75</v>
      </c>
      <c r="G27" s="60">
        <f>F27/(SUM(F$27:F$35))</f>
        <v>1.0536667603259343E-2</v>
      </c>
      <c r="H27" s="11">
        <f>VLOOKUP($A27,'[1]age headcounts'!$A:$G,HLOOKUP(Sheet2!H$1,'[1]age headcounts'!$1:$2,2,FALSE),FALSE)</f>
        <v>48</v>
      </c>
      <c r="I27" s="60">
        <f>H27/(SUM(H$27:H$35))</f>
        <v>7.3732718894009217E-3</v>
      </c>
      <c r="J27" s="11">
        <f>VLOOKUP($A27,'[1]age headcounts'!$A:$G,HLOOKUP(Sheet2!J$1,'[1]age headcounts'!$1:$2,2,FALSE),FALSE)</f>
        <v>23</v>
      </c>
      <c r="K27" s="60">
        <f>J27/(SUM(J$27:J$35))</f>
        <v>3.758169934640523E-3</v>
      </c>
      <c r="L27" s="67">
        <v>245217</v>
      </c>
      <c r="M27" s="68">
        <f>L27/SUM(L$27:L$35)</f>
        <v>0.29301963764635031</v>
      </c>
      <c r="N27" s="72">
        <f>K27-M27</f>
        <v>-0.2892614677117098</v>
      </c>
    </row>
    <row r="28" spans="1:17" x14ac:dyDescent="0.25">
      <c r="A28" s="6" t="s">
        <v>27</v>
      </c>
      <c r="B28" s="11">
        <f>VLOOKUP($A28,'[1]age headcounts'!$A:$G,HLOOKUP(Sheet2!B$1,'[1]age headcounts'!$1:$2,2,FALSE),FALSE)</f>
        <v>994</v>
      </c>
      <c r="C28" s="60">
        <f t="shared" ref="C28:C35" si="7">B28/(SUM(B$27:B$35))</f>
        <v>0.15115571776155717</v>
      </c>
      <c r="D28" s="11">
        <f>VLOOKUP($A28,'[1]age headcounts'!$A:$G,HLOOKUP(Sheet2!D$1,'[1]age headcounts'!$1:$2,2,FALSE),FALSE)</f>
        <v>1261</v>
      </c>
      <c r="E28" s="60">
        <f t="shared" ref="E28:E35" si="8">D28/(SUM(D$27:D$35))</f>
        <v>0.16697563559322035</v>
      </c>
      <c r="F28" s="11">
        <f>VLOOKUP($A28,'[1]age headcounts'!$A:$G,HLOOKUP(Sheet2!F$1,'[1]age headcounts'!$1:$2,2,FALSE),FALSE)</f>
        <v>1031</v>
      </c>
      <c r="G28" s="60">
        <f t="shared" ref="G28:G35" si="9">F28/(SUM(F$27:F$35))</f>
        <v>0.14484405731947175</v>
      </c>
      <c r="H28" s="11">
        <f>VLOOKUP($A28,'[1]age headcounts'!$A:$G,HLOOKUP(Sheet2!H$1,'[1]age headcounts'!$1:$2,2,FALSE),FALSE)</f>
        <v>807</v>
      </c>
      <c r="I28" s="60">
        <f t="shared" ref="I28:I35" si="10">H28/(SUM(H$27:H$35))</f>
        <v>0.12396313364055299</v>
      </c>
      <c r="J28" s="11">
        <f>VLOOKUP($A28,'[1]age headcounts'!$A:$G,HLOOKUP(Sheet2!J$1,'[1]age headcounts'!$1:$2,2,FALSE),FALSE)</f>
        <v>706</v>
      </c>
      <c r="K28" s="60">
        <f t="shared" ref="K28:K35" si="11">J28/(SUM(J$27:J$35))</f>
        <v>0.11535947712418301</v>
      </c>
      <c r="L28" s="67">
        <v>25706</v>
      </c>
      <c r="M28" s="68">
        <f t="shared" ref="M28:M35" si="12">L28/SUM(L$27:L$35)</f>
        <v>3.0717131378889231E-2</v>
      </c>
      <c r="N28" s="72">
        <f t="shared" ref="N28:N35" si="13">K28-M28</f>
        <v>8.4642345745293779E-2</v>
      </c>
    </row>
    <row r="29" spans="1:17" x14ac:dyDescent="0.25">
      <c r="A29" s="7" t="s">
        <v>28</v>
      </c>
      <c r="B29" s="11">
        <f>VLOOKUP($A29,'[1]age headcounts'!$A:$G,HLOOKUP(Sheet2!B$1,'[1]age headcounts'!$1:$2,2,FALSE),FALSE)</f>
        <v>2434</v>
      </c>
      <c r="C29" s="60">
        <f t="shared" si="7"/>
        <v>0.37013381995133821</v>
      </c>
      <c r="D29" s="11">
        <f>VLOOKUP($A29,'[1]age headcounts'!$A:$G,HLOOKUP(Sheet2!D$1,'[1]age headcounts'!$1:$2,2,FALSE),FALSE)</f>
        <v>2781</v>
      </c>
      <c r="E29" s="60">
        <f t="shared" si="8"/>
        <v>0.3682468220338983</v>
      </c>
      <c r="F29" s="11">
        <f>VLOOKUP($A29,'[1]age headcounts'!$A:$G,HLOOKUP(Sheet2!F$1,'[1]age headcounts'!$1:$2,2,FALSE),FALSE)</f>
        <v>2729</v>
      </c>
      <c r="G29" s="60">
        <f t="shared" si="9"/>
        <v>0.3833942118572633</v>
      </c>
      <c r="H29" s="11">
        <f>VLOOKUP($A29,'[1]age headcounts'!$A:$G,HLOOKUP(Sheet2!H$1,'[1]age headcounts'!$1:$2,2,FALSE),FALSE)</f>
        <v>2613</v>
      </c>
      <c r="I29" s="60">
        <f t="shared" si="10"/>
        <v>0.40138248847926267</v>
      </c>
      <c r="J29" s="11">
        <f>VLOOKUP($A29,'[1]age headcounts'!$A:$G,HLOOKUP(Sheet2!J$1,'[1]age headcounts'!$1:$2,2,FALSE),FALSE)</f>
        <v>2476</v>
      </c>
      <c r="K29" s="60">
        <f t="shared" si="11"/>
        <v>0.40457516339869282</v>
      </c>
      <c r="L29" s="67">
        <v>52893</v>
      </c>
      <c r="M29" s="68">
        <f t="shared" si="12"/>
        <v>6.3203969113187125E-2</v>
      </c>
      <c r="N29" s="72">
        <f t="shared" si="13"/>
        <v>0.34137119428550566</v>
      </c>
    </row>
    <row r="30" spans="1:17" x14ac:dyDescent="0.25">
      <c r="A30" s="7" t="s">
        <v>29</v>
      </c>
      <c r="B30" s="11">
        <f>VLOOKUP($A30,'[1]age headcounts'!$A:$G,HLOOKUP(Sheet2!B$1,'[1]age headcounts'!$1:$2,2,FALSE),FALSE)</f>
        <v>974</v>
      </c>
      <c r="C30" s="60">
        <f t="shared" si="7"/>
        <v>0.14811435523114355</v>
      </c>
      <c r="D30" s="11">
        <f>VLOOKUP($A30,'[1]age headcounts'!$A:$G,HLOOKUP(Sheet2!D$1,'[1]age headcounts'!$1:$2,2,FALSE),FALSE)</f>
        <v>1100</v>
      </c>
      <c r="E30" s="60">
        <f t="shared" si="8"/>
        <v>0.14565677966101695</v>
      </c>
      <c r="F30" s="11">
        <f>VLOOKUP($A30,'[1]age headcounts'!$A:$G,HLOOKUP(Sheet2!F$1,'[1]age headcounts'!$1:$2,2,FALSE),FALSE)</f>
        <v>1067</v>
      </c>
      <c r="G30" s="60">
        <f t="shared" si="9"/>
        <v>0.14990165776903625</v>
      </c>
      <c r="H30" s="11">
        <f>VLOOKUP($A30,'[1]age headcounts'!$A:$G,HLOOKUP(Sheet2!H$1,'[1]age headcounts'!$1:$2,2,FALSE),FALSE)</f>
        <v>1063</v>
      </c>
      <c r="I30" s="60">
        <f t="shared" si="10"/>
        <v>0.16328725038402458</v>
      </c>
      <c r="J30" s="11">
        <f>VLOOKUP($A30,'[1]age headcounts'!$A:$G,HLOOKUP(Sheet2!J$1,'[1]age headcounts'!$1:$2,2,FALSE),FALSE)</f>
        <v>1029</v>
      </c>
      <c r="K30" s="60">
        <f t="shared" si="11"/>
        <v>0.1681372549019608</v>
      </c>
      <c r="L30" s="67">
        <v>52166</v>
      </c>
      <c r="M30" s="68">
        <f t="shared" si="12"/>
        <v>6.2335247627446341E-2</v>
      </c>
      <c r="N30" s="72">
        <f t="shared" si="13"/>
        <v>0.10580200727451446</v>
      </c>
    </row>
    <row r="31" spans="1:17" x14ac:dyDescent="0.25">
      <c r="A31" s="7" t="s">
        <v>30</v>
      </c>
      <c r="B31" s="11">
        <f>VLOOKUP($A31,'[1]age headcounts'!$A:$G,HLOOKUP(Sheet2!B$1,'[1]age headcounts'!$1:$2,2,FALSE),FALSE)</f>
        <v>622</v>
      </c>
      <c r="C31" s="60">
        <f t="shared" si="7"/>
        <v>9.4586374695863742E-2</v>
      </c>
      <c r="D31" s="11">
        <f>VLOOKUP($A31,'[1]age headcounts'!$A:$G,HLOOKUP(Sheet2!D$1,'[1]age headcounts'!$1:$2,2,FALSE),FALSE)</f>
        <v>710</v>
      </c>
      <c r="E31" s="60">
        <f t="shared" si="8"/>
        <v>9.4014830508474576E-2</v>
      </c>
      <c r="F31" s="11">
        <f>VLOOKUP($A31,'[1]age headcounts'!$A:$G,HLOOKUP(Sheet2!F$1,'[1]age headcounts'!$1:$2,2,FALSE),FALSE)</f>
        <v>666</v>
      </c>
      <c r="G31" s="60">
        <f t="shared" si="9"/>
        <v>9.3565608316942966E-2</v>
      </c>
      <c r="H31" s="11">
        <f>VLOOKUP($A31,'[1]age headcounts'!$A:$G,HLOOKUP(Sheet2!H$1,'[1]age headcounts'!$1:$2,2,FALSE),FALSE)</f>
        <v>610</v>
      </c>
      <c r="I31" s="60">
        <f t="shared" si="10"/>
        <v>9.3701996927803385E-2</v>
      </c>
      <c r="J31" s="11">
        <f>VLOOKUP($A31,'[1]age headcounts'!$A:$G,HLOOKUP(Sheet2!J$1,'[1]age headcounts'!$1:$2,2,FALSE),FALSE)</f>
        <v>611</v>
      </c>
      <c r="K31" s="60">
        <f t="shared" si="11"/>
        <v>9.9836601307189549E-2</v>
      </c>
      <c r="L31" s="67">
        <v>52145</v>
      </c>
      <c r="M31" s="68">
        <f t="shared" si="12"/>
        <v>6.2310153884391928E-2</v>
      </c>
      <c r="N31" s="72">
        <f t="shared" si="13"/>
        <v>3.7526447422797621E-2</v>
      </c>
    </row>
    <row r="32" spans="1:17" x14ac:dyDescent="0.25">
      <c r="A32" s="7" t="s">
        <v>31</v>
      </c>
      <c r="B32" s="11">
        <f>VLOOKUP($A32,'[1]age headcounts'!$A:$G,HLOOKUP(Sheet2!B$1,'[1]age headcounts'!$1:$2,2,FALSE),FALSE)</f>
        <v>510</v>
      </c>
      <c r="C32" s="60">
        <f t="shared" si="7"/>
        <v>7.7554744525547448E-2</v>
      </c>
      <c r="D32" s="11">
        <f>VLOOKUP($A32,'[1]age headcounts'!$A:$G,HLOOKUP(Sheet2!D$1,'[1]age headcounts'!$1:$2,2,FALSE),FALSE)</f>
        <v>552</v>
      </c>
      <c r="E32" s="60">
        <f t="shared" si="8"/>
        <v>7.309322033898305E-2</v>
      </c>
      <c r="F32" s="11">
        <f>VLOOKUP($A32,'[1]age headcounts'!$A:$G,HLOOKUP(Sheet2!F$1,'[1]age headcounts'!$1:$2,2,FALSE),FALSE)</f>
        <v>519</v>
      </c>
      <c r="G32" s="60">
        <f t="shared" si="9"/>
        <v>7.2913739814554651E-2</v>
      </c>
      <c r="H32" s="11">
        <f>VLOOKUP($A32,'[1]age headcounts'!$A:$G,HLOOKUP(Sheet2!H$1,'[1]age headcounts'!$1:$2,2,FALSE),FALSE)</f>
        <v>463</v>
      </c>
      <c r="I32" s="60">
        <f t="shared" si="10"/>
        <v>7.1121351766513061E-2</v>
      </c>
      <c r="J32" s="11">
        <f>VLOOKUP($A32,'[1]age headcounts'!$A:$G,HLOOKUP(Sheet2!J$1,'[1]age headcounts'!$1:$2,2,FALSE),FALSE)</f>
        <v>426</v>
      </c>
      <c r="K32" s="60">
        <f t="shared" si="11"/>
        <v>6.9607843137254904E-2</v>
      </c>
      <c r="L32" s="67">
        <v>55384</v>
      </c>
      <c r="M32" s="68">
        <f t="shared" si="12"/>
        <v>6.6180565015498377E-2</v>
      </c>
      <c r="N32" s="72">
        <f t="shared" si="13"/>
        <v>3.4272781217565274E-3</v>
      </c>
    </row>
    <row r="33" spans="1:14" x14ac:dyDescent="0.25">
      <c r="A33" s="5" t="s">
        <v>32</v>
      </c>
      <c r="B33" s="11">
        <f>VLOOKUP($A33,'[1]age headcounts'!$A:$G,HLOOKUP(Sheet2!B$1,'[1]age headcounts'!$1:$2,2,FALSE),FALSE)</f>
        <v>660</v>
      </c>
      <c r="C33" s="60">
        <f t="shared" si="7"/>
        <v>0.10036496350364964</v>
      </c>
      <c r="D33" s="11">
        <f>VLOOKUP($A33,'[1]age headcounts'!$A:$G,HLOOKUP(Sheet2!D$1,'[1]age headcounts'!$1:$2,2,FALSE),FALSE)</f>
        <v>699</v>
      </c>
      <c r="E33" s="60">
        <f t="shared" si="8"/>
        <v>9.2558262711864403E-2</v>
      </c>
      <c r="F33" s="11">
        <f>VLOOKUP($A33,'[1]age headcounts'!$A:$G,HLOOKUP(Sheet2!F$1,'[1]age headcounts'!$1:$2,2,FALSE),FALSE)</f>
        <v>719</v>
      </c>
      <c r="G33" s="60">
        <f t="shared" si="9"/>
        <v>0.10101152008991289</v>
      </c>
      <c r="H33" s="11">
        <f>VLOOKUP($A33,'[1]age headcounts'!$A:$G,HLOOKUP(Sheet2!H$1,'[1]age headcounts'!$1:$2,2,FALSE),FALSE)</f>
        <v>619</v>
      </c>
      <c r="I33" s="60">
        <f t="shared" si="10"/>
        <v>9.5084485407066058E-2</v>
      </c>
      <c r="J33" s="11">
        <f>VLOOKUP($A33,'[1]age headcounts'!$A:$G,HLOOKUP(Sheet2!J$1,'[1]age headcounts'!$1:$2,2,FALSE),FALSE)</f>
        <v>568</v>
      </c>
      <c r="K33" s="60">
        <f t="shared" si="11"/>
        <v>9.2810457516339873E-2</v>
      </c>
      <c r="L33" s="67">
        <v>116401</v>
      </c>
      <c r="M33" s="68">
        <f t="shared" si="12"/>
        <v>0.13909222787030598</v>
      </c>
      <c r="N33" s="72">
        <f t="shared" si="13"/>
        <v>-4.6281770353966106E-2</v>
      </c>
    </row>
    <row r="34" spans="1:14" x14ac:dyDescent="0.25">
      <c r="A34" s="5" t="s">
        <v>33</v>
      </c>
      <c r="B34" s="11">
        <f>VLOOKUP($A34,'[1]age headcounts'!$A:$G,HLOOKUP(Sheet2!B$1,'[1]age headcounts'!$1:$2,2,FALSE),FALSE)</f>
        <v>236</v>
      </c>
      <c r="C34" s="60">
        <f t="shared" si="7"/>
        <v>3.5888077858880776E-2</v>
      </c>
      <c r="D34" s="11">
        <f>VLOOKUP($A34,'[1]age headcounts'!$A:$G,HLOOKUP(Sheet2!D$1,'[1]age headcounts'!$1:$2,2,FALSE),FALSE)</f>
        <v>300</v>
      </c>
      <c r="E34" s="60">
        <f t="shared" si="8"/>
        <v>3.9724576271186439E-2</v>
      </c>
      <c r="F34" s="11">
        <f>VLOOKUP($A34,'[1]age headcounts'!$A:$G,HLOOKUP(Sheet2!F$1,'[1]age headcounts'!$1:$2,2,FALSE),FALSE)</f>
        <v>310</v>
      </c>
      <c r="G34" s="60">
        <f t="shared" si="9"/>
        <v>4.3551559426805282E-2</v>
      </c>
      <c r="H34" s="11">
        <f>VLOOKUP($A34,'[1]age headcounts'!$A:$G,HLOOKUP(Sheet2!H$1,'[1]age headcounts'!$1:$2,2,FALSE),FALSE)</f>
        <v>285</v>
      </c>
      <c r="I34" s="60">
        <f t="shared" si="10"/>
        <v>4.377880184331797E-2</v>
      </c>
      <c r="J34" s="11">
        <f>VLOOKUP($A34,'[1]age headcounts'!$A:$G,HLOOKUP(Sheet2!J$1,'[1]age headcounts'!$1:$2,2,FALSE),FALSE)</f>
        <v>279</v>
      </c>
      <c r="K34" s="60">
        <f t="shared" si="11"/>
        <v>4.5588235294117645E-2</v>
      </c>
      <c r="L34" s="67">
        <v>236950</v>
      </c>
      <c r="M34" s="68">
        <f t="shared" si="12"/>
        <v>0.28314106746393075</v>
      </c>
      <c r="N34" s="72">
        <f t="shared" si="13"/>
        <v>-0.2375528321698131</v>
      </c>
    </row>
    <row r="35" spans="1:14" ht="15.75" thickBot="1" x14ac:dyDescent="0.3">
      <c r="A35" s="15" t="s">
        <v>14</v>
      </c>
      <c r="B35" s="12">
        <f>VLOOKUP($A35,'[1]age headcounts'!$A:$G,HLOOKUP(Sheet2!B$1,'[1]age headcounts'!$1:$2,2,FALSE),FALSE)</f>
        <v>1</v>
      </c>
      <c r="C35" s="61">
        <f t="shared" si="7"/>
        <v>1.5206812652068127E-4</v>
      </c>
      <c r="D35" s="12">
        <f>VLOOKUP($A35,'[1]age headcounts'!$A:$G,HLOOKUP(Sheet2!D$1,'[1]age headcounts'!$1:$2,2,FALSE),FALSE)</f>
        <v>0</v>
      </c>
      <c r="E35" s="61">
        <f t="shared" si="8"/>
        <v>0</v>
      </c>
      <c r="F35" s="12">
        <f>VLOOKUP($A35,'[1]age headcounts'!$A:$G,HLOOKUP(Sheet2!F$1,'[1]age headcounts'!$1:$2,2,FALSE),FALSE)</f>
        <v>2</v>
      </c>
      <c r="G35" s="61">
        <f t="shared" si="9"/>
        <v>2.8097780275358248E-4</v>
      </c>
      <c r="H35" s="12">
        <f>VLOOKUP($A35,'[1]age headcounts'!$A:$G,HLOOKUP(Sheet2!H$1,'[1]age headcounts'!$1:$2,2,FALSE),FALSE)</f>
        <v>2</v>
      </c>
      <c r="I35" s="61">
        <f t="shared" si="10"/>
        <v>3.0721966205837174E-4</v>
      </c>
      <c r="J35" s="12">
        <f>VLOOKUP($A35,'[1]age headcounts'!$A:$G,HLOOKUP(Sheet2!J$1,'[1]age headcounts'!$1:$2,2,FALSE),FALSE)</f>
        <v>2</v>
      </c>
      <c r="K35" s="61">
        <f t="shared" si="11"/>
        <v>3.2679738562091501E-4</v>
      </c>
      <c r="L35" s="69">
        <v>0</v>
      </c>
      <c r="M35" s="70">
        <f t="shared" si="12"/>
        <v>0</v>
      </c>
      <c r="N35" s="73">
        <f t="shared" si="13"/>
        <v>3.2679738562091501E-4</v>
      </c>
    </row>
    <row r="36" spans="1:14" x14ac:dyDescent="0.25">
      <c r="A36" s="43" t="s">
        <v>34</v>
      </c>
      <c r="B36" s="115">
        <v>27.37596958174905</v>
      </c>
      <c r="C36" s="55"/>
      <c r="D36" s="115">
        <v>27.216763771186439</v>
      </c>
      <c r="E36" s="55"/>
      <c r="F36" s="115">
        <v>27.637998875772904</v>
      </c>
      <c r="G36" s="55"/>
      <c r="H36" s="115">
        <v>27.637676705593115</v>
      </c>
      <c r="I36" s="55"/>
      <c r="J36" s="115">
        <v>27.809741745668518</v>
      </c>
      <c r="K36" s="45"/>
      <c r="L36" s="22"/>
      <c r="M36" s="22"/>
      <c r="N36" s="22"/>
    </row>
    <row r="37" spans="1:14" s="31" customFormat="1" x14ac:dyDescent="0.25">
      <c r="A37" s="44" t="s">
        <v>39</v>
      </c>
      <c r="B37" s="9">
        <v>22</v>
      </c>
      <c r="C37" s="10"/>
      <c r="D37" s="9">
        <v>22</v>
      </c>
      <c r="E37" s="10"/>
      <c r="F37" s="9">
        <v>22</v>
      </c>
      <c r="G37" s="10"/>
      <c r="H37" s="9">
        <v>22</v>
      </c>
      <c r="I37" s="10"/>
      <c r="J37" s="9">
        <v>22</v>
      </c>
      <c r="K37" s="10"/>
      <c r="L37" s="10"/>
      <c r="M37" s="22"/>
      <c r="N37" s="22"/>
    </row>
    <row r="38" spans="1:14" s="31" customFormat="1" x14ac:dyDescent="0.25">
      <c r="A38" s="109" t="s">
        <v>52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22"/>
      <c r="N38" s="22"/>
    </row>
    <row r="39" spans="1:14" s="31" customFormat="1" ht="15.75" thickBot="1" x14ac:dyDescent="0.3">
      <c r="A39" s="42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22"/>
      <c r="M39" s="22"/>
      <c r="N39" s="22"/>
    </row>
    <row r="40" spans="1:14" s="31" customFormat="1" ht="15.75" thickBot="1" x14ac:dyDescent="0.3">
      <c r="A40" s="57"/>
      <c r="B40" s="118" t="s">
        <v>43</v>
      </c>
      <c r="C40" s="116"/>
      <c r="D40" s="116"/>
      <c r="E40" s="116"/>
      <c r="F40" s="116"/>
      <c r="G40" s="116"/>
      <c r="H40" s="116"/>
      <c r="I40" s="116"/>
      <c r="J40" s="116"/>
      <c r="K40" s="116"/>
      <c r="L40" s="119" t="s">
        <v>42</v>
      </c>
      <c r="M40" s="120"/>
      <c r="N40" s="89" t="s">
        <v>2</v>
      </c>
    </row>
    <row r="41" spans="1:14" ht="15.75" thickBot="1" x14ac:dyDescent="0.3">
      <c r="A41" s="74"/>
      <c r="B41" s="127" t="s">
        <v>3</v>
      </c>
      <c r="C41" s="128"/>
      <c r="D41" s="127" t="s">
        <v>4</v>
      </c>
      <c r="E41" s="128"/>
      <c r="F41" s="127" t="s">
        <v>5</v>
      </c>
      <c r="G41" s="128"/>
      <c r="H41" s="129" t="s">
        <v>6</v>
      </c>
      <c r="I41" s="130"/>
      <c r="J41" s="127" t="s">
        <v>7</v>
      </c>
      <c r="K41" s="128"/>
      <c r="L41" s="121" t="s">
        <v>41</v>
      </c>
      <c r="M41" s="122"/>
      <c r="N41" s="90" t="s">
        <v>8</v>
      </c>
    </row>
    <row r="42" spans="1:14" ht="15.75" thickBot="1" x14ac:dyDescent="0.3">
      <c r="A42" s="81" t="s">
        <v>35</v>
      </c>
      <c r="B42" s="83" t="s">
        <v>10</v>
      </c>
      <c r="C42" s="84" t="s">
        <v>11</v>
      </c>
      <c r="D42" s="83" t="s">
        <v>10</v>
      </c>
      <c r="E42" s="84" t="s">
        <v>11</v>
      </c>
      <c r="F42" s="83" t="s">
        <v>10</v>
      </c>
      <c r="G42" s="84" t="s">
        <v>11</v>
      </c>
      <c r="H42" s="83" t="s">
        <v>10</v>
      </c>
      <c r="I42" s="51" t="s">
        <v>11</v>
      </c>
      <c r="J42" s="83" t="s">
        <v>10</v>
      </c>
      <c r="K42" s="84" t="s">
        <v>11</v>
      </c>
      <c r="L42" s="49" t="s">
        <v>10</v>
      </c>
      <c r="M42" s="50" t="s">
        <v>11</v>
      </c>
      <c r="N42" s="91" t="s">
        <v>10</v>
      </c>
    </row>
    <row r="43" spans="1:14" ht="15.75" thickBot="1" x14ac:dyDescent="0.3">
      <c r="A43" s="82" t="s">
        <v>44</v>
      </c>
      <c r="B43" s="85"/>
      <c r="C43" s="86"/>
      <c r="D43" s="85"/>
      <c r="E43" s="86"/>
      <c r="F43" s="85"/>
      <c r="G43" s="86"/>
      <c r="H43" s="85"/>
      <c r="I43" s="87"/>
      <c r="J43" s="85"/>
      <c r="K43" s="86"/>
      <c r="L43" s="52">
        <v>105412</v>
      </c>
      <c r="M43" s="88">
        <f>L43/L44</f>
        <v>8.1095074304327316E-2</v>
      </c>
      <c r="N43" s="92">
        <f>K43-M43</f>
        <v>-8.1095074304327316E-2</v>
      </c>
    </row>
    <row r="44" spans="1:14" s="31" customFormat="1" ht="15.75" thickBot="1" x14ac:dyDescent="0.3">
      <c r="A44" s="48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53">
        <v>1299857</v>
      </c>
    </row>
    <row r="45" spans="1:14" s="31" customFormat="1" ht="15.75" thickBot="1" x14ac:dyDescent="0.3">
      <c r="A45" s="48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54"/>
    </row>
    <row r="46" spans="1:14" s="31" customFormat="1" x14ac:dyDescent="0.25">
      <c r="A46" s="93" t="s">
        <v>47</v>
      </c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5"/>
      <c r="M46" s="96"/>
      <c r="N46" s="97"/>
    </row>
    <row r="47" spans="1:14" x14ac:dyDescent="0.25">
      <c r="A47" s="98" t="s">
        <v>45</v>
      </c>
      <c r="B47" s="99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100"/>
    </row>
    <row r="48" spans="1:14" ht="15.75" thickBot="1" x14ac:dyDescent="0.3">
      <c r="A48" s="101" t="s">
        <v>46</v>
      </c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3"/>
    </row>
  </sheetData>
  <mergeCells count="33">
    <mergeCell ref="J2:K2"/>
    <mergeCell ref="L2:M2"/>
    <mergeCell ref="B1:K1"/>
    <mergeCell ref="L1:M1"/>
    <mergeCell ref="A1:A2"/>
    <mergeCell ref="B2:C2"/>
    <mergeCell ref="D2:E2"/>
    <mergeCell ref="F2:G2"/>
    <mergeCell ref="H2:I2"/>
    <mergeCell ref="F25:G25"/>
    <mergeCell ref="H25:I25"/>
    <mergeCell ref="J25:K25"/>
    <mergeCell ref="B11:C11"/>
    <mergeCell ref="D11:E11"/>
    <mergeCell ref="F11:G11"/>
    <mergeCell ref="H11:I11"/>
    <mergeCell ref="J11:K11"/>
    <mergeCell ref="B10:K10"/>
    <mergeCell ref="B24:K24"/>
    <mergeCell ref="B40:K40"/>
    <mergeCell ref="L40:M40"/>
    <mergeCell ref="L41:M41"/>
    <mergeCell ref="L10:M10"/>
    <mergeCell ref="L11:M11"/>
    <mergeCell ref="L24:M24"/>
    <mergeCell ref="L25:M25"/>
    <mergeCell ref="B41:C41"/>
    <mergeCell ref="D41:E41"/>
    <mergeCell ref="F41:G41"/>
    <mergeCell ref="H41:I41"/>
    <mergeCell ref="J41:K41"/>
    <mergeCell ref="B25:C25"/>
    <mergeCell ref="D25:E25"/>
  </mergeCells>
  <hyperlinks>
    <hyperlink ref="A48" r:id="rId1"/>
    <hyperlink ref="A8" location="'gender graph'!A1" display="click here for graph"/>
    <hyperlink ref="A22" location="'ethnicity graph'!A1" display="click here for graph"/>
    <hyperlink ref="A38" location="'age graph'!A1" display="click here for graph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A3" sqref="A3"/>
    </sheetView>
  </sheetViews>
  <sheetFormatPr defaultRowHeight="15" x14ac:dyDescent="0.25"/>
  <sheetData>
    <row r="1" spans="1:6" x14ac:dyDescent="0.25">
      <c r="A1" s="26" t="s">
        <v>3</v>
      </c>
      <c r="B1" s="26" t="s">
        <v>4</v>
      </c>
      <c r="C1" s="26" t="s">
        <v>5</v>
      </c>
      <c r="D1" s="26" t="s">
        <v>6</v>
      </c>
      <c r="E1" s="26" t="s">
        <v>7</v>
      </c>
    </row>
    <row r="2" spans="1:6" x14ac:dyDescent="0.25">
      <c r="A2" s="26">
        <v>2007</v>
      </c>
      <c r="B2" s="26">
        <v>2008</v>
      </c>
      <c r="C2" s="26">
        <v>2009</v>
      </c>
      <c r="D2" s="26">
        <v>2010</v>
      </c>
      <c r="E2" s="26">
        <v>2011</v>
      </c>
    </row>
    <row r="3" spans="1:6" x14ac:dyDescent="0.25">
      <c r="A3">
        <f>VLOOKUP($F3,'[2]gender heads'!$A:$G,HLOOKUP(A$2,'[2]gender heads'!$1:$2,2,FALSE),FALSE)</f>
        <v>4386</v>
      </c>
      <c r="B3" s="1">
        <f>VLOOKUP($F3,'[2]gender heads'!$A:$G,HLOOKUP(B$2,'[2]gender heads'!$1:$2,2,FALSE),FALSE)</f>
        <v>4993</v>
      </c>
      <c r="C3" s="1">
        <f>VLOOKUP($F3,'[2]gender heads'!$A:$G,HLOOKUP(C$2,'[2]gender heads'!$1:$2,2,FALSE),FALSE)</f>
        <v>4584</v>
      </c>
      <c r="D3" s="1">
        <f>VLOOKUP($F3,'[2]gender heads'!$A:$G,HLOOKUP(D$2,'[2]gender heads'!$1:$2,2,FALSE),FALSE)</f>
        <v>4149</v>
      </c>
      <c r="E3" s="1">
        <f>VLOOKUP($F3,'[2]gender heads'!$A:$G,HLOOKUP(E$2,'[2]gender heads'!$1:$2,2,FALSE),FALSE)</f>
        <v>3814</v>
      </c>
      <c r="F3" t="s">
        <v>36</v>
      </c>
    </row>
    <row r="4" spans="1:6" x14ac:dyDescent="0.25">
      <c r="A4" s="1">
        <f>VLOOKUP($F4,'[2]gender heads'!$A:$G,HLOOKUP(A$2,'[2]gender heads'!$1:$2,2,FALSE),FALSE)</f>
        <v>2148</v>
      </c>
      <c r="B4" s="1">
        <f>VLOOKUP($F4,'[2]gender heads'!$A:$G,HLOOKUP(B$2,'[2]gender heads'!$1:$2,2,FALSE),FALSE)</f>
        <v>2478</v>
      </c>
      <c r="C4" s="1">
        <f>VLOOKUP($F4,'[2]gender heads'!$A:$G,HLOOKUP(C$2,'[2]gender heads'!$1:$2,2,FALSE),FALSE)</f>
        <v>2459</v>
      </c>
      <c r="D4" s="1">
        <f>VLOOKUP($F4,'[2]gender heads'!$A:$G,HLOOKUP(D$2,'[2]gender heads'!$1:$2,2,FALSE),FALSE)</f>
        <v>2288</v>
      </c>
      <c r="E4" s="1">
        <f>VLOOKUP($F4,'[2]gender heads'!$A:$G,HLOOKUP(E$2,'[2]gender heads'!$1:$2,2,FALSE),FALSE)</f>
        <v>2246</v>
      </c>
      <c r="F4" t="s">
        <v>37</v>
      </c>
    </row>
    <row r="5" spans="1:6" x14ac:dyDescent="0.25">
      <c r="A5" s="1">
        <f>VLOOKUP($F5,'[2]gender heads'!$A:$G,HLOOKUP(A$2,'[2]gender heads'!$1:$2,2,FALSE),FALSE)</f>
        <v>42</v>
      </c>
      <c r="B5" s="1">
        <f>VLOOKUP($F5,'[2]gender heads'!$A:$G,HLOOKUP(B$2,'[2]gender heads'!$1:$2,2,FALSE),FALSE)</f>
        <v>81</v>
      </c>
      <c r="C5" s="1">
        <f>VLOOKUP($F5,'[2]gender heads'!$A:$G,HLOOKUP(C$2,'[2]gender heads'!$1:$2,2,FALSE),FALSE)</f>
        <v>75</v>
      </c>
      <c r="D5" s="1">
        <f>VLOOKUP($F5,'[2]gender heads'!$A:$G,HLOOKUP(D$2,'[2]gender heads'!$1:$2,2,FALSE),FALSE)</f>
        <v>73</v>
      </c>
      <c r="E5" s="1">
        <f>VLOOKUP($F5,'[2]gender heads'!$A:$G,HLOOKUP(E$2,'[2]gender heads'!$1:$2,2,FALSE),FALSE)</f>
        <v>60</v>
      </c>
      <c r="F5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E21" sqref="E21"/>
    </sheetView>
  </sheetViews>
  <sheetFormatPr defaultRowHeight="15" x14ac:dyDescent="0.25"/>
  <cols>
    <col min="1" max="1" width="20.5703125" bestFit="1" customWidth="1"/>
    <col min="6" max="6" width="2.85546875" bestFit="1" customWidth="1"/>
    <col min="7" max="7" width="16.28515625" bestFit="1" customWidth="1"/>
  </cols>
  <sheetData>
    <row r="1" spans="1:9" x14ac:dyDescent="0.25">
      <c r="A1" s="26" t="s">
        <v>3</v>
      </c>
      <c r="B1" s="26" t="s">
        <v>4</v>
      </c>
      <c r="C1" s="26" t="s">
        <v>5</v>
      </c>
      <c r="D1" s="26" t="s">
        <v>6</v>
      </c>
      <c r="E1" s="26" t="s">
        <v>7</v>
      </c>
    </row>
    <row r="2" spans="1:9" x14ac:dyDescent="0.25">
      <c r="A2" s="26">
        <v>2007</v>
      </c>
      <c r="B2" s="26">
        <v>2008</v>
      </c>
      <c r="C2" s="26">
        <v>2009</v>
      </c>
      <c r="D2" s="26">
        <v>2010</v>
      </c>
      <c r="E2" s="26">
        <v>2011</v>
      </c>
    </row>
    <row r="3" spans="1:9" x14ac:dyDescent="0.25">
      <c r="A3">
        <f>VLOOKUP($F3,'[3]Primary Races'!$A:$G,HLOOKUP(A$2,'[3]Primary Races'!$1:$2,2,FALSE),FALSE)</f>
        <v>3613</v>
      </c>
      <c r="B3" s="28">
        <f>VLOOKUP($F3,'[3]Primary Races'!$A:$G,HLOOKUP(B$2,'[3]Primary Races'!$1:$2,2,FALSE),FALSE)</f>
        <v>3904</v>
      </c>
      <c r="C3" s="28">
        <f>VLOOKUP($F3,'[3]Primary Races'!$A:$G,HLOOKUP(C$2,'[3]Primary Races'!$1:$2,2,FALSE),FALSE)</f>
        <v>3596</v>
      </c>
      <c r="D3" s="28">
        <f>VLOOKUP($F3,'[3]Primary Races'!$A:$G,HLOOKUP(D$2,'[3]Primary Races'!$1:$2,2,FALSE),FALSE)</f>
        <v>3184</v>
      </c>
      <c r="E3" s="28">
        <f>VLOOKUP($F3,'[3]Primary Races'!$A:$G,HLOOKUP(E$2,'[3]Primary Races'!$1:$2,2,FALSE),FALSE)</f>
        <v>2811</v>
      </c>
      <c r="F3" t="str">
        <f>MID(G3,1,1)</f>
        <v>W</v>
      </c>
      <c r="G3" s="14" t="s">
        <v>17</v>
      </c>
      <c r="I3" s="14" t="s">
        <v>17</v>
      </c>
    </row>
    <row r="4" spans="1:9" x14ac:dyDescent="0.25">
      <c r="A4">
        <f>VLOOKUP($G4,'[3]hispanic total'!$A:$F,HLOOKUP(A$2,'[3]hispanic total'!$1:$2,2,FALSE),FALSE)</f>
        <v>1415</v>
      </c>
      <c r="B4" s="28">
        <f>VLOOKUP($G4,'[3]hispanic total'!$A:$F,HLOOKUP(B$2,'[3]hispanic total'!$1:$2,2,FALSE),FALSE)</f>
        <v>1777</v>
      </c>
      <c r="C4" s="28">
        <f>VLOOKUP($G4,'[3]hispanic total'!$A:$F,HLOOKUP(C$2,'[3]hispanic total'!$1:$2,2,FALSE),FALSE)</f>
        <v>1717</v>
      </c>
      <c r="D4" s="28">
        <f>VLOOKUP($G4,'[3]hispanic total'!$A:$F,HLOOKUP(D$2,'[3]hispanic total'!$1:$2,2,FALSE),FALSE)</f>
        <v>1717</v>
      </c>
      <c r="E4" s="28">
        <f>VLOOKUP($G4,'[3]hispanic total'!$A:$F,HLOOKUP(E$2,'[3]hispanic total'!$1:$2,2,FALSE),FALSE)</f>
        <v>1860</v>
      </c>
      <c r="F4" s="28" t="str">
        <f>MID(G4,1,1)</f>
        <v>H</v>
      </c>
      <c r="G4" s="15" t="s">
        <v>18</v>
      </c>
      <c r="I4" s="15" t="s">
        <v>18</v>
      </c>
    </row>
    <row r="5" spans="1:9" x14ac:dyDescent="0.25">
      <c r="A5" s="28">
        <f>VLOOKUP($F5,'[3]Primary Races'!$A:$G,HLOOKUP(A$2,'[3]Primary Races'!$1:$2,2,FALSE),FALSE)</f>
        <v>455</v>
      </c>
      <c r="B5" s="28">
        <f>VLOOKUP($F5,'[3]Primary Races'!$A:$G,HLOOKUP(B$2,'[3]Primary Races'!$1:$2,2,FALSE),FALSE)</f>
        <v>539</v>
      </c>
      <c r="C5" s="28">
        <f>VLOOKUP($F5,'[3]Primary Races'!$A:$G,HLOOKUP(C$2,'[3]Primary Races'!$1:$2,2,FALSE),FALSE)</f>
        <v>562</v>
      </c>
      <c r="D5" s="28">
        <f>VLOOKUP($F5,'[3]Primary Races'!$A:$G,HLOOKUP(D$2,'[3]Primary Races'!$1:$2,2,FALSE),FALSE)</f>
        <v>485</v>
      </c>
      <c r="E5" s="28">
        <f>VLOOKUP($F5,'[3]Primary Races'!$A:$G,HLOOKUP(E$2,'[3]Primary Races'!$1:$2,2,FALSE),FALSE)</f>
        <v>480</v>
      </c>
      <c r="F5" s="28" t="s">
        <v>48</v>
      </c>
      <c r="G5" s="15" t="s">
        <v>19</v>
      </c>
      <c r="I5" s="15" t="s">
        <v>19</v>
      </c>
    </row>
    <row r="6" spans="1:9" x14ac:dyDescent="0.25">
      <c r="A6" s="28">
        <f>VLOOKUP($F6,'[3]Primary Races'!$A:$G,HLOOKUP(A$2,'[3]Primary Races'!$1:$2,2,FALSE),FALSE)</f>
        <v>169</v>
      </c>
      <c r="B6" s="28">
        <f>VLOOKUP($F6,'[3]Primary Races'!$A:$G,HLOOKUP(B$2,'[3]Primary Races'!$1:$2,2,FALSE),FALSE)</f>
        <v>196</v>
      </c>
      <c r="C6" s="28">
        <f>VLOOKUP($F6,'[3]Primary Races'!$A:$G,HLOOKUP(C$2,'[3]Primary Races'!$1:$2,2,FALSE),FALSE)</f>
        <v>181</v>
      </c>
      <c r="D6" s="28">
        <f>VLOOKUP($F6,'[3]Primary Races'!$A:$G,HLOOKUP(D$2,'[3]Primary Races'!$1:$2,2,FALSE),FALSE)</f>
        <v>175</v>
      </c>
      <c r="E6" s="28">
        <f>VLOOKUP($F6,'[3]Primary Races'!$A:$G,HLOOKUP(E$2,'[3]Primary Races'!$1:$2,2,FALSE),FALSE)</f>
        <v>153</v>
      </c>
      <c r="F6" s="28" t="str">
        <f t="shared" ref="F6:F9" si="0">MID(G6,1,1)</f>
        <v>A</v>
      </c>
      <c r="G6" s="15" t="s">
        <v>20</v>
      </c>
      <c r="I6" s="15" t="s">
        <v>20</v>
      </c>
    </row>
    <row r="7" spans="1:9" x14ac:dyDescent="0.25">
      <c r="A7" s="28">
        <f>VLOOKUP($F7,'[3]Primary Races'!$A:$G,HLOOKUP(A$2,'[3]Primary Races'!$1:$2,2,FALSE),FALSE)</f>
        <v>61</v>
      </c>
      <c r="B7" s="28">
        <f>VLOOKUP($F7,'[3]Primary Races'!$A:$G,HLOOKUP(B$2,'[3]Primary Races'!$1:$2,2,FALSE),FALSE)</f>
        <v>89</v>
      </c>
      <c r="C7" s="28">
        <f>VLOOKUP($F7,'[3]Primary Races'!$A:$G,HLOOKUP(C$2,'[3]Primary Races'!$1:$2,2,FALSE),FALSE)</f>
        <v>76</v>
      </c>
      <c r="D7" s="28">
        <f>VLOOKUP($F7,'[3]Primary Races'!$A:$G,HLOOKUP(D$2,'[3]Primary Races'!$1:$2,2,FALSE),FALSE)</f>
        <v>69</v>
      </c>
      <c r="E7" s="28">
        <f>VLOOKUP($F7,'[3]Primary Races'!$A:$G,HLOOKUP(E$2,'[3]Primary Races'!$1:$2,2,FALSE),FALSE)</f>
        <v>54</v>
      </c>
      <c r="F7" s="28" t="str">
        <f t="shared" si="0"/>
        <v>N</v>
      </c>
      <c r="G7" s="15" t="s">
        <v>21</v>
      </c>
      <c r="I7" s="15" t="s">
        <v>21</v>
      </c>
    </row>
    <row r="8" spans="1:9" x14ac:dyDescent="0.25">
      <c r="A8" s="28">
        <f>VLOOKUP($F8,'[3]Primary Races'!$A:$G,HLOOKUP(A$2,'[3]Primary Races'!$1:$2,2,FALSE),FALSE)</f>
        <v>230</v>
      </c>
      <c r="B8" s="28">
        <f>VLOOKUP($F8,'[3]Primary Races'!$A:$G,HLOOKUP(B$2,'[3]Primary Races'!$1:$2,2,FALSE),FALSE)</f>
        <v>280</v>
      </c>
      <c r="C8" s="28">
        <f>VLOOKUP($F8,'[3]Primary Races'!$A:$G,HLOOKUP(C$2,'[3]Primary Races'!$1:$2,2,FALSE),FALSE)</f>
        <v>250</v>
      </c>
      <c r="D8" s="28">
        <f>VLOOKUP($F8,'[3]Primary Races'!$A:$G,HLOOKUP(D$2,'[3]Primary Races'!$1:$2,2,FALSE),FALSE)</f>
        <v>202</v>
      </c>
      <c r="E8" s="28">
        <f>VLOOKUP($F8,'[3]Primary Races'!$A:$G,HLOOKUP(E$2,'[3]Primary Races'!$1:$2,2,FALSE),FALSE)</f>
        <v>188</v>
      </c>
      <c r="F8" s="28" t="str">
        <f t="shared" si="0"/>
        <v>F</v>
      </c>
      <c r="G8" s="15" t="s">
        <v>22</v>
      </c>
      <c r="I8" s="15" t="s">
        <v>22</v>
      </c>
    </row>
    <row r="9" spans="1:9" x14ac:dyDescent="0.25">
      <c r="A9" s="28">
        <f>VLOOKUP($F9,'[3]Primary Races'!$A:$G,HLOOKUP(A$2,'[3]Primary Races'!$1:$2,2,FALSE),FALSE)</f>
        <v>45</v>
      </c>
      <c r="B9" s="28">
        <f>VLOOKUP($F9,'[3]Primary Races'!$A:$G,HLOOKUP(B$2,'[3]Primary Races'!$1:$2,2,FALSE),FALSE)</f>
        <v>53</v>
      </c>
      <c r="C9" s="28">
        <f>VLOOKUP($F9,'[3]Primary Races'!$A:$G,HLOOKUP(C$2,'[3]Primary Races'!$1:$2,2,FALSE),FALSE)</f>
        <v>46</v>
      </c>
      <c r="D9" s="28">
        <f>VLOOKUP($F9,'[3]Primary Races'!$A:$G,HLOOKUP(D$2,'[3]Primary Races'!$1:$2,2,FALSE),FALSE)</f>
        <v>48</v>
      </c>
      <c r="E9" s="28">
        <f>VLOOKUP($F9,'[3]Primary Races'!$A:$G,HLOOKUP(E$2,'[3]Primary Races'!$1:$2,2,FALSE),FALSE)</f>
        <v>38</v>
      </c>
      <c r="F9" s="28" t="str">
        <f t="shared" si="0"/>
        <v>P</v>
      </c>
      <c r="G9" s="15" t="s">
        <v>23</v>
      </c>
      <c r="I9" s="15" t="s">
        <v>23</v>
      </c>
    </row>
    <row r="10" spans="1:9" x14ac:dyDescent="0.25">
      <c r="A10" s="28">
        <f>VLOOKUP($F10,'[3]multi race'!$A:$G,HLOOKUP(A$2,'[3]multi race'!$1:$2,2,FALSE),FALSE)</f>
        <v>118</v>
      </c>
      <c r="B10" s="28">
        <f>VLOOKUP($F10,'[3]multi race'!$A:$G,HLOOKUP(B$2,'[3]multi race'!$1:$2,2,FALSE),FALSE)</f>
        <v>121</v>
      </c>
      <c r="C10" s="28">
        <f>VLOOKUP($F10,'[3]multi race'!$A:$G,HLOOKUP(C$2,'[3]multi race'!$1:$2,2,FALSE),FALSE)</f>
        <v>162</v>
      </c>
      <c r="D10" s="28">
        <f>VLOOKUP($F10,'[3]multi race'!$A:$G,HLOOKUP(D$2,'[3]multi race'!$1:$2,2,FALSE),FALSE)</f>
        <v>232</v>
      </c>
      <c r="E10" s="28">
        <f>VLOOKUP($F10,'[3]multi race'!$A:$G,HLOOKUP(E$2,'[3]multi race'!$1:$2,2,FALSE),FALSE)</f>
        <v>265</v>
      </c>
      <c r="F10" s="28" t="str">
        <f>MID(G10,1,1)</f>
        <v>M</v>
      </c>
      <c r="G10" s="15" t="s">
        <v>24</v>
      </c>
      <c r="I10" s="15" t="s">
        <v>24</v>
      </c>
    </row>
    <row r="11" spans="1:9" ht="15.75" thickBot="1" x14ac:dyDescent="0.3">
      <c r="A11" s="28">
        <f>VLOOKUP($F11,[3]unknown!$A:$G,HLOOKUP(A$2,[3]unknown!$1:$2,2,FALSE),FALSE)</f>
        <v>470</v>
      </c>
      <c r="B11" s="28">
        <f>VLOOKUP($F11,[3]unknown!$A:$G,HLOOKUP(B$2,[3]unknown!$1:$2,2,FALSE),FALSE)</f>
        <v>593</v>
      </c>
      <c r="C11" s="28">
        <f>VLOOKUP($F11,[3]unknown!$A:$G,HLOOKUP(C$2,[3]unknown!$1:$2,2,FALSE),FALSE)</f>
        <v>528</v>
      </c>
      <c r="D11" s="28">
        <f>VLOOKUP($F11,[3]unknown!$A:$G,HLOOKUP(D$2,[3]unknown!$1:$2,2,FALSE),FALSE)</f>
        <v>398</v>
      </c>
      <c r="E11" s="28">
        <f>VLOOKUP($F11,[3]unknown!$A:$G,HLOOKUP(E$2,[3]unknown!$1:$2,2,FALSE),FALSE)</f>
        <v>271</v>
      </c>
      <c r="F11" s="28" t="str">
        <f>MID(G11,1,1)</f>
        <v>U</v>
      </c>
      <c r="G11" s="16" t="s">
        <v>14</v>
      </c>
      <c r="I11" s="16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>
      <selection activeCell="D22" sqref="D22"/>
    </sheetView>
  </sheetViews>
  <sheetFormatPr defaultRowHeight="15" x14ac:dyDescent="0.25"/>
  <sheetData>
    <row r="1" spans="1:14" s="31" customFormat="1" ht="15.75" customHeight="1" x14ac:dyDescent="0.25">
      <c r="A1" s="2"/>
      <c r="B1" s="13">
        <v>2007</v>
      </c>
      <c r="C1" s="13"/>
      <c r="D1" s="13">
        <v>2008</v>
      </c>
      <c r="E1" s="13"/>
      <c r="F1" s="13">
        <v>2009</v>
      </c>
      <c r="G1" s="13"/>
      <c r="H1" s="13">
        <v>2010</v>
      </c>
      <c r="I1" s="13"/>
      <c r="J1" s="13">
        <v>2011</v>
      </c>
      <c r="K1" s="13"/>
      <c r="L1" s="23"/>
      <c r="M1" s="23"/>
      <c r="N1" s="2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>
      <selection activeCell="R36" sqref="R36"/>
    </sheetView>
  </sheetViews>
  <sheetFormatPr defaultRowHeight="12.75" x14ac:dyDescent="0.2"/>
  <cols>
    <col min="1" max="1" width="15.28515625" style="104" bestFit="1" customWidth="1"/>
    <col min="2" max="2" width="16.5703125" style="104" bestFit="1" customWidth="1"/>
    <col min="3" max="7" width="12" style="104" bestFit="1" customWidth="1"/>
    <col min="8" max="8" width="10" style="104" bestFit="1" customWidth="1"/>
    <col min="9" max="9" width="12.42578125" style="104" bestFit="1" customWidth="1"/>
    <col min="10" max="11" width="12" style="104" bestFit="1" customWidth="1"/>
    <col min="12" max="12" width="15" style="104" bestFit="1" customWidth="1"/>
    <col min="13" max="13" width="13.7109375" style="104" bestFit="1" customWidth="1"/>
    <col min="14" max="14" width="13.140625" style="104" bestFit="1" customWidth="1"/>
    <col min="15" max="16384" width="9.140625" style="104"/>
  </cols>
  <sheetData>
    <row r="1" spans="1:13" x14ac:dyDescent="0.2">
      <c r="A1" s="105" t="s">
        <v>0</v>
      </c>
      <c r="B1" s="105" t="s">
        <v>43</v>
      </c>
      <c r="C1" s="105"/>
      <c r="D1" s="105"/>
      <c r="E1" s="105"/>
      <c r="F1" s="105"/>
      <c r="G1" s="105"/>
      <c r="H1" s="105"/>
      <c r="I1" s="105"/>
      <c r="J1" s="105"/>
      <c r="K1" s="105"/>
      <c r="L1" s="105" t="s">
        <v>1</v>
      </c>
      <c r="M1" s="105"/>
    </row>
    <row r="2" spans="1:13" x14ac:dyDescent="0.2">
      <c r="A2" s="105"/>
      <c r="B2" s="105" t="s">
        <v>3</v>
      </c>
      <c r="C2" s="105"/>
      <c r="D2" s="105" t="s">
        <v>4</v>
      </c>
      <c r="E2" s="105"/>
      <c r="F2" s="105" t="s">
        <v>5</v>
      </c>
      <c r="G2" s="105"/>
      <c r="H2" s="105" t="s">
        <v>6</v>
      </c>
      <c r="I2" s="105"/>
      <c r="J2" s="105" t="s">
        <v>7</v>
      </c>
      <c r="K2" s="105"/>
      <c r="L2" s="105" t="s">
        <v>40</v>
      </c>
      <c r="M2" s="105"/>
    </row>
    <row r="3" spans="1:13" x14ac:dyDescent="0.2">
      <c r="A3" s="104" t="s">
        <v>9</v>
      </c>
      <c r="B3" s="104" t="s">
        <v>10</v>
      </c>
      <c r="C3" s="104" t="s">
        <v>11</v>
      </c>
      <c r="D3" s="104" t="s">
        <v>10</v>
      </c>
      <c r="E3" s="104" t="s">
        <v>11</v>
      </c>
      <c r="F3" s="104" t="s">
        <v>10</v>
      </c>
      <c r="G3" s="104" t="s">
        <v>11</v>
      </c>
      <c r="H3" s="104" t="s">
        <v>10</v>
      </c>
      <c r="I3" s="104" t="s">
        <v>11</v>
      </c>
      <c r="J3" s="104" t="s">
        <v>10</v>
      </c>
      <c r="K3" s="104" t="s">
        <v>11</v>
      </c>
      <c r="L3" s="104" t="s">
        <v>10</v>
      </c>
      <c r="M3" s="104" t="s">
        <v>11</v>
      </c>
    </row>
    <row r="4" spans="1:13" x14ac:dyDescent="0.2">
      <c r="A4" s="104" t="str">
        <f>A3</f>
        <v>Gender</v>
      </c>
      <c r="B4" s="104" t="str">
        <f>CONCATENATE(B2,B3)</f>
        <v>AY07-08#</v>
      </c>
      <c r="C4" s="104" t="str">
        <f>CONCATENATE(B2,C3)</f>
        <v>AY07-08%</v>
      </c>
      <c r="D4" s="104" t="str">
        <f t="shared" ref="D4" si="0">CONCATENATE(D2,D3)</f>
        <v>AY08-09#</v>
      </c>
      <c r="E4" s="104" t="str">
        <f t="shared" ref="E4" si="1">CONCATENATE(D2,E3)</f>
        <v>AY08-09%</v>
      </c>
      <c r="F4" s="104" t="str">
        <f t="shared" ref="F4" si="2">CONCATENATE(F2,F3)</f>
        <v>AY09-10#</v>
      </c>
      <c r="G4" s="104" t="str">
        <f t="shared" ref="G4" si="3">CONCATENATE(F2,G3)</f>
        <v>AY09-10%</v>
      </c>
      <c r="H4" s="104" t="str">
        <f t="shared" ref="H4" si="4">CONCATENATE(H2,H3)</f>
        <v>AY10-11#</v>
      </c>
      <c r="I4" s="104" t="str">
        <f t="shared" ref="I4" si="5">CONCATENATE(H2,I3)</f>
        <v>AY10-11%</v>
      </c>
      <c r="J4" s="104" t="str">
        <f t="shared" ref="J4" si="6">CONCATENATE(J2,J3)</f>
        <v>AY11-12#</v>
      </c>
      <c r="K4" s="104" t="str">
        <f t="shared" ref="K4" si="7">CONCATENATE(J2,K3)</f>
        <v>AY11-12%</v>
      </c>
      <c r="L4" s="104" t="str">
        <f t="shared" ref="L4" si="8">CONCATENATE(L2,L3)</f>
        <v>2010 Census#</v>
      </c>
      <c r="M4" s="104" t="str">
        <f t="shared" ref="M4" si="9">CONCATENATE(L2,M3)</f>
        <v>2010 Census%</v>
      </c>
    </row>
    <row r="5" spans="1:13" x14ac:dyDescent="0.2">
      <c r="A5" s="104" t="s">
        <v>12</v>
      </c>
      <c r="B5" s="104">
        <f>gender!A3</f>
        <v>4386</v>
      </c>
      <c r="C5" s="104">
        <f>B5/B$8</f>
        <v>0.66697080291970801</v>
      </c>
      <c r="D5" s="104">
        <f>gender!B3</f>
        <v>4993</v>
      </c>
      <c r="E5" s="104">
        <f>D5/D$8</f>
        <v>0.66114936440677963</v>
      </c>
      <c r="F5" s="104">
        <f>gender!C3</f>
        <v>4584</v>
      </c>
      <c r="G5" s="104">
        <f>F5/F$8</f>
        <v>0.644001123911211</v>
      </c>
      <c r="H5" s="104">
        <f>gender!D3</f>
        <v>4149</v>
      </c>
      <c r="I5" s="104">
        <f>H5/H$8</f>
        <v>0.63732718894009222</v>
      </c>
      <c r="J5" s="104">
        <f>gender!E3</f>
        <v>3814</v>
      </c>
      <c r="K5" s="104">
        <f>J5/J$8</f>
        <v>0.62320261437908497</v>
      </c>
      <c r="L5" s="104">
        <v>425726</v>
      </c>
      <c r="M5" s="104">
        <f>L5/L$8</f>
        <v>0.50871708836104401</v>
      </c>
    </row>
    <row r="6" spans="1:13" x14ac:dyDescent="0.2">
      <c r="A6" s="104" t="s">
        <v>13</v>
      </c>
      <c r="B6" s="104">
        <f>gender!A4</f>
        <v>2148</v>
      </c>
      <c r="C6" s="104">
        <f>B6/B$8</f>
        <v>0.32664233576642338</v>
      </c>
      <c r="D6" s="104">
        <f>gender!B4</f>
        <v>2478</v>
      </c>
      <c r="E6" s="104">
        <f>D6/D$8</f>
        <v>0.328125</v>
      </c>
      <c r="F6" s="104">
        <f>gender!C4</f>
        <v>2459</v>
      </c>
      <c r="G6" s="104">
        <f>F6/F$8</f>
        <v>0.34546220848552966</v>
      </c>
      <c r="H6" s="104">
        <f>gender!D4</f>
        <v>2288</v>
      </c>
      <c r="I6" s="104">
        <f>H6/H$8</f>
        <v>0.35145929339477727</v>
      </c>
      <c r="J6" s="104">
        <f>gender!E4</f>
        <v>2246</v>
      </c>
      <c r="K6" s="104">
        <f>J6/J$8</f>
        <v>0.36699346405228755</v>
      </c>
      <c r="L6" s="104">
        <v>411136</v>
      </c>
      <c r="M6" s="104">
        <f>L6/L$8</f>
        <v>0.49128291163895599</v>
      </c>
    </row>
    <row r="7" spans="1:13" x14ac:dyDescent="0.2">
      <c r="A7" s="104" t="s">
        <v>14</v>
      </c>
      <c r="B7" s="104">
        <f>gender!A5</f>
        <v>42</v>
      </c>
      <c r="C7" s="104">
        <f>B7/B$8</f>
        <v>6.3868613138686131E-3</v>
      </c>
      <c r="D7" s="104">
        <f>gender!B5</f>
        <v>81</v>
      </c>
      <c r="E7" s="104">
        <f>D7/D$8</f>
        <v>1.0725635593220338E-2</v>
      </c>
      <c r="F7" s="104">
        <f>gender!C5</f>
        <v>75</v>
      </c>
      <c r="G7" s="104">
        <f>F7/F$8</f>
        <v>1.0536667603259343E-2</v>
      </c>
      <c r="H7" s="104">
        <f>gender!D5</f>
        <v>73</v>
      </c>
      <c r="I7" s="104">
        <f>H7/H$8</f>
        <v>1.1213517665130568E-2</v>
      </c>
      <c r="J7" s="104">
        <f>gender!E5</f>
        <v>60</v>
      </c>
      <c r="K7" s="104">
        <f>J7/J$8</f>
        <v>9.8039215686274508E-3</v>
      </c>
      <c r="L7" s="104">
        <v>0</v>
      </c>
      <c r="M7" s="104">
        <f>L7/L$8</f>
        <v>0</v>
      </c>
    </row>
    <row r="8" spans="1:13" x14ac:dyDescent="0.2">
      <c r="A8" s="104" t="s">
        <v>15</v>
      </c>
      <c r="B8" s="104">
        <f>SUM(B5:B7)</f>
        <v>6576</v>
      </c>
      <c r="D8" s="104">
        <f>SUM(D5:D7)</f>
        <v>7552</v>
      </c>
      <c r="F8" s="104">
        <f>SUM(F5:F7)</f>
        <v>7118</v>
      </c>
      <c r="H8" s="104">
        <f>SUM(H5:H7)</f>
        <v>6510</v>
      </c>
      <c r="J8" s="104">
        <f>SUM(J5:J7)</f>
        <v>6120</v>
      </c>
      <c r="L8" s="104">
        <f>SUM(L5:L7)</f>
        <v>836862</v>
      </c>
    </row>
    <row r="10" spans="1:13" x14ac:dyDescent="0.2">
      <c r="B10" s="105" t="s">
        <v>43</v>
      </c>
      <c r="C10" s="105"/>
      <c r="D10" s="105"/>
      <c r="E10" s="105"/>
      <c r="F10" s="105"/>
      <c r="G10" s="105"/>
      <c r="H10" s="105"/>
      <c r="I10" s="105"/>
      <c r="J10" s="105"/>
      <c r="K10" s="105"/>
      <c r="L10" s="105" t="s">
        <v>1</v>
      </c>
      <c r="M10" s="105"/>
    </row>
    <row r="11" spans="1:13" x14ac:dyDescent="0.2">
      <c r="B11" s="105" t="s">
        <v>3</v>
      </c>
      <c r="C11" s="105"/>
      <c r="D11" s="105" t="s">
        <v>4</v>
      </c>
      <c r="E11" s="105"/>
      <c r="F11" s="105" t="s">
        <v>5</v>
      </c>
      <c r="G11" s="105"/>
      <c r="H11" s="105" t="s">
        <v>6</v>
      </c>
      <c r="I11" s="105"/>
      <c r="J11" s="105" t="s">
        <v>7</v>
      </c>
      <c r="K11" s="105"/>
      <c r="L11" s="105" t="s">
        <v>40</v>
      </c>
      <c r="M11" s="105"/>
    </row>
    <row r="12" spans="1:13" x14ac:dyDescent="0.2">
      <c r="A12" s="104" t="s">
        <v>16</v>
      </c>
      <c r="B12" s="104" t="s">
        <v>10</v>
      </c>
      <c r="C12" s="104" t="s">
        <v>11</v>
      </c>
      <c r="D12" s="104" t="s">
        <v>10</v>
      </c>
      <c r="E12" s="104" t="s">
        <v>11</v>
      </c>
      <c r="F12" s="104" t="s">
        <v>10</v>
      </c>
      <c r="G12" s="104" t="s">
        <v>11</v>
      </c>
      <c r="H12" s="104" t="s">
        <v>10</v>
      </c>
      <c r="I12" s="104" t="s">
        <v>11</v>
      </c>
      <c r="J12" s="104" t="s">
        <v>10</v>
      </c>
      <c r="K12" s="104" t="s">
        <v>11</v>
      </c>
      <c r="L12" s="104" t="s">
        <v>10</v>
      </c>
      <c r="M12" s="104" t="s">
        <v>11</v>
      </c>
    </row>
    <row r="13" spans="1:13" x14ac:dyDescent="0.2">
      <c r="A13" s="104" t="str">
        <f>A12</f>
        <v>Ethnicity</v>
      </c>
      <c r="B13" s="104" t="str">
        <f>B4</f>
        <v>AY07-08#</v>
      </c>
      <c r="C13" s="104" t="str">
        <f t="shared" ref="C13:M13" si="10">C4</f>
        <v>AY07-08%</v>
      </c>
      <c r="D13" s="104" t="str">
        <f t="shared" si="10"/>
        <v>AY08-09#</v>
      </c>
      <c r="E13" s="104" t="str">
        <f t="shared" si="10"/>
        <v>AY08-09%</v>
      </c>
      <c r="F13" s="104" t="str">
        <f t="shared" si="10"/>
        <v>AY09-10#</v>
      </c>
      <c r="G13" s="104" t="str">
        <f t="shared" si="10"/>
        <v>AY09-10%</v>
      </c>
      <c r="H13" s="104" t="str">
        <f t="shared" si="10"/>
        <v>AY10-11#</v>
      </c>
      <c r="I13" s="104" t="str">
        <f t="shared" si="10"/>
        <v>AY10-11%</v>
      </c>
      <c r="J13" s="104" t="str">
        <f t="shared" si="10"/>
        <v>AY11-12#</v>
      </c>
      <c r="K13" s="104" t="str">
        <f t="shared" si="10"/>
        <v>AY11-12%</v>
      </c>
      <c r="L13" s="104" t="str">
        <f t="shared" si="10"/>
        <v>2010 Census#</v>
      </c>
      <c r="M13" s="104" t="str">
        <f t="shared" si="10"/>
        <v>2010 Census%</v>
      </c>
    </row>
    <row r="14" spans="1:13" x14ac:dyDescent="0.2">
      <c r="A14" s="104" t="s">
        <v>17</v>
      </c>
      <c r="B14" s="104">
        <f>ethnic!A3</f>
        <v>3613</v>
      </c>
      <c r="C14" s="104">
        <f t="shared" ref="C14:C22" si="11">B14/(SUM(B$14:B$22))</f>
        <v>0.54942214111922139</v>
      </c>
      <c r="D14" s="104">
        <f>ethnic!B3</f>
        <v>3904</v>
      </c>
      <c r="E14" s="104">
        <f t="shared" ref="E14:E22" si="12">D14/(SUM(D$14:D$22))</f>
        <v>0.51694915254237284</v>
      </c>
      <c r="F14" s="104">
        <f>ethnic!C3</f>
        <v>3596</v>
      </c>
      <c r="G14" s="104">
        <f t="shared" ref="G14:G22" si="13">F14/(SUM(F$14:F$22))</f>
        <v>0.50519808935094124</v>
      </c>
      <c r="H14" s="104">
        <f>ethnic!D3</f>
        <v>3184</v>
      </c>
      <c r="I14" s="104">
        <f t="shared" ref="I14:I22" si="14">H14/(SUM(H$14:H$22))</f>
        <v>0.48909370199692781</v>
      </c>
      <c r="J14" s="104">
        <f>ethnic!E3</f>
        <v>2811</v>
      </c>
      <c r="K14" s="104">
        <f t="shared" ref="K14:K22" si="15">J14/(SUM(J$14:J$22))</f>
        <v>0.45931372549019606</v>
      </c>
      <c r="L14" s="104">
        <v>398271</v>
      </c>
      <c r="M14" s="104">
        <f t="shared" ref="M14:M22" si="16">L14/(SUM(L$14:L$22))</f>
        <v>0.47591000666776601</v>
      </c>
    </row>
    <row r="15" spans="1:13" x14ac:dyDescent="0.2">
      <c r="A15" s="104" t="s">
        <v>18</v>
      </c>
      <c r="B15" s="104">
        <f>ethnic!A4</f>
        <v>1415</v>
      </c>
      <c r="C15" s="104">
        <f t="shared" si="11"/>
        <v>0.215176399026764</v>
      </c>
      <c r="D15" s="104">
        <f>ethnic!B4</f>
        <v>1777</v>
      </c>
      <c r="E15" s="104">
        <f t="shared" si="12"/>
        <v>0.23530190677966101</v>
      </c>
      <c r="F15" s="104">
        <f>ethnic!C4</f>
        <v>1717</v>
      </c>
      <c r="G15" s="104">
        <f t="shared" si="13"/>
        <v>0.24121944366395054</v>
      </c>
      <c r="H15" s="104">
        <f>ethnic!D4</f>
        <v>1717</v>
      </c>
      <c r="I15" s="104">
        <f t="shared" si="14"/>
        <v>0.26374807987711213</v>
      </c>
      <c r="J15" s="104">
        <f>ethnic!E4</f>
        <v>1860</v>
      </c>
      <c r="K15" s="104">
        <f t="shared" si="15"/>
        <v>0.30392156862745096</v>
      </c>
      <c r="L15" s="104">
        <v>318674</v>
      </c>
      <c r="M15" s="104">
        <f t="shared" si="16"/>
        <v>0.38079635591053246</v>
      </c>
    </row>
    <row r="16" spans="1:13" x14ac:dyDescent="0.2">
      <c r="A16" s="104" t="s">
        <v>19</v>
      </c>
      <c r="B16" s="104">
        <f>ethnic!A5</f>
        <v>455</v>
      </c>
      <c r="C16" s="104">
        <f t="shared" si="11"/>
        <v>6.9190997566909981E-2</v>
      </c>
      <c r="D16" s="104">
        <f>ethnic!B5</f>
        <v>539</v>
      </c>
      <c r="E16" s="104">
        <f t="shared" si="12"/>
        <v>7.1371822033898302E-2</v>
      </c>
      <c r="F16" s="104">
        <f>ethnic!C5</f>
        <v>562</v>
      </c>
      <c r="G16" s="104">
        <f t="shared" si="13"/>
        <v>7.8954762573756679E-2</v>
      </c>
      <c r="H16" s="104">
        <f>ethnic!D5</f>
        <v>485</v>
      </c>
      <c r="I16" s="104">
        <f t="shared" si="14"/>
        <v>7.4500768049155147E-2</v>
      </c>
      <c r="J16" s="104">
        <f>ethnic!E5</f>
        <v>480</v>
      </c>
      <c r="K16" s="104">
        <f t="shared" si="15"/>
        <v>7.8431372549019607E-2</v>
      </c>
      <c r="L16" s="104">
        <v>43085</v>
      </c>
      <c r="M16" s="104">
        <f t="shared" si="16"/>
        <v>5.1483996166632011E-2</v>
      </c>
    </row>
    <row r="17" spans="1:13" x14ac:dyDescent="0.2">
      <c r="A17" s="104" t="s">
        <v>20</v>
      </c>
      <c r="B17" s="104">
        <f>ethnic!A6</f>
        <v>169</v>
      </c>
      <c r="C17" s="104">
        <f t="shared" si="11"/>
        <v>2.5699513381995134E-2</v>
      </c>
      <c r="D17" s="104">
        <f>ethnic!B6</f>
        <v>196</v>
      </c>
      <c r="E17" s="104">
        <f t="shared" si="12"/>
        <v>2.5953389830508475E-2</v>
      </c>
      <c r="F17" s="104">
        <f>ethnic!C6</f>
        <v>181</v>
      </c>
      <c r="G17" s="104">
        <f t="shared" si="13"/>
        <v>2.5428491149199213E-2</v>
      </c>
      <c r="H17" s="104">
        <f>ethnic!D6</f>
        <v>175</v>
      </c>
      <c r="I17" s="104">
        <f t="shared" si="14"/>
        <v>2.6881720430107527E-2</v>
      </c>
      <c r="J17" s="104">
        <f>ethnic!E6</f>
        <v>153</v>
      </c>
      <c r="K17" s="104">
        <f t="shared" si="15"/>
        <v>2.5000000000000001E-2</v>
      </c>
      <c r="L17" s="104">
        <v>21251</v>
      </c>
      <c r="M17" s="104">
        <f t="shared" si="16"/>
        <v>2.5393673030917881E-2</v>
      </c>
    </row>
    <row r="18" spans="1:13" x14ac:dyDescent="0.2">
      <c r="A18" s="104" t="s">
        <v>21</v>
      </c>
      <c r="B18" s="104">
        <f>ethnic!A7</f>
        <v>61</v>
      </c>
      <c r="C18" s="104">
        <f t="shared" si="11"/>
        <v>9.276155717761558E-3</v>
      </c>
      <c r="D18" s="104">
        <f>ethnic!B7</f>
        <v>89</v>
      </c>
      <c r="E18" s="104">
        <f t="shared" si="12"/>
        <v>1.1784957627118644E-2</v>
      </c>
      <c r="F18" s="104">
        <f>ethnic!C7</f>
        <v>76</v>
      </c>
      <c r="G18" s="104">
        <f t="shared" si="13"/>
        <v>1.0677156504636133E-2</v>
      </c>
      <c r="H18" s="104">
        <f>ethnic!D7</f>
        <v>69</v>
      </c>
      <c r="I18" s="104">
        <f t="shared" si="14"/>
        <v>1.0599078341013824E-2</v>
      </c>
      <c r="J18" s="104">
        <f>ethnic!E7</f>
        <v>54</v>
      </c>
      <c r="K18" s="104">
        <f t="shared" si="15"/>
        <v>8.8235294117647058E-3</v>
      </c>
      <c r="L18" s="104">
        <v>6071</v>
      </c>
      <c r="M18" s="104">
        <f t="shared" si="16"/>
        <v>7.254481623015503E-3</v>
      </c>
    </row>
    <row r="19" spans="1:13" x14ac:dyDescent="0.2">
      <c r="A19" s="104" t="s">
        <v>22</v>
      </c>
      <c r="B19" s="104">
        <f>ethnic!A8</f>
        <v>230</v>
      </c>
      <c r="C19" s="104">
        <f t="shared" si="11"/>
        <v>3.497566909975669E-2</v>
      </c>
      <c r="D19" s="104">
        <f>ethnic!B8</f>
        <v>280</v>
      </c>
      <c r="E19" s="104">
        <f t="shared" si="12"/>
        <v>3.7076271186440676E-2</v>
      </c>
      <c r="F19" s="104">
        <f>ethnic!C8</f>
        <v>250</v>
      </c>
      <c r="G19" s="104">
        <f t="shared" si="13"/>
        <v>3.5122225344197809E-2</v>
      </c>
      <c r="H19" s="104">
        <f>ethnic!D8</f>
        <v>202</v>
      </c>
      <c r="I19" s="104">
        <f t="shared" si="14"/>
        <v>3.1029185867895544E-2</v>
      </c>
      <c r="J19" s="104">
        <f>ethnic!E8</f>
        <v>188</v>
      </c>
      <c r="K19" s="104">
        <f t="shared" si="15"/>
        <v>3.0718954248366011E-2</v>
      </c>
      <c r="L19" s="104">
        <v>23365</v>
      </c>
      <c r="M19" s="104">
        <f t="shared" si="16"/>
        <v>2.7919776498395197E-2</v>
      </c>
    </row>
    <row r="20" spans="1:13" x14ac:dyDescent="0.2">
      <c r="A20" s="104" t="s">
        <v>23</v>
      </c>
      <c r="B20" s="104">
        <f>ethnic!A9</f>
        <v>45</v>
      </c>
      <c r="C20" s="104">
        <f t="shared" si="11"/>
        <v>6.8430656934306573E-3</v>
      </c>
      <c r="D20" s="104">
        <f>ethnic!B9</f>
        <v>53</v>
      </c>
      <c r="E20" s="104">
        <f t="shared" si="12"/>
        <v>7.0180084745762716E-3</v>
      </c>
      <c r="F20" s="104">
        <f>ethnic!C9</f>
        <v>46</v>
      </c>
      <c r="G20" s="104">
        <f t="shared" si="13"/>
        <v>6.4624894633323968E-3</v>
      </c>
      <c r="H20" s="104">
        <f>ethnic!D9</f>
        <v>48</v>
      </c>
      <c r="I20" s="104">
        <f t="shared" si="14"/>
        <v>7.3732718894009217E-3</v>
      </c>
      <c r="J20" s="104">
        <f>ethnic!E9</f>
        <v>38</v>
      </c>
      <c r="K20" s="104">
        <f t="shared" si="15"/>
        <v>6.2091503267973852E-3</v>
      </c>
      <c r="L20" s="104">
        <v>2305</v>
      </c>
      <c r="M20" s="104">
        <f t="shared" si="16"/>
        <v>2.7543370352579037E-3</v>
      </c>
    </row>
    <row r="21" spans="1:13" x14ac:dyDescent="0.2">
      <c r="A21" s="104" t="s">
        <v>24</v>
      </c>
      <c r="B21" s="104">
        <f>ethnic!A10</f>
        <v>118</v>
      </c>
      <c r="C21" s="104">
        <f t="shared" si="11"/>
        <v>1.7944038929440388E-2</v>
      </c>
      <c r="D21" s="104">
        <f>ethnic!B10</f>
        <v>121</v>
      </c>
      <c r="E21" s="104">
        <f t="shared" si="12"/>
        <v>1.6022245762711863E-2</v>
      </c>
      <c r="F21" s="104">
        <f>ethnic!C10</f>
        <v>162</v>
      </c>
      <c r="G21" s="104">
        <f t="shared" si="13"/>
        <v>2.275920202304018E-2</v>
      </c>
      <c r="H21" s="104">
        <f>ethnic!D10</f>
        <v>232</v>
      </c>
      <c r="I21" s="104">
        <f t="shared" si="14"/>
        <v>3.5637480798771125E-2</v>
      </c>
      <c r="J21" s="104">
        <f>ethnic!E10</f>
        <v>265</v>
      </c>
      <c r="K21" s="104">
        <f t="shared" si="15"/>
        <v>4.3300653594771241E-2</v>
      </c>
      <c r="L21" s="104">
        <v>22553</v>
      </c>
      <c r="M21" s="104">
        <f t="shared" si="16"/>
        <v>2.6949485100291326E-2</v>
      </c>
    </row>
    <row r="22" spans="1:13" x14ac:dyDescent="0.2">
      <c r="A22" s="104" t="s">
        <v>14</v>
      </c>
      <c r="B22" s="104">
        <f>ethnic!A11</f>
        <v>470</v>
      </c>
      <c r="C22" s="104">
        <f t="shared" si="11"/>
        <v>7.1472019464720191E-2</v>
      </c>
      <c r="D22" s="104">
        <f>ethnic!B11</f>
        <v>593</v>
      </c>
      <c r="E22" s="104">
        <f t="shared" si="12"/>
        <v>7.852224576271187E-2</v>
      </c>
      <c r="F22" s="104">
        <f>ethnic!C11</f>
        <v>528</v>
      </c>
      <c r="G22" s="104">
        <f t="shared" si="13"/>
        <v>7.4178139926945774E-2</v>
      </c>
      <c r="H22" s="104">
        <f>ethnic!D11</f>
        <v>398</v>
      </c>
      <c r="I22" s="104">
        <f t="shared" si="14"/>
        <v>6.1136712749615976E-2</v>
      </c>
      <c r="J22" s="104">
        <f>ethnic!E11</f>
        <v>271</v>
      </c>
      <c r="K22" s="104">
        <f t="shared" si="15"/>
        <v>4.4281045751633989E-2</v>
      </c>
      <c r="L22" s="104">
        <v>1287</v>
      </c>
      <c r="M22" s="104">
        <f t="shared" si="16"/>
        <v>1.5378879671917233E-3</v>
      </c>
    </row>
    <row r="24" spans="1:13" ht="15.75" customHeight="1" x14ac:dyDescent="0.2">
      <c r="B24" s="105" t="s">
        <v>43</v>
      </c>
      <c r="C24" s="105"/>
      <c r="D24" s="105"/>
      <c r="E24" s="105"/>
      <c r="F24" s="105"/>
      <c r="G24" s="105"/>
      <c r="H24" s="105"/>
      <c r="I24" s="105"/>
      <c r="J24" s="105"/>
      <c r="K24" s="105"/>
      <c r="L24" s="105" t="s">
        <v>1</v>
      </c>
      <c r="M24" s="105"/>
    </row>
    <row r="25" spans="1:13" x14ac:dyDescent="0.2">
      <c r="B25" s="105" t="s">
        <v>3</v>
      </c>
      <c r="C25" s="105"/>
      <c r="D25" s="105" t="s">
        <v>4</v>
      </c>
      <c r="E25" s="105"/>
      <c r="F25" s="105" t="s">
        <v>5</v>
      </c>
      <c r="G25" s="105"/>
      <c r="H25" s="105" t="s">
        <v>6</v>
      </c>
      <c r="I25" s="105"/>
      <c r="J25" s="105" t="s">
        <v>7</v>
      </c>
      <c r="K25" s="105"/>
      <c r="L25" s="105" t="s">
        <v>40</v>
      </c>
      <c r="M25" s="105"/>
    </row>
    <row r="26" spans="1:13" x14ac:dyDescent="0.2">
      <c r="A26" s="104" t="s">
        <v>25</v>
      </c>
      <c r="B26" s="104" t="s">
        <v>10</v>
      </c>
      <c r="C26" s="104" t="s">
        <v>11</v>
      </c>
      <c r="D26" s="104" t="s">
        <v>10</v>
      </c>
      <c r="E26" s="104" t="s">
        <v>11</v>
      </c>
      <c r="F26" s="104" t="s">
        <v>10</v>
      </c>
      <c r="G26" s="104" t="s">
        <v>11</v>
      </c>
      <c r="H26" s="104" t="s">
        <v>10</v>
      </c>
      <c r="I26" s="104" t="s">
        <v>11</v>
      </c>
      <c r="J26" s="104" t="s">
        <v>10</v>
      </c>
      <c r="K26" s="104" t="s">
        <v>11</v>
      </c>
      <c r="L26" s="104" t="s">
        <v>10</v>
      </c>
      <c r="M26" s="104" t="s">
        <v>11</v>
      </c>
    </row>
    <row r="27" spans="1:13" x14ac:dyDescent="0.2">
      <c r="A27" s="104" t="str">
        <f>A26</f>
        <v xml:space="preserve">Age </v>
      </c>
      <c r="B27" s="104" t="str">
        <f>B13</f>
        <v>AY07-08#</v>
      </c>
      <c r="C27" s="104" t="str">
        <f t="shared" ref="C27:M27" si="17">C13</f>
        <v>AY07-08%</v>
      </c>
      <c r="D27" s="104" t="str">
        <f t="shared" si="17"/>
        <v>AY08-09#</v>
      </c>
      <c r="E27" s="104" t="str">
        <f t="shared" si="17"/>
        <v>AY08-09%</v>
      </c>
      <c r="F27" s="104" t="str">
        <f t="shared" si="17"/>
        <v>AY09-10#</v>
      </c>
      <c r="G27" s="104" t="str">
        <f t="shared" si="17"/>
        <v>AY09-10%</v>
      </c>
      <c r="H27" s="104" t="str">
        <f t="shared" si="17"/>
        <v>AY10-11#</v>
      </c>
      <c r="I27" s="104" t="str">
        <f t="shared" si="17"/>
        <v>AY10-11%</v>
      </c>
      <c r="J27" s="104" t="str">
        <f t="shared" si="17"/>
        <v>AY11-12#</v>
      </c>
      <c r="K27" s="104" t="str">
        <f t="shared" si="17"/>
        <v>AY11-12%</v>
      </c>
      <c r="L27" s="104" t="str">
        <f t="shared" si="17"/>
        <v>2010 Census#</v>
      </c>
      <c r="M27" s="104" t="str">
        <f t="shared" si="17"/>
        <v>2010 Census%</v>
      </c>
    </row>
    <row r="28" spans="1:13" x14ac:dyDescent="0.2">
      <c r="A28" s="104" t="s">
        <v>26</v>
      </c>
      <c r="B28" s="104">
        <f>VLOOKUP($A28,'[1]age headcounts'!$A:$G,HLOOKUP(Sheet2!B$1,'[1]age headcounts'!$1:$2,2,FALSE),FALSE)</f>
        <v>145</v>
      </c>
      <c r="C28" s="104">
        <f>B28/(SUM(B$28:B$36))</f>
        <v>2.2049878345498784E-2</v>
      </c>
      <c r="D28" s="104">
        <f>VLOOKUP($A28,'[1]age headcounts'!$A:$G,HLOOKUP(Sheet2!D$1,'[1]age headcounts'!$1:$2,2,FALSE),FALSE)</f>
        <v>149</v>
      </c>
      <c r="E28" s="104">
        <f>D28/(SUM(D$28:D$36))</f>
        <v>1.9729872881355932E-2</v>
      </c>
      <c r="F28" s="104">
        <f>VLOOKUP($A28,'[1]age headcounts'!$A:$G,HLOOKUP(Sheet2!F$1,'[1]age headcounts'!$1:$2,2,FALSE),FALSE)</f>
        <v>75</v>
      </c>
      <c r="G28" s="104">
        <f>F28/(SUM(F$28:F$36))</f>
        <v>1.0536667603259343E-2</v>
      </c>
      <c r="H28" s="104">
        <f>VLOOKUP($A28,'[1]age headcounts'!$A:$G,HLOOKUP(Sheet2!H$1,'[1]age headcounts'!$1:$2,2,FALSE),FALSE)</f>
        <v>48</v>
      </c>
      <c r="I28" s="104">
        <f>H28/(SUM(H$28:H$36))</f>
        <v>7.3732718894009217E-3</v>
      </c>
      <c r="J28" s="104">
        <f>VLOOKUP($A28,'[1]age headcounts'!$A:$G,HLOOKUP(Sheet2!J$1,'[1]age headcounts'!$1:$2,2,FALSE),FALSE)</f>
        <v>23</v>
      </c>
      <c r="K28" s="104">
        <f>J28/(SUM(J$28:J$36))</f>
        <v>3.758169934640523E-3</v>
      </c>
      <c r="L28" s="104">
        <v>245217</v>
      </c>
      <c r="M28" s="104">
        <f>L28/SUM(L$28:L$36)</f>
        <v>0.29301963764635031</v>
      </c>
    </row>
    <row r="29" spans="1:13" x14ac:dyDescent="0.2">
      <c r="A29" s="104" t="s">
        <v>27</v>
      </c>
      <c r="B29" s="104">
        <f>VLOOKUP($A29,'[1]age headcounts'!$A:$G,HLOOKUP(Sheet2!B$1,'[1]age headcounts'!$1:$2,2,FALSE),FALSE)</f>
        <v>994</v>
      </c>
      <c r="C29" s="104">
        <f t="shared" ref="C29:C36" si="18">B29/(SUM(B$28:B$36))</f>
        <v>0.15115571776155717</v>
      </c>
      <c r="D29" s="104">
        <f>VLOOKUP($A29,'[1]age headcounts'!$A:$G,HLOOKUP(Sheet2!D$1,'[1]age headcounts'!$1:$2,2,FALSE),FALSE)</f>
        <v>1261</v>
      </c>
      <c r="E29" s="104">
        <f t="shared" ref="E29:E36" si="19">D29/(SUM(D$28:D$36))</f>
        <v>0.16697563559322035</v>
      </c>
      <c r="F29" s="104">
        <f>VLOOKUP($A29,'[1]age headcounts'!$A:$G,HLOOKUP(Sheet2!F$1,'[1]age headcounts'!$1:$2,2,FALSE),FALSE)</f>
        <v>1031</v>
      </c>
      <c r="G29" s="104">
        <f t="shared" ref="G29:G36" si="20">F29/(SUM(F$28:F$36))</f>
        <v>0.14484405731947175</v>
      </c>
      <c r="H29" s="104">
        <f>VLOOKUP($A29,'[1]age headcounts'!$A:$G,HLOOKUP(Sheet2!H$1,'[1]age headcounts'!$1:$2,2,FALSE),FALSE)</f>
        <v>807</v>
      </c>
      <c r="I29" s="104">
        <f t="shared" ref="I29:I36" si="21">H29/(SUM(H$28:H$36))</f>
        <v>0.12396313364055299</v>
      </c>
      <c r="J29" s="104">
        <f>VLOOKUP($A29,'[1]age headcounts'!$A:$G,HLOOKUP(Sheet2!J$1,'[1]age headcounts'!$1:$2,2,FALSE),FALSE)</f>
        <v>706</v>
      </c>
      <c r="K29" s="104">
        <f t="shared" ref="K29:K36" si="22">J29/(SUM(J$28:J$36))</f>
        <v>0.11535947712418301</v>
      </c>
      <c r="L29" s="104">
        <v>25706</v>
      </c>
      <c r="M29" s="104">
        <f t="shared" ref="M29:M36" si="23">L29/SUM(L$28:L$36)</f>
        <v>3.0717131378889231E-2</v>
      </c>
    </row>
    <row r="30" spans="1:13" x14ac:dyDescent="0.2">
      <c r="A30" s="104" t="s">
        <v>28</v>
      </c>
      <c r="B30" s="104">
        <f>VLOOKUP($A30,'[1]age headcounts'!$A:$G,HLOOKUP(Sheet2!B$1,'[1]age headcounts'!$1:$2,2,FALSE),FALSE)</f>
        <v>2434</v>
      </c>
      <c r="C30" s="104">
        <f t="shared" si="18"/>
        <v>0.37013381995133821</v>
      </c>
      <c r="D30" s="104">
        <f>VLOOKUP($A30,'[1]age headcounts'!$A:$G,HLOOKUP(Sheet2!D$1,'[1]age headcounts'!$1:$2,2,FALSE),FALSE)</f>
        <v>2781</v>
      </c>
      <c r="E30" s="104">
        <f t="shared" si="19"/>
        <v>0.3682468220338983</v>
      </c>
      <c r="F30" s="104">
        <f>VLOOKUP($A30,'[1]age headcounts'!$A:$G,HLOOKUP(Sheet2!F$1,'[1]age headcounts'!$1:$2,2,FALSE),FALSE)</f>
        <v>2729</v>
      </c>
      <c r="G30" s="104">
        <f t="shared" si="20"/>
        <v>0.3833942118572633</v>
      </c>
      <c r="H30" s="104">
        <f>VLOOKUP($A30,'[1]age headcounts'!$A:$G,HLOOKUP(Sheet2!H$1,'[1]age headcounts'!$1:$2,2,FALSE),FALSE)</f>
        <v>2613</v>
      </c>
      <c r="I30" s="104">
        <f t="shared" si="21"/>
        <v>0.40138248847926267</v>
      </c>
      <c r="J30" s="104">
        <f>VLOOKUP($A30,'[1]age headcounts'!$A:$G,HLOOKUP(Sheet2!J$1,'[1]age headcounts'!$1:$2,2,FALSE),FALSE)</f>
        <v>2476</v>
      </c>
      <c r="K30" s="104">
        <f t="shared" si="22"/>
        <v>0.40457516339869282</v>
      </c>
      <c r="L30" s="104">
        <v>52893</v>
      </c>
      <c r="M30" s="104">
        <f t="shared" si="23"/>
        <v>6.3203969113187125E-2</v>
      </c>
    </row>
    <row r="31" spans="1:13" x14ac:dyDescent="0.2">
      <c r="A31" s="104" t="s">
        <v>29</v>
      </c>
      <c r="B31" s="104">
        <f>VLOOKUP($A31,'[1]age headcounts'!$A:$G,HLOOKUP(Sheet2!B$1,'[1]age headcounts'!$1:$2,2,FALSE),FALSE)</f>
        <v>974</v>
      </c>
      <c r="C31" s="104">
        <f t="shared" si="18"/>
        <v>0.14811435523114355</v>
      </c>
      <c r="D31" s="104">
        <f>VLOOKUP($A31,'[1]age headcounts'!$A:$G,HLOOKUP(Sheet2!D$1,'[1]age headcounts'!$1:$2,2,FALSE),FALSE)</f>
        <v>1100</v>
      </c>
      <c r="E31" s="104">
        <f t="shared" si="19"/>
        <v>0.14565677966101695</v>
      </c>
      <c r="F31" s="104">
        <f>VLOOKUP($A31,'[1]age headcounts'!$A:$G,HLOOKUP(Sheet2!F$1,'[1]age headcounts'!$1:$2,2,FALSE),FALSE)</f>
        <v>1067</v>
      </c>
      <c r="G31" s="104">
        <f t="shared" si="20"/>
        <v>0.14990165776903625</v>
      </c>
      <c r="H31" s="104">
        <f>VLOOKUP($A31,'[1]age headcounts'!$A:$G,HLOOKUP(Sheet2!H$1,'[1]age headcounts'!$1:$2,2,FALSE),FALSE)</f>
        <v>1063</v>
      </c>
      <c r="I31" s="104">
        <f t="shared" si="21"/>
        <v>0.16328725038402458</v>
      </c>
      <c r="J31" s="104">
        <f>VLOOKUP($A31,'[1]age headcounts'!$A:$G,HLOOKUP(Sheet2!J$1,'[1]age headcounts'!$1:$2,2,FALSE),FALSE)</f>
        <v>1029</v>
      </c>
      <c r="K31" s="104">
        <f t="shared" si="22"/>
        <v>0.1681372549019608</v>
      </c>
      <c r="L31" s="104">
        <v>52166</v>
      </c>
      <c r="M31" s="104">
        <f t="shared" si="23"/>
        <v>6.2335247627446341E-2</v>
      </c>
    </row>
    <row r="32" spans="1:13" x14ac:dyDescent="0.2">
      <c r="A32" s="104" t="s">
        <v>30</v>
      </c>
      <c r="B32" s="104">
        <f>VLOOKUP($A32,'[1]age headcounts'!$A:$G,HLOOKUP(Sheet2!B$1,'[1]age headcounts'!$1:$2,2,FALSE),FALSE)</f>
        <v>622</v>
      </c>
      <c r="C32" s="104">
        <f t="shared" si="18"/>
        <v>9.4586374695863742E-2</v>
      </c>
      <c r="D32" s="104">
        <f>VLOOKUP($A32,'[1]age headcounts'!$A:$G,HLOOKUP(Sheet2!D$1,'[1]age headcounts'!$1:$2,2,FALSE),FALSE)</f>
        <v>710</v>
      </c>
      <c r="E32" s="104">
        <f t="shared" si="19"/>
        <v>9.4014830508474576E-2</v>
      </c>
      <c r="F32" s="104">
        <f>VLOOKUP($A32,'[1]age headcounts'!$A:$G,HLOOKUP(Sheet2!F$1,'[1]age headcounts'!$1:$2,2,FALSE),FALSE)</f>
        <v>666</v>
      </c>
      <c r="G32" s="104">
        <f t="shared" si="20"/>
        <v>9.3565608316942966E-2</v>
      </c>
      <c r="H32" s="104">
        <f>VLOOKUP($A32,'[1]age headcounts'!$A:$G,HLOOKUP(Sheet2!H$1,'[1]age headcounts'!$1:$2,2,FALSE),FALSE)</f>
        <v>610</v>
      </c>
      <c r="I32" s="104">
        <f t="shared" si="21"/>
        <v>9.3701996927803385E-2</v>
      </c>
      <c r="J32" s="104">
        <f>VLOOKUP($A32,'[1]age headcounts'!$A:$G,HLOOKUP(Sheet2!J$1,'[1]age headcounts'!$1:$2,2,FALSE),FALSE)</f>
        <v>611</v>
      </c>
      <c r="K32" s="104">
        <f t="shared" si="22"/>
        <v>9.9836601307189549E-2</v>
      </c>
      <c r="L32" s="104">
        <v>52145</v>
      </c>
      <c r="M32" s="104">
        <f t="shared" si="23"/>
        <v>6.2310153884391928E-2</v>
      </c>
    </row>
    <row r="33" spans="1:13" x14ac:dyDescent="0.2">
      <c r="A33" s="104" t="s">
        <v>31</v>
      </c>
      <c r="B33" s="104">
        <f>VLOOKUP($A33,'[1]age headcounts'!$A:$G,HLOOKUP(Sheet2!B$1,'[1]age headcounts'!$1:$2,2,FALSE),FALSE)</f>
        <v>510</v>
      </c>
      <c r="C33" s="104">
        <f t="shared" si="18"/>
        <v>7.7554744525547448E-2</v>
      </c>
      <c r="D33" s="104">
        <f>VLOOKUP($A33,'[1]age headcounts'!$A:$G,HLOOKUP(Sheet2!D$1,'[1]age headcounts'!$1:$2,2,FALSE),FALSE)</f>
        <v>552</v>
      </c>
      <c r="E33" s="104">
        <f t="shared" si="19"/>
        <v>7.309322033898305E-2</v>
      </c>
      <c r="F33" s="104">
        <f>VLOOKUP($A33,'[1]age headcounts'!$A:$G,HLOOKUP(Sheet2!F$1,'[1]age headcounts'!$1:$2,2,FALSE),FALSE)</f>
        <v>519</v>
      </c>
      <c r="G33" s="104">
        <f t="shared" si="20"/>
        <v>7.2913739814554651E-2</v>
      </c>
      <c r="H33" s="104">
        <f>VLOOKUP($A33,'[1]age headcounts'!$A:$G,HLOOKUP(Sheet2!H$1,'[1]age headcounts'!$1:$2,2,FALSE),FALSE)</f>
        <v>463</v>
      </c>
      <c r="I33" s="104">
        <f t="shared" si="21"/>
        <v>7.1121351766513061E-2</v>
      </c>
      <c r="J33" s="104">
        <f>VLOOKUP($A33,'[1]age headcounts'!$A:$G,HLOOKUP(Sheet2!J$1,'[1]age headcounts'!$1:$2,2,FALSE),FALSE)</f>
        <v>426</v>
      </c>
      <c r="K33" s="104">
        <f t="shared" si="22"/>
        <v>6.9607843137254904E-2</v>
      </c>
      <c r="L33" s="104">
        <v>55384</v>
      </c>
      <c r="M33" s="104">
        <f t="shared" si="23"/>
        <v>6.6180565015498377E-2</v>
      </c>
    </row>
    <row r="34" spans="1:13" x14ac:dyDescent="0.2">
      <c r="A34" s="104" t="s">
        <v>32</v>
      </c>
      <c r="B34" s="104">
        <f>VLOOKUP($A34,'[1]age headcounts'!$A:$G,HLOOKUP(Sheet2!B$1,'[1]age headcounts'!$1:$2,2,FALSE),FALSE)</f>
        <v>660</v>
      </c>
      <c r="C34" s="104">
        <f t="shared" si="18"/>
        <v>0.10036496350364964</v>
      </c>
      <c r="D34" s="104">
        <f>VLOOKUP($A34,'[1]age headcounts'!$A:$G,HLOOKUP(Sheet2!D$1,'[1]age headcounts'!$1:$2,2,FALSE),FALSE)</f>
        <v>699</v>
      </c>
      <c r="E34" s="104">
        <f t="shared" si="19"/>
        <v>9.2558262711864403E-2</v>
      </c>
      <c r="F34" s="104">
        <f>VLOOKUP($A34,'[1]age headcounts'!$A:$G,HLOOKUP(Sheet2!F$1,'[1]age headcounts'!$1:$2,2,FALSE),FALSE)</f>
        <v>719</v>
      </c>
      <c r="G34" s="104">
        <f t="shared" si="20"/>
        <v>0.10101152008991289</v>
      </c>
      <c r="H34" s="104">
        <f>VLOOKUP($A34,'[1]age headcounts'!$A:$G,HLOOKUP(Sheet2!H$1,'[1]age headcounts'!$1:$2,2,FALSE),FALSE)</f>
        <v>619</v>
      </c>
      <c r="I34" s="104">
        <f t="shared" si="21"/>
        <v>9.5084485407066058E-2</v>
      </c>
      <c r="J34" s="104">
        <f>VLOOKUP($A34,'[1]age headcounts'!$A:$G,HLOOKUP(Sheet2!J$1,'[1]age headcounts'!$1:$2,2,FALSE),FALSE)</f>
        <v>568</v>
      </c>
      <c r="K34" s="104">
        <f t="shared" si="22"/>
        <v>9.2810457516339873E-2</v>
      </c>
      <c r="L34" s="104">
        <v>116401</v>
      </c>
      <c r="M34" s="104">
        <f t="shared" si="23"/>
        <v>0.13909222787030598</v>
      </c>
    </row>
    <row r="35" spans="1:13" x14ac:dyDescent="0.2">
      <c r="A35" s="104" t="s">
        <v>33</v>
      </c>
      <c r="B35" s="104">
        <f>VLOOKUP($A35,'[1]age headcounts'!$A:$G,HLOOKUP(Sheet2!B$1,'[1]age headcounts'!$1:$2,2,FALSE),FALSE)</f>
        <v>236</v>
      </c>
      <c r="C35" s="104">
        <f t="shared" si="18"/>
        <v>3.5888077858880776E-2</v>
      </c>
      <c r="D35" s="104">
        <f>VLOOKUP($A35,'[1]age headcounts'!$A:$G,HLOOKUP(Sheet2!D$1,'[1]age headcounts'!$1:$2,2,FALSE),FALSE)</f>
        <v>300</v>
      </c>
      <c r="E35" s="104">
        <f t="shared" si="19"/>
        <v>3.9724576271186439E-2</v>
      </c>
      <c r="F35" s="104">
        <f>VLOOKUP($A35,'[1]age headcounts'!$A:$G,HLOOKUP(Sheet2!F$1,'[1]age headcounts'!$1:$2,2,FALSE),FALSE)</f>
        <v>310</v>
      </c>
      <c r="G35" s="104">
        <f t="shared" si="20"/>
        <v>4.3551559426805282E-2</v>
      </c>
      <c r="H35" s="104">
        <f>VLOOKUP($A35,'[1]age headcounts'!$A:$G,HLOOKUP(Sheet2!H$1,'[1]age headcounts'!$1:$2,2,FALSE),FALSE)</f>
        <v>285</v>
      </c>
      <c r="I35" s="104">
        <f t="shared" si="21"/>
        <v>4.377880184331797E-2</v>
      </c>
      <c r="J35" s="104">
        <f>VLOOKUP($A35,'[1]age headcounts'!$A:$G,HLOOKUP(Sheet2!J$1,'[1]age headcounts'!$1:$2,2,FALSE),FALSE)</f>
        <v>279</v>
      </c>
      <c r="K35" s="104">
        <f t="shared" si="22"/>
        <v>4.5588235294117645E-2</v>
      </c>
      <c r="L35" s="104">
        <v>236950</v>
      </c>
      <c r="M35" s="104">
        <f t="shared" si="23"/>
        <v>0.28314106746393075</v>
      </c>
    </row>
    <row r="36" spans="1:13" x14ac:dyDescent="0.2">
      <c r="A36" s="104" t="s">
        <v>14</v>
      </c>
      <c r="B36" s="104">
        <f>VLOOKUP($A36,'[1]age headcounts'!$A:$G,HLOOKUP(Sheet2!B$1,'[1]age headcounts'!$1:$2,2,FALSE),FALSE)</f>
        <v>1</v>
      </c>
      <c r="C36" s="104">
        <f t="shared" si="18"/>
        <v>1.5206812652068127E-4</v>
      </c>
      <c r="D36" s="104">
        <f>VLOOKUP($A36,'[1]age headcounts'!$A:$G,HLOOKUP(Sheet2!D$1,'[1]age headcounts'!$1:$2,2,FALSE),FALSE)</f>
        <v>0</v>
      </c>
      <c r="E36" s="104">
        <f t="shared" si="19"/>
        <v>0</v>
      </c>
      <c r="F36" s="104">
        <f>VLOOKUP($A36,'[1]age headcounts'!$A:$G,HLOOKUP(Sheet2!F$1,'[1]age headcounts'!$1:$2,2,FALSE),FALSE)</f>
        <v>2</v>
      </c>
      <c r="G36" s="104">
        <f t="shared" si="20"/>
        <v>2.8097780275358248E-4</v>
      </c>
      <c r="H36" s="104">
        <f>VLOOKUP($A36,'[1]age headcounts'!$A:$G,HLOOKUP(Sheet2!H$1,'[1]age headcounts'!$1:$2,2,FALSE),FALSE)</f>
        <v>2</v>
      </c>
      <c r="I36" s="104">
        <f t="shared" si="21"/>
        <v>3.0721966205837174E-4</v>
      </c>
      <c r="J36" s="104">
        <f>VLOOKUP($A36,'[1]age headcounts'!$A:$G,HLOOKUP(Sheet2!J$1,'[1]age headcounts'!$1:$2,2,FALSE),FALSE)</f>
        <v>2</v>
      </c>
      <c r="K36" s="104">
        <f t="shared" si="22"/>
        <v>3.2679738562091501E-4</v>
      </c>
      <c r="L36" s="104">
        <v>0</v>
      </c>
      <c r="M36" s="104">
        <f t="shared" si="23"/>
        <v>0</v>
      </c>
    </row>
    <row r="37" spans="1:13" x14ac:dyDescent="0.2">
      <c r="A37" s="104" t="s">
        <v>34</v>
      </c>
      <c r="B37" s="104">
        <v>27.085804739513012</v>
      </c>
      <c r="D37" s="104">
        <v>26.740921673994464</v>
      </c>
      <c r="F37" s="104">
        <v>26.808411988739859</v>
      </c>
      <c r="H37" s="104">
        <v>26.616662002052429</v>
      </c>
      <c r="J37" s="104">
        <v>26.219426245781218</v>
      </c>
    </row>
    <row r="38" spans="1:13" x14ac:dyDescent="0.2">
      <c r="A38" s="104" t="s">
        <v>39</v>
      </c>
      <c r="B38" s="104">
        <v>22</v>
      </c>
      <c r="D38" s="104">
        <v>22</v>
      </c>
      <c r="F38" s="104">
        <v>22</v>
      </c>
      <c r="H38" s="104">
        <v>22</v>
      </c>
      <c r="J38" s="104">
        <v>22</v>
      </c>
    </row>
    <row r="40" spans="1:13" x14ac:dyDescent="0.2">
      <c r="B40" s="105" t="s">
        <v>43</v>
      </c>
      <c r="C40" s="105"/>
      <c r="D40" s="105"/>
      <c r="E40" s="105"/>
      <c r="F40" s="105"/>
      <c r="G40" s="105"/>
      <c r="H40" s="105"/>
      <c r="I40" s="105"/>
      <c r="J40" s="105"/>
      <c r="K40" s="105"/>
      <c r="L40" s="105" t="s">
        <v>42</v>
      </c>
      <c r="M40" s="105"/>
    </row>
    <row r="41" spans="1:13" x14ac:dyDescent="0.2">
      <c r="B41" s="105" t="s">
        <v>3</v>
      </c>
      <c r="C41" s="105"/>
      <c r="D41" s="105" t="s">
        <v>4</v>
      </c>
      <c r="E41" s="105"/>
      <c r="F41" s="105" t="s">
        <v>5</v>
      </c>
      <c r="G41" s="105"/>
      <c r="H41" s="105" t="s">
        <v>6</v>
      </c>
      <c r="I41" s="105"/>
      <c r="J41" s="105" t="s">
        <v>7</v>
      </c>
      <c r="K41" s="105"/>
      <c r="L41" s="105" t="s">
        <v>41</v>
      </c>
      <c r="M41" s="105"/>
    </row>
    <row r="42" spans="1:13" x14ac:dyDescent="0.2">
      <c r="A42" s="104" t="s">
        <v>35</v>
      </c>
      <c r="B42" s="104" t="s">
        <v>10</v>
      </c>
      <c r="C42" s="104" t="s">
        <v>11</v>
      </c>
      <c r="D42" s="104" t="s">
        <v>10</v>
      </c>
      <c r="E42" s="104" t="s">
        <v>11</v>
      </c>
      <c r="F42" s="104" t="s">
        <v>10</v>
      </c>
      <c r="G42" s="104" t="s">
        <v>11</v>
      </c>
      <c r="H42" s="104" t="s">
        <v>10</v>
      </c>
      <c r="I42" s="104" t="s">
        <v>11</v>
      </c>
      <c r="J42" s="104" t="s">
        <v>10</v>
      </c>
      <c r="K42" s="104" t="s">
        <v>11</v>
      </c>
      <c r="L42" s="104" t="s">
        <v>10</v>
      </c>
      <c r="M42" s="104" t="s">
        <v>11</v>
      </c>
    </row>
    <row r="43" spans="1:13" x14ac:dyDescent="0.2">
      <c r="A43" s="104" t="str">
        <f>A42</f>
        <v>DSPS</v>
      </c>
      <c r="B43" s="104" t="str">
        <f>B27</f>
        <v>AY07-08#</v>
      </c>
      <c r="C43" s="104" t="str">
        <f t="shared" ref="C43:M43" si="24">C27</f>
        <v>AY07-08%</v>
      </c>
      <c r="D43" s="104" t="str">
        <f t="shared" si="24"/>
        <v>AY08-09#</v>
      </c>
      <c r="E43" s="104" t="str">
        <f t="shared" si="24"/>
        <v>AY08-09%</v>
      </c>
      <c r="F43" s="104" t="str">
        <f t="shared" si="24"/>
        <v>AY09-10#</v>
      </c>
      <c r="G43" s="104" t="str">
        <f t="shared" si="24"/>
        <v>AY09-10%</v>
      </c>
      <c r="H43" s="104" t="str">
        <f t="shared" si="24"/>
        <v>AY10-11#</v>
      </c>
      <c r="I43" s="104" t="str">
        <f t="shared" si="24"/>
        <v>AY10-11%</v>
      </c>
      <c r="J43" s="104" t="str">
        <f t="shared" si="24"/>
        <v>AY11-12#</v>
      </c>
      <c r="K43" s="104" t="str">
        <f t="shared" si="24"/>
        <v>AY11-12%</v>
      </c>
      <c r="L43" s="104" t="str">
        <f t="shared" si="24"/>
        <v>2010 Census#</v>
      </c>
      <c r="M43" s="104" t="str">
        <f t="shared" si="24"/>
        <v>2010 Census%</v>
      </c>
    </row>
    <row r="44" spans="1:13" x14ac:dyDescent="0.2">
      <c r="A44" s="104" t="s">
        <v>44</v>
      </c>
      <c r="B44" s="104">
        <f>VLOOKUP($A42,[4]Sheet1!$A:$F,HLOOKUP(Sheet2!B$1,[4]Sheet1!$1:$2,2,FALSE),FALSE)</f>
        <v>649</v>
      </c>
      <c r="C44" s="104">
        <f>B44/B8</f>
        <v>9.8692214111922139E-2</v>
      </c>
      <c r="D44" s="104">
        <f>VLOOKUP($A42,[4]Sheet1!$A:$F,HLOOKUP(Sheet2!D$1,[4]Sheet1!$1:$2,2,FALSE),FALSE)</f>
        <v>963</v>
      </c>
      <c r="E44" s="104">
        <f>D44/D8</f>
        <v>0.12751588983050846</v>
      </c>
      <c r="F44" s="104">
        <f>VLOOKUP($A42,[4]Sheet1!$A:$F,HLOOKUP(Sheet2!F$1,[4]Sheet1!$1:$2,2,FALSE),FALSE)</f>
        <v>1178</v>
      </c>
      <c r="G44" s="104">
        <f>F44/F8</f>
        <v>0.16549592582186007</v>
      </c>
      <c r="H44" s="104">
        <f>VLOOKUP($A42,[4]Sheet1!$A:$F,HLOOKUP(Sheet2!H$1,[4]Sheet1!$1:$2,2,FALSE),FALSE)</f>
        <v>1155</v>
      </c>
      <c r="I44" s="104">
        <f>H44/H8</f>
        <v>0.17741935483870969</v>
      </c>
      <c r="J44" s="104">
        <f>VLOOKUP($A42,[4]Sheet1!$A:$N,HLOOKUP(Sheet2!J$1,[4]Sheet1!$1:$2,2,FALSE),FALSE)</f>
        <v>1132</v>
      </c>
      <c r="K44" s="104">
        <f>J44/J8</f>
        <v>0.18496732026143792</v>
      </c>
      <c r="L44" s="104">
        <v>105412</v>
      </c>
      <c r="M44" s="104">
        <f>L44/L45</f>
        <v>8.1095074304327316E-2</v>
      </c>
    </row>
    <row r="45" spans="1:13" x14ac:dyDescent="0.2">
      <c r="L45" s="104">
        <v>1299857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"/>
  <sheetViews>
    <sheetView workbookViewId="0"/>
  </sheetViews>
  <sheetFormatPr defaultRowHeight="15" x14ac:dyDescent="0.25"/>
  <cols>
    <col min="1" max="1" width="13.28515625" bestFit="1" customWidth="1"/>
    <col min="2" max="2" width="15.7109375" customWidth="1"/>
    <col min="3" max="3" width="16.28515625" customWidth="1"/>
    <col min="4" max="4" width="5.5703125" customWidth="1"/>
    <col min="5" max="5" width="9.5703125" customWidth="1"/>
    <col min="6" max="6" width="11.28515625" customWidth="1"/>
    <col min="7" max="7" width="16.42578125" bestFit="1" customWidth="1"/>
    <col min="8" max="8" width="20.85546875" bestFit="1" customWidth="1"/>
    <col min="9" max="9" width="21.5703125" bestFit="1" customWidth="1"/>
    <col min="17" max="17" width="15.7109375" customWidth="1"/>
    <col min="18" max="18" width="16.28515625" customWidth="1"/>
    <col min="19" max="19" width="5.5703125" customWidth="1"/>
    <col min="20" max="20" width="15.140625" customWidth="1"/>
    <col min="21" max="21" width="11.28515625" customWidth="1"/>
    <col min="22" max="22" width="13.85546875" customWidth="1"/>
    <col min="23" max="23" width="22.85546875" customWidth="1"/>
    <col min="24" max="24" width="11.28515625" customWidth="1"/>
    <col min="25" max="26" width="22.85546875" customWidth="1"/>
    <col min="27" max="27" width="9.42578125" bestFit="1" customWidth="1"/>
    <col min="28" max="28" width="16.28515625" bestFit="1" customWidth="1"/>
    <col min="29" max="29" width="5.5703125" bestFit="1" customWidth="1"/>
    <col min="30" max="30" width="9.5703125" bestFit="1" customWidth="1"/>
    <col min="31" max="31" width="11.28515625" bestFit="1" customWidth="1"/>
    <col min="32" max="32" width="24.85546875" customWidth="1"/>
    <col min="33" max="33" width="11.28515625" customWidth="1"/>
    <col min="34" max="34" width="24.85546875" bestFit="1" customWidth="1"/>
    <col min="35" max="35" width="14.5703125" bestFit="1" customWidth="1"/>
    <col min="36" max="36" width="11.28515625" customWidth="1"/>
    <col min="37" max="40" width="14.5703125" bestFit="1" customWidth="1"/>
  </cols>
  <sheetData>
    <row r="1" spans="1:31" x14ac:dyDescent="0.25">
      <c r="A1" s="110" t="s">
        <v>58</v>
      </c>
      <c r="AB1" s="106" t="s">
        <v>50</v>
      </c>
    </row>
    <row r="2" spans="1:31" x14ac:dyDescent="0.25">
      <c r="AA2" s="106" t="s">
        <v>51</v>
      </c>
      <c r="AB2" s="31" t="s">
        <v>12</v>
      </c>
      <c r="AC2" s="31" t="s">
        <v>13</v>
      </c>
      <c r="AD2" s="31" t="s">
        <v>14</v>
      </c>
      <c r="AE2" s="31" t="s">
        <v>49</v>
      </c>
    </row>
    <row r="3" spans="1:31" x14ac:dyDescent="0.25">
      <c r="AA3" s="107" t="s">
        <v>53</v>
      </c>
      <c r="AB3" s="108">
        <v>4386</v>
      </c>
      <c r="AC3" s="108">
        <v>2148</v>
      </c>
      <c r="AD3" s="108">
        <v>42</v>
      </c>
      <c r="AE3" s="108">
        <v>6576</v>
      </c>
    </row>
    <row r="4" spans="1:31" x14ac:dyDescent="0.25">
      <c r="AA4" s="107" t="s">
        <v>54</v>
      </c>
      <c r="AB4" s="108">
        <v>4993</v>
      </c>
      <c r="AC4" s="108">
        <v>2478</v>
      </c>
      <c r="AD4" s="108">
        <v>81</v>
      </c>
      <c r="AE4" s="108">
        <v>7552</v>
      </c>
    </row>
    <row r="5" spans="1:31" x14ac:dyDescent="0.25">
      <c r="AA5" s="107" t="s">
        <v>55</v>
      </c>
      <c r="AB5" s="108">
        <v>4584</v>
      </c>
      <c r="AC5" s="108">
        <v>2459</v>
      </c>
      <c r="AD5" s="108">
        <v>75</v>
      </c>
      <c r="AE5" s="108">
        <v>7118</v>
      </c>
    </row>
    <row r="6" spans="1:31" x14ac:dyDescent="0.25">
      <c r="AA6" s="107" t="s">
        <v>56</v>
      </c>
      <c r="AB6" s="108">
        <v>4149</v>
      </c>
      <c r="AC6" s="108">
        <v>2288</v>
      </c>
      <c r="AD6" s="108">
        <v>73</v>
      </c>
      <c r="AE6" s="108">
        <v>6510</v>
      </c>
    </row>
    <row r="7" spans="1:31" x14ac:dyDescent="0.25">
      <c r="AA7" s="107" t="s">
        <v>57</v>
      </c>
      <c r="AB7" s="108">
        <v>3814</v>
      </c>
      <c r="AC7" s="108">
        <v>2246</v>
      </c>
      <c r="AD7" s="108">
        <v>60</v>
      </c>
      <c r="AE7" s="108">
        <v>6120</v>
      </c>
    </row>
  </sheetData>
  <hyperlinks>
    <hyperlink ref="A1" location="TABLE!A1" display="back to tables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"/>
  <sheetViews>
    <sheetView workbookViewId="0"/>
  </sheetViews>
  <sheetFormatPr defaultRowHeight="15" x14ac:dyDescent="0.25"/>
  <cols>
    <col min="1" max="1" width="12" bestFit="1" customWidth="1"/>
    <col min="2" max="2" width="15.7109375" customWidth="1"/>
    <col min="3" max="3" width="16.28515625" bestFit="1" customWidth="1"/>
    <col min="4" max="4" width="8.42578125" customWidth="1"/>
    <col min="5" max="5" width="9.5703125" customWidth="1"/>
    <col min="6" max="6" width="16.28515625" customWidth="1"/>
    <col min="7" max="7" width="7.7109375" customWidth="1"/>
    <col min="8" max="8" width="5.85546875" customWidth="1"/>
    <col min="9" max="9" width="10.7109375" customWidth="1"/>
    <col min="10" max="10" width="15.85546875" customWidth="1"/>
    <col min="11" max="11" width="14.42578125" customWidth="1"/>
    <col min="12" max="12" width="11.28515625" customWidth="1"/>
    <col min="13" max="19" width="16.28515625" bestFit="1" customWidth="1"/>
    <col min="20" max="21" width="20.85546875" bestFit="1" customWidth="1"/>
    <col min="27" max="27" width="9.42578125" bestFit="1" customWidth="1"/>
    <col min="28" max="28" width="16.28515625" bestFit="1" customWidth="1"/>
    <col min="29" max="29" width="8.42578125" bestFit="1" customWidth="1"/>
    <col min="30" max="30" width="9.5703125" bestFit="1" customWidth="1"/>
    <col min="31" max="31" width="16.28515625" bestFit="1" customWidth="1"/>
    <col min="32" max="32" width="7.7109375" bestFit="1" customWidth="1"/>
    <col min="33" max="33" width="5.85546875" bestFit="1" customWidth="1"/>
    <col min="34" max="34" width="10.7109375" bestFit="1" customWidth="1"/>
    <col min="35" max="35" width="15.85546875" bestFit="1" customWidth="1"/>
    <col min="36" max="36" width="14.42578125" bestFit="1" customWidth="1"/>
    <col min="37" max="37" width="11.28515625" bestFit="1" customWidth="1"/>
  </cols>
  <sheetData>
    <row r="1" spans="1:37" x14ac:dyDescent="0.25">
      <c r="A1" s="110" t="s">
        <v>58</v>
      </c>
      <c r="AB1" s="106" t="s">
        <v>50</v>
      </c>
    </row>
    <row r="2" spans="1:37" x14ac:dyDescent="0.25">
      <c r="AA2" s="106" t="s">
        <v>51</v>
      </c>
      <c r="AB2" s="31" t="s">
        <v>17</v>
      </c>
      <c r="AC2" s="31" t="s">
        <v>18</v>
      </c>
      <c r="AD2" s="31" t="s">
        <v>14</v>
      </c>
      <c r="AE2" s="31" t="s">
        <v>19</v>
      </c>
      <c r="AF2" s="31" t="s">
        <v>22</v>
      </c>
      <c r="AG2" s="31" t="s">
        <v>20</v>
      </c>
      <c r="AH2" s="31" t="s">
        <v>24</v>
      </c>
      <c r="AI2" s="31" t="s">
        <v>21</v>
      </c>
      <c r="AJ2" s="31" t="s">
        <v>23</v>
      </c>
      <c r="AK2" s="31" t="s">
        <v>49</v>
      </c>
    </row>
    <row r="3" spans="1:37" x14ac:dyDescent="0.25">
      <c r="AA3" s="107" t="s">
        <v>53</v>
      </c>
      <c r="AB3" s="108">
        <v>3613</v>
      </c>
      <c r="AC3" s="108">
        <v>1415</v>
      </c>
      <c r="AD3" s="108">
        <v>470</v>
      </c>
      <c r="AE3" s="108">
        <v>455</v>
      </c>
      <c r="AF3" s="108">
        <v>230</v>
      </c>
      <c r="AG3" s="108">
        <v>169</v>
      </c>
      <c r="AH3" s="108">
        <v>118</v>
      </c>
      <c r="AI3" s="108">
        <v>61</v>
      </c>
      <c r="AJ3" s="108">
        <v>45</v>
      </c>
      <c r="AK3" s="108">
        <v>6576</v>
      </c>
    </row>
    <row r="4" spans="1:37" x14ac:dyDescent="0.25">
      <c r="AA4" s="107" t="s">
        <v>54</v>
      </c>
      <c r="AB4" s="108">
        <v>3904</v>
      </c>
      <c r="AC4" s="108">
        <v>1777</v>
      </c>
      <c r="AD4" s="108">
        <v>593</v>
      </c>
      <c r="AE4" s="108">
        <v>539</v>
      </c>
      <c r="AF4" s="108">
        <v>280</v>
      </c>
      <c r="AG4" s="108">
        <v>196</v>
      </c>
      <c r="AH4" s="108">
        <v>121</v>
      </c>
      <c r="AI4" s="108">
        <v>89</v>
      </c>
      <c r="AJ4" s="108">
        <v>53</v>
      </c>
      <c r="AK4" s="108">
        <v>7552</v>
      </c>
    </row>
    <row r="5" spans="1:37" x14ac:dyDescent="0.25">
      <c r="AA5" s="107" t="s">
        <v>55</v>
      </c>
      <c r="AB5" s="108">
        <v>3596</v>
      </c>
      <c r="AC5" s="108">
        <v>1717</v>
      </c>
      <c r="AD5" s="108">
        <v>528</v>
      </c>
      <c r="AE5" s="108">
        <v>562</v>
      </c>
      <c r="AF5" s="108">
        <v>250</v>
      </c>
      <c r="AG5" s="108">
        <v>181</v>
      </c>
      <c r="AH5" s="108">
        <v>162</v>
      </c>
      <c r="AI5" s="108">
        <v>76</v>
      </c>
      <c r="AJ5" s="108">
        <v>46</v>
      </c>
      <c r="AK5" s="108">
        <v>7118</v>
      </c>
    </row>
    <row r="6" spans="1:37" x14ac:dyDescent="0.25">
      <c r="AA6" s="107" t="s">
        <v>56</v>
      </c>
      <c r="AB6" s="108">
        <v>3184</v>
      </c>
      <c r="AC6" s="108">
        <v>1717</v>
      </c>
      <c r="AD6" s="108">
        <v>398</v>
      </c>
      <c r="AE6" s="108">
        <v>485</v>
      </c>
      <c r="AF6" s="108">
        <v>202</v>
      </c>
      <c r="AG6" s="108">
        <v>175</v>
      </c>
      <c r="AH6" s="108">
        <v>232</v>
      </c>
      <c r="AI6" s="108">
        <v>69</v>
      </c>
      <c r="AJ6" s="108">
        <v>48</v>
      </c>
      <c r="AK6" s="108">
        <v>6510</v>
      </c>
    </row>
    <row r="7" spans="1:37" x14ac:dyDescent="0.25">
      <c r="AA7" s="107" t="s">
        <v>57</v>
      </c>
      <c r="AB7" s="108">
        <v>2811</v>
      </c>
      <c r="AC7" s="108">
        <v>1860</v>
      </c>
      <c r="AD7" s="108">
        <v>271</v>
      </c>
      <c r="AE7" s="108">
        <v>480</v>
      </c>
      <c r="AF7" s="108">
        <v>188</v>
      </c>
      <c r="AG7" s="108">
        <v>153</v>
      </c>
      <c r="AH7" s="108">
        <v>265</v>
      </c>
      <c r="AI7" s="108">
        <v>54</v>
      </c>
      <c r="AJ7" s="108">
        <v>38</v>
      </c>
      <c r="AK7" s="108">
        <v>6120</v>
      </c>
    </row>
  </sheetData>
  <sortState columnSort="1" ref="AA1:AK7">
    <sortCondition descending="1" ref="C3"/>
  </sortState>
  <hyperlinks>
    <hyperlink ref="A1" location="TABLE!A1" display="back to tables"/>
  </hyperlink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"/>
  <sheetViews>
    <sheetView workbookViewId="0"/>
  </sheetViews>
  <sheetFormatPr defaultRowHeight="15" x14ac:dyDescent="0.25"/>
  <cols>
    <col min="1" max="1" width="12" bestFit="1" customWidth="1"/>
    <col min="27" max="27" width="9.42578125" bestFit="1" customWidth="1"/>
    <col min="28" max="28" width="16.28515625" bestFit="1" customWidth="1"/>
    <col min="29" max="29" width="7.42578125" customWidth="1"/>
    <col min="30" max="34" width="7.7109375" customWidth="1"/>
    <col min="35" max="35" width="4.42578125" bestFit="1" customWidth="1"/>
    <col min="36" max="36" width="9.5703125" customWidth="1"/>
    <col min="37" max="37" width="11.28515625" customWidth="1"/>
    <col min="38" max="44" width="16.28515625" bestFit="1" customWidth="1"/>
    <col min="45" max="46" width="20.85546875" bestFit="1" customWidth="1"/>
  </cols>
  <sheetData>
    <row r="1" spans="1:37" x14ac:dyDescent="0.25">
      <c r="A1" s="110" t="s">
        <v>58</v>
      </c>
      <c r="AB1" s="106" t="s">
        <v>50</v>
      </c>
    </row>
    <row r="2" spans="1:37" x14ac:dyDescent="0.25">
      <c r="AA2" s="106" t="s">
        <v>51</v>
      </c>
      <c r="AB2" s="31" t="s">
        <v>26</v>
      </c>
      <c r="AC2" s="31" t="s">
        <v>27</v>
      </c>
      <c r="AD2" s="31" t="s">
        <v>28</v>
      </c>
      <c r="AE2" s="31" t="s">
        <v>29</v>
      </c>
      <c r="AF2" s="31" t="s">
        <v>30</v>
      </c>
      <c r="AG2" s="31" t="s">
        <v>31</v>
      </c>
      <c r="AH2" s="31" t="s">
        <v>32</v>
      </c>
      <c r="AI2" s="31" t="s">
        <v>33</v>
      </c>
      <c r="AJ2" s="31" t="s">
        <v>14</v>
      </c>
      <c r="AK2" s="31" t="s">
        <v>49</v>
      </c>
    </row>
    <row r="3" spans="1:37" x14ac:dyDescent="0.25">
      <c r="AA3" s="107" t="s">
        <v>53</v>
      </c>
      <c r="AB3" s="108">
        <v>145</v>
      </c>
      <c r="AC3" s="108">
        <v>994</v>
      </c>
      <c r="AD3" s="108">
        <v>2434</v>
      </c>
      <c r="AE3" s="108">
        <v>974</v>
      </c>
      <c r="AF3" s="108">
        <v>622</v>
      </c>
      <c r="AG3" s="108">
        <v>510</v>
      </c>
      <c r="AH3" s="108">
        <v>660</v>
      </c>
      <c r="AI3" s="108">
        <v>236</v>
      </c>
      <c r="AJ3" s="108">
        <v>1</v>
      </c>
      <c r="AK3" s="108">
        <v>6576</v>
      </c>
    </row>
    <row r="4" spans="1:37" x14ac:dyDescent="0.25">
      <c r="AA4" s="107" t="s">
        <v>54</v>
      </c>
      <c r="AB4" s="108">
        <v>149</v>
      </c>
      <c r="AC4" s="108">
        <v>1261</v>
      </c>
      <c r="AD4" s="108">
        <v>2781</v>
      </c>
      <c r="AE4" s="108">
        <v>1100</v>
      </c>
      <c r="AF4" s="108">
        <v>710</v>
      </c>
      <c r="AG4" s="108">
        <v>552</v>
      </c>
      <c r="AH4" s="108">
        <v>699</v>
      </c>
      <c r="AI4" s="108">
        <v>300</v>
      </c>
      <c r="AJ4" s="108">
        <v>0</v>
      </c>
      <c r="AK4" s="108">
        <v>7552</v>
      </c>
    </row>
    <row r="5" spans="1:37" x14ac:dyDescent="0.25">
      <c r="AA5" s="107" t="s">
        <v>55</v>
      </c>
      <c r="AB5" s="108">
        <v>75</v>
      </c>
      <c r="AC5" s="108">
        <v>1031</v>
      </c>
      <c r="AD5" s="108">
        <v>2729</v>
      </c>
      <c r="AE5" s="108">
        <v>1067</v>
      </c>
      <c r="AF5" s="108">
        <v>666</v>
      </c>
      <c r="AG5" s="108">
        <v>519</v>
      </c>
      <c r="AH5" s="108">
        <v>719</v>
      </c>
      <c r="AI5" s="108">
        <v>310</v>
      </c>
      <c r="AJ5" s="108">
        <v>2</v>
      </c>
      <c r="AK5" s="108">
        <v>7118</v>
      </c>
    </row>
    <row r="6" spans="1:37" x14ac:dyDescent="0.25">
      <c r="AA6" s="107" t="s">
        <v>56</v>
      </c>
      <c r="AB6" s="108">
        <v>48</v>
      </c>
      <c r="AC6" s="108">
        <v>807</v>
      </c>
      <c r="AD6" s="108">
        <v>2613</v>
      </c>
      <c r="AE6" s="108">
        <v>1063</v>
      </c>
      <c r="AF6" s="108">
        <v>610</v>
      </c>
      <c r="AG6" s="108">
        <v>463</v>
      </c>
      <c r="AH6" s="108">
        <v>619</v>
      </c>
      <c r="AI6" s="108">
        <v>285</v>
      </c>
      <c r="AJ6" s="108">
        <v>2</v>
      </c>
      <c r="AK6" s="108">
        <v>6510</v>
      </c>
    </row>
    <row r="7" spans="1:37" x14ac:dyDescent="0.25">
      <c r="AA7" s="107" t="s">
        <v>57</v>
      </c>
      <c r="AB7" s="108">
        <v>23</v>
      </c>
      <c r="AC7" s="108">
        <v>706</v>
      </c>
      <c r="AD7" s="108">
        <v>2476</v>
      </c>
      <c r="AE7" s="108">
        <v>1029</v>
      </c>
      <c r="AF7" s="108">
        <v>611</v>
      </c>
      <c r="AG7" s="108">
        <v>426</v>
      </c>
      <c r="AH7" s="108">
        <v>568</v>
      </c>
      <c r="AI7" s="108">
        <v>279</v>
      </c>
      <c r="AJ7" s="108">
        <v>2</v>
      </c>
      <c r="AK7" s="108">
        <v>6120</v>
      </c>
    </row>
  </sheetData>
  <hyperlinks>
    <hyperlink ref="A1" location="TABLE!A1" display="back to tables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40D91D9-3487-4D4C-BC9B-D2B67FAD23AC}"/>
</file>

<file path=customXml/itemProps2.xml><?xml version="1.0" encoding="utf-8"?>
<ds:datastoreItem xmlns:ds="http://schemas.openxmlformats.org/officeDocument/2006/customXml" ds:itemID="{97B18FD6-BF33-4A04-8FCA-B5AFB84F51DE}"/>
</file>

<file path=customXml/itemProps3.xml><?xml version="1.0" encoding="utf-8"?>
<ds:datastoreItem xmlns:ds="http://schemas.openxmlformats.org/officeDocument/2006/customXml" ds:itemID="{F862CD39-2E97-42E6-8464-AF9917F6A1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</vt:lpstr>
      <vt:lpstr>gender</vt:lpstr>
      <vt:lpstr>ethnic</vt:lpstr>
      <vt:lpstr>Sheet2</vt:lpstr>
      <vt:lpstr>graph base</vt:lpstr>
      <vt:lpstr>gender graph</vt:lpstr>
      <vt:lpstr>ethnicity graph</vt:lpstr>
      <vt:lpstr>age graph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nmesaris</dc:creator>
  <cp:lastModifiedBy>nmesaris</cp:lastModifiedBy>
  <dcterms:created xsi:type="dcterms:W3CDTF">2012-06-04T19:06:44Z</dcterms:created>
  <dcterms:modified xsi:type="dcterms:W3CDTF">2012-09-20T16:52:43Z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