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5.5" sheetId="1" r:id="rId1"/>
  </sheets>
  <externalReferences>
    <externalReference r:id="rId2"/>
    <externalReference r:id="rId3"/>
  </externalReferences>
  <definedNames>
    <definedName name="_xlnm.Print_Area" localSheetId="0">'Table 5.5'!$A$3:$L$60</definedName>
  </definedNames>
  <calcPr calcId="145621"/>
</workbook>
</file>

<file path=xl/calcChain.xml><?xml version="1.0" encoding="utf-8"?>
<calcChain xmlns="http://schemas.openxmlformats.org/spreadsheetml/2006/main">
  <c r="I59" i="1" l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<sst xmlns="http://schemas.openxmlformats.org/spreadsheetml/2006/main" count="35" uniqueCount="23">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</sst>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5.5'!$A$75:$A$135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5.5'!$B$75:$B$135</c:f>
              <c:numCache>
                <c:formatCode>0.0</c:formatCode>
                <c:ptCount val="61"/>
                <c:pt idx="0">
                  <c:v>5332.9</c:v>
                </c:pt>
                <c:pt idx="1">
                  <c:v>5052.6000000000004</c:v>
                </c:pt>
                <c:pt idx="2">
                  <c:v>5215.5</c:v>
                </c:pt>
                <c:pt idx="3">
                  <c:v>4631.3</c:v>
                </c:pt>
                <c:pt idx="4">
                  <c:v>3982.7</c:v>
                </c:pt>
                <c:pt idx="5">
                  <c:v>3672.7</c:v>
                </c:pt>
                <c:pt idx="6">
                  <c:v>3659.3</c:v>
                </c:pt>
                <c:pt idx="7">
                  <c:v>3478.1</c:v>
                </c:pt>
                <c:pt idx="8">
                  <c:v>3296.9</c:v>
                </c:pt>
                <c:pt idx="9">
                  <c:v>3532.3</c:v>
                </c:pt>
                <c:pt idx="10">
                  <c:v>3744.7</c:v>
                </c:pt>
                <c:pt idx="11">
                  <c:v>3813.3</c:v>
                </c:pt>
                <c:pt idx="12">
                  <c:v>3947.8</c:v>
                </c:pt>
                <c:pt idx="13">
                  <c:v>4249.5</c:v>
                </c:pt>
                <c:pt idx="14">
                  <c:v>4484.1000000000004</c:v>
                </c:pt>
                <c:pt idx="15">
                  <c:v>4739.3</c:v>
                </c:pt>
                <c:pt idx="16">
                  <c:v>4646.8999999999996</c:v>
                </c:pt>
                <c:pt idx="17">
                  <c:v>4715.5</c:v>
                </c:pt>
                <c:pt idx="18">
                  <c:v>4882.7</c:v>
                </c:pt>
                <c:pt idx="19">
                  <c:v>4596.8999999999996</c:v>
                </c:pt>
                <c:pt idx="20">
                  <c:v>4651.1000000000004</c:v>
                </c:pt>
                <c:pt idx="21">
                  <c:v>4893.1000000000004</c:v>
                </c:pt>
                <c:pt idx="22">
                  <c:v>4833.8999999999996</c:v>
                </c:pt>
                <c:pt idx="23">
                  <c:v>4453.6000000000004</c:v>
                </c:pt>
                <c:pt idx="24">
                  <c:v>4324.8</c:v>
                </c:pt>
                <c:pt idx="25">
                  <c:v>4507.3999999999996</c:v>
                </c:pt>
                <c:pt idx="26">
                  <c:v>4438.8</c:v>
                </c:pt>
                <c:pt idx="27">
                  <c:v>4636.8999999999996</c:v>
                </c:pt>
                <c:pt idx="28">
                  <c:v>4733.3999999999996</c:v>
                </c:pt>
                <c:pt idx="29">
                  <c:v>4676.3999999999996</c:v>
                </c:pt>
                <c:pt idx="30">
                  <c:v>4846.8999999999996</c:v>
                </c:pt>
                <c:pt idx="31">
                  <c:v>4850</c:v>
                </c:pt>
                <c:pt idx="32">
                  <c:v>4923.6000000000004</c:v>
                </c:pt>
                <c:pt idx="33">
                  <c:v>4928.6000000000004</c:v>
                </c:pt>
                <c:pt idx="34">
                  <c:v>4899</c:v>
                </c:pt>
                <c:pt idx="35">
                  <c:v>4788.8999999999996</c:v>
                </c:pt>
                <c:pt idx="36">
                  <c:v>4659.8</c:v>
                </c:pt>
                <c:pt idx="37">
                  <c:v>4500.5</c:v>
                </c:pt>
                <c:pt idx="38">
                  <c:v>4369.8999999999996</c:v>
                </c:pt>
                <c:pt idx="39">
                  <c:v>4070.7</c:v>
                </c:pt>
                <c:pt idx="40">
                  <c:v>4360.5</c:v>
                </c:pt>
                <c:pt idx="41">
                  <c:v>4184.7</c:v>
                </c:pt>
                <c:pt idx="42">
                  <c:v>4111</c:v>
                </c:pt>
                <c:pt idx="43">
                  <c:v>4325.7</c:v>
                </c:pt>
                <c:pt idx="44">
                  <c:v>4388.1000000000004</c:v>
                </c:pt>
                <c:pt idx="45">
                  <c:v>4420</c:v>
                </c:pt>
                <c:pt idx="46">
                  <c:v>4467.2</c:v>
                </c:pt>
                <c:pt idx="47">
                  <c:v>4133.7</c:v>
                </c:pt>
                <c:pt idx="48">
                  <c:v>4135.5</c:v>
                </c:pt>
                <c:pt idx="49">
                  <c:v>4289.4000000000005</c:v>
                </c:pt>
                <c:pt idx="50">
                  <c:v>4339</c:v>
                </c:pt>
                <c:pt idx="51">
                  <c:v>4406.3</c:v>
                </c:pt>
                <c:pt idx="52">
                  <c:v>4535.3999999999996</c:v>
                </c:pt>
                <c:pt idx="53">
                  <c:v>4518</c:v>
                </c:pt>
                <c:pt idx="54">
                  <c:v>4664.6000000000004</c:v>
                </c:pt>
                <c:pt idx="55">
                  <c:v>4901</c:v>
                </c:pt>
                <c:pt idx="56">
                  <c:v>5120.38</c:v>
                </c:pt>
                <c:pt idx="57">
                  <c:v>4979.8999999999996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85696"/>
        <c:axId val="151887232"/>
      </c:lineChart>
      <c:catAx>
        <c:axId val="1518856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887232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51887232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885696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5">
          <cell r="A75">
            <v>39600</v>
          </cell>
          <cell r="B75">
            <v>5332.9</v>
          </cell>
        </row>
        <row r="76">
          <cell r="A76">
            <v>39630</v>
          </cell>
          <cell r="B76">
            <v>5052.6000000000004</v>
          </cell>
          <cell r="D76">
            <v>4977.3999999999996</v>
          </cell>
        </row>
        <row r="77">
          <cell r="A77">
            <v>39661</v>
          </cell>
          <cell r="B77">
            <v>5215.5</v>
          </cell>
          <cell r="D77">
            <v>5135.6000000000004</v>
          </cell>
        </row>
        <row r="78">
          <cell r="A78">
            <v>39692</v>
          </cell>
          <cell r="B78">
            <v>4631.3</v>
          </cell>
          <cell r="D78">
            <v>4600.5</v>
          </cell>
        </row>
        <row r="79">
          <cell r="A79">
            <v>39722</v>
          </cell>
          <cell r="B79">
            <v>3982.7</v>
          </cell>
          <cell r="D79">
            <v>4018</v>
          </cell>
        </row>
        <row r="80">
          <cell r="A80">
            <v>39753</v>
          </cell>
          <cell r="B80">
            <v>3672.7</v>
          </cell>
          <cell r="D80">
            <v>3742.5</v>
          </cell>
        </row>
        <row r="81">
          <cell r="A81">
            <v>39783</v>
          </cell>
          <cell r="B81">
            <v>3659.3</v>
          </cell>
          <cell r="D81">
            <v>3722.3</v>
          </cell>
        </row>
        <row r="82">
          <cell r="A82">
            <v>39814</v>
          </cell>
          <cell r="B82">
            <v>3478.1</v>
          </cell>
          <cell r="D82">
            <v>3540.7</v>
          </cell>
        </row>
        <row r="83">
          <cell r="A83">
            <v>39845</v>
          </cell>
          <cell r="B83">
            <v>3296.9</v>
          </cell>
          <cell r="D83">
            <v>3344.5</v>
          </cell>
        </row>
        <row r="84">
          <cell r="A84">
            <v>39873</v>
          </cell>
          <cell r="B84">
            <v>3532.3</v>
          </cell>
          <cell r="D84">
            <v>3582.1</v>
          </cell>
        </row>
        <row r="85">
          <cell r="A85">
            <v>39904</v>
          </cell>
          <cell r="B85">
            <v>3744.7</v>
          </cell>
          <cell r="D85">
            <v>3780.5</v>
          </cell>
        </row>
        <row r="86">
          <cell r="A86">
            <v>39934</v>
          </cell>
          <cell r="B86">
            <v>3813.3</v>
          </cell>
          <cell r="D86">
            <v>3818.1</v>
          </cell>
        </row>
        <row r="87">
          <cell r="A87">
            <v>39965</v>
          </cell>
          <cell r="B87">
            <v>3947.8</v>
          </cell>
          <cell r="C87" t="str">
            <v>2008–09</v>
          </cell>
          <cell r="D87">
            <v>3954.9</v>
          </cell>
        </row>
        <row r="88">
          <cell r="A88">
            <v>39995</v>
          </cell>
          <cell r="B88">
            <v>4249.5</v>
          </cell>
          <cell r="D88">
            <v>4244</v>
          </cell>
        </row>
        <row r="89">
          <cell r="A89">
            <v>40026</v>
          </cell>
          <cell r="B89">
            <v>4484.1000000000004</v>
          </cell>
          <cell r="D89">
            <v>4479.1000000000004</v>
          </cell>
        </row>
        <row r="90">
          <cell r="A90">
            <v>40057</v>
          </cell>
          <cell r="B90">
            <v>4739.3</v>
          </cell>
          <cell r="D90">
            <v>4743.6000000000004</v>
          </cell>
        </row>
        <row r="91">
          <cell r="A91">
            <v>40087</v>
          </cell>
          <cell r="B91">
            <v>4646.8999999999996</v>
          </cell>
          <cell r="D91">
            <v>4643.2</v>
          </cell>
        </row>
        <row r="92">
          <cell r="A92">
            <v>40118</v>
          </cell>
          <cell r="B92">
            <v>4715.5</v>
          </cell>
          <cell r="D92">
            <v>4701.3999999999996</v>
          </cell>
        </row>
        <row r="93">
          <cell r="A93">
            <v>40148</v>
          </cell>
          <cell r="B93">
            <v>4882.7</v>
          </cell>
          <cell r="D93">
            <v>4870.6000000000004</v>
          </cell>
        </row>
        <row r="94">
          <cell r="A94">
            <v>40179</v>
          </cell>
          <cell r="B94">
            <v>4596.8999999999996</v>
          </cell>
          <cell r="D94">
            <v>4569.6000000000004</v>
          </cell>
        </row>
        <row r="95">
          <cell r="A95">
            <v>40210</v>
          </cell>
          <cell r="B95">
            <v>4651.1000000000004</v>
          </cell>
          <cell r="D95">
            <v>4637.7</v>
          </cell>
        </row>
        <row r="96">
          <cell r="A96">
            <v>40238</v>
          </cell>
          <cell r="B96">
            <v>4893.1000000000004</v>
          </cell>
          <cell r="D96">
            <v>4875.5</v>
          </cell>
        </row>
        <row r="97">
          <cell r="A97">
            <v>40269</v>
          </cell>
          <cell r="B97">
            <v>4833.8999999999996</v>
          </cell>
          <cell r="D97">
            <v>4807.3999999999996</v>
          </cell>
        </row>
        <row r="98">
          <cell r="A98">
            <v>40299</v>
          </cell>
          <cell r="B98">
            <v>4453.6000000000004</v>
          </cell>
          <cell r="D98">
            <v>4429.7</v>
          </cell>
        </row>
        <row r="99">
          <cell r="A99">
            <v>40330</v>
          </cell>
          <cell r="B99">
            <v>4324.8</v>
          </cell>
          <cell r="C99" t="str">
            <v>2009–10</v>
          </cell>
          <cell r="D99">
            <v>4301.5</v>
          </cell>
        </row>
        <row r="100">
          <cell r="A100">
            <v>40360</v>
          </cell>
          <cell r="B100">
            <v>4507.3999999999996</v>
          </cell>
          <cell r="D100">
            <v>4493.5</v>
          </cell>
        </row>
        <row r="101">
          <cell r="A101">
            <v>40391</v>
          </cell>
          <cell r="B101">
            <v>4438.8</v>
          </cell>
          <cell r="D101">
            <v>4404.2</v>
          </cell>
        </row>
        <row r="102">
          <cell r="A102">
            <v>40422</v>
          </cell>
          <cell r="B102">
            <v>4636.8999999999996</v>
          </cell>
          <cell r="D102">
            <v>4582.8999999999996</v>
          </cell>
        </row>
        <row r="103">
          <cell r="A103">
            <v>40452</v>
          </cell>
          <cell r="B103">
            <v>4733.3999999999996</v>
          </cell>
          <cell r="D103">
            <v>4661.6000000000004</v>
          </cell>
        </row>
        <row r="104">
          <cell r="A104">
            <v>40483</v>
          </cell>
          <cell r="B104">
            <v>4676.3999999999996</v>
          </cell>
          <cell r="D104">
            <v>4584.3999999999996</v>
          </cell>
        </row>
        <row r="105">
          <cell r="A105">
            <v>40513</v>
          </cell>
          <cell r="B105">
            <v>4846.8999999999996</v>
          </cell>
          <cell r="D105">
            <v>4745.2</v>
          </cell>
        </row>
        <row r="106">
          <cell r="A106">
            <v>40544</v>
          </cell>
          <cell r="B106">
            <v>4850</v>
          </cell>
          <cell r="D106">
            <v>4753.8999999999996</v>
          </cell>
        </row>
        <row r="107">
          <cell r="A107">
            <v>40575</v>
          </cell>
          <cell r="B107">
            <v>4923.6000000000004</v>
          </cell>
          <cell r="D107">
            <v>4831.7</v>
          </cell>
        </row>
        <row r="108">
          <cell r="A108">
            <v>40603</v>
          </cell>
          <cell r="B108">
            <v>4928.6000000000004</v>
          </cell>
          <cell r="D108">
            <v>4837.8999999999996</v>
          </cell>
        </row>
        <row r="109">
          <cell r="A109">
            <v>40634</v>
          </cell>
          <cell r="B109">
            <v>4899</v>
          </cell>
          <cell r="D109">
            <v>4823.2</v>
          </cell>
        </row>
        <row r="110">
          <cell r="A110">
            <v>40664</v>
          </cell>
          <cell r="B110">
            <v>4788.8999999999996</v>
          </cell>
          <cell r="D110">
            <v>4708.3</v>
          </cell>
        </row>
        <row r="111">
          <cell r="A111">
            <v>40695</v>
          </cell>
          <cell r="B111">
            <v>4659.8</v>
          </cell>
          <cell r="C111" t="str">
            <v>2010–11</v>
          </cell>
          <cell r="D111">
            <v>4608</v>
          </cell>
        </row>
        <row r="112">
          <cell r="A112">
            <v>40725</v>
          </cell>
          <cell r="B112">
            <v>4500.5</v>
          </cell>
          <cell r="D112">
            <v>4424.6000000000004</v>
          </cell>
        </row>
        <row r="113">
          <cell r="A113">
            <v>40756</v>
          </cell>
          <cell r="B113">
            <v>4369.8999999999996</v>
          </cell>
          <cell r="D113">
            <v>4296.5</v>
          </cell>
        </row>
        <row r="114">
          <cell r="A114">
            <v>40787</v>
          </cell>
          <cell r="B114">
            <v>4070.7</v>
          </cell>
          <cell r="D114">
            <v>4008.6</v>
          </cell>
        </row>
        <row r="115">
          <cell r="A115">
            <v>40817</v>
          </cell>
          <cell r="B115">
            <v>4360.5</v>
          </cell>
          <cell r="D115">
            <v>4298.1000000000004</v>
          </cell>
        </row>
        <row r="116">
          <cell r="A116">
            <v>40848</v>
          </cell>
          <cell r="B116">
            <v>4184.7</v>
          </cell>
          <cell r="D116">
            <v>4119.8</v>
          </cell>
        </row>
        <row r="117">
          <cell r="A117">
            <v>40878</v>
          </cell>
          <cell r="B117">
            <v>4111</v>
          </cell>
          <cell r="D117">
            <v>4056.6</v>
          </cell>
        </row>
        <row r="118">
          <cell r="A118">
            <v>40909</v>
          </cell>
          <cell r="B118">
            <v>4325.7</v>
          </cell>
          <cell r="D118">
            <v>4262.7</v>
          </cell>
        </row>
        <row r="119">
          <cell r="A119">
            <v>40940</v>
          </cell>
          <cell r="B119">
            <v>4388.1000000000004</v>
          </cell>
          <cell r="D119">
            <v>4298.5</v>
          </cell>
        </row>
        <row r="120">
          <cell r="A120">
            <v>40969</v>
          </cell>
          <cell r="B120">
            <v>4420</v>
          </cell>
          <cell r="D120">
            <v>4335.2</v>
          </cell>
        </row>
        <row r="121">
          <cell r="A121">
            <v>41000</v>
          </cell>
          <cell r="B121">
            <v>4467.2</v>
          </cell>
          <cell r="D121">
            <v>4396.6000000000004</v>
          </cell>
        </row>
        <row r="122">
          <cell r="A122">
            <v>41030</v>
          </cell>
          <cell r="B122">
            <v>4133.7</v>
          </cell>
          <cell r="D122">
            <v>4076.3</v>
          </cell>
        </row>
        <row r="123">
          <cell r="A123">
            <v>41061</v>
          </cell>
          <cell r="B123">
            <v>4135.5</v>
          </cell>
          <cell r="C123" t="str">
            <v>2011–12</v>
          </cell>
          <cell r="D123">
            <v>4094.6000000000004</v>
          </cell>
        </row>
        <row r="124">
          <cell r="A124">
            <v>41091</v>
          </cell>
          <cell r="B124">
            <v>4289.4000000000005</v>
          </cell>
          <cell r="D124">
            <v>4269.1000000000004</v>
          </cell>
        </row>
        <row r="125">
          <cell r="A125">
            <v>41122</v>
          </cell>
          <cell r="B125">
            <v>4339</v>
          </cell>
          <cell r="D125">
            <v>4316.1000000000004</v>
          </cell>
        </row>
        <row r="126">
          <cell r="A126">
            <v>41153</v>
          </cell>
          <cell r="B126">
            <v>4406.3</v>
          </cell>
          <cell r="D126">
            <v>4387</v>
          </cell>
        </row>
        <row r="127">
          <cell r="A127">
            <v>41183</v>
          </cell>
          <cell r="B127">
            <v>4535.3999999999996</v>
          </cell>
          <cell r="D127">
            <v>4517</v>
          </cell>
        </row>
        <row r="128">
          <cell r="A128">
            <v>41214</v>
          </cell>
          <cell r="B128">
            <v>4518</v>
          </cell>
          <cell r="D128">
            <v>4506</v>
          </cell>
        </row>
        <row r="129">
          <cell r="A129">
            <v>41244</v>
          </cell>
          <cell r="B129">
            <v>4664.6000000000004</v>
          </cell>
          <cell r="D129">
            <v>4648.8999999999996</v>
          </cell>
        </row>
        <row r="130">
          <cell r="A130">
            <v>41275</v>
          </cell>
          <cell r="B130">
            <v>4901</v>
          </cell>
          <cell r="D130">
            <v>4878.8</v>
          </cell>
        </row>
        <row r="131">
          <cell r="A131">
            <v>41306</v>
          </cell>
          <cell r="B131">
            <v>5120.38</v>
          </cell>
          <cell r="D131">
            <v>5104.08</v>
          </cell>
        </row>
        <row r="132">
          <cell r="A132">
            <v>41334</v>
          </cell>
          <cell r="B132">
            <v>4979.8999999999996</v>
          </cell>
          <cell r="D132">
            <v>4966.5</v>
          </cell>
        </row>
        <row r="133">
          <cell r="A133">
            <v>41365</v>
          </cell>
        </row>
        <row r="134">
          <cell r="A134">
            <v>41395</v>
          </cell>
        </row>
        <row r="135">
          <cell r="A135">
            <v>41426</v>
          </cell>
          <cell r="C135" t="str">
            <v>2012–13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5a All Ordinaries Index"/>
      <sheetName val="5.5b S&amp;P-ASX 200 Index"/>
      <sheetName val="5.5 Graph"/>
      <sheetName val="5.5 Raw Data"/>
    </sheetNames>
    <sheetDataSet>
      <sheetData sheetId="0">
        <row r="64">
          <cell r="B64">
            <v>41395</v>
          </cell>
        </row>
      </sheetData>
      <sheetData sheetId="1"/>
      <sheetData sheetId="2" refreshError="1"/>
      <sheetData sheetId="3">
        <row r="537">
          <cell r="B537">
            <v>3163.2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tabSelected="1" zoomScaleNormal="100" workbookViewId="0">
      <selection activeCell="P10" sqref="P10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tr">
        <f>'[1]Data 5.5'!C87</f>
        <v>2008–09</v>
      </c>
      <c r="C19" s="8" t="str">
        <f>'[1]Data 5.5'!C99</f>
        <v>2009–10</v>
      </c>
      <c r="D19" s="8" t="str">
        <f>'[1]Data 5.5'!C111</f>
        <v>2010–11</v>
      </c>
      <c r="E19" s="8" t="str">
        <f>'[1]Data 5.5'!C123</f>
        <v>2011–12</v>
      </c>
      <c r="F19" s="8" t="str">
        <f>'[1]Data 5.5'!C135</f>
        <v>2012–13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3.9" customHeight="1" x14ac:dyDescent="0.2">
      <c r="A22" s="15" t="s">
        <v>4</v>
      </c>
      <c r="B22" s="16">
        <f>IF('[1]Data 5.5'!B76=0," ",'[1]Data 5.5'!B76)</f>
        <v>5052.6000000000004</v>
      </c>
      <c r="C22" s="16">
        <f>IF('[1]Data 5.5'!B88=0," ",'[1]Data 5.5'!B88)</f>
        <v>4249.5</v>
      </c>
      <c r="D22" s="16">
        <f>IF('[1]Data 5.5'!B100=0," ",'[1]Data 5.5'!B100)</f>
        <v>4507.3999999999996</v>
      </c>
      <c r="E22" s="16">
        <f>IF('[1]Data 5.5'!B112=0," ",'[1]Data 5.5'!B112)</f>
        <v>4500.5</v>
      </c>
      <c r="F22" s="16">
        <f>IF('[1]Data 5.5'!B124=0," ",'[1]Data 5.5'!B124)</f>
        <v>4289.4000000000005</v>
      </c>
      <c r="H22" s="6"/>
    </row>
    <row r="23" spans="1:8" ht="11.1" customHeight="1" x14ac:dyDescent="0.2">
      <c r="A23" s="15" t="s">
        <v>5</v>
      </c>
      <c r="B23" s="16">
        <f>IF('[1]Data 5.5'!B77=0," ",'[1]Data 5.5'!B77)</f>
        <v>5215.5</v>
      </c>
      <c r="C23" s="16">
        <f>IF('[1]Data 5.5'!B89=0," ",'[1]Data 5.5'!B89)</f>
        <v>4484.1000000000004</v>
      </c>
      <c r="D23" s="16">
        <f>IF('[1]Data 5.5'!B101=0," ",'[1]Data 5.5'!B101)</f>
        <v>4438.8</v>
      </c>
      <c r="E23" s="16">
        <f>IF('[1]Data 5.5'!B113=0," ",'[1]Data 5.5'!B113)</f>
        <v>4369.8999999999996</v>
      </c>
      <c r="F23" s="16">
        <f>IF('[1]Data 5.5'!B125=0," ",'[1]Data 5.5'!B125)</f>
        <v>4339</v>
      </c>
      <c r="H23" s="6"/>
    </row>
    <row r="24" spans="1:8" ht="11.1" customHeight="1" x14ac:dyDescent="0.2">
      <c r="A24" s="15" t="s">
        <v>6</v>
      </c>
      <c r="B24" s="16">
        <f>IF('[1]Data 5.5'!B78=0," ",'[1]Data 5.5'!B78)</f>
        <v>4631.3</v>
      </c>
      <c r="C24" s="16">
        <f>IF('[1]Data 5.5'!B90=0," ",'[1]Data 5.5'!B90)</f>
        <v>4739.3</v>
      </c>
      <c r="D24" s="16">
        <f>IF('[1]Data 5.5'!B102=0," ",'[1]Data 5.5'!B102)</f>
        <v>4636.8999999999996</v>
      </c>
      <c r="E24" s="16">
        <f>IF('[1]Data 5.5'!B114=0," ",'[1]Data 5.5'!B114)</f>
        <v>4070.7</v>
      </c>
      <c r="F24" s="16">
        <f>IF('[1]Data 5.5'!B126=0," ",'[1]Data 5.5'!B126)</f>
        <v>4406.3</v>
      </c>
      <c r="H24" s="6"/>
    </row>
    <row r="25" spans="1:8" ht="13.9" customHeight="1" x14ac:dyDescent="0.2">
      <c r="A25" s="15" t="s">
        <v>7</v>
      </c>
      <c r="B25" s="16">
        <f>IF('[1]Data 5.5'!B79=0," ",'[1]Data 5.5'!B79)</f>
        <v>3982.7</v>
      </c>
      <c r="C25" s="16">
        <f>IF('[1]Data 5.5'!B91=0," ",'[1]Data 5.5'!B91)</f>
        <v>4646.8999999999996</v>
      </c>
      <c r="D25" s="16">
        <f>IF('[1]Data 5.5'!B103=0," ",'[1]Data 5.5'!B103)</f>
        <v>4733.3999999999996</v>
      </c>
      <c r="E25" s="16">
        <f>IF('[1]Data 5.5'!B115=0," ",'[1]Data 5.5'!B115)</f>
        <v>4360.5</v>
      </c>
      <c r="F25" s="16">
        <f>IF('[1]Data 5.5'!B127=0," ",'[1]Data 5.5'!B127)</f>
        <v>4535.3999999999996</v>
      </c>
      <c r="H25" s="6"/>
    </row>
    <row r="26" spans="1:8" ht="11.1" customHeight="1" x14ac:dyDescent="0.2">
      <c r="A26" s="15" t="s">
        <v>8</v>
      </c>
      <c r="B26" s="16">
        <f>IF('[1]Data 5.5'!B80=0," ",'[1]Data 5.5'!B80)</f>
        <v>3672.7</v>
      </c>
      <c r="C26" s="16">
        <f>IF('[1]Data 5.5'!B92=0," ",'[1]Data 5.5'!B92)</f>
        <v>4715.5</v>
      </c>
      <c r="D26" s="16">
        <f>IF('[1]Data 5.5'!B104=0," ",'[1]Data 5.5'!B104)</f>
        <v>4676.3999999999996</v>
      </c>
      <c r="E26" s="16">
        <f>IF('[1]Data 5.5'!B116=0," ",'[1]Data 5.5'!B116)</f>
        <v>4184.7</v>
      </c>
      <c r="F26" s="16">
        <f>IF('[1]Data 5.5'!B128=0," ",'[1]Data 5.5'!B128)</f>
        <v>4518</v>
      </c>
      <c r="H26" s="6"/>
    </row>
    <row r="27" spans="1:8" ht="11.1" customHeight="1" x14ac:dyDescent="0.2">
      <c r="A27" s="15" t="s">
        <v>9</v>
      </c>
      <c r="B27" s="16">
        <f>IF('[1]Data 5.5'!B81=0," ",'[1]Data 5.5'!B81)</f>
        <v>3659.3</v>
      </c>
      <c r="C27" s="16">
        <f>IF('[1]Data 5.5'!B93=0," ",'[1]Data 5.5'!B93)</f>
        <v>4882.7</v>
      </c>
      <c r="D27" s="16">
        <f>IF('[1]Data 5.5'!B105=0," ",'[1]Data 5.5'!B105)</f>
        <v>4846.8999999999996</v>
      </c>
      <c r="E27" s="16">
        <f>IF('[1]Data 5.5'!B117=0," ",'[1]Data 5.5'!B117)</f>
        <v>4111</v>
      </c>
      <c r="F27" s="16">
        <f>IF('[1]Data 5.5'!B129=0," ",'[1]Data 5.5'!B129)</f>
        <v>4664.6000000000004</v>
      </c>
      <c r="H27" s="6"/>
    </row>
    <row r="28" spans="1:8" ht="13.9" customHeight="1" x14ac:dyDescent="0.2">
      <c r="A28" s="17" t="s">
        <v>10</v>
      </c>
      <c r="B28" s="16">
        <f>IF('[1]Data 5.5'!B82=0," ",'[1]Data 5.5'!B82)</f>
        <v>3478.1</v>
      </c>
      <c r="C28" s="16">
        <f>IF('[1]Data 5.5'!B94=0," ",'[1]Data 5.5'!B94)</f>
        <v>4596.8999999999996</v>
      </c>
      <c r="D28" s="16">
        <f>IF('[1]Data 5.5'!B106=0," ",'[1]Data 5.5'!B106)</f>
        <v>4850</v>
      </c>
      <c r="E28" s="16">
        <f>IF('[1]Data 5.5'!B118=0," ",'[1]Data 5.5'!B118)</f>
        <v>4325.7</v>
      </c>
      <c r="F28" s="16">
        <f>IF('[1]Data 5.5'!B130=0," ",'[1]Data 5.5'!B130)</f>
        <v>4901</v>
      </c>
      <c r="H28" s="6"/>
    </row>
    <row r="29" spans="1:8" ht="11.1" customHeight="1" x14ac:dyDescent="0.2">
      <c r="A29" s="15" t="s">
        <v>11</v>
      </c>
      <c r="B29" s="16">
        <f>IF('[1]Data 5.5'!B83=0," ",'[1]Data 5.5'!B83)</f>
        <v>3296.9</v>
      </c>
      <c r="C29" s="16">
        <f>IF('[1]Data 5.5'!B95=0," ",'[1]Data 5.5'!B95)</f>
        <v>4651.1000000000004</v>
      </c>
      <c r="D29" s="16">
        <f>IF('[1]Data 5.5'!B107=0," ",'[1]Data 5.5'!B107)</f>
        <v>4923.6000000000004</v>
      </c>
      <c r="E29" s="16">
        <f>IF('[1]Data 5.5'!B119=0," ",'[1]Data 5.5'!B119)</f>
        <v>4388.1000000000004</v>
      </c>
      <c r="F29" s="16">
        <f>IF('[1]Data 5.5'!B131=0," ",'[1]Data 5.5'!B131)</f>
        <v>5120.38</v>
      </c>
      <c r="H29" s="6"/>
    </row>
    <row r="30" spans="1:8" ht="11.1" customHeight="1" x14ac:dyDescent="0.2">
      <c r="A30" s="15" t="s">
        <v>12</v>
      </c>
      <c r="B30" s="16">
        <f>IF('[1]Data 5.5'!B84=0," ",'[1]Data 5.5'!B84)</f>
        <v>3532.3</v>
      </c>
      <c r="C30" s="16">
        <f>IF('[1]Data 5.5'!B96=0," ",'[1]Data 5.5'!B96)</f>
        <v>4893.1000000000004</v>
      </c>
      <c r="D30" s="16">
        <f>IF('[1]Data 5.5'!B108=0," ",'[1]Data 5.5'!B108)</f>
        <v>4928.6000000000004</v>
      </c>
      <c r="E30" s="16">
        <f>IF('[1]Data 5.5'!B120=0," ",'[1]Data 5.5'!B120)</f>
        <v>4420</v>
      </c>
      <c r="F30" s="16">
        <f>IF('[1]Data 5.5'!B132=0," ",'[1]Data 5.5'!B132)</f>
        <v>4979.8999999999996</v>
      </c>
      <c r="H30" s="6"/>
    </row>
    <row r="31" spans="1:8" ht="13.9" customHeight="1" x14ac:dyDescent="0.2">
      <c r="A31" s="15" t="s">
        <v>13</v>
      </c>
      <c r="B31" s="16">
        <f>IF('[1]Data 5.5'!B85=0," ",'[1]Data 5.5'!B85)</f>
        <v>3744.7</v>
      </c>
      <c r="C31" s="16">
        <f>IF('[1]Data 5.5'!B97=0," ",'[1]Data 5.5'!B97)</f>
        <v>4833.8999999999996</v>
      </c>
      <c r="D31" s="16">
        <f>IF('[1]Data 5.5'!B109=0," ",'[1]Data 5.5'!B109)</f>
        <v>4899</v>
      </c>
      <c r="E31" s="16">
        <f>IF('[1]Data 5.5'!B121=0," ",'[1]Data 5.5'!B121)</f>
        <v>4467.2</v>
      </c>
      <c r="F31" s="16" t="str">
        <f>IF('[1]Data 5.5'!B133=0," ",'[1]Data 5.5'!B133)</f>
        <v xml:space="preserve"> </v>
      </c>
      <c r="H31" s="6"/>
    </row>
    <row r="32" spans="1:8" ht="11.1" customHeight="1" x14ac:dyDescent="0.2">
      <c r="A32" s="15" t="s">
        <v>14</v>
      </c>
      <c r="B32" s="16">
        <f>IF('[1]Data 5.5'!B86=0," ",'[1]Data 5.5'!B86)</f>
        <v>3813.3</v>
      </c>
      <c r="C32" s="16">
        <f>IF('[1]Data 5.5'!B98=0," ",'[1]Data 5.5'!B98)</f>
        <v>4453.6000000000004</v>
      </c>
      <c r="D32" s="16">
        <f>IF('[1]Data 5.5'!B110=0," ",'[1]Data 5.5'!B110)</f>
        <v>4788.8999999999996</v>
      </c>
      <c r="E32" s="16">
        <f>IF('[1]Data 5.5'!B122=0," ",'[1]Data 5.5'!B122)</f>
        <v>4133.7</v>
      </c>
      <c r="F32" s="16" t="str">
        <f>IF('[1]Data 5.5'!B134=0," ",'[1]Data 5.5'!B134)</f>
        <v xml:space="preserve"> </v>
      </c>
      <c r="H32" s="6"/>
    </row>
    <row r="33" spans="1:8" ht="11.1" customHeight="1" x14ac:dyDescent="0.2">
      <c r="A33" s="15" t="s">
        <v>15</v>
      </c>
      <c r="B33" s="16">
        <f>IF('[1]Data 5.5'!B87=0," ",'[1]Data 5.5'!B87)</f>
        <v>3947.8</v>
      </c>
      <c r="C33" s="16">
        <f>IF('[1]Data 5.5'!B99=0," ",'[1]Data 5.5'!B99)</f>
        <v>4324.8</v>
      </c>
      <c r="D33" s="16">
        <f>IF('[1]Data 5.5'!B111=0," ",'[1]Data 5.5'!B111)</f>
        <v>4659.8</v>
      </c>
      <c r="E33" s="16">
        <f>IF('[1]Data 5.5'!B123=0," ",'[1]Data 5.5'!B123)</f>
        <v>4135.5</v>
      </c>
      <c r="F33" s="16" t="str">
        <f>IF('[1]Data 5.5'!B135=0," ",'[1]Data 5.5'!B135)</f>
        <v xml:space="preserve"> 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3.9" customHeight="1" x14ac:dyDescent="0.2">
      <c r="A37" s="15" t="s">
        <v>4</v>
      </c>
      <c r="B37" s="16">
        <f>IF('[1]Data 5.5'!D76=0," ",'[1]Data 5.5'!D76)</f>
        <v>4977.3999999999996</v>
      </c>
      <c r="C37" s="16">
        <f>IF('[1]Data 5.5'!D88=0," ",'[1]Data 5.5'!D88)</f>
        <v>4244</v>
      </c>
      <c r="D37" s="16">
        <f>IF('[1]Data 5.5'!D100=0," ",'[1]Data 5.5'!D100)</f>
        <v>4493.5</v>
      </c>
      <c r="E37" s="16">
        <f>IF('[1]Data 5.5'!D112=0," ",'[1]Data 5.5'!D112)</f>
        <v>4424.6000000000004</v>
      </c>
      <c r="F37" s="22">
        <f>IF('[1]Data 5.5'!D124=0," ",'[1]Data 5.5'!D124)</f>
        <v>4269.1000000000004</v>
      </c>
      <c r="H37" s="6"/>
    </row>
    <row r="38" spans="1:8" ht="11.1" customHeight="1" x14ac:dyDescent="0.2">
      <c r="A38" s="15" t="s">
        <v>5</v>
      </c>
      <c r="B38" s="16">
        <f>IF('[1]Data 5.5'!D77=0," ",'[1]Data 5.5'!D77)</f>
        <v>5135.6000000000004</v>
      </c>
      <c r="C38" s="16">
        <f>IF('[1]Data 5.5'!D89=0," ",'[1]Data 5.5'!D89)</f>
        <v>4479.1000000000004</v>
      </c>
      <c r="D38" s="16">
        <f>IF('[1]Data 5.5'!D101=0," ",'[1]Data 5.5'!D101)</f>
        <v>4404.2</v>
      </c>
      <c r="E38" s="16">
        <f>IF('[1]Data 5.5'!D113=0," ",'[1]Data 5.5'!D113)</f>
        <v>4296.5</v>
      </c>
      <c r="F38" s="22">
        <f>IF('[1]Data 5.5'!D125=0," ",'[1]Data 5.5'!D125)</f>
        <v>4316.1000000000004</v>
      </c>
      <c r="H38" s="6"/>
    </row>
    <row r="39" spans="1:8" ht="11.1" customHeight="1" x14ac:dyDescent="0.2">
      <c r="A39" s="15" t="s">
        <v>6</v>
      </c>
      <c r="B39" s="16">
        <f>IF('[1]Data 5.5'!D78=0," ",'[1]Data 5.5'!D78)</f>
        <v>4600.5</v>
      </c>
      <c r="C39" s="16">
        <f>IF('[1]Data 5.5'!D90=0," ",'[1]Data 5.5'!D90)</f>
        <v>4743.6000000000004</v>
      </c>
      <c r="D39" s="16">
        <f>IF('[1]Data 5.5'!D102=0," ",'[1]Data 5.5'!D102)</f>
        <v>4582.8999999999996</v>
      </c>
      <c r="E39" s="16">
        <f>IF('[1]Data 5.5'!D114=0," ",'[1]Data 5.5'!D114)</f>
        <v>4008.6</v>
      </c>
      <c r="F39" s="22">
        <f>IF('[1]Data 5.5'!D126=0," ",'[1]Data 5.5'!D126)</f>
        <v>4387</v>
      </c>
      <c r="H39" s="6"/>
    </row>
    <row r="40" spans="1:8" ht="13.9" customHeight="1" x14ac:dyDescent="0.2">
      <c r="A40" s="15" t="s">
        <v>7</v>
      </c>
      <c r="B40" s="16">
        <f>IF('[1]Data 5.5'!D79=0," ",'[1]Data 5.5'!D79)</f>
        <v>4018</v>
      </c>
      <c r="C40" s="16">
        <f>IF('[1]Data 5.5'!D91=0," ",'[1]Data 5.5'!D91)</f>
        <v>4643.2</v>
      </c>
      <c r="D40" s="16">
        <f>IF('[1]Data 5.5'!D103=0," ",'[1]Data 5.5'!D103)</f>
        <v>4661.6000000000004</v>
      </c>
      <c r="E40" s="16">
        <f>IF('[1]Data 5.5'!D115=0," ",'[1]Data 5.5'!D115)</f>
        <v>4298.1000000000004</v>
      </c>
      <c r="F40" s="22">
        <f>IF('[1]Data 5.5'!D127=0," ",'[1]Data 5.5'!D127)</f>
        <v>4517</v>
      </c>
      <c r="H40" s="6"/>
    </row>
    <row r="41" spans="1:8" ht="11.1" customHeight="1" x14ac:dyDescent="0.2">
      <c r="A41" s="15" t="s">
        <v>8</v>
      </c>
      <c r="B41" s="16">
        <f>IF('[1]Data 5.5'!D80=0," ",'[1]Data 5.5'!D80)</f>
        <v>3742.5</v>
      </c>
      <c r="C41" s="16">
        <f>IF('[1]Data 5.5'!D92=0," ",'[1]Data 5.5'!D92)</f>
        <v>4701.3999999999996</v>
      </c>
      <c r="D41" s="16">
        <f>IF('[1]Data 5.5'!D104=0," ",'[1]Data 5.5'!D104)</f>
        <v>4584.3999999999996</v>
      </c>
      <c r="E41" s="16">
        <f>IF('[1]Data 5.5'!D116=0," ",'[1]Data 5.5'!D116)</f>
        <v>4119.8</v>
      </c>
      <c r="F41" s="22">
        <f>IF('[1]Data 5.5'!D128=0," ",'[1]Data 5.5'!D128)</f>
        <v>4506</v>
      </c>
      <c r="H41" s="6"/>
    </row>
    <row r="42" spans="1:8" ht="11.1" customHeight="1" x14ac:dyDescent="0.2">
      <c r="A42" s="15" t="s">
        <v>9</v>
      </c>
      <c r="B42" s="16">
        <f>IF('[1]Data 5.5'!D81=0," ",'[1]Data 5.5'!D81)</f>
        <v>3722.3</v>
      </c>
      <c r="C42" s="16">
        <f>IF('[1]Data 5.5'!D93=0," ",'[1]Data 5.5'!D93)</f>
        <v>4870.6000000000004</v>
      </c>
      <c r="D42" s="16">
        <f>IF('[1]Data 5.5'!D105=0," ",'[1]Data 5.5'!D105)</f>
        <v>4745.2</v>
      </c>
      <c r="E42" s="16">
        <f>IF('[1]Data 5.5'!D117=0," ",'[1]Data 5.5'!D117)</f>
        <v>4056.6</v>
      </c>
      <c r="F42" s="22">
        <f>IF('[1]Data 5.5'!D129=0," ",'[1]Data 5.5'!D129)</f>
        <v>4648.8999999999996</v>
      </c>
      <c r="H42" s="6"/>
    </row>
    <row r="43" spans="1:8" ht="13.9" customHeight="1" x14ac:dyDescent="0.2">
      <c r="A43" s="17" t="s">
        <v>10</v>
      </c>
      <c r="B43" s="16">
        <f>IF('[1]Data 5.5'!D82=0," ",'[1]Data 5.5'!D82)</f>
        <v>3540.7</v>
      </c>
      <c r="C43" s="16">
        <f>IF('[1]Data 5.5'!D94=0," ",'[1]Data 5.5'!D94)</f>
        <v>4569.6000000000004</v>
      </c>
      <c r="D43" s="16">
        <f>IF('[1]Data 5.5'!D106=0," ",'[1]Data 5.5'!D106)</f>
        <v>4753.8999999999996</v>
      </c>
      <c r="E43" s="16">
        <f>IF('[1]Data 5.5'!D118=0," ",'[1]Data 5.5'!D118)</f>
        <v>4262.7</v>
      </c>
      <c r="F43" s="22">
        <f>IF('[1]Data 5.5'!D130=0," ",'[1]Data 5.5'!D130)</f>
        <v>4878.8</v>
      </c>
      <c r="H43" s="6"/>
    </row>
    <row r="44" spans="1:8" ht="11.1" customHeight="1" x14ac:dyDescent="0.2">
      <c r="A44" s="15" t="s">
        <v>11</v>
      </c>
      <c r="B44" s="16">
        <f>IF('[1]Data 5.5'!D83=0," ",'[1]Data 5.5'!D83)</f>
        <v>3344.5</v>
      </c>
      <c r="C44" s="16">
        <f>IF('[1]Data 5.5'!D95=0," ",'[1]Data 5.5'!D95)</f>
        <v>4637.7</v>
      </c>
      <c r="D44" s="16">
        <f>IF('[1]Data 5.5'!D107=0," ",'[1]Data 5.5'!D107)</f>
        <v>4831.7</v>
      </c>
      <c r="E44" s="16">
        <f>IF('[1]Data 5.5'!D119=0," ",'[1]Data 5.5'!D119)</f>
        <v>4298.5</v>
      </c>
      <c r="F44" s="22">
        <f>IF('[1]Data 5.5'!D131=0," ",'[1]Data 5.5'!D131)</f>
        <v>5104.08</v>
      </c>
      <c r="H44" s="6"/>
    </row>
    <row r="45" spans="1:8" ht="11.1" customHeight="1" x14ac:dyDescent="0.2">
      <c r="A45" s="15" t="s">
        <v>12</v>
      </c>
      <c r="B45" s="16">
        <f>IF('[1]Data 5.5'!D84=0," ",'[1]Data 5.5'!D84)</f>
        <v>3582.1</v>
      </c>
      <c r="C45" s="16">
        <f>IF('[1]Data 5.5'!D96=0," ",'[1]Data 5.5'!D96)</f>
        <v>4875.5</v>
      </c>
      <c r="D45" s="16">
        <f>IF('[1]Data 5.5'!D108=0," ",'[1]Data 5.5'!D108)</f>
        <v>4837.8999999999996</v>
      </c>
      <c r="E45" s="16">
        <f>IF('[1]Data 5.5'!D120=0," ",'[1]Data 5.5'!D120)</f>
        <v>4335.2</v>
      </c>
      <c r="F45" s="22">
        <f>IF('[1]Data 5.5'!D132=0," ",'[1]Data 5.5'!D132)</f>
        <v>4966.5</v>
      </c>
      <c r="H45" s="6"/>
    </row>
    <row r="46" spans="1:8" ht="13.9" customHeight="1" x14ac:dyDescent="0.2">
      <c r="A46" s="15" t="s">
        <v>13</v>
      </c>
      <c r="B46" s="16">
        <f>IF('[1]Data 5.5'!D85=0," ",'[1]Data 5.5'!D85)</f>
        <v>3780.5</v>
      </c>
      <c r="C46" s="16">
        <f>IF('[1]Data 5.5'!D97=0," ",'[1]Data 5.5'!D97)</f>
        <v>4807.3999999999996</v>
      </c>
      <c r="D46" s="16">
        <f>IF('[1]Data 5.5'!D109=0," ",'[1]Data 5.5'!D109)</f>
        <v>4823.2</v>
      </c>
      <c r="E46" s="16">
        <f>IF('[1]Data 5.5'!D121=0," ",'[1]Data 5.5'!D121)</f>
        <v>4396.6000000000004</v>
      </c>
      <c r="F46" s="22" t="str">
        <f>IF('[1]Data 5.5'!D133=0," ",'[1]Data 5.5'!D133)</f>
        <v xml:space="preserve"> </v>
      </c>
      <c r="H46" s="6"/>
    </row>
    <row r="47" spans="1:8" ht="11.1" customHeight="1" x14ac:dyDescent="0.2">
      <c r="A47" s="15" t="s">
        <v>14</v>
      </c>
      <c r="B47" s="16">
        <f>IF('[1]Data 5.5'!D86=0," ",'[1]Data 5.5'!D86)</f>
        <v>3818.1</v>
      </c>
      <c r="C47" s="16">
        <f>IF('[1]Data 5.5'!D98=0," ",'[1]Data 5.5'!D98)</f>
        <v>4429.7</v>
      </c>
      <c r="D47" s="16">
        <f>IF('[1]Data 5.5'!D110=0," ",'[1]Data 5.5'!D110)</f>
        <v>4708.3</v>
      </c>
      <c r="E47" s="16">
        <f>IF('[1]Data 5.5'!D122=0," ",'[1]Data 5.5'!D122)</f>
        <v>4076.3</v>
      </c>
      <c r="F47" s="22" t="str">
        <f>IF('[1]Data 5.5'!D134=0," ",'[1]Data 5.5'!D134)</f>
        <v xml:space="preserve"> </v>
      </c>
      <c r="H47" s="6"/>
    </row>
    <row r="48" spans="1:8" ht="11.1" customHeight="1" x14ac:dyDescent="0.2">
      <c r="A48" s="23" t="s">
        <v>15</v>
      </c>
      <c r="B48" s="16">
        <f>IF('[1]Data 5.5'!D87=0," ",'[1]Data 5.5'!D87)</f>
        <v>3954.9</v>
      </c>
      <c r="C48" s="16">
        <f>IF('[1]Data 5.5'!D99=0," ",'[1]Data 5.5'!D99)</f>
        <v>4301.5</v>
      </c>
      <c r="D48" s="16">
        <f>IF('[1]Data 5.5'!D111=0," ",'[1]Data 5.5'!D111)</f>
        <v>4608</v>
      </c>
      <c r="E48" s="16">
        <f>IF('[1]Data 5.5'!D123=0," ",'[1]Data 5.5'!D123)</f>
        <v>4094.6000000000004</v>
      </c>
      <c r="F48" s="22" t="str">
        <f>IF('[1]Data 5.5'!D135=0," ",'[1]Data 5.5'!D135)</f>
        <v xml:space="preserve"> 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f>'[2]5.5a All Ordinaries Index'!$B$64</f>
        <v>41395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28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54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2013-04-03T21:27:57Z</dcterms:created>
  <dcterms:modified xsi:type="dcterms:W3CDTF">2013-04-03T21:28:10Z</dcterms:modified>
</cp:coreProperties>
</file>