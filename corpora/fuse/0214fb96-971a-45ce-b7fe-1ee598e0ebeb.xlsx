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45" yWindow="1380" windowWidth="17400" windowHeight="130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Sheet1!$A$1:$AA$60</definedName>
    <definedName name="_xlnm.Print_Titles" localSheetId="0">Sheet1!$A:$C</definedName>
  </definedNames>
  <calcPr calcId="125725" fullCalcOnLoad="1"/>
</workbook>
</file>

<file path=xl/calcChain.xml><?xml version="1.0" encoding="utf-8"?>
<calcChain xmlns="http://schemas.openxmlformats.org/spreadsheetml/2006/main">
  <c r="S39" i="1"/>
  <c r="S38"/>
  <c r="S37"/>
  <c r="S36"/>
  <c r="S35"/>
  <c r="S34"/>
  <c r="S33"/>
  <c r="S30"/>
  <c r="S29"/>
  <c r="S28"/>
  <c r="S27"/>
  <c r="S26"/>
  <c r="S25"/>
  <c r="S24"/>
  <c r="S23"/>
  <c r="S22"/>
  <c r="S18"/>
  <c r="S16"/>
  <c r="S15"/>
  <c r="S13"/>
  <c r="S9"/>
  <c r="G5"/>
  <c r="G6"/>
  <c r="G7"/>
  <c r="G8"/>
  <c r="G10"/>
  <c r="G11"/>
  <c r="G12"/>
  <c r="G14"/>
  <c r="G17"/>
  <c r="G19"/>
  <c r="G20"/>
  <c r="G31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 s="1"/>
  <c r="F20"/>
  <c r="E5"/>
  <c r="S5" s="1"/>
  <c r="E6"/>
  <c r="S6" s="1"/>
  <c r="E7"/>
  <c r="S7" s="1"/>
  <c r="E8"/>
  <c r="S8" s="1"/>
  <c r="E10"/>
  <c r="S10" s="1"/>
  <c r="E11"/>
  <c r="S11" s="1"/>
  <c r="E12"/>
  <c r="S12" s="1"/>
  <c r="E14"/>
  <c r="S14" s="1"/>
  <c r="E17"/>
  <c r="S17" s="1"/>
  <c r="E19"/>
  <c r="S19" s="1"/>
  <c r="E31"/>
  <c r="S31" s="1"/>
  <c r="E40"/>
  <c r="S40" s="1"/>
  <c r="E41"/>
  <c r="S41" s="1"/>
  <c r="E42"/>
  <c r="S42" s="1"/>
  <c r="E43"/>
  <c r="S43" s="1"/>
  <c r="E44"/>
  <c r="S44" s="1"/>
  <c r="E45"/>
  <c r="S45" s="1"/>
  <c r="E46"/>
  <c r="S46" s="1"/>
  <c r="E47"/>
  <c r="S47" s="1"/>
  <c r="E48"/>
  <c r="S48" s="1"/>
  <c r="E49"/>
  <c r="S49" s="1"/>
  <c r="E50"/>
  <c r="S50" s="1"/>
  <c r="E51"/>
  <c r="S51" s="1"/>
  <c r="E52"/>
  <c r="S52" s="1"/>
  <c r="E53"/>
  <c r="S53" s="1"/>
  <c r="E54"/>
  <c r="S54" s="1"/>
  <c r="E55"/>
  <c r="S55" s="1"/>
  <c r="E56"/>
  <c r="S56" s="1"/>
  <c r="E57"/>
  <c r="S57" s="1"/>
  <c r="I5"/>
  <c r="I6"/>
  <c r="I7"/>
  <c r="I8"/>
  <c r="I10"/>
  <c r="I11"/>
  <c r="I12"/>
  <c r="I14"/>
  <c r="I20" s="1"/>
  <c r="I59" s="1"/>
  <c r="I17"/>
  <c r="I19"/>
  <c r="I31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K5"/>
  <c r="K6"/>
  <c r="K7"/>
  <c r="K8"/>
  <c r="K10"/>
  <c r="K11"/>
  <c r="K12"/>
  <c r="K14"/>
  <c r="K17"/>
  <c r="K19"/>
  <c r="K20"/>
  <c r="K31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 s="1"/>
  <c r="M5"/>
  <c r="M6"/>
  <c r="M7"/>
  <c r="M8"/>
  <c r="M10"/>
  <c r="M11"/>
  <c r="M12"/>
  <c r="M14"/>
  <c r="M17"/>
  <c r="M19"/>
  <c r="M20"/>
  <c r="M31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 s="1"/>
  <c r="O5"/>
  <c r="O6"/>
  <c r="O7"/>
  <c r="O8"/>
  <c r="O10"/>
  <c r="O11"/>
  <c r="O12"/>
  <c r="O14"/>
  <c r="O17"/>
  <c r="O19"/>
  <c r="O20"/>
  <c r="O31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 s="1"/>
  <c r="Q5"/>
  <c r="Q6"/>
  <c r="Q7"/>
  <c r="Q8"/>
  <c r="Q10"/>
  <c r="Q11"/>
  <c r="Q12"/>
  <c r="Q14"/>
  <c r="Q17"/>
  <c r="Q19"/>
  <c r="Q20"/>
  <c r="Q59" s="1"/>
  <c r="Q31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D20"/>
  <c r="H20"/>
  <c r="J20"/>
  <c r="L20"/>
  <c r="N20"/>
  <c r="P20"/>
  <c r="R20"/>
  <c r="R19"/>
  <c r="R18"/>
  <c r="R17"/>
  <c r="R16"/>
  <c r="R15"/>
  <c r="R14"/>
  <c r="R13"/>
  <c r="R12"/>
  <c r="R11"/>
  <c r="R10"/>
  <c r="R9"/>
  <c r="R8"/>
  <c r="R7"/>
  <c r="R6"/>
  <c r="R5"/>
  <c r="E58" l="1"/>
  <c r="S58" s="1"/>
  <c r="E20"/>
  <c r="S20" l="1"/>
  <c r="E59"/>
  <c r="S59" s="1"/>
</calcChain>
</file>

<file path=xl/sharedStrings.xml><?xml version="1.0" encoding="utf-8"?>
<sst xmlns="http://schemas.openxmlformats.org/spreadsheetml/2006/main" count="146" uniqueCount="87">
  <si>
    <r>
      <t xml:space="preserve">BID TOTAL                                </t>
    </r>
    <r>
      <rPr>
        <sz val="8"/>
        <rFont val="Arial"/>
        <family val="2"/>
      </rPr>
      <t>(Bidder must provide rates and the total units for each line item)</t>
    </r>
  </si>
  <si>
    <t xml:space="preserve"> RATE</t>
  </si>
  <si>
    <t># of Hours</t>
  </si>
  <si>
    <t>COST COMPONENT</t>
  </si>
  <si>
    <t>UNITS</t>
  </si>
  <si>
    <t>COST</t>
  </si>
  <si>
    <t>LABOR</t>
  </si>
  <si>
    <t>Sr. Project Engineer, P.E.</t>
  </si>
  <si>
    <t>Sr. Hydrogeologist, P.G.</t>
  </si>
  <si>
    <t>Project Manager</t>
  </si>
  <si>
    <t>Ass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</si>
  <si>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</si>
  <si>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</si>
  <si>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</si>
  <si>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</si>
  <si>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</si>
  <si>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</si>
  <si>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</si>
  <si>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Other (specify)</t>
  </si>
  <si>
    <t>LABOR SUBTOTAL</t>
  </si>
  <si>
    <t>SUBCONTRACTORS / VENDORS</t>
  </si>
  <si>
    <t>Analytical Laboratory (Groundwater)</t>
  </si>
  <si>
    <t>Waste Transport and Disposal</t>
  </si>
  <si>
    <t xml:space="preserve">Geotech Laboratory </t>
  </si>
  <si>
    <t>SUBCONTRACTOR / VENDOR SUBTOTAL</t>
  </si>
  <si>
    <t>OTHER DIRECT COSTS</t>
  </si>
  <si>
    <t>RATE</t>
  </si>
  <si>
    <t>Include mark-up in costs</t>
  </si>
  <si>
    <t>Copies &amp; Report Reprographics</t>
  </si>
  <si>
    <t>Postage/Shipping</t>
  </si>
  <si>
    <t>Vehicle Mileage</t>
  </si>
  <si>
    <t>Tolls/Parking</t>
  </si>
  <si>
    <t>Vehicle Daily Use</t>
  </si>
  <si>
    <t>Per Diem (if applicable)</t>
  </si>
  <si>
    <t>Water Level Meter</t>
  </si>
  <si>
    <t>Oil/Water Interface Probe</t>
  </si>
  <si>
    <t>Photoionization Detector</t>
  </si>
  <si>
    <t>Generator</t>
  </si>
  <si>
    <t>Submersible Pump/Control Box</t>
  </si>
  <si>
    <t>Flow Through Cell</t>
  </si>
  <si>
    <t>Bailers</t>
  </si>
  <si>
    <t>Electronic Data Logger</t>
  </si>
  <si>
    <t>Transducer</t>
  </si>
  <si>
    <t>Safety Equipment</t>
  </si>
  <si>
    <t>Survey Equipment</t>
  </si>
  <si>
    <t>Combo Meter (pH, cond, DO)</t>
  </si>
  <si>
    <t>ODC TOTAL</t>
  </si>
  <si>
    <t>TOTAL LABOR + SUBS + ODCs</t>
  </si>
  <si>
    <t>Administrative</t>
  </si>
  <si>
    <t>Principal</t>
  </si>
  <si>
    <t>Poly/Teflon Tubing (per foot)</t>
  </si>
  <si>
    <t>Carbon Vessel (includes Disposal)</t>
  </si>
  <si>
    <t>Digital Camera</t>
  </si>
  <si>
    <t>Guidance Docs.</t>
  </si>
  <si>
    <t>Proj. Management</t>
  </si>
  <si>
    <t>SRS documents and tax maps</t>
  </si>
  <si>
    <t xml:space="preserve">Private Markout </t>
  </si>
  <si>
    <t>PADEP Report Review Fee</t>
  </si>
  <si>
    <t>LPH recovery products</t>
  </si>
  <si>
    <t>Newspaper Fees</t>
  </si>
  <si>
    <t>Analytical Laboratory (Soil/Soil Gas)</t>
  </si>
  <si>
    <t>Soil Gas Point Install materials</t>
  </si>
  <si>
    <t>Subcontractor / Vendor Mark-up is __% (max 10%)</t>
  </si>
  <si>
    <t>Task  1.1</t>
  </si>
  <si>
    <t>Task 1.2</t>
  </si>
  <si>
    <t>Task 2.1</t>
  </si>
  <si>
    <t>Task 2.2</t>
  </si>
  <si>
    <r>
      <t xml:space="preserve">Task 1.0  Project Planning / Management </t>
    </r>
    <r>
      <rPr>
        <sz val="8"/>
        <rFont val="Arial"/>
        <family val="2"/>
      </rPr>
      <t>(Bidders shall include the corresponding written task description in the bid response text)</t>
    </r>
  </si>
  <si>
    <t>Change Title of Labor Category Where and Appropriate Hourly Rates for   Each Labor Category</t>
  </si>
  <si>
    <t>Driller</t>
  </si>
  <si>
    <t>Provide bid daily rates and change equipment types as needed.  For each subtask, provide the number of units</t>
  </si>
  <si>
    <r>
      <t xml:space="preserve">Costs for Subs/Vendors must include </t>
    </r>
    <r>
      <rPr>
        <b/>
        <u/>
        <sz val="9"/>
        <rFont val="Arial"/>
        <family val="2"/>
      </rPr>
      <t>base cost plus mark-up</t>
    </r>
    <r>
      <rPr>
        <b/>
        <sz val="9"/>
        <rFont val="Arial"/>
        <family val="2"/>
      </rPr>
      <t>, if any. Change subcontractor / vendor type as needed</t>
    </r>
  </si>
  <si>
    <t xml:space="preserve">Optional Cost Adder #2 - Preparation of Summary Progress Report                            </t>
  </si>
  <si>
    <r>
      <t xml:space="preserve">Task 2.0  Quarterly Groundwater Monitoring, Sampling, and Reporting
</t>
    </r>
    <r>
      <rPr>
        <sz val="8"/>
        <rFont val="Arial"/>
        <family val="2"/>
      </rPr>
      <t>(Bidders shall include the corresponding written task description in the bid response text)</t>
    </r>
  </si>
  <si>
    <r>
      <t xml:space="preserve">Task 3.0 Site Closure Activities </t>
    </r>
    <r>
      <rPr>
        <sz val="8"/>
        <rFont val="Arial"/>
        <family val="2"/>
      </rPr>
      <t>(Bidders shall include the corresponding written task description in the bid response text)</t>
    </r>
  </si>
  <si>
    <t>GWS</t>
  </si>
  <si>
    <t>Progress Reports</t>
  </si>
  <si>
    <t>Task  3.1</t>
  </si>
  <si>
    <t>Task  3.2</t>
  </si>
  <si>
    <t>RACR Prep</t>
  </si>
  <si>
    <t>Well Abandon</t>
  </si>
  <si>
    <t>SRS</t>
  </si>
  <si>
    <t>Task 1.3</t>
  </si>
  <si>
    <t xml:space="preserve">Optional Cost Adder #1a - Groundwater Monitoring &amp; Sampling Event                             </t>
  </si>
  <si>
    <t xml:space="preserve">Optional Cost Adder #3 -Soil Gas Sampling                           </t>
  </si>
  <si>
    <t xml:space="preserve">Optional Cost Adder #1b - Sample 1 additional  well                           </t>
  </si>
  <si>
    <r>
      <t xml:space="preserve">COST COMPONENT AND UNIT COSTS                                                      </t>
    </r>
    <r>
      <rPr>
        <sz val="8"/>
        <rFont val="Arial"/>
        <family val="2"/>
      </rPr>
      <t>(Bidders shall present their costs using the task/subtask structure, with tasks 1-5 broken down into logical subtasks)</t>
    </r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</si>
</sst>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8">
    <font>
      <sz val="10"/>
      <name val="Arial"/>
    </font>
    <font>
      <sz val="10"/>
      <name val="Arial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b/>
      <u/>
      <sz val="9"/>
      <name val="Arial"/>
      <family val="2"/>
    </font>
    <font>
      <sz val="9"/>
      <color indexed="48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</cellStyleXfs>
  <cellXfs count="104">
    <xf numFmtId="0" fontId="0" fillId="0" borderId="0" xfId="0"/>
    <xf numFmtId="0" fontId="5" fillId="0" borderId="0" xfId="0" applyFont="1" applyProtection="1">
      <protection locked="0"/>
    </xf>
    <xf numFmtId="0" fontId="6" fillId="24" borderId="10" xfId="0" applyFont="1" applyFill="1" applyBorder="1" applyProtection="1">
      <protection locked="0"/>
    </xf>
    <xf numFmtId="0" fontId="6" fillId="24" borderId="11" xfId="0" applyFont="1" applyFill="1" applyBorder="1" applyProtection="1">
      <protection locked="0"/>
    </xf>
    <xf numFmtId="0" fontId="5" fillId="25" borderId="12" xfId="0" applyFont="1" applyFill="1" applyBorder="1" applyAlignment="1" applyProtection="1">
      <alignment horizontal="center"/>
      <protection locked="0"/>
    </xf>
    <xf numFmtId="0" fontId="6" fillId="24" borderId="13" xfId="0" applyFont="1" applyFill="1" applyBorder="1" applyProtection="1">
      <protection locked="0"/>
    </xf>
    <xf numFmtId="0" fontId="6" fillId="24" borderId="0" xfId="0" applyFont="1" applyFill="1" applyBorder="1" applyProtection="1">
      <protection locked="0"/>
    </xf>
    <xf numFmtId="0" fontId="5" fillId="25" borderId="14" xfId="0" applyFont="1" applyFill="1" applyBorder="1" applyAlignment="1" applyProtection="1">
      <alignment horizontal="center"/>
      <protection locked="0"/>
    </xf>
    <xf numFmtId="0" fontId="7" fillId="24" borderId="15" xfId="0" applyFont="1" applyFill="1" applyBorder="1" applyProtection="1">
      <protection locked="0"/>
    </xf>
    <xf numFmtId="0" fontId="6" fillId="24" borderId="16" xfId="0" applyFont="1" applyFill="1" applyBorder="1" applyProtection="1">
      <protection locked="0"/>
    </xf>
    <xf numFmtId="0" fontId="5" fillId="25" borderId="15" xfId="0" applyFont="1" applyFill="1" applyBorder="1" applyProtection="1">
      <protection locked="0"/>
    </xf>
    <xf numFmtId="0" fontId="5" fillId="25" borderId="17" xfId="0" applyFont="1" applyFill="1" applyBorder="1" applyAlignment="1" applyProtection="1">
      <alignment horizontal="center"/>
      <protection locked="0"/>
    </xf>
    <xf numFmtId="0" fontId="7" fillId="0" borderId="1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5" fillId="26" borderId="18" xfId="0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</xf>
    <xf numFmtId="164" fontId="5" fillId="0" borderId="14" xfId="0" applyNumberFormat="1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/>
    </xf>
    <xf numFmtId="0" fontId="7" fillId="0" borderId="15" xfId="0" applyFont="1" applyBorder="1" applyProtection="1">
      <protection locked="0"/>
    </xf>
    <xf numFmtId="0" fontId="6" fillId="0" borderId="16" xfId="0" applyFont="1" applyBorder="1" applyProtection="1">
      <protection locked="0"/>
    </xf>
    <xf numFmtId="0" fontId="5" fillId="27" borderId="19" xfId="0" applyFont="1" applyFill="1" applyBorder="1" applyProtection="1"/>
    <xf numFmtId="0" fontId="6" fillId="0" borderId="20" xfId="0" applyFont="1" applyBorder="1" applyAlignment="1" applyProtection="1">
      <alignment horizontal="center"/>
    </xf>
    <xf numFmtId="164" fontId="6" fillId="0" borderId="21" xfId="0" applyNumberFormat="1" applyFont="1" applyBorder="1" applyAlignment="1" applyProtection="1">
      <alignment horizontal="center"/>
    </xf>
    <xf numFmtId="0" fontId="6" fillId="0" borderId="11" xfId="0" applyFont="1" applyBorder="1" applyProtection="1">
      <protection locked="0"/>
    </xf>
    <xf numFmtId="0" fontId="5" fillId="27" borderId="22" xfId="0" applyFont="1" applyFill="1" applyBorder="1" applyProtection="1"/>
    <xf numFmtId="0" fontId="5" fillId="27" borderId="10" xfId="0" applyFont="1" applyFill="1" applyBorder="1" applyAlignment="1" applyProtection="1">
      <alignment horizontal="center"/>
    </xf>
    <xf numFmtId="0" fontId="5" fillId="25" borderId="17" xfId="0" applyFont="1" applyFill="1" applyBorder="1" applyAlignment="1" applyProtection="1">
      <alignment horizontal="center"/>
    </xf>
    <xf numFmtId="0" fontId="5" fillId="27" borderId="13" xfId="0" applyFont="1" applyFill="1" applyBorder="1" applyAlignment="1" applyProtection="1">
      <alignment horizontal="center"/>
      <protection locked="0"/>
    </xf>
    <xf numFmtId="164" fontId="5" fillId="0" borderId="14" xfId="0" applyNumberFormat="1" applyFont="1" applyBorder="1" applyAlignment="1" applyProtection="1">
      <alignment horizontal="center"/>
      <protection locked="0"/>
    </xf>
    <xf numFmtId="0" fontId="5" fillId="27" borderId="13" xfId="0" applyFont="1" applyFill="1" applyBorder="1" applyAlignment="1" applyProtection="1">
      <alignment horizontal="center"/>
    </xf>
    <xf numFmtId="0" fontId="5" fillId="0" borderId="0" xfId="0" applyFont="1" applyFill="1" applyBorder="1" applyProtection="1">
      <protection locked="0"/>
    </xf>
    <xf numFmtId="0" fontId="5" fillId="27" borderId="23" xfId="0" applyFont="1" applyFill="1" applyBorder="1" applyAlignment="1" applyProtection="1">
      <alignment horizontal="center"/>
      <protection locked="0"/>
    </xf>
    <xf numFmtId="0" fontId="5" fillId="27" borderId="23" xfId="0" applyFont="1" applyFill="1" applyBorder="1" applyAlignment="1" applyProtection="1">
      <alignment horizontal="center"/>
    </xf>
    <xf numFmtId="0" fontId="5" fillId="27" borderId="15" xfId="0" applyFont="1" applyFill="1" applyBorder="1" applyAlignment="1" applyProtection="1">
      <alignment horizontal="center"/>
    </xf>
    <xf numFmtId="0" fontId="6" fillId="27" borderId="15" xfId="0" applyFont="1" applyFill="1" applyBorder="1" applyAlignment="1" applyProtection="1">
      <alignment horizontal="center"/>
    </xf>
    <xf numFmtId="0" fontId="5" fillId="25" borderId="15" xfId="0" applyFont="1" applyFill="1" applyBorder="1" applyAlignment="1" applyProtection="1">
      <alignment horizontal="center"/>
    </xf>
    <xf numFmtId="0" fontId="6" fillId="27" borderId="0" xfId="0" applyFont="1" applyFill="1" applyBorder="1" applyProtection="1"/>
    <xf numFmtId="0" fontId="7" fillId="0" borderId="13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27" borderId="0" xfId="0" applyFont="1" applyFill="1" applyBorder="1" applyAlignment="1" applyProtection="1">
      <alignment horizontal="center"/>
    </xf>
    <xf numFmtId="164" fontId="6" fillId="0" borderId="12" xfId="0" applyNumberFormat="1" applyFont="1" applyBorder="1" applyAlignment="1" applyProtection="1">
      <alignment horizontal="center"/>
    </xf>
    <xf numFmtId="0" fontId="6" fillId="27" borderId="13" xfId="0" applyFont="1" applyFill="1" applyBorder="1" applyAlignment="1" applyProtection="1">
      <alignment horizontal="center"/>
    </xf>
    <xf numFmtId="0" fontId="7" fillId="0" borderId="24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27" borderId="25" xfId="0" applyFont="1" applyFill="1" applyBorder="1" applyProtection="1"/>
    <xf numFmtId="0" fontId="6" fillId="27" borderId="25" xfId="0" applyFont="1" applyFill="1" applyBorder="1" applyAlignment="1" applyProtection="1">
      <alignment horizontal="center"/>
    </xf>
    <xf numFmtId="164" fontId="6" fillId="0" borderId="26" xfId="0" applyNumberFormat="1" applyFont="1" applyBorder="1" applyAlignment="1" applyProtection="1">
      <alignment horizontal="center"/>
    </xf>
    <xf numFmtId="0" fontId="9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10" xfId="0" applyNumberFormat="1" applyFont="1" applyBorder="1" applyAlignment="1" applyProtection="1">
      <alignment horizontal="center"/>
    </xf>
    <xf numFmtId="164" fontId="6" fillId="0" borderId="27" xfId="0" applyNumberFormat="1" applyFont="1" applyBorder="1" applyAlignment="1" applyProtection="1">
      <alignment horizontal="center"/>
    </xf>
    <xf numFmtId="164" fontId="6" fillId="0" borderId="17" xfId="0" applyNumberFormat="1" applyFont="1" applyBorder="1" applyAlignment="1" applyProtection="1">
      <alignment horizontal="center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9" borderId="15" xfId="0" applyFont="1" applyFill="1" applyBorder="1" applyProtection="1">
      <protection locked="0"/>
    </xf>
    <xf numFmtId="0" fontId="5" fillId="29" borderId="17" xfId="0" applyFont="1" applyFill="1" applyBorder="1" applyAlignment="1" applyProtection="1">
      <alignment horizontal="center"/>
      <protection locked="0"/>
    </xf>
    <xf numFmtId="0" fontId="5" fillId="28" borderId="10" xfId="0" applyFont="1" applyFill="1" applyBorder="1" applyAlignment="1" applyProtection="1">
      <alignment horizontal="center"/>
      <protection locked="0"/>
    </xf>
    <xf numFmtId="164" fontId="5" fillId="28" borderId="12" xfId="0" applyNumberFormat="1" applyFont="1" applyFill="1" applyBorder="1" applyAlignment="1" applyProtection="1">
      <alignment horizontal="center"/>
    </xf>
    <xf numFmtId="164" fontId="5" fillId="28" borderId="14" xfId="0" applyNumberFormat="1" applyFont="1" applyFill="1" applyBorder="1" applyAlignment="1" applyProtection="1">
      <alignment horizontal="center"/>
    </xf>
    <xf numFmtId="0" fontId="6" fillId="28" borderId="20" xfId="0" applyFont="1" applyFill="1" applyBorder="1" applyAlignment="1" applyProtection="1">
      <alignment horizontal="center"/>
    </xf>
    <xf numFmtId="164" fontId="6" fillId="28" borderId="21" xfId="0" applyNumberFormat="1" applyFont="1" applyFill="1" applyBorder="1" applyAlignment="1" applyProtection="1">
      <alignment horizontal="center"/>
    </xf>
    <xf numFmtId="0" fontId="5" fillId="29" borderId="17" xfId="0" applyFont="1" applyFill="1" applyBorder="1" applyAlignment="1" applyProtection="1">
      <alignment horizontal="center"/>
    </xf>
    <xf numFmtId="0" fontId="5" fillId="27" borderId="0" xfId="0" applyFont="1" applyFill="1" applyBorder="1" applyAlignment="1" applyProtection="1">
      <alignment horizontal="center"/>
      <protection locked="0"/>
    </xf>
    <xf numFmtId="164" fontId="5" fillId="28" borderId="14" xfId="0" applyNumberFormat="1" applyFont="1" applyFill="1" applyBorder="1" applyAlignment="1" applyProtection="1">
      <alignment horizontal="center"/>
      <protection locked="0"/>
    </xf>
    <xf numFmtId="0" fontId="5" fillId="27" borderId="28" xfId="0" applyFont="1" applyFill="1" applyBorder="1" applyAlignment="1" applyProtection="1">
      <alignment horizontal="center"/>
      <protection locked="0"/>
    </xf>
    <xf numFmtId="0" fontId="6" fillId="27" borderId="16" xfId="0" applyFont="1" applyFill="1" applyBorder="1" applyAlignment="1" applyProtection="1">
      <alignment horizontal="center"/>
    </xf>
    <xf numFmtId="0" fontId="5" fillId="28" borderId="0" xfId="0" applyFont="1" applyFill="1" applyBorder="1" applyAlignment="1" applyProtection="1">
      <alignment horizontal="center"/>
      <protection locked="0"/>
    </xf>
    <xf numFmtId="0" fontId="5" fillId="28" borderId="15" xfId="0" applyFont="1" applyFill="1" applyBorder="1" applyAlignment="1" applyProtection="1">
      <alignment horizontal="center"/>
      <protection locked="0"/>
    </xf>
    <xf numFmtId="164" fontId="6" fillId="28" borderId="12" xfId="0" applyNumberFormat="1" applyFont="1" applyFill="1" applyBorder="1" applyAlignment="1" applyProtection="1">
      <alignment horizontal="center"/>
    </xf>
    <xf numFmtId="164" fontId="6" fillId="28" borderId="26" xfId="0" applyNumberFormat="1" applyFont="1" applyFill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  <protection locked="0"/>
    </xf>
    <xf numFmtId="0" fontId="5" fillId="29" borderId="15" xfId="0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left"/>
      <protection locked="0"/>
    </xf>
    <xf numFmtId="0" fontId="4" fillId="28" borderId="10" xfId="0" applyFont="1" applyFill="1" applyBorder="1" applyAlignment="1" applyProtection="1">
      <alignment horizontal="center" vertical="center" wrapText="1"/>
      <protection locked="0"/>
    </xf>
    <xf numFmtId="0" fontId="4" fillId="28" borderId="12" xfId="0" applyFont="1" applyFill="1" applyBorder="1" applyAlignment="1" applyProtection="1">
      <alignment horizontal="center" vertical="center" wrapText="1"/>
      <protection locked="0"/>
    </xf>
    <xf numFmtId="0" fontId="4" fillId="28" borderId="13" xfId="0" applyFont="1" applyFill="1" applyBorder="1" applyAlignment="1" applyProtection="1">
      <alignment horizontal="center" vertical="center" wrapText="1"/>
      <protection locked="0"/>
    </xf>
    <xf numFmtId="0" fontId="4" fillId="28" borderId="14" xfId="0" applyFont="1" applyFill="1" applyBorder="1" applyAlignment="1" applyProtection="1">
      <alignment horizontal="center" vertical="center" wrapText="1"/>
      <protection locked="0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8" borderId="14" xfId="0" applyFont="1" applyFill="1" applyBorder="1" applyAlignment="1" applyProtection="1">
      <alignment horizontal="center"/>
      <protection locked="0"/>
    </xf>
    <xf numFmtId="0" fontId="2" fillId="24" borderId="20" xfId="0" applyFont="1" applyFill="1" applyBorder="1" applyAlignment="1" applyProtection="1">
      <alignment horizontal="center" vertical="center" wrapText="1"/>
      <protection locked="0"/>
    </xf>
    <xf numFmtId="0" fontId="2" fillId="24" borderId="29" xfId="0" applyFont="1" applyFill="1" applyBorder="1" applyAlignment="1" applyProtection="1">
      <alignment horizontal="center" vertical="center" wrapText="1"/>
      <protection locked="0"/>
    </xf>
    <xf numFmtId="0" fontId="2" fillId="24" borderId="21" xfId="0" applyFont="1" applyFill="1" applyBorder="1" applyAlignment="1" applyProtection="1">
      <alignment horizontal="center" vertical="center" wrapText="1"/>
      <protection locked="0"/>
    </xf>
    <xf numFmtId="0" fontId="7" fillId="24" borderId="22" xfId="0" applyFont="1" applyFill="1" applyBorder="1" applyAlignment="1" applyProtection="1">
      <alignment horizontal="center" wrapText="1"/>
      <protection locked="0"/>
    </xf>
    <xf numFmtId="0" fontId="7" fillId="24" borderId="18" xfId="0" applyFont="1" applyFill="1" applyBorder="1" applyAlignment="1" applyProtection="1">
      <alignment horizontal="center" wrapText="1"/>
      <protection locked="0"/>
    </xf>
    <xf numFmtId="0" fontId="7" fillId="24" borderId="19" xfId="0" applyFont="1" applyFill="1" applyBorder="1" applyAlignment="1" applyProtection="1">
      <alignment horizontal="center" wrapText="1"/>
      <protection locked="0"/>
    </xf>
    <xf numFmtId="0" fontId="5" fillId="24" borderId="10" xfId="0" applyFont="1" applyFill="1" applyBorder="1" applyAlignment="1" applyProtection="1">
      <alignment horizontal="center"/>
      <protection locked="0"/>
    </xf>
    <xf numFmtId="0" fontId="5" fillId="24" borderId="12" xfId="0" applyFont="1" applyFill="1" applyBorder="1" applyAlignment="1" applyProtection="1">
      <alignment horizontal="center"/>
      <protection locked="0"/>
    </xf>
    <xf numFmtId="0" fontId="5" fillId="24" borderId="13" xfId="0" applyFont="1" applyFill="1" applyBorder="1" applyAlignment="1" applyProtection="1">
      <alignment horizontal="center"/>
      <protection locked="0"/>
    </xf>
    <xf numFmtId="0" fontId="5" fillId="24" borderId="14" xfId="0" applyFont="1" applyFill="1" applyBorder="1" applyAlignment="1" applyProtection="1">
      <alignment horizontal="center"/>
      <protection locked="0"/>
    </xf>
    <xf numFmtId="0" fontId="2" fillId="26" borderId="30" xfId="0" applyFont="1" applyFill="1" applyBorder="1" applyAlignment="1" applyProtection="1">
      <alignment horizontal="center" vertical="center" textRotation="90" wrapText="1"/>
      <protection locked="0"/>
    </xf>
    <xf numFmtId="0" fontId="2" fillId="26" borderId="31" xfId="0" applyFont="1" applyFill="1" applyBorder="1" applyAlignment="1" applyProtection="1">
      <alignment horizontal="center" vertical="center" textRotation="90" wrapText="1"/>
      <protection locked="0"/>
    </xf>
    <xf numFmtId="0" fontId="2" fillId="26" borderId="32" xfId="0" applyFont="1" applyFill="1" applyBorder="1" applyAlignment="1" applyProtection="1">
      <alignment horizontal="center" vertical="center" textRotation="90" wrapText="1"/>
      <protection locked="0"/>
    </xf>
    <xf numFmtId="0" fontId="2" fillId="26" borderId="22" xfId="0" applyFont="1" applyFill="1" applyBorder="1" applyAlignment="1" applyProtection="1">
      <alignment horizontal="center" vertical="center" textRotation="90" wrapText="1"/>
      <protection locked="0"/>
    </xf>
    <xf numFmtId="0" fontId="2" fillId="26" borderId="18" xfId="0" applyFont="1" applyFill="1" applyBorder="1" applyAlignment="1" applyProtection="1">
      <alignment horizontal="center" vertical="center" textRotation="90" wrapText="1"/>
      <protection locked="0"/>
    </xf>
    <xf numFmtId="0" fontId="2" fillId="26" borderId="19" xfId="0" applyFont="1" applyFill="1" applyBorder="1" applyAlignment="1" applyProtection="1">
      <alignment horizontal="center" vertical="center" textRotation="90" wrapText="1"/>
      <protection locked="0"/>
    </xf>
    <xf numFmtId="0" fontId="2" fillId="26" borderId="30" xfId="0" applyFont="1" applyFill="1" applyBorder="1" applyAlignment="1" applyProtection="1">
      <alignment horizontal="center" textRotation="90" wrapText="1"/>
      <protection locked="0"/>
    </xf>
    <xf numFmtId="0" fontId="2" fillId="26" borderId="31" xfId="0" applyFont="1" applyFill="1" applyBorder="1" applyAlignment="1" applyProtection="1">
      <alignment horizontal="center" textRotation="90" wrapText="1"/>
      <protection locked="0"/>
    </xf>
    <xf numFmtId="0" fontId="2" fillId="26" borderId="32" xfId="0" applyFont="1" applyFill="1" applyBorder="1" applyAlignment="1" applyProtection="1">
      <alignment horizontal="center" textRotation="90" wrapText="1"/>
      <protection locked="0"/>
    </xf>
    <xf numFmtId="0" fontId="4" fillId="24" borderId="20" xfId="0" applyFont="1" applyFill="1" applyBorder="1" applyAlignment="1" applyProtection="1">
      <alignment horizontal="center" vertical="center" wrapText="1"/>
      <protection locked="0"/>
    </xf>
    <xf numFmtId="0" fontId="4" fillId="24" borderId="29" xfId="0" applyFont="1" applyFill="1" applyBorder="1" applyAlignment="1" applyProtection="1">
      <alignment horizontal="center" vertical="center" wrapText="1"/>
      <protection locked="0"/>
    </xf>
    <xf numFmtId="0" fontId="5" fillId="25" borderId="10" xfId="0" applyFont="1" applyFill="1" applyBorder="1" applyAlignment="1" applyProtection="1">
      <alignment horizontal="center" wrapText="1"/>
      <protection locked="0"/>
    </xf>
    <xf numFmtId="0" fontId="5" fillId="25" borderId="13" xfId="0" applyFont="1" applyFill="1" applyBorder="1" applyAlignment="1" applyProtection="1">
      <alignment horizontal="center" wrapText="1"/>
      <protection locked="0"/>
    </xf>
    <xf numFmtId="0" fontId="5" fillId="25" borderId="15" xfId="0" applyFont="1" applyFill="1" applyBorder="1" applyAlignment="1" applyProtection="1">
      <alignment horizontal="center" wrapText="1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0"/>
  <sheetViews>
    <sheetView tabSelected="1" topLeftCell="C1" zoomScale="105" zoomScaleNormal="100" workbookViewId="0">
      <selection activeCell="T9" sqref="T9"/>
    </sheetView>
  </sheetViews>
  <sheetFormatPr defaultColWidth="8.7109375" defaultRowHeight="12"/>
  <cols>
    <col min="1" max="1" width="11.85546875" style="1" customWidth="1"/>
    <col min="2" max="2" width="30.85546875" style="1" customWidth="1"/>
    <col min="3" max="3" width="8" style="1" customWidth="1"/>
    <col min="4" max="4" width="5.7109375" style="1" customWidth="1"/>
    <col min="5" max="5" width="9.42578125" style="1" customWidth="1"/>
    <col min="6" max="6" width="5.7109375" style="1" customWidth="1"/>
    <col min="7" max="7" width="9.42578125" style="1" customWidth="1"/>
    <col min="8" max="8" width="5.7109375" style="1" customWidth="1"/>
    <col min="9" max="9" width="9.42578125" style="1" customWidth="1"/>
    <col min="10" max="10" width="5.7109375" style="1" customWidth="1"/>
    <col min="11" max="11" width="9.42578125" style="1" customWidth="1"/>
    <col min="12" max="12" width="6.7109375" style="1" customWidth="1"/>
    <col min="13" max="13" width="10.28515625" style="1" customWidth="1"/>
    <col min="14" max="14" width="5.7109375" style="1" customWidth="1"/>
    <col min="15" max="15" width="9.42578125" style="1" customWidth="1"/>
    <col min="16" max="16" width="5.7109375" style="1" customWidth="1"/>
    <col min="17" max="17" width="9.42578125" style="1" customWidth="1"/>
    <col min="18" max="18" width="5.7109375" style="50" customWidth="1"/>
    <col min="19" max="19" width="10.7109375" style="50" customWidth="1"/>
    <col min="20" max="16384" width="8.7109375" style="1"/>
  </cols>
  <sheetData>
    <row r="1" spans="1:27" ht="113.25" customHeight="1" thickBot="1">
      <c r="A1" s="80" t="s">
        <v>86</v>
      </c>
      <c r="B1" s="81"/>
      <c r="C1" s="82"/>
      <c r="D1" s="99" t="s">
        <v>67</v>
      </c>
      <c r="E1" s="100"/>
      <c r="F1" s="100"/>
      <c r="G1" s="100"/>
      <c r="H1" s="100"/>
      <c r="I1" s="100"/>
      <c r="J1" s="99" t="s">
        <v>73</v>
      </c>
      <c r="K1" s="100"/>
      <c r="L1" s="100"/>
      <c r="M1" s="100"/>
      <c r="N1" s="99" t="s">
        <v>74</v>
      </c>
      <c r="O1" s="100"/>
      <c r="P1" s="100"/>
      <c r="Q1" s="100"/>
      <c r="R1" s="80" t="s">
        <v>0</v>
      </c>
      <c r="S1" s="82"/>
      <c r="T1" s="74" t="s">
        <v>83</v>
      </c>
      <c r="U1" s="75"/>
      <c r="V1" s="74" t="s">
        <v>85</v>
      </c>
      <c r="W1" s="75"/>
      <c r="X1" s="74" t="s">
        <v>72</v>
      </c>
      <c r="Y1" s="75"/>
      <c r="Z1" s="74" t="s">
        <v>84</v>
      </c>
      <c r="AA1" s="75"/>
    </row>
    <row r="2" spans="1:27" ht="12.75" customHeight="1">
      <c r="A2" s="2"/>
      <c r="B2" s="3"/>
      <c r="C2" s="83" t="s">
        <v>1</v>
      </c>
      <c r="D2" s="86" t="s">
        <v>63</v>
      </c>
      <c r="E2" s="87"/>
      <c r="F2" s="86" t="s">
        <v>64</v>
      </c>
      <c r="G2" s="87"/>
      <c r="H2" s="86" t="s">
        <v>82</v>
      </c>
      <c r="I2" s="87"/>
      <c r="J2" s="86" t="s">
        <v>65</v>
      </c>
      <c r="K2" s="87"/>
      <c r="L2" s="86" t="s">
        <v>66</v>
      </c>
      <c r="M2" s="87"/>
      <c r="N2" s="86" t="s">
        <v>77</v>
      </c>
      <c r="O2" s="87"/>
      <c r="P2" s="86" t="s">
        <v>78</v>
      </c>
      <c r="Q2" s="87"/>
      <c r="R2" s="101" t="s">
        <v>2</v>
      </c>
      <c r="S2" s="4"/>
      <c r="T2" s="76"/>
      <c r="U2" s="77"/>
      <c r="V2" s="76"/>
      <c r="W2" s="77"/>
      <c r="X2" s="76"/>
      <c r="Y2" s="77"/>
      <c r="Z2" s="76"/>
      <c r="AA2" s="77"/>
    </row>
    <row r="3" spans="1:27" ht="11.25" customHeight="1">
      <c r="A3" s="5"/>
      <c r="B3" s="6"/>
      <c r="C3" s="84"/>
      <c r="D3" s="88" t="s">
        <v>53</v>
      </c>
      <c r="E3" s="89"/>
      <c r="F3" s="88" t="s">
        <v>54</v>
      </c>
      <c r="G3" s="89"/>
      <c r="H3" s="88" t="s">
        <v>81</v>
      </c>
      <c r="I3" s="89"/>
      <c r="J3" s="88" t="s">
        <v>75</v>
      </c>
      <c r="K3" s="89"/>
      <c r="L3" s="88" t="s">
        <v>76</v>
      </c>
      <c r="M3" s="89"/>
      <c r="N3" s="88" t="s">
        <v>79</v>
      </c>
      <c r="O3" s="89"/>
      <c r="P3" s="88" t="s">
        <v>80</v>
      </c>
      <c r="Q3" s="89"/>
      <c r="R3" s="102"/>
      <c r="S3" s="7"/>
      <c r="T3" s="78"/>
      <c r="U3" s="79"/>
      <c r="V3" s="78"/>
      <c r="W3" s="79"/>
      <c r="X3" s="78"/>
      <c r="Y3" s="79"/>
      <c r="Z3" s="78"/>
      <c r="AA3" s="79"/>
    </row>
    <row r="4" spans="1:27" ht="12.75" thickBot="1">
      <c r="A4" s="8" t="s">
        <v>3</v>
      </c>
      <c r="B4" s="9"/>
      <c r="C4" s="85"/>
      <c r="D4" s="10" t="s">
        <v>4</v>
      </c>
      <c r="E4" s="11" t="s">
        <v>5</v>
      </c>
      <c r="F4" s="10" t="s">
        <v>4</v>
      </c>
      <c r="G4" s="11" t="s">
        <v>5</v>
      </c>
      <c r="H4" s="10" t="s">
        <v>4</v>
      </c>
      <c r="I4" s="11" t="s">
        <v>5</v>
      </c>
      <c r="J4" s="10" t="s">
        <v>4</v>
      </c>
      <c r="K4" s="11" t="s">
        <v>5</v>
      </c>
      <c r="L4" s="10" t="s">
        <v>4</v>
      </c>
      <c r="M4" s="11" t="s">
        <v>5</v>
      </c>
      <c r="N4" s="10" t="s">
        <v>4</v>
      </c>
      <c r="O4" s="11" t="s">
        <v>5</v>
      </c>
      <c r="P4" s="10" t="s">
        <v>4</v>
      </c>
      <c r="Q4" s="11" t="s">
        <v>5</v>
      </c>
      <c r="R4" s="103"/>
      <c r="S4" s="11" t="s">
        <v>5</v>
      </c>
      <c r="T4" s="55" t="s">
        <v>4</v>
      </c>
      <c r="U4" s="56" t="s">
        <v>5</v>
      </c>
      <c r="V4" s="55" t="s">
        <v>4</v>
      </c>
      <c r="W4" s="56" t="s">
        <v>5</v>
      </c>
      <c r="X4" s="55" t="s">
        <v>4</v>
      </c>
      <c r="Y4" s="56" t="s">
        <v>5</v>
      </c>
      <c r="Z4" s="55" t="s">
        <v>4</v>
      </c>
      <c r="AA4" s="56" t="s">
        <v>5</v>
      </c>
    </row>
    <row r="5" spans="1:27">
      <c r="A5" s="12" t="s">
        <v>6</v>
      </c>
      <c r="B5" s="13" t="s">
        <v>49</v>
      </c>
      <c r="C5" s="14">
        <v>0</v>
      </c>
      <c r="D5" s="15"/>
      <c r="E5" s="16">
        <f>$C5*D5</f>
        <v>0</v>
      </c>
      <c r="F5" s="15"/>
      <c r="G5" s="16">
        <f>$C5*F5</f>
        <v>0</v>
      </c>
      <c r="H5" s="15"/>
      <c r="I5" s="16">
        <f>$C5*H5</f>
        <v>0</v>
      </c>
      <c r="J5" s="15"/>
      <c r="K5" s="16">
        <f>$C5*J5</f>
        <v>0</v>
      </c>
      <c r="L5" s="15"/>
      <c r="M5" s="16">
        <f>$C5*L5</f>
        <v>0</v>
      </c>
      <c r="N5" s="15"/>
      <c r="O5" s="16">
        <f>$C5*N5</f>
        <v>0</v>
      </c>
      <c r="P5" s="15"/>
      <c r="Q5" s="16">
        <f>$C5*P5</f>
        <v>0</v>
      </c>
      <c r="R5" s="51">
        <f>D5+H5+J5+L5+N5+P5</f>
        <v>0</v>
      </c>
      <c r="S5" s="17">
        <f>E5+I5+K5+M5+O5+Q5+G5</f>
        <v>0</v>
      </c>
      <c r="T5" s="57"/>
      <c r="U5" s="58">
        <v>0</v>
      </c>
      <c r="V5" s="57"/>
      <c r="W5" s="58">
        <v>0</v>
      </c>
      <c r="X5" s="57"/>
      <c r="Y5" s="58">
        <v>0</v>
      </c>
      <c r="Z5" s="57"/>
      <c r="AA5" s="58">
        <v>0</v>
      </c>
    </row>
    <row r="6" spans="1:27">
      <c r="A6" s="90" t="s">
        <v>68</v>
      </c>
      <c r="B6" s="13" t="s">
        <v>7</v>
      </c>
      <c r="C6" s="14">
        <v>0</v>
      </c>
      <c r="D6" s="18"/>
      <c r="E6" s="17">
        <f t="shared" ref="E6:E19" si="0">$C6*D6</f>
        <v>0</v>
      </c>
      <c r="F6" s="18"/>
      <c r="G6" s="17">
        <f>$C6*F6</f>
        <v>0</v>
      </c>
      <c r="H6" s="18"/>
      <c r="I6" s="17">
        <f>$C6*H6</f>
        <v>0</v>
      </c>
      <c r="J6" s="18"/>
      <c r="K6" s="17">
        <f>$C6*J6</f>
        <v>0</v>
      </c>
      <c r="L6" s="18"/>
      <c r="M6" s="17">
        <f>$C6*L6</f>
        <v>0</v>
      </c>
      <c r="N6" s="18"/>
      <c r="O6" s="17">
        <f t="shared" ref="O6:O19" si="1">$C6*N6</f>
        <v>0</v>
      </c>
      <c r="P6" s="18"/>
      <c r="Q6" s="17">
        <f>$C6*P6</f>
        <v>0</v>
      </c>
      <c r="R6" s="19">
        <f t="shared" ref="R6:R20" si="2">D6+H6+J6+L6+N6+P6</f>
        <v>0</v>
      </c>
      <c r="S6" s="17">
        <f t="shared" ref="S6:S59" si="3">E6+I6+K6+M6+O6+Q6+G6</f>
        <v>0</v>
      </c>
      <c r="T6" s="54"/>
      <c r="U6" s="59">
        <v>0</v>
      </c>
      <c r="V6" s="54"/>
      <c r="W6" s="59">
        <v>0</v>
      </c>
      <c r="X6" s="54"/>
      <c r="Y6" s="59">
        <v>0</v>
      </c>
      <c r="Z6" s="54"/>
      <c r="AA6" s="59">
        <v>0</v>
      </c>
    </row>
    <row r="7" spans="1:27">
      <c r="A7" s="91"/>
      <c r="B7" s="13" t="s">
        <v>8</v>
      </c>
      <c r="C7" s="14">
        <v>0</v>
      </c>
      <c r="D7" s="18"/>
      <c r="E7" s="17">
        <f t="shared" si="0"/>
        <v>0</v>
      </c>
      <c r="F7" s="18"/>
      <c r="G7" s="17">
        <f>$C7*F7</f>
        <v>0</v>
      </c>
      <c r="H7" s="18"/>
      <c r="I7" s="17">
        <f>$C7*H7</f>
        <v>0</v>
      </c>
      <c r="J7" s="18"/>
      <c r="K7" s="17">
        <f>$C7*J7</f>
        <v>0</v>
      </c>
      <c r="L7" s="18"/>
      <c r="M7" s="17">
        <f>$C7*L7</f>
        <v>0</v>
      </c>
      <c r="N7" s="18"/>
      <c r="O7" s="17">
        <f t="shared" si="1"/>
        <v>0</v>
      </c>
      <c r="P7" s="18"/>
      <c r="Q7" s="17">
        <f>$C7*P7</f>
        <v>0</v>
      </c>
      <c r="R7" s="19">
        <f t="shared" si="2"/>
        <v>0</v>
      </c>
      <c r="S7" s="17">
        <f t="shared" si="3"/>
        <v>0</v>
      </c>
      <c r="T7" s="54"/>
      <c r="U7" s="59">
        <v>0</v>
      </c>
      <c r="V7" s="54"/>
      <c r="W7" s="59">
        <v>0</v>
      </c>
      <c r="X7" s="54"/>
      <c r="Y7" s="59">
        <v>0</v>
      </c>
      <c r="Z7" s="54"/>
      <c r="AA7" s="59">
        <v>0</v>
      </c>
    </row>
    <row r="8" spans="1:27">
      <c r="A8" s="91"/>
      <c r="B8" s="13" t="s">
        <v>9</v>
      </c>
      <c r="C8" s="14">
        <v>0</v>
      </c>
      <c r="D8" s="18"/>
      <c r="E8" s="17">
        <f t="shared" si="0"/>
        <v>0</v>
      </c>
      <c r="F8" s="18"/>
      <c r="G8" s="17">
        <f>$C8*F8</f>
        <v>0</v>
      </c>
      <c r="H8" s="18"/>
      <c r="I8" s="17">
        <f>$C8*H8</f>
        <v>0</v>
      </c>
      <c r="J8" s="18"/>
      <c r="K8" s="17">
        <f>$C8*J8</f>
        <v>0</v>
      </c>
      <c r="L8" s="18"/>
      <c r="M8" s="17">
        <f>$C8*L8</f>
        <v>0</v>
      </c>
      <c r="N8" s="18"/>
      <c r="O8" s="17">
        <f t="shared" si="1"/>
        <v>0</v>
      </c>
      <c r="P8" s="18"/>
      <c r="Q8" s="17">
        <f>$C8*P8</f>
        <v>0</v>
      </c>
      <c r="R8" s="19">
        <f t="shared" si="2"/>
        <v>0</v>
      </c>
      <c r="S8" s="17">
        <f t="shared" si="3"/>
        <v>0</v>
      </c>
      <c r="T8" s="54"/>
      <c r="U8" s="59">
        <v>0</v>
      </c>
      <c r="V8" s="54"/>
      <c r="W8" s="59">
        <v>0</v>
      </c>
      <c r="X8" s="54"/>
      <c r="Y8" s="59">
        <v>0</v>
      </c>
      <c r="Z8" s="54"/>
      <c r="AA8" s="59">
        <v>0</v>
      </c>
    </row>
    <row r="9" spans="1:27">
      <c r="A9" s="91"/>
      <c r="B9" s="13" t="s">
        <v>10</v>
      </c>
      <c r="C9" s="14">
        <v>0</v>
      </c>
      <c r="D9" s="18"/>
      <c r="E9" s="17">
        <v>0</v>
      </c>
      <c r="F9" s="18"/>
      <c r="G9" s="17">
        <v>0</v>
      </c>
      <c r="H9" s="18"/>
      <c r="I9" s="17">
        <v>0</v>
      </c>
      <c r="J9" s="18"/>
      <c r="K9" s="17">
        <v>0</v>
      </c>
      <c r="L9" s="18"/>
      <c r="M9" s="17">
        <v>0</v>
      </c>
      <c r="N9" s="18"/>
      <c r="O9" s="17">
        <v>0</v>
      </c>
      <c r="P9" s="18"/>
      <c r="Q9" s="17">
        <v>0</v>
      </c>
      <c r="R9" s="19">
        <f t="shared" si="2"/>
        <v>0</v>
      </c>
      <c r="S9" s="17">
        <f t="shared" si="3"/>
        <v>0</v>
      </c>
      <c r="T9" s="54"/>
      <c r="U9" s="59">
        <v>0</v>
      </c>
      <c r="V9" s="54"/>
      <c r="W9" s="59">
        <v>0</v>
      </c>
      <c r="X9" s="54"/>
      <c r="Y9" s="59">
        <v>0</v>
      </c>
      <c r="Z9" s="54"/>
      <c r="AA9" s="59">
        <v>0</v>
      </c>
    </row>
    <row r="10" spans="1:27">
      <c r="A10" s="91"/>
      <c r="B10" s="13" t="s">
        <v>11</v>
      </c>
      <c r="C10" s="14">
        <v>0</v>
      </c>
      <c r="D10" s="18"/>
      <c r="E10" s="17">
        <f t="shared" si="0"/>
        <v>0</v>
      </c>
      <c r="F10" s="18"/>
      <c r="G10" s="17">
        <f>$C10*F10</f>
        <v>0</v>
      </c>
      <c r="H10" s="18"/>
      <c r="I10" s="17">
        <f>$C10*H10</f>
        <v>0</v>
      </c>
      <c r="J10" s="18"/>
      <c r="K10" s="17">
        <f>$C10*J10</f>
        <v>0</v>
      </c>
      <c r="L10" s="18"/>
      <c r="M10" s="17">
        <f>$C10*L10</f>
        <v>0</v>
      </c>
      <c r="N10" s="18"/>
      <c r="O10" s="17">
        <f t="shared" si="1"/>
        <v>0</v>
      </c>
      <c r="P10" s="18"/>
      <c r="Q10" s="17">
        <f>$C10*P10</f>
        <v>0</v>
      </c>
      <c r="R10" s="19">
        <f t="shared" si="2"/>
        <v>0</v>
      </c>
      <c r="S10" s="17">
        <f t="shared" si="3"/>
        <v>0</v>
      </c>
      <c r="T10" s="54"/>
      <c r="U10" s="59">
        <v>0</v>
      </c>
      <c r="V10" s="54"/>
      <c r="W10" s="59">
        <v>0</v>
      </c>
      <c r="X10" s="54"/>
      <c r="Y10" s="59">
        <v>0</v>
      </c>
      <c r="Z10" s="54"/>
      <c r="AA10" s="59">
        <v>0</v>
      </c>
    </row>
    <row r="11" spans="1:27">
      <c r="A11" s="91"/>
      <c r="B11" s="13" t="s">
        <v>12</v>
      </c>
      <c r="C11" s="14">
        <v>0</v>
      </c>
      <c r="D11" s="18"/>
      <c r="E11" s="17">
        <f t="shared" si="0"/>
        <v>0</v>
      </c>
      <c r="F11" s="18"/>
      <c r="G11" s="17">
        <f>$C11*F11</f>
        <v>0</v>
      </c>
      <c r="H11" s="18"/>
      <c r="I11" s="17">
        <f>$C11*H11</f>
        <v>0</v>
      </c>
      <c r="J11" s="18"/>
      <c r="K11" s="17">
        <f>$C11*J11</f>
        <v>0</v>
      </c>
      <c r="L11" s="18"/>
      <c r="M11" s="17">
        <f>$C11*L11</f>
        <v>0</v>
      </c>
      <c r="N11" s="18"/>
      <c r="O11" s="17">
        <f t="shared" si="1"/>
        <v>0</v>
      </c>
      <c r="P11" s="18"/>
      <c r="Q11" s="17">
        <f>$C11*P11</f>
        <v>0</v>
      </c>
      <c r="R11" s="19">
        <f t="shared" si="2"/>
        <v>0</v>
      </c>
      <c r="S11" s="17">
        <f t="shared" si="3"/>
        <v>0</v>
      </c>
      <c r="T11" s="54"/>
      <c r="U11" s="59">
        <v>0</v>
      </c>
      <c r="V11" s="54"/>
      <c r="W11" s="59">
        <v>0</v>
      </c>
      <c r="X11" s="54"/>
      <c r="Y11" s="59">
        <v>0</v>
      </c>
      <c r="Z11" s="54"/>
      <c r="AA11" s="59">
        <v>0</v>
      </c>
    </row>
    <row r="12" spans="1:27">
      <c r="A12" s="91"/>
      <c r="B12" s="13" t="s">
        <v>13</v>
      </c>
      <c r="C12" s="14">
        <v>0</v>
      </c>
      <c r="D12" s="18"/>
      <c r="E12" s="17">
        <f t="shared" si="0"/>
        <v>0</v>
      </c>
      <c r="F12" s="18"/>
      <c r="G12" s="17">
        <f>$C12*F12</f>
        <v>0</v>
      </c>
      <c r="H12" s="18"/>
      <c r="I12" s="17">
        <f>$C12*H12</f>
        <v>0</v>
      </c>
      <c r="J12" s="18"/>
      <c r="K12" s="17">
        <f>$C12*J12</f>
        <v>0</v>
      </c>
      <c r="L12" s="18"/>
      <c r="M12" s="17">
        <f>$C12*L12</f>
        <v>0</v>
      </c>
      <c r="N12" s="18"/>
      <c r="O12" s="17">
        <f t="shared" si="1"/>
        <v>0</v>
      </c>
      <c r="P12" s="18"/>
      <c r="Q12" s="17">
        <f>$C12*P12</f>
        <v>0</v>
      </c>
      <c r="R12" s="19">
        <f t="shared" si="2"/>
        <v>0</v>
      </c>
      <c r="S12" s="17">
        <f t="shared" si="3"/>
        <v>0</v>
      </c>
      <c r="T12" s="54"/>
      <c r="U12" s="59">
        <v>0</v>
      </c>
      <c r="V12" s="54"/>
      <c r="W12" s="59">
        <v>0</v>
      </c>
      <c r="X12" s="54"/>
      <c r="Y12" s="59">
        <v>0</v>
      </c>
      <c r="Z12" s="54"/>
      <c r="AA12" s="59">
        <v>0</v>
      </c>
    </row>
    <row r="13" spans="1:27">
      <c r="A13" s="91"/>
      <c r="B13" s="13" t="s">
        <v>14</v>
      </c>
      <c r="C13" s="14">
        <v>0</v>
      </c>
      <c r="D13" s="18"/>
      <c r="E13" s="17">
        <v>0</v>
      </c>
      <c r="F13" s="18"/>
      <c r="G13" s="17">
        <v>0</v>
      </c>
      <c r="H13" s="18"/>
      <c r="I13" s="17">
        <v>0</v>
      </c>
      <c r="J13" s="18"/>
      <c r="K13" s="17">
        <v>0</v>
      </c>
      <c r="L13" s="18"/>
      <c r="M13" s="17">
        <v>0</v>
      </c>
      <c r="N13" s="18"/>
      <c r="O13" s="17">
        <v>0</v>
      </c>
      <c r="P13" s="18"/>
      <c r="Q13" s="17">
        <v>0</v>
      </c>
      <c r="R13" s="19">
        <f t="shared" si="2"/>
        <v>0</v>
      </c>
      <c r="S13" s="17">
        <f t="shared" si="3"/>
        <v>0</v>
      </c>
      <c r="T13" s="54"/>
      <c r="U13" s="59">
        <v>0</v>
      </c>
      <c r="V13" s="54"/>
      <c r="W13" s="59">
        <v>0</v>
      </c>
      <c r="X13" s="54"/>
      <c r="Y13" s="59">
        <v>0</v>
      </c>
      <c r="Z13" s="54"/>
      <c r="AA13" s="59">
        <v>0</v>
      </c>
    </row>
    <row r="14" spans="1:27">
      <c r="A14" s="91"/>
      <c r="B14" s="13" t="s">
        <v>15</v>
      </c>
      <c r="C14" s="14">
        <v>0</v>
      </c>
      <c r="D14" s="18"/>
      <c r="E14" s="17">
        <f t="shared" si="0"/>
        <v>0</v>
      </c>
      <c r="F14" s="18"/>
      <c r="G14" s="17">
        <f>$C14*F14</f>
        <v>0</v>
      </c>
      <c r="H14" s="18"/>
      <c r="I14" s="17">
        <f>$C14*H14</f>
        <v>0</v>
      </c>
      <c r="J14" s="18"/>
      <c r="K14" s="17">
        <f>$C14*J14</f>
        <v>0</v>
      </c>
      <c r="L14" s="18"/>
      <c r="M14" s="17">
        <f>$C14*L14</f>
        <v>0</v>
      </c>
      <c r="N14" s="18"/>
      <c r="O14" s="17">
        <f t="shared" si="1"/>
        <v>0</v>
      </c>
      <c r="P14" s="18"/>
      <c r="Q14" s="17">
        <f>$C14*P14</f>
        <v>0</v>
      </c>
      <c r="R14" s="19">
        <f t="shared" si="2"/>
        <v>0</v>
      </c>
      <c r="S14" s="17">
        <f t="shared" si="3"/>
        <v>0</v>
      </c>
      <c r="T14" s="54"/>
      <c r="U14" s="59">
        <v>0</v>
      </c>
      <c r="V14" s="54"/>
      <c r="W14" s="59">
        <v>0</v>
      </c>
      <c r="X14" s="54"/>
      <c r="Y14" s="59">
        <v>0</v>
      </c>
      <c r="Z14" s="54"/>
      <c r="AA14" s="59">
        <v>0</v>
      </c>
    </row>
    <row r="15" spans="1:27">
      <c r="A15" s="91"/>
      <c r="B15" s="13" t="s">
        <v>16</v>
      </c>
      <c r="C15" s="14">
        <v>0</v>
      </c>
      <c r="D15" s="18"/>
      <c r="E15" s="17">
        <v>0</v>
      </c>
      <c r="F15" s="18"/>
      <c r="G15" s="17">
        <v>0</v>
      </c>
      <c r="H15" s="18"/>
      <c r="I15" s="17">
        <v>0</v>
      </c>
      <c r="J15" s="18"/>
      <c r="K15" s="17">
        <v>0</v>
      </c>
      <c r="L15" s="18"/>
      <c r="M15" s="17">
        <v>0</v>
      </c>
      <c r="N15" s="18"/>
      <c r="O15" s="17">
        <v>0</v>
      </c>
      <c r="P15" s="18"/>
      <c r="Q15" s="17">
        <v>0</v>
      </c>
      <c r="R15" s="19">
        <f t="shared" si="2"/>
        <v>0</v>
      </c>
      <c r="S15" s="17">
        <f t="shared" si="3"/>
        <v>0</v>
      </c>
      <c r="T15" s="54"/>
      <c r="U15" s="59">
        <v>0</v>
      </c>
      <c r="V15" s="54"/>
      <c r="W15" s="59">
        <v>0</v>
      </c>
      <c r="X15" s="54"/>
      <c r="Y15" s="59">
        <v>0</v>
      </c>
      <c r="Z15" s="54"/>
      <c r="AA15" s="59">
        <v>0</v>
      </c>
    </row>
    <row r="16" spans="1:27">
      <c r="A16" s="91"/>
      <c r="B16" s="13" t="s">
        <v>17</v>
      </c>
      <c r="C16" s="14">
        <v>0</v>
      </c>
      <c r="D16" s="18"/>
      <c r="E16" s="17">
        <v>0</v>
      </c>
      <c r="F16" s="18"/>
      <c r="G16" s="17">
        <v>0</v>
      </c>
      <c r="H16" s="18"/>
      <c r="I16" s="17">
        <v>0</v>
      </c>
      <c r="J16" s="18"/>
      <c r="K16" s="17">
        <v>0</v>
      </c>
      <c r="L16" s="18"/>
      <c r="M16" s="17">
        <v>0</v>
      </c>
      <c r="N16" s="18"/>
      <c r="O16" s="17">
        <v>0</v>
      </c>
      <c r="P16" s="18"/>
      <c r="Q16" s="17">
        <v>0</v>
      </c>
      <c r="R16" s="19">
        <f t="shared" si="2"/>
        <v>0</v>
      </c>
      <c r="S16" s="17">
        <f t="shared" si="3"/>
        <v>0</v>
      </c>
      <c r="T16" s="54"/>
      <c r="U16" s="59">
        <v>0</v>
      </c>
      <c r="V16" s="54"/>
      <c r="W16" s="59">
        <v>0</v>
      </c>
      <c r="X16" s="54"/>
      <c r="Y16" s="59">
        <v>0</v>
      </c>
      <c r="Z16" s="54"/>
      <c r="AA16" s="59">
        <v>0</v>
      </c>
    </row>
    <row r="17" spans="1:27">
      <c r="A17" s="91"/>
      <c r="B17" s="13" t="s">
        <v>48</v>
      </c>
      <c r="C17" s="14">
        <v>0</v>
      </c>
      <c r="D17" s="18"/>
      <c r="E17" s="17">
        <f t="shared" si="0"/>
        <v>0</v>
      </c>
      <c r="F17" s="18"/>
      <c r="G17" s="17">
        <f>$C17*F17</f>
        <v>0</v>
      </c>
      <c r="H17" s="18"/>
      <c r="I17" s="17">
        <f>$C17*H17</f>
        <v>0</v>
      </c>
      <c r="J17" s="18"/>
      <c r="K17" s="17">
        <f>$C17*J17</f>
        <v>0</v>
      </c>
      <c r="L17" s="18"/>
      <c r="M17" s="17">
        <f>$C17*L17</f>
        <v>0</v>
      </c>
      <c r="N17" s="18"/>
      <c r="O17" s="17">
        <f t="shared" si="1"/>
        <v>0</v>
      </c>
      <c r="P17" s="18"/>
      <c r="Q17" s="17">
        <f>$C17*P17</f>
        <v>0</v>
      </c>
      <c r="R17" s="19">
        <f t="shared" si="2"/>
        <v>0</v>
      </c>
      <c r="S17" s="17">
        <f t="shared" si="3"/>
        <v>0</v>
      </c>
      <c r="T17" s="54"/>
      <c r="U17" s="59">
        <v>0</v>
      </c>
      <c r="V17" s="54"/>
      <c r="W17" s="59">
        <v>0</v>
      </c>
      <c r="X17" s="54"/>
      <c r="Y17" s="59">
        <v>0</v>
      </c>
      <c r="Z17" s="54"/>
      <c r="AA17" s="59">
        <v>0</v>
      </c>
    </row>
    <row r="18" spans="1:27">
      <c r="A18" s="91"/>
      <c r="B18" s="13" t="s">
        <v>18</v>
      </c>
      <c r="C18" s="14">
        <v>0</v>
      </c>
      <c r="D18" s="18"/>
      <c r="E18" s="17">
        <v>0</v>
      </c>
      <c r="F18" s="18"/>
      <c r="G18" s="17">
        <v>0</v>
      </c>
      <c r="H18" s="18"/>
      <c r="I18" s="17">
        <v>0</v>
      </c>
      <c r="J18" s="18"/>
      <c r="K18" s="17">
        <v>0</v>
      </c>
      <c r="L18" s="18"/>
      <c r="M18" s="17">
        <v>0</v>
      </c>
      <c r="N18" s="18"/>
      <c r="O18" s="17">
        <v>0</v>
      </c>
      <c r="P18" s="18"/>
      <c r="Q18" s="17">
        <v>0</v>
      </c>
      <c r="R18" s="19">
        <f t="shared" si="2"/>
        <v>0</v>
      </c>
      <c r="S18" s="17">
        <f t="shared" si="3"/>
        <v>0</v>
      </c>
      <c r="T18" s="54"/>
      <c r="U18" s="59">
        <v>0</v>
      </c>
      <c r="V18" s="54"/>
      <c r="W18" s="59">
        <v>0</v>
      </c>
      <c r="X18" s="54"/>
      <c r="Y18" s="59">
        <v>0</v>
      </c>
      <c r="Z18" s="54"/>
      <c r="AA18" s="59">
        <v>0</v>
      </c>
    </row>
    <row r="19" spans="1:27" ht="12.75" thickBot="1">
      <c r="A19" s="92"/>
      <c r="B19" s="13" t="s">
        <v>18</v>
      </c>
      <c r="C19" s="14">
        <v>0</v>
      </c>
      <c r="D19" s="18"/>
      <c r="E19" s="17">
        <f t="shared" si="0"/>
        <v>0</v>
      </c>
      <c r="F19" s="18"/>
      <c r="G19" s="17">
        <f>$C19*F19</f>
        <v>0</v>
      </c>
      <c r="H19" s="18"/>
      <c r="I19" s="17">
        <f>$C19*H19</f>
        <v>0</v>
      </c>
      <c r="J19" s="18"/>
      <c r="K19" s="17">
        <f>$C19*J19</f>
        <v>0</v>
      </c>
      <c r="L19" s="18"/>
      <c r="M19" s="17">
        <f>$C19*L19</f>
        <v>0</v>
      </c>
      <c r="N19" s="18"/>
      <c r="O19" s="17">
        <f t="shared" si="1"/>
        <v>0</v>
      </c>
      <c r="P19" s="18"/>
      <c r="Q19" s="17">
        <f>$C19*P19</f>
        <v>0</v>
      </c>
      <c r="R19" s="19">
        <f t="shared" si="2"/>
        <v>0</v>
      </c>
      <c r="S19" s="17">
        <f t="shared" si="3"/>
        <v>0</v>
      </c>
      <c r="T19" s="54"/>
      <c r="U19" s="59">
        <v>0</v>
      </c>
      <c r="V19" s="54"/>
      <c r="W19" s="59">
        <v>0</v>
      </c>
      <c r="X19" s="54"/>
      <c r="Y19" s="59">
        <v>0</v>
      </c>
      <c r="Z19" s="54"/>
      <c r="AA19" s="59">
        <v>0</v>
      </c>
    </row>
    <row r="20" spans="1:27" ht="12.75" thickBot="1">
      <c r="A20" s="20" t="s">
        <v>19</v>
      </c>
      <c r="B20" s="21"/>
      <c r="C20" s="22"/>
      <c r="D20" s="23">
        <f t="shared" ref="D20:Q20" si="4">SUM(D5:D19)</f>
        <v>0</v>
      </c>
      <c r="E20" s="24">
        <f t="shared" si="4"/>
        <v>0</v>
      </c>
      <c r="F20" s="23">
        <f>SUM(F5:F19)</f>
        <v>0</v>
      </c>
      <c r="G20" s="24">
        <f>SUM(G5:G19)</f>
        <v>0</v>
      </c>
      <c r="H20" s="23">
        <f t="shared" si="4"/>
        <v>0</v>
      </c>
      <c r="I20" s="24">
        <f t="shared" si="4"/>
        <v>0</v>
      </c>
      <c r="J20" s="23">
        <f t="shared" si="4"/>
        <v>0</v>
      </c>
      <c r="K20" s="24">
        <f t="shared" si="4"/>
        <v>0</v>
      </c>
      <c r="L20" s="23">
        <f t="shared" si="4"/>
        <v>0</v>
      </c>
      <c r="M20" s="24">
        <f t="shared" si="4"/>
        <v>0</v>
      </c>
      <c r="N20" s="23">
        <f t="shared" si="4"/>
        <v>0</v>
      </c>
      <c r="O20" s="24">
        <f t="shared" si="4"/>
        <v>0</v>
      </c>
      <c r="P20" s="23">
        <f t="shared" si="4"/>
        <v>0</v>
      </c>
      <c r="Q20" s="24">
        <f t="shared" si="4"/>
        <v>0</v>
      </c>
      <c r="R20" s="23">
        <f t="shared" si="2"/>
        <v>0</v>
      </c>
      <c r="S20" s="24">
        <f t="shared" si="3"/>
        <v>0</v>
      </c>
      <c r="T20" s="60">
        <v>0</v>
      </c>
      <c r="U20" s="61">
        <v>0</v>
      </c>
      <c r="V20" s="60">
        <v>0</v>
      </c>
      <c r="W20" s="61">
        <v>0</v>
      </c>
      <c r="X20" s="60">
        <v>0</v>
      </c>
      <c r="Y20" s="61">
        <v>0</v>
      </c>
      <c r="Z20" s="60">
        <v>0</v>
      </c>
      <c r="AA20" s="61">
        <v>0</v>
      </c>
    </row>
    <row r="21" spans="1:27" ht="12.75" thickBot="1">
      <c r="A21" s="12" t="s">
        <v>20</v>
      </c>
      <c r="B21" s="25"/>
      <c r="C21" s="26"/>
      <c r="D21" s="27"/>
      <c r="E21" s="28" t="s">
        <v>5</v>
      </c>
      <c r="F21" s="27"/>
      <c r="G21" s="28" t="s">
        <v>5</v>
      </c>
      <c r="H21" s="27"/>
      <c r="I21" s="28" t="s">
        <v>5</v>
      </c>
      <c r="J21" s="27"/>
      <c r="K21" s="28" t="s">
        <v>5</v>
      </c>
      <c r="L21" s="27"/>
      <c r="M21" s="28" t="s">
        <v>5</v>
      </c>
      <c r="N21" s="27"/>
      <c r="O21" s="28" t="s">
        <v>5</v>
      </c>
      <c r="P21" s="27"/>
      <c r="Q21" s="28" t="s">
        <v>5</v>
      </c>
      <c r="R21" s="27"/>
      <c r="S21" s="28" t="s">
        <v>5</v>
      </c>
      <c r="T21" s="27"/>
      <c r="U21" s="62" t="s">
        <v>5</v>
      </c>
      <c r="V21" s="27"/>
      <c r="W21" s="62" t="s">
        <v>5</v>
      </c>
      <c r="X21" s="27"/>
      <c r="Y21" s="62" t="s">
        <v>5</v>
      </c>
      <c r="Z21" s="27"/>
      <c r="AA21" s="62" t="s">
        <v>5</v>
      </c>
    </row>
    <row r="22" spans="1:27" ht="12" customHeight="1">
      <c r="A22" s="90" t="s">
        <v>71</v>
      </c>
      <c r="B22" s="13" t="s">
        <v>60</v>
      </c>
      <c r="C22" s="93" t="s">
        <v>62</v>
      </c>
      <c r="D22" s="29"/>
      <c r="E22" s="30">
        <v>0</v>
      </c>
      <c r="F22" s="29"/>
      <c r="G22" s="30">
        <v>0</v>
      </c>
      <c r="H22" s="29"/>
      <c r="I22" s="30">
        <v>0</v>
      </c>
      <c r="J22" s="29"/>
      <c r="K22" s="30">
        <v>0</v>
      </c>
      <c r="L22" s="29"/>
      <c r="M22" s="30">
        <v>0</v>
      </c>
      <c r="N22" s="29"/>
      <c r="O22" s="30">
        <v>0</v>
      </c>
      <c r="P22" s="29"/>
      <c r="Q22" s="30">
        <v>0</v>
      </c>
      <c r="R22" s="31"/>
      <c r="S22" s="17">
        <f t="shared" si="3"/>
        <v>0</v>
      </c>
      <c r="T22" s="63"/>
      <c r="U22" s="64">
        <v>0</v>
      </c>
      <c r="V22" s="63"/>
      <c r="W22" s="64">
        <v>0</v>
      </c>
      <c r="X22" s="63"/>
      <c r="Y22" s="64">
        <v>0</v>
      </c>
      <c r="Z22" s="63"/>
      <c r="AA22" s="64">
        <v>0</v>
      </c>
    </row>
    <row r="23" spans="1:27">
      <c r="A23" s="91"/>
      <c r="B23" s="13" t="s">
        <v>21</v>
      </c>
      <c r="C23" s="94"/>
      <c r="D23" s="29"/>
      <c r="E23" s="30">
        <v>0</v>
      </c>
      <c r="F23" s="29"/>
      <c r="G23" s="30">
        <v>0</v>
      </c>
      <c r="H23" s="29"/>
      <c r="I23" s="30">
        <v>0</v>
      </c>
      <c r="J23" s="29"/>
      <c r="K23" s="30">
        <v>0</v>
      </c>
      <c r="L23" s="29"/>
      <c r="M23" s="30">
        <v>0</v>
      </c>
      <c r="N23" s="29"/>
      <c r="O23" s="30">
        <v>0</v>
      </c>
      <c r="P23" s="29"/>
      <c r="Q23" s="30">
        <v>0</v>
      </c>
      <c r="R23" s="31"/>
      <c r="S23" s="17">
        <f t="shared" si="3"/>
        <v>0</v>
      </c>
      <c r="T23" s="63"/>
      <c r="U23" s="64">
        <v>0</v>
      </c>
      <c r="V23" s="63"/>
      <c r="W23" s="64">
        <v>0</v>
      </c>
      <c r="X23" s="63"/>
      <c r="Y23" s="64">
        <v>0</v>
      </c>
      <c r="Z23" s="63"/>
      <c r="AA23" s="64">
        <v>0</v>
      </c>
    </row>
    <row r="24" spans="1:27">
      <c r="A24" s="91"/>
      <c r="B24" s="13" t="s">
        <v>69</v>
      </c>
      <c r="C24" s="94"/>
      <c r="D24" s="29"/>
      <c r="E24" s="30">
        <v>0</v>
      </c>
      <c r="F24" s="29"/>
      <c r="G24" s="30">
        <v>0</v>
      </c>
      <c r="H24" s="29"/>
      <c r="I24" s="30">
        <v>0</v>
      </c>
      <c r="J24" s="29"/>
      <c r="K24" s="30">
        <v>0</v>
      </c>
      <c r="L24" s="29"/>
      <c r="M24" s="30">
        <v>0</v>
      </c>
      <c r="N24" s="29"/>
      <c r="O24" s="30">
        <v>0</v>
      </c>
      <c r="P24" s="29"/>
      <c r="Q24" s="30">
        <v>0</v>
      </c>
      <c r="R24" s="31"/>
      <c r="S24" s="17">
        <f t="shared" si="3"/>
        <v>0</v>
      </c>
      <c r="T24" s="63"/>
      <c r="U24" s="64">
        <v>0</v>
      </c>
      <c r="V24" s="63"/>
      <c r="W24" s="64">
        <v>0</v>
      </c>
      <c r="X24" s="63"/>
      <c r="Y24" s="64">
        <v>0</v>
      </c>
      <c r="Z24" s="63"/>
      <c r="AA24" s="64">
        <v>0</v>
      </c>
    </row>
    <row r="25" spans="1:27">
      <c r="A25" s="91"/>
      <c r="B25" s="13" t="s">
        <v>56</v>
      </c>
      <c r="C25" s="94"/>
      <c r="D25" s="29"/>
      <c r="E25" s="30">
        <v>0</v>
      </c>
      <c r="F25" s="29"/>
      <c r="G25" s="30">
        <v>0</v>
      </c>
      <c r="H25" s="29"/>
      <c r="I25" s="30">
        <v>0</v>
      </c>
      <c r="J25" s="29"/>
      <c r="K25" s="30">
        <v>0</v>
      </c>
      <c r="L25" s="29"/>
      <c r="M25" s="30">
        <v>0</v>
      </c>
      <c r="N25" s="29"/>
      <c r="O25" s="30">
        <v>0</v>
      </c>
      <c r="P25" s="29"/>
      <c r="Q25" s="30">
        <v>0</v>
      </c>
      <c r="R25" s="31"/>
      <c r="S25" s="17">
        <f t="shared" si="3"/>
        <v>0</v>
      </c>
      <c r="T25" s="63"/>
      <c r="U25" s="64">
        <v>0</v>
      </c>
      <c r="V25" s="63"/>
      <c r="W25" s="64">
        <v>0</v>
      </c>
      <c r="X25" s="63"/>
      <c r="Y25" s="64">
        <v>0</v>
      </c>
      <c r="Z25" s="63"/>
      <c r="AA25" s="64">
        <v>0</v>
      </c>
    </row>
    <row r="26" spans="1:27">
      <c r="A26" s="91"/>
      <c r="B26" s="13" t="s">
        <v>22</v>
      </c>
      <c r="C26" s="94"/>
      <c r="D26" s="29"/>
      <c r="E26" s="30">
        <v>0</v>
      </c>
      <c r="F26" s="29"/>
      <c r="G26" s="30">
        <v>0</v>
      </c>
      <c r="H26" s="29"/>
      <c r="I26" s="30">
        <v>0</v>
      </c>
      <c r="J26" s="29"/>
      <c r="K26" s="30">
        <v>0</v>
      </c>
      <c r="L26" s="29"/>
      <c r="M26" s="30">
        <v>0</v>
      </c>
      <c r="N26" s="29"/>
      <c r="O26" s="30">
        <v>0</v>
      </c>
      <c r="P26" s="29"/>
      <c r="Q26" s="30">
        <v>0</v>
      </c>
      <c r="R26" s="31"/>
      <c r="S26" s="17">
        <f t="shared" si="3"/>
        <v>0</v>
      </c>
      <c r="T26" s="63"/>
      <c r="U26" s="64">
        <v>0</v>
      </c>
      <c r="V26" s="63"/>
      <c r="W26" s="64">
        <v>0</v>
      </c>
      <c r="X26" s="63"/>
      <c r="Y26" s="64">
        <v>0</v>
      </c>
      <c r="Z26" s="63"/>
      <c r="AA26" s="64">
        <v>0</v>
      </c>
    </row>
    <row r="27" spans="1:27">
      <c r="A27" s="91"/>
      <c r="B27" s="13" t="s">
        <v>23</v>
      </c>
      <c r="C27" s="94"/>
      <c r="D27" s="29"/>
      <c r="E27" s="30">
        <v>0</v>
      </c>
      <c r="F27" s="29"/>
      <c r="G27" s="30">
        <v>0</v>
      </c>
      <c r="H27" s="29"/>
      <c r="I27" s="30">
        <v>0</v>
      </c>
      <c r="J27" s="29"/>
      <c r="K27" s="30">
        <v>0</v>
      </c>
      <c r="L27" s="29"/>
      <c r="M27" s="30">
        <v>0</v>
      </c>
      <c r="N27" s="29"/>
      <c r="O27" s="30">
        <v>0</v>
      </c>
      <c r="P27" s="29"/>
      <c r="Q27" s="30">
        <v>0</v>
      </c>
      <c r="R27" s="31"/>
      <c r="S27" s="17">
        <f t="shared" si="3"/>
        <v>0</v>
      </c>
      <c r="T27" s="63"/>
      <c r="U27" s="64">
        <v>0</v>
      </c>
      <c r="V27" s="63"/>
      <c r="W27" s="64">
        <v>0</v>
      </c>
      <c r="X27" s="63"/>
      <c r="Y27" s="64">
        <v>0</v>
      </c>
      <c r="Z27" s="63"/>
      <c r="AA27" s="64">
        <v>0</v>
      </c>
    </row>
    <row r="28" spans="1:27">
      <c r="A28" s="91"/>
      <c r="B28" s="32" t="s">
        <v>58</v>
      </c>
      <c r="C28" s="94"/>
      <c r="D28" s="29"/>
      <c r="E28" s="30">
        <v>0</v>
      </c>
      <c r="F28" s="29"/>
      <c r="G28" s="30">
        <v>0</v>
      </c>
      <c r="H28" s="29"/>
      <c r="I28" s="30">
        <v>0</v>
      </c>
      <c r="J28" s="29"/>
      <c r="K28" s="30">
        <v>0</v>
      </c>
      <c r="L28" s="29"/>
      <c r="M28" s="30">
        <v>0</v>
      </c>
      <c r="N28" s="29"/>
      <c r="O28" s="30">
        <v>0</v>
      </c>
      <c r="P28" s="29"/>
      <c r="Q28" s="30">
        <v>0</v>
      </c>
      <c r="R28" s="31"/>
      <c r="S28" s="17">
        <f t="shared" si="3"/>
        <v>0</v>
      </c>
      <c r="T28" s="63"/>
      <c r="U28" s="64">
        <v>0</v>
      </c>
      <c r="V28" s="63"/>
      <c r="W28" s="64">
        <v>0</v>
      </c>
      <c r="X28" s="63"/>
      <c r="Y28" s="64">
        <v>0</v>
      </c>
      <c r="Z28" s="63"/>
      <c r="AA28" s="64">
        <v>0</v>
      </c>
    </row>
    <row r="29" spans="1:27">
      <c r="A29" s="91"/>
      <c r="B29" s="13" t="s">
        <v>56</v>
      </c>
      <c r="C29" s="94"/>
      <c r="D29" s="29"/>
      <c r="E29" s="30">
        <v>0</v>
      </c>
      <c r="F29" s="29"/>
      <c r="G29" s="30">
        <v>0</v>
      </c>
      <c r="H29" s="29"/>
      <c r="I29" s="30">
        <v>0</v>
      </c>
      <c r="J29" s="29"/>
      <c r="K29" s="30">
        <v>0</v>
      </c>
      <c r="L29" s="29"/>
      <c r="M29" s="30">
        <v>0</v>
      </c>
      <c r="N29" s="29"/>
      <c r="O29" s="30">
        <v>0</v>
      </c>
      <c r="P29" s="29"/>
      <c r="Q29" s="30">
        <v>0</v>
      </c>
      <c r="R29" s="31"/>
      <c r="S29" s="17">
        <f t="shared" si="3"/>
        <v>0</v>
      </c>
      <c r="T29" s="63"/>
      <c r="U29" s="64">
        <v>0</v>
      </c>
      <c r="V29" s="63"/>
      <c r="W29" s="64">
        <v>0</v>
      </c>
      <c r="X29" s="63"/>
      <c r="Y29" s="64">
        <v>0</v>
      </c>
      <c r="Z29" s="63"/>
      <c r="AA29" s="64">
        <v>0</v>
      </c>
    </row>
    <row r="30" spans="1:27" ht="12.75" thickBot="1">
      <c r="A30" s="92"/>
      <c r="B30" s="13" t="s">
        <v>57</v>
      </c>
      <c r="C30" s="95"/>
      <c r="D30" s="33"/>
      <c r="E30" s="30">
        <v>0</v>
      </c>
      <c r="F30" s="33"/>
      <c r="G30" s="30">
        <v>0</v>
      </c>
      <c r="H30" s="33"/>
      <c r="I30" s="30">
        <v>0</v>
      </c>
      <c r="J30" s="33"/>
      <c r="K30" s="30">
        <v>0</v>
      </c>
      <c r="L30" s="33"/>
      <c r="M30" s="30">
        <v>0</v>
      </c>
      <c r="N30" s="33"/>
      <c r="O30" s="30">
        <v>0</v>
      </c>
      <c r="P30" s="33"/>
      <c r="Q30" s="30">
        <v>0</v>
      </c>
      <c r="R30" s="34"/>
      <c r="S30" s="17">
        <f t="shared" si="3"/>
        <v>0</v>
      </c>
      <c r="T30" s="65"/>
      <c r="U30" s="64">
        <v>0</v>
      </c>
      <c r="V30" s="65"/>
      <c r="W30" s="64">
        <v>0</v>
      </c>
      <c r="X30" s="65"/>
      <c r="Y30" s="64">
        <v>0</v>
      </c>
      <c r="Z30" s="65"/>
      <c r="AA30" s="64">
        <v>0</v>
      </c>
    </row>
    <row r="31" spans="1:27" ht="12.75" thickBot="1">
      <c r="A31" s="20" t="s">
        <v>24</v>
      </c>
      <c r="B31" s="21"/>
      <c r="C31" s="22"/>
      <c r="D31" s="35"/>
      <c r="E31" s="24">
        <f>SUM(E22:E30)</f>
        <v>0</v>
      </c>
      <c r="F31" s="36"/>
      <c r="G31" s="24">
        <f>SUM(G22:G30)</f>
        <v>0</v>
      </c>
      <c r="H31" s="36"/>
      <c r="I31" s="24">
        <f>SUM(I22:I30)</f>
        <v>0</v>
      </c>
      <c r="J31" s="36"/>
      <c r="K31" s="24">
        <f>SUM(K22:K30)</f>
        <v>0</v>
      </c>
      <c r="L31" s="36"/>
      <c r="M31" s="24">
        <f>SUM(M22:M30)</f>
        <v>0</v>
      </c>
      <c r="N31" s="35"/>
      <c r="O31" s="24">
        <f>SUM(O22:O30)</f>
        <v>0</v>
      </c>
      <c r="P31" s="36"/>
      <c r="Q31" s="24">
        <f>SUM(Q22:Q30)</f>
        <v>0</v>
      </c>
      <c r="R31" s="36"/>
      <c r="S31" s="24">
        <f t="shared" si="3"/>
        <v>0</v>
      </c>
      <c r="T31" s="66"/>
      <c r="U31" s="61">
        <v>0</v>
      </c>
      <c r="V31" s="66"/>
      <c r="W31" s="61">
        <v>0</v>
      </c>
      <c r="X31" s="66"/>
      <c r="Y31" s="61">
        <v>0</v>
      </c>
      <c r="Z31" s="66"/>
      <c r="AA31" s="61">
        <v>0</v>
      </c>
    </row>
    <row r="32" spans="1:27" s="50" customFormat="1" ht="12.75" thickBot="1">
      <c r="A32" s="73" t="s">
        <v>25</v>
      </c>
      <c r="B32" s="71"/>
      <c r="C32" s="37" t="s">
        <v>26</v>
      </c>
      <c r="D32" s="37" t="s">
        <v>4</v>
      </c>
      <c r="E32" s="28" t="s">
        <v>5</v>
      </c>
      <c r="F32" s="37" t="s">
        <v>4</v>
      </c>
      <c r="G32" s="28" t="s">
        <v>5</v>
      </c>
      <c r="H32" s="37" t="s">
        <v>4</v>
      </c>
      <c r="I32" s="28" t="s">
        <v>5</v>
      </c>
      <c r="J32" s="37" t="s">
        <v>4</v>
      </c>
      <c r="K32" s="28" t="s">
        <v>5</v>
      </c>
      <c r="L32" s="37" t="s">
        <v>4</v>
      </c>
      <c r="M32" s="28" t="s">
        <v>5</v>
      </c>
      <c r="N32" s="37" t="s">
        <v>4</v>
      </c>
      <c r="O32" s="28" t="s">
        <v>5</v>
      </c>
      <c r="P32" s="37" t="s">
        <v>4</v>
      </c>
      <c r="Q32" s="28" t="s">
        <v>5</v>
      </c>
      <c r="R32" s="35"/>
      <c r="S32" s="28" t="s">
        <v>5</v>
      </c>
      <c r="T32" s="72" t="s">
        <v>4</v>
      </c>
      <c r="U32" s="62" t="s">
        <v>5</v>
      </c>
      <c r="V32" s="72" t="s">
        <v>4</v>
      </c>
      <c r="W32" s="62" t="s">
        <v>5</v>
      </c>
      <c r="X32" s="72" t="s">
        <v>4</v>
      </c>
      <c r="Y32" s="62" t="s">
        <v>5</v>
      </c>
      <c r="Z32" s="72" t="s">
        <v>4</v>
      </c>
      <c r="AA32" s="62" t="s">
        <v>5</v>
      </c>
    </row>
    <row r="33" spans="1:27" ht="12.75" thickBot="1">
      <c r="A33" s="96" t="s">
        <v>27</v>
      </c>
      <c r="B33" s="13" t="s">
        <v>28</v>
      </c>
      <c r="C33" s="38"/>
      <c r="D33" s="38"/>
      <c r="E33" s="30">
        <v>0</v>
      </c>
      <c r="F33" s="38"/>
      <c r="G33" s="30">
        <v>0</v>
      </c>
      <c r="H33" s="38"/>
      <c r="I33" s="30">
        <v>0</v>
      </c>
      <c r="J33" s="38"/>
      <c r="K33" s="30">
        <v>0</v>
      </c>
      <c r="L33" s="38"/>
      <c r="M33" s="30">
        <v>0</v>
      </c>
      <c r="N33" s="38"/>
      <c r="O33" s="30">
        <v>0</v>
      </c>
      <c r="P33" s="38"/>
      <c r="Q33" s="30">
        <v>0</v>
      </c>
      <c r="R33" s="35"/>
      <c r="S33" s="17">
        <f t="shared" si="3"/>
        <v>0</v>
      </c>
      <c r="T33" s="38"/>
      <c r="U33" s="64">
        <v>0</v>
      </c>
      <c r="V33" s="38"/>
      <c r="W33" s="64">
        <v>0</v>
      </c>
      <c r="X33" s="38"/>
      <c r="Y33" s="64">
        <v>0</v>
      </c>
      <c r="Z33" s="38"/>
      <c r="AA33" s="64">
        <v>0</v>
      </c>
    </row>
    <row r="34" spans="1:27" ht="12.75" thickBot="1">
      <c r="A34" s="97"/>
      <c r="B34" s="13" t="s">
        <v>29</v>
      </c>
      <c r="C34" s="38"/>
      <c r="D34" s="38"/>
      <c r="E34" s="30">
        <v>0</v>
      </c>
      <c r="F34" s="38"/>
      <c r="G34" s="30">
        <v>0</v>
      </c>
      <c r="H34" s="38"/>
      <c r="I34" s="30">
        <v>0</v>
      </c>
      <c r="J34" s="38"/>
      <c r="K34" s="30">
        <v>0</v>
      </c>
      <c r="L34" s="38"/>
      <c r="M34" s="30">
        <v>0</v>
      </c>
      <c r="N34" s="38"/>
      <c r="O34" s="30">
        <v>0</v>
      </c>
      <c r="P34" s="38"/>
      <c r="Q34" s="30">
        <v>0</v>
      </c>
      <c r="R34" s="35"/>
      <c r="S34" s="17">
        <f t="shared" si="3"/>
        <v>0</v>
      </c>
      <c r="T34" s="38"/>
      <c r="U34" s="64">
        <v>0</v>
      </c>
      <c r="V34" s="38"/>
      <c r="W34" s="64">
        <v>0</v>
      </c>
      <c r="X34" s="38"/>
      <c r="Y34" s="64">
        <v>0</v>
      </c>
      <c r="Z34" s="38"/>
      <c r="AA34" s="64">
        <v>0</v>
      </c>
    </row>
    <row r="35" spans="1:27" ht="12.75" thickBot="1">
      <c r="A35" s="97"/>
      <c r="B35" s="13" t="s">
        <v>30</v>
      </c>
      <c r="C35" s="38"/>
      <c r="D35" s="38"/>
      <c r="E35" s="30">
        <v>0</v>
      </c>
      <c r="F35" s="38"/>
      <c r="G35" s="30">
        <v>0</v>
      </c>
      <c r="H35" s="38"/>
      <c r="I35" s="30">
        <v>0</v>
      </c>
      <c r="J35" s="38"/>
      <c r="K35" s="30">
        <v>0</v>
      </c>
      <c r="L35" s="38"/>
      <c r="M35" s="30">
        <v>0</v>
      </c>
      <c r="N35" s="38"/>
      <c r="O35" s="30">
        <v>0</v>
      </c>
      <c r="P35" s="38"/>
      <c r="Q35" s="30">
        <v>0</v>
      </c>
      <c r="R35" s="35"/>
      <c r="S35" s="17">
        <f t="shared" si="3"/>
        <v>0</v>
      </c>
      <c r="T35" s="38"/>
      <c r="U35" s="64">
        <v>0</v>
      </c>
      <c r="V35" s="38"/>
      <c r="W35" s="64">
        <v>0</v>
      </c>
      <c r="X35" s="38"/>
      <c r="Y35" s="64">
        <v>0</v>
      </c>
      <c r="Z35" s="38"/>
      <c r="AA35" s="64">
        <v>0</v>
      </c>
    </row>
    <row r="36" spans="1:27" ht="12.75" thickBot="1">
      <c r="A36" s="97"/>
      <c r="B36" s="13" t="s">
        <v>31</v>
      </c>
      <c r="C36" s="38"/>
      <c r="D36" s="38"/>
      <c r="E36" s="30">
        <v>0</v>
      </c>
      <c r="F36" s="38"/>
      <c r="G36" s="30">
        <v>0</v>
      </c>
      <c r="H36" s="38"/>
      <c r="I36" s="30">
        <v>0</v>
      </c>
      <c r="J36" s="38"/>
      <c r="K36" s="30">
        <v>0</v>
      </c>
      <c r="L36" s="38"/>
      <c r="M36" s="30">
        <v>0</v>
      </c>
      <c r="N36" s="38"/>
      <c r="O36" s="30">
        <v>0</v>
      </c>
      <c r="P36" s="38"/>
      <c r="Q36" s="30">
        <v>0</v>
      </c>
      <c r="R36" s="35"/>
      <c r="S36" s="17">
        <f t="shared" si="3"/>
        <v>0</v>
      </c>
      <c r="T36" s="38"/>
      <c r="U36" s="64">
        <v>0</v>
      </c>
      <c r="V36" s="38"/>
      <c r="W36" s="64">
        <v>0</v>
      </c>
      <c r="X36" s="38"/>
      <c r="Y36" s="64">
        <v>0</v>
      </c>
      <c r="Z36" s="38"/>
      <c r="AA36" s="64">
        <v>0</v>
      </c>
    </row>
    <row r="37" spans="1:27" ht="12.75" thickBot="1">
      <c r="A37" s="97"/>
      <c r="B37" s="13" t="s">
        <v>61</v>
      </c>
      <c r="C37" s="38"/>
      <c r="D37" s="38"/>
      <c r="E37" s="30">
        <v>0</v>
      </c>
      <c r="F37" s="38"/>
      <c r="G37" s="30">
        <v>0</v>
      </c>
      <c r="H37" s="38"/>
      <c r="I37" s="30">
        <v>0</v>
      </c>
      <c r="J37" s="38"/>
      <c r="K37" s="30">
        <v>0</v>
      </c>
      <c r="L37" s="38"/>
      <c r="M37" s="30">
        <v>0</v>
      </c>
      <c r="N37" s="38"/>
      <c r="O37" s="30">
        <v>0</v>
      </c>
      <c r="P37" s="38"/>
      <c r="Q37" s="30">
        <v>0</v>
      </c>
      <c r="R37" s="35"/>
      <c r="S37" s="17">
        <f t="shared" si="3"/>
        <v>0</v>
      </c>
      <c r="T37" s="38"/>
      <c r="U37" s="64">
        <v>0</v>
      </c>
      <c r="V37" s="38"/>
      <c r="W37" s="64">
        <v>0</v>
      </c>
      <c r="X37" s="38"/>
      <c r="Y37" s="64">
        <v>0</v>
      </c>
      <c r="Z37" s="38"/>
      <c r="AA37" s="64">
        <v>0</v>
      </c>
    </row>
    <row r="38" spans="1:27" ht="12.75" thickBot="1">
      <c r="A38" s="97"/>
      <c r="B38" s="13" t="s">
        <v>55</v>
      </c>
      <c r="C38" s="38"/>
      <c r="D38" s="38"/>
      <c r="E38" s="30">
        <v>0</v>
      </c>
      <c r="F38" s="38"/>
      <c r="G38" s="30">
        <v>0</v>
      </c>
      <c r="H38" s="38"/>
      <c r="I38" s="30">
        <v>0</v>
      </c>
      <c r="J38" s="38"/>
      <c r="K38" s="30">
        <v>0</v>
      </c>
      <c r="L38" s="38"/>
      <c r="M38" s="30">
        <v>0</v>
      </c>
      <c r="N38" s="38"/>
      <c r="O38" s="30">
        <v>0</v>
      </c>
      <c r="P38" s="38"/>
      <c r="Q38" s="30">
        <v>0</v>
      </c>
      <c r="R38" s="35"/>
      <c r="S38" s="17">
        <f t="shared" si="3"/>
        <v>0</v>
      </c>
      <c r="T38" s="38"/>
      <c r="U38" s="64">
        <v>0</v>
      </c>
      <c r="V38" s="38"/>
      <c r="W38" s="64">
        <v>0</v>
      </c>
      <c r="X38" s="38"/>
      <c r="Y38" s="64">
        <v>0</v>
      </c>
      <c r="Z38" s="38"/>
      <c r="AA38" s="64">
        <v>0</v>
      </c>
    </row>
    <row r="39" spans="1:27" ht="12.75" thickBot="1">
      <c r="A39" s="98"/>
      <c r="B39" s="13" t="s">
        <v>59</v>
      </c>
      <c r="C39" s="38"/>
      <c r="D39" s="38"/>
      <c r="E39" s="30">
        <v>0</v>
      </c>
      <c r="F39" s="38"/>
      <c r="G39" s="30">
        <v>0</v>
      </c>
      <c r="H39" s="38"/>
      <c r="I39" s="30">
        <v>0</v>
      </c>
      <c r="J39" s="38"/>
      <c r="K39" s="30">
        <v>0</v>
      </c>
      <c r="L39" s="38"/>
      <c r="M39" s="30">
        <v>0</v>
      </c>
      <c r="N39" s="38"/>
      <c r="O39" s="30">
        <v>0</v>
      </c>
      <c r="P39" s="38"/>
      <c r="Q39" s="30">
        <v>0</v>
      </c>
      <c r="R39" s="35"/>
      <c r="S39" s="17">
        <f t="shared" si="3"/>
        <v>0</v>
      </c>
      <c r="T39" s="38"/>
      <c r="U39" s="64">
        <v>0</v>
      </c>
      <c r="V39" s="38"/>
      <c r="W39" s="64">
        <v>0</v>
      </c>
      <c r="X39" s="38"/>
      <c r="Y39" s="64">
        <v>0</v>
      </c>
      <c r="Z39" s="38"/>
      <c r="AA39" s="64">
        <v>0</v>
      </c>
    </row>
    <row r="40" spans="1:27" ht="12.75" thickBot="1">
      <c r="A40" s="90" t="s">
        <v>70</v>
      </c>
      <c r="B40" s="13" t="s">
        <v>32</v>
      </c>
      <c r="C40" s="14">
        <v>0</v>
      </c>
      <c r="D40" s="18"/>
      <c r="E40" s="17">
        <f t="shared" ref="E40:E55" si="5">$C40*D40</f>
        <v>0</v>
      </c>
      <c r="F40" s="18"/>
      <c r="G40" s="17">
        <f t="shared" ref="G40:G57" si="6">$C40*F40</f>
        <v>0</v>
      </c>
      <c r="H40" s="18"/>
      <c r="I40" s="17">
        <f t="shared" ref="I40:I57" si="7">$C40*H40</f>
        <v>0</v>
      </c>
      <c r="J40" s="18"/>
      <c r="K40" s="17">
        <f t="shared" ref="K40:K57" si="8">$C40*J40</f>
        <v>0</v>
      </c>
      <c r="L40" s="18"/>
      <c r="M40" s="17">
        <f t="shared" ref="M40:M57" si="9">$C40*L40</f>
        <v>0</v>
      </c>
      <c r="N40" s="18"/>
      <c r="O40" s="17">
        <f t="shared" ref="O40:O55" si="10">$C40*N40</f>
        <v>0</v>
      </c>
      <c r="P40" s="18"/>
      <c r="Q40" s="17">
        <f t="shared" ref="Q40:Q57" si="11">$C40*P40</f>
        <v>0</v>
      </c>
      <c r="R40" s="35"/>
      <c r="S40" s="17">
        <f t="shared" si="3"/>
        <v>0</v>
      </c>
      <c r="T40" s="67"/>
      <c r="U40" s="59">
        <v>0</v>
      </c>
      <c r="V40" s="67"/>
      <c r="W40" s="59">
        <v>0</v>
      </c>
      <c r="X40" s="67"/>
      <c r="Y40" s="59">
        <v>0</v>
      </c>
      <c r="Z40" s="67"/>
      <c r="AA40" s="59">
        <v>0</v>
      </c>
    </row>
    <row r="41" spans="1:27" ht="12.75" thickBot="1">
      <c r="A41" s="91"/>
      <c r="B41" s="13" t="s">
        <v>33</v>
      </c>
      <c r="C41" s="14">
        <v>0</v>
      </c>
      <c r="D41" s="18"/>
      <c r="E41" s="17">
        <f t="shared" si="5"/>
        <v>0</v>
      </c>
      <c r="F41" s="18"/>
      <c r="G41" s="17">
        <f t="shared" si="6"/>
        <v>0</v>
      </c>
      <c r="H41" s="18"/>
      <c r="I41" s="17">
        <f t="shared" si="7"/>
        <v>0</v>
      </c>
      <c r="J41" s="18"/>
      <c r="K41" s="17">
        <f t="shared" si="8"/>
        <v>0</v>
      </c>
      <c r="L41" s="18"/>
      <c r="M41" s="17">
        <f t="shared" si="9"/>
        <v>0</v>
      </c>
      <c r="N41" s="18"/>
      <c r="O41" s="17">
        <f t="shared" si="10"/>
        <v>0</v>
      </c>
      <c r="P41" s="18"/>
      <c r="Q41" s="17">
        <f t="shared" si="11"/>
        <v>0</v>
      </c>
      <c r="R41" s="35"/>
      <c r="S41" s="17">
        <f t="shared" si="3"/>
        <v>0</v>
      </c>
      <c r="T41" s="67"/>
      <c r="U41" s="59">
        <v>0</v>
      </c>
      <c r="V41" s="67"/>
      <c r="W41" s="59">
        <v>0</v>
      </c>
      <c r="X41" s="67"/>
      <c r="Y41" s="59">
        <v>0</v>
      </c>
      <c r="Z41" s="67"/>
      <c r="AA41" s="59">
        <v>0</v>
      </c>
    </row>
    <row r="42" spans="1:27" ht="12.75" thickBot="1">
      <c r="A42" s="91"/>
      <c r="B42" s="13" t="s">
        <v>34</v>
      </c>
      <c r="C42" s="14">
        <v>0</v>
      </c>
      <c r="D42" s="18"/>
      <c r="E42" s="17">
        <f t="shared" si="5"/>
        <v>0</v>
      </c>
      <c r="F42" s="18"/>
      <c r="G42" s="17">
        <f t="shared" si="6"/>
        <v>0</v>
      </c>
      <c r="H42" s="18"/>
      <c r="I42" s="17">
        <f t="shared" si="7"/>
        <v>0</v>
      </c>
      <c r="J42" s="18"/>
      <c r="K42" s="17">
        <f t="shared" si="8"/>
        <v>0</v>
      </c>
      <c r="L42" s="18"/>
      <c r="M42" s="17">
        <f t="shared" si="9"/>
        <v>0</v>
      </c>
      <c r="N42" s="18"/>
      <c r="O42" s="17">
        <f t="shared" si="10"/>
        <v>0</v>
      </c>
      <c r="P42" s="18"/>
      <c r="Q42" s="17">
        <f t="shared" si="11"/>
        <v>0</v>
      </c>
      <c r="R42" s="35"/>
      <c r="S42" s="17">
        <f t="shared" si="3"/>
        <v>0</v>
      </c>
      <c r="T42" s="67"/>
      <c r="U42" s="59">
        <v>0</v>
      </c>
      <c r="V42" s="67"/>
      <c r="W42" s="59">
        <v>0</v>
      </c>
      <c r="X42" s="67"/>
      <c r="Y42" s="59">
        <v>0</v>
      </c>
      <c r="Z42" s="67"/>
      <c r="AA42" s="59">
        <v>0</v>
      </c>
    </row>
    <row r="43" spans="1:27" ht="12.75" thickBot="1">
      <c r="A43" s="91"/>
      <c r="B43" s="13" t="s">
        <v>35</v>
      </c>
      <c r="C43" s="14">
        <v>0</v>
      </c>
      <c r="D43" s="18"/>
      <c r="E43" s="17">
        <f t="shared" si="5"/>
        <v>0</v>
      </c>
      <c r="F43" s="18"/>
      <c r="G43" s="17">
        <f t="shared" si="6"/>
        <v>0</v>
      </c>
      <c r="H43" s="18"/>
      <c r="I43" s="17">
        <f t="shared" si="7"/>
        <v>0</v>
      </c>
      <c r="J43" s="18"/>
      <c r="K43" s="17">
        <f t="shared" si="8"/>
        <v>0</v>
      </c>
      <c r="L43" s="18"/>
      <c r="M43" s="17">
        <f t="shared" si="9"/>
        <v>0</v>
      </c>
      <c r="N43" s="18"/>
      <c r="O43" s="17">
        <f t="shared" si="10"/>
        <v>0</v>
      </c>
      <c r="P43" s="18"/>
      <c r="Q43" s="17">
        <f t="shared" si="11"/>
        <v>0</v>
      </c>
      <c r="R43" s="35"/>
      <c r="S43" s="17">
        <f t="shared" si="3"/>
        <v>0</v>
      </c>
      <c r="T43" s="67"/>
      <c r="U43" s="59">
        <v>0</v>
      </c>
      <c r="V43" s="67"/>
      <c r="W43" s="59">
        <v>0</v>
      </c>
      <c r="X43" s="67"/>
      <c r="Y43" s="59">
        <v>0</v>
      </c>
      <c r="Z43" s="67"/>
      <c r="AA43" s="59">
        <v>0</v>
      </c>
    </row>
    <row r="44" spans="1:27" ht="12.75" thickBot="1">
      <c r="A44" s="91"/>
      <c r="B44" s="13" t="s">
        <v>36</v>
      </c>
      <c r="C44" s="14">
        <v>0</v>
      </c>
      <c r="D44" s="18"/>
      <c r="E44" s="17">
        <f t="shared" si="5"/>
        <v>0</v>
      </c>
      <c r="F44" s="18"/>
      <c r="G44" s="17">
        <f t="shared" si="6"/>
        <v>0</v>
      </c>
      <c r="H44" s="18"/>
      <c r="I44" s="17">
        <f t="shared" si="7"/>
        <v>0</v>
      </c>
      <c r="J44" s="18"/>
      <c r="K44" s="17">
        <f t="shared" si="8"/>
        <v>0</v>
      </c>
      <c r="L44" s="18"/>
      <c r="M44" s="17">
        <f t="shared" si="9"/>
        <v>0</v>
      </c>
      <c r="N44" s="18"/>
      <c r="O44" s="17">
        <f t="shared" si="10"/>
        <v>0</v>
      </c>
      <c r="P44" s="18"/>
      <c r="Q44" s="17">
        <f t="shared" si="11"/>
        <v>0</v>
      </c>
      <c r="R44" s="35"/>
      <c r="S44" s="17">
        <f t="shared" si="3"/>
        <v>0</v>
      </c>
      <c r="T44" s="67"/>
      <c r="U44" s="59">
        <v>0</v>
      </c>
      <c r="V44" s="67"/>
      <c r="W44" s="59">
        <v>0</v>
      </c>
      <c r="X44" s="67"/>
      <c r="Y44" s="59">
        <v>0</v>
      </c>
      <c r="Z44" s="67"/>
      <c r="AA44" s="59">
        <v>0</v>
      </c>
    </row>
    <row r="45" spans="1:27" ht="12.75" thickBot="1">
      <c r="A45" s="91"/>
      <c r="B45" s="13" t="s">
        <v>37</v>
      </c>
      <c r="C45" s="14">
        <v>0</v>
      </c>
      <c r="D45" s="18"/>
      <c r="E45" s="17">
        <f t="shared" si="5"/>
        <v>0</v>
      </c>
      <c r="F45" s="18"/>
      <c r="G45" s="17">
        <f t="shared" si="6"/>
        <v>0</v>
      </c>
      <c r="H45" s="18"/>
      <c r="I45" s="17">
        <f t="shared" si="7"/>
        <v>0</v>
      </c>
      <c r="J45" s="18"/>
      <c r="K45" s="17">
        <f t="shared" si="8"/>
        <v>0</v>
      </c>
      <c r="L45" s="18"/>
      <c r="M45" s="17">
        <f t="shared" si="9"/>
        <v>0</v>
      </c>
      <c r="N45" s="18"/>
      <c r="O45" s="17">
        <f t="shared" si="10"/>
        <v>0</v>
      </c>
      <c r="P45" s="18"/>
      <c r="Q45" s="17">
        <f t="shared" si="11"/>
        <v>0</v>
      </c>
      <c r="R45" s="35"/>
      <c r="S45" s="17">
        <f t="shared" si="3"/>
        <v>0</v>
      </c>
      <c r="T45" s="67"/>
      <c r="U45" s="59">
        <v>0</v>
      </c>
      <c r="V45" s="67"/>
      <c r="W45" s="59">
        <v>0</v>
      </c>
      <c r="X45" s="67"/>
      <c r="Y45" s="59">
        <v>0</v>
      </c>
      <c r="Z45" s="67"/>
      <c r="AA45" s="59">
        <v>0</v>
      </c>
    </row>
    <row r="46" spans="1:27" ht="12.75" thickBot="1">
      <c r="A46" s="91"/>
      <c r="B46" s="13" t="s">
        <v>38</v>
      </c>
      <c r="C46" s="14">
        <v>0</v>
      </c>
      <c r="D46" s="18"/>
      <c r="E46" s="17">
        <f t="shared" si="5"/>
        <v>0</v>
      </c>
      <c r="F46" s="18"/>
      <c r="G46" s="17">
        <f t="shared" si="6"/>
        <v>0</v>
      </c>
      <c r="H46" s="18"/>
      <c r="I46" s="17">
        <f t="shared" si="7"/>
        <v>0</v>
      </c>
      <c r="J46" s="18"/>
      <c r="K46" s="17">
        <f t="shared" si="8"/>
        <v>0</v>
      </c>
      <c r="L46" s="18"/>
      <c r="M46" s="17">
        <f t="shared" si="9"/>
        <v>0</v>
      </c>
      <c r="N46" s="18"/>
      <c r="O46" s="17">
        <f t="shared" si="10"/>
        <v>0</v>
      </c>
      <c r="P46" s="18"/>
      <c r="Q46" s="17">
        <f t="shared" si="11"/>
        <v>0</v>
      </c>
      <c r="R46" s="35"/>
      <c r="S46" s="17">
        <f t="shared" si="3"/>
        <v>0</v>
      </c>
      <c r="T46" s="67"/>
      <c r="U46" s="59">
        <v>0</v>
      </c>
      <c r="V46" s="67"/>
      <c r="W46" s="59">
        <v>0</v>
      </c>
      <c r="X46" s="67"/>
      <c r="Y46" s="59">
        <v>0</v>
      </c>
      <c r="Z46" s="67"/>
      <c r="AA46" s="59">
        <v>0</v>
      </c>
    </row>
    <row r="47" spans="1:27" ht="12.75" thickBot="1">
      <c r="A47" s="91"/>
      <c r="B47" s="13" t="s">
        <v>39</v>
      </c>
      <c r="C47" s="14">
        <v>0</v>
      </c>
      <c r="D47" s="18"/>
      <c r="E47" s="17">
        <f t="shared" si="5"/>
        <v>0</v>
      </c>
      <c r="F47" s="18"/>
      <c r="G47" s="17">
        <f t="shared" si="6"/>
        <v>0</v>
      </c>
      <c r="H47" s="18"/>
      <c r="I47" s="17">
        <f t="shared" si="7"/>
        <v>0</v>
      </c>
      <c r="J47" s="18"/>
      <c r="K47" s="17">
        <f t="shared" si="8"/>
        <v>0</v>
      </c>
      <c r="L47" s="18"/>
      <c r="M47" s="17">
        <f t="shared" si="9"/>
        <v>0</v>
      </c>
      <c r="N47" s="18"/>
      <c r="O47" s="17">
        <f t="shared" si="10"/>
        <v>0</v>
      </c>
      <c r="P47" s="18"/>
      <c r="Q47" s="17">
        <f t="shared" si="11"/>
        <v>0</v>
      </c>
      <c r="R47" s="35"/>
      <c r="S47" s="17">
        <f t="shared" si="3"/>
        <v>0</v>
      </c>
      <c r="T47" s="67"/>
      <c r="U47" s="59">
        <v>0</v>
      </c>
      <c r="V47" s="67"/>
      <c r="W47" s="59">
        <v>0</v>
      </c>
      <c r="X47" s="67"/>
      <c r="Y47" s="59">
        <v>0</v>
      </c>
      <c r="Z47" s="67"/>
      <c r="AA47" s="59">
        <v>0</v>
      </c>
    </row>
    <row r="48" spans="1:27" ht="12.75" thickBot="1">
      <c r="A48" s="91"/>
      <c r="B48" s="32" t="s">
        <v>50</v>
      </c>
      <c r="C48" s="14">
        <v>0</v>
      </c>
      <c r="D48" s="18"/>
      <c r="E48" s="17">
        <f t="shared" si="5"/>
        <v>0</v>
      </c>
      <c r="F48" s="18"/>
      <c r="G48" s="17">
        <f t="shared" si="6"/>
        <v>0</v>
      </c>
      <c r="H48" s="18"/>
      <c r="I48" s="17">
        <f t="shared" si="7"/>
        <v>0</v>
      </c>
      <c r="J48" s="18"/>
      <c r="K48" s="17">
        <f t="shared" si="8"/>
        <v>0</v>
      </c>
      <c r="L48" s="18"/>
      <c r="M48" s="17">
        <f t="shared" si="9"/>
        <v>0</v>
      </c>
      <c r="N48" s="18"/>
      <c r="O48" s="17">
        <f t="shared" si="10"/>
        <v>0</v>
      </c>
      <c r="P48" s="18"/>
      <c r="Q48" s="17">
        <f t="shared" si="11"/>
        <v>0</v>
      </c>
      <c r="R48" s="35"/>
      <c r="S48" s="17">
        <f t="shared" si="3"/>
        <v>0</v>
      </c>
      <c r="T48" s="67"/>
      <c r="U48" s="59">
        <v>0</v>
      </c>
      <c r="V48" s="67"/>
      <c r="W48" s="59">
        <v>0</v>
      </c>
      <c r="X48" s="67"/>
      <c r="Y48" s="59">
        <v>0</v>
      </c>
      <c r="Z48" s="67"/>
      <c r="AA48" s="59">
        <v>0</v>
      </c>
    </row>
    <row r="49" spans="1:27" ht="12.75" thickBot="1">
      <c r="A49" s="91"/>
      <c r="B49" s="13" t="s">
        <v>40</v>
      </c>
      <c r="C49" s="14">
        <v>0</v>
      </c>
      <c r="D49" s="18"/>
      <c r="E49" s="17">
        <f t="shared" si="5"/>
        <v>0</v>
      </c>
      <c r="F49" s="18"/>
      <c r="G49" s="17">
        <f t="shared" si="6"/>
        <v>0</v>
      </c>
      <c r="H49" s="18"/>
      <c r="I49" s="17">
        <f t="shared" si="7"/>
        <v>0</v>
      </c>
      <c r="J49" s="18"/>
      <c r="K49" s="17">
        <f t="shared" si="8"/>
        <v>0</v>
      </c>
      <c r="L49" s="18"/>
      <c r="M49" s="17">
        <f t="shared" si="9"/>
        <v>0</v>
      </c>
      <c r="N49" s="18"/>
      <c r="O49" s="17">
        <f t="shared" si="10"/>
        <v>0</v>
      </c>
      <c r="P49" s="18"/>
      <c r="Q49" s="17">
        <f t="shared" si="11"/>
        <v>0</v>
      </c>
      <c r="R49" s="35"/>
      <c r="S49" s="17">
        <f t="shared" si="3"/>
        <v>0</v>
      </c>
      <c r="T49" s="67"/>
      <c r="U49" s="59">
        <v>0</v>
      </c>
      <c r="V49" s="67"/>
      <c r="W49" s="59">
        <v>0</v>
      </c>
      <c r="X49" s="67"/>
      <c r="Y49" s="59">
        <v>0</v>
      </c>
      <c r="Z49" s="67"/>
      <c r="AA49" s="59">
        <v>0</v>
      </c>
    </row>
    <row r="50" spans="1:27" ht="12.75" thickBot="1">
      <c r="A50" s="91"/>
      <c r="B50" s="13" t="s">
        <v>41</v>
      </c>
      <c r="C50" s="14">
        <v>0</v>
      </c>
      <c r="D50" s="18"/>
      <c r="E50" s="17">
        <f t="shared" si="5"/>
        <v>0</v>
      </c>
      <c r="F50" s="18"/>
      <c r="G50" s="17">
        <f t="shared" si="6"/>
        <v>0</v>
      </c>
      <c r="H50" s="18"/>
      <c r="I50" s="17">
        <f t="shared" si="7"/>
        <v>0</v>
      </c>
      <c r="J50" s="18"/>
      <c r="K50" s="17">
        <f t="shared" si="8"/>
        <v>0</v>
      </c>
      <c r="L50" s="18"/>
      <c r="M50" s="17">
        <f t="shared" si="9"/>
        <v>0</v>
      </c>
      <c r="N50" s="18"/>
      <c r="O50" s="17">
        <f t="shared" si="10"/>
        <v>0</v>
      </c>
      <c r="P50" s="18"/>
      <c r="Q50" s="17">
        <f t="shared" si="11"/>
        <v>0</v>
      </c>
      <c r="R50" s="35"/>
      <c r="S50" s="17">
        <f t="shared" si="3"/>
        <v>0</v>
      </c>
      <c r="T50" s="67"/>
      <c r="U50" s="59">
        <v>0</v>
      </c>
      <c r="V50" s="67"/>
      <c r="W50" s="59">
        <v>0</v>
      </c>
      <c r="X50" s="67"/>
      <c r="Y50" s="59">
        <v>0</v>
      </c>
      <c r="Z50" s="67"/>
      <c r="AA50" s="59">
        <v>0</v>
      </c>
    </row>
    <row r="51" spans="1:27" ht="12.75" thickBot="1">
      <c r="A51" s="91"/>
      <c r="B51" s="13" t="s">
        <v>42</v>
      </c>
      <c r="C51" s="14">
        <v>0</v>
      </c>
      <c r="D51" s="18"/>
      <c r="E51" s="17">
        <f t="shared" si="5"/>
        <v>0</v>
      </c>
      <c r="F51" s="18"/>
      <c r="G51" s="17">
        <f t="shared" si="6"/>
        <v>0</v>
      </c>
      <c r="H51" s="18"/>
      <c r="I51" s="17">
        <f t="shared" si="7"/>
        <v>0</v>
      </c>
      <c r="J51" s="18"/>
      <c r="K51" s="17">
        <f t="shared" si="8"/>
        <v>0</v>
      </c>
      <c r="L51" s="18"/>
      <c r="M51" s="17">
        <f t="shared" si="9"/>
        <v>0</v>
      </c>
      <c r="N51" s="18"/>
      <c r="O51" s="17">
        <f t="shared" si="10"/>
        <v>0</v>
      </c>
      <c r="P51" s="18"/>
      <c r="Q51" s="17">
        <f t="shared" si="11"/>
        <v>0</v>
      </c>
      <c r="R51" s="35"/>
      <c r="S51" s="17">
        <f t="shared" si="3"/>
        <v>0</v>
      </c>
      <c r="T51" s="67"/>
      <c r="U51" s="59">
        <v>0</v>
      </c>
      <c r="V51" s="67"/>
      <c r="W51" s="59">
        <v>0</v>
      </c>
      <c r="X51" s="67"/>
      <c r="Y51" s="59">
        <v>0</v>
      </c>
      <c r="Z51" s="67"/>
      <c r="AA51" s="59">
        <v>0</v>
      </c>
    </row>
    <row r="52" spans="1:27" ht="12.75" thickBot="1">
      <c r="A52" s="91"/>
      <c r="B52" s="13" t="s">
        <v>43</v>
      </c>
      <c r="C52" s="14">
        <v>0</v>
      </c>
      <c r="D52" s="18"/>
      <c r="E52" s="17">
        <f t="shared" si="5"/>
        <v>0</v>
      </c>
      <c r="F52" s="18"/>
      <c r="G52" s="17">
        <f t="shared" si="6"/>
        <v>0</v>
      </c>
      <c r="H52" s="18"/>
      <c r="I52" s="17">
        <f t="shared" si="7"/>
        <v>0</v>
      </c>
      <c r="J52" s="18"/>
      <c r="K52" s="17">
        <f t="shared" si="8"/>
        <v>0</v>
      </c>
      <c r="L52" s="18"/>
      <c r="M52" s="17">
        <f t="shared" si="9"/>
        <v>0</v>
      </c>
      <c r="N52" s="18"/>
      <c r="O52" s="17">
        <f t="shared" si="10"/>
        <v>0</v>
      </c>
      <c r="P52" s="18"/>
      <c r="Q52" s="17">
        <f t="shared" si="11"/>
        <v>0</v>
      </c>
      <c r="R52" s="35"/>
      <c r="S52" s="17">
        <f t="shared" si="3"/>
        <v>0</v>
      </c>
      <c r="T52" s="67"/>
      <c r="U52" s="59">
        <v>0</v>
      </c>
      <c r="V52" s="67"/>
      <c r="W52" s="59">
        <v>0</v>
      </c>
      <c r="X52" s="67"/>
      <c r="Y52" s="59">
        <v>0</v>
      </c>
      <c r="Z52" s="67"/>
      <c r="AA52" s="59">
        <v>0</v>
      </c>
    </row>
    <row r="53" spans="1:27" ht="12.75" thickBot="1">
      <c r="A53" s="91"/>
      <c r="B53" s="13" t="s">
        <v>44</v>
      </c>
      <c r="C53" s="14">
        <v>0</v>
      </c>
      <c r="D53" s="18"/>
      <c r="E53" s="17">
        <f t="shared" si="5"/>
        <v>0</v>
      </c>
      <c r="F53" s="18"/>
      <c r="G53" s="17">
        <f t="shared" si="6"/>
        <v>0</v>
      </c>
      <c r="H53" s="18"/>
      <c r="I53" s="17">
        <f t="shared" si="7"/>
        <v>0</v>
      </c>
      <c r="J53" s="18"/>
      <c r="K53" s="17">
        <f t="shared" si="8"/>
        <v>0</v>
      </c>
      <c r="L53" s="18"/>
      <c r="M53" s="17">
        <f t="shared" si="9"/>
        <v>0</v>
      </c>
      <c r="N53" s="18"/>
      <c r="O53" s="17">
        <f t="shared" si="10"/>
        <v>0</v>
      </c>
      <c r="P53" s="18"/>
      <c r="Q53" s="17">
        <f t="shared" si="11"/>
        <v>0</v>
      </c>
      <c r="R53" s="35"/>
      <c r="S53" s="17">
        <f t="shared" si="3"/>
        <v>0</v>
      </c>
      <c r="T53" s="67"/>
      <c r="U53" s="59">
        <v>0</v>
      </c>
      <c r="V53" s="67"/>
      <c r="W53" s="59">
        <v>0</v>
      </c>
      <c r="X53" s="67"/>
      <c r="Y53" s="59">
        <v>0</v>
      </c>
      <c r="Z53" s="67"/>
      <c r="AA53" s="59">
        <v>0</v>
      </c>
    </row>
    <row r="54" spans="1:27" ht="12.75" thickBot="1">
      <c r="A54" s="91"/>
      <c r="B54" s="13" t="s">
        <v>45</v>
      </c>
      <c r="C54" s="14">
        <v>0</v>
      </c>
      <c r="D54" s="18"/>
      <c r="E54" s="17">
        <f t="shared" si="5"/>
        <v>0</v>
      </c>
      <c r="F54" s="18"/>
      <c r="G54" s="17">
        <f t="shared" si="6"/>
        <v>0</v>
      </c>
      <c r="H54" s="18"/>
      <c r="I54" s="17">
        <f t="shared" si="7"/>
        <v>0</v>
      </c>
      <c r="J54" s="18"/>
      <c r="K54" s="17">
        <f t="shared" si="8"/>
        <v>0</v>
      </c>
      <c r="L54" s="18"/>
      <c r="M54" s="17">
        <f t="shared" si="9"/>
        <v>0</v>
      </c>
      <c r="N54" s="18"/>
      <c r="O54" s="17">
        <f t="shared" si="10"/>
        <v>0</v>
      </c>
      <c r="P54" s="18"/>
      <c r="Q54" s="17">
        <f t="shared" si="11"/>
        <v>0</v>
      </c>
      <c r="R54" s="35"/>
      <c r="S54" s="17">
        <f t="shared" si="3"/>
        <v>0</v>
      </c>
      <c r="T54" s="67"/>
      <c r="U54" s="59">
        <v>0</v>
      </c>
      <c r="V54" s="67"/>
      <c r="W54" s="59">
        <v>0</v>
      </c>
      <c r="X54" s="67"/>
      <c r="Y54" s="59">
        <v>0</v>
      </c>
      <c r="Z54" s="67"/>
      <c r="AA54" s="59">
        <v>0</v>
      </c>
    </row>
    <row r="55" spans="1:27" ht="12.75" thickBot="1">
      <c r="A55" s="91"/>
      <c r="B55" s="13" t="s">
        <v>51</v>
      </c>
      <c r="C55" s="14">
        <v>0</v>
      </c>
      <c r="D55" s="18"/>
      <c r="E55" s="17">
        <f t="shared" si="5"/>
        <v>0</v>
      </c>
      <c r="F55" s="18"/>
      <c r="G55" s="17">
        <f t="shared" si="6"/>
        <v>0</v>
      </c>
      <c r="H55" s="18"/>
      <c r="I55" s="17">
        <f t="shared" si="7"/>
        <v>0</v>
      </c>
      <c r="J55" s="18"/>
      <c r="K55" s="17">
        <f t="shared" si="8"/>
        <v>0</v>
      </c>
      <c r="L55" s="18"/>
      <c r="M55" s="17">
        <f t="shared" si="9"/>
        <v>0</v>
      </c>
      <c r="N55" s="18"/>
      <c r="O55" s="17">
        <f t="shared" si="10"/>
        <v>0</v>
      </c>
      <c r="P55" s="18"/>
      <c r="Q55" s="17">
        <f t="shared" si="11"/>
        <v>0</v>
      </c>
      <c r="R55" s="35"/>
      <c r="S55" s="17">
        <f t="shared" si="3"/>
        <v>0</v>
      </c>
      <c r="T55" s="67"/>
      <c r="U55" s="59">
        <v>0</v>
      </c>
      <c r="V55" s="67"/>
      <c r="W55" s="59">
        <v>0</v>
      </c>
      <c r="X55" s="67"/>
      <c r="Y55" s="59">
        <v>0</v>
      </c>
      <c r="Z55" s="67"/>
      <c r="AA55" s="59">
        <v>0</v>
      </c>
    </row>
    <row r="56" spans="1:27" ht="12.75" thickBot="1">
      <c r="A56" s="91"/>
      <c r="B56" s="13" t="s">
        <v>52</v>
      </c>
      <c r="C56" s="14">
        <v>0</v>
      </c>
      <c r="D56" s="18"/>
      <c r="E56" s="17">
        <f>$C56*D56</f>
        <v>0</v>
      </c>
      <c r="F56" s="18"/>
      <c r="G56" s="17">
        <f t="shared" si="6"/>
        <v>0</v>
      </c>
      <c r="H56" s="18"/>
      <c r="I56" s="17">
        <f t="shared" si="7"/>
        <v>0</v>
      </c>
      <c r="J56" s="18"/>
      <c r="K56" s="17">
        <f t="shared" si="8"/>
        <v>0</v>
      </c>
      <c r="L56" s="18"/>
      <c r="M56" s="17">
        <f t="shared" si="9"/>
        <v>0</v>
      </c>
      <c r="N56" s="18"/>
      <c r="O56" s="17">
        <f>$C56*N56</f>
        <v>0</v>
      </c>
      <c r="P56" s="18"/>
      <c r="Q56" s="17">
        <f t="shared" si="11"/>
        <v>0</v>
      </c>
      <c r="R56" s="35"/>
      <c r="S56" s="17">
        <f t="shared" si="3"/>
        <v>0</v>
      </c>
      <c r="T56" s="67"/>
      <c r="U56" s="59">
        <v>0</v>
      </c>
      <c r="V56" s="67"/>
      <c r="W56" s="59">
        <v>0</v>
      </c>
      <c r="X56" s="67"/>
      <c r="Y56" s="59">
        <v>0</v>
      </c>
      <c r="Z56" s="67"/>
      <c r="AA56" s="59">
        <v>0</v>
      </c>
    </row>
    <row r="57" spans="1:27" ht="12.75" thickBot="1">
      <c r="A57" s="92"/>
      <c r="B57" s="13" t="s">
        <v>18</v>
      </c>
      <c r="C57" s="14">
        <v>0</v>
      </c>
      <c r="D57" s="18"/>
      <c r="E57" s="17">
        <f>$C57*D57</f>
        <v>0</v>
      </c>
      <c r="F57" s="18"/>
      <c r="G57" s="17">
        <f t="shared" si="6"/>
        <v>0</v>
      </c>
      <c r="H57" s="18"/>
      <c r="I57" s="17">
        <f t="shared" si="7"/>
        <v>0</v>
      </c>
      <c r="J57" s="18"/>
      <c r="K57" s="17">
        <f t="shared" si="8"/>
        <v>0</v>
      </c>
      <c r="L57" s="18"/>
      <c r="M57" s="17">
        <f t="shared" si="9"/>
        <v>0</v>
      </c>
      <c r="N57" s="18"/>
      <c r="O57" s="17">
        <f>$C57*N57</f>
        <v>0</v>
      </c>
      <c r="P57" s="18"/>
      <c r="Q57" s="17">
        <f t="shared" si="11"/>
        <v>0</v>
      </c>
      <c r="R57" s="35"/>
      <c r="S57" s="17">
        <f t="shared" si="3"/>
        <v>0</v>
      </c>
      <c r="T57" s="68"/>
      <c r="U57" s="59">
        <v>0</v>
      </c>
      <c r="V57" s="68"/>
      <c r="W57" s="59">
        <v>0</v>
      </c>
      <c r="X57" s="68"/>
      <c r="Y57" s="59">
        <v>0</v>
      </c>
      <c r="Z57" s="68"/>
      <c r="AA57" s="59">
        <v>0</v>
      </c>
    </row>
    <row r="58" spans="1:27" ht="12.75" thickBot="1">
      <c r="A58" s="39" t="s">
        <v>46</v>
      </c>
      <c r="B58" s="40"/>
      <c r="C58" s="38"/>
      <c r="D58" s="41"/>
      <c r="E58" s="42">
        <f>SUM(E32:E57)</f>
        <v>0</v>
      </c>
      <c r="F58" s="41"/>
      <c r="G58" s="42">
        <f>SUM(G32:G57)</f>
        <v>0</v>
      </c>
      <c r="H58" s="41"/>
      <c r="I58" s="42">
        <f>SUM(I32:I57)</f>
        <v>0</v>
      </c>
      <c r="J58" s="41"/>
      <c r="K58" s="42">
        <f>SUM(K32:K57)</f>
        <v>0</v>
      </c>
      <c r="L58" s="41"/>
      <c r="M58" s="42">
        <f>SUM(M32:M57)</f>
        <v>0</v>
      </c>
      <c r="N58" s="41"/>
      <c r="O58" s="42">
        <f>SUM(O32:O57)</f>
        <v>0</v>
      </c>
      <c r="P58" s="41"/>
      <c r="Q58" s="42">
        <f>SUM(Q32:Q57)</f>
        <v>0</v>
      </c>
      <c r="R58" s="43"/>
      <c r="S58" s="52">
        <f t="shared" si="3"/>
        <v>0</v>
      </c>
      <c r="T58" s="41"/>
      <c r="U58" s="69">
        <v>0</v>
      </c>
      <c r="V58" s="41"/>
      <c r="W58" s="69">
        <v>0</v>
      </c>
      <c r="X58" s="41"/>
      <c r="Y58" s="69">
        <v>0</v>
      </c>
      <c r="Z58" s="41"/>
      <c r="AA58" s="69">
        <v>0</v>
      </c>
    </row>
    <row r="59" spans="1:27" s="49" customFormat="1" ht="18.75" customHeight="1" thickTop="1" thickBot="1">
      <c r="A59" s="44" t="s">
        <v>47</v>
      </c>
      <c r="B59" s="45"/>
      <c r="C59" s="46"/>
      <c r="D59" s="47"/>
      <c r="E59" s="48">
        <f>E20+E31+E58</f>
        <v>0</v>
      </c>
      <c r="F59" s="47"/>
      <c r="G59" s="48">
        <f>G20+G31+G58</f>
        <v>0</v>
      </c>
      <c r="H59" s="47"/>
      <c r="I59" s="48">
        <f>I20+I31+I58</f>
        <v>0</v>
      </c>
      <c r="J59" s="47"/>
      <c r="K59" s="48">
        <f>K20+K31+K58</f>
        <v>0</v>
      </c>
      <c r="L59" s="47"/>
      <c r="M59" s="48">
        <f>M20+M31+M58</f>
        <v>0</v>
      </c>
      <c r="N59" s="47"/>
      <c r="O59" s="48">
        <f>O20+O31+O58</f>
        <v>0</v>
      </c>
      <c r="P59" s="47"/>
      <c r="Q59" s="48">
        <f>Q20+Q31+Q58</f>
        <v>0</v>
      </c>
      <c r="R59" s="47"/>
      <c r="S59" s="53">
        <f t="shared" si="3"/>
        <v>0</v>
      </c>
      <c r="T59" s="47"/>
      <c r="U59" s="70">
        <v>0</v>
      </c>
      <c r="V59" s="47"/>
      <c r="W59" s="70">
        <v>0</v>
      </c>
      <c r="X59" s="47"/>
      <c r="Y59" s="70">
        <v>0</v>
      </c>
      <c r="Z59" s="47"/>
      <c r="AA59" s="70">
        <v>0</v>
      </c>
    </row>
    <row r="60" spans="1:27">
      <c r="A60" s="13"/>
      <c r="B60" s="13"/>
    </row>
  </sheetData>
  <mergeCells count="34">
    <mergeCell ref="J1:M1"/>
    <mergeCell ref="D1:I1"/>
    <mergeCell ref="V1:W2"/>
    <mergeCell ref="V3:W3"/>
    <mergeCell ref="N3:O3"/>
    <mergeCell ref="R2:R4"/>
    <mergeCell ref="N1:Q1"/>
    <mergeCell ref="T3:U3"/>
    <mergeCell ref="T1:U2"/>
    <mergeCell ref="L2:M2"/>
    <mergeCell ref="A40:A57"/>
    <mergeCell ref="H2:I2"/>
    <mergeCell ref="H3:I3"/>
    <mergeCell ref="A6:A19"/>
    <mergeCell ref="A22:A30"/>
    <mergeCell ref="C22:C30"/>
    <mergeCell ref="A33:A39"/>
    <mergeCell ref="F3:G3"/>
    <mergeCell ref="N2:O2"/>
    <mergeCell ref="P2:Q2"/>
    <mergeCell ref="P3:Q3"/>
    <mergeCell ref="F2:G2"/>
    <mergeCell ref="L3:M3"/>
    <mergeCell ref="J2:K2"/>
    <mergeCell ref="X1:Y2"/>
    <mergeCell ref="X3:Y3"/>
    <mergeCell ref="Z1:AA2"/>
    <mergeCell ref="Z3:AA3"/>
    <mergeCell ref="A1:C1"/>
    <mergeCell ref="R1:S1"/>
    <mergeCell ref="C2:C4"/>
    <mergeCell ref="D2:E2"/>
    <mergeCell ref="D3:E3"/>
    <mergeCell ref="J3:K3"/>
  </mergeCells>
  <phoneticPr fontId="10" type="noConversion"/>
  <printOptions horizontalCentered="1"/>
  <pageMargins left="0.12" right="0.12" top="1.1499999999999999" bottom="0.37" header="0.25" footer="0.42"/>
  <pageSetup paperSize="3" scale="75" fitToWidth="2" orientation="landscape" horizontalDpi="4294967295" verticalDpi="4294967295"/>
  <headerFooter alignWithMargins="0">
    <oddHeader xml:space="preserve">&amp;CDetailed Cost Sheet
Old Lycoming Township
1951 Green Avenue
Williamsport, PA 17701
PADEP FACILITY ID #41-03903 
PAUSTIF CLAIM #1999-0503(M)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2.75"/>
  <sheetData/>
  <phoneticPr fontId="1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2.75"/>
  <sheetData/>
  <phoneticPr fontId="1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B&amp;B Diversified Enterprises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Gourley</dc:creator>
  <cp:lastModifiedBy>Amy Steiner</cp:lastModifiedBy>
  <cp:lastPrinted>2013-01-11T15:38:46Z</cp:lastPrinted>
  <dcterms:created xsi:type="dcterms:W3CDTF">2007-02-15T12:38:24Z</dcterms:created>
  <dcterms:modified xsi:type="dcterms:W3CDTF">2013-01-30T16:44:42Z</dcterms:modified>
</cp:coreProperties>
</file>