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875" windowHeight="11760"/>
  </bookViews>
  <sheets>
    <sheet name="Final September 2012 List" sheetId="1" r:id="rId1"/>
  </sheets>
  <externalReferences>
    <externalReference r:id="rId2"/>
  </externalReferences>
  <definedNames>
    <definedName name="_xlnm.Print_Area" localSheetId="0">'Final September 2012 List'!$A$1:$I$46</definedName>
    <definedName name="_xlnm.Print_Titles" localSheetId="0">'Final September 2012 List'!$3:$3</definedName>
    <definedName name="ProjectType">'[1]Dropdown lists'!$A$2:$A$11</definedName>
  </definedNames>
  <calcPr calcId="125725"/>
</workbook>
</file>

<file path=xl/calcChain.xml><?xml version="1.0" encoding="utf-8"?>
<calcChain xmlns="http://schemas.openxmlformats.org/spreadsheetml/2006/main">
  <c r="H41" i="1"/>
  <c r="G41"/>
  <c r="F41"/>
  <c r="E41"/>
  <c r="G42" s="1"/>
  <c r="D41"/>
</calcChain>
</file>

<file path=xl/sharedStrings.xml><?xml version="1.0" encoding="utf-8"?>
<sst xmlns="http://schemas.openxmlformats.org/spreadsheetml/2006/main" count="124" uniqueCount="100">
  <si>
    <t xml:space="preserve">North Carolina Clean Water State Revolving Fund </t>
  </si>
  <si>
    <t>Final Project List - September 2012 Applications</t>
  </si>
  <si>
    <t>Applicant Name</t>
  </si>
  <si>
    <t>Project Name</t>
  </si>
  <si>
    <t>County</t>
  </si>
  <si>
    <t>CWSRF Loan Request</t>
  </si>
  <si>
    <t>Green Project Reserve</t>
  </si>
  <si>
    <t>Principle Forgiveness</t>
  </si>
  <si>
    <t>CWSRF - Base</t>
  </si>
  <si>
    <t>Project Cost</t>
  </si>
  <si>
    <t>Priority Points</t>
  </si>
  <si>
    <t>Eden, City of</t>
  </si>
  <si>
    <t>Matrimony Creek Outfall Rehabilitation</t>
  </si>
  <si>
    <t>Rockingham</t>
  </si>
  <si>
    <t>Green Level, Town of</t>
  </si>
  <si>
    <t>Basil Holt Pump Station Replacement</t>
  </si>
  <si>
    <t>Alamance</t>
  </si>
  <si>
    <t>Otter Creek Pump Station Renovation/Rehabilitation</t>
  </si>
  <si>
    <t>Yadkin Valley Sewer Authority</t>
  </si>
  <si>
    <t>Sewer Collection System Rehabilitation Phase II</t>
  </si>
  <si>
    <t>Yadkin</t>
  </si>
  <si>
    <t>Lenoir, City of</t>
  </si>
  <si>
    <t>Powell Road Greenway Sewer Replacement</t>
  </si>
  <si>
    <t>Caldwell</t>
  </si>
  <si>
    <t>Parkton, Town of</t>
  </si>
  <si>
    <t>Wastewater Treatment Plant Improvements</t>
  </si>
  <si>
    <t>Robeson</t>
  </si>
  <si>
    <t>Clyde, Town of</t>
  </si>
  <si>
    <t>Fire Station Branch Sewer Line Replacement</t>
  </si>
  <si>
    <t>Haywood</t>
  </si>
  <si>
    <t>Wallace, Town of</t>
  </si>
  <si>
    <t>Lift Station Rehabilitation</t>
  </si>
  <si>
    <t>Duplin</t>
  </si>
  <si>
    <t>Conover, City of</t>
  </si>
  <si>
    <t>Southwest Sewer Rehabilitation Project</t>
  </si>
  <si>
    <t>Catawba</t>
  </si>
  <si>
    <t>Vanceboro, Town of</t>
  </si>
  <si>
    <t>Sanitary Sewer Rehabilitation 2012</t>
  </si>
  <si>
    <t>Craven</t>
  </si>
  <si>
    <t xml:space="preserve">Hyder Mountain Pump Station </t>
  </si>
  <si>
    <t>Robersonville, Town of</t>
  </si>
  <si>
    <t>Robersonville Sewer Lift Station Rehabilitation</t>
  </si>
  <si>
    <t>Martin</t>
  </si>
  <si>
    <t>Eureka, Town of</t>
  </si>
  <si>
    <t>Sanitary Sewer Rehabilitation</t>
  </si>
  <si>
    <t>Wayne</t>
  </si>
  <si>
    <t>Gunpowder Creek WWTP Improvements</t>
  </si>
  <si>
    <t>Halifax, County of</t>
  </si>
  <si>
    <t>Halifax</t>
  </si>
  <si>
    <t>Edgecombe Water and Sewer District No. 4</t>
  </si>
  <si>
    <t>Wastewater Collection and Transport to serve Town of Speed</t>
  </si>
  <si>
    <t>Edgecombe</t>
  </si>
  <si>
    <t>@</t>
  </si>
  <si>
    <t>Oxford, City of</t>
  </si>
  <si>
    <t>Coon Creek (Fishing Creek) Stormwater Improvement Project</t>
  </si>
  <si>
    <t>Granville</t>
  </si>
  <si>
    <t>Weldon, Town of</t>
  </si>
  <si>
    <t>Shelby, City of</t>
  </si>
  <si>
    <t>First Broad Wastewater Treatment Plant Improvements</t>
  </si>
  <si>
    <t>Cleveland</t>
  </si>
  <si>
    <t>Orange Water &amp; Sewer Authority</t>
  </si>
  <si>
    <t>Aeration &amp; Mixing Sys. Eff Imp.@ OWASA's Mason Farm WWTP</t>
  </si>
  <si>
    <t>Orange</t>
  </si>
  <si>
    <t>Robersonville Wastewater Treatment Plant Rehabilitation</t>
  </si>
  <si>
    <t>Public Works Commission of Fayetteville</t>
  </si>
  <si>
    <t>Sanitary Sewer Replacement on Person Street at the Lobster House</t>
  </si>
  <si>
    <t>Cumberland</t>
  </si>
  <si>
    <t>Grover, Town of</t>
  </si>
  <si>
    <t>Wastewater Project</t>
  </si>
  <si>
    <t>Onslow Water and Sewer Authority</t>
  </si>
  <si>
    <t>Summerhouse Water Reclamation Facility Rehabilitation</t>
  </si>
  <si>
    <t>Onslow</t>
  </si>
  <si>
    <t>Spring Hope, Town of</t>
  </si>
  <si>
    <t>Country Inn Lift Station Elimination Project</t>
  </si>
  <si>
    <t>Nash</t>
  </si>
  <si>
    <t>WWTP Equalization Basin Project</t>
  </si>
  <si>
    <t>Statesville, City of</t>
  </si>
  <si>
    <t>Fourth Creek WWTP Improvements</t>
  </si>
  <si>
    <t>Iredell</t>
  </si>
  <si>
    <t>Drexel. Town of</t>
  </si>
  <si>
    <t>Sewer Pump Station Replacement</t>
  </si>
  <si>
    <t>Burke</t>
  </si>
  <si>
    <t>#</t>
  </si>
  <si>
    <t>Outfall Improvements</t>
  </si>
  <si>
    <t>New Hanover, County of</t>
  </si>
  <si>
    <t>Heritage Park Area-Sewer Installation to Replace Failing Septic Tanks</t>
  </si>
  <si>
    <t>New Hanover</t>
  </si>
  <si>
    <t>Marquis Hills Area-Sewer Installation to Replace Failing Septic Tanks</t>
  </si>
  <si>
    <t>Raleigh, City of</t>
  </si>
  <si>
    <t>Neuse River Wastewater Treatment Plant Expansion to 75 MGD Phase III</t>
  </si>
  <si>
    <t>Wake</t>
  </si>
  <si>
    <t>Crabtree Basin Wastewater System Conveyance Improvements Phase II</t>
  </si>
  <si>
    <t>Holly Ridge Jenkins Street Pump Station Connection to Summerhouse WRF</t>
  </si>
  <si>
    <t>Piney Green Sewer Infrastructure Phase 3 Gravity Sewer Outfall</t>
  </si>
  <si>
    <t>Stokes, County of</t>
  </si>
  <si>
    <t>Meadows Community Interconnection</t>
  </si>
  <si>
    <t>Stokes</t>
  </si>
  <si>
    <t>*</t>
  </si>
  <si>
    <t>Category Totals</t>
  </si>
  <si>
    <t>Total Funding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</si>
</sst>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164" formatCode="&quot;$&quot;#,##0.00"/>
    <numFmt numFmtId="165" formatCode="&quot;$&quot;#,##0.00;[Red]&quot;$&quot;#,##0.00"/>
  </numFmts>
  <fonts count="7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3" fillId="0" borderId="2" xfId="0" applyFont="1" applyBorder="1"/>
    <xf numFmtId="0" fontId="4" fillId="0" borderId="2" xfId="0" applyFont="1" applyBorder="1"/>
    <xf numFmtId="165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5" fontId="3" fillId="0" borderId="2" xfId="0" applyNumberFormat="1" applyFont="1" applyBorder="1" applyAlignment="1"/>
    <xf numFmtId="2" fontId="3" fillId="0" borderId="2" xfId="0" applyNumberFormat="1" applyFont="1" applyBorder="1" applyAlignment="1">
      <alignment horizontal="center"/>
    </xf>
    <xf numFmtId="0" fontId="3" fillId="0" borderId="4" xfId="0" applyFont="1" applyBorder="1"/>
    <xf numFmtId="0" fontId="4" fillId="0" borderId="4" xfId="0" applyFont="1" applyBorder="1"/>
    <xf numFmtId="165" fontId="3" fillId="0" borderId="4" xfId="0" applyNumberFormat="1" applyFont="1" applyBorder="1" applyAlignment="1">
      <alignment horizontal="right"/>
    </xf>
    <xf numFmtId="164" fontId="3" fillId="0" borderId="4" xfId="0" applyNumberFormat="1" applyFont="1" applyFill="1" applyBorder="1"/>
    <xf numFmtId="164" fontId="4" fillId="0" borderId="4" xfId="0" applyNumberFormat="1" applyFont="1" applyFill="1" applyBorder="1" applyAlignment="1">
      <alignment horizontal="right"/>
    </xf>
    <xf numFmtId="165" fontId="4" fillId="0" borderId="4" xfId="0" applyNumberFormat="1" applyFont="1" applyFill="1" applyBorder="1" applyAlignment="1"/>
    <xf numFmtId="165" fontId="4" fillId="0" borderId="4" xfId="0" applyNumberFormat="1" applyFont="1" applyFill="1" applyBorder="1" applyAlignment="1">
      <alignment horizontal="right"/>
    </xf>
    <xf numFmtId="2" fontId="4" fillId="0" borderId="4" xfId="0" applyNumberFormat="1" applyFont="1" applyFill="1" applyBorder="1" applyAlignment="1">
      <alignment horizontal="center"/>
    </xf>
    <xf numFmtId="0" fontId="3" fillId="0" borderId="4" xfId="0" applyFont="1" applyFill="1" applyBorder="1"/>
    <xf numFmtId="0" fontId="4" fillId="0" borderId="4" xfId="0" applyFont="1" applyFill="1" applyBorder="1"/>
    <xf numFmtId="165" fontId="3" fillId="0" borderId="4" xfId="0" applyNumberFormat="1" applyFont="1" applyFill="1" applyBorder="1" applyAlignment="1">
      <alignment horizontal="right"/>
    </xf>
    <xf numFmtId="164" fontId="4" fillId="0" borderId="4" xfId="0" applyNumberFormat="1" applyFont="1" applyFill="1" applyBorder="1" applyAlignment="1"/>
    <xf numFmtId="0" fontId="0" fillId="0" borderId="0" xfId="0" applyFill="1" applyAlignment="1">
      <alignment wrapText="1"/>
    </xf>
    <xf numFmtId="0" fontId="0" fillId="0" borderId="0" xfId="0" applyFill="1"/>
    <xf numFmtId="0" fontId="5" fillId="0" borderId="0" xfId="0" applyFont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right"/>
    </xf>
    <xf numFmtId="164" fontId="4" fillId="0" borderId="6" xfId="0" applyNumberFormat="1" applyFont="1" applyFill="1" applyBorder="1"/>
    <xf numFmtId="164" fontId="4" fillId="0" borderId="2" xfId="0" applyNumberFormat="1" applyFont="1" applyFill="1" applyBorder="1"/>
    <xf numFmtId="164" fontId="4" fillId="0" borderId="4" xfId="0" applyNumberFormat="1" applyFont="1" applyFill="1" applyBorder="1"/>
    <xf numFmtId="164" fontId="3" fillId="0" borderId="4" xfId="0" applyNumberFormat="1" applyFont="1" applyFill="1" applyBorder="1" applyAlignment="1">
      <alignment horizontal="right"/>
    </xf>
    <xf numFmtId="164" fontId="4" fillId="0" borderId="4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3" fillId="0" borderId="5" xfId="0" applyNumberFormat="1" applyFont="1" applyFill="1" applyBorder="1"/>
    <xf numFmtId="164" fontId="3" fillId="0" borderId="6" xfId="0" applyNumberFormat="1" applyFont="1" applyFill="1" applyBorder="1"/>
    <xf numFmtId="164" fontId="3" fillId="0" borderId="4" xfId="0" applyNumberFormat="1" applyFont="1" applyBorder="1"/>
    <xf numFmtId="165" fontId="4" fillId="0" borderId="5" xfId="0" applyNumberFormat="1" applyFont="1" applyFill="1" applyBorder="1" applyAlignment="1"/>
    <xf numFmtId="164" fontId="4" fillId="0" borderId="6" xfId="0" applyNumberFormat="1" applyFont="1" applyFill="1" applyBorder="1" applyAlignment="1"/>
    <xf numFmtId="2" fontId="4" fillId="2" borderId="4" xfId="0" applyNumberFormat="1" applyFont="1" applyFill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165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/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center"/>
    </xf>
    <xf numFmtId="0" fontId="6" fillId="0" borderId="0" xfId="0" applyFont="1" applyBorder="1"/>
    <xf numFmtId="165" fontId="6" fillId="0" borderId="7" xfId="0" applyNumberFormat="1" applyFont="1" applyBorder="1"/>
    <xf numFmtId="164" fontId="6" fillId="0" borderId="7" xfId="0" applyNumberFormat="1" applyFont="1" applyBorder="1"/>
    <xf numFmtId="0" fontId="3" fillId="0" borderId="0" xfId="0" applyFont="1" applyBorder="1" applyAlignment="1">
      <alignment horizontal="center"/>
    </xf>
    <xf numFmtId="164" fontId="6" fillId="0" borderId="0" xfId="0" applyNumberFormat="1" applyFont="1" applyBorder="1"/>
    <xf numFmtId="164" fontId="0" fillId="0" borderId="0" xfId="0" applyNumberFormat="1"/>
    <xf numFmtId="6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39</xdr:row>
      <xdr:rowOff>66675</xdr:rowOff>
    </xdr:from>
    <xdr:to>
      <xdr:col>1</xdr:col>
      <xdr:colOff>2809875</xdr:colOff>
      <xdr:row>45</xdr:row>
      <xdr:rowOff>95250</xdr:rowOff>
    </xdr:to>
    <xdr:sp macro="" textlink="">
      <xdr:nvSpPr>
        <xdr:cNvPr id="2" name="TextBox 1"/>
        <xdr:cNvSpPr txBox="1"/>
      </xdr:nvSpPr>
      <xdr:spPr>
        <a:xfrm>
          <a:off x="9525" y="7715250"/>
          <a:ext cx="51149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00">
              <a:solidFill>
                <a:schemeClr val="dk1"/>
              </a:solidFill>
              <a:latin typeface="+mn-lt"/>
              <a:ea typeface="+mn-ea"/>
              <a:cs typeface="+mn-cs"/>
            </a:rPr>
            <a:t># - Requested principal</a:t>
          </a:r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 forgiveness but did not meet requirements</a:t>
          </a:r>
        </a:p>
        <a:p>
          <a:endParaRPr lang="en-US" sz="1000">
            <a:latin typeface="+mn-lt"/>
          </a:endParaRPr>
        </a:p>
        <a:p>
          <a:r>
            <a:rPr lang="en-US" sz="10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@</a:t>
          </a:r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 - Declined CWSRF loan without principal forgiveness included</a:t>
          </a:r>
        </a:p>
        <a:p>
          <a:endParaRPr lang="en-US" sz="10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* - Incomplete Application</a:t>
          </a:r>
        </a:p>
        <a:p>
          <a:endParaRPr lang="en-US" sz="1000">
            <a:latin typeface="+mn-lt"/>
          </a:endParaRPr>
        </a:p>
        <a:p>
          <a:endParaRPr lang="en-US" sz="10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S/CWSRF%20App%20Cycles/2012%20September/Sept%202012%20Track/CWSRF%20September%202012%20Application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12 Applications"/>
      <sheetName val="Dropdown lists"/>
      <sheetName val="Final September 2012 List"/>
    </sheetNames>
    <sheetDataSet>
      <sheetData sheetId="0"/>
      <sheetData sheetId="1">
        <row r="2">
          <cell r="A2" t="str">
            <v>WWTP, New or Exp</v>
          </cell>
        </row>
        <row r="3">
          <cell r="A3" t="str">
            <v>WWTP, Rehab</v>
          </cell>
        </row>
        <row r="4">
          <cell r="A4" t="str">
            <v>Sewer, New or Exp</v>
          </cell>
        </row>
        <row r="5">
          <cell r="A5" t="str">
            <v>Sewer, Rehab</v>
          </cell>
        </row>
        <row r="6">
          <cell r="A6" t="str">
            <v>Stream Restoration</v>
          </cell>
        </row>
        <row r="7">
          <cell r="A7" t="str">
            <v>Stormwater BMP</v>
          </cell>
        </row>
        <row r="8">
          <cell r="A8" t="str">
            <v>Reclaimed Water, New</v>
          </cell>
        </row>
        <row r="9">
          <cell r="A9" t="str">
            <v>Reclaimed Water, Exp</v>
          </cell>
        </row>
        <row r="10">
          <cell r="A10" t="str">
            <v>Energy Eff</v>
          </cell>
        </row>
        <row r="11">
          <cell r="A11" t="str">
            <v>Other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99"/>
  <sheetViews>
    <sheetView tabSelected="1" workbookViewId="0">
      <pane xSplit="2" topLeftCell="C1" activePane="topRight" state="frozen"/>
      <selection pane="topRight"/>
    </sheetView>
  </sheetViews>
  <sheetFormatPr defaultRowHeight="15"/>
  <cols>
    <col min="1" max="1" width="34.7109375" customWidth="1"/>
    <col min="2" max="2" width="58.85546875" customWidth="1"/>
    <col min="3" max="3" width="13.7109375" customWidth="1"/>
    <col min="4" max="4" width="14.85546875" customWidth="1"/>
    <col min="5" max="6" width="13.7109375" customWidth="1"/>
    <col min="7" max="7" width="15.7109375" customWidth="1"/>
    <col min="8" max="8" width="14.42578125" bestFit="1" customWidth="1"/>
    <col min="9" max="9" width="8.140625" style="2" bestFit="1" customWidth="1"/>
    <col min="10" max="10" width="9.140625" style="3"/>
  </cols>
  <sheetData>
    <row r="1" spans="1:12" ht="15.75" customHeight="1">
      <c r="A1" s="1" t="s">
        <v>0</v>
      </c>
    </row>
    <row r="2" spans="1:12" ht="15.75" customHeight="1">
      <c r="A2" s="1" t="s">
        <v>1</v>
      </c>
    </row>
    <row r="3" spans="1:12" ht="28.5" customHeight="1" thickBo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7"/>
      <c r="K3" s="7"/>
      <c r="L3" s="8"/>
    </row>
    <row r="4" spans="1:12">
      <c r="A4" s="9" t="s">
        <v>11</v>
      </c>
      <c r="B4" s="10" t="s">
        <v>12</v>
      </c>
      <c r="C4" s="9" t="s">
        <v>13</v>
      </c>
      <c r="D4" s="11">
        <v>2718636</v>
      </c>
      <c r="E4" s="12"/>
      <c r="F4" s="12">
        <v>1000000</v>
      </c>
      <c r="G4" s="13">
        <v>1718636</v>
      </c>
      <c r="H4" s="11">
        <v>2718636</v>
      </c>
      <c r="I4" s="14">
        <v>57.38</v>
      </c>
    </row>
    <row r="5" spans="1:12">
      <c r="A5" s="15" t="s">
        <v>14</v>
      </c>
      <c r="B5" s="16" t="s">
        <v>15</v>
      </c>
      <c r="C5" s="15" t="s">
        <v>16</v>
      </c>
      <c r="D5" s="17">
        <v>645800</v>
      </c>
      <c r="E5" s="18"/>
      <c r="F5" s="19">
        <v>322900</v>
      </c>
      <c r="G5" s="20">
        <v>322900</v>
      </c>
      <c r="H5" s="21">
        <v>645800</v>
      </c>
      <c r="I5" s="22">
        <v>54.25</v>
      </c>
    </row>
    <row r="6" spans="1:12" s="28" customFormat="1">
      <c r="A6" s="23" t="s">
        <v>14</v>
      </c>
      <c r="B6" s="24" t="s">
        <v>17</v>
      </c>
      <c r="C6" s="23" t="s">
        <v>16</v>
      </c>
      <c r="D6" s="25">
        <v>289000</v>
      </c>
      <c r="E6" s="25"/>
      <c r="F6" s="19">
        <v>144500</v>
      </c>
      <c r="G6" s="26">
        <v>144500</v>
      </c>
      <c r="H6" s="21">
        <v>509000</v>
      </c>
      <c r="I6" s="22">
        <v>54.25</v>
      </c>
      <c r="J6" s="27"/>
    </row>
    <row r="7" spans="1:12">
      <c r="A7" s="15" t="s">
        <v>18</v>
      </c>
      <c r="B7" s="16" t="s">
        <v>19</v>
      </c>
      <c r="C7" s="15" t="s">
        <v>20</v>
      </c>
      <c r="D7" s="17">
        <v>1050000</v>
      </c>
      <c r="E7" s="18"/>
      <c r="F7" s="19">
        <v>525000</v>
      </c>
      <c r="G7" s="26">
        <v>525000</v>
      </c>
      <c r="H7" s="21">
        <v>1371000</v>
      </c>
      <c r="I7" s="22">
        <v>53.39</v>
      </c>
    </row>
    <row r="8" spans="1:12">
      <c r="A8" s="15" t="s">
        <v>21</v>
      </c>
      <c r="B8" s="16" t="s">
        <v>22</v>
      </c>
      <c r="C8" s="15" t="s">
        <v>23</v>
      </c>
      <c r="D8" s="17">
        <v>578500</v>
      </c>
      <c r="E8" s="18"/>
      <c r="F8" s="19">
        <v>289250</v>
      </c>
      <c r="G8" s="26">
        <v>289250</v>
      </c>
      <c r="H8" s="21">
        <v>590070</v>
      </c>
      <c r="I8" s="22">
        <v>51.81</v>
      </c>
    </row>
    <row r="9" spans="1:12" ht="15.75" customHeight="1">
      <c r="A9" s="15" t="s">
        <v>24</v>
      </c>
      <c r="B9" s="16" t="s">
        <v>25</v>
      </c>
      <c r="C9" s="15" t="s">
        <v>26</v>
      </c>
      <c r="D9" s="17">
        <v>1000000</v>
      </c>
      <c r="E9" s="18"/>
      <c r="F9" s="19">
        <v>500000</v>
      </c>
      <c r="G9" s="20">
        <v>500000</v>
      </c>
      <c r="H9" s="21">
        <v>1020000</v>
      </c>
      <c r="I9" s="22">
        <v>50.72</v>
      </c>
      <c r="J9" s="29"/>
    </row>
    <row r="10" spans="1:12">
      <c r="A10" s="15" t="s">
        <v>27</v>
      </c>
      <c r="B10" s="16" t="s">
        <v>28</v>
      </c>
      <c r="C10" s="15" t="s">
        <v>29</v>
      </c>
      <c r="D10" s="17">
        <v>310100</v>
      </c>
      <c r="E10" s="18"/>
      <c r="F10" s="19">
        <v>155050</v>
      </c>
      <c r="G10" s="26">
        <v>155050</v>
      </c>
      <c r="H10" s="21">
        <v>316302</v>
      </c>
      <c r="I10" s="22">
        <v>49.07</v>
      </c>
    </row>
    <row r="11" spans="1:12">
      <c r="A11" s="15" t="s">
        <v>30</v>
      </c>
      <c r="B11" s="16" t="s">
        <v>31</v>
      </c>
      <c r="C11" s="15" t="s">
        <v>32</v>
      </c>
      <c r="D11" s="17">
        <v>499886</v>
      </c>
      <c r="E11" s="18"/>
      <c r="F11" s="19">
        <v>249943</v>
      </c>
      <c r="G11" s="20">
        <v>249943</v>
      </c>
      <c r="H11" s="21">
        <v>499886</v>
      </c>
      <c r="I11" s="22">
        <v>48.69</v>
      </c>
    </row>
    <row r="12" spans="1:12">
      <c r="A12" s="15" t="s">
        <v>33</v>
      </c>
      <c r="B12" s="16" t="s">
        <v>34</v>
      </c>
      <c r="C12" s="15" t="s">
        <v>35</v>
      </c>
      <c r="D12" s="17">
        <v>1528720</v>
      </c>
      <c r="E12" s="18"/>
      <c r="F12" s="30"/>
      <c r="G12" s="26">
        <v>1528720</v>
      </c>
      <c r="H12" s="21">
        <v>1559294</v>
      </c>
      <c r="I12" s="22">
        <v>44.76</v>
      </c>
    </row>
    <row r="13" spans="1:12" s="28" customFormat="1" ht="15.75" thickBot="1">
      <c r="A13" s="23" t="s">
        <v>36</v>
      </c>
      <c r="B13" s="24" t="s">
        <v>37</v>
      </c>
      <c r="C13" s="23" t="s">
        <v>38</v>
      </c>
      <c r="D13" s="25">
        <v>1684371</v>
      </c>
      <c r="E13" s="18"/>
      <c r="F13" s="30">
        <v>842185.5</v>
      </c>
      <c r="G13" s="20">
        <v>842185.5</v>
      </c>
      <c r="H13" s="21">
        <v>1684371</v>
      </c>
      <c r="I13" s="22">
        <v>44.74</v>
      </c>
      <c r="J13" s="27"/>
    </row>
    <row r="14" spans="1:12" s="28" customFormat="1">
      <c r="A14" s="23" t="s">
        <v>27</v>
      </c>
      <c r="B14" s="24" t="s">
        <v>39</v>
      </c>
      <c r="C14" s="23" t="s">
        <v>29</v>
      </c>
      <c r="D14" s="25">
        <v>165100</v>
      </c>
      <c r="E14" s="18"/>
      <c r="F14" s="31"/>
      <c r="G14" s="26">
        <v>165100</v>
      </c>
      <c r="H14" s="21">
        <v>168402</v>
      </c>
      <c r="I14" s="22">
        <v>44.07</v>
      </c>
      <c r="J14" s="27"/>
    </row>
    <row r="15" spans="1:12">
      <c r="A15" s="15" t="s">
        <v>40</v>
      </c>
      <c r="B15" s="16" t="s">
        <v>41</v>
      </c>
      <c r="C15" s="15" t="s">
        <v>42</v>
      </c>
      <c r="D15" s="17">
        <v>970000</v>
      </c>
      <c r="E15" s="18"/>
      <c r="F15" s="32"/>
      <c r="G15" s="20">
        <v>970000</v>
      </c>
      <c r="H15" s="21">
        <v>1255600</v>
      </c>
      <c r="I15" s="22">
        <v>42.12</v>
      </c>
    </row>
    <row r="16" spans="1:12">
      <c r="A16" s="15" t="s">
        <v>43</v>
      </c>
      <c r="B16" s="16" t="s">
        <v>44</v>
      </c>
      <c r="C16" s="15" t="s">
        <v>45</v>
      </c>
      <c r="D16" s="17">
        <v>352460</v>
      </c>
      <c r="E16" s="18"/>
      <c r="F16" s="33"/>
      <c r="G16" s="20">
        <v>352460</v>
      </c>
      <c r="H16" s="21">
        <v>352460</v>
      </c>
      <c r="I16" s="22">
        <v>41.94</v>
      </c>
    </row>
    <row r="17" spans="1:10" s="28" customFormat="1">
      <c r="A17" s="23" t="s">
        <v>21</v>
      </c>
      <c r="B17" s="24" t="s">
        <v>46</v>
      </c>
      <c r="C17" s="23" t="s">
        <v>23</v>
      </c>
      <c r="D17" s="25">
        <v>3850000</v>
      </c>
      <c r="E17" s="34"/>
      <c r="F17" s="19"/>
      <c r="G17" s="25">
        <v>3850000</v>
      </c>
      <c r="H17" s="21">
        <v>3927000</v>
      </c>
      <c r="I17" s="22">
        <v>41.81</v>
      </c>
      <c r="J17" s="27"/>
    </row>
    <row r="18" spans="1:10">
      <c r="A18" s="15" t="s">
        <v>47</v>
      </c>
      <c r="B18" s="16" t="s">
        <v>44</v>
      </c>
      <c r="C18" s="15" t="s">
        <v>48</v>
      </c>
      <c r="D18" s="17">
        <v>1169974</v>
      </c>
      <c r="E18" s="18"/>
      <c r="F18" s="33"/>
      <c r="G18" s="20">
        <v>1169974</v>
      </c>
      <c r="H18" s="21">
        <v>1169974</v>
      </c>
      <c r="I18" s="22">
        <v>40.909999999999997</v>
      </c>
    </row>
    <row r="19" spans="1:10">
      <c r="A19" s="15" t="s">
        <v>49</v>
      </c>
      <c r="B19" s="16" t="s">
        <v>50</v>
      </c>
      <c r="C19" s="15" t="s">
        <v>51</v>
      </c>
      <c r="D19" s="17">
        <v>1000000</v>
      </c>
      <c r="E19" s="18"/>
      <c r="F19" s="35"/>
      <c r="G19" s="36" t="s">
        <v>52</v>
      </c>
      <c r="H19" s="21">
        <v>4590050</v>
      </c>
      <c r="I19" s="22">
        <v>39.840000000000003</v>
      </c>
    </row>
    <row r="20" spans="1:10">
      <c r="A20" s="15" t="s">
        <v>53</v>
      </c>
      <c r="B20" s="16" t="s">
        <v>54</v>
      </c>
      <c r="C20" s="15" t="s">
        <v>55</v>
      </c>
      <c r="D20" s="17">
        <v>738500</v>
      </c>
      <c r="E20" s="18">
        <v>738500</v>
      </c>
      <c r="F20" s="33"/>
      <c r="G20" s="20"/>
      <c r="H20" s="21">
        <v>738500</v>
      </c>
      <c r="I20" s="22">
        <v>39.71</v>
      </c>
    </row>
    <row r="21" spans="1:10">
      <c r="A21" s="15" t="s">
        <v>56</v>
      </c>
      <c r="B21" s="16" t="s">
        <v>44</v>
      </c>
      <c r="C21" s="15" t="s">
        <v>48</v>
      </c>
      <c r="D21" s="17">
        <v>657651</v>
      </c>
      <c r="E21" s="18"/>
      <c r="F21" s="33"/>
      <c r="G21" s="20">
        <v>657651</v>
      </c>
      <c r="H21" s="21">
        <v>657651</v>
      </c>
      <c r="I21" s="22">
        <v>39.4</v>
      </c>
    </row>
    <row r="22" spans="1:10">
      <c r="A22" s="15" t="s">
        <v>57</v>
      </c>
      <c r="B22" s="16" t="s">
        <v>58</v>
      </c>
      <c r="C22" s="15" t="s">
        <v>59</v>
      </c>
      <c r="D22" s="17">
        <v>8383000</v>
      </c>
      <c r="E22" s="18"/>
      <c r="F22" s="35"/>
      <c r="G22" s="20">
        <v>8383000</v>
      </c>
      <c r="H22" s="21">
        <v>8550660</v>
      </c>
      <c r="I22" s="22">
        <v>38.78</v>
      </c>
    </row>
    <row r="23" spans="1:10" ht="15" customHeight="1" thickBot="1">
      <c r="A23" s="15" t="s">
        <v>60</v>
      </c>
      <c r="B23" s="16" t="s">
        <v>61</v>
      </c>
      <c r="C23" s="15" t="s">
        <v>62</v>
      </c>
      <c r="D23" s="17">
        <v>5963700</v>
      </c>
      <c r="E23" s="37">
        <v>5963700</v>
      </c>
      <c r="F23" s="35"/>
      <c r="G23" s="20"/>
      <c r="H23" s="21">
        <v>6083700</v>
      </c>
      <c r="I23" s="22">
        <v>37.89</v>
      </c>
      <c r="J23" s="29"/>
    </row>
    <row r="24" spans="1:10">
      <c r="A24" s="15" t="s">
        <v>40</v>
      </c>
      <c r="B24" s="16" t="s">
        <v>63</v>
      </c>
      <c r="C24" s="15" t="s">
        <v>42</v>
      </c>
      <c r="D24" s="17">
        <v>2075000</v>
      </c>
      <c r="E24" s="38"/>
      <c r="F24" s="33"/>
      <c r="G24" s="20">
        <v>2075000</v>
      </c>
      <c r="H24" s="21">
        <v>2794540</v>
      </c>
      <c r="I24" s="22">
        <v>37.119999999999997</v>
      </c>
    </row>
    <row r="25" spans="1:10">
      <c r="A25" s="15" t="s">
        <v>64</v>
      </c>
      <c r="B25" s="16" t="s">
        <v>65</v>
      </c>
      <c r="C25" s="15" t="s">
        <v>66</v>
      </c>
      <c r="D25" s="17">
        <v>3026587.76</v>
      </c>
      <c r="E25" s="39"/>
      <c r="F25" s="35"/>
      <c r="G25" s="20">
        <v>3026587.76</v>
      </c>
      <c r="H25" s="21">
        <v>3026587.76</v>
      </c>
      <c r="I25" s="22">
        <v>35.51</v>
      </c>
    </row>
    <row r="26" spans="1:10">
      <c r="A26" s="15" t="s">
        <v>67</v>
      </c>
      <c r="B26" s="16" t="s">
        <v>68</v>
      </c>
      <c r="C26" s="15" t="s">
        <v>59</v>
      </c>
      <c r="D26" s="17">
        <v>1936000</v>
      </c>
      <c r="E26" s="39"/>
      <c r="F26" s="33"/>
      <c r="G26" s="20">
        <v>1936000</v>
      </c>
      <c r="H26" s="21">
        <v>1936000</v>
      </c>
      <c r="I26" s="22">
        <v>32.130000000000003</v>
      </c>
    </row>
    <row r="27" spans="1:10">
      <c r="A27" s="15" t="s">
        <v>69</v>
      </c>
      <c r="B27" s="16" t="s">
        <v>70</v>
      </c>
      <c r="C27" s="15" t="s">
        <v>71</v>
      </c>
      <c r="D27" s="17">
        <v>1933530.36</v>
      </c>
      <c r="E27" s="39"/>
      <c r="F27" s="33"/>
      <c r="G27" s="20">
        <v>1933530.36</v>
      </c>
      <c r="H27" s="21">
        <v>1933530.36</v>
      </c>
      <c r="I27" s="22">
        <v>32.04</v>
      </c>
    </row>
    <row r="28" spans="1:10">
      <c r="A28" s="15" t="s">
        <v>72</v>
      </c>
      <c r="B28" s="16" t="s">
        <v>73</v>
      </c>
      <c r="C28" s="15" t="s">
        <v>74</v>
      </c>
      <c r="D28" s="17">
        <v>113934.27</v>
      </c>
      <c r="E28" s="39"/>
      <c r="F28" s="35"/>
      <c r="G28" s="40">
        <v>113934.27</v>
      </c>
      <c r="H28" s="21">
        <v>268285.78999999998</v>
      </c>
      <c r="I28" s="22">
        <v>30.91</v>
      </c>
    </row>
    <row r="29" spans="1:10">
      <c r="A29" s="15" t="s">
        <v>53</v>
      </c>
      <c r="B29" s="16" t="s">
        <v>75</v>
      </c>
      <c r="C29" s="15" t="s">
        <v>55</v>
      </c>
      <c r="D29" s="17">
        <v>2220825</v>
      </c>
      <c r="E29" s="39"/>
      <c r="F29" s="33"/>
      <c r="G29" s="26">
        <v>2220825</v>
      </c>
      <c r="H29" s="21">
        <v>2220825</v>
      </c>
      <c r="I29" s="22">
        <v>28.52</v>
      </c>
    </row>
    <row r="30" spans="1:10">
      <c r="A30" s="15" t="s">
        <v>76</v>
      </c>
      <c r="B30" s="16" t="s">
        <v>77</v>
      </c>
      <c r="C30" s="15" t="s">
        <v>78</v>
      </c>
      <c r="D30" s="17">
        <v>4800000</v>
      </c>
      <c r="E30" s="39"/>
      <c r="F30" s="33"/>
      <c r="G30" s="26">
        <v>4800000</v>
      </c>
      <c r="H30" s="21">
        <v>4896000</v>
      </c>
      <c r="I30" s="22">
        <v>27.65</v>
      </c>
    </row>
    <row r="31" spans="1:10">
      <c r="A31" s="15" t="s">
        <v>79</v>
      </c>
      <c r="B31" s="16" t="s">
        <v>80</v>
      </c>
      <c r="C31" s="15" t="s">
        <v>81</v>
      </c>
      <c r="D31" s="17">
        <v>428260</v>
      </c>
      <c r="E31" s="39"/>
      <c r="F31" s="36" t="s">
        <v>82</v>
      </c>
      <c r="G31" s="26">
        <v>428260</v>
      </c>
      <c r="H31" s="21">
        <v>436825</v>
      </c>
      <c r="I31" s="22">
        <v>25.42</v>
      </c>
    </row>
    <row r="32" spans="1:10">
      <c r="A32" s="15" t="s">
        <v>57</v>
      </c>
      <c r="B32" s="16" t="s">
        <v>83</v>
      </c>
      <c r="C32" s="15" t="s">
        <v>59</v>
      </c>
      <c r="D32" s="17">
        <v>3332000</v>
      </c>
      <c r="E32" s="39"/>
      <c r="F32" s="33"/>
      <c r="G32" s="26">
        <v>3332000</v>
      </c>
      <c r="H32" s="21">
        <v>3398640</v>
      </c>
      <c r="I32" s="22">
        <v>23.78</v>
      </c>
    </row>
    <row r="33" spans="1:21">
      <c r="A33" s="15" t="s">
        <v>84</v>
      </c>
      <c r="B33" s="16" t="s">
        <v>85</v>
      </c>
      <c r="C33" s="15" t="s">
        <v>86</v>
      </c>
      <c r="D33" s="17">
        <v>5616862.2599999998</v>
      </c>
      <c r="E33" s="39"/>
      <c r="F33" s="33"/>
      <c r="G33" s="26">
        <v>5616862.2599999998</v>
      </c>
      <c r="H33" s="21">
        <v>5616862.2599999998</v>
      </c>
      <c r="I33" s="22">
        <v>23.62</v>
      </c>
    </row>
    <row r="34" spans="1:21">
      <c r="A34" s="15" t="s">
        <v>84</v>
      </c>
      <c r="B34" s="16" t="s">
        <v>87</v>
      </c>
      <c r="C34" s="15" t="s">
        <v>86</v>
      </c>
      <c r="D34" s="17">
        <v>11237502.640000001</v>
      </c>
      <c r="E34" s="39"/>
      <c r="F34" s="33"/>
      <c r="G34" s="26">
        <v>11237502.640000001</v>
      </c>
      <c r="H34" s="21">
        <v>11237502.640000001</v>
      </c>
      <c r="I34" s="22">
        <v>23.62</v>
      </c>
    </row>
    <row r="35" spans="1:21">
      <c r="A35" s="15" t="s">
        <v>88</v>
      </c>
      <c r="B35" s="16" t="s">
        <v>89</v>
      </c>
      <c r="C35" s="15" t="s">
        <v>90</v>
      </c>
      <c r="D35" s="17">
        <v>28191219.02</v>
      </c>
      <c r="E35" s="39"/>
      <c r="F35" s="33"/>
      <c r="G35" s="17">
        <v>28191219.02</v>
      </c>
      <c r="H35" s="21">
        <v>28191219.02</v>
      </c>
      <c r="I35" s="22">
        <v>19.55</v>
      </c>
    </row>
    <row r="36" spans="1:21" ht="15.75" thickBot="1">
      <c r="A36" s="15" t="s">
        <v>88</v>
      </c>
      <c r="B36" s="16" t="s">
        <v>91</v>
      </c>
      <c r="C36" s="15" t="s">
        <v>90</v>
      </c>
      <c r="D36" s="17">
        <v>25451405.800000001</v>
      </c>
      <c r="E36" s="39"/>
      <c r="F36" s="33"/>
      <c r="G36" s="26">
        <v>17000000</v>
      </c>
      <c r="H36" s="21">
        <v>25451405.800000001</v>
      </c>
      <c r="I36" s="22">
        <v>19.55</v>
      </c>
    </row>
    <row r="37" spans="1:21">
      <c r="A37" s="15" t="s">
        <v>69</v>
      </c>
      <c r="B37" s="16" t="s">
        <v>92</v>
      </c>
      <c r="C37" s="15" t="s">
        <v>71</v>
      </c>
      <c r="D37" s="17">
        <v>1614690</v>
      </c>
      <c r="E37" s="39"/>
      <c r="F37" s="33"/>
      <c r="G37" s="41"/>
      <c r="H37" s="21">
        <v>1614690</v>
      </c>
      <c r="I37" s="22">
        <v>17.04</v>
      </c>
    </row>
    <row r="38" spans="1:21">
      <c r="A38" s="15" t="s">
        <v>69</v>
      </c>
      <c r="B38" s="16" t="s">
        <v>93</v>
      </c>
      <c r="C38" s="15" t="s">
        <v>71</v>
      </c>
      <c r="D38" s="17">
        <v>798888</v>
      </c>
      <c r="E38" s="39"/>
      <c r="F38" s="33"/>
      <c r="G38" s="26"/>
      <c r="H38" s="21">
        <v>798888</v>
      </c>
      <c r="I38" s="22">
        <v>17.04</v>
      </c>
    </row>
    <row r="39" spans="1:21">
      <c r="A39" s="15" t="s">
        <v>94</v>
      </c>
      <c r="B39" s="16" t="s">
        <v>95</v>
      </c>
      <c r="C39" s="15" t="s">
        <v>96</v>
      </c>
      <c r="D39" s="17">
        <v>2952148</v>
      </c>
      <c r="E39" s="39"/>
      <c r="F39" s="33"/>
      <c r="G39" s="35"/>
      <c r="H39" s="21">
        <v>2952148</v>
      </c>
      <c r="I39" s="42" t="s">
        <v>97</v>
      </c>
    </row>
    <row r="40" spans="1:21" ht="15.75" thickBot="1">
      <c r="A40" s="43"/>
      <c r="B40" s="44"/>
      <c r="C40" s="43"/>
      <c r="D40" s="45"/>
      <c r="E40" s="46"/>
      <c r="F40" s="46"/>
      <c r="G40" s="47"/>
      <c r="H40" s="48"/>
      <c r="I40" s="49"/>
    </row>
    <row r="41" spans="1:21" s="3" customFormat="1">
      <c r="A41" s="43"/>
      <c r="B41" s="43"/>
      <c r="C41" s="50" t="s">
        <v>98</v>
      </c>
      <c r="D41" s="51">
        <f>SUM(D4:D39)</f>
        <v>129284251.10999998</v>
      </c>
      <c r="E41" s="52">
        <f>SUM(E4:E39)</f>
        <v>6702200</v>
      </c>
      <c r="F41" s="52">
        <f>SUM(F4:F39)</f>
        <v>4028828.5</v>
      </c>
      <c r="G41" s="52">
        <f>SUM(G4:G36)</f>
        <v>103736090.81</v>
      </c>
      <c r="H41" s="51">
        <f>SUM(H4:H39)</f>
        <v>135182305.63</v>
      </c>
      <c r="I41" s="53"/>
      <c r="K41"/>
      <c r="L41"/>
      <c r="M41"/>
      <c r="N41"/>
      <c r="O41"/>
      <c r="P41"/>
      <c r="Q41"/>
      <c r="R41"/>
      <c r="S41"/>
      <c r="T41"/>
      <c r="U41"/>
    </row>
    <row r="42" spans="1:21" s="3" customFormat="1">
      <c r="A42" s="43"/>
      <c r="B42" s="43"/>
      <c r="C42" s="43"/>
      <c r="D42" s="43"/>
      <c r="E42" s="46"/>
      <c r="F42" s="54" t="s">
        <v>99</v>
      </c>
      <c r="G42" s="54">
        <f>E41+F41+G41</f>
        <v>114467119.31</v>
      </c>
      <c r="H42" s="43"/>
      <c r="I42" s="53"/>
      <c r="K42"/>
      <c r="L42"/>
      <c r="M42"/>
      <c r="N42"/>
      <c r="O42"/>
      <c r="P42"/>
      <c r="Q42"/>
      <c r="R42"/>
      <c r="S42"/>
      <c r="T42"/>
      <c r="U42"/>
    </row>
    <row r="43" spans="1:21" s="3" customFormat="1">
      <c r="A43"/>
      <c r="B43"/>
      <c r="C43"/>
      <c r="D43"/>
      <c r="E43" s="55"/>
      <c r="F43" s="55"/>
      <c r="G43" s="55"/>
      <c r="H43"/>
      <c r="I43" s="2"/>
      <c r="K43"/>
      <c r="L43"/>
      <c r="M43"/>
      <c r="N43"/>
      <c r="O43"/>
      <c r="P43"/>
      <c r="Q43"/>
      <c r="R43"/>
      <c r="S43"/>
      <c r="T43"/>
      <c r="U43"/>
    </row>
    <row r="44" spans="1:21" s="3" customFormat="1">
      <c r="A44"/>
      <c r="B44"/>
      <c r="C44"/>
      <c r="D44"/>
      <c r="E44" s="56"/>
      <c r="F44"/>
      <c r="G44"/>
      <c r="H44" s="55"/>
      <c r="I44" s="2"/>
      <c r="K44"/>
      <c r="L44"/>
      <c r="M44"/>
      <c r="N44"/>
      <c r="O44"/>
      <c r="P44"/>
      <c r="Q44"/>
      <c r="R44"/>
      <c r="S44"/>
      <c r="T44"/>
      <c r="U44"/>
    </row>
    <row r="45" spans="1:21" s="3" customFormat="1">
      <c r="A45"/>
      <c r="B45"/>
      <c r="C45"/>
      <c r="D45"/>
      <c r="E45"/>
      <c r="F45"/>
      <c r="G45"/>
      <c r="H45"/>
      <c r="I45" s="2"/>
      <c r="K45"/>
      <c r="L45"/>
      <c r="M45"/>
      <c r="N45"/>
      <c r="O45"/>
      <c r="P45"/>
      <c r="Q45"/>
      <c r="R45"/>
      <c r="S45"/>
      <c r="T45"/>
      <c r="U45"/>
    </row>
    <row r="46" spans="1:21" s="3" customFormat="1">
      <c r="A46"/>
      <c r="B46"/>
      <c r="C46"/>
      <c r="D46"/>
      <c r="E46"/>
      <c r="F46"/>
      <c r="G46"/>
      <c r="H46"/>
      <c r="I46" s="2"/>
      <c r="K46"/>
      <c r="L46"/>
      <c r="M46"/>
      <c r="N46"/>
      <c r="O46"/>
      <c r="P46"/>
      <c r="Q46"/>
      <c r="R46"/>
      <c r="S46"/>
      <c r="T46"/>
      <c r="U46"/>
    </row>
    <row r="47" spans="1:21" s="3" customFormat="1">
      <c r="A47"/>
      <c r="B47"/>
      <c r="C47"/>
      <c r="D47"/>
      <c r="E47"/>
      <c r="F47"/>
      <c r="G47"/>
      <c r="H47"/>
      <c r="I47" s="2"/>
      <c r="K47"/>
      <c r="L47"/>
      <c r="M47"/>
      <c r="N47"/>
      <c r="O47"/>
      <c r="P47"/>
      <c r="Q47"/>
      <c r="R47"/>
      <c r="S47"/>
      <c r="T47"/>
      <c r="U47"/>
    </row>
    <row r="48" spans="1:21" s="3" customFormat="1">
      <c r="A48"/>
      <c r="B48"/>
      <c r="C48"/>
      <c r="D48"/>
      <c r="E48"/>
      <c r="F48"/>
      <c r="G48"/>
      <c r="H48"/>
      <c r="I48" s="2"/>
      <c r="K48"/>
      <c r="L48"/>
      <c r="M48"/>
      <c r="N48"/>
      <c r="O48"/>
      <c r="P48"/>
      <c r="Q48"/>
      <c r="R48"/>
      <c r="S48"/>
      <c r="T48"/>
      <c r="U48"/>
    </row>
    <row r="49" spans="1:21" s="3" customFormat="1">
      <c r="A49"/>
      <c r="B49"/>
      <c r="C49"/>
      <c r="D49"/>
      <c r="E49"/>
      <c r="F49"/>
      <c r="G49"/>
      <c r="H49"/>
      <c r="I49" s="2"/>
      <c r="K49"/>
      <c r="L49"/>
      <c r="M49"/>
      <c r="N49"/>
      <c r="O49"/>
      <c r="P49"/>
      <c r="Q49"/>
      <c r="R49"/>
      <c r="S49"/>
      <c r="T49"/>
      <c r="U49"/>
    </row>
    <row r="50" spans="1:21" s="3" customFormat="1">
      <c r="A50"/>
      <c r="B50"/>
      <c r="C50"/>
      <c r="D50"/>
      <c r="E50"/>
      <c r="F50"/>
      <c r="G50"/>
      <c r="H50"/>
      <c r="I50" s="2"/>
      <c r="K50"/>
      <c r="L50"/>
      <c r="M50"/>
      <c r="N50"/>
      <c r="O50"/>
      <c r="P50"/>
      <c r="Q50"/>
      <c r="R50"/>
      <c r="S50"/>
      <c r="T50"/>
      <c r="U50"/>
    </row>
    <row r="51" spans="1:21" s="3" customFormat="1">
      <c r="A51"/>
      <c r="B51"/>
      <c r="C51"/>
      <c r="D51"/>
      <c r="E51"/>
      <c r="F51"/>
      <c r="G51"/>
      <c r="H51"/>
      <c r="I51" s="2"/>
      <c r="K51"/>
      <c r="L51"/>
      <c r="M51"/>
      <c r="N51"/>
      <c r="O51"/>
      <c r="P51"/>
      <c r="Q51"/>
      <c r="R51"/>
      <c r="S51"/>
      <c r="T51"/>
      <c r="U51"/>
    </row>
    <row r="53" spans="1:21">
      <c r="I53"/>
    </row>
    <row r="54" spans="1:21">
      <c r="I54"/>
    </row>
    <row r="55" spans="1:21">
      <c r="I55"/>
    </row>
    <row r="56" spans="1:21">
      <c r="I56"/>
    </row>
    <row r="57" spans="1:21">
      <c r="I57"/>
    </row>
    <row r="58" spans="1:21">
      <c r="I58"/>
    </row>
    <row r="59" spans="1:21">
      <c r="I59"/>
    </row>
    <row r="60" spans="1:21">
      <c r="I60"/>
    </row>
    <row r="61" spans="1:21">
      <c r="I61"/>
    </row>
    <row r="62" spans="1:21">
      <c r="I62"/>
    </row>
    <row r="63" spans="1:21">
      <c r="I63"/>
    </row>
    <row r="64" spans="1:21">
      <c r="I64"/>
    </row>
    <row r="65" spans="9:9">
      <c r="I65"/>
    </row>
    <row r="66" spans="9:9">
      <c r="I66"/>
    </row>
    <row r="67" spans="9:9">
      <c r="I67"/>
    </row>
    <row r="68" spans="9:9">
      <c r="I68"/>
    </row>
    <row r="69" spans="9:9">
      <c r="I69"/>
    </row>
    <row r="70" spans="9:9">
      <c r="I70"/>
    </row>
    <row r="71" spans="9:9">
      <c r="I71"/>
    </row>
    <row r="72" spans="9:9">
      <c r="I72"/>
    </row>
    <row r="73" spans="9:9">
      <c r="I73"/>
    </row>
    <row r="74" spans="9:9">
      <c r="I74"/>
    </row>
    <row r="75" spans="9:9">
      <c r="I75"/>
    </row>
    <row r="76" spans="9:9">
      <c r="I76"/>
    </row>
    <row r="77" spans="9:9">
      <c r="I77"/>
    </row>
    <row r="78" spans="9:9">
      <c r="I78"/>
    </row>
    <row r="79" spans="9:9">
      <c r="I79"/>
    </row>
    <row r="80" spans="9:9">
      <c r="I80"/>
    </row>
    <row r="81" spans="9:9">
      <c r="I81"/>
    </row>
    <row r="82" spans="9:9">
      <c r="I82"/>
    </row>
    <row r="83" spans="9:9">
      <c r="I83"/>
    </row>
    <row r="84" spans="9:9">
      <c r="I84"/>
    </row>
    <row r="85" spans="9:9">
      <c r="I85"/>
    </row>
    <row r="86" spans="9:9">
      <c r="I86"/>
    </row>
    <row r="87" spans="9:9">
      <c r="I87"/>
    </row>
    <row r="88" spans="9:9">
      <c r="I88"/>
    </row>
    <row r="89" spans="9:9">
      <c r="I89"/>
    </row>
    <row r="90" spans="9:9">
      <c r="I90"/>
    </row>
    <row r="91" spans="9:9">
      <c r="I91"/>
    </row>
    <row r="92" spans="9:9">
      <c r="I92"/>
    </row>
    <row r="93" spans="9:9">
      <c r="I93"/>
    </row>
    <row r="94" spans="9:9">
      <c r="I94"/>
    </row>
    <row r="95" spans="9:9">
      <c r="I95"/>
    </row>
    <row r="96" spans="9:9">
      <c r="I96"/>
    </row>
    <row r="97" spans="9:9">
      <c r="I97"/>
    </row>
    <row r="98" spans="9:9">
      <c r="I98"/>
    </row>
    <row r="99" spans="9:9">
      <c r="I99"/>
    </row>
  </sheetData>
  <printOptions horizontalCentered="1"/>
  <pageMargins left="0.25" right="0.25" top="0.5" bottom="0.5" header="0.3" footer="0.3"/>
  <pageSetup paperSize="3" orientation="landscape" r:id="rId1"/>
  <headerFooter>
    <oddFooter>&amp;L&amp;F  &amp;A&amp;C&amp;D&amp;R&amp;P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 September 2012 List</vt:lpstr>
      <vt:lpstr>'Final September 2012 List'!Print_Area</vt:lpstr>
      <vt:lpstr>'Final September 2012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Robertson</dc:creator>
  <cp:lastModifiedBy>Seth Robertson</cp:lastModifiedBy>
  <cp:lastPrinted>2012-10-01T17:42:10Z</cp:lastPrinted>
  <dcterms:created xsi:type="dcterms:W3CDTF">2012-10-01T17:20:46Z</dcterms:created>
  <dcterms:modified xsi:type="dcterms:W3CDTF">2012-10-01T17:42:14Z</dcterms:modified>
</cp:coreProperties>
</file>