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-375" yWindow="240" windowWidth="19320" windowHeight="11760" tabRatio="500"/>
  </bookViews>
  <sheets>
    <sheet name="Sheet1" sheetId="1" r:id="rId1"/>
  </sheets>
  <externalReferences>
    <externalReference r:id="rId2"/>
  </externalReferences>
  <calcPr calcId="144525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" i="1"/>
  <c r="N31" i="1"/>
  <c r="N28" i="1"/>
  <c r="N27" i="1"/>
  <c r="N25" i="1"/>
  <c r="N24" i="1"/>
  <c r="N20" i="1"/>
  <c r="N19" i="1"/>
  <c r="N41" i="1"/>
  <c r="N40" i="1"/>
  <c r="N38" i="1"/>
  <c r="N35" i="1"/>
  <c r="N34" i="1"/>
  <c r="N14" i="1"/>
  <c r="N13" i="1"/>
  <c r="N4" i="1"/>
  <c r="M4" i="1"/>
  <c r="M6" i="1"/>
  <c r="M8" i="1"/>
  <c r="M10" i="1"/>
  <c r="M12" i="1"/>
  <c r="M14" i="1"/>
  <c r="M16" i="1"/>
  <c r="M18" i="1"/>
  <c r="M20" i="1"/>
  <c r="M22" i="1"/>
  <c r="M24" i="1"/>
  <c r="M26" i="1"/>
  <c r="M28" i="1"/>
  <c r="M30" i="1"/>
  <c r="M32" i="1"/>
  <c r="M34" i="1"/>
  <c r="M36" i="1"/>
  <c r="M38" i="1"/>
  <c r="M42" i="1"/>
  <c r="M5" i="1"/>
  <c r="M7" i="1"/>
  <c r="M9" i="1"/>
  <c r="M11" i="1"/>
  <c r="M13" i="1"/>
  <c r="M15" i="1"/>
  <c r="M17" i="1"/>
  <c r="M19" i="1"/>
  <c r="M21" i="1"/>
  <c r="M23" i="1"/>
  <c r="M25" i="1"/>
  <c r="M27" i="1"/>
  <c r="M29" i="1"/>
  <c r="M31" i="1"/>
  <c r="M33" i="1"/>
  <c r="M35" i="1"/>
  <c r="M37" i="1"/>
  <c r="M39" i="1"/>
  <c r="M41" i="1"/>
  <c r="M40" i="1"/>
  <c r="L5" i="1"/>
  <c r="L7" i="1"/>
  <c r="L9" i="1"/>
  <c r="L11" i="1"/>
  <c r="L13" i="1"/>
  <c r="L15" i="1"/>
  <c r="L17" i="1"/>
  <c r="L19" i="1"/>
  <c r="L21" i="1"/>
  <c r="L23" i="1"/>
  <c r="L25" i="1"/>
  <c r="L27" i="1"/>
  <c r="L29" i="1"/>
  <c r="L31" i="1"/>
  <c r="L33" i="1"/>
  <c r="L35" i="1"/>
  <c r="L37" i="1"/>
  <c r="L39" i="1"/>
  <c r="L41" i="1"/>
  <c r="L6" i="1"/>
  <c r="L8" i="1"/>
  <c r="L10" i="1"/>
  <c r="L12" i="1"/>
  <c r="L14" i="1"/>
  <c r="L16" i="1"/>
  <c r="L18" i="1"/>
  <c r="L20" i="1"/>
  <c r="L22" i="1"/>
  <c r="L24" i="1"/>
  <c r="L26" i="1"/>
  <c r="L28" i="1"/>
  <c r="L30" i="1"/>
  <c r="L32" i="1"/>
  <c r="L34" i="1"/>
  <c r="L36" i="1"/>
  <c r="L38" i="1"/>
  <c r="L40" i="1"/>
  <c r="L42" i="1"/>
  <c r="L4" i="1"/>
</calcChain>
</file>

<file path=xl/comments1.xml><?xml version="1.0" encoding="utf-8"?>
<comments xmlns="http://schemas.openxmlformats.org/spreadsheetml/2006/main">
  <authors>
    <author>lwigington</author>
  </authors>
  <commentList>
    <comment ref="A6" authorId="0">
      <text>
        <r>
          <rPr>
            <b/>
            <sz val="9"/>
            <color indexed="81"/>
            <rFont val="Tahoma"/>
            <charset val="1"/>
          </rPr>
          <t>lwigington:</t>
        </r>
        <r>
          <rPr>
            <sz val="9"/>
            <color indexed="81"/>
            <rFont val="Tahoma"/>
            <charset val="1"/>
          </rPr>
          <t xml:space="preserve">
46 is the submeter reading - not energy use</t>
        </r>
      </text>
    </comment>
    <comment ref="A30" authorId="0">
      <text>
        <r>
          <rPr>
            <b/>
            <sz val="9"/>
            <color indexed="81"/>
            <rFont val="Tahoma"/>
            <charset val="1"/>
          </rPr>
          <t>lwigington:</t>
        </r>
        <r>
          <rPr>
            <sz val="9"/>
            <color indexed="81"/>
            <rFont val="Tahoma"/>
            <charset val="1"/>
          </rPr>
          <t xml:space="preserve">
54 is the submeter reading - not energy use; so 8 kWh in 3.5 days</t>
        </r>
      </text>
    </comment>
    <comment ref="A42" authorId="0">
      <text>
        <r>
          <rPr>
            <b/>
            <sz val="9"/>
            <color indexed="81"/>
            <rFont val="Tahoma"/>
            <charset val="1"/>
          </rPr>
          <t>lwigington:</t>
        </r>
        <r>
          <rPr>
            <sz val="9"/>
            <color indexed="81"/>
            <rFont val="Tahoma"/>
            <charset val="1"/>
          </rPr>
          <t xml:space="preserve">
58 is Submeter reading:  4 kwh used by DHP in 2.5 days;  or 12 kWh in 6 days. </t>
        </r>
      </text>
    </comment>
  </commentList>
</comments>
</file>

<file path=xl/sharedStrings.xml><?xml version="1.0" encoding="utf-8"?>
<sst xmlns="http://schemas.openxmlformats.org/spreadsheetml/2006/main" count="23" uniqueCount="20">
  <si>
    <t>Room &amp; Crawl Space Temperature &amp; Humidity</t>
  </si>
  <si>
    <t>Attic Temperature &amp; Humidity</t>
  </si>
  <si>
    <t>DATE</t>
  </si>
  <si>
    <t>TIME</t>
  </si>
  <si>
    <t>TEMPERATURE</t>
  </si>
  <si>
    <t>RELATIVE HUMIDITY</t>
  </si>
  <si>
    <t>TEMP. OUTSIDE</t>
  </si>
  <si>
    <t>Temperature</t>
  </si>
  <si>
    <t>Humidity</t>
  </si>
  <si>
    <t>room</t>
  </si>
  <si>
    <t>crawl space</t>
  </si>
  <si>
    <t>DHP on</t>
  </si>
  <si>
    <t>DHP off</t>
  </si>
  <si>
    <t>58 kWh</t>
  </si>
  <si>
    <t>54 kWh</t>
  </si>
  <si>
    <t>46 kWh</t>
  </si>
  <si>
    <t>crawl</t>
  </si>
  <si>
    <t>VAPOR PRESSURE (psi)</t>
  </si>
  <si>
    <t>outdoor</t>
  </si>
  <si>
    <t>date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</si>
</sst>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\ h:mm;@"/>
    <numFmt numFmtId="165" formatCode="0.000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Lucida Sans Typewriter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" fontId="4" fillId="0" borderId="0" xfId="0" applyNumberFormat="1" applyFont="1" applyAlignment="1">
      <alignment horizontal="center" vertical="center"/>
    </xf>
    <xf numFmtId="165" fontId="4" fillId="0" borderId="0" xfId="0" applyNumberFormat="1" applyFont="1"/>
    <xf numFmtId="165" fontId="3" fillId="0" borderId="0" xfId="0" applyNumberFormat="1" applyFont="1"/>
    <xf numFmtId="0" fontId="4" fillId="0" borderId="0" xfId="0" applyFont="1" applyAlignment="1">
      <alignment horizontal="center"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16907261592301"/>
          <c:y val="5.1400554097404488E-2"/>
          <c:w val="0.67013582677165351"/>
          <c:h val="0.6613232720909886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room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Sheet1!$D$4:$D$43</c:f>
              <c:numCache>
                <c:formatCode>m/d/yy\ h:mm;@</c:formatCode>
                <c:ptCount val="40"/>
                <c:pt idx="0">
                  <c:v>40752.284722222219</c:v>
                </c:pt>
                <c:pt idx="1">
                  <c:v>40752.524305555555</c:v>
                </c:pt>
                <c:pt idx="2">
                  <c:v>40752.552083333328</c:v>
                </c:pt>
                <c:pt idx="3">
                  <c:v>40752.576388888883</c:v>
                </c:pt>
                <c:pt idx="4">
                  <c:v>40752.604166666672</c:v>
                </c:pt>
                <c:pt idx="5">
                  <c:v>40752.638888888891</c:v>
                </c:pt>
                <c:pt idx="6">
                  <c:v>40752.701388888883</c:v>
                </c:pt>
                <c:pt idx="7">
                  <c:v>40752.743055555555</c:v>
                </c:pt>
                <c:pt idx="8">
                  <c:v>40752.878472222219</c:v>
                </c:pt>
                <c:pt idx="9">
                  <c:v>40752.916666666664</c:v>
                </c:pt>
                <c:pt idx="10">
                  <c:v>40753.253472222219</c:v>
                </c:pt>
                <c:pt idx="11">
                  <c:v>40753.5</c:v>
                </c:pt>
                <c:pt idx="12">
                  <c:v>40753.708333333336</c:v>
                </c:pt>
                <c:pt idx="13">
                  <c:v>40753.875</c:v>
                </c:pt>
                <c:pt idx="14">
                  <c:v>40753.909722222219</c:v>
                </c:pt>
                <c:pt idx="15">
                  <c:v>40753.951388888883</c:v>
                </c:pt>
                <c:pt idx="16">
                  <c:v>40754.3125</c:v>
                </c:pt>
                <c:pt idx="17">
                  <c:v>40754.625</c:v>
                </c:pt>
                <c:pt idx="18">
                  <c:v>40754.684027777774</c:v>
                </c:pt>
                <c:pt idx="19">
                  <c:v>40754.826388888883</c:v>
                </c:pt>
                <c:pt idx="20">
                  <c:v>40754.934027777774</c:v>
                </c:pt>
                <c:pt idx="21">
                  <c:v>40755.302083333328</c:v>
                </c:pt>
                <c:pt idx="22">
                  <c:v>40755.506944444445</c:v>
                </c:pt>
                <c:pt idx="23">
                  <c:v>40755.534722222219</c:v>
                </c:pt>
                <c:pt idx="24">
                  <c:v>40755.694444444445</c:v>
                </c:pt>
                <c:pt idx="25">
                  <c:v>40755.802083333328</c:v>
                </c:pt>
                <c:pt idx="26">
                  <c:v>40755.947916666664</c:v>
                </c:pt>
                <c:pt idx="27">
                  <c:v>40756.333333333336</c:v>
                </c:pt>
                <c:pt idx="28">
                  <c:v>40756.555555555555</c:v>
                </c:pt>
                <c:pt idx="29">
                  <c:v>40756.743055555555</c:v>
                </c:pt>
                <c:pt idx="30">
                  <c:v>40756.954861111109</c:v>
                </c:pt>
                <c:pt idx="31">
                  <c:v>40757.326388888883</c:v>
                </c:pt>
                <c:pt idx="32">
                  <c:v>40757.479166666672</c:v>
                </c:pt>
                <c:pt idx="33">
                  <c:v>40757.576388888883</c:v>
                </c:pt>
                <c:pt idx="34">
                  <c:v>40757.708333333336</c:v>
                </c:pt>
                <c:pt idx="35">
                  <c:v>40757.868055555555</c:v>
                </c:pt>
                <c:pt idx="36">
                  <c:v>40757.9375</c:v>
                </c:pt>
                <c:pt idx="37">
                  <c:v>40758.326388888883</c:v>
                </c:pt>
                <c:pt idx="38">
                  <c:v>40758.447916666664</c:v>
                </c:pt>
                <c:pt idx="39">
                  <c:v>40758.524305555555</c:v>
                </c:pt>
              </c:numCache>
            </c:numRef>
          </c:xVal>
          <c:yVal>
            <c:numRef>
              <c:f>Sheet1!$L$4:$L$42</c:f>
              <c:numCache>
                <c:formatCode>0.000</c:formatCode>
                <c:ptCount val="39"/>
                <c:pt idx="0">
                  <c:v>0.39151628822212331</c:v>
                </c:pt>
                <c:pt idx="1">
                  <c:v>0.41752530091752182</c:v>
                </c:pt>
                <c:pt idx="2">
                  <c:v>0.31406925078546782</c:v>
                </c:pt>
                <c:pt idx="3">
                  <c:v>0.28830136235960474</c:v>
                </c:pt>
                <c:pt idx="4">
                  <c:v>0.26889768187331653</c:v>
                </c:pt>
                <c:pt idx="5">
                  <c:v>0.2553183152024614</c:v>
                </c:pt>
                <c:pt idx="6">
                  <c:v>0.25655455289827206</c:v>
                </c:pt>
                <c:pt idx="7">
                  <c:v>0.26130556313712894</c:v>
                </c:pt>
                <c:pt idx="8">
                  <c:v>0.24361763571000455</c:v>
                </c:pt>
                <c:pt idx="9">
                  <c:v>0.25655455289827206</c:v>
                </c:pt>
                <c:pt idx="10">
                  <c:v>0.29877634568208106</c:v>
                </c:pt>
                <c:pt idx="11">
                  <c:v>0.31914789400307675</c:v>
                </c:pt>
                <c:pt idx="12">
                  <c:v>0.33485371704979039</c:v>
                </c:pt>
                <c:pt idx="13">
                  <c:v>0.35644532073551133</c:v>
                </c:pt>
                <c:pt idx="14">
                  <c:v>0.31455955238010608</c:v>
                </c:pt>
                <c:pt idx="15">
                  <c:v>0.26513825040255606</c:v>
                </c:pt>
                <c:pt idx="16">
                  <c:v>0.27123689786301741</c:v>
                </c:pt>
                <c:pt idx="17">
                  <c:v>0.31423792640302944</c:v>
                </c:pt>
                <c:pt idx="18">
                  <c:v>0.33485371704979039</c:v>
                </c:pt>
                <c:pt idx="19">
                  <c:v>0.3459616348315257</c:v>
                </c:pt>
                <c:pt idx="20">
                  <c:v>0.35738914744553235</c:v>
                </c:pt>
                <c:pt idx="21">
                  <c:v>0.36168716368750409</c:v>
                </c:pt>
                <c:pt idx="22">
                  <c:v>0.36168716368750409</c:v>
                </c:pt>
                <c:pt idx="23">
                  <c:v>0.35644532073551133</c:v>
                </c:pt>
                <c:pt idx="24">
                  <c:v>0.26130556313712894</c:v>
                </c:pt>
                <c:pt idx="25">
                  <c:v>0.24821419487434429</c:v>
                </c:pt>
                <c:pt idx="26">
                  <c:v>0.25740731320302368</c:v>
                </c:pt>
                <c:pt idx="27">
                  <c:v>0.31356667576455471</c:v>
                </c:pt>
                <c:pt idx="28">
                  <c:v>0.32896782920317147</c:v>
                </c:pt>
                <c:pt idx="29">
                  <c:v>0.33992725821721148</c:v>
                </c:pt>
                <c:pt idx="30">
                  <c:v>0.35120347778351851</c:v>
                </c:pt>
                <c:pt idx="31">
                  <c:v>0.36168716368750409</c:v>
                </c:pt>
                <c:pt idx="32">
                  <c:v>0.33547794892754007</c:v>
                </c:pt>
                <c:pt idx="33">
                  <c:v>0.28477812080274539</c:v>
                </c:pt>
                <c:pt idx="34">
                  <c:v>0.2666004315317031</c:v>
                </c:pt>
                <c:pt idx="35">
                  <c:v>0.25345087177363923</c:v>
                </c:pt>
                <c:pt idx="36">
                  <c:v>0.24900436525129471</c:v>
                </c:pt>
                <c:pt idx="37">
                  <c:v>0.30881566552569784</c:v>
                </c:pt>
                <c:pt idx="38">
                  <c:v>0.32781970648112535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Sheet1!$M$3</c:f>
              <c:strCache>
                <c:ptCount val="1"/>
                <c:pt idx="0">
                  <c:v>crawl</c:v>
                </c:pt>
              </c:strCache>
            </c:strRef>
          </c:tx>
          <c:spPr>
            <a:ln w="12700"/>
          </c:spPr>
          <c:marker>
            <c:symbol val="square"/>
            <c:size val="4"/>
          </c:marker>
          <c:xVal>
            <c:numRef>
              <c:f>Sheet1!$D$4:$D$43</c:f>
              <c:numCache>
                <c:formatCode>m/d/yy\ h:mm;@</c:formatCode>
                <c:ptCount val="40"/>
                <c:pt idx="0">
                  <c:v>40752.284722222219</c:v>
                </c:pt>
                <c:pt idx="1">
                  <c:v>40752.524305555555</c:v>
                </c:pt>
                <c:pt idx="2">
                  <c:v>40752.552083333328</c:v>
                </c:pt>
                <c:pt idx="3">
                  <c:v>40752.576388888883</c:v>
                </c:pt>
                <c:pt idx="4">
                  <c:v>40752.604166666672</c:v>
                </c:pt>
                <c:pt idx="5">
                  <c:v>40752.638888888891</c:v>
                </c:pt>
                <c:pt idx="6">
                  <c:v>40752.701388888883</c:v>
                </c:pt>
                <c:pt idx="7">
                  <c:v>40752.743055555555</c:v>
                </c:pt>
                <c:pt idx="8">
                  <c:v>40752.878472222219</c:v>
                </c:pt>
                <c:pt idx="9">
                  <c:v>40752.916666666664</c:v>
                </c:pt>
                <c:pt idx="10">
                  <c:v>40753.253472222219</c:v>
                </c:pt>
                <c:pt idx="11">
                  <c:v>40753.5</c:v>
                </c:pt>
                <c:pt idx="12">
                  <c:v>40753.708333333336</c:v>
                </c:pt>
                <c:pt idx="13">
                  <c:v>40753.875</c:v>
                </c:pt>
                <c:pt idx="14">
                  <c:v>40753.909722222219</c:v>
                </c:pt>
                <c:pt idx="15">
                  <c:v>40753.951388888883</c:v>
                </c:pt>
                <c:pt idx="16">
                  <c:v>40754.3125</c:v>
                </c:pt>
                <c:pt idx="17">
                  <c:v>40754.625</c:v>
                </c:pt>
                <c:pt idx="18">
                  <c:v>40754.684027777774</c:v>
                </c:pt>
                <c:pt idx="19">
                  <c:v>40754.826388888883</c:v>
                </c:pt>
                <c:pt idx="20">
                  <c:v>40754.934027777774</c:v>
                </c:pt>
                <c:pt idx="21">
                  <c:v>40755.302083333328</c:v>
                </c:pt>
                <c:pt idx="22">
                  <c:v>40755.506944444445</c:v>
                </c:pt>
                <c:pt idx="23">
                  <c:v>40755.534722222219</c:v>
                </c:pt>
                <c:pt idx="24">
                  <c:v>40755.694444444445</c:v>
                </c:pt>
                <c:pt idx="25">
                  <c:v>40755.802083333328</c:v>
                </c:pt>
                <c:pt idx="26">
                  <c:v>40755.947916666664</c:v>
                </c:pt>
                <c:pt idx="27">
                  <c:v>40756.333333333336</c:v>
                </c:pt>
                <c:pt idx="28">
                  <c:v>40756.555555555555</c:v>
                </c:pt>
                <c:pt idx="29">
                  <c:v>40756.743055555555</c:v>
                </c:pt>
                <c:pt idx="30">
                  <c:v>40756.954861111109</c:v>
                </c:pt>
                <c:pt idx="31">
                  <c:v>40757.326388888883</c:v>
                </c:pt>
                <c:pt idx="32">
                  <c:v>40757.479166666672</c:v>
                </c:pt>
                <c:pt idx="33">
                  <c:v>40757.576388888883</c:v>
                </c:pt>
                <c:pt idx="34">
                  <c:v>40757.708333333336</c:v>
                </c:pt>
                <c:pt idx="35">
                  <c:v>40757.868055555555</c:v>
                </c:pt>
                <c:pt idx="36">
                  <c:v>40757.9375</c:v>
                </c:pt>
                <c:pt idx="37">
                  <c:v>40758.326388888883</c:v>
                </c:pt>
                <c:pt idx="38">
                  <c:v>40758.447916666664</c:v>
                </c:pt>
                <c:pt idx="39">
                  <c:v>40758.524305555555</c:v>
                </c:pt>
              </c:numCache>
            </c:numRef>
          </c:xVal>
          <c:yVal>
            <c:numRef>
              <c:f>Sheet1!$M$4:$M$42</c:f>
              <c:numCache>
                <c:formatCode>0.000</c:formatCode>
                <c:ptCount val="39"/>
                <c:pt idx="0">
                  <c:v>0.22886461122829785</c:v>
                </c:pt>
                <c:pt idx="1">
                  <c:v>0.22819264752151741</c:v>
                </c:pt>
                <c:pt idx="2">
                  <c:v>0.29084067125072016</c:v>
                </c:pt>
                <c:pt idx="3">
                  <c:v>0.31016165211015906</c:v>
                </c:pt>
                <c:pt idx="4">
                  <c:v>0.33255064265577966</c:v>
                </c:pt>
                <c:pt idx="5">
                  <c:v>0.32639229742141335</c:v>
                </c:pt>
                <c:pt idx="6">
                  <c:v>0.34677156956816635</c:v>
                </c:pt>
                <c:pt idx="7">
                  <c:v>0.34655917328051622</c:v>
                </c:pt>
                <c:pt idx="8">
                  <c:v>0.3459616348315257</c:v>
                </c:pt>
                <c:pt idx="9">
                  <c:v>0.33547794892754007</c:v>
                </c:pt>
                <c:pt idx="10">
                  <c:v>0.30105225486108739</c:v>
                </c:pt>
                <c:pt idx="11">
                  <c:v>0.26945330260404193</c:v>
                </c:pt>
                <c:pt idx="12">
                  <c:v>0.25934244803955886</c:v>
                </c:pt>
                <c:pt idx="13">
                  <c:v>0.25934244803955886</c:v>
                </c:pt>
                <c:pt idx="14">
                  <c:v>0.27495818560265078</c:v>
                </c:pt>
                <c:pt idx="15">
                  <c:v>0.31191856071585272</c:v>
                </c:pt>
                <c:pt idx="16">
                  <c:v>0.30406465528684096</c:v>
                </c:pt>
                <c:pt idx="17">
                  <c:v>0.2518252756326152</c:v>
                </c:pt>
                <c:pt idx="18">
                  <c:v>0.24806668942914331</c:v>
                </c:pt>
                <c:pt idx="19">
                  <c:v>0.24054951702219957</c:v>
                </c:pt>
                <c:pt idx="20">
                  <c:v>0.24806668942914331</c:v>
                </c:pt>
                <c:pt idx="21">
                  <c:v>0.23249738283509622</c:v>
                </c:pt>
                <c:pt idx="22">
                  <c:v>0.23613015444189461</c:v>
                </c:pt>
                <c:pt idx="23">
                  <c:v>0.25429401247588646</c:v>
                </c:pt>
                <c:pt idx="24">
                  <c:v>0.31455955238010608</c:v>
                </c:pt>
                <c:pt idx="25">
                  <c:v>0.33023610597554726</c:v>
                </c:pt>
                <c:pt idx="26">
                  <c:v>0.31963309354752717</c:v>
                </c:pt>
                <c:pt idx="27">
                  <c:v>0.26140992043675709</c:v>
                </c:pt>
                <c:pt idx="28">
                  <c:v>0.25738822935311467</c:v>
                </c:pt>
                <c:pt idx="29">
                  <c:v>0.2518252756326152</c:v>
                </c:pt>
                <c:pt idx="30">
                  <c:v>0.23249738283509622</c:v>
                </c:pt>
                <c:pt idx="31">
                  <c:v>0.23613015444189461</c:v>
                </c:pt>
                <c:pt idx="32">
                  <c:v>0.26130556313712894</c:v>
                </c:pt>
                <c:pt idx="33">
                  <c:v>0.31948423786797586</c:v>
                </c:pt>
                <c:pt idx="34">
                  <c:v>0.33023610597554726</c:v>
                </c:pt>
                <c:pt idx="35">
                  <c:v>0.34655917328051622</c:v>
                </c:pt>
                <c:pt idx="36">
                  <c:v>0.34655917328051622</c:v>
                </c:pt>
                <c:pt idx="37">
                  <c:v>0.28282391970748455</c:v>
                </c:pt>
                <c:pt idx="38">
                  <c:v>0.27347499368768435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Sheet1!$N$3</c:f>
              <c:strCache>
                <c:ptCount val="1"/>
                <c:pt idx="0">
                  <c:v>outdoor</c:v>
                </c:pt>
              </c:strCache>
            </c:strRef>
          </c:tx>
          <c:spPr>
            <a:ln>
              <a:noFill/>
            </a:ln>
          </c:spPr>
          <c:marker>
            <c:spPr>
              <a:ln>
                <a:noFill/>
              </a:ln>
            </c:spPr>
          </c:marker>
          <c:xVal>
            <c:numRef>
              <c:f>Sheet1!$D$4:$D$43</c:f>
              <c:numCache>
                <c:formatCode>m/d/yy\ h:mm;@</c:formatCode>
                <c:ptCount val="40"/>
                <c:pt idx="0">
                  <c:v>40752.284722222219</c:v>
                </c:pt>
                <c:pt idx="1">
                  <c:v>40752.524305555555</c:v>
                </c:pt>
                <c:pt idx="2">
                  <c:v>40752.552083333328</c:v>
                </c:pt>
                <c:pt idx="3">
                  <c:v>40752.576388888883</c:v>
                </c:pt>
                <c:pt idx="4">
                  <c:v>40752.604166666672</c:v>
                </c:pt>
                <c:pt idx="5">
                  <c:v>40752.638888888891</c:v>
                </c:pt>
                <c:pt idx="6">
                  <c:v>40752.701388888883</c:v>
                </c:pt>
                <c:pt idx="7">
                  <c:v>40752.743055555555</c:v>
                </c:pt>
                <c:pt idx="8">
                  <c:v>40752.878472222219</c:v>
                </c:pt>
                <c:pt idx="9">
                  <c:v>40752.916666666664</c:v>
                </c:pt>
                <c:pt idx="10">
                  <c:v>40753.253472222219</c:v>
                </c:pt>
                <c:pt idx="11">
                  <c:v>40753.5</c:v>
                </c:pt>
                <c:pt idx="12">
                  <c:v>40753.708333333336</c:v>
                </c:pt>
                <c:pt idx="13">
                  <c:v>40753.875</c:v>
                </c:pt>
                <c:pt idx="14">
                  <c:v>40753.909722222219</c:v>
                </c:pt>
                <c:pt idx="15">
                  <c:v>40753.951388888883</c:v>
                </c:pt>
                <c:pt idx="16">
                  <c:v>40754.3125</c:v>
                </c:pt>
                <c:pt idx="17">
                  <c:v>40754.625</c:v>
                </c:pt>
                <c:pt idx="18">
                  <c:v>40754.684027777774</c:v>
                </c:pt>
                <c:pt idx="19">
                  <c:v>40754.826388888883</c:v>
                </c:pt>
                <c:pt idx="20">
                  <c:v>40754.934027777774</c:v>
                </c:pt>
                <c:pt idx="21">
                  <c:v>40755.302083333328</c:v>
                </c:pt>
                <c:pt idx="22">
                  <c:v>40755.506944444445</c:v>
                </c:pt>
                <c:pt idx="23">
                  <c:v>40755.534722222219</c:v>
                </c:pt>
                <c:pt idx="24">
                  <c:v>40755.694444444445</c:v>
                </c:pt>
                <c:pt idx="25">
                  <c:v>40755.802083333328</c:v>
                </c:pt>
                <c:pt idx="26">
                  <c:v>40755.947916666664</c:v>
                </c:pt>
                <c:pt idx="27">
                  <c:v>40756.333333333336</c:v>
                </c:pt>
                <c:pt idx="28">
                  <c:v>40756.555555555555</c:v>
                </c:pt>
                <c:pt idx="29">
                  <c:v>40756.743055555555</c:v>
                </c:pt>
                <c:pt idx="30">
                  <c:v>40756.954861111109</c:v>
                </c:pt>
                <c:pt idx="31">
                  <c:v>40757.326388888883</c:v>
                </c:pt>
                <c:pt idx="32">
                  <c:v>40757.479166666672</c:v>
                </c:pt>
                <c:pt idx="33">
                  <c:v>40757.576388888883</c:v>
                </c:pt>
                <c:pt idx="34">
                  <c:v>40757.708333333336</c:v>
                </c:pt>
                <c:pt idx="35">
                  <c:v>40757.868055555555</c:v>
                </c:pt>
                <c:pt idx="36">
                  <c:v>40757.9375</c:v>
                </c:pt>
                <c:pt idx="37">
                  <c:v>40758.326388888883</c:v>
                </c:pt>
                <c:pt idx="38">
                  <c:v>40758.447916666664</c:v>
                </c:pt>
                <c:pt idx="39">
                  <c:v>40758.524305555555</c:v>
                </c:pt>
              </c:numCache>
            </c:numRef>
          </c:xVal>
          <c:yVal>
            <c:numRef>
              <c:f>Sheet1!$N$4:$N$42</c:f>
              <c:numCache>
                <c:formatCode>0.000</c:formatCode>
                <c:ptCount val="39"/>
                <c:pt idx="0">
                  <c:v>0.35197416036302431</c:v>
                </c:pt>
                <c:pt idx="9">
                  <c:v>0.46517119382603955</c:v>
                </c:pt>
                <c:pt idx="10">
                  <c:v>0.31963309354752717</c:v>
                </c:pt>
                <c:pt idx="15">
                  <c:v>0.39661068214508699</c:v>
                </c:pt>
                <c:pt idx="16">
                  <c:v>0.30932795880298208</c:v>
                </c:pt>
                <c:pt idx="20">
                  <c:v>0.3773995078874291</c:v>
                </c:pt>
                <c:pt idx="21">
                  <c:v>0.29245076186505636</c:v>
                </c:pt>
                <c:pt idx="23">
                  <c:v>0.36022142288689568</c:v>
                </c:pt>
                <c:pt idx="24">
                  <c:v>0.56799081556624365</c:v>
                </c:pt>
                <c:pt idx="27">
                  <c:v>0.28815001536704082</c:v>
                </c:pt>
                <c:pt idx="30">
                  <c:v>0.39661068214508699</c:v>
                </c:pt>
                <c:pt idx="31">
                  <c:v>0.30881566552569784</c:v>
                </c:pt>
                <c:pt idx="34">
                  <c:v>0.45276643308412279</c:v>
                </c:pt>
                <c:pt idx="36">
                  <c:v>0.39661068214508699</c:v>
                </c:pt>
                <c:pt idx="37">
                  <c:v>0.29456263480912714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29632"/>
        <c:axId val="44658048"/>
      </c:scatterChart>
      <c:valAx>
        <c:axId val="34229632"/>
        <c:scaling>
          <c:orientation val="minMax"/>
        </c:scaling>
        <c:delete val="0"/>
        <c:axPos val="b"/>
        <c:numFmt formatCode="m/d/yy\ h:mm;@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4658048"/>
        <c:crosses val="autoZero"/>
        <c:crossBetween val="midCat"/>
      </c:valAx>
      <c:valAx>
        <c:axId val="44658048"/>
        <c:scaling>
          <c:orientation val="minMax"/>
          <c:min val="0.2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42296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500062</xdr:colOff>
      <xdr:row>44</xdr:row>
      <xdr:rowOff>76200</xdr:rowOff>
    </xdr:from>
    <xdr:to>
      <xdr:col>12</xdr:col>
      <xdr:colOff>547687</xdr:colOff>
      <xdr:row>62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wrose.UIUC/My%20Documents/psychrometrics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Functions"/>
      <sheetName val="VP"/>
      <sheetName val="psychrometrics"/>
    </sheetNames>
    <definedNames>
      <definedName name="vaporpressure"/>
    </defined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8"/>
  <sheetViews>
    <sheetView tabSelected="1" workbookViewId="0">
      <pane ySplit="5220"/>
      <selection activeCell="D31" sqref="D31"/>
      <selection pane="bottomLeft" activeCell="N31" sqref="N31"/>
    </sheetView>
  </sheetViews>
  <sheetFormatPr defaultColWidth="11" defaultRowHeight="12" x14ac:dyDescent="0.2"/>
  <cols>
    <col min="1" max="1" width="14.625" style="1" customWidth="1"/>
    <col min="2" max="2" width="8.75" style="8" bestFit="1" customWidth="1"/>
    <col min="3" max="3" width="4.375" style="2" bestFit="1" customWidth="1"/>
    <col min="4" max="4" width="12.25" style="9" bestFit="1" customWidth="1"/>
    <col min="5" max="5" width="4.375" style="2" bestFit="1" customWidth="1"/>
    <col min="6" max="6" width="10.5" style="2" bestFit="1" customWidth="1"/>
    <col min="7" max="7" width="4.375" style="2" bestFit="1" customWidth="1"/>
    <col min="8" max="8" width="10.5" style="2" bestFit="1" customWidth="1"/>
    <col min="9" max="9" width="17.125" style="2" customWidth="1"/>
    <col min="10" max="10" width="11" style="2" customWidth="1"/>
    <col min="11" max="11" width="7.875" style="2" bestFit="1" customWidth="1"/>
    <col min="12" max="14" width="7.25" style="1" customWidth="1"/>
    <col min="15" max="16384" width="11" style="1"/>
  </cols>
  <sheetData>
    <row r="1" spans="1:14" x14ac:dyDescent="0.2">
      <c r="B1" s="16" t="s">
        <v>0</v>
      </c>
      <c r="C1" s="16"/>
      <c r="D1" s="16"/>
      <c r="E1" s="16"/>
      <c r="F1" s="16"/>
      <c r="G1" s="16"/>
      <c r="H1" s="16"/>
      <c r="J1" s="3" t="s">
        <v>1</v>
      </c>
      <c r="K1" s="4"/>
      <c r="L1" s="5"/>
    </row>
    <row r="2" spans="1:14" x14ac:dyDescent="0.2">
      <c r="B2" s="6" t="s">
        <v>2</v>
      </c>
      <c r="C2" s="7" t="s">
        <v>3</v>
      </c>
      <c r="D2" s="7" t="s">
        <v>19</v>
      </c>
      <c r="E2" s="16" t="s">
        <v>4</v>
      </c>
      <c r="F2" s="16"/>
      <c r="G2" s="16" t="s">
        <v>5</v>
      </c>
      <c r="H2" s="16"/>
      <c r="I2" s="7" t="s">
        <v>6</v>
      </c>
      <c r="J2" s="7" t="s">
        <v>7</v>
      </c>
      <c r="K2" s="7" t="s">
        <v>8</v>
      </c>
      <c r="L2" s="16" t="s">
        <v>17</v>
      </c>
      <c r="M2" s="16"/>
    </row>
    <row r="3" spans="1:14" x14ac:dyDescent="0.2">
      <c r="E3" s="7" t="s">
        <v>9</v>
      </c>
      <c r="F3" s="7" t="s">
        <v>10</v>
      </c>
      <c r="G3" s="7" t="s">
        <v>9</v>
      </c>
      <c r="H3" s="7" t="s">
        <v>10</v>
      </c>
      <c r="L3" s="1" t="s">
        <v>9</v>
      </c>
      <c r="M3" s="1" t="s">
        <v>16</v>
      </c>
      <c r="N3" s="1" t="s">
        <v>18</v>
      </c>
    </row>
    <row r="4" spans="1:14" x14ac:dyDescent="0.2">
      <c r="B4" s="10">
        <v>40752</v>
      </c>
      <c r="C4" s="11">
        <v>650</v>
      </c>
      <c r="D4" s="12">
        <f>B4+(C4-MOD(C4,100))/100/24+MOD(C4,100)/24/60</f>
        <v>40752.284722222219</v>
      </c>
      <c r="E4" s="7">
        <v>83</v>
      </c>
      <c r="F4" s="7">
        <v>70</v>
      </c>
      <c r="G4" s="7">
        <v>70</v>
      </c>
      <c r="H4" s="7">
        <v>63</v>
      </c>
      <c r="I4" s="11">
        <v>74</v>
      </c>
      <c r="J4" s="11">
        <v>82</v>
      </c>
      <c r="K4" s="11">
        <v>65</v>
      </c>
      <c r="L4" s="14">
        <f>[1]!vaporpressure(E4,G4/100)</f>
        <v>0.39151628822212331</v>
      </c>
      <c r="M4" s="14">
        <f>[1]!vaporpressure(F4,H4/100)</f>
        <v>0.22886461122829785</v>
      </c>
      <c r="N4" s="15">
        <f>[1]!vaporpressure(J4,K4/100)</f>
        <v>0.35197416036302431</v>
      </c>
    </row>
    <row r="5" spans="1:14" x14ac:dyDescent="0.2">
      <c r="A5" s="6" t="s">
        <v>11</v>
      </c>
      <c r="B5" s="10">
        <v>40752</v>
      </c>
      <c r="C5" s="11">
        <v>1235</v>
      </c>
      <c r="D5" s="12">
        <f t="shared" ref="D5:D43" si="0">B5+(C5-MOD(C5,100))/100/24+MOD(C5,100)/24/60</f>
        <v>40752.524305555555</v>
      </c>
      <c r="E5" s="11">
        <v>85</v>
      </c>
      <c r="F5" s="11">
        <v>69</v>
      </c>
      <c r="G5" s="11">
        <v>70</v>
      </c>
      <c r="H5" s="11">
        <v>65</v>
      </c>
      <c r="I5" s="11">
        <v>93</v>
      </c>
      <c r="J5" s="11"/>
      <c r="K5" s="11"/>
      <c r="L5" s="14">
        <f>[1]!vaporpressure(E5,G5/100)</f>
        <v>0.41752530091752182</v>
      </c>
      <c r="M5" s="14">
        <f>[1]!vaporpressure(F5,H5/100)</f>
        <v>0.22819264752151741</v>
      </c>
      <c r="N5" s="15"/>
    </row>
    <row r="6" spans="1:14" x14ac:dyDescent="0.2">
      <c r="A6" s="6" t="s">
        <v>15</v>
      </c>
      <c r="B6" s="10">
        <v>40752</v>
      </c>
      <c r="C6" s="11">
        <v>1315</v>
      </c>
      <c r="D6" s="12">
        <f t="shared" si="0"/>
        <v>40752.552083333328</v>
      </c>
      <c r="E6" s="11">
        <v>82</v>
      </c>
      <c r="F6" s="11">
        <v>83</v>
      </c>
      <c r="G6" s="11">
        <v>58</v>
      </c>
      <c r="H6" s="11">
        <v>52</v>
      </c>
      <c r="I6" s="11">
        <v>95</v>
      </c>
      <c r="J6" s="11"/>
      <c r="K6" s="11"/>
      <c r="L6" s="14">
        <f>[1]!vaporpressure(E6,G6/100)</f>
        <v>0.31406925078546782</v>
      </c>
      <c r="M6" s="14">
        <f>[1]!vaporpressure(F6,H6/100)</f>
        <v>0.29084067125072016</v>
      </c>
      <c r="N6" s="15"/>
    </row>
    <row r="7" spans="1:14" x14ac:dyDescent="0.2">
      <c r="B7" s="10">
        <v>40752</v>
      </c>
      <c r="C7" s="11">
        <v>1350</v>
      </c>
      <c r="D7" s="12">
        <f t="shared" si="0"/>
        <v>40752.576388888883</v>
      </c>
      <c r="E7" s="11">
        <v>81</v>
      </c>
      <c r="F7" s="11">
        <v>85</v>
      </c>
      <c r="G7" s="11">
        <v>55</v>
      </c>
      <c r="H7" s="11">
        <v>52</v>
      </c>
      <c r="I7" s="11">
        <v>96</v>
      </c>
      <c r="J7" s="11"/>
      <c r="K7" s="11"/>
      <c r="L7" s="14">
        <f>[1]!vaporpressure(E7,G7/100)</f>
        <v>0.28830136235960474</v>
      </c>
      <c r="M7" s="14">
        <f>[1]!vaporpressure(F7,H7/100)</f>
        <v>0.31016165211015906</v>
      </c>
      <c r="N7" s="15"/>
    </row>
    <row r="8" spans="1:14" x14ac:dyDescent="0.2">
      <c r="B8" s="10">
        <v>40752</v>
      </c>
      <c r="C8" s="11">
        <v>1430</v>
      </c>
      <c r="D8" s="12">
        <f t="shared" si="0"/>
        <v>40752.604166666672</v>
      </c>
      <c r="E8" s="11">
        <v>80</v>
      </c>
      <c r="F8" s="11">
        <v>86</v>
      </c>
      <c r="G8" s="11">
        <v>53</v>
      </c>
      <c r="H8" s="11">
        <v>54</v>
      </c>
      <c r="I8" s="11">
        <v>95</v>
      </c>
      <c r="J8" s="11"/>
      <c r="K8" s="11"/>
      <c r="L8" s="14">
        <f>[1]!vaporpressure(E8,G8/100)</f>
        <v>0.26889768187331653</v>
      </c>
      <c r="M8" s="14">
        <f>[1]!vaporpressure(F8,H8/100)</f>
        <v>0.33255064265577966</v>
      </c>
      <c r="N8" s="15"/>
    </row>
    <row r="9" spans="1:14" x14ac:dyDescent="0.2">
      <c r="B9" s="10">
        <v>40752</v>
      </c>
      <c r="C9" s="11">
        <v>1520</v>
      </c>
      <c r="D9" s="12">
        <f t="shared" si="0"/>
        <v>40752.638888888891</v>
      </c>
      <c r="E9" s="11">
        <v>79</v>
      </c>
      <c r="F9" s="11">
        <v>86</v>
      </c>
      <c r="G9" s="11">
        <v>52</v>
      </c>
      <c r="H9" s="11">
        <v>53</v>
      </c>
      <c r="I9" s="11">
        <v>94</v>
      </c>
      <c r="J9" s="11"/>
      <c r="K9" s="11"/>
      <c r="L9" s="14">
        <f>[1]!vaporpressure(E9,G9/100)</f>
        <v>0.2553183152024614</v>
      </c>
      <c r="M9" s="14">
        <f>[1]!vaporpressure(F9,H9/100)</f>
        <v>0.32639229742141335</v>
      </c>
      <c r="N9" s="15"/>
    </row>
    <row r="10" spans="1:14" x14ac:dyDescent="0.2">
      <c r="B10" s="10">
        <v>40752</v>
      </c>
      <c r="C10" s="11">
        <v>1650</v>
      </c>
      <c r="D10" s="12">
        <f t="shared" si="0"/>
        <v>40752.701388888883</v>
      </c>
      <c r="E10" s="11">
        <v>78</v>
      </c>
      <c r="F10" s="11">
        <v>83</v>
      </c>
      <c r="G10" s="11">
        <v>54</v>
      </c>
      <c r="H10" s="11">
        <v>62</v>
      </c>
      <c r="I10" s="11">
        <v>93</v>
      </c>
      <c r="J10" s="11"/>
      <c r="K10" s="11"/>
      <c r="L10" s="14">
        <f>[1]!vaporpressure(E10,G10/100)</f>
        <v>0.25655455289827206</v>
      </c>
      <c r="M10" s="14">
        <f>[1]!vaporpressure(F10,H10/100)</f>
        <v>0.34677156956816635</v>
      </c>
      <c r="N10" s="15"/>
    </row>
    <row r="11" spans="1:14" x14ac:dyDescent="0.2">
      <c r="B11" s="10">
        <v>40752</v>
      </c>
      <c r="C11" s="11">
        <v>1750</v>
      </c>
      <c r="D11" s="12">
        <f t="shared" si="0"/>
        <v>40752.743055555555</v>
      </c>
      <c r="E11" s="11">
        <v>78</v>
      </c>
      <c r="F11" s="11">
        <v>82</v>
      </c>
      <c r="G11" s="11">
        <v>55</v>
      </c>
      <c r="H11" s="11">
        <v>64</v>
      </c>
      <c r="I11" s="11">
        <v>93</v>
      </c>
      <c r="J11" s="11"/>
      <c r="K11" s="11"/>
      <c r="L11" s="14">
        <f>[1]!vaporpressure(E11,G11/100)</f>
        <v>0.26130556313712894</v>
      </c>
      <c r="M11" s="14">
        <f>[1]!vaporpressure(F11,H11/100)</f>
        <v>0.34655917328051622</v>
      </c>
      <c r="N11" s="15"/>
    </row>
    <row r="12" spans="1:14" x14ac:dyDescent="0.2">
      <c r="B12" s="10">
        <v>40752</v>
      </c>
      <c r="C12" s="11">
        <v>2105</v>
      </c>
      <c r="D12" s="12">
        <f t="shared" si="0"/>
        <v>40752.878472222219</v>
      </c>
      <c r="E12" s="11">
        <v>77</v>
      </c>
      <c r="F12" s="11">
        <v>81</v>
      </c>
      <c r="G12" s="11">
        <v>53</v>
      </c>
      <c r="H12" s="11">
        <v>66</v>
      </c>
      <c r="I12" s="11">
        <v>82</v>
      </c>
      <c r="J12" s="11"/>
      <c r="K12" s="11"/>
      <c r="L12" s="14">
        <f>[1]!vaporpressure(E12,G12/100)</f>
        <v>0.24361763571000455</v>
      </c>
      <c r="M12" s="14">
        <f>[1]!vaporpressure(F12,H12/100)</f>
        <v>0.3459616348315257</v>
      </c>
      <c r="N12" s="15"/>
    </row>
    <row r="13" spans="1:14" x14ac:dyDescent="0.2">
      <c r="B13" s="10">
        <v>40752</v>
      </c>
      <c r="C13" s="11">
        <v>2200</v>
      </c>
      <c r="D13" s="12">
        <f t="shared" si="0"/>
        <v>40752.916666666664</v>
      </c>
      <c r="E13" s="11">
        <v>78</v>
      </c>
      <c r="F13" s="11">
        <v>81</v>
      </c>
      <c r="G13" s="11">
        <v>54</v>
      </c>
      <c r="H13" s="11">
        <v>64</v>
      </c>
      <c r="I13" s="11">
        <v>80</v>
      </c>
      <c r="J13" s="11">
        <v>98</v>
      </c>
      <c r="K13" s="11">
        <v>52</v>
      </c>
      <c r="L13" s="14">
        <f>[1]!vaporpressure(E13,G13/100)</f>
        <v>0.25655455289827206</v>
      </c>
      <c r="M13" s="14">
        <f>[1]!vaporpressure(F13,H13/100)</f>
        <v>0.33547794892754007</v>
      </c>
      <c r="N13" s="15">
        <f>[1]!vaporpressure(J13,K13/100)</f>
        <v>0.46517119382603955</v>
      </c>
    </row>
    <row r="14" spans="1:14" x14ac:dyDescent="0.2">
      <c r="B14" s="13">
        <v>40753</v>
      </c>
      <c r="C14" s="11">
        <v>605</v>
      </c>
      <c r="D14" s="12">
        <f t="shared" si="0"/>
        <v>40753.253472222219</v>
      </c>
      <c r="E14" s="11">
        <v>77</v>
      </c>
      <c r="F14" s="11">
        <v>75</v>
      </c>
      <c r="G14" s="11">
        <v>65</v>
      </c>
      <c r="H14" s="11">
        <v>70</v>
      </c>
      <c r="I14" s="11">
        <v>72</v>
      </c>
      <c r="J14" s="11">
        <v>80</v>
      </c>
      <c r="K14" s="11">
        <v>63</v>
      </c>
      <c r="L14" s="14">
        <f>[1]!vaporpressure(E14,G14/100)</f>
        <v>0.29877634568208106</v>
      </c>
      <c r="M14" s="14">
        <f>[1]!vaporpressure(F14,H14/100)</f>
        <v>0.30105225486108739</v>
      </c>
      <c r="N14" s="15">
        <f>[1]!vaporpressure(J14,K14/100)</f>
        <v>0.31963309354752717</v>
      </c>
    </row>
    <row r="15" spans="1:14" x14ac:dyDescent="0.2">
      <c r="B15" s="13">
        <v>40753</v>
      </c>
      <c r="C15" s="11">
        <v>1200</v>
      </c>
      <c r="D15" s="12">
        <f t="shared" si="0"/>
        <v>40753.5</v>
      </c>
      <c r="E15" s="11">
        <v>79</v>
      </c>
      <c r="F15" s="11">
        <v>73</v>
      </c>
      <c r="G15" s="11">
        <v>65</v>
      </c>
      <c r="H15" s="11">
        <v>67</v>
      </c>
      <c r="I15" s="11">
        <v>94</v>
      </c>
      <c r="J15" s="11"/>
      <c r="K15" s="11"/>
      <c r="L15" s="14">
        <f>[1]!vaporpressure(E15,G15/100)</f>
        <v>0.31914789400307675</v>
      </c>
      <c r="M15" s="14">
        <f>[1]!vaporpressure(F15,H15/100)</f>
        <v>0.26945330260404193</v>
      </c>
      <c r="N15" s="15"/>
    </row>
    <row r="16" spans="1:14" x14ac:dyDescent="0.2">
      <c r="B16" s="13">
        <v>40753</v>
      </c>
      <c r="C16" s="11">
        <v>1700</v>
      </c>
      <c r="D16" s="12">
        <f t="shared" si="0"/>
        <v>40753.708333333336</v>
      </c>
      <c r="E16" s="11">
        <v>80</v>
      </c>
      <c r="F16" s="11">
        <v>71</v>
      </c>
      <c r="G16" s="11">
        <v>66</v>
      </c>
      <c r="H16" s="11">
        <v>69</v>
      </c>
      <c r="I16" s="11">
        <v>92</v>
      </c>
      <c r="J16" s="11"/>
      <c r="K16" s="11"/>
      <c r="L16" s="14">
        <f>[1]!vaporpressure(E16,G16/100)</f>
        <v>0.33485371704979039</v>
      </c>
      <c r="M16" s="14">
        <f>[1]!vaporpressure(F16,H16/100)</f>
        <v>0.25934244803955886</v>
      </c>
      <c r="N16" s="15"/>
    </row>
    <row r="17" spans="1:14" x14ac:dyDescent="0.2">
      <c r="B17" s="13">
        <v>40753</v>
      </c>
      <c r="C17" s="11">
        <v>2100</v>
      </c>
      <c r="D17" s="12">
        <f t="shared" si="0"/>
        <v>40753.875</v>
      </c>
      <c r="E17" s="11">
        <v>81</v>
      </c>
      <c r="F17" s="11">
        <v>71</v>
      </c>
      <c r="G17" s="11">
        <v>68</v>
      </c>
      <c r="H17" s="11">
        <v>69</v>
      </c>
      <c r="I17" s="11">
        <v>89</v>
      </c>
      <c r="J17" s="11"/>
      <c r="K17" s="11"/>
      <c r="L17" s="14">
        <f>[1]!vaporpressure(E17,G17/100)</f>
        <v>0.35644532073551133</v>
      </c>
      <c r="M17" s="14">
        <f>[1]!vaporpressure(F17,H17/100)</f>
        <v>0.25934244803955886</v>
      </c>
      <c r="N17" s="15"/>
    </row>
    <row r="18" spans="1:14" x14ac:dyDescent="0.2">
      <c r="B18" s="13">
        <v>40753</v>
      </c>
      <c r="C18" s="11">
        <v>2150</v>
      </c>
      <c r="D18" s="12">
        <f t="shared" si="0"/>
        <v>40753.909722222219</v>
      </c>
      <c r="E18" s="11">
        <v>80</v>
      </c>
      <c r="F18" s="11">
        <v>79</v>
      </c>
      <c r="G18" s="11">
        <v>62</v>
      </c>
      <c r="H18" s="11">
        <v>56</v>
      </c>
      <c r="I18" s="11">
        <v>77</v>
      </c>
      <c r="J18" s="11"/>
      <c r="K18" s="11"/>
      <c r="L18" s="14">
        <f>[1]!vaporpressure(E18,G18/100)</f>
        <v>0.31455955238010608</v>
      </c>
      <c r="M18" s="14">
        <f>[1]!vaporpressure(F18,H18/100)</f>
        <v>0.27495818560265078</v>
      </c>
      <c r="N18" s="15"/>
    </row>
    <row r="19" spans="1:14" x14ac:dyDescent="0.2">
      <c r="B19" s="13">
        <v>40753</v>
      </c>
      <c r="C19" s="11">
        <v>2250</v>
      </c>
      <c r="D19" s="12">
        <f t="shared" si="0"/>
        <v>40753.951388888883</v>
      </c>
      <c r="E19" s="11">
        <v>79</v>
      </c>
      <c r="F19" s="11">
        <v>84</v>
      </c>
      <c r="G19" s="11">
        <v>54</v>
      </c>
      <c r="H19" s="11">
        <v>54</v>
      </c>
      <c r="I19" s="11">
        <v>76</v>
      </c>
      <c r="J19" s="11">
        <v>91</v>
      </c>
      <c r="K19" s="11">
        <v>55</v>
      </c>
      <c r="L19" s="14">
        <f>[1]!vaporpressure(E19,G19/100)</f>
        <v>0.26513825040255606</v>
      </c>
      <c r="M19" s="14">
        <f>[1]!vaporpressure(F19,H19/100)</f>
        <v>0.31191856071585272</v>
      </c>
      <c r="N19" s="15">
        <f>[1]!vaporpressure(J19,K19/100)</f>
        <v>0.39661068214508699</v>
      </c>
    </row>
    <row r="20" spans="1:14" x14ac:dyDescent="0.2">
      <c r="B20" s="13">
        <v>40754</v>
      </c>
      <c r="C20" s="11">
        <v>730</v>
      </c>
      <c r="D20" s="12">
        <f t="shared" si="0"/>
        <v>40754.3125</v>
      </c>
      <c r="E20" s="11">
        <v>76</v>
      </c>
      <c r="F20" s="11">
        <v>78</v>
      </c>
      <c r="G20" s="11">
        <v>61</v>
      </c>
      <c r="H20" s="11">
        <v>64</v>
      </c>
      <c r="I20" s="11">
        <v>75</v>
      </c>
      <c r="J20" s="11">
        <v>79</v>
      </c>
      <c r="K20" s="11">
        <v>63</v>
      </c>
      <c r="L20" s="14">
        <f>[1]!vaporpressure(E20,G20/100)</f>
        <v>0.27123689786301741</v>
      </c>
      <c r="M20" s="14">
        <f>[1]!vaporpressure(F20,H20/100)</f>
        <v>0.30406465528684096</v>
      </c>
      <c r="N20" s="15">
        <f>[1]!vaporpressure(J20,K20/100)</f>
        <v>0.30932795880298208</v>
      </c>
    </row>
    <row r="21" spans="1:14" x14ac:dyDescent="0.2">
      <c r="B21" s="13">
        <v>40754</v>
      </c>
      <c r="C21" s="11">
        <v>1500</v>
      </c>
      <c r="D21" s="12">
        <f t="shared" si="0"/>
        <v>40754.625</v>
      </c>
      <c r="E21" s="11">
        <v>79</v>
      </c>
      <c r="F21" s="11">
        <v>71</v>
      </c>
      <c r="G21" s="11">
        <v>64</v>
      </c>
      <c r="H21" s="11">
        <v>67</v>
      </c>
      <c r="I21" s="11">
        <v>86</v>
      </c>
      <c r="J21" s="11"/>
      <c r="K21" s="11"/>
      <c r="L21" s="14">
        <f>[1]!vaporpressure(E21,G21/100)</f>
        <v>0.31423792640302944</v>
      </c>
      <c r="M21" s="14">
        <f>[1]!vaporpressure(F21,H21/100)</f>
        <v>0.2518252756326152</v>
      </c>
      <c r="N21" s="15"/>
    </row>
    <row r="22" spans="1:14" x14ac:dyDescent="0.2">
      <c r="B22" s="13">
        <v>40754</v>
      </c>
      <c r="C22" s="11">
        <v>1625</v>
      </c>
      <c r="D22" s="12">
        <f t="shared" si="0"/>
        <v>40754.684027777774</v>
      </c>
      <c r="E22" s="11">
        <v>80</v>
      </c>
      <c r="F22" s="11">
        <v>71</v>
      </c>
      <c r="G22" s="11">
        <v>66</v>
      </c>
      <c r="H22" s="11">
        <v>66</v>
      </c>
      <c r="I22" s="11">
        <v>87</v>
      </c>
      <c r="J22" s="11"/>
      <c r="K22" s="11"/>
      <c r="L22" s="14">
        <f>[1]!vaporpressure(E22,G22/100)</f>
        <v>0.33485371704979039</v>
      </c>
      <c r="M22" s="14">
        <f>[1]!vaporpressure(F22,H22/100)</f>
        <v>0.24806668942914331</v>
      </c>
      <c r="N22" s="15"/>
    </row>
    <row r="23" spans="1:14" x14ac:dyDescent="0.2">
      <c r="B23" s="13">
        <v>40754</v>
      </c>
      <c r="C23" s="11">
        <v>1950</v>
      </c>
      <c r="D23" s="12">
        <f t="shared" si="0"/>
        <v>40754.826388888883</v>
      </c>
      <c r="E23" s="11">
        <v>81</v>
      </c>
      <c r="F23" s="11">
        <v>71</v>
      </c>
      <c r="G23" s="11">
        <v>66</v>
      </c>
      <c r="H23" s="11">
        <v>64</v>
      </c>
      <c r="I23" s="11">
        <v>85</v>
      </c>
      <c r="J23" s="11"/>
      <c r="K23" s="11"/>
      <c r="L23" s="14">
        <f>[1]!vaporpressure(E23,G23/100)</f>
        <v>0.3459616348315257</v>
      </c>
      <c r="M23" s="14">
        <f>[1]!vaporpressure(F23,H23/100)</f>
        <v>0.24054951702219957</v>
      </c>
      <c r="N23" s="15"/>
    </row>
    <row r="24" spans="1:14" x14ac:dyDescent="0.2">
      <c r="B24" s="13">
        <v>40754</v>
      </c>
      <c r="C24" s="11">
        <v>2225</v>
      </c>
      <c r="D24" s="12">
        <f t="shared" si="0"/>
        <v>40754.934027777774</v>
      </c>
      <c r="E24" s="11">
        <v>82</v>
      </c>
      <c r="F24" s="11">
        <v>71</v>
      </c>
      <c r="G24" s="11">
        <v>66</v>
      </c>
      <c r="H24" s="11">
        <v>66</v>
      </c>
      <c r="I24" s="11">
        <v>74</v>
      </c>
      <c r="J24" s="11">
        <v>90</v>
      </c>
      <c r="K24" s="11">
        <v>54</v>
      </c>
      <c r="L24" s="14">
        <f>[1]!vaporpressure(E24,G24/100)</f>
        <v>0.35738914744553235</v>
      </c>
      <c r="M24" s="14">
        <f>[1]!vaporpressure(F24,H24/100)</f>
        <v>0.24806668942914331</v>
      </c>
      <c r="N24" s="15">
        <f>[1]!vaporpressure(J24,K24/100)</f>
        <v>0.3773995078874291</v>
      </c>
    </row>
    <row r="25" spans="1:14" x14ac:dyDescent="0.2">
      <c r="B25" s="13">
        <v>40755</v>
      </c>
      <c r="C25" s="11">
        <v>715</v>
      </c>
      <c r="D25" s="12">
        <f t="shared" si="0"/>
        <v>40755.302083333328</v>
      </c>
      <c r="E25" s="11">
        <v>81</v>
      </c>
      <c r="F25" s="11">
        <v>70</v>
      </c>
      <c r="G25" s="11">
        <v>69</v>
      </c>
      <c r="H25" s="11">
        <v>64</v>
      </c>
      <c r="I25" s="11">
        <v>66</v>
      </c>
      <c r="J25" s="11">
        <v>75</v>
      </c>
      <c r="K25" s="11">
        <v>68</v>
      </c>
      <c r="L25" s="14">
        <f>[1]!vaporpressure(E25,G25/100)</f>
        <v>0.36168716368750409</v>
      </c>
      <c r="M25" s="14">
        <f>[1]!vaporpressure(F25,H25/100)</f>
        <v>0.23249738283509622</v>
      </c>
      <c r="N25" s="15">
        <f>[1]!vaporpressure(J25,K25/100)</f>
        <v>0.29245076186505636</v>
      </c>
    </row>
    <row r="26" spans="1:14" x14ac:dyDescent="0.2">
      <c r="B26" s="13">
        <v>40755</v>
      </c>
      <c r="C26" s="11">
        <v>1210</v>
      </c>
      <c r="D26" s="12">
        <f t="shared" si="0"/>
        <v>40755.506944444445</v>
      </c>
      <c r="E26" s="11">
        <v>81</v>
      </c>
      <c r="F26" s="11">
        <v>70</v>
      </c>
      <c r="G26" s="11">
        <v>69</v>
      </c>
      <c r="H26" s="11">
        <v>65</v>
      </c>
      <c r="I26" s="11">
        <v>90</v>
      </c>
      <c r="J26" s="11"/>
      <c r="K26" s="11"/>
      <c r="L26" s="14">
        <f>[1]!vaporpressure(E26,G26/100)</f>
        <v>0.36168716368750409</v>
      </c>
      <c r="M26" s="14">
        <f>[1]!vaporpressure(F26,H26/100)</f>
        <v>0.23613015444189461</v>
      </c>
      <c r="N26" s="15"/>
    </row>
    <row r="27" spans="1:14" x14ac:dyDescent="0.2">
      <c r="B27" s="13">
        <v>40755</v>
      </c>
      <c r="C27" s="11">
        <v>1250</v>
      </c>
      <c r="D27" s="12">
        <f t="shared" si="0"/>
        <v>40755.534722222219</v>
      </c>
      <c r="E27" s="11">
        <v>81</v>
      </c>
      <c r="F27" s="11">
        <v>70</v>
      </c>
      <c r="G27" s="11">
        <v>68</v>
      </c>
      <c r="H27" s="11">
        <v>70</v>
      </c>
      <c r="I27" s="11">
        <v>93</v>
      </c>
      <c r="J27" s="11">
        <v>80</v>
      </c>
      <c r="K27" s="11">
        <v>71</v>
      </c>
      <c r="L27" s="14">
        <f>[1]!vaporpressure(E27,G27/100)</f>
        <v>0.35644532073551133</v>
      </c>
      <c r="M27" s="14">
        <f>[1]!vaporpressure(F27,H27/100)</f>
        <v>0.25429401247588646</v>
      </c>
      <c r="N27" s="15">
        <f>[1]!vaporpressure(J27,K27/100)</f>
        <v>0.36022142288689568</v>
      </c>
    </row>
    <row r="28" spans="1:14" x14ac:dyDescent="0.2">
      <c r="B28" s="13">
        <v>40755</v>
      </c>
      <c r="C28" s="11">
        <v>1640</v>
      </c>
      <c r="D28" s="12">
        <f t="shared" si="0"/>
        <v>40755.694444444445</v>
      </c>
      <c r="E28" s="11">
        <v>78</v>
      </c>
      <c r="F28" s="11">
        <v>80</v>
      </c>
      <c r="G28" s="11">
        <v>55</v>
      </c>
      <c r="H28" s="11">
        <v>62</v>
      </c>
      <c r="I28" s="11">
        <v>90</v>
      </c>
      <c r="J28" s="11">
        <v>101</v>
      </c>
      <c r="K28" s="11">
        <v>58</v>
      </c>
      <c r="L28" s="14">
        <f>[1]!vaporpressure(E28,G28/100)</f>
        <v>0.26130556313712894</v>
      </c>
      <c r="M28" s="14">
        <f>[1]!vaporpressure(F28,H28/100)</f>
        <v>0.31455955238010608</v>
      </c>
      <c r="N28" s="15">
        <f>[1]!vaporpressure(J28,K28/100)</f>
        <v>0.56799081556624365</v>
      </c>
    </row>
    <row r="29" spans="1:14" x14ac:dyDescent="0.2">
      <c r="B29" s="13">
        <v>40755</v>
      </c>
      <c r="C29" s="11">
        <v>1915</v>
      </c>
      <c r="D29" s="12">
        <f t="shared" si="0"/>
        <v>40755.802083333328</v>
      </c>
      <c r="E29" s="11">
        <v>77</v>
      </c>
      <c r="F29" s="11">
        <v>81</v>
      </c>
      <c r="G29" s="11">
        <v>54</v>
      </c>
      <c r="H29" s="11">
        <v>63</v>
      </c>
      <c r="I29" s="11">
        <v>88</v>
      </c>
      <c r="J29" s="11"/>
      <c r="K29" s="11"/>
      <c r="L29" s="14">
        <f>[1]!vaporpressure(E29,G29/100)</f>
        <v>0.24821419487434429</v>
      </c>
      <c r="M29" s="14">
        <f>[1]!vaporpressure(F29,H29/100)</f>
        <v>0.33023610597554726</v>
      </c>
      <c r="N29" s="15"/>
    </row>
    <row r="30" spans="1:14" x14ac:dyDescent="0.2">
      <c r="A30" s="6" t="s">
        <v>14</v>
      </c>
      <c r="B30" s="13">
        <v>40755</v>
      </c>
      <c r="C30" s="11">
        <v>2245</v>
      </c>
      <c r="D30" s="12">
        <f t="shared" si="0"/>
        <v>40755.947916666664</v>
      </c>
      <c r="E30" s="11">
        <v>77</v>
      </c>
      <c r="F30" s="11">
        <v>80</v>
      </c>
      <c r="G30" s="11">
        <v>56</v>
      </c>
      <c r="H30" s="11">
        <v>63</v>
      </c>
      <c r="I30" s="11">
        <v>72</v>
      </c>
      <c r="J30" s="11"/>
      <c r="K30" s="11"/>
      <c r="L30" s="14">
        <f>[1]!vaporpressure(E30,G30/100)</f>
        <v>0.25740731320302368</v>
      </c>
      <c r="M30" s="14">
        <f>[1]!vaporpressure(F30,H30/100)</f>
        <v>0.31963309354752717</v>
      </c>
      <c r="N30" s="15"/>
    </row>
    <row r="31" spans="1:14" x14ac:dyDescent="0.2">
      <c r="B31" s="13">
        <v>40756</v>
      </c>
      <c r="C31" s="11">
        <v>800</v>
      </c>
      <c r="D31" s="12">
        <f t="shared" si="0"/>
        <v>40756.333333333336</v>
      </c>
      <c r="E31" s="11">
        <v>78</v>
      </c>
      <c r="F31" s="11">
        <v>73</v>
      </c>
      <c r="G31" s="11">
        <v>66</v>
      </c>
      <c r="H31" s="11">
        <v>65</v>
      </c>
      <c r="I31" s="11">
        <v>70</v>
      </c>
      <c r="J31" s="11">
        <v>75</v>
      </c>
      <c r="K31" s="11">
        <v>67</v>
      </c>
      <c r="L31" s="14">
        <f>[1]!vaporpressure(E31,G31/100)</f>
        <v>0.31356667576455471</v>
      </c>
      <c r="M31" s="14">
        <f>[1]!vaporpressure(F31,H31/100)</f>
        <v>0.26140992043675709</v>
      </c>
      <c r="N31" s="15">
        <f>[1]!vaporpressure(J31,K31/100)</f>
        <v>0.28815001536704082</v>
      </c>
    </row>
    <row r="32" spans="1:14" x14ac:dyDescent="0.2">
      <c r="B32" s="13">
        <v>40756</v>
      </c>
      <c r="C32" s="11">
        <v>1320</v>
      </c>
      <c r="D32" s="12">
        <f t="shared" si="0"/>
        <v>40756.555555555555</v>
      </c>
      <c r="E32" s="11">
        <v>79</v>
      </c>
      <c r="F32" s="11">
        <v>73</v>
      </c>
      <c r="G32" s="11">
        <v>67</v>
      </c>
      <c r="H32" s="11">
        <v>64</v>
      </c>
      <c r="I32" s="11">
        <v>93</v>
      </c>
      <c r="J32" s="11"/>
      <c r="K32" s="11"/>
      <c r="L32" s="14">
        <f>[1]!vaporpressure(E32,G32/100)</f>
        <v>0.32896782920317147</v>
      </c>
      <c r="M32" s="14">
        <f>[1]!vaporpressure(F32,H32/100)</f>
        <v>0.25738822935311467</v>
      </c>
      <c r="N32" s="15"/>
    </row>
    <row r="33" spans="1:14" x14ac:dyDescent="0.2">
      <c r="B33" s="13">
        <v>40756</v>
      </c>
      <c r="C33" s="11">
        <v>1750</v>
      </c>
      <c r="D33" s="12">
        <f t="shared" si="0"/>
        <v>40756.743055555555</v>
      </c>
      <c r="E33" s="11">
        <v>80</v>
      </c>
      <c r="F33" s="11">
        <v>71</v>
      </c>
      <c r="G33" s="11">
        <v>67</v>
      </c>
      <c r="H33" s="11">
        <v>67</v>
      </c>
      <c r="I33" s="11">
        <v>92</v>
      </c>
      <c r="J33" s="11"/>
      <c r="K33" s="11"/>
      <c r="L33" s="14">
        <f>[1]!vaporpressure(E33,G33/100)</f>
        <v>0.33992725821721148</v>
      </c>
      <c r="M33" s="14">
        <f>[1]!vaporpressure(F33,H33/100)</f>
        <v>0.2518252756326152</v>
      </c>
      <c r="N33" s="15"/>
    </row>
    <row r="34" spans="1:14" x14ac:dyDescent="0.2">
      <c r="B34" s="13">
        <v>40756</v>
      </c>
      <c r="C34" s="11">
        <v>2255</v>
      </c>
      <c r="D34" s="12">
        <f t="shared" si="0"/>
        <v>40756.954861111109</v>
      </c>
      <c r="E34" s="11">
        <v>81</v>
      </c>
      <c r="F34" s="11">
        <v>70</v>
      </c>
      <c r="G34" s="11">
        <v>67</v>
      </c>
      <c r="H34" s="11">
        <v>64</v>
      </c>
      <c r="I34" s="11">
        <v>73</v>
      </c>
      <c r="J34" s="11">
        <v>91</v>
      </c>
      <c r="K34" s="11">
        <v>55</v>
      </c>
      <c r="L34" s="14">
        <f>[1]!vaporpressure(E34,G34/100)</f>
        <v>0.35120347778351851</v>
      </c>
      <c r="M34" s="14">
        <f>[1]!vaporpressure(F34,H34/100)</f>
        <v>0.23249738283509622</v>
      </c>
      <c r="N34" s="15">
        <f>[1]!vaporpressure(J34,K34/100)</f>
        <v>0.39661068214508699</v>
      </c>
    </row>
    <row r="35" spans="1:14" x14ac:dyDescent="0.2">
      <c r="B35" s="13">
        <v>40757</v>
      </c>
      <c r="C35" s="11">
        <v>750</v>
      </c>
      <c r="D35" s="12">
        <f t="shared" si="0"/>
        <v>40757.326388888883</v>
      </c>
      <c r="E35" s="11">
        <v>81</v>
      </c>
      <c r="F35" s="11">
        <v>70</v>
      </c>
      <c r="G35" s="11">
        <v>69</v>
      </c>
      <c r="H35" s="11">
        <v>65</v>
      </c>
      <c r="I35" s="11">
        <v>74</v>
      </c>
      <c r="J35" s="11">
        <v>78</v>
      </c>
      <c r="K35" s="11">
        <v>65</v>
      </c>
      <c r="L35" s="14">
        <f>[1]!vaporpressure(E35,G35/100)</f>
        <v>0.36168716368750409</v>
      </c>
      <c r="M35" s="14">
        <f>[1]!vaporpressure(F35,H35/100)</f>
        <v>0.23613015444189461</v>
      </c>
      <c r="N35" s="15">
        <f>[1]!vaporpressure(J35,K35/100)</f>
        <v>0.30881566552569784</v>
      </c>
    </row>
    <row r="36" spans="1:14" x14ac:dyDescent="0.2">
      <c r="B36" s="13">
        <v>40757</v>
      </c>
      <c r="C36" s="11">
        <v>1130</v>
      </c>
      <c r="D36" s="12">
        <f t="shared" si="0"/>
        <v>40757.479166666672</v>
      </c>
      <c r="E36" s="11">
        <v>81</v>
      </c>
      <c r="F36" s="11">
        <v>78</v>
      </c>
      <c r="G36" s="11">
        <v>64</v>
      </c>
      <c r="H36" s="11">
        <v>55</v>
      </c>
      <c r="I36" s="11">
        <v>91</v>
      </c>
      <c r="J36" s="11"/>
      <c r="K36" s="11"/>
      <c r="L36" s="14">
        <f>[1]!vaporpressure(E36,G36/100)</f>
        <v>0.33547794892754007</v>
      </c>
      <c r="M36" s="14">
        <f>[1]!vaporpressure(F36,H36/100)</f>
        <v>0.26130556313712894</v>
      </c>
      <c r="N36" s="15"/>
    </row>
    <row r="37" spans="1:14" x14ac:dyDescent="0.2">
      <c r="B37" s="13">
        <v>40757</v>
      </c>
      <c r="C37" s="11">
        <v>1350</v>
      </c>
      <c r="D37" s="12">
        <f t="shared" si="0"/>
        <v>40757.576388888883</v>
      </c>
      <c r="E37" s="11">
        <v>79</v>
      </c>
      <c r="F37" s="11">
        <v>82</v>
      </c>
      <c r="G37" s="11">
        <v>58</v>
      </c>
      <c r="H37" s="11">
        <v>59</v>
      </c>
      <c r="I37" s="11">
        <v>90</v>
      </c>
      <c r="J37" s="11"/>
      <c r="K37" s="11"/>
      <c r="L37" s="14">
        <f>[1]!vaporpressure(E37,G37/100)</f>
        <v>0.28477812080274539</v>
      </c>
      <c r="M37" s="14">
        <f>[1]!vaporpressure(F37,H37/100)</f>
        <v>0.31948423786797586</v>
      </c>
      <c r="N37" s="15"/>
    </row>
    <row r="38" spans="1:14" x14ac:dyDescent="0.2">
      <c r="B38" s="13">
        <v>40757</v>
      </c>
      <c r="C38" s="11">
        <v>1700</v>
      </c>
      <c r="D38" s="12">
        <f t="shared" si="0"/>
        <v>40757.708333333336</v>
      </c>
      <c r="E38" s="11">
        <v>77</v>
      </c>
      <c r="F38" s="11">
        <v>81</v>
      </c>
      <c r="G38" s="11">
        <v>58</v>
      </c>
      <c r="H38" s="11">
        <v>63</v>
      </c>
      <c r="I38" s="11">
        <v>90</v>
      </c>
      <c r="J38" s="11">
        <v>93</v>
      </c>
      <c r="K38" s="11">
        <v>59</v>
      </c>
      <c r="L38" s="14">
        <f>[1]!vaporpressure(E38,G38/100)</f>
        <v>0.2666004315317031</v>
      </c>
      <c r="M38" s="14">
        <f>[1]!vaporpressure(F38,H38/100)</f>
        <v>0.33023610597554726</v>
      </c>
      <c r="N38" s="15">
        <f>[1]!vaporpressure(J38,K38/100)</f>
        <v>0.45276643308412279</v>
      </c>
    </row>
    <row r="39" spans="1:14" x14ac:dyDescent="0.2">
      <c r="B39" s="13">
        <v>40757</v>
      </c>
      <c r="C39" s="11">
        <v>2050</v>
      </c>
      <c r="D39" s="12">
        <f t="shared" si="0"/>
        <v>40757.868055555555</v>
      </c>
      <c r="E39" s="11">
        <v>76</v>
      </c>
      <c r="F39" s="11">
        <v>82</v>
      </c>
      <c r="G39" s="11">
        <v>57</v>
      </c>
      <c r="H39" s="11">
        <v>64</v>
      </c>
      <c r="I39" s="11">
        <v>82</v>
      </c>
      <c r="L39" s="14">
        <f>[1]!vaporpressure(E39,G39/100)</f>
        <v>0.25345087177363923</v>
      </c>
      <c r="M39" s="14">
        <f>[1]!vaporpressure(F39,H39/100)</f>
        <v>0.34655917328051622</v>
      </c>
      <c r="N39" s="15"/>
    </row>
    <row r="40" spans="1:14" x14ac:dyDescent="0.2">
      <c r="B40" s="13">
        <v>40757</v>
      </c>
      <c r="C40" s="11">
        <v>2230</v>
      </c>
      <c r="D40" s="12">
        <f t="shared" si="0"/>
        <v>40757.9375</v>
      </c>
      <c r="E40" s="11">
        <v>76</v>
      </c>
      <c r="F40" s="11">
        <v>82</v>
      </c>
      <c r="G40" s="11">
        <v>56</v>
      </c>
      <c r="H40" s="11">
        <v>64</v>
      </c>
      <c r="I40" s="11">
        <v>79</v>
      </c>
      <c r="J40" s="11">
        <v>91</v>
      </c>
      <c r="K40" s="11">
        <v>55</v>
      </c>
      <c r="L40" s="14">
        <f>[1]!vaporpressure(E40,G40/100)</f>
        <v>0.24900436525129471</v>
      </c>
      <c r="M40" s="14">
        <f>[1]!vaporpressure(F40,H40/100)</f>
        <v>0.34655917328051622</v>
      </c>
      <c r="N40" s="15">
        <f>[1]!vaporpressure(J40,K40/100)</f>
        <v>0.39661068214508699</v>
      </c>
    </row>
    <row r="41" spans="1:14" x14ac:dyDescent="0.2">
      <c r="B41" s="13">
        <v>40758</v>
      </c>
      <c r="C41" s="11">
        <v>750</v>
      </c>
      <c r="D41" s="12">
        <f t="shared" si="0"/>
        <v>40758.326388888883</v>
      </c>
      <c r="E41" s="11">
        <v>78</v>
      </c>
      <c r="F41" s="11">
        <v>74</v>
      </c>
      <c r="G41" s="11">
        <v>65</v>
      </c>
      <c r="H41" s="11">
        <v>68</v>
      </c>
      <c r="I41" s="11">
        <v>72</v>
      </c>
      <c r="J41" s="11">
        <v>78</v>
      </c>
      <c r="K41" s="11">
        <v>62</v>
      </c>
      <c r="L41" s="14">
        <f>[1]!vaporpressure(E41,G41/100)</f>
        <v>0.30881566552569784</v>
      </c>
      <c r="M41" s="14">
        <f>[1]!vaporpressure(F41,H41/100)</f>
        <v>0.28282391970748455</v>
      </c>
      <c r="N41" s="15">
        <f>[1]!vaporpressure(J41,K41/100)</f>
        <v>0.29456263480912714</v>
      </c>
    </row>
    <row r="42" spans="1:14" x14ac:dyDescent="0.2">
      <c r="A42" s="6" t="s">
        <v>13</v>
      </c>
      <c r="B42" s="13">
        <v>40758</v>
      </c>
      <c r="C42" s="11">
        <v>1045</v>
      </c>
      <c r="D42" s="12">
        <f t="shared" si="0"/>
        <v>40758.447916666664</v>
      </c>
      <c r="E42" s="11">
        <v>78</v>
      </c>
      <c r="F42" s="11">
        <v>73</v>
      </c>
      <c r="G42" s="11">
        <v>69</v>
      </c>
      <c r="H42" s="11">
        <v>68</v>
      </c>
      <c r="I42" s="11">
        <v>75</v>
      </c>
      <c r="J42" s="11"/>
      <c r="K42" s="11"/>
      <c r="L42" s="14">
        <f>[1]!vaporpressure(E42,G42/100)</f>
        <v>0.32781970648112535</v>
      </c>
      <c r="M42" s="14">
        <f>[1]!vaporpressure(F42,H42/100)</f>
        <v>0.27347499368768435</v>
      </c>
      <c r="N42" s="15"/>
    </row>
    <row r="43" spans="1:14" x14ac:dyDescent="0.2">
      <c r="A43" s="6" t="s">
        <v>12</v>
      </c>
      <c r="B43" s="13">
        <v>40758</v>
      </c>
      <c r="C43" s="11">
        <v>1235</v>
      </c>
      <c r="D43" s="12">
        <f t="shared" si="0"/>
        <v>40758.524305555555</v>
      </c>
      <c r="E43" s="11">
        <v>79</v>
      </c>
      <c r="F43" s="11">
        <v>73</v>
      </c>
      <c r="G43" s="11">
        <v>71</v>
      </c>
      <c r="H43" s="11">
        <v>67</v>
      </c>
      <c r="I43" s="11">
        <v>79</v>
      </c>
      <c r="J43" s="11"/>
      <c r="K43" s="11"/>
    </row>
    <row r="44" spans="1:14" x14ac:dyDescent="0.2">
      <c r="B44" s="6"/>
      <c r="C44" s="11"/>
      <c r="D44" s="12"/>
      <c r="E44" s="11"/>
      <c r="F44" s="11"/>
      <c r="G44" s="11"/>
      <c r="H44" s="11"/>
      <c r="I44" s="11"/>
    </row>
    <row r="45" spans="1:14" x14ac:dyDescent="0.2">
      <c r="B45" s="6"/>
      <c r="C45" s="11"/>
      <c r="D45" s="12"/>
      <c r="E45" s="11"/>
      <c r="F45" s="11"/>
      <c r="G45" s="11"/>
      <c r="H45" s="11"/>
      <c r="I45" s="11"/>
    </row>
    <row r="46" spans="1:14" x14ac:dyDescent="0.2">
      <c r="B46" s="6"/>
      <c r="C46" s="11"/>
      <c r="D46" s="12"/>
      <c r="E46" s="11"/>
      <c r="F46" s="11"/>
      <c r="G46" s="11"/>
      <c r="H46" s="11"/>
      <c r="I46" s="11"/>
    </row>
    <row r="47" spans="1:14" x14ac:dyDescent="0.2">
      <c r="B47" s="6"/>
      <c r="C47" s="11"/>
      <c r="D47" s="12"/>
      <c r="E47" s="11"/>
      <c r="F47" s="11"/>
      <c r="G47" s="11"/>
      <c r="H47" s="11"/>
      <c r="I47" s="11"/>
    </row>
    <row r="48" spans="1:14" x14ac:dyDescent="0.2">
      <c r="B48" s="6"/>
      <c r="C48" s="11"/>
      <c r="D48" s="12"/>
      <c r="E48" s="11"/>
      <c r="F48" s="11"/>
      <c r="G48" s="11"/>
      <c r="H48" s="11"/>
      <c r="I48" s="11"/>
    </row>
    <row r="49" spans="2:9" x14ac:dyDescent="0.2">
      <c r="B49" s="6"/>
      <c r="C49" s="11"/>
      <c r="D49" s="12"/>
      <c r="E49" s="11"/>
      <c r="F49" s="11"/>
      <c r="G49" s="11"/>
      <c r="H49" s="11"/>
      <c r="I49" s="11"/>
    </row>
    <row r="50" spans="2:9" x14ac:dyDescent="0.2">
      <c r="B50" s="6"/>
      <c r="C50" s="11"/>
      <c r="D50" s="12"/>
      <c r="E50" s="11"/>
      <c r="F50" s="11"/>
      <c r="G50" s="11"/>
      <c r="H50" s="11"/>
      <c r="I50" s="11"/>
    </row>
    <row r="51" spans="2:9" x14ac:dyDescent="0.2">
      <c r="B51" s="6"/>
      <c r="C51" s="11"/>
      <c r="D51" s="12"/>
      <c r="E51" s="11"/>
      <c r="F51" s="11"/>
      <c r="G51" s="11"/>
      <c r="H51" s="11"/>
      <c r="I51" s="11"/>
    </row>
    <row r="52" spans="2:9" x14ac:dyDescent="0.2">
      <c r="B52" s="6"/>
      <c r="C52" s="11"/>
      <c r="D52" s="12"/>
      <c r="E52" s="11"/>
      <c r="F52" s="11"/>
      <c r="G52" s="11"/>
      <c r="H52" s="11"/>
      <c r="I52" s="11"/>
    </row>
    <row r="53" spans="2:9" x14ac:dyDescent="0.2">
      <c r="B53" s="6"/>
      <c r="C53" s="11"/>
      <c r="D53" s="12"/>
      <c r="E53" s="11"/>
      <c r="F53" s="11"/>
      <c r="G53" s="11"/>
      <c r="H53" s="11"/>
      <c r="I53" s="11"/>
    </row>
    <row r="54" spans="2:9" x14ac:dyDescent="0.2">
      <c r="B54" s="6"/>
      <c r="C54" s="11"/>
      <c r="D54" s="12"/>
      <c r="E54" s="11"/>
      <c r="F54" s="11"/>
      <c r="G54" s="11"/>
      <c r="H54" s="11"/>
      <c r="I54" s="11"/>
    </row>
    <row r="55" spans="2:9" x14ac:dyDescent="0.2">
      <c r="B55" s="6"/>
      <c r="C55" s="11"/>
      <c r="D55" s="12"/>
      <c r="E55" s="11"/>
      <c r="F55" s="11"/>
      <c r="G55" s="11"/>
      <c r="H55" s="11"/>
      <c r="I55" s="11"/>
    </row>
    <row r="56" spans="2:9" x14ac:dyDescent="0.2">
      <c r="B56" s="6"/>
      <c r="C56" s="11"/>
      <c r="D56" s="12"/>
      <c r="E56" s="11"/>
      <c r="F56" s="11"/>
      <c r="G56" s="11"/>
      <c r="H56" s="11"/>
      <c r="I56" s="11"/>
    </row>
    <row r="57" spans="2:9" x14ac:dyDescent="0.2">
      <c r="B57" s="6"/>
      <c r="C57" s="11"/>
      <c r="D57" s="12"/>
      <c r="E57" s="11"/>
      <c r="F57" s="11"/>
      <c r="G57" s="11"/>
      <c r="H57" s="11"/>
      <c r="I57" s="11"/>
    </row>
    <row r="58" spans="2:9" x14ac:dyDescent="0.2">
      <c r="B58" s="6"/>
      <c r="C58" s="11"/>
      <c r="D58" s="12"/>
      <c r="E58" s="11"/>
      <c r="F58" s="11"/>
      <c r="G58" s="11"/>
      <c r="H58" s="11"/>
      <c r="I58" s="11"/>
    </row>
    <row r="59" spans="2:9" x14ac:dyDescent="0.2">
      <c r="B59" s="6"/>
      <c r="C59" s="11"/>
      <c r="D59" s="12"/>
      <c r="E59" s="11"/>
      <c r="F59" s="11"/>
      <c r="G59" s="11"/>
      <c r="H59" s="11"/>
      <c r="I59" s="11"/>
    </row>
    <row r="60" spans="2:9" x14ac:dyDescent="0.2">
      <c r="B60" s="6"/>
      <c r="C60" s="11"/>
      <c r="D60" s="12"/>
      <c r="E60" s="11"/>
      <c r="F60" s="11"/>
      <c r="G60" s="11"/>
      <c r="H60" s="11"/>
      <c r="I60" s="11"/>
    </row>
    <row r="61" spans="2:9" x14ac:dyDescent="0.2">
      <c r="B61" s="6"/>
      <c r="C61" s="11"/>
      <c r="D61" s="12"/>
      <c r="E61" s="11"/>
      <c r="F61" s="11"/>
      <c r="G61" s="11"/>
      <c r="H61" s="11"/>
      <c r="I61" s="11"/>
    </row>
    <row r="62" spans="2:9" x14ac:dyDescent="0.2">
      <c r="B62" s="6"/>
      <c r="C62" s="11"/>
      <c r="D62" s="12"/>
      <c r="E62" s="11"/>
      <c r="F62" s="11"/>
      <c r="G62" s="11"/>
      <c r="H62" s="11"/>
      <c r="I62" s="11"/>
    </row>
    <row r="63" spans="2:9" x14ac:dyDescent="0.2">
      <c r="B63" s="6"/>
      <c r="C63" s="11"/>
      <c r="D63" s="12"/>
      <c r="E63" s="11"/>
      <c r="F63" s="11"/>
      <c r="G63" s="11"/>
      <c r="H63" s="11"/>
      <c r="I63" s="11"/>
    </row>
    <row r="64" spans="2:9" x14ac:dyDescent="0.2">
      <c r="B64" s="6"/>
      <c r="C64" s="11"/>
      <c r="D64" s="12"/>
      <c r="E64" s="11"/>
      <c r="F64" s="11"/>
      <c r="G64" s="11"/>
      <c r="H64" s="11"/>
      <c r="I64" s="11"/>
    </row>
    <row r="65" spans="2:9" x14ac:dyDescent="0.2">
      <c r="B65" s="6"/>
      <c r="C65" s="11"/>
      <c r="D65" s="12"/>
      <c r="E65" s="11"/>
      <c r="F65" s="11"/>
      <c r="G65" s="11"/>
      <c r="H65" s="11"/>
      <c r="I65" s="11"/>
    </row>
    <row r="66" spans="2:9" x14ac:dyDescent="0.2">
      <c r="B66" s="6"/>
      <c r="C66" s="11"/>
      <c r="D66" s="12"/>
      <c r="E66" s="11"/>
      <c r="F66" s="11"/>
      <c r="G66" s="11"/>
      <c r="H66" s="11"/>
      <c r="I66" s="11"/>
    </row>
    <row r="67" spans="2:9" x14ac:dyDescent="0.2">
      <c r="B67" s="6"/>
      <c r="C67" s="11"/>
      <c r="D67" s="12"/>
      <c r="E67" s="11"/>
      <c r="F67" s="11"/>
      <c r="G67" s="11"/>
      <c r="H67" s="11"/>
      <c r="I67" s="11"/>
    </row>
    <row r="68" spans="2:9" x14ac:dyDescent="0.2">
      <c r="B68" s="6"/>
      <c r="C68" s="11"/>
      <c r="D68" s="12"/>
      <c r="E68" s="11"/>
      <c r="F68" s="11"/>
      <c r="G68" s="11"/>
      <c r="H68" s="11"/>
      <c r="I68" s="11"/>
    </row>
  </sheetData>
  <mergeCells count="4">
    <mergeCell ref="B1:H1"/>
    <mergeCell ref="E2:F2"/>
    <mergeCell ref="G2:H2"/>
    <mergeCell ref="L2:M2"/>
  </mergeCells>
  <pageMargins left="0.75" right="0.75" top="1" bottom="1" header="0.5" footer="0.5"/>
  <pageSetup orientation="portrait" horizontalDpi="4294967292" verticalDpi="429496729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 Lutz</dc:creator>
  <cp:lastModifiedBy>lwigington</cp:lastModifiedBy>
  <dcterms:created xsi:type="dcterms:W3CDTF">2011-08-05T19:13:37Z</dcterms:created>
  <dcterms:modified xsi:type="dcterms:W3CDTF">2011-08-10T23:05:06Z</dcterms:modified>
</cp:coreProperties>
</file>