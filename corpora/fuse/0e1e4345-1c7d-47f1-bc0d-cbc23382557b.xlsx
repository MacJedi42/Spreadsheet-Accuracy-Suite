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788" yWindow="492" windowWidth="7716" windowHeight="7896"/>
  </bookViews>
  <sheets>
    <sheet name="MainEntry" sheetId="4" r:id="rId1"/>
    <sheet name="Calcs" sheetId="6" r:id="rId2"/>
    <sheet name="StoredResults" sheetId="8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Ac">[1]Elements!$C$5</definedName>
    <definedName name="Ag">[1]Elements!$C$6</definedName>
    <definedName name="Al">[1]Elements!$C$7</definedName>
    <definedName name="Am">[1]Elements!$C$8</definedName>
    <definedName name="Ar">[1]Elements!$C$9</definedName>
    <definedName name="As">[1]Elements!$C$10</definedName>
    <definedName name="At">[1]Elements!$C$11</definedName>
    <definedName name="Au">[1]Elements!$C$12</definedName>
    <definedName name="B">[1]Elements!$C$13</definedName>
    <definedName name="Ba">[1]Elements!$C$14</definedName>
    <definedName name="Be">[1]Elements!$C$15</definedName>
    <definedName name="Bi">[1]Elements!$C$16</definedName>
    <definedName name="Br">[1]Elements!$C$17</definedName>
    <definedName name="C_">[1]Elements!$C$18</definedName>
    <definedName name="Ca">[1]Elements!$C$19</definedName>
    <definedName name="Cd">[1]Elements!$C$20</definedName>
    <definedName name="Ce">[1]Elements!$C$21</definedName>
    <definedName name="Cl">[1]Elements!$C$22</definedName>
    <definedName name="CO">[1]Elements!$C$23</definedName>
    <definedName name="Cr">[1]Elements!$C$24</definedName>
    <definedName name="Cs">[1]Elements!$C$25</definedName>
    <definedName name="Cu">[1]Elements!$C$26</definedName>
    <definedName name="Dy">[1]Elements!$C$27</definedName>
    <definedName name="Er">[1]Elements!$C$28</definedName>
    <definedName name="Eu">[1]Elements!$C$29</definedName>
    <definedName name="ex">#REF!</definedName>
    <definedName name="F">[1]Elements!$C$30</definedName>
    <definedName name="Fe">[1]Elements!$C$31</definedName>
    <definedName name="Fr">[1]Elements!$C$32</definedName>
    <definedName name="Ga">[1]Elements!$C$33</definedName>
    <definedName name="Gd">[1]Elements!$C$34</definedName>
    <definedName name="Ge">[1]Elements!$C$35</definedName>
    <definedName name="H">[1]Elements!$C$36</definedName>
    <definedName name="He">[1]Elements!$C$37</definedName>
    <definedName name="Hf">[1]Elements!$C$38</definedName>
    <definedName name="Hg">[1]Elements!$C$39</definedName>
    <definedName name="Ho">[1]Elements!$C$40</definedName>
    <definedName name="HX">#REF!</definedName>
    <definedName name="I">[1]Elements!$C$41</definedName>
    <definedName name="In">[1]Elements!$C$42</definedName>
    <definedName name="Ir">[1]Elements!$C$43</definedName>
    <definedName name="K">[1]Elements!$C$44</definedName>
    <definedName name="Kr">[1]Elements!$C$45</definedName>
    <definedName name="Krx">'[2]SO2+O2'!$C$4</definedName>
    <definedName name="La">[1]Elements!$C$46</definedName>
    <definedName name="Li">[1]Elements!$C$47</definedName>
    <definedName name="Lu">[1]Elements!$C$48</definedName>
    <definedName name="Mg">[1]Elements!$C$49</definedName>
    <definedName name="Mn">[1]Elements!$C$50</definedName>
    <definedName name="Mo">[1]Elements!$C$51</definedName>
    <definedName name="MolsSO3">'[2]SO2+O2'!$C$6:$I$6</definedName>
    <definedName name="N">[1]Elements!$C$52</definedName>
    <definedName name="Na">[1]Elements!$C$53</definedName>
    <definedName name="Nb">[1]Elements!$C$54</definedName>
    <definedName name="Nd">[1]Elements!$C$55</definedName>
    <definedName name="Ne">[1]Elements!$C$56</definedName>
    <definedName name="NGEqns">#REF!</definedName>
    <definedName name="NGRfrm">#REF!</definedName>
    <definedName name="Ni">[1]Elements!$C$57</definedName>
    <definedName name="Np">[1]Elements!$C$58</definedName>
    <definedName name="O">[1]Elements!$C$59</definedName>
    <definedName name="Os">[1]Elements!$C$60</definedName>
    <definedName name="P">[1]Elements!$C$61</definedName>
    <definedName name="Pa">[1]Elements!$C$62</definedName>
    <definedName name="Pb">[1]Elements!$C$63</definedName>
    <definedName name="PbCond" localSheetId="2">[3]ZnCond!$A$39</definedName>
    <definedName name="PbCond">[4]ZnCond!$A$39</definedName>
    <definedName name="PbCond2" localSheetId="2">[3]ZnCond!#REF!</definedName>
    <definedName name="PbCond2">[5]ZnCond!#REF!</definedName>
    <definedName name="Pd">[1]Elements!$C$64</definedName>
    <definedName name="Pm">[1]Elements!$C$65</definedName>
    <definedName name="Po">[1]Elements!$C$66</definedName>
    <definedName name="Pr">[1]Elements!$C$67</definedName>
    <definedName name="PressUnit">'[6]Title and Units panel'!$N$37</definedName>
    <definedName name="Pressure">'[2]SO2+O2'!$C$5:$I$5</definedName>
    <definedName name="Pt">[1]Elements!$C$68</definedName>
    <definedName name="Pu">[1]Elements!$C$69</definedName>
    <definedName name="QtyUnit">'[6]Title and Units panel'!$K$37</definedName>
    <definedName name="Ra">[1]Elements!$C$70</definedName>
    <definedName name="Rb">[1]Elements!$C$71</definedName>
    <definedName name="Re">[1]Elements!$C$72</definedName>
    <definedName name="Rh">[1]Elements!$C$73</definedName>
    <definedName name="Rn">[1]Elements!$C$74</definedName>
    <definedName name="Ru">[1]Elements!$C$75</definedName>
    <definedName name="S">[1]Elements!$C$76</definedName>
    <definedName name="Sb">[1]Elements!$C$77</definedName>
    <definedName name="Sc">[1]Elements!$C$78</definedName>
    <definedName name="Se">[1]Elements!$C$79</definedName>
    <definedName name="Si">[1]Elements!$C$80</definedName>
    <definedName name="Sm">[1]Elements!$C$81</definedName>
    <definedName name="Sn">[1]Elements!$C$82</definedName>
    <definedName name="solver_adj" localSheetId="0" hidden="1">MainEntry!$Y$55:$Y$59</definedName>
    <definedName name="solver_adj" localSheetId="2" hidden="1">StoredResults!$E$6:$H$6</definedName>
    <definedName name="solver_cvg" localSheetId="0" hidden="1">0.0001</definedName>
    <definedName name="solver_cvg" localSheetId="2" hidden="1">0.0001</definedName>
    <definedName name="solver_drv" localSheetId="0" hidden="1">2</definedName>
    <definedName name="solver_drv" localSheetId="2" hidden="1">1</definedName>
    <definedName name="solver_eng" localSheetId="0" hidden="1">1</definedName>
    <definedName name="solver_eng" localSheetId="2" hidden="1">1</definedName>
    <definedName name="solver_est" localSheetId="0" hidden="1">1</definedName>
    <definedName name="solver_est" localSheetId="2" hidden="1">1</definedName>
    <definedName name="solver_itr" localSheetId="0" hidden="1">2147483647</definedName>
    <definedName name="solver_itr" localSheetId="2" hidden="1">2147483647</definedName>
    <definedName name="solver_lhs1" localSheetId="0" hidden="1">MainEntry!$Y$64:$Y$67</definedName>
    <definedName name="solver_lhs1" localSheetId="2" hidden="1">StoredResults!$E$10:$E$12</definedName>
    <definedName name="solver_lhs2" localSheetId="0" hidden="1">MainEntry!$Y$67</definedName>
    <definedName name="solver_mip" localSheetId="0" hidden="1">2147483647</definedName>
    <definedName name="solver_mip" localSheetId="2" hidden="1">2147483647</definedName>
    <definedName name="solver_mni" localSheetId="0" hidden="1">30</definedName>
    <definedName name="solver_mni" localSheetId="2" hidden="1">30</definedName>
    <definedName name="solver_mrt" localSheetId="0" hidden="1">0.075</definedName>
    <definedName name="solver_mrt" localSheetId="2" hidden="1">0.075</definedName>
    <definedName name="solver_msl" localSheetId="0" hidden="1">2</definedName>
    <definedName name="solver_msl" localSheetId="2" hidden="1">2</definedName>
    <definedName name="solver_neg" localSheetId="0" hidden="1">1</definedName>
    <definedName name="solver_neg" localSheetId="2" hidden="1">1</definedName>
    <definedName name="solver_nod" localSheetId="0" hidden="1">2147483647</definedName>
    <definedName name="solver_nod" localSheetId="2" hidden="1">2147483647</definedName>
    <definedName name="solver_num" localSheetId="0" hidden="1">1</definedName>
    <definedName name="solver_num" localSheetId="2" hidden="1">1</definedName>
    <definedName name="solver_nwt" localSheetId="0" hidden="1">1</definedName>
    <definedName name="solver_nwt" localSheetId="2" hidden="1">1</definedName>
    <definedName name="solver_opt" localSheetId="0" hidden="1">MainEntry!$Y$63</definedName>
    <definedName name="solver_opt" localSheetId="2" hidden="1">StoredResults!$E$9</definedName>
    <definedName name="solver_pre" localSheetId="0" hidden="1">0.000001</definedName>
    <definedName name="solver_pre" localSheetId="2" hidden="1">0.000001</definedName>
    <definedName name="solver_rbv" localSheetId="0" hidden="1">2</definedName>
    <definedName name="solver_rbv" localSheetId="2" hidden="1">1</definedName>
    <definedName name="solver_rel1" localSheetId="0" hidden="1">2</definedName>
    <definedName name="solver_rel1" localSheetId="2" hidden="1">2</definedName>
    <definedName name="solver_rel2" localSheetId="0" hidden="1">2</definedName>
    <definedName name="solver_rhs1" localSheetId="0" hidden="1">0</definedName>
    <definedName name="solver_rhs1" localSheetId="2" hidden="1">0</definedName>
    <definedName name="solver_rhs2" localSheetId="0" hidden="1">0</definedName>
    <definedName name="solver_rlx" localSheetId="0" hidden="1">2</definedName>
    <definedName name="solver_rlx" localSheetId="2" hidden="1">2</definedName>
    <definedName name="solver_rsd" localSheetId="0" hidden="1">0</definedName>
    <definedName name="solver_rsd" localSheetId="2" hidden="1">0</definedName>
    <definedName name="solver_scl" localSheetId="0" hidden="1">2</definedName>
    <definedName name="solver_scl" localSheetId="2" hidden="1">1</definedName>
    <definedName name="solver_sho" localSheetId="0" hidden="1">2</definedName>
    <definedName name="solver_sho" localSheetId="2" hidden="1">2</definedName>
    <definedName name="solver_ssz" localSheetId="0" hidden="1">100</definedName>
    <definedName name="solver_ssz" localSheetId="2" hidden="1">100</definedName>
    <definedName name="solver_tim" localSheetId="0" hidden="1">2147483647</definedName>
    <definedName name="solver_tim" localSheetId="2" hidden="1">2147483647</definedName>
    <definedName name="solver_tol" localSheetId="0" hidden="1">0.01</definedName>
    <definedName name="solver_tol" localSheetId="2" hidden="1">0.01</definedName>
    <definedName name="solver_typ" localSheetId="0" hidden="1">3</definedName>
    <definedName name="solver_typ" localSheetId="2" hidden="1">3</definedName>
    <definedName name="solver_val" localSheetId="0" hidden="1">0</definedName>
    <definedName name="solver_val" localSheetId="2" hidden="1">0</definedName>
    <definedName name="solver_ver" localSheetId="0" hidden="1">3</definedName>
    <definedName name="solver_ver" localSheetId="2" hidden="1">3</definedName>
    <definedName name="Sr">[1]Elements!$C$83</definedName>
    <definedName name="Ta">[1]Elements!$C$84</definedName>
    <definedName name="Tb">[1]Elements!$C$85</definedName>
    <definedName name="Tc">[1]Elements!$C$86</definedName>
    <definedName name="Te">[1]Elements!$C$87</definedName>
    <definedName name="Th">[1]Elements!$C$88</definedName>
    <definedName name="Ti">[1]Elements!$C$89</definedName>
    <definedName name="Tl">[1]Elements!$C$90</definedName>
    <definedName name="Tm">[1]Elements!$C$91</definedName>
    <definedName name="U">[1]Elements!$C$92</definedName>
    <definedName name="V">[1]Elements!$C$93</definedName>
    <definedName name="W">[1]Elements!$C$94</definedName>
    <definedName name="x">#REF!</definedName>
    <definedName name="Xe" localSheetId="2">[1]Elements!$C$95</definedName>
    <definedName name="xe">#REF!</definedName>
    <definedName name="xx">#REF!</definedName>
    <definedName name="Y">[1]Elements!$C$96</definedName>
    <definedName name="Yb">[1]Elements!$C$97</definedName>
    <definedName name="Zn">[1]Elements!$C$98</definedName>
    <definedName name="ZnCond" localSheetId="2">[3]ZnCond!$A$1</definedName>
    <definedName name="ZnCond">[4]ZnCond!$A$1</definedName>
    <definedName name="ZnPbFinal" localSheetId="2">[3]ZnCond!#REF!</definedName>
    <definedName name="ZnPbFinal">[5]ZnCond!#REF!</definedName>
    <definedName name="Zr">[1]Elements!$C$99</definedName>
  </definedNames>
  <calcPr calcId="145621"/>
</workbook>
</file>

<file path=xl/calcChain.xml><?xml version="1.0" encoding="utf-8"?>
<calcChain xmlns="http://schemas.openxmlformats.org/spreadsheetml/2006/main">
  <c r="L52" i="8" l="1"/>
  <c r="J18" i="8" l="1"/>
  <c r="E30" i="4" l="1"/>
  <c r="S22" i="6" l="1"/>
  <c r="L9" i="6"/>
  <c r="AA6" i="6" l="1"/>
  <c r="AA21" i="6" s="1"/>
  <c r="AA22" i="6" s="1"/>
  <c r="W6" i="6"/>
  <c r="W7" i="6" s="1"/>
  <c r="S7" i="6"/>
  <c r="S6" i="6"/>
  <c r="AD20" i="6" l="1"/>
  <c r="U35" i="4" s="1"/>
  <c r="L6" i="6"/>
  <c r="O18" i="6" s="1"/>
  <c r="P35" i="4" s="1"/>
  <c r="C37" i="4"/>
  <c r="C36" i="4"/>
  <c r="L12" i="6" s="1"/>
  <c r="C35" i="4"/>
  <c r="L11" i="6" s="1"/>
  <c r="L15" i="6" l="1"/>
  <c r="C38" i="4"/>
  <c r="E82" i="6" l="1"/>
  <c r="E83" i="6"/>
  <c r="E84" i="6"/>
  <c r="E85" i="6"/>
  <c r="E86" i="6"/>
  <c r="E87" i="6"/>
  <c r="E88" i="6"/>
  <c r="E89" i="6"/>
  <c r="E90" i="6"/>
  <c r="G23" i="6" l="1"/>
  <c r="G22" i="6" l="1"/>
  <c r="L16" i="6" l="1"/>
  <c r="F16" i="6"/>
  <c r="G16" i="6" s="1"/>
  <c r="F15" i="6"/>
  <c r="F14" i="6"/>
  <c r="F13" i="6"/>
  <c r="F12" i="6"/>
  <c r="F11" i="6"/>
  <c r="F10" i="6"/>
  <c r="F9" i="6"/>
  <c r="F8" i="6"/>
  <c r="L7" i="6"/>
  <c r="Q40" i="6" s="1"/>
  <c r="F17" i="6"/>
  <c r="D35" i="4"/>
  <c r="Q39" i="6" l="1"/>
  <c r="S8" i="6" s="1"/>
  <c r="S13" i="6"/>
  <c r="L8" i="6"/>
  <c r="D37" i="4"/>
  <c r="D36" i="4"/>
  <c r="G25" i="6"/>
  <c r="G24" i="6"/>
  <c r="E19" i="6"/>
  <c r="H16" i="6" s="1"/>
  <c r="G9" i="6"/>
  <c r="D38" i="4"/>
  <c r="G10" i="6"/>
  <c r="C39" i="4"/>
  <c r="G12" i="6"/>
  <c r="G14" i="6"/>
  <c r="G8" i="6"/>
  <c r="G11" i="6"/>
  <c r="G13" i="6"/>
  <c r="G15" i="6"/>
  <c r="G17" i="6"/>
  <c r="L10" i="6" l="1"/>
  <c r="S9" i="6" s="1"/>
  <c r="J22" i="4"/>
  <c r="D39" i="4"/>
  <c r="H10" i="6"/>
  <c r="H17" i="6"/>
  <c r="H14" i="6"/>
  <c r="H12" i="6"/>
  <c r="H9" i="6"/>
  <c r="H15" i="6"/>
  <c r="H13" i="6"/>
  <c r="H11" i="6"/>
  <c r="H8" i="6"/>
  <c r="L14" i="6" l="1"/>
  <c r="AA11" i="6" s="1"/>
  <c r="AD11" i="6" s="1"/>
  <c r="J25" i="4"/>
  <c r="L13" i="6"/>
  <c r="L17" i="6" s="1"/>
  <c r="S20" i="6" l="1"/>
  <c r="W13" i="6" s="1"/>
  <c r="L18" i="6"/>
  <c r="O6" i="6" s="1"/>
  <c r="S19" i="6" l="1"/>
  <c r="W12" i="6" s="1"/>
  <c r="AA7" i="6"/>
  <c r="O7" i="6"/>
  <c r="O8" i="6"/>
  <c r="AA9" i="6" s="1"/>
  <c r="S17" i="6" l="1"/>
  <c r="W10" i="6" s="1"/>
  <c r="S11" i="6"/>
  <c r="O9" i="6"/>
  <c r="S16" i="6" s="1"/>
  <c r="S12" i="6"/>
  <c r="S18" i="6"/>
  <c r="W11" i="6" s="1"/>
  <c r="O10" i="6" l="1"/>
  <c r="W9" i="6"/>
  <c r="AA10" i="6"/>
  <c r="S21" i="6"/>
  <c r="S10" i="6"/>
  <c r="S14" i="6" s="1"/>
  <c r="W8" i="6" l="1"/>
  <c r="W14" i="6" s="1"/>
  <c r="W15" i="6" s="1"/>
  <c r="O22" i="6"/>
  <c r="P31" i="4" s="1"/>
  <c r="S23" i="6"/>
  <c r="T23" i="6" s="1"/>
  <c r="O14" i="6"/>
  <c r="P27" i="4" s="1"/>
  <c r="O13" i="6"/>
  <c r="P26" i="4" s="1"/>
  <c r="O12" i="6"/>
  <c r="O11" i="6"/>
  <c r="P24" i="4" s="1"/>
  <c r="O15" i="6"/>
  <c r="P28" i="4" s="1"/>
  <c r="AA18" i="6"/>
  <c r="AA8" i="6" l="1"/>
  <c r="AA20" i="6" s="1"/>
  <c r="O16" i="6"/>
  <c r="P29" i="4" s="1"/>
  <c r="L17" i="4" s="1"/>
  <c r="P25" i="4"/>
  <c r="N21" i="4"/>
  <c r="O21" i="4" s="1"/>
  <c r="O17" i="6"/>
  <c r="O20" i="6"/>
  <c r="O19" i="6"/>
  <c r="AA19" i="6" l="1"/>
  <c r="AA12" i="6"/>
  <c r="AA17" i="6" s="1"/>
  <c r="P17" i="6"/>
  <c r="P34" i="4"/>
  <c r="Q35" i="4" s="1"/>
  <c r="AA24" i="6"/>
  <c r="AA23" i="6"/>
  <c r="AA16" i="6" l="1"/>
  <c r="AA15" i="6"/>
  <c r="AA14" i="6"/>
  <c r="AA13" i="6"/>
  <c r="AD7" i="6"/>
  <c r="AD9" i="6" s="1"/>
  <c r="AD10" i="6" s="1"/>
  <c r="AD8" i="6" l="1"/>
  <c r="AD12" i="6" s="1"/>
  <c r="AD14" i="6" l="1"/>
  <c r="U25" i="4" s="1"/>
  <c r="AD25" i="6"/>
  <c r="U31" i="4" s="1"/>
  <c r="AD16" i="6"/>
  <c r="U27" i="4" s="1"/>
  <c r="AD17" i="6"/>
  <c r="U28" i="4" s="1"/>
  <c r="AD15" i="6"/>
  <c r="AD13" i="6"/>
  <c r="U24" i="4" s="1"/>
  <c r="AD21" i="6" l="1"/>
  <c r="AD23" i="6" s="1"/>
  <c r="U36" i="4" s="1"/>
  <c r="U26" i="4"/>
  <c r="AD19" i="6"/>
  <c r="AD22" i="6"/>
  <c r="AE19" i="6" l="1"/>
  <c r="U34" i="4"/>
  <c r="V34" i="4" s="1"/>
</calcChain>
</file>

<file path=xl/comments1.xml><?xml version="1.0" encoding="utf-8"?>
<comments xmlns="http://schemas.openxmlformats.org/spreadsheetml/2006/main">
  <authors>
    <author>thermart</author>
    <author>Art Morris</author>
    <author>Owner</author>
  </authors>
  <commentList>
    <comment ref="O9" authorId="0">
      <text>
        <r>
          <rPr>
            <sz val="10"/>
            <color indexed="81"/>
            <rFont val="Arial"/>
            <family val="2"/>
          </rPr>
          <t>The stack gas must be burned before venting to the atmosphere.</t>
        </r>
      </text>
    </comment>
    <comment ref="H15" authorId="0">
      <text>
        <r>
          <rPr>
            <sz val="10"/>
            <color indexed="81"/>
            <rFont val="Arial"/>
            <family val="2"/>
          </rPr>
          <t>This value depends on the extent of water-jacket cooling.</t>
        </r>
      </text>
    </comment>
    <comment ref="L15" authorId="0">
      <text>
        <r>
          <rPr>
            <sz val="10"/>
            <color indexed="81"/>
            <rFont val="Arial"/>
            <family val="2"/>
          </rPr>
          <t xml:space="preserve">   A dew point below about 5°C is not easily attainable by water quenching.
   The set dpt value cannot exceed the value in cell P29.</t>
        </r>
      </text>
    </comment>
    <comment ref="I20" authorId="0">
      <text>
        <r>
          <rPr>
            <sz val="10"/>
            <color indexed="81"/>
            <rFont val="Tahoma"/>
            <family val="2"/>
          </rPr>
          <t>The non-oxygen content is assumed to be entirely N2.  Oxygen enrichment has a significant effect on the process outputs.</t>
        </r>
      </text>
    </comment>
    <comment ref="L20" authorId="0">
      <text>
        <r>
          <rPr>
            <sz val="10"/>
            <color indexed="81"/>
            <rFont val="Arial"/>
            <family val="2"/>
          </rPr>
          <t xml:space="preserve">   A positive number means that there is a deficiency in the burner heat.  Another way to provide more heat to the burner is to heat the oxidant (cell J21), or increase the % O</t>
        </r>
        <r>
          <rPr>
            <sz val="8"/>
            <color indexed="81"/>
            <rFont val="Arial"/>
            <family val="2"/>
          </rPr>
          <t>2</t>
        </r>
        <r>
          <rPr>
            <sz val="10"/>
            <color indexed="81"/>
            <rFont val="Arial"/>
            <family val="2"/>
          </rPr>
          <t xml:space="preserve"> in the oxidant.
   A negative number means that more heat must be extracted from the burner device, or some other process change must be made.
   A heat value that is ±500 J of zero does not require any change.  Then, ignore the comment.</t>
        </r>
      </text>
    </comment>
    <comment ref="D25" authorId="1">
      <text>
        <r>
          <rPr>
            <sz val="10"/>
            <color indexed="81"/>
            <rFont val="Arial"/>
            <family val="2"/>
          </rPr>
          <t>C</t>
        </r>
        <r>
          <rPr>
            <sz val="8"/>
            <color indexed="81"/>
            <rFont val="Arial"/>
            <family val="2"/>
          </rPr>
          <t>4</t>
        </r>
        <r>
          <rPr>
            <sz val="10"/>
            <color indexed="81"/>
            <rFont val="Arial"/>
            <family val="2"/>
          </rPr>
          <t>H</t>
        </r>
        <r>
          <rPr>
            <sz val="8"/>
            <color indexed="81"/>
            <rFont val="Arial"/>
            <family val="2"/>
          </rPr>
          <t>10</t>
        </r>
        <r>
          <rPr>
            <sz val="10"/>
            <color indexed="81"/>
            <rFont val="Arial"/>
            <family val="2"/>
          </rPr>
          <t xml:space="preserve"> + higher hydrocarbons</t>
        </r>
      </text>
    </comment>
    <comment ref="E30" authorId="2">
      <text>
        <r>
          <rPr>
            <b/>
            <sz val="9"/>
            <color indexed="81"/>
            <rFont val="Tahoma"/>
            <family val="2"/>
          </rPr>
          <t>Value in this cell must be non-negative.</t>
        </r>
      </text>
    </comment>
    <comment ref="O34" authorId="0">
      <text>
        <r>
          <rPr>
            <sz val="10"/>
            <color indexed="81"/>
            <rFont val="Arial"/>
            <family val="2"/>
          </rPr>
          <t>The value in cell P31 must be a more negative value than that in P32 to prevent iron from oxidizing.</t>
        </r>
      </text>
    </comment>
    <comment ref="T36" authorId="0">
      <text>
        <r>
          <rPr>
            <sz val="10"/>
            <color indexed="81"/>
            <rFont val="Arial"/>
            <family val="2"/>
          </rPr>
          <t>Valid only above 912°C, and only when Fe does not oxidize!</t>
        </r>
      </text>
    </comment>
  </commentList>
</comments>
</file>

<file path=xl/comments2.xml><?xml version="1.0" encoding="utf-8"?>
<comments xmlns="http://schemas.openxmlformats.org/spreadsheetml/2006/main">
  <authors>
    <author>thermart</author>
    <author>Art Morris</author>
    <author>Owner</author>
  </authors>
  <commentList>
    <comment ref="N6" authorId="0">
      <text>
        <r>
          <rPr>
            <sz val="10"/>
            <color indexed="81"/>
            <rFont val="Arial"/>
            <family val="2"/>
          </rPr>
          <t>Solution by the quadratic formula.</t>
        </r>
      </text>
    </comment>
    <comment ref="C12" authorId="1">
      <text>
        <r>
          <rPr>
            <sz val="10"/>
            <color indexed="81"/>
            <rFont val="Arial"/>
            <family val="2"/>
          </rPr>
          <t>C</t>
        </r>
        <r>
          <rPr>
            <sz val="8"/>
            <color indexed="81"/>
            <rFont val="Arial"/>
            <family val="2"/>
          </rPr>
          <t>4</t>
        </r>
        <r>
          <rPr>
            <sz val="10"/>
            <color indexed="81"/>
            <rFont val="Arial"/>
            <family val="2"/>
          </rPr>
          <t>H</t>
        </r>
        <r>
          <rPr>
            <sz val="8"/>
            <color indexed="81"/>
            <rFont val="Arial"/>
            <family val="2"/>
          </rPr>
          <t>10</t>
        </r>
        <r>
          <rPr>
            <sz val="10"/>
            <color indexed="81"/>
            <rFont val="Arial"/>
            <family val="2"/>
          </rPr>
          <t xml:space="preserve"> + higher hydrocarbons</t>
        </r>
      </text>
    </comment>
    <comment ref="B17" authorId="0">
      <text>
        <r>
          <rPr>
            <sz val="10"/>
            <color indexed="81"/>
            <rFont val="Tahoma"/>
            <family val="2"/>
          </rPr>
          <t>All other inerts are included in this entry.</t>
        </r>
      </text>
    </comment>
    <comment ref="F17" authorId="2">
      <text>
        <r>
          <rPr>
            <sz val="10"/>
            <color indexed="81"/>
            <rFont val="Tahoma"/>
            <family val="2"/>
          </rPr>
          <t>Value in this cell must be non-negative.</t>
        </r>
      </text>
    </comment>
    <comment ref="N18" authorId="0">
      <text>
        <r>
          <rPr>
            <sz val="10"/>
            <color indexed="81"/>
            <rFont val="Arial"/>
            <family val="2"/>
          </rPr>
          <t xml:space="preserve">  Check to see if Fe tends to oxidize in burner gas.</t>
        </r>
      </text>
    </comment>
    <comment ref="N19" authorId="0">
      <text>
        <r>
          <rPr>
            <sz val="10"/>
            <color indexed="81"/>
            <rFont val="Arial"/>
            <family val="2"/>
          </rPr>
          <t>Calculation based on total pressure = 1 atm.</t>
        </r>
      </text>
    </comment>
    <comment ref="N20" authorId="0">
      <text>
        <r>
          <rPr>
            <sz val="10"/>
            <color indexed="81"/>
            <rFont val="Arial"/>
            <family val="2"/>
          </rPr>
          <t>Calculation based on total pressure = 1 atm.</t>
        </r>
      </text>
    </comment>
    <comment ref="AC20" authorId="0">
      <text>
        <r>
          <rPr>
            <sz val="10"/>
            <color indexed="81"/>
            <rFont val="Arial"/>
            <family val="2"/>
          </rPr>
          <t xml:space="preserve">  Check to see if Fe tends to oxidize in exogas.</t>
        </r>
      </text>
    </comment>
    <comment ref="AC21" authorId="0">
      <text>
        <r>
          <rPr>
            <sz val="10"/>
            <color indexed="81"/>
            <rFont val="Arial"/>
            <family val="2"/>
          </rPr>
          <t>Calculation based on total pressure = 1 atm.</t>
        </r>
      </text>
    </comment>
    <comment ref="F22" authorId="2">
      <text>
        <r>
          <rPr>
            <sz val="10"/>
            <color indexed="81"/>
            <rFont val="Arial"/>
            <family val="2"/>
          </rPr>
          <t xml:space="preserve">Does </t>
        </r>
        <r>
          <rPr>
            <u/>
            <sz val="10"/>
            <color indexed="81"/>
            <rFont val="Arial"/>
            <family val="2"/>
          </rPr>
          <t>not</t>
        </r>
        <r>
          <rPr>
            <sz val="10"/>
            <color indexed="81"/>
            <rFont val="Arial"/>
            <family val="2"/>
          </rPr>
          <t xml:space="preserve"> include CO2 present in the natural gas.</t>
        </r>
      </text>
    </comment>
    <comment ref="AC22" authorId="0">
      <text>
        <r>
          <rPr>
            <sz val="10"/>
            <color indexed="81"/>
            <rFont val="Arial"/>
            <family val="2"/>
          </rPr>
          <t>Calculation based on total pressure = 1 atm.</t>
        </r>
      </text>
    </comment>
    <comment ref="F23" authorId="2">
      <text>
        <r>
          <rPr>
            <u/>
            <sz val="10"/>
            <color indexed="81"/>
            <rFont val="Arial"/>
            <family val="2"/>
          </rPr>
          <t>Does</t>
        </r>
        <r>
          <rPr>
            <sz val="10"/>
            <color indexed="81"/>
            <rFont val="Arial"/>
            <family val="2"/>
          </rPr>
          <t xml:space="preserve"> include the CO2 present in the natural gas.</t>
        </r>
      </text>
    </comment>
    <comment ref="R23" authorId="0">
      <text>
        <r>
          <rPr>
            <sz val="10"/>
            <color indexed="81"/>
            <rFont val="Arial"/>
            <family val="2"/>
          </rPr>
          <t xml:space="preserve">  To close the heat balance, the value in S23 must be zero (±1000).  The IF function in cell S23 suggests two corrective actions that will bring the value in S23 to zero.  Other actions are also possible.  </t>
        </r>
      </text>
    </comment>
    <comment ref="AC23" authorId="0">
      <text>
        <r>
          <rPr>
            <sz val="10"/>
            <color indexed="81"/>
            <rFont val="Arial"/>
            <family val="2"/>
          </rPr>
          <t>Valid only above 912°C.</t>
        </r>
      </text>
    </comment>
    <comment ref="F24" authorId="2">
      <text>
        <r>
          <rPr>
            <sz val="10"/>
            <color indexed="81"/>
            <rFont val="Arial"/>
            <family val="2"/>
          </rPr>
          <t xml:space="preserve">Does </t>
        </r>
        <r>
          <rPr>
            <u/>
            <sz val="10"/>
            <color indexed="81"/>
            <rFont val="Arial"/>
            <family val="2"/>
          </rPr>
          <t>not</t>
        </r>
        <r>
          <rPr>
            <sz val="10"/>
            <color indexed="81"/>
            <rFont val="Arial"/>
            <family val="2"/>
          </rPr>
          <t xml:space="preserve"> include H2O present in the natural gas.</t>
        </r>
      </text>
    </comment>
    <comment ref="F25" authorId="2">
      <text>
        <r>
          <rPr>
            <u/>
            <sz val="10"/>
            <color indexed="81"/>
            <rFont val="Arial"/>
            <family val="2"/>
          </rPr>
          <t>Does</t>
        </r>
        <r>
          <rPr>
            <sz val="10"/>
            <color indexed="81"/>
            <rFont val="Arial"/>
            <family val="2"/>
          </rPr>
          <t xml:space="preserve"> include H2O present in the natural gas.</t>
        </r>
      </text>
    </comment>
  </commentList>
</comments>
</file>

<file path=xl/comments3.xml><?xml version="1.0" encoding="utf-8"?>
<comments xmlns="http://schemas.openxmlformats.org/spreadsheetml/2006/main">
  <authors>
    <author>thermart</author>
    <author>Art Morris</author>
    <author>Owner</author>
  </authors>
  <commentList>
    <comment ref="D17" authorId="0">
      <text>
        <r>
          <rPr>
            <sz val="10"/>
            <color indexed="81"/>
            <rFont val="Tahoma"/>
            <family val="2"/>
          </rPr>
          <t>The non-oxygen content is assumed to be entirely N2.</t>
        </r>
      </text>
    </comment>
    <comment ref="K47" authorId="1">
      <text>
        <r>
          <rPr>
            <sz val="10"/>
            <color indexed="81"/>
            <rFont val="Arial"/>
            <family val="2"/>
          </rPr>
          <t>C</t>
        </r>
        <r>
          <rPr>
            <sz val="8"/>
            <color indexed="81"/>
            <rFont val="Arial"/>
            <family val="2"/>
          </rPr>
          <t>4</t>
        </r>
        <r>
          <rPr>
            <sz val="10"/>
            <color indexed="81"/>
            <rFont val="Arial"/>
            <family val="2"/>
          </rPr>
          <t>H</t>
        </r>
        <r>
          <rPr>
            <sz val="8"/>
            <color indexed="81"/>
            <rFont val="Arial"/>
            <family val="2"/>
          </rPr>
          <t>10</t>
        </r>
        <r>
          <rPr>
            <sz val="10"/>
            <color indexed="81"/>
            <rFont val="Arial"/>
            <family val="2"/>
          </rPr>
          <t xml:space="preserve"> + higher hydrocarbons</t>
        </r>
      </text>
    </comment>
    <comment ref="L52" authorId="2">
      <text>
        <r>
          <rPr>
            <b/>
            <sz val="9"/>
            <color indexed="81"/>
            <rFont val="Tahoma"/>
            <family val="2"/>
          </rPr>
          <t>Value in this cell must be non-negative.</t>
        </r>
      </text>
    </comment>
  </commentList>
</comments>
</file>

<file path=xl/sharedStrings.xml><?xml version="1.0" encoding="utf-8"?>
<sst xmlns="http://schemas.openxmlformats.org/spreadsheetml/2006/main" count="368" uniqueCount="199">
  <si>
    <t>Mol. mass</t>
  </si>
  <si>
    <t>Mass %</t>
  </si>
  <si>
    <t>Methane</t>
  </si>
  <si>
    <r>
      <t>CH</t>
    </r>
    <r>
      <rPr>
        <vertAlign val="subscript"/>
        <sz val="10"/>
        <rFont val="Arial"/>
        <family val="2"/>
      </rPr>
      <t>4</t>
    </r>
  </si>
  <si>
    <t>Ethene</t>
  </si>
  <si>
    <r>
      <t>C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4</t>
    </r>
  </si>
  <si>
    <t>Ethane</t>
  </si>
  <si>
    <r>
      <t>C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6</t>
    </r>
  </si>
  <si>
    <t>Propane</t>
  </si>
  <si>
    <r>
      <t>C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8</t>
    </r>
  </si>
  <si>
    <t>Hydrogen</t>
  </si>
  <si>
    <r>
      <t>H</t>
    </r>
    <r>
      <rPr>
        <vertAlign val="subscript"/>
        <sz val="10"/>
        <rFont val="Arial"/>
        <family val="2"/>
      </rPr>
      <t>2</t>
    </r>
  </si>
  <si>
    <t>Carbon monoxide</t>
  </si>
  <si>
    <t>CO</t>
  </si>
  <si>
    <t>Carbon dioxide</t>
  </si>
  <si>
    <r>
      <t>CO</t>
    </r>
    <r>
      <rPr>
        <vertAlign val="subscript"/>
        <sz val="10"/>
        <rFont val="Arial"/>
        <family val="2"/>
      </rPr>
      <t>2</t>
    </r>
  </si>
  <si>
    <t>Nitrogen (by diff.)</t>
  </si>
  <si>
    <r>
      <t>N</t>
    </r>
    <r>
      <rPr>
        <vertAlign val="subscript"/>
        <sz val="10"/>
        <rFont val="Arial"/>
        <family val="2"/>
      </rPr>
      <t>2</t>
    </r>
  </si>
  <si>
    <t>Molecular mass of NG</t>
  </si>
  <si>
    <t>Vol %</t>
  </si>
  <si>
    <t>C</t>
  </si>
  <si>
    <t>H</t>
  </si>
  <si>
    <t>O</t>
  </si>
  <si>
    <t>N</t>
  </si>
  <si>
    <t>moles</t>
  </si>
  <si>
    <t>mass</t>
  </si>
  <si>
    <t xml:space="preserve">Butanes &amp; higher </t>
  </si>
  <si>
    <r>
      <t>C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 xml:space="preserve"> +</t>
    </r>
  </si>
  <si>
    <t>Species</t>
  </si>
  <si>
    <r>
      <t>C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10</t>
    </r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</si>
  <si>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O(g)</t>
    </r>
  </si>
  <si>
    <t>Mass, g</t>
  </si>
  <si>
    <t>Note:  text box appearance may vary with different Windows and Excel versions.</t>
  </si>
  <si>
    <t>Water vapor</t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</si>
  <si>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</si>
  <si>
    <t>Sum</t>
  </si>
  <si>
    <t xml:space="preserve"> products</t>
  </si>
  <si>
    <t>Combustion</t>
  </si>
  <si>
    <r>
      <t>Vol. % 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in oxidant gas</t>
    </r>
  </si>
  <si>
    <t xml:space="preserve"> Oxidant Properties</t>
  </si>
  <si>
    <t xml:space="preserve"> </t>
  </si>
  <si>
    <r>
      <t>O</t>
    </r>
    <r>
      <rPr>
        <vertAlign val="subscript"/>
        <sz val="10"/>
        <rFont val="Arial"/>
        <family val="2"/>
      </rPr>
      <t>2</t>
    </r>
  </si>
  <si>
    <t>A</t>
  </si>
  <si>
    <t>B</t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</si>
  <si>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O(liq)</t>
    </r>
  </si>
  <si>
    <t>Please read cell comments</t>
  </si>
  <si>
    <t>mol %</t>
  </si>
  <si>
    <t xml:space="preserve">       Natural Gas/Fuel Properties</t>
  </si>
  <si>
    <t>Element</t>
  </si>
  <si>
    <t>Natural Gas/Fuel Properties</t>
  </si>
  <si>
    <t>Legend</t>
  </si>
  <si>
    <t>Cp</t>
  </si>
  <si>
    <t xml:space="preserve">Oxidant temperature, °C </t>
  </si>
  <si>
    <t xml:space="preserve">Fuel temperature, °C </t>
  </si>
  <si>
    <t>Values Entered on MainEntry</t>
  </si>
  <si>
    <t>CO2</t>
  </si>
  <si>
    <t>N2</t>
  </si>
  <si>
    <t>H2</t>
  </si>
  <si>
    <t>H2O</t>
  </si>
  <si>
    <t>Stoichiometric amount of oxidant</t>
  </si>
  <si>
    <t>J/g-mol</t>
  </si>
  <si>
    <r>
      <t>% O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 xml:space="preserve"> in Oxidant   </t>
    </r>
  </si>
  <si>
    <t>T (C)</t>
  </si>
  <si>
    <t>Formation of CO</t>
  </si>
  <si>
    <t>Log Kr</t>
  </si>
  <si>
    <t>1/T (1/K)</t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</si>
  <si>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750 - 1450°C</t>
    </r>
  </si>
  <si>
    <r>
      <t>CO</t>
    </r>
    <r>
      <rPr>
        <sz val="10"/>
        <rFont val="Arial"/>
        <family val="2"/>
      </rPr>
      <t>, 750 - 1450°C</t>
    </r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</si>
  <si>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O(g), 750 - 1450°C</t>
    </r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</si>
  <si>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750 - 1450°C</t>
    </r>
  </si>
  <si>
    <t>Heat CO</t>
  </si>
  <si>
    <t>Sum of Rx heat</t>
  </si>
  <si>
    <t>Sum of product heat</t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</si>
  <si>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750 - 1450°C</t>
    </r>
  </si>
  <si>
    <t>oxidant/gas ratio</t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</si>
  <si>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+ CO produced by combustion</t>
    </r>
  </si>
  <si>
    <t>Krx, WGS:</t>
  </si>
  <si>
    <t>QF parameter a:</t>
  </si>
  <si>
    <t>QF parameter b:</t>
  </si>
  <si>
    <t>QF parameter c:</t>
  </si>
  <si>
    <t>Amount of CO:</t>
  </si>
  <si>
    <t>% CO</t>
  </si>
  <si>
    <t>Dew point, °C</t>
  </si>
  <si>
    <r>
      <t>Amount of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:</t>
    </r>
  </si>
  <si>
    <r>
      <t>Amount of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</t>
    </r>
  </si>
  <si>
    <r>
      <t>Amount of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:</t>
    </r>
  </si>
  <si>
    <r>
      <t>% H</t>
    </r>
    <r>
      <rPr>
        <vertAlign val="subscript"/>
        <sz val="10"/>
        <rFont val="Arial"/>
        <family val="2"/>
      </rPr>
      <t>2</t>
    </r>
  </si>
  <si>
    <r>
      <t>%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</si>
  <si>
    <r>
      <t>% CO</t>
    </r>
    <r>
      <rPr>
        <vertAlign val="subscript"/>
        <sz val="10"/>
        <rFont val="Arial"/>
        <family val="2"/>
      </rPr>
      <t>2</t>
    </r>
  </si>
  <si>
    <r>
      <t>% N</t>
    </r>
    <r>
      <rPr>
        <vertAlign val="subscript"/>
        <sz val="10"/>
        <rFont val="Arial"/>
        <family val="2"/>
      </rPr>
      <t>2</t>
    </r>
  </si>
  <si>
    <t>Activity of C</t>
  </si>
  <si>
    <t>Temp., °C</t>
  </si>
  <si>
    <t>1/T, K</t>
  </si>
  <si>
    <r>
      <t>pH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O, atm</t>
    </r>
  </si>
  <si>
    <r>
      <t>log pH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</si>
  <si>
    <t>T, K</t>
  </si>
  <si>
    <t>Log Krx</t>
  </si>
  <si>
    <t>T (K)</t>
  </si>
  <si>
    <r>
      <t>pH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O, 273 - 333 K</t>
    </r>
  </si>
  <si>
    <r>
      <t>pO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1100 - 1700 K</t>
    </r>
  </si>
  <si>
    <t>aC, 1100 - 1700 K</t>
  </si>
  <si>
    <t>pO2, Fe/Wust</t>
  </si>
  <si>
    <r>
      <t>pCH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, 1100 - 1700 K</t>
    </r>
  </si>
  <si>
    <r>
      <t>log pO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for Fe/wust.</t>
    </r>
  </si>
  <si>
    <t>% stoichiometric oxidant</t>
  </si>
  <si>
    <t>NatGas0reactant</t>
  </si>
  <si>
    <t>species</t>
  </si>
  <si>
    <t>reactant</t>
  </si>
  <si>
    <r>
      <t>CO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 xml:space="preserve"> + H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 xml:space="preserve"> ==&gt; CO + H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O</t>
    </r>
  </si>
  <si>
    <t>Table IV.  Dew Point Calculation</t>
  </si>
  <si>
    <r>
      <t>2CO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 xml:space="preserve"> ==&gt; 2CO + O</t>
    </r>
    <r>
      <rPr>
        <vertAlign val="subscript"/>
        <sz val="11"/>
        <rFont val="Arial"/>
        <family val="2"/>
      </rPr>
      <t>2</t>
    </r>
  </si>
  <si>
    <r>
      <t>2CO ==&gt; CO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 xml:space="preserve"> + C</t>
    </r>
  </si>
  <si>
    <r>
      <t>2Fe</t>
    </r>
    <r>
      <rPr>
        <vertAlign val="subscript"/>
        <sz val="11"/>
        <rFont val="Arial"/>
        <family val="2"/>
      </rPr>
      <t>.947</t>
    </r>
    <r>
      <rPr>
        <sz val="11"/>
        <rFont val="Arial"/>
        <family val="2"/>
      </rPr>
      <t>O ==&gt; 1.894Fe</t>
    </r>
    <r>
      <rPr>
        <vertAlign val="subscript"/>
        <sz val="11"/>
        <rFont val="Arial"/>
        <family val="2"/>
      </rPr>
      <t>(aust)</t>
    </r>
    <r>
      <rPr>
        <sz val="11"/>
        <rFont val="Arial"/>
        <family val="2"/>
      </rPr>
      <t xml:space="preserve"> + O</t>
    </r>
    <r>
      <rPr>
        <vertAlign val="subscript"/>
        <sz val="11"/>
        <rFont val="Arial"/>
        <family val="2"/>
      </rPr>
      <t>2</t>
    </r>
  </si>
  <si>
    <r>
      <t>Table VII.  pO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 xml:space="preserve"> for Fe/Wust</t>
    </r>
  </si>
  <si>
    <r>
      <t>2CO + 2H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 xml:space="preserve"> ==&gt; CO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 xml:space="preserve"> + CH</t>
    </r>
    <r>
      <rPr>
        <vertAlign val="subscript"/>
        <sz val="11"/>
        <rFont val="Arial"/>
        <family val="2"/>
      </rPr>
      <t>4</t>
    </r>
  </si>
  <si>
    <t>Dew Point T, °C</t>
  </si>
  <si>
    <t>Amount of oxidant</t>
  </si>
  <si>
    <t>Element Content of Fuel</t>
  </si>
  <si>
    <t>Carbon in, C:</t>
  </si>
  <si>
    <r>
      <t>Hydrogen in, as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:</t>
    </r>
  </si>
  <si>
    <t>Oxygen in, as O:</t>
  </si>
  <si>
    <r>
      <t>Nitrogen in, as 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:</t>
    </r>
  </si>
  <si>
    <t>Table III.  Water-Gas Shift Rx</t>
  </si>
  <si>
    <r>
      <t>Table VIII.  pCH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 xml:space="preserve"> in Hot Gas</t>
    </r>
  </si>
  <si>
    <t>WGS Keq, 1100 - 1700 K</t>
  </si>
  <si>
    <r>
      <t>Log pO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in hot gas</t>
    </r>
  </si>
  <si>
    <t>Burner temp, °C</t>
  </si>
  <si>
    <r>
      <t>pCH</t>
    </r>
    <r>
      <rPr>
        <vertAlign val="subscript"/>
        <sz val="10"/>
        <rFont val="Arial"/>
        <family val="2"/>
      </rPr>
      <t>4</t>
    </r>
  </si>
  <si>
    <t>(Chart equation gives dpt in °C)</t>
  </si>
  <si>
    <t>Amount of hot gas:</t>
  </si>
  <si>
    <r>
      <t>Table V.  pO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 xml:space="preserve"> in Hot Gas</t>
    </r>
  </si>
  <si>
    <t>Table VI.  aC in Hot Gas</t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</si>
  <si>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+ CO in hot gas</t>
    </r>
  </si>
  <si>
    <t>Formation of NG</t>
  </si>
  <si>
    <t>Heat Balance Calculations</t>
  </si>
  <si>
    <t>Table IX.  Log Keq parameters, =  A/T + B</t>
  </si>
  <si>
    <r>
      <t xml:space="preserve">Table X.  Heat content eq'n. parameters, </t>
    </r>
    <r>
      <rPr>
        <b/>
        <sz val="11"/>
        <rFont val="Arial"/>
        <family val="2"/>
      </rPr>
      <t>J/g-mol</t>
    </r>
    <r>
      <rPr>
        <sz val="11"/>
        <rFont val="Arial"/>
        <family val="2"/>
      </rPr>
      <t xml:space="preserve"> =  A + BT + CT</t>
    </r>
    <r>
      <rPr>
        <vertAlign val="superscript"/>
        <sz val="11"/>
        <rFont val="Arial"/>
        <family val="2"/>
      </rPr>
      <t>2</t>
    </r>
  </si>
  <si>
    <t>Burner Calculations</t>
  </si>
  <si>
    <t>Table II.  Heat Content Data for Gas Species</t>
  </si>
  <si>
    <r>
      <t xml:space="preserve">Table I.  Molar </t>
    </r>
    <r>
      <rPr>
        <sz val="11"/>
        <rFont val="Symbol"/>
        <family val="1"/>
        <charset val="2"/>
      </rPr>
      <t>D</t>
    </r>
    <r>
      <rPr>
        <i/>
        <sz val="11"/>
        <rFont val="Arial"/>
        <family val="2"/>
      </rPr>
      <t>H</t>
    </r>
    <r>
      <rPr>
        <sz val="11"/>
        <rFont val="Arial"/>
        <family val="2"/>
      </rPr>
      <t>°</t>
    </r>
    <r>
      <rPr>
        <sz val="9"/>
        <rFont val="Arial"/>
        <family val="2"/>
      </rPr>
      <t>form</t>
    </r>
    <r>
      <rPr>
        <sz val="11"/>
        <rFont val="Arial"/>
        <family val="2"/>
      </rPr>
      <t xml:space="preserve"> at 25 °C</t>
    </r>
  </si>
  <si>
    <t>Cooler Calculations</t>
  </si>
  <si>
    <r>
      <t>formation of CO</t>
    </r>
    <r>
      <rPr>
        <vertAlign val="subscript"/>
        <sz val="10"/>
        <rFont val="Arial"/>
        <family val="2"/>
      </rPr>
      <t>2</t>
    </r>
  </si>
  <si>
    <r>
      <t>Formation of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</si>
  <si>
    <r>
      <t>Heat CO</t>
    </r>
    <r>
      <rPr>
        <vertAlign val="subscript"/>
        <sz val="10"/>
        <rFont val="Arial"/>
        <family val="2"/>
      </rPr>
      <t>2</t>
    </r>
  </si>
  <si>
    <r>
      <t>Heat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</si>
  <si>
    <r>
      <t>Heat H</t>
    </r>
    <r>
      <rPr>
        <vertAlign val="subscript"/>
        <sz val="10"/>
        <rFont val="Arial"/>
        <family val="2"/>
      </rPr>
      <t>2</t>
    </r>
  </si>
  <si>
    <r>
      <t>Heat N</t>
    </r>
    <r>
      <rPr>
        <vertAlign val="subscript"/>
        <sz val="10"/>
        <rFont val="Arial"/>
        <family val="2"/>
      </rPr>
      <t>2</t>
    </r>
  </si>
  <si>
    <t>Dew point temp, °C</t>
  </si>
  <si>
    <t>Cp of NG</t>
  </si>
  <si>
    <t>Bring NatGas to 25°C</t>
  </si>
  <si>
    <t>NatGas temp</t>
  </si>
  <si>
    <t>Oxidant temp</t>
  </si>
  <si>
    <t>Bring oxidant to 25°C</t>
  </si>
  <si>
    <t>Cp of oxidant</t>
  </si>
  <si>
    <r>
      <t>pH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 at dpt</t>
    </r>
  </si>
  <si>
    <r>
      <t>Amount of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 condensing</t>
    </r>
  </si>
  <si>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>H°condensation of water vapor</t>
    </r>
  </si>
  <si>
    <t>Heat removed in cooler</t>
  </si>
  <si>
    <t>Cool CO to dpt</t>
  </si>
  <si>
    <r>
      <t>Cool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to dpt</t>
    </r>
  </si>
  <si>
    <r>
      <t>Cool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 to dpt</t>
    </r>
  </si>
  <si>
    <r>
      <t>Cool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to dpt</t>
    </r>
  </si>
  <si>
    <r>
      <t>Cool 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to dpt</t>
    </r>
  </si>
  <si>
    <t>Exogas Preparation</t>
  </si>
  <si>
    <t>Amount of N2</t>
  </si>
  <si>
    <t>Amount of Ingas</t>
  </si>
  <si>
    <t>Exogas Furnace T, °C</t>
  </si>
  <si>
    <t>Exogas furnace temp, °C</t>
  </si>
  <si>
    <t>Material Balance/Equilib Calculations</t>
  </si>
  <si>
    <t>Heat surplus/deficiency</t>
  </si>
  <si>
    <t>Heat loss, J</t>
  </si>
  <si>
    <t>Heat loss</t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</si>
  <si>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 +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produced by combustion</t>
    </r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</si>
  <si>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 +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in hot gas</t>
    </r>
  </si>
  <si>
    <t>Composition of hot burner gas</t>
  </si>
  <si>
    <t>Composition of Exogas</t>
  </si>
  <si>
    <r>
      <t>Log pO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in exogas</t>
    </r>
  </si>
  <si>
    <t>Reactivity of exogas</t>
  </si>
  <si>
    <t>Table 1.  Summary of Results</t>
  </si>
  <si>
    <t>Surplus/deficiency of heat in Burner device</t>
  </si>
  <si>
    <t xml:space="preserve">Hot gas T, °C  </t>
  </si>
  <si>
    <t>Reactivity of hot furnace gas</t>
  </si>
  <si>
    <r>
      <t>Log pO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in furnace gas</t>
    </r>
  </si>
  <si>
    <t>Fe won't oxidize</t>
  </si>
  <si>
    <t>Fe oxidizes</t>
  </si>
  <si>
    <t>Summary of Results for Methane as Exogas Fuel</t>
  </si>
  <si>
    <t xml:space="preserve">Hot gas composition for listed NG.  Fe will oxidize at and above 53% Stoich air.  </t>
  </si>
  <si>
    <t xml:space="preserve">% CO and %H2 approach zero % at 100 % stoichiometric air.  </t>
  </si>
  <si>
    <t>Natural Gas/Fuel Composition</t>
  </si>
  <si>
    <t>Chart Data</t>
  </si>
  <si>
    <r>
      <t>Log pO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for Fe/wust.</t>
    </r>
  </si>
  <si>
    <t>%C</t>
  </si>
  <si>
    <t>%C in austenite</t>
  </si>
  <si>
    <r>
      <t>Volume of hot gas at hot gas temp, m</t>
    </r>
    <r>
      <rPr>
        <vertAlign val="superscript"/>
        <sz val="10"/>
        <rFont val="Arial"/>
        <family val="2"/>
      </rPr>
      <t>3</t>
    </r>
  </si>
  <si>
    <t>Heat treat Furnace T, °C</t>
  </si>
  <si>
    <t>Reactivity of furnace gas</t>
  </si>
  <si>
    <r>
      <t>Volume of furnace gas at furnace temp, m</t>
    </r>
    <r>
      <rPr>
        <vertAlign val="superscript"/>
        <sz val="10"/>
        <rFont val="Arial"/>
        <family val="2"/>
      </rPr>
      <t>3</t>
    </r>
  </si>
  <si>
    <t>Summary of Results from Methane Combustion.  Air enters at 50°C.</t>
  </si>
  <si>
    <t>Stoichiometric oxidant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</si>
</sst>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0.000"/>
    <numFmt numFmtId="165" formatCode="#.0#;#.0#;\O\ \K;@"/>
    <numFmt numFmtId="166" formatCode="#,##0.00#"/>
    <numFmt numFmtId="167" formatCode=";;;"/>
    <numFmt numFmtId="168" formatCode="#,##0.00####"/>
    <numFmt numFmtId="169" formatCode="0.0000"/>
    <numFmt numFmtId="170" formatCode="0.0%"/>
    <numFmt numFmtId="171" formatCode="0.000E+00"/>
    <numFmt numFmtId="172" formatCode="0.0"/>
  </numFmts>
  <fonts count="37" x14ac:knownFonts="1">
    <font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1"/>
      <name val="Arial"/>
      <family val="2"/>
    </font>
    <font>
      <sz val="8"/>
      <color indexed="42"/>
      <name val="Arial"/>
      <family val="2"/>
    </font>
    <font>
      <b/>
      <sz val="10"/>
      <color indexed="8"/>
      <name val="Arial"/>
      <family val="2"/>
    </font>
    <font>
      <sz val="7"/>
      <name val="Arial"/>
      <family val="2"/>
    </font>
    <font>
      <sz val="10"/>
      <color indexed="10"/>
      <name val="Arial"/>
      <family val="2"/>
    </font>
    <font>
      <b/>
      <i/>
      <sz val="12"/>
      <color indexed="13"/>
      <name val="Arial"/>
      <family val="2"/>
    </font>
    <font>
      <b/>
      <sz val="10"/>
      <color indexed="13"/>
      <name val="Arial"/>
      <family val="2"/>
    </font>
    <font>
      <sz val="10"/>
      <color indexed="13"/>
      <name val="Arial"/>
      <family val="2"/>
    </font>
    <font>
      <b/>
      <i/>
      <sz val="10"/>
      <color indexed="13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0"/>
      <color indexed="81"/>
      <name val="Arial"/>
      <family val="2"/>
    </font>
    <font>
      <sz val="8"/>
      <color indexed="81"/>
      <name val="Arial"/>
      <family val="2"/>
    </font>
    <font>
      <sz val="11"/>
      <name val="Symbol"/>
      <family val="1"/>
      <charset val="2"/>
    </font>
    <font>
      <i/>
      <sz val="11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10.5"/>
      <name val="Arial"/>
      <family val="2"/>
    </font>
    <font>
      <b/>
      <sz val="9"/>
      <color indexed="81"/>
      <name val="Tahoma"/>
      <family val="2"/>
    </font>
    <font>
      <sz val="10"/>
      <name val="Arial Narrow"/>
      <family val="2"/>
    </font>
    <font>
      <sz val="12"/>
      <name val="Arial"/>
      <family val="2"/>
    </font>
    <font>
      <vertAlign val="subscript"/>
      <sz val="11"/>
      <name val="Arial"/>
      <family val="2"/>
    </font>
    <font>
      <sz val="10"/>
      <color indexed="81"/>
      <name val="Tahoma"/>
      <family val="2"/>
    </font>
    <font>
      <sz val="11"/>
      <name val="Arial Unicode MS"/>
      <family val="2"/>
    </font>
    <font>
      <b/>
      <sz val="11"/>
      <name val="Arial"/>
      <family val="2"/>
    </font>
    <font>
      <vertAlign val="superscript"/>
      <sz val="11"/>
      <name val="Arial"/>
      <family val="2"/>
    </font>
    <font>
      <b/>
      <sz val="12"/>
      <color theme="0"/>
      <name val="Arial"/>
      <family val="2"/>
    </font>
    <font>
      <u/>
      <sz val="10"/>
      <color indexed="81"/>
      <name val="Arial"/>
      <family val="2"/>
    </font>
    <font>
      <sz val="14"/>
      <name val="Arial"/>
      <family val="2"/>
    </font>
    <font>
      <sz val="10"/>
      <name val="Symbol"/>
      <family val="1"/>
      <charset val="2"/>
    </font>
    <font>
      <sz val="10"/>
      <color rgb="FFFF0000"/>
      <name val="Arial"/>
      <family val="2"/>
    </font>
    <font>
      <b/>
      <sz val="10"/>
      <color rgb="FFD60000"/>
      <name val="Arial"/>
      <family val="2"/>
    </font>
    <font>
      <b/>
      <sz val="10"/>
      <color rgb="FFD60000"/>
      <name val="Arial Narrow"/>
      <family val="2"/>
    </font>
    <font>
      <vertAlign val="superscript"/>
      <sz val="1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27"/>
        <bgColor indexed="27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6"/>
        <bgColor indexed="64"/>
      </patternFill>
    </fill>
    <fill>
      <patternFill patternType="solid">
        <fgColor indexed="42"/>
      </patternFill>
    </fill>
    <fill>
      <patternFill patternType="solid">
        <fgColor indexed="21"/>
      </patternFill>
    </fill>
    <fill>
      <patternFill patternType="solid">
        <fgColor indexed="38"/>
      </patternFill>
    </fill>
    <fill>
      <patternFill patternType="solid">
        <fgColor indexed="47"/>
      </patternFill>
    </fill>
    <fill>
      <patternFill patternType="solid">
        <fgColor indexed="21"/>
        <bgColor indexed="64"/>
      </patternFill>
    </fill>
    <fill>
      <patternFill patternType="solid">
        <fgColor indexed="26"/>
      </patternFill>
    </fill>
    <fill>
      <patternFill patternType="solid">
        <fgColor indexed="48"/>
      </patternFill>
    </fill>
    <fill>
      <patternFill patternType="solid">
        <fgColor rgb="FFFFEEB9"/>
        <bgColor indexed="64"/>
      </patternFill>
    </fill>
    <fill>
      <patternFill patternType="solid">
        <fgColor rgb="FFFFFF99"/>
        <bgColor indexed="64"/>
      </patternFill>
    </fill>
    <fill>
      <patternFill patternType="gray0625">
        <fgColor theme="1" tint="0.24994659260841701"/>
        <bgColor rgb="FFE4E4E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A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FFFCA"/>
        <bgColor indexed="64"/>
      </patternFill>
    </fill>
    <fill>
      <patternFill patternType="solid">
        <fgColor rgb="FFFFEE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27"/>
      </patternFill>
    </fill>
    <fill>
      <patternFill patternType="solid">
        <fgColor rgb="FFE5E2D3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48"/>
      </left>
      <right style="medium">
        <color indexed="48"/>
      </right>
      <top style="medium">
        <color indexed="48"/>
      </top>
      <bottom style="medium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48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48"/>
      </left>
      <right style="medium">
        <color indexed="48"/>
      </right>
      <top style="medium">
        <color indexed="4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rgb="FF002060"/>
      </left>
      <right/>
      <top style="double">
        <color rgb="FF002060"/>
      </top>
      <bottom/>
      <diagonal/>
    </border>
    <border>
      <left/>
      <right/>
      <top style="double">
        <color rgb="FF002060"/>
      </top>
      <bottom/>
      <diagonal/>
    </border>
    <border>
      <left/>
      <right style="double">
        <color rgb="FF002060"/>
      </right>
      <top style="double">
        <color rgb="FF002060"/>
      </top>
      <bottom/>
      <diagonal/>
    </border>
    <border>
      <left style="double">
        <color rgb="FF002060"/>
      </left>
      <right/>
      <top/>
      <bottom/>
      <diagonal/>
    </border>
    <border>
      <left/>
      <right style="double">
        <color rgb="FF002060"/>
      </right>
      <top/>
      <bottom/>
      <diagonal/>
    </border>
    <border>
      <left/>
      <right style="double">
        <color rgb="FF002060"/>
      </right>
      <top style="thin">
        <color indexed="64"/>
      </top>
      <bottom style="thin">
        <color indexed="64"/>
      </bottom>
      <diagonal/>
    </border>
    <border>
      <left style="double">
        <color rgb="FF002060"/>
      </left>
      <right/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double">
        <color rgb="FF002060"/>
      </right>
      <top/>
      <bottom style="double">
        <color rgb="FF002060"/>
      </bottom>
      <diagonal/>
    </border>
  </borders>
  <cellStyleXfs count="25">
    <xf numFmtId="0" fontId="0" fillId="0" borderId="0"/>
    <xf numFmtId="165" fontId="4" fillId="3" borderId="4" applyNumberFormat="0" applyBorder="0" applyAlignment="0">
      <alignment horizontal="center" vertical="center"/>
    </xf>
    <xf numFmtId="166" fontId="1" fillId="4" borderId="5" applyNumberFormat="0" applyBorder="0" applyAlignment="0">
      <alignment horizontal="center" vertical="center"/>
      <protection locked="0"/>
    </xf>
    <xf numFmtId="166" fontId="1" fillId="5" borderId="5" applyNumberFormat="0" applyBorder="0" applyAlignment="0">
      <alignment horizontal="center" vertical="center"/>
      <protection locked="0"/>
    </xf>
    <xf numFmtId="166" fontId="1" fillId="4" borderId="5" applyNumberFormat="0" applyBorder="0" applyAlignment="0">
      <alignment horizontal="center" vertical="center"/>
    </xf>
    <xf numFmtId="0" fontId="5" fillId="6" borderId="6">
      <alignment horizontal="center"/>
    </xf>
    <xf numFmtId="0" fontId="6" fillId="7" borderId="3" applyNumberFormat="0" applyBorder="0" applyAlignment="0">
      <alignment horizontal="center" vertical="center"/>
    </xf>
    <xf numFmtId="166" fontId="7" fillId="8" borderId="0" applyNumberFormat="0" applyBorder="0" applyAlignment="0">
      <alignment horizontal="center"/>
    </xf>
    <xf numFmtId="0" fontId="8" fillId="9" borderId="0" applyNumberFormat="0" applyBorder="0" applyAlignment="0"/>
    <xf numFmtId="0" fontId="9" fillId="9" borderId="0" applyNumberFormat="0" applyBorder="0" applyAlignment="0">
      <alignment horizontal="centerContinuous"/>
    </xf>
    <xf numFmtId="0" fontId="10" fillId="9" borderId="0" applyNumberFormat="0" applyBorder="0" applyAlignment="0">
      <alignment horizontal="center"/>
    </xf>
    <xf numFmtId="0" fontId="8" fillId="9" borderId="3" applyNumberFormat="0" applyBorder="0" applyAlignment="0"/>
    <xf numFmtId="0" fontId="9" fillId="9" borderId="3" applyNumberFormat="0" applyBorder="0" applyAlignment="0">
      <alignment horizontal="centerContinuous"/>
    </xf>
    <xf numFmtId="0" fontId="10" fillId="9" borderId="3" applyNumberFormat="0" applyBorder="0" applyAlignment="0">
      <alignment horizontal="center"/>
    </xf>
    <xf numFmtId="0" fontId="11" fillId="9" borderId="0" applyNumberFormat="0" applyBorder="0" applyAlignment="0">
      <alignment horizontal="left"/>
    </xf>
    <xf numFmtId="167" fontId="1" fillId="8" borderId="0" applyNumberFormat="0" applyBorder="0" applyAlignment="0">
      <alignment horizontal="center"/>
      <protection hidden="1"/>
    </xf>
    <xf numFmtId="166" fontId="1" fillId="10" borderId="3" applyNumberFormat="0" applyBorder="0" applyAlignment="0">
      <alignment horizontal="center" vertical="center"/>
    </xf>
    <xf numFmtId="0" fontId="1" fillId="0" borderId="0"/>
    <xf numFmtId="0" fontId="1" fillId="0" borderId="0"/>
    <xf numFmtId="0" fontId="1" fillId="11" borderId="0">
      <alignment horizontal="center"/>
      <protection locked="0"/>
    </xf>
    <xf numFmtId="0" fontId="1" fillId="8" borderId="0" applyNumberFormat="0" applyBorder="0" applyAlignment="0">
      <alignment horizontal="center"/>
    </xf>
    <xf numFmtId="0" fontId="1" fillId="9" borderId="0" applyNumberFormat="0" applyBorder="0" applyAlignment="0">
      <protection locked="0"/>
    </xf>
    <xf numFmtId="168" fontId="1" fillId="12" borderId="5" applyNumberFormat="0" applyBorder="0" applyAlignment="0">
      <alignment horizontal="center" vertical="center"/>
      <protection locked="0"/>
    </xf>
    <xf numFmtId="166" fontId="12" fillId="13" borderId="5" applyNumberFormat="0" applyBorder="0" applyAlignment="0">
      <alignment horizontal="center" vertical="center"/>
      <protection locked="0"/>
    </xf>
    <xf numFmtId="0" fontId="13" fillId="8" borderId="0" applyNumberFormat="0" applyBorder="0" applyAlignment="0">
      <alignment horizontal="center"/>
      <protection locked="0"/>
    </xf>
  </cellStyleXfs>
  <cellXfs count="222">
    <xf numFmtId="0" fontId="0" fillId="0" borderId="0" xfId="0"/>
    <xf numFmtId="0" fontId="0" fillId="0" borderId="1" xfId="0" applyBorder="1"/>
    <xf numFmtId="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right"/>
    </xf>
    <xf numFmtId="0" fontId="3" fillId="0" borderId="0" xfId="0" applyNumberFormat="1" applyFont="1" applyFill="1" applyAlignment="1">
      <alignment horizontal="center" vertical="center"/>
    </xf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3" fontId="0" fillId="0" borderId="0" xfId="0" applyNumberFormat="1"/>
    <xf numFmtId="169" fontId="22" fillId="0" borderId="0" xfId="0" applyNumberFormat="1" applyFont="1"/>
    <xf numFmtId="0" fontId="0" fillId="14" borderId="7" xfId="0" applyFill="1" applyBorder="1"/>
    <xf numFmtId="0" fontId="0" fillId="0" borderId="0" xfId="0" applyAlignment="1">
      <alignment vertical="center"/>
    </xf>
    <xf numFmtId="164" fontId="20" fillId="0" borderId="3" xfId="0" applyNumberFormat="1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0" fillId="14" borderId="9" xfId="0" applyFill="1" applyBorder="1"/>
    <xf numFmtId="2" fontId="3" fillId="0" borderId="0" xfId="0" applyNumberFormat="1" applyFont="1" applyBorder="1" applyAlignment="1">
      <alignment horizontal="center" vertical="center"/>
    </xf>
    <xf numFmtId="0" fontId="3" fillId="14" borderId="7" xfId="0" applyFont="1" applyFill="1" applyBorder="1" applyAlignment="1">
      <alignment horizontal="center" vertical="center"/>
    </xf>
    <xf numFmtId="0" fontId="3" fillId="14" borderId="8" xfId="0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right"/>
    </xf>
    <xf numFmtId="10" fontId="0" fillId="0" borderId="0" xfId="0" applyNumberForma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14" borderId="7" xfId="0" applyFont="1" applyFill="1" applyBorder="1" applyAlignment="1">
      <alignment horizontal="left" vertical="center"/>
    </xf>
    <xf numFmtId="0" fontId="3" fillId="14" borderId="15" xfId="0" applyFont="1" applyFill="1" applyBorder="1" applyAlignment="1">
      <alignment horizontal="center" vertical="center"/>
    </xf>
    <xf numFmtId="0" fontId="0" fillId="0" borderId="13" xfId="0" applyBorder="1"/>
    <xf numFmtId="0" fontId="1" fillId="0" borderId="3" xfId="0" applyFon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10" fontId="1" fillId="16" borderId="16" xfId="0" applyNumberFormat="1" applyFont="1" applyFill="1" applyBorder="1" applyAlignment="1">
      <alignment horizontal="center" vertical="center"/>
    </xf>
    <xf numFmtId="1" fontId="0" fillId="0" borderId="0" xfId="0" applyNumberFormat="1"/>
    <xf numFmtId="10" fontId="0" fillId="0" borderId="17" xfId="0" applyNumberFormat="1" applyFill="1" applyBorder="1" applyAlignment="1">
      <alignment horizontal="center" vertical="center"/>
    </xf>
    <xf numFmtId="0" fontId="0" fillId="0" borderId="0" xfId="0" applyFont="1" applyAlignment="1">
      <alignment horizontal="left" vertical="top"/>
    </xf>
    <xf numFmtId="9" fontId="1" fillId="2" borderId="18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18" borderId="8" xfId="0" applyFont="1" applyFill="1" applyBorder="1" applyAlignment="1">
      <alignment vertical="center"/>
    </xf>
    <xf numFmtId="0" fontId="3" fillId="18" borderId="7" xfId="0" applyFont="1" applyFill="1" applyBorder="1" applyAlignment="1">
      <alignment horizontal="center" vertical="top"/>
    </xf>
    <xf numFmtId="1" fontId="0" fillId="0" borderId="0" xfId="0" applyNumberFormat="1" applyAlignment="1">
      <alignment horizontal="center" vertical="center"/>
    </xf>
    <xf numFmtId="0" fontId="0" fillId="15" borderId="0" xfId="0" applyFill="1" applyAlignment="1">
      <alignment vertical="center"/>
    </xf>
    <xf numFmtId="0" fontId="3" fillId="15" borderId="0" xfId="0" applyFont="1" applyFill="1" applyAlignment="1">
      <alignment vertical="top"/>
    </xf>
    <xf numFmtId="164" fontId="20" fillId="22" borderId="3" xfId="0" applyNumberFormat="1" applyFont="1" applyFill="1" applyBorder="1" applyAlignment="1">
      <alignment horizontal="center" vertical="center"/>
    </xf>
    <xf numFmtId="0" fontId="18" fillId="0" borderId="0" xfId="0" applyFont="1"/>
    <xf numFmtId="2" fontId="0" fillId="0" borderId="0" xfId="0" applyNumberForma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20" fillId="22" borderId="3" xfId="0" applyFont="1" applyFill="1" applyBorder="1" applyAlignment="1">
      <alignment horizontal="center" vertical="center"/>
    </xf>
    <xf numFmtId="0" fontId="3" fillId="18" borderId="7" xfId="0" applyFont="1" applyFill="1" applyBorder="1" applyAlignment="1">
      <alignment vertical="top"/>
    </xf>
    <xf numFmtId="0" fontId="3" fillId="18" borderId="9" xfId="0" applyFont="1" applyFill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19" xfId="0" applyNumberFormat="1" applyFont="1" applyFill="1" applyBorder="1" applyAlignment="1">
      <alignment horizontal="center" vertical="center"/>
    </xf>
    <xf numFmtId="0" fontId="0" fillId="20" borderId="3" xfId="0" applyFont="1" applyFill="1" applyBorder="1" applyAlignment="1">
      <alignment horizontal="center" vertical="center"/>
    </xf>
    <xf numFmtId="2" fontId="0" fillId="20" borderId="3" xfId="0" applyNumberFormat="1" applyFont="1" applyFill="1" applyBorder="1" applyAlignment="1">
      <alignment horizontal="center" vertical="center"/>
    </xf>
    <xf numFmtId="171" fontId="0" fillId="20" borderId="3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" fillId="0" borderId="3" xfId="0" applyNumberFormat="1" applyFont="1" applyFill="1" applyBorder="1" applyAlignment="1">
      <alignment horizontal="right" vertical="center"/>
    </xf>
    <xf numFmtId="3" fontId="0" fillId="0" borderId="3" xfId="0" applyNumberFormat="1" applyFont="1" applyFill="1" applyBorder="1" applyAlignment="1">
      <alignment horizontal="right" vertical="center"/>
    </xf>
    <xf numFmtId="3" fontId="0" fillId="0" borderId="3" xfId="0" applyNumberFormat="1" applyBorder="1" applyAlignment="1">
      <alignment horizontal="right" vertical="center"/>
    </xf>
    <xf numFmtId="3" fontId="0" fillId="2" borderId="2" xfId="0" quotePrefix="1" applyNumberFormat="1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NumberFormat="1" applyFont="1" applyAlignment="1">
      <alignment horizontal="center"/>
    </xf>
    <xf numFmtId="0" fontId="20" fillId="0" borderId="0" xfId="0" applyFont="1" applyAlignment="1">
      <alignment horizontal="right" vertical="center"/>
    </xf>
    <xf numFmtId="2" fontId="20" fillId="0" borderId="0" xfId="0" applyNumberFormat="1" applyFont="1" applyAlignment="1">
      <alignment horizontal="center" vertical="center"/>
    </xf>
    <xf numFmtId="164" fontId="0" fillId="0" borderId="0" xfId="0" applyNumberFormat="1"/>
    <xf numFmtId="10" fontId="1" fillId="2" borderId="2" xfId="0" applyNumberFormat="1" applyFont="1" applyFill="1" applyBorder="1" applyAlignment="1">
      <alignment horizontal="center" vertical="center"/>
    </xf>
    <xf numFmtId="164" fontId="0" fillId="23" borderId="3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/>
    <xf numFmtId="0" fontId="0" fillId="25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0" fillId="0" borderId="0" xfId="0" applyNumberFormat="1"/>
    <xf numFmtId="0" fontId="19" fillId="0" borderId="0" xfId="0" applyFont="1" applyAlignment="1">
      <alignment horizontal="right"/>
    </xf>
    <xf numFmtId="0" fontId="13" fillId="0" borderId="0" xfId="0" applyFont="1"/>
    <xf numFmtId="0" fontId="0" fillId="0" borderId="0" xfId="0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26" fillId="17" borderId="1" xfId="0" applyFont="1" applyFill="1" applyBorder="1" applyAlignment="1">
      <alignment vertical="center"/>
    </xf>
    <xf numFmtId="0" fontId="3" fillId="17" borderId="1" xfId="0" applyFont="1" applyFill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0" fillId="0" borderId="17" xfId="0" applyFont="1" applyBorder="1" applyAlignment="1">
      <alignment horizontal="right"/>
    </xf>
    <xf numFmtId="169" fontId="0" fillId="0" borderId="3" xfId="0" applyNumberFormat="1" applyFont="1" applyBorder="1" applyAlignment="1">
      <alignment horizontal="center" vertical="center"/>
    </xf>
    <xf numFmtId="169" fontId="0" fillId="0" borderId="14" xfId="0" applyNumberFormat="1" applyFont="1" applyBorder="1" applyAlignment="1">
      <alignment horizontal="center" vertical="center"/>
    </xf>
    <xf numFmtId="0" fontId="0" fillId="0" borderId="21" xfId="0" applyBorder="1"/>
    <xf numFmtId="0" fontId="0" fillId="0" borderId="20" xfId="0" applyFont="1" applyBorder="1" applyAlignment="1">
      <alignment horizontal="right" vertical="center"/>
    </xf>
    <xf numFmtId="0" fontId="0" fillId="0" borderId="20" xfId="0" applyFont="1" applyBorder="1" applyAlignment="1">
      <alignment horizontal="right"/>
    </xf>
    <xf numFmtId="169" fontId="0" fillId="0" borderId="0" xfId="0" applyNumberFormat="1" applyAlignment="1">
      <alignment horizontal="center"/>
    </xf>
    <xf numFmtId="164" fontId="0" fillId="20" borderId="3" xfId="0" applyNumberFormat="1" applyFont="1" applyFill="1" applyBorder="1" applyAlignment="1">
      <alignment horizontal="center" vertical="center"/>
    </xf>
    <xf numFmtId="3" fontId="0" fillId="20" borderId="3" xfId="0" applyNumberFormat="1" applyFont="1" applyFill="1" applyBorder="1" applyAlignment="1">
      <alignment horizontal="center" vertical="center"/>
    </xf>
    <xf numFmtId="0" fontId="19" fillId="0" borderId="0" xfId="0" applyNumberFormat="1" applyFont="1" applyAlignment="1">
      <alignment horizontal="right"/>
    </xf>
    <xf numFmtId="0" fontId="3" fillId="0" borderId="0" xfId="0" applyFont="1" applyFill="1" applyBorder="1" applyAlignment="1">
      <alignment horizontal="right" vertical="center"/>
    </xf>
    <xf numFmtId="170" fontId="1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3" fontId="0" fillId="0" borderId="0" xfId="0" applyNumberFormat="1" applyAlignment="1">
      <alignment vertical="center"/>
    </xf>
    <xf numFmtId="1" fontId="1" fillId="16" borderId="16" xfId="0" applyNumberFormat="1" applyFont="1" applyFill="1" applyBorder="1" applyAlignment="1">
      <alignment horizontal="center" vertical="center"/>
    </xf>
    <xf numFmtId="169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23" borderId="7" xfId="0" applyFill="1" applyBorder="1"/>
    <xf numFmtId="0" fontId="0" fillId="23" borderId="8" xfId="0" applyFill="1" applyBorder="1"/>
    <xf numFmtId="0" fontId="31" fillId="23" borderId="8" xfId="0" applyFont="1" applyFill="1" applyBorder="1" applyAlignment="1">
      <alignment horizontal="right" vertical="center"/>
    </xf>
    <xf numFmtId="0" fontId="0" fillId="23" borderId="9" xfId="0" applyFill="1" applyBorder="1"/>
    <xf numFmtId="172" fontId="0" fillId="0" borderId="0" xfId="0" applyNumberFormat="1" applyAlignment="1">
      <alignment horizontal="center" vertical="center"/>
    </xf>
    <xf numFmtId="0" fontId="0" fillId="0" borderId="12" xfId="0" applyFont="1" applyFill="1" applyBorder="1" applyAlignment="1">
      <alignment horizontal="right" vertical="center"/>
    </xf>
    <xf numFmtId="169" fontId="0" fillId="0" borderId="0" xfId="0" applyNumberFormat="1" applyAlignment="1">
      <alignment vertical="center"/>
    </xf>
    <xf numFmtId="0" fontId="3" fillId="0" borderId="0" xfId="0" applyFont="1" applyAlignment="1">
      <alignment horizontal="center"/>
    </xf>
    <xf numFmtId="10" fontId="0" fillId="0" borderId="0" xfId="0" applyNumberFormat="1" applyAlignment="1">
      <alignment vertical="center"/>
    </xf>
    <xf numFmtId="169" fontId="0" fillId="0" borderId="0" xfId="0" applyNumberFormat="1" applyAlignment="1">
      <alignment horizontal="right"/>
    </xf>
    <xf numFmtId="0" fontId="31" fillId="23" borderId="8" xfId="0" applyFont="1" applyFill="1" applyBorder="1"/>
    <xf numFmtId="3" fontId="3" fillId="0" borderId="3" xfId="0" applyNumberFormat="1" applyFont="1" applyBorder="1"/>
    <xf numFmtId="0" fontId="33" fillId="0" borderId="0" xfId="0" applyFont="1" applyBorder="1" applyAlignment="1">
      <alignment vertical="center"/>
    </xf>
    <xf numFmtId="0" fontId="3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/>
    </xf>
    <xf numFmtId="170" fontId="0" fillId="23" borderId="3" xfId="0" applyNumberFormat="1" applyFill="1" applyBorder="1" applyAlignment="1">
      <alignment horizontal="center" vertical="center"/>
    </xf>
    <xf numFmtId="1" fontId="0" fillId="23" borderId="3" xfId="0" applyNumberForma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2" fontId="0" fillId="23" borderId="3" xfId="0" applyNumberFormat="1" applyFill="1" applyBorder="1" applyAlignment="1">
      <alignment horizontal="center" vertical="center"/>
    </xf>
    <xf numFmtId="0" fontId="0" fillId="15" borderId="7" xfId="0" applyFill="1" applyBorder="1"/>
    <xf numFmtId="0" fontId="0" fillId="15" borderId="8" xfId="0" applyFill="1" applyBorder="1"/>
    <xf numFmtId="0" fontId="23" fillId="15" borderId="8" xfId="0" applyFont="1" applyFill="1" applyBorder="1"/>
    <xf numFmtId="0" fontId="0" fillId="15" borderId="9" xfId="0" applyFill="1" applyBorder="1"/>
    <xf numFmtId="0" fontId="34" fillId="0" borderId="0" xfId="0" applyNumberFormat="1" applyFont="1" applyAlignment="1">
      <alignment horizontal="center" wrapText="1"/>
    </xf>
    <xf numFmtId="0" fontId="34" fillId="0" borderId="0" xfId="0" applyNumberFormat="1" applyFont="1" applyAlignment="1">
      <alignment horizontal="left"/>
    </xf>
    <xf numFmtId="0" fontId="34" fillId="0" borderId="0" xfId="0" applyNumberFormat="1" applyFont="1" applyAlignment="1"/>
    <xf numFmtId="0" fontId="0" fillId="29" borderId="22" xfId="0" applyFill="1" applyBorder="1"/>
    <xf numFmtId="0" fontId="0" fillId="29" borderId="23" xfId="0" applyFill="1" applyBorder="1"/>
    <xf numFmtId="0" fontId="0" fillId="29" borderId="23" xfId="0" applyFill="1" applyBorder="1" applyAlignment="1">
      <alignment horizontal="right" vertical="center"/>
    </xf>
    <xf numFmtId="0" fontId="0" fillId="29" borderId="23" xfId="0" applyNumberFormat="1" applyFill="1" applyBorder="1" applyAlignment="1">
      <alignment horizontal="center" vertical="center"/>
    </xf>
    <xf numFmtId="0" fontId="0" fillId="29" borderId="24" xfId="0" applyFill="1" applyBorder="1"/>
    <xf numFmtId="0" fontId="0" fillId="29" borderId="25" xfId="0" applyFill="1" applyBorder="1"/>
    <xf numFmtId="0" fontId="3" fillId="29" borderId="0" xfId="0" applyFont="1" applyFill="1" applyBorder="1" applyAlignment="1">
      <alignment horizontal="center"/>
    </xf>
    <xf numFmtId="0" fontId="0" fillId="29" borderId="0" xfId="0" applyFill="1" applyBorder="1"/>
    <xf numFmtId="0" fontId="3" fillId="29" borderId="0" xfId="0" applyFont="1" applyFill="1" applyBorder="1" applyAlignment="1">
      <alignment horizontal="center" vertical="center"/>
    </xf>
    <xf numFmtId="0" fontId="0" fillId="29" borderId="0" xfId="0" applyFill="1" applyBorder="1" applyAlignment="1">
      <alignment horizontal="right" vertical="center"/>
    </xf>
    <xf numFmtId="0" fontId="0" fillId="29" borderId="26" xfId="0" applyFill="1" applyBorder="1"/>
    <xf numFmtId="3" fontId="0" fillId="30" borderId="2" xfId="0" quotePrefix="1" applyNumberFormat="1" applyFont="1" applyFill="1" applyBorder="1" applyAlignment="1">
      <alignment horizontal="center" vertical="center"/>
    </xf>
    <xf numFmtId="0" fontId="0" fillId="29" borderId="0" xfId="0" applyFill="1" applyBorder="1" applyAlignment="1">
      <alignment horizontal="center" vertical="center"/>
    </xf>
    <xf numFmtId="0" fontId="3" fillId="29" borderId="25" xfId="0" applyFont="1" applyFill="1" applyBorder="1" applyAlignment="1">
      <alignment horizontal="center" vertical="center"/>
    </xf>
    <xf numFmtId="0" fontId="3" fillId="29" borderId="7" xfId="0" applyFont="1" applyFill="1" applyBorder="1" applyAlignment="1">
      <alignment horizontal="left" vertical="center"/>
    </xf>
    <xf numFmtId="0" fontId="3" fillId="29" borderId="15" xfId="0" applyFont="1" applyFill="1" applyBorder="1" applyAlignment="1">
      <alignment horizontal="center" vertical="center"/>
    </xf>
    <xf numFmtId="0" fontId="3" fillId="29" borderId="0" xfId="0" applyFont="1" applyFill="1" applyBorder="1" applyAlignment="1">
      <alignment horizontal="right" vertical="center"/>
    </xf>
    <xf numFmtId="9" fontId="1" fillId="30" borderId="18" xfId="0" applyNumberFormat="1" applyFont="1" applyFill="1" applyBorder="1" applyAlignment="1">
      <alignment horizontal="center" vertical="center"/>
    </xf>
    <xf numFmtId="2" fontId="0" fillId="29" borderId="25" xfId="0" applyNumberFormat="1" applyFill="1" applyBorder="1" applyAlignment="1">
      <alignment horizontal="center"/>
    </xf>
    <xf numFmtId="3" fontId="3" fillId="29" borderId="3" xfId="0" applyNumberFormat="1" applyFont="1" applyFill="1" applyBorder="1"/>
    <xf numFmtId="0" fontId="34" fillId="29" borderId="0" xfId="0" applyFont="1" applyFill="1" applyBorder="1" applyAlignment="1">
      <alignment vertical="center"/>
    </xf>
    <xf numFmtId="164" fontId="0" fillId="29" borderId="3" xfId="0" applyNumberFormat="1" applyFill="1" applyBorder="1" applyAlignment="1">
      <alignment horizontal="center" vertical="center"/>
    </xf>
    <xf numFmtId="0" fontId="3" fillId="29" borderId="0" xfId="0" applyFont="1" applyFill="1" applyBorder="1" applyAlignment="1">
      <alignment vertical="center"/>
    </xf>
    <xf numFmtId="0" fontId="3" fillId="29" borderId="0" xfId="0" applyFont="1" applyFill="1" applyBorder="1"/>
    <xf numFmtId="170" fontId="1" fillId="30" borderId="2" xfId="0" applyNumberFormat="1" applyFont="1" applyFill="1" applyBorder="1" applyAlignment="1">
      <alignment horizontal="center" vertical="center"/>
    </xf>
    <xf numFmtId="170" fontId="0" fillId="29" borderId="3" xfId="0" applyNumberFormat="1" applyFill="1" applyBorder="1" applyAlignment="1">
      <alignment horizontal="center" vertical="center"/>
    </xf>
    <xf numFmtId="1" fontId="0" fillId="29" borderId="3" xfId="0" applyNumberFormat="1" applyFill="1" applyBorder="1" applyAlignment="1">
      <alignment horizontal="center" vertical="center"/>
    </xf>
    <xf numFmtId="0" fontId="3" fillId="29" borderId="0" xfId="0" applyFont="1" applyFill="1" applyBorder="1" applyAlignment="1">
      <alignment horizontal="right"/>
    </xf>
    <xf numFmtId="0" fontId="0" fillId="29" borderId="0" xfId="0" applyFill="1" applyBorder="1" applyAlignment="1">
      <alignment horizontal="right"/>
    </xf>
    <xf numFmtId="2" fontId="0" fillId="29" borderId="3" xfId="0" applyNumberFormat="1" applyFill="1" applyBorder="1" applyAlignment="1">
      <alignment horizontal="center" vertical="center"/>
    </xf>
    <xf numFmtId="0" fontId="34" fillId="29" borderId="0" xfId="0" applyNumberFormat="1" applyFont="1" applyFill="1" applyBorder="1" applyAlignment="1">
      <alignment horizontal="left"/>
    </xf>
    <xf numFmtId="2" fontId="0" fillId="29" borderId="25" xfId="0" applyNumberFormat="1" applyFill="1" applyBorder="1"/>
    <xf numFmtId="2" fontId="0" fillId="29" borderId="0" xfId="0" applyNumberFormat="1" applyFill="1" applyBorder="1" applyAlignment="1">
      <alignment horizontal="center" vertical="center"/>
    </xf>
    <xf numFmtId="0" fontId="34" fillId="29" borderId="0" xfId="0" applyNumberFormat="1" applyFont="1" applyFill="1" applyBorder="1" applyAlignment="1"/>
    <xf numFmtId="0" fontId="0" fillId="29" borderId="28" xfId="0" applyFill="1" applyBorder="1"/>
    <xf numFmtId="0" fontId="0" fillId="29" borderId="29" xfId="0" applyFill="1" applyBorder="1"/>
    <xf numFmtId="0" fontId="0" fillId="29" borderId="30" xfId="0" applyFill="1" applyBorder="1"/>
    <xf numFmtId="0" fontId="23" fillId="23" borderId="8" xfId="0" applyFont="1" applyFill="1" applyBorder="1"/>
    <xf numFmtId="0" fontId="0" fillId="23" borderId="27" xfId="0" applyFill="1" applyBorder="1"/>
    <xf numFmtId="9" fontId="0" fillId="0" borderId="0" xfId="0" applyNumberFormat="1"/>
    <xf numFmtId="9" fontId="0" fillId="23" borderId="3" xfId="0" applyNumberFormat="1" applyFill="1" applyBorder="1" applyAlignment="1">
      <alignment horizontal="center" vertical="center"/>
    </xf>
    <xf numFmtId="170" fontId="0" fillId="0" borderId="3" xfId="0" applyNumberFormat="1" applyBorder="1" applyAlignment="1">
      <alignment horizontal="center" vertical="center"/>
    </xf>
    <xf numFmtId="170" fontId="0" fillId="31" borderId="3" xfId="0" applyNumberForma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33" fillId="0" borderId="0" xfId="0" applyFont="1"/>
    <xf numFmtId="3" fontId="3" fillId="23" borderId="3" xfId="0" applyNumberFormat="1" applyFont="1" applyFill="1" applyBorder="1" applyAlignment="1">
      <alignment shrinkToFit="1"/>
    </xf>
    <xf numFmtId="0" fontId="0" fillId="0" borderId="0" xfId="0" applyFont="1" applyAlignment="1">
      <alignment horizontal="right" vertical="center"/>
    </xf>
    <xf numFmtId="0" fontId="34" fillId="0" borderId="0" xfId="0" applyFont="1" applyBorder="1" applyAlignment="1">
      <alignment vertical="center" wrapText="1"/>
    </xf>
    <xf numFmtId="0" fontId="0" fillId="21" borderId="0" xfId="0" applyFill="1"/>
    <xf numFmtId="0" fontId="3" fillId="14" borderId="7" xfId="0" applyFont="1" applyFill="1" applyBorder="1" applyAlignment="1">
      <alignment horizontal="center" vertical="center"/>
    </xf>
    <xf numFmtId="0" fontId="3" fillId="14" borderId="8" xfId="0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0" fontId="29" fillId="28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4" fillId="0" borderId="0" xfId="0" applyNumberFormat="1" applyFont="1" applyAlignment="1">
      <alignment horizontal="center" wrapText="1"/>
    </xf>
    <xf numFmtId="0" fontId="0" fillId="19" borderId="8" xfId="0" applyFont="1" applyFill="1" applyBorder="1" applyAlignment="1">
      <alignment horizontal="center"/>
    </xf>
    <xf numFmtId="0" fontId="0" fillId="19" borderId="1" xfId="0" applyFont="1" applyFill="1" applyBorder="1" applyAlignment="1">
      <alignment horizontal="center"/>
    </xf>
    <xf numFmtId="0" fontId="34" fillId="0" borderId="0" xfId="0" applyFont="1" applyBorder="1" applyAlignment="1">
      <alignment horizontal="center" vertical="center" wrapText="1"/>
    </xf>
    <xf numFmtId="0" fontId="31" fillId="23" borderId="7" xfId="0" applyFont="1" applyFill="1" applyBorder="1" applyAlignment="1">
      <alignment horizontal="center"/>
    </xf>
    <xf numFmtId="0" fontId="31" fillId="23" borderId="8" xfId="0" applyFont="1" applyFill="1" applyBorder="1" applyAlignment="1">
      <alignment horizontal="center"/>
    </xf>
    <xf numFmtId="0" fontId="31" fillId="23" borderId="9" xfId="0" applyFont="1" applyFill="1" applyBorder="1" applyAlignment="1">
      <alignment horizontal="center"/>
    </xf>
    <xf numFmtId="0" fontId="23" fillId="15" borderId="7" xfId="0" applyFont="1" applyFill="1" applyBorder="1" applyAlignment="1">
      <alignment horizontal="center" vertical="center"/>
    </xf>
    <xf numFmtId="0" fontId="23" fillId="15" borderId="8" xfId="0" applyFont="1" applyFill="1" applyBorder="1" applyAlignment="1">
      <alignment horizontal="center" vertical="center"/>
    </xf>
    <xf numFmtId="0" fontId="23" fillId="15" borderId="9" xfId="0" applyFont="1" applyFill="1" applyBorder="1" applyAlignment="1">
      <alignment horizontal="center" vertical="center"/>
    </xf>
    <xf numFmtId="0" fontId="3" fillId="17" borderId="0" xfId="0" applyFont="1" applyFill="1" applyBorder="1" applyAlignment="1">
      <alignment horizontal="center" vertical="center"/>
    </xf>
    <xf numFmtId="0" fontId="23" fillId="15" borderId="13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0" fontId="23" fillId="15" borderId="17" xfId="0" applyFont="1" applyFill="1" applyBorder="1" applyAlignment="1">
      <alignment horizontal="center" vertical="center"/>
    </xf>
    <xf numFmtId="0" fontId="35" fillId="0" borderId="0" xfId="0" applyNumberFormat="1" applyFont="1" applyAlignment="1">
      <alignment horizontal="center" wrapText="1"/>
    </xf>
    <xf numFmtId="0" fontId="3" fillId="29" borderId="0" xfId="0" applyFont="1" applyFill="1" applyBorder="1" applyAlignment="1">
      <alignment horizontal="center" vertical="center" wrapText="1"/>
    </xf>
    <xf numFmtId="0" fontId="3" fillId="29" borderId="0" xfId="0" applyFont="1" applyFill="1" applyBorder="1" applyAlignment="1">
      <alignment horizontal="center"/>
    </xf>
    <xf numFmtId="0" fontId="23" fillId="23" borderId="7" xfId="0" applyFont="1" applyFill="1" applyBorder="1" applyAlignment="1">
      <alignment horizontal="center"/>
    </xf>
    <xf numFmtId="0" fontId="23" fillId="23" borderId="8" xfId="0" applyFont="1" applyFill="1" applyBorder="1" applyAlignment="1">
      <alignment horizontal="center"/>
    </xf>
    <xf numFmtId="0" fontId="23" fillId="23" borderId="9" xfId="0" applyFont="1" applyFill="1" applyBorder="1" applyAlignment="1">
      <alignment horizontal="center"/>
    </xf>
  </cellXfs>
  <cellStyles count="25">
    <cellStyle name="AuditCheck" xfId="1"/>
    <cellStyle name="CalcDataFree" xfId="2"/>
    <cellStyle name="CalcDataLimn" xfId="3"/>
    <cellStyle name="CalculatedData" xfId="4"/>
    <cellStyle name="ControlledCell" xfId="5"/>
    <cellStyle name="DataBlock" xfId="6"/>
    <cellStyle name="Diagnostic" xfId="7"/>
    <cellStyle name="Heading1" xfId="8"/>
    <cellStyle name="Heading2" xfId="9"/>
    <cellStyle name="Heading3" xfId="10"/>
    <cellStyle name="Heading4" xfId="11"/>
    <cellStyle name="Heading5" xfId="12"/>
    <cellStyle name="Heading6" xfId="13"/>
    <cellStyle name="Heading7" xfId="14"/>
    <cellStyle name="Hidden" xfId="15"/>
    <cellStyle name="ManualLinks" xfId="16"/>
    <cellStyle name="Normal" xfId="0" builtinId="0"/>
    <cellStyle name="Normal 2" xfId="17"/>
    <cellStyle name="Normal 3" xfId="18"/>
    <cellStyle name="NormalFree_CoalWizard" xfId="19"/>
    <cellStyle name="NormalProtected" xfId="20"/>
    <cellStyle name="NormalUnprotected" xfId="21"/>
    <cellStyle name="UserFormula" xfId="22"/>
    <cellStyle name="UserInput" xfId="23"/>
    <cellStyle name="UserText" xfId="24"/>
  </cellStyles>
  <dxfs count="0"/>
  <tableStyles count="0" defaultTableStyle="TableStyleMedium2" defaultPivotStyle="PivotStyleLight16"/>
  <colors>
    <mruColors>
      <color rgb="FFE5E2D3"/>
      <color rgb="FFDCD8C2"/>
      <color rgb="FFFFEEB7"/>
      <color rgb="FF007635"/>
      <color rgb="FFFF4747"/>
      <color rgb="FFFDC3DF"/>
      <color rgb="FFFFA7A7"/>
      <color rgb="FFFFF4D1"/>
      <color rgb="FFFFFF99"/>
      <color rgb="FFD6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Heat Content of Gas Species</a:t>
            </a:r>
            <a:r>
              <a:rPr lang="en-US" sz="1400" baseline="0"/>
              <a:t> Above 25°C</a:t>
            </a:r>
            <a:endParaRPr lang="en-US" sz="1400"/>
          </a:p>
        </c:rich>
      </c:tx>
      <c:layout>
        <c:manualLayout>
          <c:xMode val="edge"/>
          <c:yMode val="edge"/>
          <c:x val="0.28346242894442758"/>
          <c:y val="8.090924149178802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4953330542361"/>
          <c:y val="8.6031909022197733E-2"/>
          <c:w val="0.83345629477860994"/>
          <c:h val="0.80783607807520064"/>
        </c:manualLayout>
      </c:layout>
      <c:scatterChart>
        <c:scatterStyle val="lineMarker"/>
        <c:varyColors val="0"/>
        <c:ser>
          <c:idx val="0"/>
          <c:order val="0"/>
          <c:tx>
            <c:v>CO</c:v>
          </c:tx>
          <c:spPr>
            <a:ln w="28575">
              <a:noFill/>
            </a:ln>
          </c:spPr>
          <c:marker>
            <c:symbol val="diamond"/>
            <c:size val="4"/>
          </c:marker>
          <c:trendline>
            <c:name>.</c:name>
            <c:trendlineType val="poly"/>
            <c:order val="2"/>
            <c:dispRSqr val="0"/>
            <c:dispEq val="1"/>
            <c:trendlineLbl>
              <c:layout>
                <c:manualLayout>
                  <c:x val="-0.33872655228627263"/>
                  <c:y val="-0.28125320237223933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CO = 1.673E-03x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+ 3.108E+01x - 1.803E+03</a:t>
                    </a:r>
                    <a:endParaRPr lang="en-US"/>
                  </a:p>
                </c:rich>
              </c:tx>
              <c:numFmt formatCode="0.000E+00" sourceLinked="0"/>
              <c:spPr>
                <a:solidFill>
                  <a:schemeClr val="accent1">
                    <a:lumMod val="40000"/>
                    <a:lumOff val="60000"/>
                  </a:schemeClr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Calcs!$B$49:$B$58</c:f>
              <c:numCache>
                <c:formatCode>General</c:formatCode>
                <c:ptCount val="10"/>
                <c:pt idx="0">
                  <c:v>800.00000000000011</c:v>
                </c:pt>
                <c:pt idx="1">
                  <c:v>860.00000000000011</c:v>
                </c:pt>
                <c:pt idx="2">
                  <c:v>920.00000000000011</c:v>
                </c:pt>
                <c:pt idx="3">
                  <c:v>980.00000000000011</c:v>
                </c:pt>
                <c:pt idx="4">
                  <c:v>1040</c:v>
                </c:pt>
                <c:pt idx="5">
                  <c:v>1100</c:v>
                </c:pt>
                <c:pt idx="6">
                  <c:v>1160</c:v>
                </c:pt>
                <c:pt idx="7">
                  <c:v>1220</c:v>
                </c:pt>
                <c:pt idx="8">
                  <c:v>1280</c:v>
                </c:pt>
                <c:pt idx="9">
                  <c:v>1400</c:v>
                </c:pt>
              </c:numCache>
            </c:numRef>
          </c:xVal>
          <c:yVal>
            <c:numRef>
              <c:f>Calcs!$F$49:$F$58</c:f>
              <c:numCache>
                <c:formatCode>0</c:formatCode>
                <c:ptCount val="10"/>
                <c:pt idx="0">
                  <c:v>24138.182714412396</c:v>
                </c:pt>
                <c:pt idx="1">
                  <c:v>26162.373167546968</c:v>
                </c:pt>
                <c:pt idx="2">
                  <c:v>28202.915697447628</c:v>
                </c:pt>
                <c:pt idx="3">
                  <c:v>30258.541658277802</c:v>
                </c:pt>
                <c:pt idx="4">
                  <c:v>32328.091418386543</c:v>
                </c:pt>
                <c:pt idx="5">
                  <c:v>34410.50598471157</c:v>
                </c:pt>
                <c:pt idx="6">
                  <c:v>36504.818438903676</c:v>
                </c:pt>
                <c:pt idx="7">
                  <c:v>38610.145657961097</c:v>
                </c:pt>
                <c:pt idx="8">
                  <c:v>40725.680555711144</c:v>
                </c:pt>
                <c:pt idx="9">
                  <c:v>44984.483054531476</c:v>
                </c:pt>
              </c:numCache>
            </c:numRef>
          </c:yVal>
          <c:smooth val="0"/>
        </c:ser>
        <c:ser>
          <c:idx val="1"/>
          <c:order val="1"/>
          <c:tx>
            <c:v>N2</c:v>
          </c:tx>
          <c:spPr>
            <a:ln w="28575">
              <a:noFill/>
            </a:ln>
          </c:spPr>
          <c:marker>
            <c:symbol val="square"/>
            <c:size val="3"/>
          </c:marker>
          <c:trendline>
            <c:name>.</c:name>
            <c:trendlineType val="poly"/>
            <c:order val="2"/>
            <c:dispRSqr val="0"/>
            <c:dispEq val="1"/>
            <c:trendlineLbl>
              <c:layout>
                <c:manualLayout>
                  <c:x val="-0.34230660204457281"/>
                  <c:y val="-0.21204268823966671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N2 = 1.823E-03x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+ 3.028E+01x - 1.508E+03</a:t>
                    </a:r>
                    <a:endParaRPr lang="en-US"/>
                  </a:p>
                </c:rich>
              </c:tx>
              <c:numFmt formatCode="0.000E+00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Calcs!$B$49:$B$58</c:f>
              <c:numCache>
                <c:formatCode>General</c:formatCode>
                <c:ptCount val="10"/>
                <c:pt idx="0">
                  <c:v>800.00000000000011</c:v>
                </c:pt>
                <c:pt idx="1">
                  <c:v>860.00000000000011</c:v>
                </c:pt>
                <c:pt idx="2">
                  <c:v>920.00000000000011</c:v>
                </c:pt>
                <c:pt idx="3">
                  <c:v>980.00000000000011</c:v>
                </c:pt>
                <c:pt idx="4">
                  <c:v>1040</c:v>
                </c:pt>
                <c:pt idx="5">
                  <c:v>1100</c:v>
                </c:pt>
                <c:pt idx="6">
                  <c:v>1160</c:v>
                </c:pt>
                <c:pt idx="7">
                  <c:v>1220</c:v>
                </c:pt>
                <c:pt idx="8">
                  <c:v>1280</c:v>
                </c:pt>
                <c:pt idx="9">
                  <c:v>1400</c:v>
                </c:pt>
              </c:numCache>
            </c:numRef>
          </c:xVal>
          <c:yVal>
            <c:numRef>
              <c:f>Calcs!$C$49:$C$58</c:f>
              <c:numCache>
                <c:formatCode>0</c:formatCode>
                <c:ptCount val="10"/>
                <c:pt idx="0">
                  <c:v>23889.773399868041</c:v>
                </c:pt>
                <c:pt idx="1">
                  <c:v>25882.641678718224</c:v>
                </c:pt>
                <c:pt idx="2">
                  <c:v>27891.891619381942</c:v>
                </c:pt>
                <c:pt idx="3">
                  <c:v>29916.62882429544</c:v>
                </c:pt>
                <c:pt idx="4">
                  <c:v>31956.00560542311</c:v>
                </c:pt>
                <c:pt idx="5">
                  <c:v>34009.217565814979</c:v>
                </c:pt>
                <c:pt idx="6">
                  <c:v>36075.50003244714</c:v>
                </c:pt>
                <c:pt idx="7">
                  <c:v>38154.124566690487</c:v>
                </c:pt>
                <c:pt idx="8">
                  <c:v>40244.395669099853</c:v>
                </c:pt>
                <c:pt idx="9">
                  <c:v>44457.242257133104</c:v>
                </c:pt>
              </c:numCache>
            </c:numRef>
          </c:yVal>
          <c:smooth val="0"/>
        </c:ser>
        <c:ser>
          <c:idx val="2"/>
          <c:order val="2"/>
          <c:tx>
            <c:v>H2O</c:v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chemeClr val="accent3">
                  <a:lumMod val="50000"/>
                </a:schemeClr>
              </a:solidFill>
            </c:spPr>
          </c:marker>
          <c:trendline>
            <c:name>.</c:name>
            <c:trendlineType val="poly"/>
            <c:order val="2"/>
            <c:dispRSqr val="0"/>
            <c:dispEq val="1"/>
            <c:trendlineLbl>
              <c:layout>
                <c:manualLayout>
                  <c:x val="-0.32624068861657723"/>
                  <c:y val="-0.20182500755564781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H2O = 5.294E-03x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+ 3.387E+01x - 1.436E+03</a:t>
                    </a:r>
                    <a:endParaRPr lang="en-US"/>
                  </a:p>
                </c:rich>
              </c:tx>
              <c:numFmt formatCode="0.000E+00" sourceLinked="0"/>
              <c:spPr>
                <a:solidFill>
                  <a:schemeClr val="bg2">
                    <a:lumMod val="75000"/>
                  </a:schemeClr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Calcs!$B$49:$B$58</c:f>
              <c:numCache>
                <c:formatCode>General</c:formatCode>
                <c:ptCount val="10"/>
                <c:pt idx="0">
                  <c:v>800.00000000000011</c:v>
                </c:pt>
                <c:pt idx="1">
                  <c:v>860.00000000000011</c:v>
                </c:pt>
                <c:pt idx="2">
                  <c:v>920.00000000000011</c:v>
                </c:pt>
                <c:pt idx="3">
                  <c:v>980.00000000000011</c:v>
                </c:pt>
                <c:pt idx="4">
                  <c:v>1040</c:v>
                </c:pt>
                <c:pt idx="5">
                  <c:v>1100</c:v>
                </c:pt>
                <c:pt idx="6">
                  <c:v>1160</c:v>
                </c:pt>
                <c:pt idx="7">
                  <c:v>1220</c:v>
                </c:pt>
                <c:pt idx="8">
                  <c:v>1280</c:v>
                </c:pt>
                <c:pt idx="9">
                  <c:v>1400</c:v>
                </c:pt>
              </c:numCache>
            </c:numRef>
          </c:xVal>
          <c:yVal>
            <c:numRef>
              <c:f>Calcs!$D$49:$D$58</c:f>
              <c:numCache>
                <c:formatCode>0</c:formatCode>
                <c:ptCount val="10"/>
                <c:pt idx="0">
                  <c:v>29051.280078113523</c:v>
                </c:pt>
                <c:pt idx="1">
                  <c:v>31602.983641055427</c:v>
                </c:pt>
                <c:pt idx="2">
                  <c:v>34196.889149084695</c:v>
                </c:pt>
                <c:pt idx="3">
                  <c:v>36832.081452394283</c:v>
                </c:pt>
                <c:pt idx="4">
                  <c:v>39507.585444019744</c:v>
                </c:pt>
                <c:pt idx="5">
                  <c:v>42222.376060866489</c:v>
                </c:pt>
                <c:pt idx="6">
                  <c:v>44975.386232434757</c:v>
                </c:pt>
                <c:pt idx="7">
                  <c:v>47765.5132702884</c:v>
                </c:pt>
                <c:pt idx="8">
                  <c:v>50591.624057063411</c:v>
                </c:pt>
                <c:pt idx="9">
                  <c:v>56347.137047937656</c:v>
                </c:pt>
              </c:numCache>
            </c:numRef>
          </c:yVal>
          <c:smooth val="0"/>
        </c:ser>
        <c:ser>
          <c:idx val="3"/>
          <c:order val="3"/>
          <c:tx>
            <c:v>CO2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>
                <a:solidFill>
                  <a:schemeClr val="tx1"/>
                </a:solidFill>
              </a:ln>
            </c:spPr>
          </c:marker>
          <c:trendline>
            <c:name>.</c:name>
            <c:trendlineType val="poly"/>
            <c:order val="2"/>
            <c:dispRSqr val="1"/>
            <c:dispEq val="1"/>
            <c:trendlineLbl>
              <c:layout>
                <c:manualLayout>
                  <c:x val="-0.32598946399545659"/>
                  <c:y val="-6.8986315564426401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CO2 = 3.331E-03x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+ 5.015E+01x - 4.845E+03</a:t>
                    </a:r>
                    <a:endParaRPr lang="en-US"/>
                  </a:p>
                </c:rich>
              </c:tx>
              <c:numFmt formatCode="0.000E+00" sourceLinked="0"/>
              <c:spPr>
                <a:solidFill>
                  <a:schemeClr val="bg1">
                    <a:lumMod val="85000"/>
                  </a:schemeClr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Calcs!$B$49:$B$58</c:f>
              <c:numCache>
                <c:formatCode>General</c:formatCode>
                <c:ptCount val="10"/>
                <c:pt idx="0">
                  <c:v>800.00000000000011</c:v>
                </c:pt>
                <c:pt idx="1">
                  <c:v>860.00000000000011</c:v>
                </c:pt>
                <c:pt idx="2">
                  <c:v>920.00000000000011</c:v>
                </c:pt>
                <c:pt idx="3">
                  <c:v>980.00000000000011</c:v>
                </c:pt>
                <c:pt idx="4">
                  <c:v>1040</c:v>
                </c:pt>
                <c:pt idx="5">
                  <c:v>1100</c:v>
                </c:pt>
                <c:pt idx="6">
                  <c:v>1160</c:v>
                </c:pt>
                <c:pt idx="7">
                  <c:v>1220</c:v>
                </c:pt>
                <c:pt idx="8">
                  <c:v>1280</c:v>
                </c:pt>
                <c:pt idx="9">
                  <c:v>1400</c:v>
                </c:pt>
              </c:numCache>
            </c:numRef>
          </c:xVal>
          <c:yVal>
            <c:numRef>
              <c:f>Calcs!$G$49:$G$58</c:f>
              <c:numCache>
                <c:formatCode>0</c:formatCode>
                <c:ptCount val="10"/>
                <c:pt idx="0">
                  <c:v>37416.781361471367</c:v>
                </c:pt>
                <c:pt idx="1">
                  <c:v>40740.957020020011</c:v>
                </c:pt>
                <c:pt idx="2">
                  <c:v>44098.90301482044</c:v>
                </c:pt>
                <c:pt idx="3">
                  <c:v>47487.602737612309</c:v>
                </c:pt>
                <c:pt idx="4">
                  <c:v>50904.38123896726</c:v>
                </c:pt>
                <c:pt idx="5">
                  <c:v>54346.857434752761</c:v>
                </c:pt>
                <c:pt idx="6">
                  <c:v>57812.904332258302</c:v>
                </c:pt>
                <c:pt idx="7">
                  <c:v>61300.615750207478</c:v>
                </c:pt>
                <c:pt idx="8">
                  <c:v>64808.278321336336</c:v>
                </c:pt>
                <c:pt idx="9">
                  <c:v>71877.429002522607</c:v>
                </c:pt>
              </c:numCache>
            </c:numRef>
          </c:yVal>
          <c:smooth val="0"/>
        </c:ser>
        <c:ser>
          <c:idx val="4"/>
          <c:order val="4"/>
          <c:tx>
            <c:v>H2</c:v>
          </c:tx>
          <c:spPr>
            <a:ln w="28575">
              <a:noFill/>
            </a:ln>
          </c:spPr>
          <c:marker>
            <c:symbol val="plus"/>
            <c:size val="7"/>
            <c:spPr>
              <a:ln w="19050">
                <a:solidFill>
                  <a:srgbClr val="DFDA00"/>
                </a:solidFill>
              </a:ln>
            </c:spPr>
          </c:marker>
          <c:trendline>
            <c:name>.</c:name>
            <c:trendlineType val="poly"/>
            <c:order val="2"/>
            <c:dispRSqr val="0"/>
            <c:dispEq val="1"/>
            <c:trendlineLbl>
              <c:layout>
                <c:manualLayout>
                  <c:x val="-0.34197674323322985"/>
                  <c:y val="-0.1710068660721332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H2 = 2.073E-03x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+ 2.718E+01x - 1.655E+02</a:t>
                    </a:r>
                    <a:endParaRPr lang="en-US"/>
                  </a:p>
                </c:rich>
              </c:tx>
              <c:numFmt formatCode="0.000E+00" sourceLinked="0"/>
              <c:spPr>
                <a:solidFill>
                  <a:srgbClr val="FFFF00"/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Calcs!$B$49:$B$58</c:f>
              <c:numCache>
                <c:formatCode>General</c:formatCode>
                <c:ptCount val="10"/>
                <c:pt idx="0">
                  <c:v>800.00000000000011</c:v>
                </c:pt>
                <c:pt idx="1">
                  <c:v>860.00000000000011</c:v>
                </c:pt>
                <c:pt idx="2">
                  <c:v>920.00000000000011</c:v>
                </c:pt>
                <c:pt idx="3">
                  <c:v>980.00000000000011</c:v>
                </c:pt>
                <c:pt idx="4">
                  <c:v>1040</c:v>
                </c:pt>
                <c:pt idx="5">
                  <c:v>1100</c:v>
                </c:pt>
                <c:pt idx="6">
                  <c:v>1160</c:v>
                </c:pt>
                <c:pt idx="7">
                  <c:v>1220</c:v>
                </c:pt>
                <c:pt idx="8">
                  <c:v>1280</c:v>
                </c:pt>
                <c:pt idx="9">
                  <c:v>1400</c:v>
                </c:pt>
              </c:numCache>
            </c:numRef>
          </c:xVal>
          <c:yVal>
            <c:numRef>
              <c:f>Calcs!$E$49:$E$58</c:f>
              <c:numCache>
                <c:formatCode>0</c:formatCode>
                <c:ptCount val="10"/>
                <c:pt idx="0">
                  <c:v>22902.008376534253</c:v>
                </c:pt>
                <c:pt idx="1">
                  <c:v>24740.306109302634</c:v>
                </c:pt>
                <c:pt idx="2">
                  <c:v>26592.647504424931</c:v>
                </c:pt>
                <c:pt idx="3">
                  <c:v>28459.434920657644</c:v>
                </c:pt>
                <c:pt idx="4">
                  <c:v>30340.965987679323</c:v>
                </c:pt>
                <c:pt idx="5">
                  <c:v>32237.44637255447</c:v>
                </c:pt>
                <c:pt idx="6">
                  <c:v>34149.000840739558</c:v>
                </c:pt>
                <c:pt idx="7">
                  <c:v>36075.682816356755</c:v>
                </c:pt>
                <c:pt idx="8">
                  <c:v>38017.482642361676</c:v>
                </c:pt>
                <c:pt idx="9">
                  <c:v>41946.12371742745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58080"/>
        <c:axId val="150960000"/>
      </c:scatterChart>
      <c:valAx>
        <c:axId val="150958080"/>
        <c:scaling>
          <c:orientation val="minMax"/>
          <c:max val="1400"/>
          <c:min val="8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temperature, deg. C</a:t>
                </a:r>
              </a:p>
            </c:rich>
          </c:tx>
          <c:layout>
            <c:manualLayout>
              <c:xMode val="edge"/>
              <c:yMode val="edge"/>
              <c:x val="0.43684420730422729"/>
              <c:y val="0.93748839343259438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150960000"/>
        <c:crosses val="autoZero"/>
        <c:crossBetween val="midCat"/>
        <c:majorUnit val="200"/>
      </c:valAx>
      <c:valAx>
        <c:axId val="150960000"/>
        <c:scaling>
          <c:orientation val="minMax"/>
          <c:max val="80000"/>
          <c:min val="20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heat content, J/mol</a:t>
                </a:r>
              </a:p>
            </c:rich>
          </c:tx>
          <c:layout>
            <c:manualLayout>
              <c:xMode val="edge"/>
              <c:yMode val="edge"/>
              <c:x val="2.9992454767872596E-3"/>
              <c:y val="0.3237982851024152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50958080"/>
        <c:crosses val="autoZero"/>
        <c:crossBetween val="midCat"/>
      </c:valAx>
      <c:spPr>
        <a:solidFill>
          <a:schemeClr val="bg1">
            <a:lumMod val="75000"/>
          </a:schemeClr>
        </a:solidFill>
      </c:spPr>
    </c:plotArea>
    <c:plotVisOnly val="1"/>
    <c:dispBlanksAs val="gap"/>
    <c:showDLblsOverMax val="0"/>
  </c:chart>
  <c:spPr>
    <a:solidFill>
      <a:srgbClr val="CC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Arial"/>
                <a:ea typeface="Arial"/>
                <a:cs typeface="Arial"/>
              </a:defRPr>
            </a:pPr>
            <a:r>
              <a:rPr lang="en-US"/>
              <a:t>WGS Reaction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96690126123615"/>
          <c:y val="0.10679514711010776"/>
          <c:w val="0.81088088724850016"/>
          <c:h val="0.71018996751280206"/>
        </c:manualLayout>
      </c:layout>
      <c:scatterChart>
        <c:scatterStyle val="lineMarker"/>
        <c:varyColors val="0"/>
        <c:ser>
          <c:idx val="0"/>
          <c:order val="0"/>
          <c:tx>
            <c:v>LogK</c:v>
          </c:tx>
          <c:spPr>
            <a:ln w="19050">
              <a:noFill/>
            </a:ln>
          </c:spPr>
          <c:marker>
            <c:symbol val="diamond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trendline>
            <c:name>.</c:name>
            <c:trendlineType val="linear"/>
            <c:dispRSqr val="0"/>
            <c:dispEq val="1"/>
            <c:trendlineLbl>
              <c:layout>
                <c:manualLayout>
                  <c:x val="-9.365380854655514E-2"/>
                  <c:y val="-0.56022502431951249"/>
                </c:manualLayout>
              </c:layout>
              <c:tx>
                <c:rich>
                  <a:bodyPr/>
                  <a:lstStyle/>
                  <a:p>
                    <a:pPr>
                      <a:defRPr sz="1100">
                        <a:latin typeface="Arial" pitchFamily="34" charset="0"/>
                        <a:cs typeface="Arial" pitchFamily="34" charset="0"/>
                      </a:defRPr>
                    </a:pPr>
                    <a:r>
                      <a:rPr lang="en-US" sz="1100" baseline="0">
                        <a:latin typeface="Arial" pitchFamily="34" charset="0"/>
                        <a:cs typeface="Arial" pitchFamily="34" charset="0"/>
                      </a:rPr>
                      <a:t>logKrx,WGS = -1654/T + 1.513</a:t>
                    </a:r>
                    <a:endParaRPr lang="en-US" sz="1100">
                      <a:latin typeface="Arial" pitchFamily="34" charset="0"/>
                      <a:cs typeface="Arial" pitchFamily="34" charset="0"/>
                    </a:endParaRPr>
                  </a:p>
                </c:rich>
              </c:tx>
              <c:numFmt formatCode="General" sourceLinked="0"/>
              <c:spPr>
                <a:solidFill>
                  <a:srgbClr val="F2FEAC"/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Calcs!$C$69:$C$75</c:f>
              <c:numCache>
                <c:formatCode>General</c:formatCode>
                <c:ptCount val="7"/>
                <c:pt idx="0">
                  <c:v>9.3183618849879027E-4</c:v>
                </c:pt>
                <c:pt idx="1">
                  <c:v>8.5240592013184407E-4</c:v>
                </c:pt>
                <c:pt idx="2">
                  <c:v>7.8545340674235332E-4</c:v>
                </c:pt>
                <c:pt idx="3">
                  <c:v>7.2825256122412032E-4</c:v>
                </c:pt>
                <c:pt idx="4">
                  <c:v>6.7881750272760636E-4</c:v>
                </c:pt>
                <c:pt idx="5">
                  <c:v>6.3566729420576882E-4</c:v>
                </c:pt>
                <c:pt idx="6">
                  <c:v>5.9767504625880461E-4</c:v>
                </c:pt>
              </c:numCache>
            </c:numRef>
          </c:xVal>
          <c:yVal>
            <c:numRef>
              <c:f>Calcs!$D$69:$D$75</c:f>
              <c:numCache>
                <c:formatCode>0.000</c:formatCode>
                <c:ptCount val="7"/>
                <c:pt idx="0">
                  <c:v>-3.3927641966429084E-2</c:v>
                </c:pt>
                <c:pt idx="1">
                  <c:v>0.1053174754488707</c:v>
                </c:pt>
                <c:pt idx="2">
                  <c:v>0.21933765578430825</c:v>
                </c:pt>
                <c:pt idx="3">
                  <c:v>0.31398216083916974</c:v>
                </c:pt>
                <c:pt idx="4">
                  <c:v>0.39346749791348112</c:v>
                </c:pt>
                <c:pt idx="5">
                  <c:v>0.46090275307038991</c:v>
                </c:pt>
                <c:pt idx="6">
                  <c:v>0.51862551885782315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92800"/>
        <c:axId val="153707264"/>
      </c:scatterChart>
      <c:valAx>
        <c:axId val="153692800"/>
        <c:scaling>
          <c:orientation val="minMax"/>
          <c:max val="9.400000000000003E-4"/>
          <c:min val="5.9000000000000014E-4"/>
        </c:scaling>
        <c:delete val="0"/>
        <c:axPos val="b"/>
        <c:majorGridlines>
          <c:spPr>
            <a:ln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1/T, deg K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/>
        </c:spPr>
        <c:crossAx val="153707264"/>
        <c:crossesAt val="-0.1"/>
        <c:crossBetween val="midCat"/>
        <c:majorUnit val="5.0000000000000023E-5"/>
      </c:valAx>
      <c:valAx>
        <c:axId val="153707264"/>
        <c:scaling>
          <c:orientation val="minMax"/>
          <c:max val="0.55000000000000004"/>
          <c:min val="-5.000000000000001E-2"/>
        </c:scaling>
        <c:delete val="0"/>
        <c:axPos val="l"/>
        <c:majorGridlines>
          <c:spPr>
            <a:ln w="3175">
              <a:solidFill>
                <a:srgbClr val="86868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 Kr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153692800"/>
        <c:crosses val="autoZero"/>
        <c:crossBetween val="midCat"/>
      </c:valAx>
      <c:spPr>
        <a:solidFill>
          <a:schemeClr val="bg1">
            <a:lumMod val="85000"/>
          </a:schemeClr>
        </a:solidFill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Vapor Pressure of Water</a:t>
            </a:r>
          </a:p>
        </c:rich>
      </c:tx>
      <c:layout>
        <c:manualLayout>
          <c:xMode val="edge"/>
          <c:yMode val="edge"/>
          <c:x val="0.26572824088080199"/>
          <c:y val="1.15606936416184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868092397229714"/>
          <c:y val="0.12589129483814523"/>
          <c:w val="0.79795844471853361"/>
          <c:h val="0.6898884893723544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4.470647419072616E-2"/>
                  <c:y val="-0.47934419655876348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Arial" pitchFamily="34" charset="0"/>
                        <a:cs typeface="Arial" pitchFamily="34" charset="0"/>
                      </a:defRPr>
                    </a:pPr>
                    <a:r>
                      <a:rPr lang="en-US" baseline="0">
                        <a:latin typeface="Arial" pitchFamily="34" charset="0"/>
                        <a:cs typeface="Arial" pitchFamily="34" charset="0"/>
                      </a:rPr>
                      <a:t>log(p) = -2295/T + 6.187</a:t>
                    </a:r>
                    <a:endParaRPr lang="en-US">
                      <a:latin typeface="Arial" pitchFamily="34" charset="0"/>
                      <a:cs typeface="Arial" pitchFamily="34" charset="0"/>
                    </a:endParaRPr>
                  </a:p>
                </c:rich>
              </c:tx>
              <c:numFmt formatCode="General" sourceLinked="0"/>
              <c:spPr>
                <a:solidFill>
                  <a:srgbClr val="FFFF99"/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Calcs!$D$82:$D$90</c:f>
              <c:numCache>
                <c:formatCode>General</c:formatCode>
                <c:ptCount val="9"/>
                <c:pt idx="0">
                  <c:v>3.6609921288669233E-3</c:v>
                </c:pt>
                <c:pt idx="1">
                  <c:v>3.556820202738752E-3</c:v>
                </c:pt>
                <c:pt idx="2">
                  <c:v>3.4584125886218228E-3</c:v>
                </c:pt>
                <c:pt idx="3">
                  <c:v>3.3653037186606094E-3</c:v>
                </c:pt>
                <c:pt idx="4">
                  <c:v>3.2770768474520728E-3</c:v>
                </c:pt>
                <c:pt idx="5">
                  <c:v>3.1933578157432542E-3</c:v>
                </c:pt>
                <c:pt idx="6">
                  <c:v>3.1138097462245057E-3</c:v>
                </c:pt>
                <c:pt idx="7">
                  <c:v>3.0381285128360932E-3</c:v>
                </c:pt>
                <c:pt idx="8">
                  <c:v>3.0016509079993999E-3</c:v>
                </c:pt>
              </c:numCache>
            </c:numRef>
          </c:xVal>
          <c:yVal>
            <c:numRef>
              <c:f>Calcs!$E$82:$E$90</c:f>
              <c:numCache>
                <c:formatCode>General</c:formatCode>
                <c:ptCount val="9"/>
                <c:pt idx="0">
                  <c:v>-2.2196826878598488</c:v>
                </c:pt>
                <c:pt idx="1">
                  <c:v>-1.9755143323008331</c:v>
                </c:pt>
                <c:pt idx="2">
                  <c:v>-1.7464197104378172</c:v>
                </c:pt>
                <c:pt idx="3">
                  <c:v>-1.5316526695878427</c:v>
                </c:pt>
                <c:pt idx="4">
                  <c:v>-1.3288271572849168</c:v>
                </c:pt>
                <c:pt idx="5">
                  <c:v>-1.1378686206869628</c:v>
                </c:pt>
                <c:pt idx="6">
                  <c:v>-0.95821268102824819</c:v>
                </c:pt>
                <c:pt idx="7">
                  <c:v>-0.78807891569149069</c:v>
                </c:pt>
                <c:pt idx="8">
                  <c:v>-0.70641648650388322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721856"/>
        <c:axId val="153736320"/>
      </c:scatterChart>
      <c:valAx>
        <c:axId val="153721856"/>
        <c:scaling>
          <c:orientation val="minMax"/>
          <c:max val="3.700000000000001E-3"/>
          <c:min val="3.0000000000000009E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1/T, K</a:t>
                </a:r>
              </a:p>
            </c:rich>
          </c:tx>
          <c:layout>
            <c:manualLayout>
              <c:xMode val="edge"/>
              <c:yMode val="edge"/>
              <c:x val="0.47908114610673663"/>
              <c:y val="0.92497666958296876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153736320"/>
        <c:crosses val="autoZero"/>
        <c:crossBetween val="midCat"/>
        <c:majorUnit val="1.0000000000000003E-4"/>
      </c:valAx>
      <c:valAx>
        <c:axId val="153736320"/>
        <c:scaling>
          <c:orientation val="minMax"/>
          <c:max val="-0.70000000000000007"/>
          <c:min val="-2.299999999999999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log pO</a:t>
                </a:r>
                <a:r>
                  <a:rPr lang="en-US" baseline="-25000"/>
                  <a:t>2</a:t>
                </a:r>
                <a:r>
                  <a:rPr lang="en-US"/>
                  <a:t>, atm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721856"/>
        <c:crosses val="autoZero"/>
        <c:crossBetween val="midCat"/>
      </c:valAx>
      <c:spPr>
        <a:solidFill>
          <a:schemeClr val="bg1">
            <a:lumMod val="85000"/>
          </a:schemeClr>
        </a:solidFill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Reaction Keq for CO/CO</a:t>
            </a:r>
            <a:r>
              <a:rPr lang="en-US" sz="1400" baseline="-25000"/>
              <a:t>2</a:t>
            </a:r>
            <a:r>
              <a:rPr lang="en-US" sz="1400"/>
              <a:t>/O</a:t>
            </a:r>
            <a:r>
              <a:rPr lang="en-US" sz="1400" baseline="-25000"/>
              <a:t>2</a:t>
            </a:r>
            <a:endParaRPr lang="en-US" sz="1400"/>
          </a:p>
        </c:rich>
      </c:tx>
      <c:layout>
        <c:manualLayout>
          <c:xMode val="edge"/>
          <c:yMode val="edge"/>
          <c:x val="0.23120492677039892"/>
          <c:y val="2.079723838875442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975240594925636"/>
          <c:y val="0.12084499854184894"/>
          <c:w val="0.80782392825896765"/>
          <c:h val="0.73076771653543304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6"/>
            <c:spPr>
              <a:noFill/>
              <a:ln>
                <a:solidFill>
                  <a:schemeClr val="tx1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12662860892388453"/>
                  <c:y val="-0.52101086322543011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Arial" pitchFamily="34" charset="0"/>
                        <a:cs typeface="Arial" pitchFamily="34" charset="0"/>
                      </a:defRPr>
                    </a:pPr>
                    <a:r>
                      <a:rPr lang="en-US" baseline="0">
                        <a:latin typeface="Arial" pitchFamily="34" charset="0"/>
                        <a:cs typeface="Arial" pitchFamily="34" charset="0"/>
                      </a:rPr>
                      <a:t>log Keq = -29,365/T + 8.950</a:t>
                    </a:r>
                    <a:endParaRPr lang="en-US">
                      <a:latin typeface="Arial" pitchFamily="34" charset="0"/>
                      <a:cs typeface="Arial" pitchFamily="34" charset="0"/>
                    </a:endParaRPr>
                  </a:p>
                </c:rich>
              </c:tx>
              <c:numFmt formatCode="#,##0" sourceLinked="0"/>
              <c:spPr>
                <a:solidFill>
                  <a:srgbClr val="FFFF99"/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Calcs!$C$98:$C$104</c:f>
              <c:numCache>
                <c:formatCode>General</c:formatCode>
                <c:ptCount val="7"/>
                <c:pt idx="0">
                  <c:v>9.0909090909090909E-4</c:v>
                </c:pt>
                <c:pt idx="1">
                  <c:v>8.3333333333333339E-4</c:v>
                </c:pt>
                <c:pt idx="2">
                  <c:v>7.6923076923076923E-4</c:v>
                </c:pt>
                <c:pt idx="3">
                  <c:v>7.1428571428571429E-4</c:v>
                </c:pt>
                <c:pt idx="4">
                  <c:v>6.6666666666666664E-4</c:v>
                </c:pt>
                <c:pt idx="5">
                  <c:v>6.2500000000000001E-4</c:v>
                </c:pt>
                <c:pt idx="6">
                  <c:v>5.8823529411764701E-4</c:v>
                </c:pt>
              </c:numCache>
            </c:numRef>
          </c:xVal>
          <c:yVal>
            <c:numRef>
              <c:f>Calcs!$D$98:$D$104</c:f>
              <c:numCache>
                <c:formatCode>0.000</c:formatCode>
                <c:ptCount val="7"/>
                <c:pt idx="0">
                  <c:v>-17.751648646683815</c:v>
                </c:pt>
                <c:pt idx="1">
                  <c:v>-15.519640691628759</c:v>
                </c:pt>
                <c:pt idx="2">
                  <c:v>-13.633894291253682</c:v>
                </c:pt>
                <c:pt idx="3">
                  <c:v>-12.020134479262799</c:v>
                </c:pt>
                <c:pt idx="4">
                  <c:v>-10.623882220838102</c:v>
                </c:pt>
                <c:pt idx="5">
                  <c:v>-9.4042735471401624</c:v>
                </c:pt>
                <c:pt idx="6">
                  <c:v>-8.330058135569633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81984"/>
        <c:axId val="151884160"/>
      </c:scatterChart>
      <c:valAx>
        <c:axId val="151881984"/>
        <c:scaling>
          <c:orientation val="minMax"/>
          <c:max val="9.1000000000000033E-4"/>
          <c:min val="5.8000000000000011E-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1/T, K</a:t>
                </a:r>
              </a:p>
            </c:rich>
          </c:tx>
          <c:layout>
            <c:manualLayout>
              <c:xMode val="edge"/>
              <c:yMode val="edge"/>
              <c:x val="0.51057414698162729"/>
              <c:y val="0.92960629921259841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151884160"/>
        <c:crosses val="autoZero"/>
        <c:crossBetween val="midCat"/>
      </c:valAx>
      <c:valAx>
        <c:axId val="151884160"/>
        <c:scaling>
          <c:orientation val="minMax"/>
          <c:max val="-8"/>
          <c:min val="-1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log Keq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51881984"/>
        <c:crosses val="autoZero"/>
        <c:crossBetween val="midCat"/>
      </c:valAx>
      <c:spPr>
        <a:solidFill>
          <a:schemeClr val="bg1">
            <a:lumMod val="85000"/>
          </a:schemeClr>
        </a:solidFill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Arial" pitchFamily="34" charset="0"/>
                <a:cs typeface="Arial" pitchFamily="34" charset="0"/>
              </a:defRPr>
            </a:pPr>
            <a:r>
              <a:rPr lang="en-US" sz="1200">
                <a:latin typeface="Arial" pitchFamily="34" charset="0"/>
                <a:cs typeface="Arial" pitchFamily="34" charset="0"/>
              </a:rPr>
              <a:t>Reaction Keq for CO/CO</a:t>
            </a:r>
            <a:r>
              <a:rPr lang="en-US" sz="1200" baseline="-25000">
                <a:latin typeface="Arial" pitchFamily="34" charset="0"/>
                <a:cs typeface="Arial" pitchFamily="34" charset="0"/>
              </a:rPr>
              <a:t>2</a:t>
            </a:r>
            <a:r>
              <a:rPr lang="en-US" sz="1200">
                <a:latin typeface="Arial" pitchFamily="34" charset="0"/>
                <a:cs typeface="Arial" pitchFamily="34" charset="0"/>
              </a:rPr>
              <a:t>/aC</a:t>
            </a:r>
          </a:p>
        </c:rich>
      </c:tx>
      <c:layout>
        <c:manualLayout>
          <c:xMode val="edge"/>
          <c:yMode val="edge"/>
          <c:x val="0.26712300244524739"/>
          <c:y val="1.726782880363507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096120796827729"/>
          <c:y val="0.11994240303295424"/>
          <c:w val="0.80953614818866371"/>
          <c:h val="0.727040682414698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6"/>
            <c:spPr>
              <a:noFill/>
              <a:ln>
                <a:solidFill>
                  <a:schemeClr val="tx1"/>
                </a:solidFill>
              </a:ln>
            </c:spPr>
          </c:marker>
          <c:trendline>
            <c:trendlineType val="linear"/>
            <c:dispRSqr val="0"/>
            <c:dispEq val="1"/>
            <c:trendlineLbl>
              <c:layout>
                <c:manualLayout>
                  <c:x val="-0.37044949837239211"/>
                  <c:y val="0.1123475171950558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Arial" pitchFamily="34" charset="0"/>
                        <a:cs typeface="Arial" pitchFamily="34" charset="0"/>
                      </a:defRPr>
                    </a:pPr>
                    <a:r>
                      <a:rPr lang="en-US" baseline="0">
                        <a:latin typeface="Arial" pitchFamily="34" charset="0"/>
                        <a:cs typeface="Arial" pitchFamily="34" charset="0"/>
                      </a:rPr>
                      <a:t>log Keq = 8715/T - 8.980</a:t>
                    </a:r>
                    <a:endParaRPr lang="en-US">
                      <a:latin typeface="Arial" pitchFamily="34" charset="0"/>
                      <a:cs typeface="Arial" pitchFamily="34" charset="0"/>
                    </a:endParaRPr>
                  </a:p>
                </c:rich>
              </c:tx>
              <c:numFmt formatCode="General" sourceLinked="0"/>
              <c:spPr>
                <a:solidFill>
                  <a:srgbClr val="FFFF99"/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Calcs!$C$115:$C$121</c:f>
              <c:numCache>
                <c:formatCode>General</c:formatCode>
                <c:ptCount val="7"/>
                <c:pt idx="0">
                  <c:v>9.0909090909090909E-4</c:v>
                </c:pt>
                <c:pt idx="1">
                  <c:v>8.3333333333333339E-4</c:v>
                </c:pt>
                <c:pt idx="2">
                  <c:v>7.6923076923076923E-4</c:v>
                </c:pt>
                <c:pt idx="3">
                  <c:v>7.1428571428571429E-4</c:v>
                </c:pt>
                <c:pt idx="4">
                  <c:v>6.6666666666666664E-4</c:v>
                </c:pt>
                <c:pt idx="5">
                  <c:v>6.2500000000000001E-4</c:v>
                </c:pt>
                <c:pt idx="6">
                  <c:v>5.8823529411764701E-4</c:v>
                </c:pt>
              </c:numCache>
            </c:numRef>
          </c:xVal>
          <c:yVal>
            <c:numRef>
              <c:f>Calcs!$D$115:$D$121</c:f>
              <c:numCache>
                <c:formatCode>0.000</c:formatCode>
                <c:ptCount val="7"/>
                <c:pt idx="0">
                  <c:v>-1.0497527951900569</c:v>
                </c:pt>
                <c:pt idx="1">
                  <c:v>-1.7191369922230559</c:v>
                </c:pt>
                <c:pt idx="2">
                  <c:v>-2.2819430910245524</c:v>
                </c:pt>
                <c:pt idx="3">
                  <c:v>-2.7611315702222869</c:v>
                </c:pt>
                <c:pt idx="4">
                  <c:v>-3.1735451767618796</c:v>
                </c:pt>
                <c:pt idx="5">
                  <c:v>-3.5318153211045171</c:v>
                </c:pt>
                <c:pt idx="6">
                  <c:v>-3.845597854761424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18944"/>
        <c:axId val="154020864"/>
      </c:scatterChart>
      <c:valAx>
        <c:axId val="154018944"/>
        <c:scaling>
          <c:orientation val="minMax"/>
          <c:max val="9.1000000000000033E-4"/>
          <c:min val="5.8000000000000011E-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1/T, K</a:t>
                </a:r>
              </a:p>
            </c:rich>
          </c:tx>
          <c:layout>
            <c:manualLayout>
              <c:xMode val="edge"/>
              <c:yMode val="edge"/>
              <c:x val="0.50075459317585302"/>
              <c:y val="0.92497666958296876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154020864"/>
        <c:crosses val="autoZero"/>
        <c:crossBetween val="midCat"/>
      </c:valAx>
      <c:valAx>
        <c:axId val="154020864"/>
        <c:scaling>
          <c:orientation val="minMax"/>
          <c:max val="-1"/>
          <c:min val="-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log Keq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154018944"/>
        <c:crosses val="autoZero"/>
        <c:crossBetween val="midCat"/>
      </c:valAx>
      <c:spPr>
        <a:solidFill>
          <a:schemeClr val="bg1">
            <a:lumMod val="85000"/>
          </a:schemeClr>
        </a:solidFill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Arial" pitchFamily="34" charset="0"/>
                <a:cs typeface="Arial" pitchFamily="34" charset="0"/>
              </a:defRPr>
            </a:pPr>
            <a:r>
              <a:rPr lang="en-US" sz="1200">
                <a:latin typeface="Arial" pitchFamily="34" charset="0"/>
                <a:cs typeface="Arial" pitchFamily="34" charset="0"/>
              </a:rPr>
              <a:t>pO</a:t>
            </a:r>
            <a:r>
              <a:rPr lang="en-US" sz="1200" baseline="-25000">
                <a:latin typeface="Arial" pitchFamily="34" charset="0"/>
                <a:cs typeface="Arial" pitchFamily="34" charset="0"/>
              </a:rPr>
              <a:t>2</a:t>
            </a:r>
            <a:r>
              <a:rPr lang="en-US" sz="1200">
                <a:latin typeface="Arial" pitchFamily="34" charset="0"/>
                <a:cs typeface="Arial" pitchFamily="34" charset="0"/>
              </a:rPr>
              <a:t> for Wustite/Austenite Equilibria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342606623228615"/>
          <c:y val="0.13736927114879871"/>
          <c:w val="0.81819903762029744"/>
          <c:h val="0.7552691298203109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6"/>
            <c:spPr>
              <a:noFill/>
              <a:ln>
                <a:solidFill>
                  <a:schemeClr val="tx1"/>
                </a:solidFill>
              </a:ln>
            </c:spPr>
          </c:marker>
          <c:trendline>
            <c:trendlineType val="linear"/>
            <c:dispRSqr val="0"/>
            <c:dispEq val="1"/>
            <c:trendlineLbl>
              <c:layout>
                <c:manualLayout>
                  <c:x val="1.0051181102362205E-2"/>
                  <c:y val="-0.44639034703995334"/>
                </c:manualLayout>
              </c:layout>
              <c:tx>
                <c:rich>
                  <a:bodyPr/>
                  <a:lstStyle/>
                  <a:p>
                    <a:pPr>
                      <a:defRPr sz="1050">
                        <a:latin typeface="Arial" pitchFamily="34" charset="0"/>
                        <a:cs typeface="Arial" pitchFamily="34" charset="0"/>
                      </a:defRPr>
                    </a:pPr>
                    <a:r>
                      <a:rPr lang="en-US" sz="1050" baseline="0">
                        <a:latin typeface="Arial" pitchFamily="34" charset="0"/>
                        <a:cs typeface="Arial" pitchFamily="34" charset="0"/>
                      </a:rPr>
                      <a:t>log pO</a:t>
                    </a:r>
                    <a:r>
                      <a:rPr lang="en-US" sz="1050" baseline="-25000">
                        <a:latin typeface="Arial" pitchFamily="34" charset="0"/>
                        <a:cs typeface="Arial" pitchFamily="34" charset="0"/>
                      </a:rPr>
                      <a:t>2</a:t>
                    </a:r>
                    <a:r>
                      <a:rPr lang="en-US" sz="1050" baseline="0">
                        <a:latin typeface="Arial" pitchFamily="34" charset="0"/>
                        <a:cs typeface="Arial" pitchFamily="34" charset="0"/>
                      </a:rPr>
                      <a:t> = -27,615/T + 6.771</a:t>
                    </a:r>
                    <a:endParaRPr lang="en-US" sz="1050">
                      <a:latin typeface="Arial" pitchFamily="34" charset="0"/>
                      <a:cs typeface="Arial" pitchFamily="34" charset="0"/>
                    </a:endParaRPr>
                  </a:p>
                </c:rich>
              </c:tx>
              <c:numFmt formatCode="General" sourceLinked="0"/>
              <c:spPr>
                <a:solidFill>
                  <a:srgbClr val="FFFF99"/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Calcs!$C$130:$C$137</c:f>
              <c:numCache>
                <c:formatCode>General</c:formatCode>
                <c:ptCount val="8"/>
                <c:pt idx="0">
                  <c:v>9.0909090909090909E-4</c:v>
                </c:pt>
                <c:pt idx="1">
                  <c:v>8.4388185654008364E-4</c:v>
                </c:pt>
                <c:pt idx="2">
                  <c:v>8.3333333333333339E-4</c:v>
                </c:pt>
                <c:pt idx="3">
                  <c:v>7.6923076923076923E-4</c:v>
                </c:pt>
                <c:pt idx="4">
                  <c:v>7.1428571428571429E-4</c:v>
                </c:pt>
                <c:pt idx="5">
                  <c:v>6.6666666666666664E-4</c:v>
                </c:pt>
                <c:pt idx="6">
                  <c:v>6.2500000000000001E-4</c:v>
                </c:pt>
                <c:pt idx="7">
                  <c:v>6.0532687651331679E-4</c:v>
                </c:pt>
              </c:numCache>
            </c:numRef>
          </c:xVal>
          <c:yVal>
            <c:numRef>
              <c:f>Calcs!$D$130:$D$137</c:f>
              <c:numCache>
                <c:formatCode>0.000</c:formatCode>
                <c:ptCount val="8"/>
                <c:pt idx="0">
                  <c:v>-18.343799857533419</c:v>
                </c:pt>
                <c:pt idx="1">
                  <c:v>-16.531374911188657</c:v>
                </c:pt>
                <c:pt idx="2">
                  <c:v>-16.238688319434356</c:v>
                </c:pt>
                <c:pt idx="3">
                  <c:v>-14.463114080060253</c:v>
                </c:pt>
                <c:pt idx="4">
                  <c:v>-12.94591230883281</c:v>
                </c:pt>
                <c:pt idx="5">
                  <c:v>-11.635192202325321</c:v>
                </c:pt>
                <c:pt idx="6">
                  <c:v>-10.492108674446586</c:v>
                </c:pt>
                <c:pt idx="7">
                  <c:v>-9.9539623138233431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36480"/>
        <c:axId val="154067328"/>
      </c:scatterChart>
      <c:valAx>
        <c:axId val="154036480"/>
        <c:scaling>
          <c:orientation val="minMax"/>
          <c:max val="9.2000000000000035E-4"/>
          <c:min val="5.7000000000000019E-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1/T, K</a:t>
                </a:r>
              </a:p>
            </c:rich>
          </c:tx>
          <c:layout>
            <c:manualLayout>
              <c:xMode val="edge"/>
              <c:yMode val="edge"/>
              <c:x val="0.39566426071741034"/>
              <c:y val="0.92960629921259841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154067328"/>
        <c:crosses val="autoZero"/>
        <c:crossBetween val="midCat"/>
      </c:valAx>
      <c:valAx>
        <c:axId val="154067328"/>
        <c:scaling>
          <c:orientation val="minMax"/>
          <c:max val="-9"/>
          <c:min val="-19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log pO</a:t>
                </a:r>
                <a:r>
                  <a:rPr lang="en-US" baseline="-25000"/>
                  <a:t>2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54036480"/>
        <c:crosses val="autoZero"/>
        <c:crossBetween val="midCat"/>
      </c:valAx>
      <c:spPr>
        <a:solidFill>
          <a:schemeClr val="bg1">
            <a:lumMod val="85000"/>
          </a:schemeClr>
        </a:solidFill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Arial" pitchFamily="34" charset="0"/>
                <a:cs typeface="Arial" pitchFamily="34" charset="0"/>
              </a:defRPr>
            </a:pPr>
            <a:r>
              <a:rPr lang="en-US" sz="1200">
                <a:latin typeface="Arial" pitchFamily="34" charset="0"/>
                <a:cs typeface="Arial" pitchFamily="34" charset="0"/>
              </a:rPr>
              <a:t>Reaction Keq for CO/H</a:t>
            </a:r>
            <a:r>
              <a:rPr lang="en-US" sz="1200" baseline="-25000">
                <a:latin typeface="Arial" pitchFamily="34" charset="0"/>
                <a:cs typeface="Arial" pitchFamily="34" charset="0"/>
              </a:rPr>
              <a:t>2</a:t>
            </a:r>
            <a:r>
              <a:rPr lang="en-US" sz="1200">
                <a:latin typeface="Arial" pitchFamily="34" charset="0"/>
                <a:cs typeface="Arial" pitchFamily="34" charset="0"/>
              </a:rPr>
              <a:t>/CO</a:t>
            </a:r>
            <a:r>
              <a:rPr lang="en-US" sz="1200" baseline="-25000">
                <a:latin typeface="Arial" pitchFamily="34" charset="0"/>
                <a:cs typeface="Arial" pitchFamily="34" charset="0"/>
              </a:rPr>
              <a:t>2</a:t>
            </a:r>
            <a:r>
              <a:rPr lang="en-US" sz="1200">
                <a:latin typeface="Arial" pitchFamily="34" charset="0"/>
                <a:cs typeface="Arial" pitchFamily="34" charset="0"/>
              </a:rPr>
              <a:t>/CH</a:t>
            </a:r>
            <a:r>
              <a:rPr lang="en-US" sz="1200" baseline="-25000">
                <a:latin typeface="Arial" pitchFamily="34" charset="0"/>
                <a:cs typeface="Arial" pitchFamily="34" charset="0"/>
              </a:rPr>
              <a:t>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28018372703412"/>
          <c:y val="0.1153127734033246"/>
          <c:w val="0.82229615048118976"/>
          <c:h val="0.7316703120443277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6"/>
            <c:spPr>
              <a:noFill/>
              <a:ln>
                <a:solidFill>
                  <a:schemeClr val="tx1"/>
                </a:solidFill>
              </a:ln>
            </c:spPr>
          </c:marker>
          <c:trendline>
            <c:trendlineType val="linear"/>
            <c:dispRSqr val="0"/>
            <c:dispEq val="1"/>
            <c:trendlineLbl>
              <c:layout>
                <c:manualLayout>
                  <c:x val="5.1312075187445088E-4"/>
                  <c:y val="0.43907111058010295"/>
                </c:manualLayout>
              </c:layout>
              <c:tx>
                <c:rich>
                  <a:bodyPr/>
                  <a:lstStyle/>
                  <a:p>
                    <a:pPr>
                      <a:defRPr sz="1050">
                        <a:latin typeface="Arial" pitchFamily="34" charset="0"/>
                        <a:cs typeface="Arial" pitchFamily="34" charset="0"/>
                      </a:defRPr>
                    </a:pPr>
                    <a:r>
                      <a:rPr lang="en-US" sz="1050" baseline="0">
                        <a:latin typeface="Arial" pitchFamily="34" charset="0"/>
                        <a:cs typeface="Arial" pitchFamily="34" charset="0"/>
                      </a:rPr>
                      <a:t>log Keq = 13,520/T - 14.79</a:t>
                    </a:r>
                    <a:endParaRPr lang="en-US" sz="1050">
                      <a:latin typeface="Arial" pitchFamily="34" charset="0"/>
                      <a:cs typeface="Arial" pitchFamily="34" charset="0"/>
                    </a:endParaRPr>
                  </a:p>
                </c:rich>
              </c:tx>
              <c:numFmt formatCode="General" sourceLinked="0"/>
              <c:spPr>
                <a:solidFill>
                  <a:srgbClr val="FFFF99"/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Calcs!$C$145:$C$151</c:f>
              <c:numCache>
                <c:formatCode>General</c:formatCode>
                <c:ptCount val="7"/>
                <c:pt idx="0">
                  <c:v>9.0909090909090909E-4</c:v>
                </c:pt>
                <c:pt idx="1">
                  <c:v>8.3333333333333339E-4</c:v>
                </c:pt>
                <c:pt idx="2">
                  <c:v>7.6923076923076923E-4</c:v>
                </c:pt>
                <c:pt idx="3">
                  <c:v>7.1428571428571429E-4</c:v>
                </c:pt>
                <c:pt idx="4">
                  <c:v>6.6666666666666621E-4</c:v>
                </c:pt>
                <c:pt idx="5">
                  <c:v>6.2500000000000001E-4</c:v>
                </c:pt>
                <c:pt idx="6">
                  <c:v>5.8823529411764701E-4</c:v>
                </c:pt>
              </c:numCache>
            </c:numRef>
          </c:xVal>
          <c:yVal>
            <c:numRef>
              <c:f>Calcs!$D$145:$D$151</c:f>
              <c:numCache>
                <c:formatCode>0.000</c:formatCode>
                <c:ptCount val="7"/>
                <c:pt idx="0">
                  <c:v>-2.4944857517033268</c:v>
                </c:pt>
                <c:pt idx="1">
                  <c:v>-3.5241180198683248</c:v>
                </c:pt>
                <c:pt idx="2">
                  <c:v>-4.3937724726379059</c:v>
                </c:pt>
                <c:pt idx="3">
                  <c:v>-5.137227633684013</c:v>
                </c:pt>
                <c:pt idx="4">
                  <c:v>-5.7794021373355635</c:v>
                </c:pt>
                <c:pt idx="5">
                  <c:v>-6.3391648466568844</c:v>
                </c:pt>
                <c:pt idx="6">
                  <c:v>-6.8309452373379926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42816"/>
        <c:axId val="153844736"/>
      </c:scatterChart>
      <c:valAx>
        <c:axId val="153842816"/>
        <c:scaling>
          <c:orientation val="minMax"/>
          <c:max val="9.1000000000000033E-4"/>
          <c:min val="5.7000000000000019E-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1/T, K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153844736"/>
        <c:crosses val="autoZero"/>
        <c:crossBetween val="midCat"/>
      </c:valAx>
      <c:valAx>
        <c:axId val="153844736"/>
        <c:scaling>
          <c:orientation val="minMax"/>
          <c:max val="-2"/>
          <c:min val="-7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log Keq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153842816"/>
        <c:crosses val="autoZero"/>
        <c:crossBetween val="midCat"/>
      </c:valAx>
      <c:spPr>
        <a:solidFill>
          <a:schemeClr val="bg1">
            <a:lumMod val="85000"/>
          </a:schemeClr>
        </a:solidFill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</c:sp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Arial" pitchFamily="34" charset="0"/>
                <a:cs typeface="Arial" pitchFamily="34" charset="0"/>
              </a:defRPr>
            </a:pPr>
            <a:r>
              <a:rPr lang="en-US" sz="1200">
                <a:latin typeface="Arial" pitchFamily="34" charset="0"/>
                <a:cs typeface="Arial" pitchFamily="34" charset="0"/>
              </a:rPr>
              <a:t>Hot Gas Composition at 1180 °C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575344844378769"/>
          <c:y val="9.8556474157082963E-2"/>
          <c:w val="0.83103055132351766"/>
          <c:h val="0.75848063462549187"/>
        </c:manualLayout>
      </c:layout>
      <c:scatterChart>
        <c:scatterStyle val="smoothMarker"/>
        <c:varyColors val="0"/>
        <c:ser>
          <c:idx val="0"/>
          <c:order val="0"/>
          <c:tx>
            <c:v>H2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 w="9525">
                <a:solidFill>
                  <a:srgbClr val="000000"/>
                </a:solidFill>
                <a:prstDash val="soli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4F81BD"/>
                    </a:solidFill>
                  </a14:hiddenFill>
                </a:ext>
              </a:extLst>
            </c:spPr>
          </c:marker>
          <c:xVal>
            <c:numRef>
              <c:f>StoredResults!$C$34:$I$34</c:f>
              <c:numCache>
                <c:formatCode>0%</c:formatCode>
                <c:ptCount val="7"/>
                <c:pt idx="0">
                  <c:v>0.4</c:v>
                </c:pt>
                <c:pt idx="1">
                  <c:v>0.5</c:v>
                </c:pt>
                <c:pt idx="2">
                  <c:v>0.60000000000000009</c:v>
                </c:pt>
                <c:pt idx="3">
                  <c:v>0.70000000000000007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</c:numCache>
            </c:numRef>
          </c:xVal>
          <c:yVal>
            <c:numRef>
              <c:f>StoredResults!$C$35:$I$35</c:f>
              <c:numCache>
                <c:formatCode>0.0%</c:formatCode>
                <c:ptCount val="7"/>
                <c:pt idx="0">
                  <c:v>0.25</c:v>
                </c:pt>
                <c:pt idx="1">
                  <c:v>0.1777439306355616</c:v>
                </c:pt>
                <c:pt idx="2">
                  <c:v>0.12212668956855492</c:v>
                </c:pt>
                <c:pt idx="3">
                  <c:v>7.9031182276815271E-2</c:v>
                </c:pt>
                <c:pt idx="4">
                  <c:v>4.5593381144118122E-2</c:v>
                </c:pt>
                <c:pt idx="5">
                  <c:v>1.9767130877678268E-2</c:v>
                </c:pt>
                <c:pt idx="6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H2O</c:v>
          </c:tx>
          <c:spPr>
            <a:ln w="15875">
              <a:solidFill>
                <a:schemeClr val="accent1">
                  <a:lumMod val="75000"/>
                </a:schemeClr>
              </a:solidFill>
            </a:ln>
          </c:spPr>
          <c:marker>
            <c:spPr>
              <a:noFill/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xVal>
            <c:numRef>
              <c:f>StoredResults!$C$34:$I$34</c:f>
              <c:numCache>
                <c:formatCode>0%</c:formatCode>
                <c:ptCount val="7"/>
                <c:pt idx="0">
                  <c:v>0.4</c:v>
                </c:pt>
                <c:pt idx="1">
                  <c:v>0.5</c:v>
                </c:pt>
                <c:pt idx="2">
                  <c:v>0.60000000000000009</c:v>
                </c:pt>
                <c:pt idx="3">
                  <c:v>0.70000000000000007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</c:numCache>
            </c:numRef>
          </c:xVal>
          <c:yVal>
            <c:numRef>
              <c:f>StoredResults!$C$36:$I$36</c:f>
              <c:numCache>
                <c:formatCode>0.0%</c:formatCode>
                <c:ptCount val="7"/>
                <c:pt idx="0">
                  <c:v>7.940318307762971E-2</c:v>
                </c:pt>
                <c:pt idx="1">
                  <c:v>0.11518173911704419</c:v>
                </c:pt>
                <c:pt idx="2">
                  <c:v>0.14150711436620458</c:v>
                </c:pt>
                <c:pt idx="3">
                  <c:v>0.16063643373389541</c:v>
                </c:pt>
                <c:pt idx="4">
                  <c:v>0.17410233192077693</c:v>
                </c:pt>
                <c:pt idx="5">
                  <c:v>0.1830292231197764</c:v>
                </c:pt>
                <c:pt idx="6">
                  <c:v>0.18831114780578123</c:v>
                </c:pt>
              </c:numCache>
            </c:numRef>
          </c:yVal>
          <c:smooth val="1"/>
        </c:ser>
        <c:ser>
          <c:idx val="2"/>
          <c:order val="2"/>
          <c:tx>
            <c:v>CO2</c:v>
          </c:tx>
          <c:spPr>
            <a:ln w="15875">
              <a:solidFill>
                <a:srgbClr val="00B050"/>
              </a:solidFill>
            </a:ln>
          </c:spPr>
          <c:marker>
            <c:symbol val="triangle"/>
            <c:size val="4"/>
            <c:spPr>
              <a:noFill/>
              <a:ln>
                <a:solidFill>
                  <a:srgbClr val="007635"/>
                </a:solidFill>
              </a:ln>
            </c:spPr>
          </c:marker>
          <c:xVal>
            <c:numRef>
              <c:f>StoredResults!$C$34:$I$34</c:f>
              <c:numCache>
                <c:formatCode>0%</c:formatCode>
                <c:ptCount val="7"/>
                <c:pt idx="0">
                  <c:v>0.4</c:v>
                </c:pt>
                <c:pt idx="1">
                  <c:v>0.5</c:v>
                </c:pt>
                <c:pt idx="2">
                  <c:v>0.60000000000000009</c:v>
                </c:pt>
                <c:pt idx="3">
                  <c:v>0.70000000000000007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</c:numCache>
            </c:numRef>
          </c:xVal>
          <c:yVal>
            <c:numRef>
              <c:f>StoredResults!$C$37:$I$37</c:f>
              <c:numCache>
                <c:formatCode>0.0%</c:formatCode>
                <c:ptCount val="7"/>
                <c:pt idx="0">
                  <c:v>1.9905343726995685E-2</c:v>
                </c:pt>
                <c:pt idx="1">
                  <c:v>3.2162959290877216E-2</c:v>
                </c:pt>
                <c:pt idx="2">
                  <c:v>4.4266751286568325E-2</c:v>
                </c:pt>
                <c:pt idx="3">
                  <c:v>5.6579629888857647E-2</c:v>
                </c:pt>
                <c:pt idx="4">
                  <c:v>6.9315667873453557E-2</c:v>
                </c:pt>
                <c:pt idx="5">
                  <c:v>8.2559719965399986E-2</c:v>
                </c:pt>
                <c:pt idx="6">
                  <c:v>9.6281515109930285E-2</c:v>
                </c:pt>
              </c:numCache>
            </c:numRef>
          </c:yVal>
          <c:smooth val="1"/>
        </c:ser>
        <c:ser>
          <c:idx val="3"/>
          <c:order val="3"/>
          <c:tx>
            <c:v>CO</c:v>
          </c:tx>
          <c:spPr>
            <a:ln w="15875">
              <a:solidFill>
                <a:srgbClr val="FF0000"/>
              </a:solidFill>
            </a:ln>
          </c:spPr>
          <c:marker>
            <c:symbol val="circle"/>
            <c:size val="5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StoredResults!$C$34:$I$34</c:f>
              <c:numCache>
                <c:formatCode>0%</c:formatCode>
                <c:ptCount val="7"/>
                <c:pt idx="0">
                  <c:v>0.4</c:v>
                </c:pt>
                <c:pt idx="1">
                  <c:v>0.5</c:v>
                </c:pt>
                <c:pt idx="2">
                  <c:v>0.60000000000000009</c:v>
                </c:pt>
                <c:pt idx="3">
                  <c:v>0.70000000000000007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</c:numCache>
            </c:numRef>
          </c:xVal>
          <c:yVal>
            <c:numRef>
              <c:f>StoredResults!$C$38:$I$38</c:f>
              <c:numCache>
                <c:formatCode>0.0%</c:formatCode>
                <c:ptCount val="7"/>
                <c:pt idx="0">
                  <c:v>0.14858514713866069</c:v>
                </c:pt>
                <c:pt idx="1">
                  <c:v>0.11760686382899498</c:v>
                </c:pt>
                <c:pt idx="2">
                  <c:v>9.0526448015749744E-2</c:v>
                </c:pt>
                <c:pt idx="3">
                  <c:v>6.5959908854200153E-2</c:v>
                </c:pt>
                <c:pt idx="4">
                  <c:v>4.3012446332832459E-2</c:v>
                </c:pt>
                <c:pt idx="5">
                  <c:v>2.1127929168271015E-2</c:v>
                </c:pt>
                <c:pt idx="6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v> </c:v>
          </c:tx>
          <c:spPr>
            <a:ln w="63500" cap="flat">
              <a:solidFill>
                <a:schemeClr val="bg1">
                  <a:lumMod val="65000"/>
                </a:schemeClr>
              </a:solidFill>
              <a:headEnd type="triangle" w="sm" len="sm"/>
              <a:tailEnd type="triangle" w="sm" len="sm"/>
            </a:ln>
          </c:spPr>
          <c:marker>
            <c:symbol val="none"/>
          </c:marker>
          <c:xVal>
            <c:numRef>
              <c:f>StoredResults!$J$34:$K$34</c:f>
              <c:numCache>
                <c:formatCode>0%</c:formatCode>
                <c:ptCount val="2"/>
              </c:numCache>
            </c:numRef>
          </c:xVal>
          <c:yVal>
            <c:numRef>
              <c:f>StoredResults!$J$35:$K$35</c:f>
              <c:numCache>
                <c:formatCode>General</c:formatCode>
                <c:ptCount val="2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72384"/>
        <c:axId val="151482752"/>
      </c:scatterChart>
      <c:valAx>
        <c:axId val="151472384"/>
        <c:scaling>
          <c:orientation val="minMax"/>
          <c:max val="1"/>
          <c:min val="0.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>
                    <a:latin typeface="Arial" pitchFamily="34" charset="0"/>
                    <a:cs typeface="Arial" pitchFamily="34" charset="0"/>
                  </a:defRPr>
                </a:pPr>
                <a:r>
                  <a:rPr lang="en-US">
                    <a:latin typeface="Arial" pitchFamily="34" charset="0"/>
                    <a:cs typeface="Arial" pitchFamily="34" charset="0"/>
                  </a:rPr>
                  <a:t>% stoichiometric oxidant</a:t>
                </a:r>
              </a:p>
            </c:rich>
          </c:tx>
          <c:layout>
            <c:manualLayout>
              <c:xMode val="edge"/>
              <c:yMode val="edge"/>
              <c:x val="0.36725755563850698"/>
              <c:y val="0.93050107589630948"/>
            </c:manualLayout>
          </c:layout>
          <c:overlay val="0"/>
        </c:title>
        <c:numFmt formatCode="0%" sourceLinked="0"/>
        <c:majorTickMark val="out"/>
        <c:minorTickMark val="none"/>
        <c:tickLblPos val="nextTo"/>
        <c:crossAx val="151482752"/>
        <c:crosses val="autoZero"/>
        <c:crossBetween val="midCat"/>
      </c:valAx>
      <c:valAx>
        <c:axId val="151482752"/>
        <c:scaling>
          <c:orientation val="minMax"/>
          <c:max val="0.25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latin typeface="Arial" pitchFamily="34" charset="0"/>
                    <a:cs typeface="Arial" pitchFamily="34" charset="0"/>
                  </a:defRPr>
                </a:pPr>
                <a:r>
                  <a:rPr lang="en-US">
                    <a:latin typeface="Arial" pitchFamily="34" charset="0"/>
                    <a:cs typeface="Arial" pitchFamily="34" charset="0"/>
                  </a:rPr>
                  <a:t>% gas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151472384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0.40193105800754231"/>
          <c:y val="0.14309102110104863"/>
          <c:w val="0.28522383869669782"/>
          <c:h val="0.10000385604152139"/>
        </c:manualLayout>
      </c:layout>
      <c:overlay val="0"/>
      <c:spPr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c:spPr>
      <c:txPr>
        <a:bodyPr/>
        <a:lstStyle/>
        <a:p>
          <a:pPr>
            <a:defRPr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13.emf"/><Relationship Id="rId2" Type="http://schemas.openxmlformats.org/officeDocument/2006/relationships/image" Target="../media/image2.emf"/><Relationship Id="rId1" Type="http://schemas.openxmlformats.org/officeDocument/2006/relationships/image" Target="../media/image11.emf"/><Relationship Id="rId6" Type="http://schemas.openxmlformats.org/officeDocument/2006/relationships/image" Target="../media/image12.emf"/><Relationship Id="rId5" Type="http://schemas.openxmlformats.org/officeDocument/2006/relationships/image" Target="../media/image6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149637</xdr:colOff>
      <xdr:row>5</xdr:row>
      <xdr:rowOff>134080</xdr:rowOff>
    </xdr:from>
    <xdr:to>
      <xdr:col>12</xdr:col>
      <xdr:colOff>98152</xdr:colOff>
      <xdr:row>7</xdr:row>
      <xdr:rowOff>73122</xdr:rowOff>
    </xdr:to>
    <xdr:sp macro="" textlink="">
      <xdr:nvSpPr>
        <xdr:cNvPr id="39" name="Text Box 3"/>
        <xdr:cNvSpPr txBox="1">
          <a:spLocks noChangeArrowheads="1"/>
        </xdr:cNvSpPr>
      </xdr:nvSpPr>
      <xdr:spPr bwMode="auto">
        <a:xfrm>
          <a:off x="2444497" y="1383406"/>
          <a:ext cx="4928097" cy="275739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  <a:effectLst>
          <a:innerShdw blurRad="114300">
            <a:prstClr val="black"/>
          </a:innerShdw>
        </a:effectLst>
      </xdr:spPr>
      <xdr:txBody>
        <a:bodyPr vertOverflow="clip" wrap="square" lIns="18288" tIns="22860" rIns="18288" bIns="0" anchor="t"/>
        <a:lstStyle/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+mn-lt"/>
              <a:cs typeface="Arial" pitchFamily="34" charset="0"/>
            </a:rPr>
            <a:t>Calculations based on combustion of </a:t>
          </a:r>
          <a:r>
            <a:rPr lang="en-US" sz="1400" b="1" i="0" u="none" strike="noStrike" baseline="0">
              <a:solidFill>
                <a:srgbClr val="000000"/>
              </a:solidFill>
              <a:latin typeface="+mn-lt"/>
              <a:cs typeface="Arial" pitchFamily="34" charset="0"/>
            </a:rPr>
            <a:t>1 gram-mole </a:t>
          </a:r>
          <a:r>
            <a:rPr lang="en-US" sz="1400" b="0" i="0" u="none" strike="noStrike" baseline="0">
              <a:solidFill>
                <a:srgbClr val="000000"/>
              </a:solidFill>
              <a:latin typeface="+mn-lt"/>
              <a:cs typeface="Arial" pitchFamily="34" charset="0"/>
            </a:rPr>
            <a:t>of fuel at 1 atm.</a:t>
          </a:r>
        </a:p>
      </xdr:txBody>
    </xdr:sp>
    <xdr:clientData/>
  </xdr:twoCellAnchor>
  <xdr:oneCellAnchor>
    <xdr:from>
      <xdr:col>11</xdr:col>
      <xdr:colOff>100830</xdr:colOff>
      <xdr:row>0</xdr:row>
      <xdr:rowOff>69562</xdr:rowOff>
    </xdr:from>
    <xdr:ext cx="2243480" cy="800476"/>
    <xdr:sp macro="" textlink="">
      <xdr:nvSpPr>
        <xdr:cNvPr id="36" name="TextBox 35"/>
        <xdr:cNvSpPr txBox="1"/>
      </xdr:nvSpPr>
      <xdr:spPr>
        <a:xfrm>
          <a:off x="6763900" y="69562"/>
          <a:ext cx="2243480" cy="800476"/>
        </a:xfrm>
        <a:prstGeom prst="rect">
          <a:avLst/>
        </a:prstGeom>
        <a:solidFill>
          <a:schemeClr val="accent6">
            <a:lumMod val="5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45720" rIns="45720" rtlCol="0" anchor="ctr">
          <a:spAutoFit/>
        </a:bodyPr>
        <a:lstStyle/>
        <a:p>
          <a:pPr algn="ctr"/>
          <a:r>
            <a:rPr lang="en-US" sz="1200" b="1">
              <a:solidFill>
                <a:schemeClr val="bg1"/>
              </a:solidFill>
              <a:latin typeface="Arial" pitchFamily="34" charset="0"/>
              <a:cs typeface="Arial" pitchFamily="34" charset="0"/>
            </a:rPr>
            <a:t>ExoCalc is a Thermart Software program.   © 2013 by Arthur E. Morris. www.thermart.net</a:t>
          </a:r>
        </a:p>
      </xdr:txBody>
    </xdr:sp>
    <xdr:clientData/>
  </xdr:oneCellAnchor>
  <xdr:oneCellAnchor>
    <xdr:from>
      <xdr:col>0</xdr:col>
      <xdr:colOff>196851</xdr:colOff>
      <xdr:row>0</xdr:row>
      <xdr:rowOff>210318</xdr:rowOff>
    </xdr:from>
    <xdr:ext cx="1386416" cy="918265"/>
    <xdr:sp macro="" textlink="">
      <xdr:nvSpPr>
        <xdr:cNvPr id="43" name="TextBox 42"/>
        <xdr:cNvSpPr txBox="1"/>
      </xdr:nvSpPr>
      <xdr:spPr>
        <a:xfrm>
          <a:off x="196851" y="210318"/>
          <a:ext cx="1386416" cy="918265"/>
        </a:xfrm>
        <a:prstGeom prst="rect">
          <a:avLst/>
        </a:prstGeom>
        <a:solidFill>
          <a:srgbClr val="FFFFCC"/>
        </a:solidFill>
        <a:ln w="9525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45720" rIns="45720" rtlCol="0" anchor="t">
          <a:spAutoFit/>
        </a:bodyPr>
        <a:lstStyle/>
        <a:p>
          <a:pPr algn="ctr"/>
          <a:r>
            <a:rPr lang="en-US" sz="1200" u="sng">
              <a:latin typeface="Arial" pitchFamily="34" charset="0"/>
              <a:cs typeface="Arial" pitchFamily="34" charset="0"/>
            </a:rPr>
            <a:t>SI Units</a:t>
          </a:r>
        </a:p>
        <a:p>
          <a:pPr algn="l"/>
          <a:r>
            <a:rPr lang="en-US" sz="1100" baseline="0">
              <a:latin typeface="Arial" pitchFamily="34" charset="0"/>
              <a:cs typeface="Arial" pitchFamily="34" charset="0"/>
            </a:rPr>
            <a:t>temperature: °C or K</a:t>
          </a:r>
        </a:p>
        <a:p>
          <a:pPr algn="l"/>
          <a:r>
            <a:rPr lang="en-US" sz="1100" baseline="0">
              <a:latin typeface="Arial" pitchFamily="34" charset="0"/>
              <a:cs typeface="Arial" pitchFamily="34" charset="0"/>
            </a:rPr>
            <a:t>amount:  g-mol</a:t>
          </a:r>
        </a:p>
        <a:p>
          <a:pPr algn="l"/>
          <a:r>
            <a:rPr lang="en-US" sz="1100" baseline="0">
              <a:latin typeface="Arial" pitchFamily="34" charset="0"/>
              <a:cs typeface="Arial" pitchFamily="34" charset="0"/>
            </a:rPr>
            <a:t>mass:     g</a:t>
          </a:r>
        </a:p>
        <a:p>
          <a:pPr algn="l"/>
          <a:r>
            <a:rPr lang="en-US" sz="1100" baseline="0">
              <a:latin typeface="Arial" pitchFamily="34" charset="0"/>
              <a:cs typeface="Arial" pitchFamily="34" charset="0"/>
            </a:rPr>
            <a:t>energy:   J</a:t>
          </a:r>
        </a:p>
      </xdr:txBody>
    </xdr:sp>
    <xdr:clientData/>
  </xdr:oneCellAnchor>
  <xdr:oneCellAnchor>
    <xdr:from>
      <xdr:col>16</xdr:col>
      <xdr:colOff>39479</xdr:colOff>
      <xdr:row>0</xdr:row>
      <xdr:rowOff>115186</xdr:rowOff>
    </xdr:from>
    <xdr:ext cx="8156451" cy="3030279"/>
    <xdr:sp macro="" textlink="">
      <xdr:nvSpPr>
        <xdr:cNvPr id="27" name="TextBox 26"/>
        <xdr:cNvSpPr txBox="1"/>
      </xdr:nvSpPr>
      <xdr:spPr>
        <a:xfrm>
          <a:off x="9723967" y="115186"/>
          <a:ext cx="8156451" cy="3030279"/>
        </a:xfrm>
        <a:prstGeom prst="rect">
          <a:avLst/>
        </a:prstGeom>
        <a:solidFill>
          <a:srgbClr val="DCD8C2"/>
        </a:solidFill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400" u="sng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ExoCalc</a:t>
          </a:r>
          <a:r>
            <a:rPr lang="en-US" sz="1400" u="sng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US" sz="1400" u="sng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Operation</a:t>
          </a:r>
        </a:p>
        <a:p>
          <a:pPr algn="ctr"/>
          <a:endParaRPr lang="en-US" sz="800" u="none" smtClean="0">
            <a:solidFill>
              <a:srgbClr val="96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algn="l"/>
          <a:r>
            <a:rPr lang="en-US" sz="1200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     The Calculator has</a:t>
          </a:r>
          <a:r>
            <a:rPr lang="en-US" sz="1200" u="none" baseline="0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US" sz="1200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two </a:t>
          </a:r>
          <a:r>
            <a:rPr lang="en-US" sz="1200" u="sng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main</a:t>
          </a:r>
          <a:r>
            <a:rPr lang="en-US" sz="1200" u="none" baseline="0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US" sz="1200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worksheets, plus one for stored results. Enter data only</a:t>
          </a:r>
          <a:r>
            <a:rPr lang="en-US" sz="1200" u="none" baseline="0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 on</a:t>
          </a:r>
          <a:r>
            <a:rPr lang="en-US" sz="1200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US" sz="1200" u="sng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this</a:t>
          </a:r>
          <a:r>
            <a:rPr lang="en-US" sz="1200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 worksheet, in blue-bordered cells only.  Thermodynamic data and calculations are on worksheet </a:t>
          </a:r>
          <a:r>
            <a:rPr lang="en-US" sz="1200" u="sng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Calcs</a:t>
          </a:r>
          <a:r>
            <a:rPr lang="en-US" sz="1200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.  Blue-bordered data will be copied into the </a:t>
          </a:r>
          <a:r>
            <a:rPr lang="en-US" sz="1200" i="0" u="sng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Calcs</a:t>
          </a:r>
          <a:r>
            <a:rPr lang="en-US" sz="1200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 worksheet.  </a:t>
          </a:r>
        </a:p>
        <a:p>
          <a:pPr algn="ctr"/>
          <a:endParaRPr lang="en-US" sz="1000" b="0" i="0" u="none" baseline="0" smtClean="0">
            <a:solidFill>
              <a:srgbClr val="960000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algn="ctr"/>
          <a:r>
            <a:rPr lang="en-US" sz="1000" b="0" i="0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The calculator contains a sample system.  Changing any blue-bordered cell value will result in recalculation of all other dependent values.  Please read cell comments (cells with red corner), and the document.</a:t>
          </a:r>
        </a:p>
        <a:p>
          <a:pPr algn="ctr"/>
          <a:endParaRPr lang="en-US" sz="800" u="none" smtClean="0">
            <a:solidFill>
              <a:srgbClr val="96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algn="l"/>
          <a:r>
            <a:rPr lang="en-US" sz="1050" u="none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1.</a:t>
          </a:r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  Enter the fuel composition in column E, making sure that t</a:t>
          </a:r>
          <a:r>
            <a:rPr lang="en-US" sz="1050" u="none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he value in cell E30 is</a:t>
          </a:r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US" sz="1050" u="none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non-negative. 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u="none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2.</a:t>
          </a:r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  Enter the oxidant properties in  J20:J21, with the </a:t>
          </a:r>
          <a:r>
            <a:rPr lang="en-US" sz="1050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oxidant temperature range between 0° - 100°C.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3.  Enter the burner device heat loss/heat removal amount in cell H16.  This value is somewhat adjustable based on device's design.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u="none" baseline="0" smtClean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3.  </a:t>
          </a:r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Enter the hot gas temp in J16.  A normal range is 1000° - 1400°C.  Enter the fuel temperature in cell E32, in the range 0° - 100°C.  </a:t>
          </a:r>
        </a:p>
        <a:p>
          <a:pPr algn="l"/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4.  Enter the % stoichiometric oxidant in J24, in the range 40% - 90%.  Enter the cooler's dew point temperature in cell L16.  </a:t>
          </a:r>
        </a:p>
        <a:p>
          <a:pPr algn="l"/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5.  Enter the exogas heat-treat furnace temperature in cell N17.  A normal range is 700° - 1200°C.</a:t>
          </a:r>
        </a:p>
        <a:p>
          <a:pPr algn="l"/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6.  A brief summary of results is shown in Table I.  A complete set of results is shown on worksheet </a:t>
          </a:r>
          <a:r>
            <a:rPr lang="en-US" sz="1050" i="1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Calcs</a:t>
          </a:r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.  </a:t>
          </a:r>
        </a:p>
        <a:p>
          <a:pPr algn="l"/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7  If desired, you can copy results for several different fuels or oxidant properties to </a:t>
          </a:r>
          <a:r>
            <a:rPr kumimoji="0" lang="en-US" sz="1050" b="0" i="0" u="none" strike="noStrike" kern="0" cap="none" spc="0" normalizeH="0" baseline="0" noProof="0" smtClean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worksheet StoredResults, </a:t>
          </a:r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and chart them. This worksheet has results for pure methane combustion for the conditions noted in the IH article.</a:t>
          </a:r>
        </a:p>
        <a:p>
          <a:pPr algn="l"/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8.  Please read the cell comments and documents, and examine the formulae in the Calcs worksheet cells.</a:t>
          </a:r>
        </a:p>
      </xdr:txBody>
    </xdr:sp>
    <xdr:clientData/>
  </xdr:oneCellAnchor>
  <xdr:oneCellAnchor>
    <xdr:from>
      <xdr:col>1</xdr:col>
      <xdr:colOff>73781</xdr:colOff>
      <xdr:row>14</xdr:row>
      <xdr:rowOff>8104</xdr:rowOff>
    </xdr:from>
    <xdr:ext cx="3475503" cy="499533"/>
    <xdr:sp macro="" textlink="">
      <xdr:nvSpPr>
        <xdr:cNvPr id="6" name="TextBox 5"/>
        <xdr:cNvSpPr txBox="1"/>
      </xdr:nvSpPr>
      <xdr:spPr>
        <a:xfrm>
          <a:off x="336248" y="2624304"/>
          <a:ext cx="3475503" cy="49953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dk1">
              <a:shade val="95000"/>
              <a:satMod val="10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/>
            <a:t>Enter/Edit values in blue-bordered cells only!</a:t>
          </a:r>
        </a:p>
        <a:p>
          <a:endParaRPr lang="en-US" sz="1400"/>
        </a:p>
      </xdr:txBody>
    </xdr:sp>
    <xdr:clientData/>
  </xdr:oneCellAnchor>
  <xdr:oneCellAnchor>
    <xdr:from>
      <xdr:col>2</xdr:col>
      <xdr:colOff>572229</xdr:colOff>
      <xdr:row>15</xdr:row>
      <xdr:rowOff>75467</xdr:rowOff>
    </xdr:from>
    <xdr:ext cx="776510" cy="204772"/>
    <xdr:sp macro="" textlink="">
      <xdr:nvSpPr>
        <xdr:cNvPr id="9" name="TextBox 8"/>
        <xdr:cNvSpPr txBox="1"/>
      </xdr:nvSpPr>
      <xdr:spPr>
        <a:xfrm>
          <a:off x="1622096" y="2877934"/>
          <a:ext cx="776510" cy="204772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Like these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182880</xdr:colOff>
          <xdr:row>6</xdr:row>
          <xdr:rowOff>121920</xdr:rowOff>
        </xdr:from>
        <xdr:to>
          <xdr:col>2</xdr:col>
          <xdr:colOff>53340</xdr:colOff>
          <xdr:row>10</xdr:row>
          <xdr:rowOff>144780</xdr:rowOff>
        </xdr:to>
        <xdr:sp macro="" textlink="">
          <xdr:nvSpPr>
            <xdr:cNvPr id="4116" name="Object 20" hidden="1">
              <a:extLst>
                <a:ext uri="{63B3BB69-23CF-44E3-9099-C40C66FF867C}">
                  <a14:compatExt spid="_x0000_s4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2</xdr:col>
      <xdr:colOff>344592</xdr:colOff>
      <xdr:row>6</xdr:row>
      <xdr:rowOff>103536</xdr:rowOff>
    </xdr:from>
    <xdr:to>
      <xdr:col>4</xdr:col>
      <xdr:colOff>17414</xdr:colOff>
      <xdr:row>8</xdr:row>
      <xdr:rowOff>153248</xdr:rowOff>
    </xdr:to>
    <xdr:sp macro="" textlink="">
      <xdr:nvSpPr>
        <xdr:cNvPr id="38" name="AutoShape 31"/>
        <xdr:cNvSpPr>
          <a:spLocks noChangeArrowheads="1"/>
        </xdr:cNvSpPr>
      </xdr:nvSpPr>
      <xdr:spPr bwMode="auto">
        <a:xfrm>
          <a:off x="1335192" y="1365069"/>
          <a:ext cx="925889" cy="388379"/>
        </a:xfrm>
        <a:prstGeom prst="wedgeRoundRectCallout">
          <a:avLst>
            <a:gd name="adj1" fmla="val -80468"/>
            <a:gd name="adj2" fmla="val 48170"/>
            <a:gd name="adj3" fmla="val 16667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Please read this document.</a:t>
          </a:r>
          <a:endParaRPr lang="en-US"/>
        </a:p>
      </xdr:txBody>
    </xdr:sp>
    <xdr:clientData/>
  </xdr:twoCellAnchor>
  <xdr:twoCellAnchor>
    <xdr:from>
      <xdr:col>7</xdr:col>
      <xdr:colOff>145137</xdr:colOff>
      <xdr:row>0</xdr:row>
      <xdr:rowOff>219613</xdr:rowOff>
    </xdr:from>
    <xdr:to>
      <xdr:col>10</xdr:col>
      <xdr:colOff>386438</xdr:colOff>
      <xdr:row>2</xdr:row>
      <xdr:rowOff>128858</xdr:rowOff>
    </xdr:to>
    <xdr:sp macro="" textlink="">
      <xdr:nvSpPr>
        <xdr:cNvPr id="41" name="Rectangle 40"/>
        <xdr:cNvSpPr/>
      </xdr:nvSpPr>
      <xdr:spPr>
        <a:xfrm>
          <a:off x="4282974" y="219613"/>
          <a:ext cx="2084278" cy="556059"/>
        </a:xfrm>
        <a:prstGeom prst="rect">
          <a:avLst/>
        </a:prstGeom>
        <a:solidFill>
          <a:srgbClr val="FF8181"/>
        </a:solidFill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3200" b="0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Black" pitchFamily="34" charset="0"/>
            </a:rPr>
            <a:t>ExoCalc</a:t>
          </a:r>
        </a:p>
      </xdr:txBody>
    </xdr:sp>
    <xdr:clientData/>
  </xdr:twoCellAnchor>
  <xdr:twoCellAnchor>
    <xdr:from>
      <xdr:col>4</xdr:col>
      <xdr:colOff>632417</xdr:colOff>
      <xdr:row>3</xdr:row>
      <xdr:rowOff>29325</xdr:rowOff>
    </xdr:from>
    <xdr:to>
      <xdr:col>12</xdr:col>
      <xdr:colOff>460744</xdr:colOff>
      <xdr:row>5</xdr:row>
      <xdr:rowOff>26580</xdr:rowOff>
    </xdr:to>
    <xdr:sp macro="" textlink="">
      <xdr:nvSpPr>
        <xdr:cNvPr id="42" name="TextBox 41"/>
        <xdr:cNvSpPr txBox="1"/>
      </xdr:nvSpPr>
      <xdr:spPr>
        <a:xfrm>
          <a:off x="2927277" y="941953"/>
          <a:ext cx="4807909" cy="33395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600">
              <a:latin typeface="Arial Rounded MT Bold" pitchFamily="34" charset="0"/>
            </a:rPr>
            <a:t>An Exothermic-based Gas Generation Calculator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464820</xdr:colOff>
          <xdr:row>95</xdr:row>
          <xdr:rowOff>152400</xdr:rowOff>
        </xdr:from>
        <xdr:to>
          <xdr:col>11</xdr:col>
          <xdr:colOff>533400</xdr:colOff>
          <xdr:row>98</xdr:row>
          <xdr:rowOff>68580</xdr:rowOff>
        </xdr:to>
        <xdr:sp macro="" textlink="">
          <xdr:nvSpPr>
            <xdr:cNvPr id="4123" name="Object 27" hidden="1">
              <a:extLst>
                <a:ext uri="{63B3BB69-23CF-44E3-9099-C40C66FF867C}">
                  <a14:compatExt spid="_x0000_s4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104</xdr:row>
          <xdr:rowOff>15240</xdr:rowOff>
        </xdr:from>
        <xdr:to>
          <xdr:col>6</xdr:col>
          <xdr:colOff>0</xdr:colOff>
          <xdr:row>106</xdr:row>
          <xdr:rowOff>144780</xdr:rowOff>
        </xdr:to>
        <xdr:sp macro="" textlink="">
          <xdr:nvSpPr>
            <xdr:cNvPr id="4124" name="Object 28" hidden="1">
              <a:extLst>
                <a:ext uri="{63B3BB69-23CF-44E3-9099-C40C66FF867C}">
                  <a14:compatExt spid="_x0000_s4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601980</xdr:colOff>
          <xdr:row>115</xdr:row>
          <xdr:rowOff>30480</xdr:rowOff>
        </xdr:from>
        <xdr:to>
          <xdr:col>5</xdr:col>
          <xdr:colOff>259080</xdr:colOff>
          <xdr:row>116</xdr:row>
          <xdr:rowOff>121920</xdr:rowOff>
        </xdr:to>
        <xdr:sp macro="" textlink="">
          <xdr:nvSpPr>
            <xdr:cNvPr id="4125" name="Object 29" hidden="1">
              <a:extLst>
                <a:ext uri="{63B3BB69-23CF-44E3-9099-C40C66FF867C}">
                  <a14:compatExt spid="_x0000_s4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111</xdr:row>
          <xdr:rowOff>114300</xdr:rowOff>
        </xdr:from>
        <xdr:to>
          <xdr:col>13</xdr:col>
          <xdr:colOff>327660</xdr:colOff>
          <xdr:row>114</xdr:row>
          <xdr:rowOff>30480</xdr:rowOff>
        </xdr:to>
        <xdr:sp macro="" textlink="">
          <xdr:nvSpPr>
            <xdr:cNvPr id="4126" name="Object 30" hidden="1">
              <a:extLst>
                <a:ext uri="{63B3BB69-23CF-44E3-9099-C40C66FF867C}">
                  <a14:compatExt spid="_x0000_s4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441960</xdr:colOff>
          <xdr:row>136</xdr:row>
          <xdr:rowOff>0</xdr:rowOff>
        </xdr:from>
        <xdr:to>
          <xdr:col>12</xdr:col>
          <xdr:colOff>571500</xdr:colOff>
          <xdr:row>138</xdr:row>
          <xdr:rowOff>121920</xdr:rowOff>
        </xdr:to>
        <xdr:sp macro="" textlink="">
          <xdr:nvSpPr>
            <xdr:cNvPr id="4127" name="Object 31" hidden="1">
              <a:extLst>
                <a:ext uri="{63B3BB69-23CF-44E3-9099-C40C66FF867C}">
                  <a14:compatExt spid="_x0000_s4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125</xdr:row>
          <xdr:rowOff>129540</xdr:rowOff>
        </xdr:from>
        <xdr:to>
          <xdr:col>7</xdr:col>
          <xdr:colOff>114300</xdr:colOff>
          <xdr:row>128</xdr:row>
          <xdr:rowOff>45720</xdr:rowOff>
        </xdr:to>
        <xdr:sp macro="" textlink="">
          <xdr:nvSpPr>
            <xdr:cNvPr id="4128" name="Object 32" hidden="1">
              <a:extLst>
                <a:ext uri="{63B3BB69-23CF-44E3-9099-C40C66FF867C}">
                  <a14:compatExt spid="_x0000_s4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266700</xdr:colOff>
          <xdr:row>127</xdr:row>
          <xdr:rowOff>99060</xdr:rowOff>
        </xdr:from>
        <xdr:to>
          <xdr:col>11</xdr:col>
          <xdr:colOff>495300</xdr:colOff>
          <xdr:row>129</xdr:row>
          <xdr:rowOff>7620</xdr:rowOff>
        </xdr:to>
        <xdr:sp macro="" textlink="">
          <xdr:nvSpPr>
            <xdr:cNvPr id="4129" name="Object 33" hidden="1">
              <a:extLst>
                <a:ext uri="{63B3BB69-23CF-44E3-9099-C40C66FF867C}">
                  <a14:compatExt spid="_x0000_s4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93</xdr:row>
          <xdr:rowOff>106680</xdr:rowOff>
        </xdr:from>
        <xdr:to>
          <xdr:col>6</xdr:col>
          <xdr:colOff>121920</xdr:colOff>
          <xdr:row>96</xdr:row>
          <xdr:rowOff>22860</xdr:rowOff>
        </xdr:to>
        <xdr:sp macro="" textlink="">
          <xdr:nvSpPr>
            <xdr:cNvPr id="4130" name="Object 34" hidden="1">
              <a:extLst>
                <a:ext uri="{63B3BB69-23CF-44E3-9099-C40C66FF867C}">
                  <a14:compatExt spid="_x0000_s4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absolute">
    <xdr:from>
      <xdr:col>2</xdr:col>
      <xdr:colOff>530860</xdr:colOff>
      <xdr:row>7</xdr:row>
      <xdr:rowOff>90714</xdr:rowOff>
    </xdr:from>
    <xdr:to>
      <xdr:col>15</xdr:col>
      <xdr:colOff>408869</xdr:colOff>
      <xdr:row>13</xdr:row>
      <xdr:rowOff>101391</xdr:rowOff>
    </xdr:to>
    <xdr:grpSp>
      <xdr:nvGrpSpPr>
        <xdr:cNvPr id="17" name="Group 16"/>
        <xdr:cNvGrpSpPr/>
      </xdr:nvGrpSpPr>
      <xdr:grpSpPr>
        <a:xfrm>
          <a:off x="1576395" y="1676737"/>
          <a:ext cx="7905590" cy="1020770"/>
          <a:chOff x="1576395" y="1676737"/>
          <a:chExt cx="7905590" cy="1020770"/>
        </a:xfrm>
      </xdr:grpSpPr>
      <xdr:grpSp>
        <xdr:nvGrpSpPr>
          <xdr:cNvPr id="15" name="Group 14"/>
          <xdr:cNvGrpSpPr/>
        </xdr:nvGrpSpPr>
        <xdr:grpSpPr>
          <a:xfrm>
            <a:off x="1576395" y="1676737"/>
            <a:ext cx="7905590" cy="1020770"/>
            <a:chOff x="1576395" y="1676737"/>
            <a:chExt cx="7905590" cy="1020770"/>
          </a:xfrm>
        </xdr:grpSpPr>
        <xdr:grpSp>
          <xdr:nvGrpSpPr>
            <xdr:cNvPr id="7" name="Group 6"/>
            <xdr:cNvGrpSpPr/>
          </xdr:nvGrpSpPr>
          <xdr:grpSpPr>
            <a:xfrm>
              <a:off x="1576395" y="1676737"/>
              <a:ext cx="7905590" cy="1020770"/>
              <a:chOff x="1576395" y="1579272"/>
              <a:chExt cx="7905590" cy="1020770"/>
            </a:xfrm>
          </xdr:grpSpPr>
          <xdr:sp macro="" textlink="">
            <xdr:nvSpPr>
              <xdr:cNvPr id="50" name="Line 22"/>
              <xdr:cNvSpPr>
                <a:spLocks noChangeShapeType="1"/>
              </xdr:cNvSpPr>
            </xdr:nvSpPr>
            <xdr:spPr bwMode="auto">
              <a:xfrm>
                <a:off x="7116037" y="2207984"/>
                <a:ext cx="923570" cy="0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grpSp>
            <xdr:nvGrpSpPr>
              <xdr:cNvPr id="31" name="Group 30"/>
              <xdr:cNvGrpSpPr/>
            </xdr:nvGrpSpPr>
            <xdr:grpSpPr>
              <a:xfrm>
                <a:off x="2793971" y="1829908"/>
                <a:ext cx="2020851" cy="645137"/>
                <a:chOff x="6248400" y="2341419"/>
                <a:chExt cx="1364673" cy="644236"/>
              </a:xfrm>
            </xdr:grpSpPr>
            <xdr:sp macro="" textlink="">
              <xdr:nvSpPr>
                <xdr:cNvPr id="32" name="Rectangle 31"/>
                <xdr:cNvSpPr/>
              </xdr:nvSpPr>
              <xdr:spPr>
                <a:xfrm>
                  <a:off x="6248400" y="2341419"/>
                  <a:ext cx="1364673" cy="644236"/>
                </a:xfrm>
                <a:prstGeom prst="rect">
                  <a:avLst/>
                </a:prstGeom>
                <a:pattFill prst="diagBrick">
                  <a:fgClr>
                    <a:schemeClr val="tx1"/>
                  </a:fgClr>
                  <a:bgClr>
                    <a:schemeClr val="bg1"/>
                  </a:bgClr>
                </a:pattFill>
                <a:ln w="63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33" name="Rectangle 32"/>
                <xdr:cNvSpPr/>
              </xdr:nvSpPr>
              <xdr:spPr>
                <a:xfrm>
                  <a:off x="6359237" y="2424548"/>
                  <a:ext cx="1163784" cy="498762"/>
                </a:xfrm>
                <a:prstGeom prst="rect">
                  <a:avLst/>
                </a:prstGeom>
                <a:solidFill>
                  <a:schemeClr val="bg1"/>
                </a:solidFill>
                <a:ln w="63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34" name="Rectangle 33"/>
                <xdr:cNvSpPr/>
              </xdr:nvSpPr>
              <xdr:spPr>
                <a:xfrm>
                  <a:off x="6920342" y="2431475"/>
                  <a:ext cx="595747" cy="498762"/>
                </a:xfrm>
                <a:prstGeom prst="rect">
                  <a:avLst/>
                </a:prstGeom>
                <a:pattFill prst="lgConfetti">
                  <a:fgClr>
                    <a:schemeClr val="tx1">
                      <a:lumMod val="65000"/>
                      <a:lumOff val="35000"/>
                    </a:schemeClr>
                  </a:fgClr>
                  <a:bgClr>
                    <a:schemeClr val="bg1"/>
                  </a:bgClr>
                </a:pattFill>
                <a:ln w="63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37" name="Rectangle 36"/>
                <xdr:cNvSpPr/>
              </xdr:nvSpPr>
              <xdr:spPr>
                <a:xfrm>
                  <a:off x="7038103" y="2431474"/>
                  <a:ext cx="109827" cy="356759"/>
                </a:xfrm>
                <a:prstGeom prst="rect">
                  <a:avLst/>
                </a:prstGeom>
                <a:pattFill prst="diagBrick">
                  <a:fgClr>
                    <a:schemeClr val="tx1"/>
                  </a:fgClr>
                  <a:bgClr>
                    <a:schemeClr val="bg1"/>
                  </a:bgClr>
                </a:pattFill>
                <a:ln w="63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40" name="Rectangle 39"/>
                <xdr:cNvSpPr/>
              </xdr:nvSpPr>
              <xdr:spPr>
                <a:xfrm>
                  <a:off x="7308273" y="2564845"/>
                  <a:ext cx="103909" cy="367146"/>
                </a:xfrm>
                <a:prstGeom prst="rect">
                  <a:avLst/>
                </a:prstGeom>
                <a:pattFill prst="diagBrick">
                  <a:fgClr>
                    <a:schemeClr val="tx1"/>
                  </a:fgClr>
                  <a:bgClr>
                    <a:schemeClr val="bg1"/>
                  </a:bgClr>
                </a:pattFill>
                <a:ln w="63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sp macro="" textlink="">
            <xdr:nvSpPr>
              <xdr:cNvPr id="47" name="Cloud 46"/>
              <xdr:cNvSpPr/>
            </xdr:nvSpPr>
            <xdr:spPr>
              <a:xfrm>
                <a:off x="2926990" y="2107676"/>
                <a:ext cx="415714" cy="172930"/>
              </a:xfrm>
              <a:prstGeom prst="cloud">
                <a:avLst/>
              </a:prstGeom>
              <a:solidFill>
                <a:srgbClr val="0B062C"/>
              </a:solidFill>
              <a:ln w="12700">
                <a:noFill/>
              </a:ln>
              <a:effectLst/>
              <a:scene3d>
                <a:camera prst="orthographicFront">
                  <a:rot lat="0" lon="0" rev="0"/>
                </a:camera>
                <a:lightRig rig="chilly" dir="t">
                  <a:rot lat="0" lon="0" rev="18480000"/>
                </a:lightRig>
              </a:scene3d>
              <a:sp3d prstMaterial="clear">
                <a:bevelT h="63500"/>
              </a:sp3d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48" name="AutoShape 17" descr="50%"/>
              <xdr:cNvSpPr>
                <a:spLocks noChangeArrowheads="1"/>
              </xdr:cNvSpPr>
            </xdr:nvSpPr>
            <xdr:spPr bwMode="auto">
              <a:xfrm rot="16200000">
                <a:off x="2400926" y="1880051"/>
                <a:ext cx="545731" cy="597845"/>
              </a:xfrm>
              <a:custGeom>
                <a:avLst/>
                <a:gdLst>
                  <a:gd name="T0" fmla="*/ 2147483647 w 21600"/>
                  <a:gd name="T1" fmla="*/ 2147483647 h 21600"/>
                  <a:gd name="T2" fmla="*/ 2147483647 w 21600"/>
                  <a:gd name="T3" fmla="*/ 2147483647 h 21600"/>
                  <a:gd name="T4" fmla="*/ 2147483647 w 21600"/>
                  <a:gd name="T5" fmla="*/ 2147483647 h 21600"/>
                  <a:gd name="T6" fmla="*/ 2147483647 w 21600"/>
                  <a:gd name="T7" fmla="*/ 0 h 21600"/>
                  <a:gd name="T8" fmla="*/ 0 60000 65536"/>
                  <a:gd name="T9" fmla="*/ 0 60000 65536"/>
                  <a:gd name="T10" fmla="*/ 0 60000 65536"/>
                  <a:gd name="T11" fmla="*/ 0 60000 65536"/>
                  <a:gd name="T12" fmla="*/ 4500 w 21600"/>
                  <a:gd name="T13" fmla="*/ 4500 h 21600"/>
                  <a:gd name="T14" fmla="*/ 17100 w 21600"/>
                  <a:gd name="T15" fmla="*/ 17100 h 21600"/>
                </a:gdLst>
                <a:ahLst/>
                <a:cxnLst>
                  <a:cxn ang="T8">
                    <a:pos x="T0" y="T1"/>
                  </a:cxn>
                  <a:cxn ang="T9">
                    <a:pos x="T2" y="T3"/>
                  </a:cxn>
                  <a:cxn ang="T10">
                    <a:pos x="T4" y="T5"/>
                  </a:cxn>
                  <a:cxn ang="T11">
                    <a:pos x="T6" y="T7"/>
                  </a:cxn>
                </a:cxnLst>
                <a:rect l="T12" t="T13" r="T14" b="T15"/>
                <a:pathLst>
                  <a:path w="21600" h="21600">
                    <a:moveTo>
                      <a:pt x="0" y="0"/>
                    </a:moveTo>
                    <a:lnTo>
                      <a:pt x="5400" y="21600"/>
                    </a:lnTo>
                    <a:lnTo>
                      <a:pt x="16200" y="21600"/>
                    </a:lnTo>
                    <a:lnTo>
                      <a:pt x="21600" y="0"/>
                    </a:lnTo>
                    <a:lnTo>
                      <a:pt x="0" y="0"/>
                    </a:lnTo>
                    <a:close/>
                  </a:path>
                </a:pathLst>
              </a:custGeom>
              <a:pattFill prst="pct50">
                <a:fgClr>
                  <a:srgbClr val="C0C0C0"/>
                </a:fgClr>
                <a:bgClr>
                  <a:srgbClr val="FFFFFF"/>
                </a:bgClr>
              </a:pattFill>
              <a:ln w="6350" cap="flat" cmpd="sng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  <a:prstDash val="solid"/>
                <a:miter lim="800000"/>
                <a:headEnd/>
                <a:tailEnd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49" name="Text Box 25"/>
              <xdr:cNvSpPr txBox="1">
                <a:spLocks noChangeArrowheads="1"/>
              </xdr:cNvSpPr>
            </xdr:nvSpPr>
            <xdr:spPr bwMode="auto">
              <a:xfrm>
                <a:off x="2415555" y="2044756"/>
                <a:ext cx="517330" cy="283583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0" bIns="0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en-US" sz="12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Burner</a:t>
                </a:r>
              </a:p>
            </xdr:txBody>
          </xdr:sp>
          <xdr:sp macro="" textlink="">
            <xdr:nvSpPr>
              <xdr:cNvPr id="51" name="Rectangle 50"/>
              <xdr:cNvSpPr/>
            </xdr:nvSpPr>
            <xdr:spPr>
              <a:xfrm>
                <a:off x="1584633" y="1975986"/>
                <a:ext cx="601852" cy="491465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52" name="Line 22"/>
              <xdr:cNvSpPr>
                <a:spLocks noChangeShapeType="1"/>
              </xdr:cNvSpPr>
            </xdr:nvSpPr>
            <xdr:spPr bwMode="auto">
              <a:xfrm>
                <a:off x="2082267" y="2024545"/>
                <a:ext cx="304085" cy="0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53" name="Line 22"/>
              <xdr:cNvSpPr>
                <a:spLocks noChangeShapeType="1"/>
              </xdr:cNvSpPr>
            </xdr:nvSpPr>
            <xdr:spPr bwMode="auto">
              <a:xfrm>
                <a:off x="2067147" y="2325533"/>
                <a:ext cx="308140" cy="0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54" name="Text Box 29"/>
              <xdr:cNvSpPr txBox="1">
                <a:spLocks noChangeArrowheads="1"/>
              </xdr:cNvSpPr>
            </xdr:nvSpPr>
            <xdr:spPr bwMode="auto">
              <a:xfrm>
                <a:off x="1696794" y="1914535"/>
                <a:ext cx="392926" cy="220930"/>
              </a:xfrm>
              <a:prstGeom prst="rect">
                <a:avLst/>
              </a:prstGeom>
              <a:solidFill>
                <a:srgbClr val="FFFFCC"/>
              </a:solidFill>
              <a:ln w="63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ffectLst/>
              <a:extLst/>
            </xdr:spPr>
            <xdr:txBody>
              <a:bodyPr vertOverflow="clip" wrap="square" lIns="18288" tIns="22860" rIns="0" bIns="0" anchor="ctr"/>
              <a:lstStyle/>
              <a:p>
                <a:pPr marL="0" indent="0" algn="ctr" rtl="0">
                  <a:defRPr sz="1000"/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+mn-ea"/>
                    <a:cs typeface="Arial"/>
                  </a:rPr>
                  <a:t>Fuel</a:t>
                </a:r>
              </a:p>
            </xdr:txBody>
          </xdr:sp>
          <xdr:sp macro="" textlink="">
            <xdr:nvSpPr>
              <xdr:cNvPr id="55" name="Text Box 28"/>
              <xdr:cNvSpPr txBox="1">
                <a:spLocks noChangeArrowheads="1"/>
              </xdr:cNvSpPr>
            </xdr:nvSpPr>
            <xdr:spPr bwMode="auto">
              <a:xfrm>
                <a:off x="1576395" y="2209841"/>
                <a:ext cx="493999" cy="236634"/>
              </a:xfrm>
              <a:prstGeom prst="rect">
                <a:avLst/>
              </a:prstGeom>
              <a:solidFill>
                <a:srgbClr val="FFFFCC"/>
              </a:solidFill>
              <a:ln w="63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ffectLst/>
              <a:extLst/>
            </xdr:spPr>
            <xdr:txBody>
              <a:bodyPr vertOverflow="clip" wrap="square" lIns="18288" tIns="22860" rIns="0" bIns="0" anchor="ctr"/>
              <a:lstStyle/>
              <a:p>
                <a:pPr marL="0" indent="0" algn="ctr" rtl="0">
                  <a:defRPr sz="1000"/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+mn-ea"/>
                    <a:cs typeface="Arial"/>
                  </a:rPr>
                  <a:t>Oxidant</a:t>
                </a:r>
              </a:p>
            </xdr:txBody>
          </xdr:sp>
          <xdr:pic>
            <xdr:nvPicPr>
              <xdr:cNvPr id="56" name="Picture 55"/>
              <xdr:cNvPicPr>
                <a:picLocks noChangeAspect="1" noChangeArrowheads="1"/>
              </xdr:cNvPicPr>
            </xdr:nvPicPr>
            <xdr:blipFill rotWithShape="1">
              <a:blip xmlns:r="http://schemas.openxmlformats.org/officeDocument/2006/relationships" r:embed="rId1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43956" t="1" b="6626"/>
              <a:stretch/>
            </xdr:blipFill>
            <xdr:spPr bwMode="auto">
              <a:xfrm>
                <a:off x="2981591" y="2045881"/>
                <a:ext cx="766829" cy="296330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sp macro="" textlink="">
            <xdr:nvSpPr>
              <xdr:cNvPr id="60" name="Text Box 28"/>
              <xdr:cNvSpPr txBox="1">
                <a:spLocks noChangeArrowheads="1"/>
              </xdr:cNvSpPr>
            </xdr:nvSpPr>
            <xdr:spPr bwMode="auto">
              <a:xfrm>
                <a:off x="4875027" y="2007746"/>
                <a:ext cx="1387608" cy="378824"/>
              </a:xfrm>
              <a:prstGeom prst="rect">
                <a:avLst/>
              </a:prstGeom>
              <a:solidFill>
                <a:srgbClr val="FFFFCC"/>
              </a:solidFill>
              <a:ln w="63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ffectLst/>
              <a:extLst/>
            </xdr:spPr>
            <xdr:txBody>
              <a:bodyPr vertOverflow="clip" wrap="square" lIns="18288" tIns="22860" rIns="0" bIns="0" anchor="ctr"/>
              <a:lstStyle/>
              <a:p>
                <a:pPr marL="0" indent="0" algn="ctr" rtl="0">
                  <a:defRPr sz="1000"/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+mn-ea"/>
                    <a:cs typeface="Arial"/>
                  </a:rPr>
                  <a:t>Hot Gas</a:t>
                </a:r>
              </a:p>
              <a:p>
                <a:pPr marL="0" indent="0" algn="ctr" rtl="0">
                  <a:defRPr sz="1000"/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+mn-ea"/>
                    <a:cs typeface="Arial"/>
                  </a:rPr>
                  <a:t>CO, CO</a:t>
                </a:r>
                <a:r>
                  <a:rPr lang="en-US" sz="1000" b="0" i="0" u="none" strike="noStrike" baseline="-25000">
                    <a:solidFill>
                      <a:srgbClr val="000000"/>
                    </a:solidFill>
                    <a:latin typeface="Arial"/>
                    <a:ea typeface="+mn-ea"/>
                    <a:cs typeface="Arial"/>
                  </a:rPr>
                  <a:t>2</a:t>
                </a: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+mn-ea"/>
                    <a:cs typeface="Arial"/>
                  </a:rPr>
                  <a:t>, H</a:t>
                </a:r>
                <a:r>
                  <a:rPr lang="en-US" sz="1000" b="0" i="0" u="none" strike="noStrike" baseline="-25000">
                    <a:solidFill>
                      <a:srgbClr val="000000"/>
                    </a:solidFill>
                    <a:latin typeface="Arial"/>
                    <a:ea typeface="+mn-ea"/>
                    <a:cs typeface="Arial"/>
                  </a:rPr>
                  <a:t>2</a:t>
                </a: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+mn-ea"/>
                    <a:cs typeface="Arial"/>
                  </a:rPr>
                  <a:t>, H</a:t>
                </a:r>
                <a:r>
                  <a:rPr lang="en-US" sz="1000" b="0" i="0" u="none" strike="noStrike" baseline="-25000">
                    <a:solidFill>
                      <a:srgbClr val="000000"/>
                    </a:solidFill>
                    <a:latin typeface="Arial"/>
                    <a:ea typeface="+mn-ea"/>
                    <a:cs typeface="Arial"/>
                  </a:rPr>
                  <a:t>2</a:t>
                </a: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+mn-ea"/>
                    <a:cs typeface="Arial"/>
                  </a:rPr>
                  <a:t>O, N</a:t>
                </a:r>
                <a:r>
                  <a:rPr lang="en-US" sz="1000" b="0" i="0" u="none" strike="noStrike" baseline="-25000">
                    <a:solidFill>
                      <a:srgbClr val="000000"/>
                    </a:solidFill>
                    <a:latin typeface="Arial"/>
                    <a:ea typeface="+mn-ea"/>
                    <a:cs typeface="Arial"/>
                  </a:rPr>
                  <a:t>2</a:t>
                </a:r>
              </a:p>
            </xdr:txBody>
          </xdr:sp>
          <xdr:sp macro="" textlink="">
            <xdr:nvSpPr>
              <xdr:cNvPr id="59" name="Line 22"/>
              <xdr:cNvSpPr>
                <a:spLocks noChangeShapeType="1"/>
              </xdr:cNvSpPr>
            </xdr:nvSpPr>
            <xdr:spPr bwMode="auto">
              <a:xfrm>
                <a:off x="4824345" y="2215242"/>
                <a:ext cx="1619111" cy="0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4122" name="AutoShape 26"/>
              <xdr:cNvSpPr>
                <a:spLocks noChangeAspect="1" noChangeArrowheads="1"/>
              </xdr:cNvSpPr>
            </xdr:nvSpPr>
            <xdr:spPr bwMode="auto">
              <a:xfrm>
                <a:off x="2975876" y="2000161"/>
                <a:ext cx="768734" cy="305855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3" name="Trapezoid 2"/>
              <xdr:cNvSpPr/>
            </xdr:nvSpPr>
            <xdr:spPr>
              <a:xfrm rot="5400000">
                <a:off x="4682637" y="2134853"/>
                <a:ext cx="149093" cy="145472"/>
              </a:xfrm>
              <a:prstGeom prst="trapezoid">
                <a:avLst/>
              </a:prstGeom>
              <a:solidFill>
                <a:schemeClr val="bg1"/>
              </a:solidFill>
              <a:ln w="3175">
                <a:solidFill>
                  <a:schemeClr val="tx1">
                    <a:lumMod val="75000"/>
                    <a:lumOff val="2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4" name="Flowchart: Document 3"/>
              <xdr:cNvSpPr/>
            </xdr:nvSpPr>
            <xdr:spPr>
              <a:xfrm flipH="1">
                <a:off x="6444940" y="2058614"/>
                <a:ext cx="689184" cy="399044"/>
              </a:xfrm>
              <a:prstGeom prst="flowChartDocument">
                <a:avLst/>
              </a:prstGeom>
              <a:gradFill>
                <a:gsLst>
                  <a:gs pos="0">
                    <a:srgbClr val="8488C4"/>
                  </a:gs>
                  <a:gs pos="53000">
                    <a:srgbClr val="D4DEFF"/>
                  </a:gs>
                  <a:gs pos="83000">
                    <a:srgbClr val="D4DEFF"/>
                  </a:gs>
                  <a:gs pos="100000">
                    <a:srgbClr val="96AB94"/>
                  </a:gs>
                </a:gsLst>
                <a:lin ang="5400000" scaled="0"/>
              </a:gradFill>
              <a:ln w="952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44" name="Text Box 25"/>
              <xdr:cNvSpPr txBox="1">
                <a:spLocks noChangeArrowheads="1"/>
              </xdr:cNvSpPr>
            </xdr:nvSpPr>
            <xdr:spPr bwMode="auto">
              <a:xfrm>
                <a:off x="6526751" y="2084393"/>
                <a:ext cx="468253" cy="204308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0" bIns="0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en-US" sz="12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Cooler</a:t>
                </a:r>
              </a:p>
            </xdr:txBody>
          </xdr:sp>
          <xdr:sp macro="" textlink="">
            <xdr:nvSpPr>
              <xdr:cNvPr id="46" name="Text Box 29"/>
              <xdr:cNvSpPr txBox="1">
                <a:spLocks noChangeArrowheads="1"/>
              </xdr:cNvSpPr>
            </xdr:nvSpPr>
            <xdr:spPr bwMode="auto">
              <a:xfrm>
                <a:off x="7340739" y="2405318"/>
                <a:ext cx="392926" cy="194724"/>
              </a:xfrm>
              <a:prstGeom prst="rect">
                <a:avLst/>
              </a:prstGeom>
              <a:solidFill>
                <a:srgbClr val="FFFFCC"/>
              </a:solidFill>
              <a:ln w="63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ffectLst/>
              <a:extLst/>
            </xdr:spPr>
            <xdr:txBody>
              <a:bodyPr vertOverflow="clip" wrap="square" lIns="18288" tIns="22860" rIns="0" bIns="0" anchor="ctr"/>
              <a:lstStyle/>
              <a:p>
                <a:pPr marL="0" indent="0" algn="ctr" rtl="0">
                  <a:defRPr sz="1000"/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+mn-ea"/>
                    <a:cs typeface="Arial"/>
                  </a:rPr>
                  <a:t>Water</a:t>
                </a:r>
              </a:p>
            </xdr:txBody>
          </xdr:sp>
          <xdr:sp macro="" textlink="">
            <xdr:nvSpPr>
              <xdr:cNvPr id="5" name="Rounded Rectangle 4"/>
              <xdr:cNvSpPr/>
            </xdr:nvSpPr>
            <xdr:spPr>
              <a:xfrm>
                <a:off x="8034755" y="1834116"/>
                <a:ext cx="913204" cy="627913"/>
              </a:xfrm>
              <a:prstGeom prst="roundRect">
                <a:avLst/>
              </a:prstGeom>
              <a:gradFill>
                <a:gsLst>
                  <a:gs pos="0">
                    <a:srgbClr val="8488C4"/>
                  </a:gs>
                  <a:gs pos="53000">
                    <a:srgbClr val="D4DEFF"/>
                  </a:gs>
                  <a:gs pos="83000">
                    <a:srgbClr val="D4DEFF"/>
                  </a:gs>
                  <a:gs pos="100000">
                    <a:srgbClr val="96AB94"/>
                  </a:gs>
                </a:gsLst>
                <a:lin ang="5400000" scaled="0"/>
              </a:gradFill>
              <a:ln w="12700"/>
              <a:effectLst>
                <a:innerShdw dist="2540000">
                  <a:schemeClr val="bg1">
                    <a:alpha val="42000"/>
                  </a:schemeClr>
                </a:innerShdw>
              </a:effectLst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57" name="Text Box 29"/>
              <xdr:cNvSpPr txBox="1">
                <a:spLocks noChangeArrowheads="1"/>
              </xdr:cNvSpPr>
            </xdr:nvSpPr>
            <xdr:spPr bwMode="auto">
              <a:xfrm>
                <a:off x="7273102" y="1683263"/>
                <a:ext cx="701738" cy="496411"/>
              </a:xfrm>
              <a:prstGeom prst="rect">
                <a:avLst/>
              </a:prstGeom>
              <a:solidFill>
                <a:srgbClr val="FFFFCC"/>
              </a:solidFill>
              <a:ln w="63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ffectLst/>
              <a:extLst/>
            </xdr:spPr>
            <xdr:txBody>
              <a:bodyPr vertOverflow="clip" wrap="square" lIns="18288" tIns="22860" rIns="0" bIns="0" anchor="ctr"/>
              <a:lstStyle/>
              <a:p>
                <a:pPr marL="0" indent="0" algn="ctr" rtl="0">
                  <a:defRPr sz="1000"/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+mn-ea"/>
                    <a:cs typeface="Arial"/>
                  </a:rPr>
                  <a:t>Tempered</a:t>
                </a:r>
              </a:p>
              <a:p>
                <a:pPr marL="0" indent="0" algn="ctr" rtl="0">
                  <a:defRPr sz="1000"/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+mn-ea"/>
                    <a:cs typeface="Arial"/>
                  </a:rPr>
                  <a:t>hot gas (exogas)</a:t>
                </a:r>
              </a:p>
            </xdr:txBody>
          </xdr:sp>
          <xdr:sp macro="" textlink="">
            <xdr:nvSpPr>
              <xdr:cNvPr id="58" name="Text Box 25"/>
              <xdr:cNvSpPr txBox="1">
                <a:spLocks noChangeArrowheads="1"/>
              </xdr:cNvSpPr>
            </xdr:nvSpPr>
            <xdr:spPr bwMode="auto">
              <a:xfrm>
                <a:off x="8152530" y="1857423"/>
                <a:ext cx="702757" cy="377155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0" bIns="0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en-US" sz="1200" b="0" i="0" baseline="0">
                    <a:effectLst/>
                    <a:latin typeface="Arial" pitchFamily="34" charset="0"/>
                    <a:ea typeface="+mn-ea"/>
                    <a:cs typeface="Arial" pitchFamily="34" charset="0"/>
                  </a:rPr>
                  <a:t>Heat-treat</a:t>
                </a:r>
              </a:p>
              <a:p>
                <a:pPr algn="ctr" rtl="0">
                  <a:defRPr sz="1000"/>
                </a:pPr>
                <a:r>
                  <a:rPr lang="en-US" sz="12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Furnace</a:t>
                </a:r>
              </a:p>
            </xdr:txBody>
          </xdr:sp>
          <xdr:sp macro="" textlink="">
            <xdr:nvSpPr>
              <xdr:cNvPr id="8" name="Freeform 7"/>
              <xdr:cNvSpPr/>
            </xdr:nvSpPr>
            <xdr:spPr>
              <a:xfrm>
                <a:off x="8949652" y="1824193"/>
                <a:ext cx="308386" cy="313837"/>
              </a:xfrm>
              <a:custGeom>
                <a:avLst/>
                <a:gdLst>
                  <a:gd name="connsiteX0" fmla="*/ 0 w 304800"/>
                  <a:gd name="connsiteY0" fmla="*/ 312420 h 312420"/>
                  <a:gd name="connsiteX1" fmla="*/ 304800 w 304800"/>
                  <a:gd name="connsiteY1" fmla="*/ 312420 h 312420"/>
                  <a:gd name="connsiteX2" fmla="*/ 289560 w 304800"/>
                  <a:gd name="connsiteY2" fmla="*/ 0 h 312420"/>
                  <a:gd name="connsiteX3" fmla="*/ 297180 w 304800"/>
                  <a:gd name="connsiteY3" fmla="*/ 7620 h 31242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304800" h="312420">
                    <a:moveTo>
                      <a:pt x="0" y="312420"/>
                    </a:moveTo>
                    <a:lnTo>
                      <a:pt x="304800" y="312420"/>
                    </a:lnTo>
                    <a:lnTo>
                      <a:pt x="289560" y="0"/>
                    </a:lnTo>
                    <a:lnTo>
                      <a:pt x="297180" y="7620"/>
                    </a:lnTo>
                  </a:path>
                </a:pathLst>
              </a:custGeom>
              <a:ln w="12700">
                <a:headEnd type="none" w="med" len="med"/>
                <a:tailEnd type="triangl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61" name="Text Box 29"/>
              <xdr:cNvSpPr txBox="1">
                <a:spLocks noChangeArrowheads="1"/>
              </xdr:cNvSpPr>
            </xdr:nvSpPr>
            <xdr:spPr bwMode="auto">
              <a:xfrm>
                <a:off x="9085473" y="1641294"/>
                <a:ext cx="396512" cy="220222"/>
              </a:xfrm>
              <a:prstGeom prst="rect">
                <a:avLst/>
              </a:prstGeom>
              <a:solidFill>
                <a:srgbClr val="FFFFCC"/>
              </a:solidFill>
              <a:ln w="63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ffectLst/>
              <a:extLst/>
            </xdr:spPr>
            <xdr:txBody>
              <a:bodyPr vertOverflow="clip" wrap="square" lIns="18288" tIns="22860" rIns="0" bIns="0" anchor="ctr"/>
              <a:lstStyle/>
              <a:p>
                <a:pPr marL="0" indent="0" algn="ctr" rtl="0">
                  <a:defRPr sz="1000"/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+mn-ea"/>
                    <a:cs typeface="Arial"/>
                  </a:rPr>
                  <a:t>Stack</a:t>
                </a:r>
              </a:p>
            </xdr:txBody>
          </xdr:sp>
          <xdr:sp macro="" textlink="">
            <xdr:nvSpPr>
              <xdr:cNvPr id="64" name="Can 63"/>
              <xdr:cNvSpPr/>
            </xdr:nvSpPr>
            <xdr:spPr>
              <a:xfrm>
                <a:off x="8153287" y="2268280"/>
                <a:ext cx="151796" cy="160867"/>
              </a:xfrm>
              <a:prstGeom prst="can">
                <a:avLst>
                  <a:gd name="adj" fmla="val 39815"/>
                </a:avLst>
              </a:prstGeom>
              <a:solidFill>
                <a:schemeClr val="bg1"/>
              </a:solidFill>
              <a:ln w="9525"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65" name="Can 64"/>
              <xdr:cNvSpPr/>
            </xdr:nvSpPr>
            <xdr:spPr>
              <a:xfrm>
                <a:off x="8415150" y="2268280"/>
                <a:ext cx="151810" cy="160867"/>
              </a:xfrm>
              <a:prstGeom prst="can">
                <a:avLst>
                  <a:gd name="adj" fmla="val 39815"/>
                </a:avLst>
              </a:prstGeom>
              <a:solidFill>
                <a:schemeClr val="bg1"/>
              </a:solidFill>
              <a:ln w="9525"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66" name="Can 65"/>
              <xdr:cNvSpPr/>
            </xdr:nvSpPr>
            <xdr:spPr>
              <a:xfrm>
                <a:off x="8657070" y="2268280"/>
                <a:ext cx="152401" cy="160867"/>
              </a:xfrm>
              <a:prstGeom prst="can">
                <a:avLst>
                  <a:gd name="adj" fmla="val 39815"/>
                </a:avLst>
              </a:prstGeom>
              <a:solidFill>
                <a:schemeClr val="bg1"/>
              </a:solidFill>
              <a:ln w="9525"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1" name="Rectangular Callout 10"/>
              <xdr:cNvSpPr/>
            </xdr:nvSpPr>
            <xdr:spPr>
              <a:xfrm>
                <a:off x="5128662" y="1689226"/>
                <a:ext cx="578687" cy="252587"/>
              </a:xfrm>
              <a:prstGeom prst="wedgeRectCallout">
                <a:avLst>
                  <a:gd name="adj1" fmla="val -142302"/>
                  <a:gd name="adj2" fmla="val 88275"/>
                </a:avLst>
              </a:prstGeom>
              <a:solidFill>
                <a:srgbClr val="8FFFC2"/>
              </a:solidFill>
              <a:ln w="6350"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lIns="45720" rIns="27432" rtlCol="0" anchor="t">
                <a:spAutoFit/>
              </a:bodyPr>
              <a:lstStyle/>
              <a:p>
                <a:pPr algn="l"/>
                <a:r>
                  <a:rPr lang="en-US" sz="1100">
                    <a:solidFill>
                      <a:schemeClr val="tx1"/>
                    </a:solidFill>
                    <a:latin typeface="Arial" pitchFamily="34" charset="0"/>
                    <a:cs typeface="Arial" pitchFamily="34" charset="0"/>
                  </a:rPr>
                  <a:t>Catalyst</a:t>
                </a:r>
              </a:p>
            </xdr:txBody>
          </xdr:sp>
          <xdr:sp macro="" textlink="">
            <xdr:nvSpPr>
              <xdr:cNvPr id="2" name="Freeform 1"/>
              <xdr:cNvSpPr/>
            </xdr:nvSpPr>
            <xdr:spPr>
              <a:xfrm>
                <a:off x="6942470" y="2456116"/>
                <a:ext cx="399705" cy="75215"/>
              </a:xfrm>
              <a:custGeom>
                <a:avLst/>
                <a:gdLst>
                  <a:gd name="connsiteX0" fmla="*/ 0 w 397933"/>
                  <a:gd name="connsiteY0" fmla="*/ 0 h 76200"/>
                  <a:gd name="connsiteX1" fmla="*/ 0 w 397933"/>
                  <a:gd name="connsiteY1" fmla="*/ 76200 h 76200"/>
                  <a:gd name="connsiteX2" fmla="*/ 397933 w 397933"/>
                  <a:gd name="connsiteY2" fmla="*/ 76200 h 7620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</a:cxnLst>
                <a:rect l="l" t="t" r="r" b="b"/>
                <a:pathLst>
                  <a:path w="397933" h="76200">
                    <a:moveTo>
                      <a:pt x="0" y="0"/>
                    </a:moveTo>
                    <a:lnTo>
                      <a:pt x="0" y="76200"/>
                    </a:lnTo>
                    <a:lnTo>
                      <a:pt x="397933" y="76200"/>
                    </a:lnTo>
                  </a:path>
                </a:pathLst>
              </a:custGeom>
              <a:ln>
                <a:headEnd type="none" w="med" len="med"/>
                <a:tailEnd type="triangl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62" name="Text Box 29"/>
              <xdr:cNvSpPr txBox="1">
                <a:spLocks noChangeArrowheads="1"/>
              </xdr:cNvSpPr>
            </xdr:nvSpPr>
            <xdr:spPr bwMode="auto">
              <a:xfrm>
                <a:off x="6379535" y="1687622"/>
                <a:ext cx="795921" cy="199658"/>
              </a:xfrm>
              <a:prstGeom prst="rect">
                <a:avLst/>
              </a:prstGeom>
              <a:solidFill>
                <a:srgbClr val="FFFFCC"/>
              </a:solidFill>
              <a:ln w="63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ffectLst/>
              <a:extLst/>
            </xdr:spPr>
            <xdr:txBody>
              <a:bodyPr vertOverflow="clip" wrap="square" lIns="18288" tIns="22860" rIns="0" bIns="0" anchor="ctr"/>
              <a:lstStyle/>
              <a:p>
                <a:pPr marL="0" indent="0" algn="ctr" rtl="0">
                  <a:defRPr sz="1000"/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+mn-ea"/>
                    <a:cs typeface="Arial"/>
                  </a:rPr>
                  <a:t>Cold water</a:t>
                </a:r>
              </a:p>
            </xdr:txBody>
          </xdr:sp>
          <xdr:sp macro="" textlink="">
            <xdr:nvSpPr>
              <xdr:cNvPr id="67" name="Text Box 29"/>
              <xdr:cNvSpPr txBox="1">
                <a:spLocks noChangeArrowheads="1"/>
              </xdr:cNvSpPr>
            </xdr:nvSpPr>
            <xdr:spPr bwMode="auto">
              <a:xfrm>
                <a:off x="3402416" y="1579272"/>
                <a:ext cx="674683" cy="220222"/>
              </a:xfrm>
              <a:prstGeom prst="rect">
                <a:avLst/>
              </a:prstGeom>
              <a:solidFill>
                <a:srgbClr val="FFFFCC"/>
              </a:solidFill>
              <a:ln w="63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ffectLst/>
              <a:extLst/>
            </xdr:spPr>
            <xdr:txBody>
              <a:bodyPr vertOverflow="clip" wrap="square" lIns="18288" tIns="22860" rIns="0" bIns="0" anchor="ctr"/>
              <a:lstStyle/>
              <a:p>
                <a:pPr marL="0" indent="0" algn="ctr" rtl="0">
                  <a:defRPr sz="1000"/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+mn-ea"/>
                    <a:cs typeface="Arial"/>
                  </a:rPr>
                  <a:t>Heat loss</a:t>
                </a:r>
              </a:p>
            </xdr:txBody>
          </xdr:sp>
        </xdr:grpSp>
        <xdr:cxnSp macro="">
          <xdr:nvCxnSpPr>
            <xdr:cNvPr id="12" name="Straight Arrow Connector 11"/>
            <xdr:cNvCxnSpPr/>
          </xdr:nvCxnSpPr>
          <xdr:spPr>
            <a:xfrm flipH="1">
              <a:off x="6565605" y="1983681"/>
              <a:ext cx="1949" cy="183412"/>
            </a:xfrm>
            <a:prstGeom prst="straightConnector1">
              <a:avLst/>
            </a:prstGeom>
            <a:ln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16" name="Lightning Bolt 15"/>
          <xdr:cNvSpPr/>
        </xdr:nvSpPr>
        <xdr:spPr>
          <a:xfrm>
            <a:off x="4022653" y="1772095"/>
            <a:ext cx="318977" cy="274673"/>
          </a:xfrm>
          <a:prstGeom prst="lightningBol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426327</xdr:colOff>
      <xdr:row>1</xdr:row>
      <xdr:rowOff>166961</xdr:rowOff>
    </xdr:from>
    <xdr:to>
      <xdr:col>2</xdr:col>
      <xdr:colOff>480873</xdr:colOff>
      <xdr:row>1</xdr:row>
      <xdr:rowOff>864667</xdr:rowOff>
    </xdr:to>
    <xdr:sp macro="" textlink="">
      <xdr:nvSpPr>
        <xdr:cNvPr id="5" name="Text Box 34"/>
        <xdr:cNvSpPr txBox="1">
          <a:spLocks noChangeArrowheads="1"/>
        </xdr:cNvSpPr>
      </xdr:nvSpPr>
      <xdr:spPr bwMode="auto">
        <a:xfrm>
          <a:off x="426327" y="385927"/>
          <a:ext cx="1467834" cy="69770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 Rounded MT Bold"/>
            </a:rPr>
            <a:t>Calculator created by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 Rounded MT Bold"/>
            </a:rPr>
            <a:t>A. E. Morris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 Rounded MT Bold"/>
            </a:rPr>
            <a:t>Thermart Software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 Rounded MT Bold"/>
            </a:rPr>
            <a:t>www.thermart.net</a:t>
          </a:r>
          <a:endParaRPr lang="en-US"/>
        </a:p>
      </xdr:txBody>
    </xdr:sp>
    <xdr:clientData/>
  </xdr:twoCellAnchor>
  <xdr:oneCellAnchor>
    <xdr:from>
      <xdr:col>2</xdr:col>
      <xdr:colOff>310572</xdr:colOff>
      <xdr:row>2</xdr:row>
      <xdr:rowOff>22856</xdr:rowOff>
    </xdr:from>
    <xdr:ext cx="3450789" cy="333375"/>
    <xdr:sp macro="" textlink="">
      <xdr:nvSpPr>
        <xdr:cNvPr id="30" name="TextBox 29"/>
        <xdr:cNvSpPr txBox="1"/>
      </xdr:nvSpPr>
      <xdr:spPr>
        <a:xfrm>
          <a:off x="1719386" y="1360786"/>
          <a:ext cx="3450789" cy="3333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dk1">
              <a:shade val="95000"/>
              <a:satMod val="10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600">
              <a:latin typeface="Arial" pitchFamily="34" charset="0"/>
              <a:cs typeface="Arial" pitchFamily="34" charset="0"/>
            </a:rPr>
            <a:t>Do not edit/enter values in any cells!</a:t>
          </a:r>
        </a:p>
        <a:p>
          <a:endParaRPr lang="en-US" sz="1600">
            <a:latin typeface="Arial" pitchFamily="34" charset="0"/>
            <a:cs typeface="Arial" pitchFamily="34" charset="0"/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563880</xdr:colOff>
          <xdr:row>18</xdr:row>
          <xdr:rowOff>22860</xdr:rowOff>
        </xdr:from>
        <xdr:to>
          <xdr:col>11</xdr:col>
          <xdr:colOff>480060</xdr:colOff>
          <xdr:row>20</xdr:row>
          <xdr:rowOff>106680</xdr:rowOff>
        </xdr:to>
        <xdr:sp macro="" textlink="">
          <xdr:nvSpPr>
            <xdr:cNvPr id="6201" name="Object 57" hidden="1">
              <a:extLst>
                <a:ext uri="{63B3BB69-23CF-44E3-9099-C40C66FF867C}">
                  <a14:compatExt spid="_x0000_s6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7</xdr:col>
      <xdr:colOff>505873</xdr:colOff>
      <xdr:row>18</xdr:row>
      <xdr:rowOff>21428</xdr:rowOff>
    </xdr:from>
    <xdr:ext cx="1305701" cy="402033"/>
    <xdr:sp macro="" textlink="">
      <xdr:nvSpPr>
        <xdr:cNvPr id="4" name="TextBox 3"/>
        <xdr:cNvSpPr txBox="1"/>
      </xdr:nvSpPr>
      <xdr:spPr>
        <a:xfrm>
          <a:off x="5095594" y="4345335"/>
          <a:ext cx="1305701" cy="402033"/>
        </a:xfrm>
        <a:prstGeom prst="rect">
          <a:avLst/>
        </a:prstGeom>
        <a:solidFill>
          <a:srgbClr val="FFFF99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45720" rIns="45720" rtlCol="0" anchor="ctr">
          <a:spAutoFit/>
        </a:bodyPr>
        <a:lstStyle/>
        <a:p>
          <a:pPr algn="ctr"/>
          <a:r>
            <a:rPr lang="en-US" sz="1050">
              <a:latin typeface="Arial" pitchFamily="34" charset="0"/>
              <a:cs typeface="Arial" pitchFamily="34" charset="0"/>
            </a:rPr>
            <a:t>Quadratic Formula:</a:t>
          </a:r>
        </a:p>
        <a:p>
          <a:pPr algn="ctr"/>
          <a:r>
            <a:rPr lang="en-US" sz="1050" i="1">
              <a:latin typeface="Arial" pitchFamily="34" charset="0"/>
              <a:cs typeface="Arial" pitchFamily="34" charset="0"/>
            </a:rPr>
            <a:t>aX</a:t>
          </a:r>
          <a:r>
            <a:rPr lang="en-US" sz="1050" baseline="30000">
              <a:latin typeface="Arial" pitchFamily="34" charset="0"/>
              <a:cs typeface="Arial" pitchFamily="34" charset="0"/>
            </a:rPr>
            <a:t>2</a:t>
          </a:r>
          <a:r>
            <a:rPr lang="en-US" sz="1050">
              <a:latin typeface="Arial" pitchFamily="34" charset="0"/>
              <a:cs typeface="Arial" pitchFamily="34" charset="0"/>
            </a:rPr>
            <a:t> + </a:t>
          </a:r>
          <a:r>
            <a:rPr lang="en-US" sz="1050" i="1">
              <a:latin typeface="Arial" pitchFamily="34" charset="0"/>
              <a:cs typeface="Arial" pitchFamily="34" charset="0"/>
            </a:rPr>
            <a:t>bX</a:t>
          </a:r>
          <a:r>
            <a:rPr lang="en-US" sz="1050">
              <a:latin typeface="Arial" pitchFamily="34" charset="0"/>
              <a:cs typeface="Arial" pitchFamily="34" charset="0"/>
            </a:rPr>
            <a:t> + </a:t>
          </a:r>
          <a:r>
            <a:rPr lang="en-US" sz="1050" i="1">
              <a:latin typeface="Arial" pitchFamily="34" charset="0"/>
              <a:cs typeface="Arial" pitchFamily="34" charset="0"/>
            </a:rPr>
            <a:t>c</a:t>
          </a:r>
          <a:r>
            <a:rPr lang="en-US" sz="1050">
              <a:latin typeface="Arial" pitchFamily="34" charset="0"/>
              <a:cs typeface="Arial" pitchFamily="34" charset="0"/>
            </a:rPr>
            <a:t> = 0</a:t>
          </a:r>
        </a:p>
      </xdr:txBody>
    </xdr:sp>
    <xdr:clientData/>
  </xdr:oneCellAnchor>
  <xdr:twoCellAnchor>
    <xdr:from>
      <xdr:col>2</xdr:col>
      <xdr:colOff>25978</xdr:colOff>
      <xdr:row>31</xdr:row>
      <xdr:rowOff>8659</xdr:rowOff>
    </xdr:from>
    <xdr:to>
      <xdr:col>2</xdr:col>
      <xdr:colOff>200026</xdr:colOff>
      <xdr:row>37</xdr:row>
      <xdr:rowOff>171451</xdr:rowOff>
    </xdr:to>
    <xdr:sp macro="" textlink="">
      <xdr:nvSpPr>
        <xdr:cNvPr id="43" name="Left Brace 42"/>
        <xdr:cNvSpPr/>
      </xdr:nvSpPr>
      <xdr:spPr>
        <a:xfrm>
          <a:off x="1618558" y="7217179"/>
          <a:ext cx="174048" cy="1168632"/>
        </a:xfrm>
        <a:prstGeom prst="leftBrace">
          <a:avLst>
            <a:gd name="adj1" fmla="val 20459"/>
            <a:gd name="adj2" fmla="val 50553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592666</xdr:colOff>
      <xdr:row>39</xdr:row>
      <xdr:rowOff>0</xdr:rowOff>
    </xdr:from>
    <xdr:to>
      <xdr:col>2</xdr:col>
      <xdr:colOff>152400</xdr:colOff>
      <xdr:row>42</xdr:row>
      <xdr:rowOff>182033</xdr:rowOff>
    </xdr:to>
    <xdr:sp macro="" textlink="">
      <xdr:nvSpPr>
        <xdr:cNvPr id="44" name="Left Brace 43"/>
        <xdr:cNvSpPr/>
      </xdr:nvSpPr>
      <xdr:spPr>
        <a:xfrm>
          <a:off x="1583266" y="8557260"/>
          <a:ext cx="161714" cy="669713"/>
        </a:xfrm>
        <a:prstGeom prst="leftBrace">
          <a:avLst>
            <a:gd name="adj1" fmla="val 20459"/>
            <a:gd name="adj2" fmla="val 48652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74182</xdr:colOff>
      <xdr:row>42</xdr:row>
      <xdr:rowOff>107640</xdr:rowOff>
    </xdr:from>
    <xdr:to>
      <xdr:col>15</xdr:col>
      <xdr:colOff>171450</xdr:colOff>
      <xdr:row>61</xdr:row>
      <xdr:rowOff>118533</xdr:rowOff>
    </xdr:to>
    <xdr:graphicFrame macro="">
      <xdr:nvGraphicFramePr>
        <xdr:cNvPr id="45" name="Chart 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92961</xdr:colOff>
      <xdr:row>62</xdr:row>
      <xdr:rowOff>74979</xdr:rowOff>
    </xdr:from>
    <xdr:to>
      <xdr:col>12</xdr:col>
      <xdr:colOff>216122</xdr:colOff>
      <xdr:row>78</xdr:row>
      <xdr:rowOff>136461</xdr:rowOff>
    </xdr:to>
    <xdr:graphicFrame macro="">
      <xdr:nvGraphicFramePr>
        <xdr:cNvPr id="4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97267</xdr:colOff>
      <xdr:row>79</xdr:row>
      <xdr:rowOff>87719</xdr:rowOff>
    </xdr:from>
    <xdr:to>
      <xdr:col>11</xdr:col>
      <xdr:colOff>561163</xdr:colOff>
      <xdr:row>92</xdr:row>
      <xdr:rowOff>15753</xdr:rowOff>
    </xdr:to>
    <xdr:graphicFrame macro="">
      <xdr:nvGraphicFramePr>
        <xdr:cNvPr id="48" name="Chart 4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602512</xdr:colOff>
      <xdr:row>92</xdr:row>
      <xdr:rowOff>92841</xdr:rowOff>
    </xdr:from>
    <xdr:to>
      <xdr:col>11</xdr:col>
      <xdr:colOff>375940</xdr:colOff>
      <xdr:row>106</xdr:row>
      <xdr:rowOff>138618</xdr:rowOff>
    </xdr:to>
    <xdr:graphicFrame macro="">
      <xdr:nvGraphicFramePr>
        <xdr:cNvPr id="73" name="Chart 7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297180</xdr:colOff>
          <xdr:row>100</xdr:row>
          <xdr:rowOff>121920</xdr:rowOff>
        </xdr:from>
        <xdr:to>
          <xdr:col>8</xdr:col>
          <xdr:colOff>441960</xdr:colOff>
          <xdr:row>103</xdr:row>
          <xdr:rowOff>7620</xdr:rowOff>
        </xdr:to>
        <xdr:sp macro="" textlink="">
          <xdr:nvSpPr>
            <xdr:cNvPr id="6218" name="Object 74" hidden="1">
              <a:extLst>
                <a:ext uri="{63B3BB69-23CF-44E3-9099-C40C66FF867C}">
                  <a14:compatExt spid="_x0000_s6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4</xdr:col>
      <xdr:colOff>562148</xdr:colOff>
      <xdr:row>107</xdr:row>
      <xdr:rowOff>167658</xdr:rowOff>
    </xdr:from>
    <xdr:to>
      <xdr:col>11</xdr:col>
      <xdr:colOff>429634</xdr:colOff>
      <xdr:row>123</xdr:row>
      <xdr:rowOff>37213</xdr:rowOff>
    </xdr:to>
    <xdr:graphicFrame macro="">
      <xdr:nvGraphicFramePr>
        <xdr:cNvPr id="78" name="Chart 7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511742</xdr:colOff>
      <xdr:row>124</xdr:row>
      <xdr:rowOff>1477</xdr:rowOff>
    </xdr:from>
    <xdr:to>
      <xdr:col>11</xdr:col>
      <xdr:colOff>446962</xdr:colOff>
      <xdr:row>138</xdr:row>
      <xdr:rowOff>141177</xdr:rowOff>
    </xdr:to>
    <xdr:graphicFrame macro="">
      <xdr:nvGraphicFramePr>
        <xdr:cNvPr id="79" name="Chart 7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470194</xdr:colOff>
      <xdr:row>139</xdr:row>
      <xdr:rowOff>165103</xdr:rowOff>
    </xdr:from>
    <xdr:to>
      <xdr:col>11</xdr:col>
      <xdr:colOff>563328</xdr:colOff>
      <xdr:row>155</xdr:row>
      <xdr:rowOff>16935</xdr:rowOff>
    </xdr:to>
    <xdr:graphicFrame macro="">
      <xdr:nvGraphicFramePr>
        <xdr:cNvPr id="80" name="Chart 7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533400</xdr:colOff>
          <xdr:row>143</xdr:row>
          <xdr:rowOff>45720</xdr:rowOff>
        </xdr:from>
        <xdr:to>
          <xdr:col>9</xdr:col>
          <xdr:colOff>152400</xdr:colOff>
          <xdr:row>145</xdr:row>
          <xdr:rowOff>106680</xdr:rowOff>
        </xdr:to>
        <xdr:sp macro="" textlink="">
          <xdr:nvSpPr>
            <xdr:cNvPr id="6222" name="Object 78" hidden="1">
              <a:extLst>
                <a:ext uri="{63B3BB69-23CF-44E3-9099-C40C66FF867C}">
                  <a14:compatExt spid="_x0000_s6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541020</xdr:colOff>
          <xdr:row>71</xdr:row>
          <xdr:rowOff>68580</xdr:rowOff>
        </xdr:from>
        <xdr:to>
          <xdr:col>9</xdr:col>
          <xdr:colOff>38100</xdr:colOff>
          <xdr:row>74</xdr:row>
          <xdr:rowOff>15240</xdr:rowOff>
        </xdr:to>
        <xdr:sp macro="" textlink="">
          <xdr:nvSpPr>
            <xdr:cNvPr id="6225" name="Object 81" hidden="1">
              <a:extLst>
                <a:ext uri="{63B3BB69-23CF-44E3-9099-C40C66FF867C}">
                  <a14:compatExt spid="_x0000_s6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0</xdr:col>
      <xdr:colOff>788581</xdr:colOff>
      <xdr:row>26</xdr:row>
      <xdr:rowOff>132907</xdr:rowOff>
    </xdr:from>
    <xdr:ext cx="11251019" cy="254000"/>
    <xdr:sp macro="" textlink="">
      <xdr:nvSpPr>
        <xdr:cNvPr id="81" name="TextBox 80"/>
        <xdr:cNvSpPr txBox="1"/>
      </xdr:nvSpPr>
      <xdr:spPr>
        <a:xfrm>
          <a:off x="788581" y="5647882"/>
          <a:ext cx="11251019" cy="254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400">
              <a:latin typeface="Arial" pitchFamily="34" charset="0"/>
              <a:cs typeface="Arial" pitchFamily="34" charset="0"/>
            </a:rPr>
            <a:t>Thermodynamic Data from FREED database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518160</xdr:colOff>
          <xdr:row>117</xdr:row>
          <xdr:rowOff>83820</xdr:rowOff>
        </xdr:from>
        <xdr:to>
          <xdr:col>10</xdr:col>
          <xdr:colOff>350520</xdr:colOff>
          <xdr:row>120</xdr:row>
          <xdr:rowOff>22860</xdr:rowOff>
        </xdr:to>
        <xdr:sp macro="" textlink="">
          <xdr:nvSpPr>
            <xdr:cNvPr id="6219" name="Object 75" hidden="1">
              <a:extLst>
                <a:ext uri="{63B3BB69-23CF-44E3-9099-C40C66FF867C}">
                  <a14:compatExt spid="_x0000_s6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350520</xdr:colOff>
          <xdr:row>131</xdr:row>
          <xdr:rowOff>144780</xdr:rowOff>
        </xdr:from>
        <xdr:to>
          <xdr:col>8</xdr:col>
          <xdr:colOff>76200</xdr:colOff>
          <xdr:row>133</xdr:row>
          <xdr:rowOff>60960</xdr:rowOff>
        </xdr:to>
        <xdr:sp macro="" textlink="">
          <xdr:nvSpPr>
            <xdr:cNvPr id="6220" name="Object 76" hidden="1">
              <a:extLst>
                <a:ext uri="{63B3BB69-23CF-44E3-9099-C40C66FF867C}">
                  <a14:compatExt spid="_x0000_s6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274320</xdr:colOff>
          <xdr:row>87</xdr:row>
          <xdr:rowOff>15240</xdr:rowOff>
        </xdr:from>
        <xdr:to>
          <xdr:col>9</xdr:col>
          <xdr:colOff>121920</xdr:colOff>
          <xdr:row>89</xdr:row>
          <xdr:rowOff>83820</xdr:rowOff>
        </xdr:to>
        <xdr:sp macro="" textlink="">
          <xdr:nvSpPr>
            <xdr:cNvPr id="6227" name="Object 83" hidden="1">
              <a:extLst>
                <a:ext uri="{63B3BB69-23CF-44E3-9099-C40C66FF867C}">
                  <a14:compatExt spid="_x0000_s6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absolute">
    <xdr:from>
      <xdr:col>5</xdr:col>
      <xdr:colOff>0</xdr:colOff>
      <xdr:row>1</xdr:row>
      <xdr:rowOff>0</xdr:rowOff>
    </xdr:from>
    <xdr:to>
      <xdr:col>12</xdr:col>
      <xdr:colOff>62715</xdr:colOff>
      <xdr:row>1</xdr:row>
      <xdr:rowOff>1024458</xdr:rowOff>
    </xdr:to>
    <xdr:grpSp>
      <xdr:nvGrpSpPr>
        <xdr:cNvPr id="36" name="Group 35"/>
        <xdr:cNvGrpSpPr/>
      </xdr:nvGrpSpPr>
      <xdr:grpSpPr>
        <a:xfrm>
          <a:off x="3393558" y="221512"/>
          <a:ext cx="4696738" cy="1024458"/>
          <a:chOff x="2531532" y="2514204"/>
          <a:chExt cx="4696738" cy="1024458"/>
        </a:xfrm>
      </xdr:grpSpPr>
      <xdr:sp macro="" textlink="">
        <xdr:nvSpPr>
          <xdr:cNvPr id="37" name="Rectangle 36"/>
          <xdr:cNvSpPr/>
        </xdr:nvSpPr>
        <xdr:spPr>
          <a:xfrm>
            <a:off x="3266160" y="2709333"/>
            <a:ext cx="879941" cy="499532"/>
          </a:xfrm>
          <a:prstGeom prst="rect">
            <a:avLst/>
          </a:prstGeom>
          <a:gradFill>
            <a:gsLst>
              <a:gs pos="0">
                <a:srgbClr val="FC9FCB"/>
              </a:gs>
              <a:gs pos="13000">
                <a:srgbClr val="F8B049"/>
              </a:gs>
              <a:gs pos="21001">
                <a:srgbClr val="F8B049"/>
              </a:gs>
              <a:gs pos="100000">
                <a:srgbClr val="FEE7F2"/>
              </a:gs>
              <a:gs pos="57000">
                <a:srgbClr val="FF0000"/>
              </a:gs>
              <a:gs pos="100000">
                <a:srgbClr val="F8B049"/>
              </a:gs>
            </a:gsLst>
            <a:lin ang="0" scaled="0"/>
          </a:gra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>
                <a:latin typeface="Arial" pitchFamily="34" charset="0"/>
                <a:cs typeface="Arial" pitchFamily="34" charset="0"/>
              </a:rPr>
              <a:t>Burner</a:t>
            </a:r>
          </a:p>
        </xdr:txBody>
      </xdr:sp>
      <xdr:sp macro="" textlink="">
        <xdr:nvSpPr>
          <xdr:cNvPr id="38" name="Rectangle 37"/>
          <xdr:cNvSpPr/>
        </xdr:nvSpPr>
        <xdr:spPr>
          <a:xfrm>
            <a:off x="4572000" y="2717799"/>
            <a:ext cx="773857" cy="499532"/>
          </a:xfrm>
          <a:prstGeom prst="rect">
            <a:avLst/>
          </a:prstGeom>
          <a:gradFill>
            <a:gsLst>
              <a:gs pos="0">
                <a:srgbClr val="3399FF"/>
              </a:gs>
              <a:gs pos="99000">
                <a:srgbClr val="9999FF"/>
              </a:gs>
              <a:gs pos="99000">
                <a:srgbClr val="1170FF">
                  <a:lumMod val="0"/>
                  <a:lumOff val="100000"/>
                </a:srgbClr>
              </a:gs>
              <a:gs pos="100000">
                <a:srgbClr val="006699"/>
              </a:gs>
            </a:gsLst>
            <a:lin ang="16200000" scaled="0"/>
          </a:gra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>
                <a:latin typeface="Arial" pitchFamily="34" charset="0"/>
                <a:cs typeface="Arial" pitchFamily="34" charset="0"/>
              </a:rPr>
              <a:t>Cooler</a:t>
            </a:r>
          </a:p>
        </xdr:txBody>
      </xdr:sp>
      <xdr:sp macro="" textlink="">
        <xdr:nvSpPr>
          <xdr:cNvPr id="39" name="Rectangle 38"/>
          <xdr:cNvSpPr/>
        </xdr:nvSpPr>
        <xdr:spPr>
          <a:xfrm>
            <a:off x="5822496" y="2692399"/>
            <a:ext cx="1035503" cy="567267"/>
          </a:xfrm>
          <a:prstGeom prst="rect">
            <a:avLst/>
          </a:prstGeom>
          <a:solidFill>
            <a:srgbClr val="FFA7A7"/>
          </a:soli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>
                <a:latin typeface="Arial" pitchFamily="34" charset="0"/>
                <a:cs typeface="Arial" pitchFamily="34" charset="0"/>
              </a:rPr>
              <a:t>Heat-Treat Furnace</a:t>
            </a:r>
          </a:p>
        </xdr:txBody>
      </xdr:sp>
      <xdr:cxnSp macro="">
        <xdr:nvCxnSpPr>
          <xdr:cNvPr id="40" name="Straight Arrow Connector 39"/>
          <xdr:cNvCxnSpPr>
            <a:stCxn id="37" idx="3"/>
            <a:endCxn id="38" idx="1"/>
          </xdr:cNvCxnSpPr>
        </xdr:nvCxnSpPr>
        <xdr:spPr>
          <a:xfrm>
            <a:off x="4146101" y="2959099"/>
            <a:ext cx="425899" cy="8466"/>
          </a:xfrm>
          <a:prstGeom prst="straightConnector1">
            <a:avLst/>
          </a:prstGeom>
          <a:ln>
            <a:headEnd type="none" w="med" len="med"/>
            <a:tailEnd type="triangl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Arrow Connector 40"/>
          <xdr:cNvCxnSpPr/>
        </xdr:nvCxnSpPr>
        <xdr:spPr>
          <a:xfrm>
            <a:off x="5354324" y="2984499"/>
            <a:ext cx="487676" cy="0"/>
          </a:xfrm>
          <a:prstGeom prst="straightConnector1">
            <a:avLst/>
          </a:prstGeom>
          <a:ln>
            <a:headEnd type="none" w="med" len="med"/>
            <a:tailEnd type="triangl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2" name="Freeform 41"/>
          <xdr:cNvSpPr/>
        </xdr:nvSpPr>
        <xdr:spPr>
          <a:xfrm>
            <a:off x="5353480" y="3174999"/>
            <a:ext cx="172681" cy="186267"/>
          </a:xfrm>
          <a:custGeom>
            <a:avLst/>
            <a:gdLst>
              <a:gd name="connsiteX0" fmla="*/ 0 w 177800"/>
              <a:gd name="connsiteY0" fmla="*/ 0 h 186267"/>
              <a:gd name="connsiteX1" fmla="*/ 177800 w 177800"/>
              <a:gd name="connsiteY1" fmla="*/ 0 h 186267"/>
              <a:gd name="connsiteX2" fmla="*/ 177800 w 177800"/>
              <a:gd name="connsiteY2" fmla="*/ 186267 h 18626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177800" h="186267">
                <a:moveTo>
                  <a:pt x="0" y="0"/>
                </a:moveTo>
                <a:lnTo>
                  <a:pt x="177800" y="0"/>
                </a:lnTo>
                <a:lnTo>
                  <a:pt x="177800" y="186267"/>
                </a:lnTo>
              </a:path>
            </a:pathLst>
          </a:custGeom>
          <a:ln w="12700">
            <a:headEnd type="none" w="med" len="med"/>
            <a:tailEnd type="triangl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46" name="Straight Arrow Connector 45"/>
          <xdr:cNvCxnSpPr/>
        </xdr:nvCxnSpPr>
        <xdr:spPr>
          <a:xfrm>
            <a:off x="2998967" y="3051931"/>
            <a:ext cx="275658" cy="0"/>
          </a:xfrm>
          <a:prstGeom prst="straightConnector1">
            <a:avLst/>
          </a:prstGeom>
          <a:ln>
            <a:headEnd type="none" w="med" len="med"/>
            <a:tailEnd type="triangl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Arrow Connector 48"/>
          <xdr:cNvCxnSpPr/>
        </xdr:nvCxnSpPr>
        <xdr:spPr>
          <a:xfrm>
            <a:off x="2998967" y="2883587"/>
            <a:ext cx="275658" cy="0"/>
          </a:xfrm>
          <a:prstGeom prst="straightConnector1">
            <a:avLst/>
          </a:prstGeom>
          <a:ln>
            <a:headEnd type="none" w="med" len="med"/>
            <a:tailEnd type="triangl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0" name="Text Box 29"/>
          <xdr:cNvSpPr txBox="1">
            <a:spLocks noChangeArrowheads="1"/>
          </xdr:cNvSpPr>
        </xdr:nvSpPr>
        <xdr:spPr bwMode="auto">
          <a:xfrm>
            <a:off x="5328277" y="3343938"/>
            <a:ext cx="392926" cy="194724"/>
          </a:xfrm>
          <a:prstGeom prst="rect">
            <a:avLst/>
          </a:prstGeom>
          <a:solidFill>
            <a:srgbClr val="FFFFCC"/>
          </a:solidFill>
          <a:ln w="63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/>
        </xdr:spPr>
        <xdr:txBody>
          <a:bodyPr vertOverflow="clip" wrap="square" lIns="18288" tIns="22860" rIns="0" bIns="0" anchor="ctr"/>
          <a:lstStyle/>
          <a:p>
            <a:pPr marL="0" indent="0"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Water</a:t>
            </a:r>
          </a:p>
        </xdr:txBody>
      </xdr:sp>
      <xdr:sp macro="" textlink="">
        <xdr:nvSpPr>
          <xdr:cNvPr id="51" name="Text Box 29"/>
          <xdr:cNvSpPr txBox="1">
            <a:spLocks noChangeArrowheads="1"/>
          </xdr:cNvSpPr>
        </xdr:nvSpPr>
        <xdr:spPr bwMode="auto">
          <a:xfrm>
            <a:off x="4199466" y="2592449"/>
            <a:ext cx="327936" cy="318036"/>
          </a:xfrm>
          <a:prstGeom prst="rect">
            <a:avLst/>
          </a:prstGeom>
          <a:solidFill>
            <a:srgbClr val="FFFFCC"/>
          </a:solidFill>
          <a:ln w="63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/>
        </xdr:spPr>
        <xdr:txBody>
          <a:bodyPr vertOverflow="clip" wrap="square" lIns="18288" tIns="22860" rIns="0" bIns="0" anchor="ctr">
            <a:spAutoFit/>
          </a:bodyPr>
          <a:lstStyle/>
          <a:p>
            <a:pPr marL="0" indent="0"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Hot</a:t>
            </a:r>
          </a:p>
          <a:p>
            <a:pPr marL="0" indent="0"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gas</a:t>
            </a:r>
          </a:p>
        </xdr:txBody>
      </xdr:sp>
      <xdr:sp macro="" textlink="">
        <xdr:nvSpPr>
          <xdr:cNvPr id="52" name="Text Box 29"/>
          <xdr:cNvSpPr txBox="1">
            <a:spLocks noChangeArrowheads="1"/>
          </xdr:cNvSpPr>
        </xdr:nvSpPr>
        <xdr:spPr bwMode="auto">
          <a:xfrm>
            <a:off x="5418668" y="2626315"/>
            <a:ext cx="327936" cy="318036"/>
          </a:xfrm>
          <a:prstGeom prst="rect">
            <a:avLst/>
          </a:prstGeom>
          <a:solidFill>
            <a:srgbClr val="FFFFCC"/>
          </a:solidFill>
          <a:ln w="63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/>
        </xdr:spPr>
        <xdr:txBody>
          <a:bodyPr vertOverflow="clip" wrap="square" lIns="18288" tIns="22860" rIns="0" bIns="0" anchor="ctr">
            <a:spAutoFit/>
          </a:bodyPr>
          <a:lstStyle/>
          <a:p>
            <a:pPr marL="0" indent="0"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Exo-</a:t>
            </a:r>
          </a:p>
          <a:p>
            <a:pPr marL="0" indent="0"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gas</a:t>
            </a:r>
          </a:p>
        </xdr:txBody>
      </xdr:sp>
      <xdr:sp macro="" textlink="">
        <xdr:nvSpPr>
          <xdr:cNvPr id="53" name="Freeform 52"/>
          <xdr:cNvSpPr/>
        </xdr:nvSpPr>
        <xdr:spPr>
          <a:xfrm flipV="1">
            <a:off x="6860553" y="2700861"/>
            <a:ext cx="172681" cy="186267"/>
          </a:xfrm>
          <a:custGeom>
            <a:avLst/>
            <a:gdLst>
              <a:gd name="connsiteX0" fmla="*/ 0 w 177800"/>
              <a:gd name="connsiteY0" fmla="*/ 0 h 186267"/>
              <a:gd name="connsiteX1" fmla="*/ 177800 w 177800"/>
              <a:gd name="connsiteY1" fmla="*/ 0 h 186267"/>
              <a:gd name="connsiteX2" fmla="*/ 177800 w 177800"/>
              <a:gd name="connsiteY2" fmla="*/ 186267 h 18626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177800" h="186267">
                <a:moveTo>
                  <a:pt x="0" y="0"/>
                </a:moveTo>
                <a:lnTo>
                  <a:pt x="177800" y="0"/>
                </a:lnTo>
                <a:lnTo>
                  <a:pt x="177800" y="186267"/>
                </a:lnTo>
              </a:path>
            </a:pathLst>
          </a:custGeom>
          <a:ln w="12700">
            <a:headEnd type="none" w="med" len="med"/>
            <a:tailEnd type="triangl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" name="Text Box 29"/>
          <xdr:cNvSpPr txBox="1">
            <a:spLocks noChangeArrowheads="1"/>
          </xdr:cNvSpPr>
        </xdr:nvSpPr>
        <xdr:spPr bwMode="auto">
          <a:xfrm>
            <a:off x="6835344" y="2514204"/>
            <a:ext cx="392926" cy="194724"/>
          </a:xfrm>
          <a:prstGeom prst="rect">
            <a:avLst/>
          </a:prstGeom>
          <a:solidFill>
            <a:srgbClr val="FFFFCC"/>
          </a:solidFill>
          <a:ln w="63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/>
        </xdr:spPr>
        <xdr:txBody>
          <a:bodyPr vertOverflow="clip" wrap="square" lIns="18288" tIns="22860" rIns="0" bIns="0" anchor="ctr"/>
          <a:lstStyle/>
          <a:p>
            <a:pPr marL="0" indent="0"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Stack</a:t>
            </a:r>
          </a:p>
        </xdr:txBody>
      </xdr:sp>
      <xdr:sp macro="" textlink="">
        <xdr:nvSpPr>
          <xdr:cNvPr id="55" name="Text Box 29"/>
          <xdr:cNvSpPr txBox="1">
            <a:spLocks noChangeArrowheads="1"/>
          </xdr:cNvSpPr>
        </xdr:nvSpPr>
        <xdr:spPr bwMode="auto">
          <a:xfrm>
            <a:off x="2531532" y="2787182"/>
            <a:ext cx="446473" cy="318036"/>
          </a:xfrm>
          <a:prstGeom prst="rect">
            <a:avLst/>
          </a:prstGeom>
          <a:solidFill>
            <a:srgbClr val="FFFFCC"/>
          </a:solidFill>
          <a:ln w="63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/>
        </xdr:spPr>
        <xdr:txBody>
          <a:bodyPr vertOverflow="clip" wrap="square" lIns="18288" tIns="22860" rIns="91440" bIns="0" anchor="ctr">
            <a:spAutoFit/>
          </a:bodyPr>
          <a:lstStyle/>
          <a:p>
            <a:pPr marL="0" indent="0" algn="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Fuel</a:t>
            </a:r>
          </a:p>
          <a:p>
            <a:pPr marL="0" indent="0" algn="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Air</a:t>
            </a:r>
          </a:p>
        </xdr:txBody>
      </xdr:sp>
      <xdr:cxnSp macro="">
        <xdr:nvCxnSpPr>
          <xdr:cNvPr id="56" name="Straight Connector 55"/>
          <xdr:cNvCxnSpPr/>
        </xdr:nvCxnSpPr>
        <xdr:spPr>
          <a:xfrm flipH="1">
            <a:off x="5926667" y="3175000"/>
            <a:ext cx="829733" cy="0"/>
          </a:xfrm>
          <a:prstGeom prst="line">
            <a:avLst/>
          </a:prstGeom>
          <a:ln w="152400">
            <a:solidFill>
              <a:schemeClr val="bg1">
                <a:lumMod val="50000"/>
              </a:schemeClr>
            </a:solidFill>
            <a:prstDash val="sysDot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135465</xdr:colOff>
      <xdr:row>2</xdr:row>
      <xdr:rowOff>83853</xdr:rowOff>
    </xdr:from>
    <xdr:to>
      <xdr:col>8</xdr:col>
      <xdr:colOff>539605</xdr:colOff>
      <xdr:row>8</xdr:row>
      <xdr:rowOff>143527</xdr:rowOff>
    </xdr:to>
    <xdr:grpSp>
      <xdr:nvGrpSpPr>
        <xdr:cNvPr id="2" name="Group 1"/>
        <xdr:cNvGrpSpPr/>
      </xdr:nvGrpSpPr>
      <xdr:grpSpPr>
        <a:xfrm>
          <a:off x="735540" y="445803"/>
          <a:ext cx="4947565" cy="1088374"/>
          <a:chOff x="732438" y="134654"/>
          <a:chExt cx="4675500" cy="1075674"/>
        </a:xfrm>
      </xdr:grpSpPr>
      <xdr:grpSp>
        <xdr:nvGrpSpPr>
          <xdr:cNvPr id="62" name="Group 61"/>
          <xdr:cNvGrpSpPr/>
        </xdr:nvGrpSpPr>
        <xdr:grpSpPr>
          <a:xfrm>
            <a:off x="732438" y="134654"/>
            <a:ext cx="4675500" cy="1075674"/>
            <a:chOff x="2603572" y="2462988"/>
            <a:chExt cx="4675500" cy="1075674"/>
          </a:xfrm>
        </xdr:grpSpPr>
        <xdr:sp macro="" textlink="">
          <xdr:nvSpPr>
            <xdr:cNvPr id="37" name="Rectangle 36"/>
            <xdr:cNvSpPr/>
          </xdr:nvSpPr>
          <xdr:spPr>
            <a:xfrm>
              <a:off x="3266160" y="2709333"/>
              <a:ext cx="879941" cy="499532"/>
            </a:xfrm>
            <a:prstGeom prst="rect">
              <a:avLst/>
            </a:prstGeom>
            <a:gradFill>
              <a:gsLst>
                <a:gs pos="0">
                  <a:srgbClr val="FDC3DF">
                    <a:lumMod val="78000"/>
                    <a:lumOff val="22000"/>
                  </a:srgbClr>
                </a:gs>
                <a:gs pos="13000">
                  <a:srgbClr val="F8B049"/>
                </a:gs>
                <a:gs pos="21001">
                  <a:srgbClr val="F8B049"/>
                </a:gs>
                <a:gs pos="100000">
                  <a:srgbClr val="FEE7F2"/>
                </a:gs>
                <a:gs pos="57000">
                  <a:srgbClr val="FF4747"/>
                </a:gs>
                <a:gs pos="100000">
                  <a:srgbClr val="F8B049"/>
                </a:gs>
              </a:gsLst>
              <a:lin ang="0" scaled="0"/>
            </a:gradFill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300">
                  <a:latin typeface="Arial" pitchFamily="34" charset="0"/>
                  <a:cs typeface="Arial" pitchFamily="34" charset="0"/>
                </a:rPr>
                <a:t>Burner</a:t>
              </a:r>
            </a:p>
            <a:p>
              <a:pPr algn="ctr"/>
              <a:r>
                <a:rPr lang="en-US" sz="1300">
                  <a:latin typeface="Arial" pitchFamily="34" charset="0"/>
                  <a:cs typeface="Arial" pitchFamily="34" charset="0"/>
                </a:rPr>
                <a:t>(1120°C)</a:t>
              </a:r>
            </a:p>
          </xdr:txBody>
        </xdr:sp>
        <xdr:sp macro="" textlink="">
          <xdr:nvSpPr>
            <xdr:cNvPr id="38" name="Rectangle 37"/>
            <xdr:cNvSpPr/>
          </xdr:nvSpPr>
          <xdr:spPr>
            <a:xfrm>
              <a:off x="4572000" y="2717799"/>
              <a:ext cx="773857" cy="499532"/>
            </a:xfrm>
            <a:prstGeom prst="rect">
              <a:avLst/>
            </a:prstGeom>
            <a:gradFill>
              <a:gsLst>
                <a:gs pos="0">
                  <a:srgbClr val="3399FF"/>
                </a:gs>
                <a:gs pos="99000">
                  <a:srgbClr val="9999FF"/>
                </a:gs>
                <a:gs pos="99000">
                  <a:srgbClr val="1170FF">
                    <a:lumMod val="0"/>
                    <a:lumOff val="100000"/>
                  </a:srgbClr>
                </a:gs>
                <a:gs pos="100000">
                  <a:srgbClr val="006699"/>
                </a:gs>
              </a:gsLst>
              <a:lin ang="16200000" scaled="0"/>
            </a:gradFill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300">
                  <a:latin typeface="Arial" pitchFamily="34" charset="0"/>
                  <a:cs typeface="Arial" pitchFamily="34" charset="0"/>
                </a:rPr>
                <a:t>Cooler</a:t>
              </a:r>
            </a:p>
            <a:p>
              <a:pPr algn="ctr"/>
              <a:r>
                <a:rPr lang="en-US" sz="1300">
                  <a:latin typeface="Arial" pitchFamily="34" charset="0"/>
                  <a:cs typeface="Arial" pitchFamily="34" charset="0"/>
                </a:rPr>
                <a:t>(20°C)</a:t>
              </a:r>
            </a:p>
          </xdr:txBody>
        </xdr:sp>
        <xdr:sp macro="" textlink="">
          <xdr:nvSpPr>
            <xdr:cNvPr id="39" name="Rectangle 38"/>
            <xdr:cNvSpPr/>
          </xdr:nvSpPr>
          <xdr:spPr>
            <a:xfrm>
              <a:off x="5822496" y="2514600"/>
              <a:ext cx="1035503" cy="855133"/>
            </a:xfrm>
            <a:prstGeom prst="rect">
              <a:avLst/>
            </a:prstGeom>
            <a:solidFill>
              <a:srgbClr val="FFA7A7"/>
            </a:solidFill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300">
                  <a:latin typeface="Arial" pitchFamily="34" charset="0"/>
                  <a:cs typeface="Arial" pitchFamily="34" charset="0"/>
                </a:rPr>
                <a:t>Heat-Treat Furnace</a:t>
              </a:r>
            </a:p>
            <a:p>
              <a:pPr algn="ctr"/>
              <a:r>
                <a:rPr lang="en-US" sz="1300">
                  <a:latin typeface="Arial" pitchFamily="34" charset="0"/>
                  <a:cs typeface="Arial" pitchFamily="34" charset="0"/>
                </a:rPr>
                <a:t>(1050°C)</a:t>
              </a:r>
            </a:p>
          </xdr:txBody>
        </xdr:sp>
        <xdr:cxnSp macro="">
          <xdr:nvCxnSpPr>
            <xdr:cNvPr id="40" name="Straight Arrow Connector 39"/>
            <xdr:cNvCxnSpPr>
              <a:stCxn id="37" idx="3"/>
              <a:endCxn id="38" idx="1"/>
            </xdr:cNvCxnSpPr>
          </xdr:nvCxnSpPr>
          <xdr:spPr>
            <a:xfrm>
              <a:off x="4146101" y="2959099"/>
              <a:ext cx="425899" cy="8466"/>
            </a:xfrm>
            <a:prstGeom prst="straightConnector1">
              <a:avLst/>
            </a:prstGeom>
            <a:ln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" name="Straight Arrow Connector 40"/>
            <xdr:cNvCxnSpPr/>
          </xdr:nvCxnSpPr>
          <xdr:spPr>
            <a:xfrm>
              <a:off x="5354324" y="2984499"/>
              <a:ext cx="487676" cy="0"/>
            </a:xfrm>
            <a:prstGeom prst="straightConnector1">
              <a:avLst/>
            </a:prstGeom>
            <a:ln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43" name="Freeform 42"/>
            <xdr:cNvSpPr/>
          </xdr:nvSpPr>
          <xdr:spPr>
            <a:xfrm>
              <a:off x="5353480" y="3174999"/>
              <a:ext cx="172681" cy="186267"/>
            </a:xfrm>
            <a:custGeom>
              <a:avLst/>
              <a:gdLst>
                <a:gd name="connsiteX0" fmla="*/ 0 w 177800"/>
                <a:gd name="connsiteY0" fmla="*/ 0 h 186267"/>
                <a:gd name="connsiteX1" fmla="*/ 177800 w 177800"/>
                <a:gd name="connsiteY1" fmla="*/ 0 h 186267"/>
                <a:gd name="connsiteX2" fmla="*/ 177800 w 177800"/>
                <a:gd name="connsiteY2" fmla="*/ 186267 h 18626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</a:cxnLst>
              <a:rect l="l" t="t" r="r" b="b"/>
              <a:pathLst>
                <a:path w="177800" h="186267">
                  <a:moveTo>
                    <a:pt x="0" y="0"/>
                  </a:moveTo>
                  <a:lnTo>
                    <a:pt x="177800" y="0"/>
                  </a:lnTo>
                  <a:lnTo>
                    <a:pt x="177800" y="186267"/>
                  </a:lnTo>
                </a:path>
              </a:pathLst>
            </a:custGeom>
            <a:ln w="12700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7" name="Text Box 29"/>
            <xdr:cNvSpPr txBox="1">
              <a:spLocks noChangeArrowheads="1"/>
            </xdr:cNvSpPr>
          </xdr:nvSpPr>
          <xdr:spPr bwMode="auto">
            <a:xfrm>
              <a:off x="5328277" y="3343938"/>
              <a:ext cx="392926" cy="194724"/>
            </a:xfrm>
            <a:prstGeom prst="rect">
              <a:avLst/>
            </a:prstGeom>
            <a:solidFill>
              <a:srgbClr val="FFFFCC"/>
            </a:solidFill>
            <a:ln w="63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ffectLst/>
            <a:extLst/>
          </xdr:spPr>
          <xdr:txBody>
            <a:bodyPr vertOverflow="clip" wrap="square" lIns="18288" tIns="22860" rIns="0" bIns="0" anchor="ctr"/>
            <a:lstStyle/>
            <a:p>
              <a:pPr marL="0" indent="0"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"/>
                  <a:ea typeface="+mn-ea"/>
                  <a:cs typeface="Arial"/>
                </a:rPr>
                <a:t>Water</a:t>
              </a:r>
            </a:p>
          </xdr:txBody>
        </xdr:sp>
        <xdr:sp macro="" textlink="">
          <xdr:nvSpPr>
            <xdr:cNvPr id="50" name="Text Box 29"/>
            <xdr:cNvSpPr txBox="1">
              <a:spLocks noChangeArrowheads="1"/>
            </xdr:cNvSpPr>
          </xdr:nvSpPr>
          <xdr:spPr bwMode="auto">
            <a:xfrm>
              <a:off x="4199466" y="2592449"/>
              <a:ext cx="327936" cy="318036"/>
            </a:xfrm>
            <a:prstGeom prst="rect">
              <a:avLst/>
            </a:prstGeom>
            <a:solidFill>
              <a:srgbClr val="FFFFCC"/>
            </a:solidFill>
            <a:ln w="63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ffectLst/>
            <a:extLst/>
          </xdr:spPr>
          <xdr:txBody>
            <a:bodyPr vertOverflow="clip" wrap="square" lIns="18288" tIns="22860" rIns="0" bIns="0" anchor="ctr">
              <a:spAutoFit/>
            </a:bodyPr>
            <a:lstStyle/>
            <a:p>
              <a:pPr marL="0" indent="0"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"/>
                  <a:ea typeface="+mn-ea"/>
                  <a:cs typeface="Arial"/>
                </a:rPr>
                <a:t>Hot</a:t>
              </a:r>
            </a:p>
            <a:p>
              <a:pPr marL="0" indent="0"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"/>
                  <a:ea typeface="+mn-ea"/>
                  <a:cs typeface="Arial"/>
                </a:rPr>
                <a:t>gas</a:t>
              </a:r>
            </a:p>
          </xdr:txBody>
        </xdr:sp>
        <xdr:sp macro="" textlink="">
          <xdr:nvSpPr>
            <xdr:cNvPr id="51" name="Text Box 29"/>
            <xdr:cNvSpPr txBox="1">
              <a:spLocks noChangeArrowheads="1"/>
            </xdr:cNvSpPr>
          </xdr:nvSpPr>
          <xdr:spPr bwMode="auto">
            <a:xfrm>
              <a:off x="5418668" y="2626315"/>
              <a:ext cx="327936" cy="318036"/>
            </a:xfrm>
            <a:prstGeom prst="rect">
              <a:avLst/>
            </a:prstGeom>
            <a:solidFill>
              <a:srgbClr val="FFFFCC"/>
            </a:solidFill>
            <a:ln w="63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ffectLst/>
            <a:extLst/>
          </xdr:spPr>
          <xdr:txBody>
            <a:bodyPr vertOverflow="clip" wrap="square" lIns="18288" tIns="22860" rIns="0" bIns="0" anchor="ctr">
              <a:spAutoFit/>
            </a:bodyPr>
            <a:lstStyle/>
            <a:p>
              <a:pPr marL="0" indent="0"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"/>
                  <a:ea typeface="+mn-ea"/>
                  <a:cs typeface="Arial"/>
                </a:rPr>
                <a:t>Exo-</a:t>
              </a:r>
            </a:p>
            <a:p>
              <a:pPr marL="0" indent="0"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"/>
                  <a:ea typeface="+mn-ea"/>
                  <a:cs typeface="Arial"/>
                </a:rPr>
                <a:t>gas</a:t>
              </a:r>
            </a:p>
          </xdr:txBody>
        </xdr:sp>
        <xdr:sp macro="" textlink="">
          <xdr:nvSpPr>
            <xdr:cNvPr id="53" name="Freeform 52"/>
            <xdr:cNvSpPr/>
          </xdr:nvSpPr>
          <xdr:spPr>
            <a:xfrm flipV="1">
              <a:off x="6860553" y="2700861"/>
              <a:ext cx="172681" cy="186267"/>
            </a:xfrm>
            <a:custGeom>
              <a:avLst/>
              <a:gdLst>
                <a:gd name="connsiteX0" fmla="*/ 0 w 177800"/>
                <a:gd name="connsiteY0" fmla="*/ 0 h 186267"/>
                <a:gd name="connsiteX1" fmla="*/ 177800 w 177800"/>
                <a:gd name="connsiteY1" fmla="*/ 0 h 186267"/>
                <a:gd name="connsiteX2" fmla="*/ 177800 w 177800"/>
                <a:gd name="connsiteY2" fmla="*/ 186267 h 18626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</a:cxnLst>
              <a:rect l="l" t="t" r="r" b="b"/>
              <a:pathLst>
                <a:path w="177800" h="186267">
                  <a:moveTo>
                    <a:pt x="0" y="0"/>
                  </a:moveTo>
                  <a:lnTo>
                    <a:pt x="177800" y="0"/>
                  </a:lnTo>
                  <a:lnTo>
                    <a:pt x="177800" y="186267"/>
                  </a:lnTo>
                </a:path>
              </a:pathLst>
            </a:custGeom>
            <a:ln w="12700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4" name="Text Box 29"/>
            <xdr:cNvSpPr txBox="1">
              <a:spLocks noChangeArrowheads="1"/>
            </xdr:cNvSpPr>
          </xdr:nvSpPr>
          <xdr:spPr bwMode="auto">
            <a:xfrm>
              <a:off x="6886146" y="2514204"/>
              <a:ext cx="392926" cy="194724"/>
            </a:xfrm>
            <a:prstGeom prst="rect">
              <a:avLst/>
            </a:prstGeom>
            <a:solidFill>
              <a:srgbClr val="FFFFCC"/>
            </a:solidFill>
            <a:ln w="63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ffectLst/>
            <a:extLst/>
          </xdr:spPr>
          <xdr:txBody>
            <a:bodyPr vertOverflow="clip" wrap="square" lIns="18288" tIns="22860" rIns="0" bIns="0" anchor="ctr"/>
            <a:lstStyle/>
            <a:p>
              <a:pPr marL="0" indent="0"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"/>
                  <a:ea typeface="+mn-ea"/>
                  <a:cs typeface="Arial"/>
                </a:rPr>
                <a:t>Stack</a:t>
              </a:r>
            </a:p>
          </xdr:txBody>
        </xdr:sp>
        <xdr:sp macro="" textlink="">
          <xdr:nvSpPr>
            <xdr:cNvPr id="55" name="Text Box 29"/>
            <xdr:cNvSpPr txBox="1">
              <a:spLocks noChangeArrowheads="1"/>
            </xdr:cNvSpPr>
          </xdr:nvSpPr>
          <xdr:spPr bwMode="auto">
            <a:xfrm>
              <a:off x="2603572" y="2787182"/>
              <a:ext cx="446473" cy="318036"/>
            </a:xfrm>
            <a:prstGeom prst="rect">
              <a:avLst/>
            </a:prstGeom>
            <a:solidFill>
              <a:srgbClr val="FFFFCC"/>
            </a:solidFill>
            <a:ln w="63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ffectLst/>
            <a:extLst/>
          </xdr:spPr>
          <xdr:txBody>
            <a:bodyPr vertOverflow="clip" wrap="square" lIns="18288" tIns="22860" rIns="91440" bIns="0" anchor="ctr">
              <a:spAutoFit/>
            </a:bodyPr>
            <a:lstStyle/>
            <a:p>
              <a:pPr marL="0" indent="0" algn="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" pitchFamily="34" charset="0"/>
                  <a:ea typeface="+mn-ea"/>
                  <a:cs typeface="Arial" pitchFamily="34" charset="0"/>
                </a:rPr>
                <a:t>CH</a:t>
              </a:r>
              <a:r>
                <a:rPr lang="en-US" sz="1000" b="1" i="0" u="none" strike="noStrike" baseline="-25000">
                  <a:solidFill>
                    <a:srgbClr val="000000"/>
                  </a:solidFill>
                  <a:latin typeface="Arial" pitchFamily="34" charset="0"/>
                  <a:ea typeface="+mn-ea"/>
                  <a:cs typeface="Arial" pitchFamily="34" charset="0"/>
                </a:rPr>
                <a:t>4</a:t>
              </a:r>
            </a:p>
            <a:p>
              <a:pPr marL="0" indent="0" algn="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" pitchFamily="34" charset="0"/>
                  <a:ea typeface="+mn-ea"/>
                  <a:cs typeface="Arial" pitchFamily="34" charset="0"/>
                </a:rPr>
                <a:t>Air</a:t>
              </a:r>
            </a:p>
          </xdr:txBody>
        </xdr:sp>
        <xdr:cxnSp macro="">
          <xdr:nvCxnSpPr>
            <xdr:cNvPr id="22" name="Straight Connector 21"/>
            <xdr:cNvCxnSpPr/>
          </xdr:nvCxnSpPr>
          <xdr:spPr>
            <a:xfrm flipH="1">
              <a:off x="5926667" y="3234269"/>
              <a:ext cx="829733" cy="0"/>
            </a:xfrm>
            <a:prstGeom prst="line">
              <a:avLst/>
            </a:prstGeom>
            <a:ln w="152400">
              <a:solidFill>
                <a:schemeClr val="bg1">
                  <a:lumMod val="50000"/>
                </a:schemeClr>
              </a:solidFill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64" name="Text Box 29"/>
            <xdr:cNvSpPr txBox="1">
              <a:spLocks noChangeArrowheads="1"/>
            </xdr:cNvSpPr>
          </xdr:nvSpPr>
          <xdr:spPr bwMode="auto">
            <a:xfrm>
              <a:off x="3056466" y="2462988"/>
              <a:ext cx="666601" cy="170560"/>
            </a:xfrm>
            <a:prstGeom prst="rect">
              <a:avLst/>
            </a:prstGeom>
            <a:solidFill>
              <a:srgbClr val="FFFFCC"/>
            </a:solidFill>
            <a:ln w="63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ffectLst/>
            <a:extLst/>
          </xdr:spPr>
          <xdr:txBody>
            <a:bodyPr vertOverflow="clip" wrap="square" lIns="18288" tIns="22860" rIns="0" bIns="0" anchor="ctr">
              <a:spAutoFit/>
            </a:bodyPr>
            <a:lstStyle/>
            <a:p>
              <a:pPr marL="0" indent="0"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"/>
                  <a:ea typeface="+mn-ea"/>
                  <a:cs typeface="Arial"/>
                </a:rPr>
                <a:t>Heat loss</a:t>
              </a:r>
            </a:p>
          </xdr:txBody>
        </xdr:sp>
        <xdr:cxnSp macro="">
          <xdr:nvCxnSpPr>
            <xdr:cNvPr id="44" name="Straight Arrow Connector 43"/>
            <xdr:cNvCxnSpPr/>
          </xdr:nvCxnSpPr>
          <xdr:spPr>
            <a:xfrm>
              <a:off x="2998967" y="3051931"/>
              <a:ext cx="275658" cy="0"/>
            </a:xfrm>
            <a:prstGeom prst="straightConnector1">
              <a:avLst/>
            </a:prstGeom>
            <a:ln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Arrow Connector 45"/>
            <xdr:cNvCxnSpPr/>
          </xdr:nvCxnSpPr>
          <xdr:spPr>
            <a:xfrm>
              <a:off x="2998967" y="2883587"/>
              <a:ext cx="275658" cy="0"/>
            </a:xfrm>
            <a:prstGeom prst="straightConnector1">
              <a:avLst/>
            </a:prstGeom>
            <a:ln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63" name="Lightning Bolt 62"/>
          <xdr:cNvSpPr/>
        </xdr:nvSpPr>
        <xdr:spPr>
          <a:xfrm rot="16016854" flipV="1">
            <a:off x="1879602" y="186265"/>
            <a:ext cx="338665" cy="270933"/>
          </a:xfrm>
          <a:prstGeom prst="lightningBolt">
            <a:avLst/>
          </a:prstGeom>
          <a:solidFill>
            <a:srgbClr val="FF0000"/>
          </a:solidFill>
          <a:ln w="63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8466</xdr:colOff>
      <xdr:row>40</xdr:row>
      <xdr:rowOff>27940</xdr:rowOff>
    </xdr:from>
    <xdr:to>
      <xdr:col>7</xdr:col>
      <xdr:colOff>586740</xdr:colOff>
      <xdr:row>57</xdr:row>
      <xdr:rowOff>112606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300446</xdr:colOff>
      <xdr:row>53</xdr:row>
      <xdr:rowOff>153004</xdr:rowOff>
    </xdr:from>
    <xdr:to>
      <xdr:col>6</xdr:col>
      <xdr:colOff>81498</xdr:colOff>
      <xdr:row>54</xdr:row>
      <xdr:rowOff>148772</xdr:rowOff>
    </xdr:to>
    <xdr:sp macro="" textlink="">
      <xdr:nvSpPr>
        <xdr:cNvPr id="4" name="Left-Right Arrow Callout 3"/>
        <xdr:cNvSpPr/>
      </xdr:nvSpPr>
      <xdr:spPr>
        <a:xfrm>
          <a:off x="1786346" y="9959944"/>
          <a:ext cx="2219452" cy="163408"/>
        </a:xfrm>
        <a:prstGeom prst="leftRightArrowCallout">
          <a:avLst>
            <a:gd name="adj1" fmla="val 50000"/>
            <a:gd name="adj2" fmla="val 44853"/>
            <a:gd name="adj3" fmla="val 44853"/>
            <a:gd name="adj4" fmla="val 71793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Arial" pitchFamily="34" charset="0"/>
              <a:cs typeface="Arial" pitchFamily="34" charset="0"/>
            </a:rPr>
            <a:t>Rich</a:t>
          </a:r>
        </a:p>
      </xdr:txBody>
    </xdr:sp>
    <xdr:clientData/>
  </xdr:twoCellAnchor>
  <xdr:twoCellAnchor>
    <xdr:from>
      <xdr:col>6</xdr:col>
      <xdr:colOff>87086</xdr:colOff>
      <xdr:row>53</xdr:row>
      <xdr:rowOff>147561</xdr:rowOff>
    </xdr:from>
    <xdr:to>
      <xdr:col>7</xdr:col>
      <xdr:colOff>157843</xdr:colOff>
      <xdr:row>54</xdr:row>
      <xdr:rowOff>143329</xdr:rowOff>
    </xdr:to>
    <xdr:sp macro="" textlink="">
      <xdr:nvSpPr>
        <xdr:cNvPr id="23" name="Left-Right Arrow Callout 22"/>
        <xdr:cNvSpPr/>
      </xdr:nvSpPr>
      <xdr:spPr>
        <a:xfrm>
          <a:off x="4011386" y="9955590"/>
          <a:ext cx="680357" cy="164496"/>
        </a:xfrm>
        <a:prstGeom prst="leftRightArrowCallout">
          <a:avLst>
            <a:gd name="adj1" fmla="val 50000"/>
            <a:gd name="adj2" fmla="val 44853"/>
            <a:gd name="adj3" fmla="val 44853"/>
            <a:gd name="adj4" fmla="val 71793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576" rIns="36576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Arial" pitchFamily="34" charset="0"/>
              <a:cs typeface="Arial" pitchFamily="34" charset="0"/>
            </a:rPr>
            <a:t>Lean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rt/My%20Documents/Thermart%20Programs/FlowBal/FB2007/Flowbal3.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ThPrograms-5\2001FR-TH\GaskellXmp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Owner/Desktop/tests/TestSystems/HXvsRX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rt/LOCALS~1/Temp/Temporary%20Directory%201%20for%20FlowBal8.5.1.zip/tests/TestSystems/HXvsRX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Owner/My%20Documents/Thermart%20Documents/CombustionProject/Flowbal5.3Nov2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Owner/My%20Documents/Thermart%20Documents/CombustionProject/CombustCalculatorforIH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gizli2"/>
      <sheetName val="gizli"/>
      <sheetName val="gizli3"/>
      <sheetName val="gizli4"/>
      <sheetName val="gizli5"/>
      <sheetName val="Main-db"/>
      <sheetName val="Mixer"/>
      <sheetName val="CarBurn (2)"/>
      <sheetName val="SiChlor"/>
      <sheetName val="GasDeS"/>
      <sheetName val="GasRfrm"/>
      <sheetName val="GasRfrm (2)"/>
      <sheetName val="OilBurn"/>
      <sheetName val="OilBrn"/>
      <sheetName val="OilBrn (2)"/>
      <sheetName val="OilBrnOKSolv"/>
      <sheetName val="HotBrnGas"/>
      <sheetName val="FeSlfCal"/>
      <sheetName val="FeSlfCalRslts"/>
      <sheetName val="SOxHeat"/>
      <sheetName val="Roaster"/>
      <sheetName val="CarBurnX"/>
      <sheetName val="CarBurn"/>
      <sheetName val="Filter"/>
      <sheetName val="Ele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">
          <cell r="C5">
            <v>227</v>
          </cell>
        </row>
        <row r="6">
          <cell r="C6">
            <v>107.8682</v>
          </cell>
        </row>
        <row r="7">
          <cell r="C7">
            <v>26.9815</v>
          </cell>
        </row>
        <row r="8">
          <cell r="C8">
            <v>243</v>
          </cell>
        </row>
        <row r="9">
          <cell r="C9">
            <v>39.948099999999997</v>
          </cell>
        </row>
        <row r="10">
          <cell r="C10">
            <v>74.921599999999998</v>
          </cell>
        </row>
        <row r="11">
          <cell r="C11">
            <v>210</v>
          </cell>
        </row>
        <row r="12">
          <cell r="C12">
            <v>196.9666</v>
          </cell>
        </row>
        <row r="13">
          <cell r="C13">
            <v>10.811999999999999</v>
          </cell>
        </row>
        <row r="14">
          <cell r="C14">
            <v>137.32769999999999</v>
          </cell>
        </row>
        <row r="15">
          <cell r="C15">
            <v>9.0122</v>
          </cell>
        </row>
        <row r="16">
          <cell r="C16">
            <v>208.9804</v>
          </cell>
        </row>
        <row r="17">
          <cell r="C17">
            <v>79.9041</v>
          </cell>
        </row>
        <row r="18">
          <cell r="C18">
            <v>12.0108</v>
          </cell>
        </row>
        <row r="19">
          <cell r="C19">
            <v>40.078400000000002</v>
          </cell>
        </row>
        <row r="20">
          <cell r="C20">
            <v>112.4118</v>
          </cell>
        </row>
        <row r="21">
          <cell r="C21">
            <v>140.11609999999999</v>
          </cell>
        </row>
        <row r="22">
          <cell r="C22">
            <v>35.453200000000002</v>
          </cell>
        </row>
        <row r="23">
          <cell r="C23">
            <v>58.933199999999999</v>
          </cell>
        </row>
        <row r="24">
          <cell r="C24">
            <v>51.996200000000002</v>
          </cell>
        </row>
        <row r="25">
          <cell r="C25">
            <v>132.90549999999999</v>
          </cell>
        </row>
        <row r="26">
          <cell r="C26">
            <v>63.546300000000002</v>
          </cell>
        </row>
        <row r="27">
          <cell r="C27">
            <v>162.5001</v>
          </cell>
        </row>
        <row r="28">
          <cell r="C28">
            <v>167.2593</v>
          </cell>
        </row>
        <row r="29">
          <cell r="C29">
            <v>151.9641</v>
          </cell>
        </row>
        <row r="30">
          <cell r="C30">
            <v>18.9984</v>
          </cell>
        </row>
        <row r="31">
          <cell r="C31">
            <v>55.845199999999998</v>
          </cell>
        </row>
        <row r="32">
          <cell r="C32">
            <v>223</v>
          </cell>
        </row>
        <row r="33">
          <cell r="C33">
            <v>69.723100000000002</v>
          </cell>
        </row>
        <row r="34">
          <cell r="C34">
            <v>157.25299999999999</v>
          </cell>
        </row>
        <row r="35">
          <cell r="C35">
            <v>72.641000000000005</v>
          </cell>
        </row>
        <row r="36">
          <cell r="C36">
            <v>1.0079499999999999</v>
          </cell>
        </row>
        <row r="37">
          <cell r="C37">
            <v>4.0026000000000002</v>
          </cell>
        </row>
        <row r="38">
          <cell r="C38">
            <v>178.49199999999999</v>
          </cell>
        </row>
        <row r="39">
          <cell r="C39">
            <v>200.59200000000001</v>
          </cell>
        </row>
        <row r="40">
          <cell r="C40">
            <v>164.93029999999999</v>
          </cell>
        </row>
        <row r="41">
          <cell r="C41">
            <v>126.9045</v>
          </cell>
        </row>
        <row r="42">
          <cell r="C42">
            <v>114.81829999999999</v>
          </cell>
        </row>
        <row r="43">
          <cell r="C43">
            <v>192.21729999999999</v>
          </cell>
        </row>
        <row r="44">
          <cell r="C44">
            <v>39.098300000000002</v>
          </cell>
        </row>
        <row r="45">
          <cell r="C45">
            <v>83.798199999999994</v>
          </cell>
        </row>
        <row r="46">
          <cell r="C46">
            <v>138.90549999999999</v>
          </cell>
        </row>
        <row r="47">
          <cell r="C47">
            <v>6.9412000000000003</v>
          </cell>
        </row>
        <row r="48">
          <cell r="C48">
            <v>174.96709999999999</v>
          </cell>
        </row>
        <row r="49">
          <cell r="C49">
            <v>24.305099999999999</v>
          </cell>
        </row>
        <row r="50">
          <cell r="C50">
            <v>54.938099999999999</v>
          </cell>
        </row>
        <row r="51">
          <cell r="C51">
            <v>95.941999999999993</v>
          </cell>
        </row>
        <row r="52">
          <cell r="C52">
            <v>14.0067</v>
          </cell>
        </row>
        <row r="53">
          <cell r="C53">
            <v>22.989799999999999</v>
          </cell>
        </row>
        <row r="54">
          <cell r="C54">
            <v>92.906400000000005</v>
          </cell>
        </row>
        <row r="55">
          <cell r="C55">
            <v>144.24299999999999</v>
          </cell>
        </row>
        <row r="56">
          <cell r="C56">
            <v>20.1798</v>
          </cell>
        </row>
        <row r="57">
          <cell r="C57">
            <v>58.693399999999997</v>
          </cell>
        </row>
        <row r="58">
          <cell r="C58">
            <v>237</v>
          </cell>
        </row>
        <row r="59">
          <cell r="C59">
            <v>15.9994</v>
          </cell>
        </row>
        <row r="60">
          <cell r="C60">
            <v>190.233</v>
          </cell>
        </row>
        <row r="61">
          <cell r="C61">
            <v>30.973800000000001</v>
          </cell>
        </row>
        <row r="62">
          <cell r="C62">
            <v>231.0359</v>
          </cell>
        </row>
        <row r="63">
          <cell r="C63">
            <v>207.21</v>
          </cell>
        </row>
        <row r="64">
          <cell r="C64">
            <v>106.42100000000001</v>
          </cell>
        </row>
        <row r="65">
          <cell r="C65">
            <v>145</v>
          </cell>
        </row>
        <row r="66">
          <cell r="C66">
            <v>209</v>
          </cell>
        </row>
        <row r="67">
          <cell r="C67">
            <v>140.90770000000001</v>
          </cell>
        </row>
        <row r="68">
          <cell r="C68">
            <v>195.07820000000001</v>
          </cell>
        </row>
        <row r="69">
          <cell r="C69">
            <v>244</v>
          </cell>
        </row>
        <row r="70">
          <cell r="C70">
            <v>226</v>
          </cell>
        </row>
        <row r="71">
          <cell r="C71">
            <v>85.467799999999997</v>
          </cell>
        </row>
        <row r="72">
          <cell r="C72">
            <v>186.2071</v>
          </cell>
        </row>
        <row r="73">
          <cell r="C73">
            <v>102.9055</v>
          </cell>
        </row>
        <row r="74">
          <cell r="C74">
            <v>222</v>
          </cell>
        </row>
        <row r="75">
          <cell r="C75">
            <v>101.072</v>
          </cell>
        </row>
        <row r="76">
          <cell r="C76">
            <v>32.0655</v>
          </cell>
        </row>
        <row r="77">
          <cell r="C77">
            <v>121.76009999999999</v>
          </cell>
        </row>
        <row r="78">
          <cell r="C78">
            <v>44.9559</v>
          </cell>
        </row>
        <row r="79">
          <cell r="C79">
            <v>78.962999999999994</v>
          </cell>
        </row>
        <row r="80">
          <cell r="C80">
            <v>28.0855</v>
          </cell>
        </row>
        <row r="81">
          <cell r="C81">
            <v>150.363</v>
          </cell>
        </row>
        <row r="82">
          <cell r="C82">
            <v>118.7107</v>
          </cell>
        </row>
        <row r="83">
          <cell r="C83">
            <v>87.620999999999995</v>
          </cell>
        </row>
        <row r="84">
          <cell r="C84">
            <v>180.9479</v>
          </cell>
        </row>
        <row r="85">
          <cell r="C85">
            <v>158.92529999999999</v>
          </cell>
        </row>
        <row r="86">
          <cell r="C86">
            <v>98</v>
          </cell>
        </row>
        <row r="87">
          <cell r="C87">
            <v>127.60299999999999</v>
          </cell>
        </row>
        <row r="88">
          <cell r="C88">
            <v>232.03809999999999</v>
          </cell>
        </row>
        <row r="89">
          <cell r="C89">
            <v>47.867100000000001</v>
          </cell>
        </row>
        <row r="90">
          <cell r="C90">
            <v>204.38329999999999</v>
          </cell>
        </row>
        <row r="91">
          <cell r="C91">
            <v>168.9342</v>
          </cell>
        </row>
        <row r="92">
          <cell r="C92">
            <v>238.02889999999999</v>
          </cell>
        </row>
        <row r="93">
          <cell r="C93">
            <v>50.941499999999998</v>
          </cell>
        </row>
        <row r="94">
          <cell r="C94">
            <v>183.84100000000001</v>
          </cell>
        </row>
        <row r="95">
          <cell r="C95">
            <v>131.2936</v>
          </cell>
        </row>
        <row r="96">
          <cell r="C96">
            <v>88.905900000000003</v>
          </cell>
        </row>
        <row r="97">
          <cell r="C97">
            <v>173.04300000000001</v>
          </cell>
        </row>
        <row r="98">
          <cell r="C98">
            <v>65.409400000000005</v>
          </cell>
        </row>
        <row r="99">
          <cell r="C99">
            <v>91.224199999999996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2+O2"/>
      <sheetName val="Air+SO2"/>
      <sheetName val="CH4+CO2"/>
      <sheetName val="CO2+H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nCond"/>
      <sheetName val="FeSlf"/>
      <sheetName val="CarBrn"/>
      <sheetName val="GasCool"/>
      <sheetName val="GasCool (2)"/>
      <sheetName val="GasCoolRx"/>
    </sheetNames>
    <sheetDataSet>
      <sheetData sheetId="0">
        <row r="1">
          <cell r="A1" t="str">
            <v>ZnCond</v>
          </cell>
        </row>
        <row r="39">
          <cell r="A39" t="str">
            <v>PbCond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nCond"/>
      <sheetName val="FeSlf"/>
      <sheetName val="CarBrn"/>
      <sheetName val="GasCool"/>
      <sheetName val="GasCool (2)"/>
      <sheetName val="GasCoolRx"/>
    </sheetNames>
    <sheetDataSet>
      <sheetData sheetId="0">
        <row r="1">
          <cell r="A1" t="str">
            <v>ZnCond</v>
          </cell>
        </row>
        <row r="39">
          <cell r="A39" t="str">
            <v>PbCond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gizli"/>
      <sheetName val="gizli2"/>
      <sheetName val="gizli3"/>
      <sheetName val="gizli4"/>
      <sheetName val="gizli5"/>
      <sheetName val="Main-db"/>
      <sheetName val="Sheet2"/>
      <sheetName val="WITest"/>
      <sheetName val="ZnCond"/>
      <sheetName val="Filter"/>
      <sheetName val="Ele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 and Units panel"/>
      <sheetName val="Combustion Data Input"/>
      <sheetName val="Sheet1"/>
      <sheetName val="MassToVol"/>
      <sheetName val="Calculation Worksheet"/>
      <sheetName val="Results"/>
    </sheetNames>
    <sheetDataSet>
      <sheetData sheetId="0">
        <row r="37">
          <cell r="K37">
            <v>1</v>
          </cell>
          <cell r="N37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7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4.bin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6.bin"/><Relationship Id="rId20" Type="http://schemas.openxmlformats.org/officeDocument/2006/relationships/oleObject" Target="../embeddings/oleObject8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1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3.bin"/><Relationship Id="rId19" Type="http://schemas.openxmlformats.org/officeDocument/2006/relationships/image" Target="../media/image8.emf"/><Relationship Id="rId4" Type="http://schemas.openxmlformats.org/officeDocument/2006/relationships/oleObject" Target="../embeddings/Microsoft_Word_97_-_2003_Document1.doc"/><Relationship Id="rId9" Type="http://schemas.openxmlformats.org/officeDocument/2006/relationships/image" Target="../media/image3.emf"/><Relationship Id="rId14" Type="http://schemas.openxmlformats.org/officeDocument/2006/relationships/oleObject" Target="../embeddings/oleObject5.bin"/><Relationship Id="rId2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1.bin"/><Relationship Id="rId13" Type="http://schemas.openxmlformats.org/officeDocument/2006/relationships/image" Target="../media/image6.emf"/><Relationship Id="rId18" Type="http://schemas.openxmlformats.org/officeDocument/2006/relationships/comments" Target="../comments2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13.bin"/><Relationship Id="rId17" Type="http://schemas.openxmlformats.org/officeDocument/2006/relationships/image" Target="../media/image13.emf"/><Relationship Id="rId2" Type="http://schemas.openxmlformats.org/officeDocument/2006/relationships/drawing" Target="../drawings/drawing2.xml"/><Relationship Id="rId16" Type="http://schemas.openxmlformats.org/officeDocument/2006/relationships/oleObject" Target="../embeddings/oleObject15.bin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10.bin"/><Relationship Id="rId11" Type="http://schemas.openxmlformats.org/officeDocument/2006/relationships/image" Target="../media/image4.emf"/><Relationship Id="rId5" Type="http://schemas.openxmlformats.org/officeDocument/2006/relationships/image" Target="../media/image11.emf"/><Relationship Id="rId15" Type="http://schemas.openxmlformats.org/officeDocument/2006/relationships/image" Target="../media/image12.emf"/><Relationship Id="rId10" Type="http://schemas.openxmlformats.org/officeDocument/2006/relationships/oleObject" Target="../embeddings/oleObject12.bin"/><Relationship Id="rId4" Type="http://schemas.openxmlformats.org/officeDocument/2006/relationships/oleObject" Target="../embeddings/oleObject9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1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AC50"/>
  <sheetViews>
    <sheetView tabSelected="1" zoomScale="86" zoomScaleNormal="86" workbookViewId="0"/>
  </sheetViews>
  <sheetFormatPr defaultRowHeight="13.2" x14ac:dyDescent="0.25"/>
  <cols>
    <col min="1" max="1" width="3.77734375" customWidth="1"/>
    <col min="2" max="2" width="11.44140625" customWidth="1"/>
    <col min="3" max="3" width="8.77734375" customWidth="1"/>
    <col min="4" max="4" width="9.44140625" bestFit="1" customWidth="1"/>
    <col min="5" max="5" width="9.77734375" customWidth="1"/>
    <col min="6" max="6" width="9.44140625" customWidth="1"/>
    <col min="7" max="7" width="7.6640625" customWidth="1"/>
    <col min="8" max="8" width="8" customWidth="1"/>
    <col min="9" max="9" width="9.33203125" customWidth="1"/>
    <col min="10" max="10" width="9.5546875" customWidth="1"/>
    <col min="11" max="11" width="10" customWidth="1"/>
    <col min="13" max="13" width="9.109375" customWidth="1"/>
    <col min="14" max="14" width="8.109375" customWidth="1"/>
    <col min="15" max="15" width="8.88671875" customWidth="1"/>
    <col min="17" max="17" width="9.33203125" customWidth="1"/>
    <col min="18" max="18" width="9.44140625" customWidth="1"/>
    <col min="23" max="23" width="9.88671875" bestFit="1" customWidth="1"/>
  </cols>
  <sheetData>
    <row r="1" spans="2:16" ht="43.2" customHeight="1" x14ac:dyDescent="0.25">
      <c r="B1" s="53" t="s">
        <v>32</v>
      </c>
    </row>
    <row r="2" spans="2:16" ht="15.6" x14ac:dyDescent="0.3">
      <c r="D2" s="200" t="s">
        <v>45</v>
      </c>
      <c r="E2" s="200"/>
      <c r="F2" s="200"/>
      <c r="G2" s="200"/>
    </row>
    <row r="9" spans="2:16" x14ac:dyDescent="0.25"/>
    <row r="11" spans="2:16" x14ac:dyDescent="0.25">
      <c r="M11" s="4"/>
      <c r="N11" s="58"/>
    </row>
    <row r="12" spans="2:16" x14ac:dyDescent="0.25">
      <c r="M12" s="4"/>
      <c r="N12" s="5"/>
    </row>
    <row r="13" spans="2:16" x14ac:dyDescent="0.25">
      <c r="M13" s="4"/>
      <c r="N13" s="5"/>
    </row>
    <row r="14" spans="2:16" ht="13.8" customHeight="1" x14ac:dyDescent="0.25">
      <c r="M14" s="4"/>
      <c r="N14" s="2"/>
    </row>
    <row r="15" spans="2:16" ht="14.4" thickBot="1" x14ac:dyDescent="0.3">
      <c r="H15" s="127" t="s">
        <v>170</v>
      </c>
      <c r="J15" s="127" t="s">
        <v>180</v>
      </c>
      <c r="L15" s="20" t="s">
        <v>115</v>
      </c>
      <c r="M15" s="4"/>
      <c r="O15" s="134" t="s">
        <v>194</v>
      </c>
    </row>
    <row r="16" spans="2:16" ht="13.8" thickBot="1" x14ac:dyDescent="0.3">
      <c r="H16" s="78">
        <v>30000</v>
      </c>
      <c r="J16" s="78">
        <v>1200</v>
      </c>
      <c r="L16" s="78">
        <v>15</v>
      </c>
      <c r="M16" s="4"/>
      <c r="O16" s="78">
        <v>1080</v>
      </c>
      <c r="P16" s="24"/>
    </row>
    <row r="17" spans="2:23" ht="12.75" customHeight="1" x14ac:dyDescent="0.25">
      <c r="L17" s="192" t="str">
        <f>IF(L16&gt;P29,"Error in dpt entry"," ")</f>
        <v xml:space="preserve"> </v>
      </c>
      <c r="P17" s="10"/>
    </row>
    <row r="18" spans="2:23" ht="13.2" customHeight="1" x14ac:dyDescent="0.25">
      <c r="P18" s="10"/>
    </row>
    <row r="19" spans="2:23" ht="15.6" customHeight="1" thickBot="1" x14ac:dyDescent="0.3">
      <c r="C19" s="197" t="s">
        <v>49</v>
      </c>
      <c r="D19" s="198"/>
      <c r="E19" s="198"/>
      <c r="F19" s="199"/>
      <c r="G19" s="20"/>
      <c r="I19" s="42" t="s">
        <v>39</v>
      </c>
      <c r="J19" s="43"/>
      <c r="L19" s="139"/>
      <c r="M19" s="140"/>
      <c r="N19" s="140"/>
      <c r="O19" s="140"/>
      <c r="P19" s="140"/>
      <c r="Q19" s="141" t="s">
        <v>178</v>
      </c>
      <c r="R19" s="140"/>
      <c r="S19" s="140"/>
      <c r="T19" s="140"/>
      <c r="U19" s="140"/>
      <c r="V19" s="140"/>
      <c r="W19" s="142"/>
    </row>
    <row r="20" spans="2:23" ht="16.5" customHeight="1" thickBot="1" x14ac:dyDescent="0.3">
      <c r="D20" s="69" t="s">
        <v>28</v>
      </c>
      <c r="E20" s="70" t="s">
        <v>46</v>
      </c>
      <c r="I20" s="41" t="s">
        <v>61</v>
      </c>
      <c r="J20" s="54">
        <v>0.21</v>
      </c>
      <c r="L20" s="201" t="s">
        <v>179</v>
      </c>
      <c r="M20" s="201"/>
    </row>
    <row r="21" spans="2:23" ht="16.2" thickBot="1" x14ac:dyDescent="0.3">
      <c r="C21" s="4" t="s">
        <v>2</v>
      </c>
      <c r="D21" s="45" t="s">
        <v>3</v>
      </c>
      <c r="E21" s="85">
        <v>0.96</v>
      </c>
      <c r="G21" s="7"/>
      <c r="I21" s="41" t="s">
        <v>52</v>
      </c>
      <c r="J21" s="78">
        <v>27</v>
      </c>
      <c r="L21" s="201"/>
      <c r="M21" s="201"/>
      <c r="N21" s="193">
        <f>Calcs!S23</f>
        <v>-29151.106260237459</v>
      </c>
      <c r="O21" s="133" t="str">
        <f>IF(N21&lt;0,"&lt;==Too much heat!  Remove more heat or lower the % stoich. oxidant","&lt;==Not enough heat!  Remove less heat, lower the hot gas temp. or raise the % stoich. oxidant")</f>
        <v>&lt;==Too much heat!  Remove more heat or lower the % stoich. oxidant</v>
      </c>
    </row>
    <row r="22" spans="2:23" ht="13.8" customHeight="1" thickBot="1" x14ac:dyDescent="0.3">
      <c r="C22" s="4" t="s">
        <v>4</v>
      </c>
      <c r="D22" s="46" t="s">
        <v>5</v>
      </c>
      <c r="E22" s="85">
        <v>2E-3</v>
      </c>
      <c r="G22" s="7"/>
      <c r="I22" s="41" t="s">
        <v>59</v>
      </c>
      <c r="J22" s="86">
        <f>Calcs!L8</f>
        <v>9.6261904761904749</v>
      </c>
      <c r="L22" s="201"/>
      <c r="M22" s="201"/>
    </row>
    <row r="23" spans="2:23" ht="16.2" thickBot="1" x14ac:dyDescent="0.3">
      <c r="C23" s="4" t="s">
        <v>6</v>
      </c>
      <c r="D23" s="45" t="s">
        <v>7</v>
      </c>
      <c r="E23" s="85">
        <v>1.4999999999999999E-2</v>
      </c>
      <c r="G23" s="7"/>
      <c r="N23" s="137" t="s">
        <v>174</v>
      </c>
      <c r="O23" s="137"/>
      <c r="T23" s="55" t="s">
        <v>175</v>
      </c>
    </row>
    <row r="24" spans="2:23" ht="16.2" customHeight="1" thickBot="1" x14ac:dyDescent="0.3">
      <c r="C24" s="4" t="s">
        <v>8</v>
      </c>
      <c r="D24" s="45" t="s">
        <v>9</v>
      </c>
      <c r="E24" s="85">
        <v>6.0000000000000001E-3</v>
      </c>
      <c r="G24" s="7"/>
      <c r="I24" s="113" t="s">
        <v>104</v>
      </c>
      <c r="J24" s="114">
        <v>0.55000000000000004</v>
      </c>
      <c r="O24" s="4" t="s">
        <v>86</v>
      </c>
      <c r="P24" s="135">
        <f>Calcs!O11</f>
        <v>0.14778214445949361</v>
      </c>
      <c r="T24" s="4" t="s">
        <v>86</v>
      </c>
      <c r="U24" s="135">
        <f>Calcs!AD13</f>
        <v>0.14439937250732282</v>
      </c>
    </row>
    <row r="25" spans="2:23" ht="13.2" customHeight="1" thickBot="1" x14ac:dyDescent="0.3">
      <c r="C25" s="4" t="s">
        <v>26</v>
      </c>
      <c r="D25" s="47" t="s">
        <v>27</v>
      </c>
      <c r="E25" s="85">
        <v>2E-3</v>
      </c>
      <c r="G25" s="7"/>
      <c r="I25" s="41" t="s">
        <v>116</v>
      </c>
      <c r="J25" s="86">
        <f>Calcs!L10</f>
        <v>5.2944047619047616</v>
      </c>
      <c r="O25" s="4" t="s">
        <v>87</v>
      </c>
      <c r="P25" s="135">
        <f>Calcs!O12</f>
        <v>0.12961940306826553</v>
      </c>
      <c r="T25" s="4" t="s">
        <v>87</v>
      </c>
      <c r="U25" s="135">
        <f>Calcs!AD14</f>
        <v>3.9113528525543999E-2</v>
      </c>
    </row>
    <row r="26" spans="2:23" ht="16.2" thickBot="1" x14ac:dyDescent="0.3">
      <c r="C26" s="4" t="s">
        <v>10</v>
      </c>
      <c r="D26" s="48" t="s">
        <v>11</v>
      </c>
      <c r="E26" s="85">
        <v>0</v>
      </c>
      <c r="G26" s="7"/>
      <c r="O26" s="4" t="s">
        <v>88</v>
      </c>
      <c r="P26" s="135">
        <f>Calcs!O13</f>
        <v>3.7216230595895732E-2</v>
      </c>
      <c r="T26" s="4" t="s">
        <v>88</v>
      </c>
      <c r="U26" s="135">
        <f>Calcs!AD15</f>
        <v>1.9467410715435368E-2</v>
      </c>
    </row>
    <row r="27" spans="2:23" ht="13.8" thickBot="1" x14ac:dyDescent="0.3">
      <c r="C27" s="4" t="s">
        <v>12</v>
      </c>
      <c r="D27" s="48" t="s">
        <v>13</v>
      </c>
      <c r="E27" s="85">
        <v>0</v>
      </c>
      <c r="G27" s="7"/>
      <c r="O27" s="4" t="s">
        <v>81</v>
      </c>
      <c r="P27" s="135">
        <f>Calcs!O14</f>
        <v>0.10418515733512879</v>
      </c>
      <c r="T27" s="4" t="s">
        <v>81</v>
      </c>
      <c r="U27" s="135">
        <f>Calcs!AD16</f>
        <v>0.14030653929335407</v>
      </c>
    </row>
    <row r="28" spans="2:23" ht="16.2" thickBot="1" x14ac:dyDescent="0.3">
      <c r="C28" s="4" t="s">
        <v>14</v>
      </c>
      <c r="D28" s="48" t="s">
        <v>15</v>
      </c>
      <c r="E28" s="85">
        <v>1E-3</v>
      </c>
      <c r="G28" s="7"/>
      <c r="O28" s="4" t="s">
        <v>89</v>
      </c>
      <c r="P28" s="135">
        <f>Calcs!O15</f>
        <v>0.58119706454121633</v>
      </c>
      <c r="T28" s="4" t="s">
        <v>89</v>
      </c>
      <c r="U28" s="135">
        <f>Calcs!AD17</f>
        <v>0.65671314895834376</v>
      </c>
    </row>
    <row r="29" spans="2:23" ht="16.2" customHeight="1" thickBot="1" x14ac:dyDescent="0.3">
      <c r="C29" s="4" t="s">
        <v>33</v>
      </c>
      <c r="D29" s="48" t="s">
        <v>34</v>
      </c>
      <c r="E29" s="85">
        <v>0</v>
      </c>
      <c r="O29" s="4" t="s">
        <v>82</v>
      </c>
      <c r="P29" s="136">
        <f>Calcs!O16</f>
        <v>51.412347959609974</v>
      </c>
    </row>
    <row r="30" spans="2:23" ht="16.8" customHeight="1" x14ac:dyDescent="0.25">
      <c r="C30" s="4" t="s">
        <v>16</v>
      </c>
      <c r="D30" s="49" t="s">
        <v>17</v>
      </c>
      <c r="E30" s="52">
        <f>1-SUM(E21:E29)</f>
        <v>1.4000000000000012E-2</v>
      </c>
    </row>
    <row r="31" spans="2:23" ht="16.2" customHeight="1" thickBot="1" x14ac:dyDescent="0.3">
      <c r="O31" s="194" t="s">
        <v>193</v>
      </c>
      <c r="P31" s="86">
        <f>Calcs!O22</f>
        <v>0.87275651217581252</v>
      </c>
      <c r="T31" s="194" t="s">
        <v>196</v>
      </c>
      <c r="U31" s="86">
        <f>Calcs!AD25</f>
        <v>0.70947296002423499</v>
      </c>
    </row>
    <row r="32" spans="2:23" ht="14.4" thickBot="1" x14ac:dyDescent="0.3">
      <c r="B32" s="5"/>
      <c r="D32" s="41" t="s">
        <v>53</v>
      </c>
      <c r="E32" s="65">
        <v>23</v>
      </c>
      <c r="G32" s="19"/>
      <c r="H32" s="5"/>
    </row>
    <row r="33" spans="2:29" ht="13.8" x14ac:dyDescent="0.25">
      <c r="B33" s="33"/>
      <c r="C33" s="34" t="s">
        <v>117</v>
      </c>
      <c r="D33" s="35"/>
      <c r="F33" s="40"/>
      <c r="O33" s="55" t="s">
        <v>181</v>
      </c>
      <c r="T33" s="137" t="s">
        <v>195</v>
      </c>
    </row>
    <row r="34" spans="2:29" ht="15.6" x14ac:dyDescent="0.35">
      <c r="B34" s="30" t="s">
        <v>48</v>
      </c>
      <c r="C34" s="64" t="s">
        <v>24</v>
      </c>
      <c r="D34" s="64" t="s">
        <v>25</v>
      </c>
      <c r="K34" s="10"/>
      <c r="O34" s="17" t="s">
        <v>182</v>
      </c>
      <c r="P34" s="138">
        <f>Calcs!O17</f>
        <v>-11.879652706376564</v>
      </c>
      <c r="T34" s="17" t="s">
        <v>176</v>
      </c>
      <c r="U34" s="138">
        <f>Calcs!AD19</f>
        <v>-14.469161024076904</v>
      </c>
      <c r="V34" s="144" t="str">
        <f>IF(U34&lt;U35,"Fe won't oxidize","Fe oxidizes!  Adjust an input value.")</f>
        <v>Fe won't oxidize</v>
      </c>
    </row>
    <row r="35" spans="2:29" ht="13.2" customHeight="1" x14ac:dyDescent="0.35">
      <c r="B35" s="30" t="s">
        <v>20</v>
      </c>
      <c r="C35" s="29">
        <f>E21+2*E22+2*E23+3*E24+4*E25+E27+E28</f>
        <v>1.0209999999999999</v>
      </c>
      <c r="D35" s="29">
        <f>12.01*C35</f>
        <v>12.262209999999998</v>
      </c>
      <c r="E35" s="17"/>
      <c r="K35" s="10"/>
      <c r="O35" s="17" t="s">
        <v>190</v>
      </c>
      <c r="P35" s="138">
        <f>Calcs!O18</f>
        <v>-11.97645417515275</v>
      </c>
      <c r="Q35" s="145" t="str">
        <f>IF(P34&lt;P35,"Fe won't oxidize","Fe oxidizes")</f>
        <v>Fe oxidizes</v>
      </c>
      <c r="T35" s="17" t="s">
        <v>190</v>
      </c>
      <c r="U35" s="138">
        <f>Calcs!AD20</f>
        <v>-13.639199556541019</v>
      </c>
      <c r="V35" s="143"/>
    </row>
    <row r="36" spans="2:29" ht="13.8" x14ac:dyDescent="0.25">
      <c r="B36" s="30" t="s">
        <v>21</v>
      </c>
      <c r="C36" s="30">
        <f>4*E21+4*E22+6*E23+8*E24+10*E25+2*E26+2*E29</f>
        <v>4.0059999999999993</v>
      </c>
      <c r="D36" s="29">
        <f>1.00795*C36</f>
        <v>4.0378476999999986</v>
      </c>
      <c r="T36" s="17" t="s">
        <v>192</v>
      </c>
      <c r="U36" s="86">
        <f>Calcs!AD23</f>
        <v>1.0572540728259062E-2</v>
      </c>
    </row>
    <row r="37" spans="2:29" ht="13.8" x14ac:dyDescent="0.25">
      <c r="B37" s="30" t="s">
        <v>22</v>
      </c>
      <c r="C37" s="29">
        <f>E27+2*E28+E29</f>
        <v>2E-3</v>
      </c>
      <c r="D37" s="29">
        <f>16*C37</f>
        <v>3.2000000000000001E-2</v>
      </c>
      <c r="W37" s="25"/>
    </row>
    <row r="38" spans="2:29" ht="13.8" x14ac:dyDescent="0.25">
      <c r="B38" s="30" t="s">
        <v>23</v>
      </c>
      <c r="C38" s="30">
        <f>2*E30</f>
        <v>2.8000000000000025E-2</v>
      </c>
      <c r="D38" s="29">
        <f>14.007*C38</f>
        <v>0.39219600000000032</v>
      </c>
      <c r="W38" s="25"/>
    </row>
    <row r="39" spans="2:29" ht="13.8" x14ac:dyDescent="0.3">
      <c r="B39" s="66" t="s">
        <v>35</v>
      </c>
      <c r="C39" s="61">
        <f>SUM(C35:C38)</f>
        <v>5.0569999999999986</v>
      </c>
      <c r="D39" s="61">
        <f>SUM(D35:D38)</f>
        <v>16.724253699999998</v>
      </c>
      <c r="X39" s="26"/>
    </row>
    <row r="40" spans="2:29" ht="13.8" x14ac:dyDescent="0.3">
      <c r="V40" s="26"/>
      <c r="W40" s="26"/>
    </row>
    <row r="42" spans="2:29" x14ac:dyDescent="0.25">
      <c r="X42" s="17"/>
      <c r="Y42" s="10"/>
      <c r="Z42" s="10"/>
      <c r="AA42" s="10"/>
      <c r="AB42" s="10"/>
      <c r="AC42" s="10"/>
    </row>
    <row r="50" ht="13.2" customHeight="1" x14ac:dyDescent="0.25"/>
  </sheetData>
  <mergeCells count="3">
    <mergeCell ref="C19:F19"/>
    <mergeCell ref="D2:G2"/>
    <mergeCell ref="L20:M22"/>
  </mergeCells>
  <pageMargins left="0.7" right="0.7" top="0.75" bottom="0.75" header="0.3" footer="0.3"/>
  <pageSetup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Word.Document.8" dvAspect="DVASPECT_ICON" shapeId="4116" r:id="rId4">
          <objectPr defaultSize="0" autoPict="0" r:id="rId5">
            <anchor moveWithCells="1">
              <from>
                <xdr:col>0</xdr:col>
                <xdr:colOff>182880</xdr:colOff>
                <xdr:row>6</xdr:row>
                <xdr:rowOff>121920</xdr:rowOff>
              </from>
              <to>
                <xdr:col>2</xdr:col>
                <xdr:colOff>53340</xdr:colOff>
                <xdr:row>10</xdr:row>
                <xdr:rowOff>144780</xdr:rowOff>
              </to>
            </anchor>
          </objectPr>
        </oleObject>
      </mc:Choice>
      <mc:Fallback>
        <oleObject progId="Word.Document.8" dvAspect="DVASPECT_ICON" shapeId="4116" r:id="rId4"/>
      </mc:Fallback>
    </mc:AlternateContent>
    <mc:AlternateContent xmlns:mc="http://schemas.openxmlformats.org/markup-compatibility/2006">
      <mc:Choice Requires="x14">
        <oleObject progId="Equation.3" shapeId="4123" r:id="rId6">
          <objectPr defaultSize="0" autoPict="0" r:id="rId7">
            <anchor moveWithCells="1">
              <from>
                <xdr:col>9</xdr:col>
                <xdr:colOff>464820</xdr:colOff>
                <xdr:row>95</xdr:row>
                <xdr:rowOff>152400</xdr:rowOff>
              </from>
              <to>
                <xdr:col>11</xdr:col>
                <xdr:colOff>533400</xdr:colOff>
                <xdr:row>98</xdr:row>
                <xdr:rowOff>68580</xdr:rowOff>
              </to>
            </anchor>
          </objectPr>
        </oleObject>
      </mc:Choice>
      <mc:Fallback>
        <oleObject progId="Equation.3" shapeId="4123" r:id="rId6"/>
      </mc:Fallback>
    </mc:AlternateContent>
    <mc:AlternateContent xmlns:mc="http://schemas.openxmlformats.org/markup-compatibility/2006">
      <mc:Choice Requires="x14">
        <oleObject progId="Equation.3" shapeId="4124" r:id="rId8">
          <objectPr defaultSize="0" r:id="rId9">
            <anchor moveWithCells="1">
              <from>
                <xdr:col>4</xdr:col>
                <xdr:colOff>38100</xdr:colOff>
                <xdr:row>104</xdr:row>
                <xdr:rowOff>15240</xdr:rowOff>
              </from>
              <to>
                <xdr:col>6</xdr:col>
                <xdr:colOff>0</xdr:colOff>
                <xdr:row>106</xdr:row>
                <xdr:rowOff>144780</xdr:rowOff>
              </to>
            </anchor>
          </objectPr>
        </oleObject>
      </mc:Choice>
      <mc:Fallback>
        <oleObject progId="Equation.3" shapeId="4124" r:id="rId8"/>
      </mc:Fallback>
    </mc:AlternateContent>
    <mc:AlternateContent xmlns:mc="http://schemas.openxmlformats.org/markup-compatibility/2006">
      <mc:Choice Requires="x14">
        <oleObject progId="Equation.3" shapeId="4125" r:id="rId10">
          <objectPr defaultSize="0" autoPict="0" r:id="rId11">
            <anchor moveWithCells="1">
              <from>
                <xdr:col>3</xdr:col>
                <xdr:colOff>601980</xdr:colOff>
                <xdr:row>115</xdr:row>
                <xdr:rowOff>30480</xdr:rowOff>
              </from>
              <to>
                <xdr:col>5</xdr:col>
                <xdr:colOff>259080</xdr:colOff>
                <xdr:row>116</xdr:row>
                <xdr:rowOff>121920</xdr:rowOff>
              </to>
            </anchor>
          </objectPr>
        </oleObject>
      </mc:Choice>
      <mc:Fallback>
        <oleObject progId="Equation.3" shapeId="4125" r:id="rId10"/>
      </mc:Fallback>
    </mc:AlternateContent>
    <mc:AlternateContent xmlns:mc="http://schemas.openxmlformats.org/markup-compatibility/2006">
      <mc:Choice Requires="x14">
        <oleObject progId="Equation.3" shapeId="4126" r:id="rId12">
          <objectPr defaultSize="0" autoPict="0" r:id="rId13">
            <anchor moveWithCells="1">
              <from>
                <xdr:col>11</xdr:col>
                <xdr:colOff>373380</xdr:colOff>
                <xdr:row>111</xdr:row>
                <xdr:rowOff>114300</xdr:rowOff>
              </from>
              <to>
                <xdr:col>13</xdr:col>
                <xdr:colOff>327660</xdr:colOff>
                <xdr:row>114</xdr:row>
                <xdr:rowOff>30480</xdr:rowOff>
              </to>
            </anchor>
          </objectPr>
        </oleObject>
      </mc:Choice>
      <mc:Fallback>
        <oleObject progId="Equation.3" shapeId="4126" r:id="rId12"/>
      </mc:Fallback>
    </mc:AlternateContent>
    <mc:AlternateContent xmlns:mc="http://schemas.openxmlformats.org/markup-compatibility/2006">
      <mc:Choice Requires="x14">
        <oleObject progId="Equation.3" shapeId="4127" r:id="rId14">
          <objectPr defaultSize="0" r:id="rId15">
            <anchor moveWithCells="1">
              <from>
                <xdr:col>9</xdr:col>
                <xdr:colOff>441960</xdr:colOff>
                <xdr:row>136</xdr:row>
                <xdr:rowOff>0</xdr:rowOff>
              </from>
              <to>
                <xdr:col>12</xdr:col>
                <xdr:colOff>571500</xdr:colOff>
                <xdr:row>138</xdr:row>
                <xdr:rowOff>121920</xdr:rowOff>
              </to>
            </anchor>
          </objectPr>
        </oleObject>
      </mc:Choice>
      <mc:Fallback>
        <oleObject progId="Equation.3" shapeId="4127" r:id="rId14"/>
      </mc:Fallback>
    </mc:AlternateContent>
    <mc:AlternateContent xmlns:mc="http://schemas.openxmlformats.org/markup-compatibility/2006">
      <mc:Choice Requires="x14">
        <oleObject progId="Equation.3" shapeId="4128" r:id="rId16">
          <objectPr defaultSize="0" autoPict="0" r:id="rId17">
            <anchor moveWithCells="1">
              <from>
                <xdr:col>4</xdr:col>
                <xdr:colOff>45720</xdr:colOff>
                <xdr:row>125</xdr:row>
                <xdr:rowOff>129540</xdr:rowOff>
              </from>
              <to>
                <xdr:col>7</xdr:col>
                <xdr:colOff>114300</xdr:colOff>
                <xdr:row>128</xdr:row>
                <xdr:rowOff>45720</xdr:rowOff>
              </to>
            </anchor>
          </objectPr>
        </oleObject>
      </mc:Choice>
      <mc:Fallback>
        <oleObject progId="Equation.3" shapeId="4128" r:id="rId16"/>
      </mc:Fallback>
    </mc:AlternateContent>
    <mc:AlternateContent xmlns:mc="http://schemas.openxmlformats.org/markup-compatibility/2006">
      <mc:Choice Requires="x14">
        <oleObject progId="Equation.3" shapeId="4129" r:id="rId18">
          <objectPr defaultSize="0" autoPict="0" r:id="rId19">
            <anchor moveWithCells="1">
              <from>
                <xdr:col>10</xdr:col>
                <xdr:colOff>266700</xdr:colOff>
                <xdr:row>127</xdr:row>
                <xdr:rowOff>99060</xdr:rowOff>
              </from>
              <to>
                <xdr:col>11</xdr:col>
                <xdr:colOff>495300</xdr:colOff>
                <xdr:row>129</xdr:row>
                <xdr:rowOff>7620</xdr:rowOff>
              </to>
            </anchor>
          </objectPr>
        </oleObject>
      </mc:Choice>
      <mc:Fallback>
        <oleObject progId="Equation.3" shapeId="4129" r:id="rId18"/>
      </mc:Fallback>
    </mc:AlternateContent>
    <mc:AlternateContent xmlns:mc="http://schemas.openxmlformats.org/markup-compatibility/2006">
      <mc:Choice Requires="x14">
        <oleObject progId="Equation.3" shapeId="4130" r:id="rId20">
          <objectPr defaultSize="0" autoPict="0" r:id="rId21">
            <anchor moveWithCells="1">
              <from>
                <xdr:col>4</xdr:col>
                <xdr:colOff>38100</xdr:colOff>
                <xdr:row>93</xdr:row>
                <xdr:rowOff>106680</xdr:rowOff>
              </from>
              <to>
                <xdr:col>6</xdr:col>
                <xdr:colOff>121920</xdr:colOff>
                <xdr:row>96</xdr:row>
                <xdr:rowOff>22860</xdr:rowOff>
              </to>
            </anchor>
          </objectPr>
        </oleObject>
      </mc:Choice>
      <mc:Fallback>
        <oleObject progId="Equation.3" shapeId="4130" r:id="rId20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W151"/>
  <sheetViews>
    <sheetView zoomScale="86" zoomScaleNormal="86" workbookViewId="0"/>
  </sheetViews>
  <sheetFormatPr defaultRowHeight="13.2" x14ac:dyDescent="0.25"/>
  <cols>
    <col min="1" max="1" width="11.6640625" customWidth="1"/>
    <col min="3" max="3" width="9.77734375" customWidth="1"/>
    <col min="4" max="4" width="9.21875" customWidth="1"/>
    <col min="5" max="5" width="10" customWidth="1"/>
    <col min="6" max="6" width="8.109375" customWidth="1"/>
    <col min="7" max="7" width="9.33203125" bestFit="1" customWidth="1"/>
    <col min="8" max="8" width="9" bestFit="1" customWidth="1"/>
    <col min="9" max="9" width="9.44140625" bestFit="1" customWidth="1"/>
    <col min="10" max="10" width="11.77734375" customWidth="1"/>
    <col min="11" max="11" width="9.77734375" customWidth="1"/>
    <col min="12" max="12" width="10.109375" customWidth="1"/>
    <col min="13" max="13" width="8.88671875" customWidth="1"/>
    <col min="14" max="14" width="10.33203125" customWidth="1"/>
    <col min="15" max="15" width="10.109375" bestFit="1" customWidth="1"/>
    <col min="16" max="16" width="7.33203125" customWidth="1"/>
    <col min="17" max="17" width="8.6640625" customWidth="1"/>
    <col min="18" max="18" width="9.88671875" customWidth="1"/>
    <col min="19" max="19" width="8.77734375" customWidth="1"/>
    <col min="20" max="20" width="10.77734375" customWidth="1"/>
    <col min="21" max="21" width="8.33203125" customWidth="1"/>
    <col min="23" max="23" width="9.88671875" customWidth="1"/>
    <col min="24" max="24" width="10.33203125" customWidth="1"/>
    <col min="30" max="30" width="9" customWidth="1"/>
    <col min="31" max="31" width="9.88671875" customWidth="1"/>
  </cols>
  <sheetData>
    <row r="1" spans="2:49" ht="17.399999999999999" customHeight="1" x14ac:dyDescent="0.25">
      <c r="B1" s="60" t="s">
        <v>45</v>
      </c>
      <c r="C1" s="59"/>
      <c r="D1" s="59"/>
    </row>
    <row r="2" spans="2:49" ht="88.2" customHeight="1" x14ac:dyDescent="0.25"/>
    <row r="3" spans="2:49" ht="18.600000000000001" customHeight="1" x14ac:dyDescent="0.3">
      <c r="J3" s="120"/>
      <c r="K3" s="121"/>
      <c r="L3" s="121"/>
      <c r="M3" s="121"/>
      <c r="N3" s="121"/>
      <c r="O3" s="121"/>
      <c r="P3" s="122" t="s">
        <v>137</v>
      </c>
      <c r="Q3" s="121"/>
      <c r="R3" s="121"/>
      <c r="S3" s="123"/>
      <c r="U3" s="120"/>
      <c r="V3" s="130" t="s">
        <v>140</v>
      </c>
      <c r="W3" s="121"/>
      <c r="X3" s="123"/>
      <c r="Z3" s="206" t="s">
        <v>163</v>
      </c>
      <c r="AA3" s="207"/>
      <c r="AB3" s="207"/>
      <c r="AC3" s="207"/>
      <c r="AD3" s="208"/>
    </row>
    <row r="4" spans="2:49" ht="15.6" thickBot="1" x14ac:dyDescent="0.3">
      <c r="B4" s="79" t="s">
        <v>50</v>
      </c>
      <c r="J4" s="213" t="s">
        <v>168</v>
      </c>
      <c r="K4" s="214"/>
      <c r="L4" s="214"/>
      <c r="M4" s="214"/>
      <c r="N4" s="214"/>
      <c r="O4" s="215"/>
      <c r="P4" s="28"/>
      <c r="Q4" s="213" t="s">
        <v>134</v>
      </c>
      <c r="R4" s="214"/>
      <c r="S4" s="215"/>
      <c r="V4" s="213" t="s">
        <v>134</v>
      </c>
      <c r="W4" s="214"/>
      <c r="X4" s="215"/>
      <c r="Z4" s="209" t="s">
        <v>168</v>
      </c>
      <c r="AA4" s="210"/>
      <c r="AB4" s="210"/>
      <c r="AC4" s="210"/>
      <c r="AD4" s="211"/>
    </row>
    <row r="5" spans="2:49" ht="13.8" customHeight="1" thickBot="1" x14ac:dyDescent="0.3">
      <c r="B5" s="50"/>
      <c r="C5" t="s">
        <v>54</v>
      </c>
      <c r="E5" s="24"/>
      <c r="F5" s="24"/>
      <c r="G5" s="24"/>
      <c r="H5" s="24"/>
      <c r="I5" s="24"/>
      <c r="M5" s="37"/>
      <c r="N5" s="38"/>
      <c r="O5" s="38"/>
      <c r="P5" s="38"/>
      <c r="R5" s="4"/>
    </row>
    <row r="6" spans="2:49" s="28" customFormat="1" ht="15" customHeight="1" thickBot="1" x14ac:dyDescent="0.3">
      <c r="B6"/>
      <c r="C6"/>
      <c r="D6"/>
      <c r="E6" s="27"/>
      <c r="F6" s="34" t="s">
        <v>47</v>
      </c>
      <c r="G6" s="27"/>
      <c r="H6" s="31"/>
      <c r="J6"/>
      <c r="K6" s="4" t="s">
        <v>126</v>
      </c>
      <c r="L6" s="117">
        <f>MainEntry!J16</f>
        <v>1200</v>
      </c>
      <c r="M6"/>
      <c r="N6" s="4" t="s">
        <v>83</v>
      </c>
      <c r="O6" s="109">
        <f>(-L17-SQRT(L17^2-4*L16*L18))/(2*L16)</f>
        <v>1.0670727614551057</v>
      </c>
      <c r="P6"/>
      <c r="R6" s="4" t="s">
        <v>150</v>
      </c>
      <c r="S6" s="117">
        <f>MainEntry!E32</f>
        <v>23</v>
      </c>
      <c r="U6"/>
      <c r="V6" s="4" t="s">
        <v>147</v>
      </c>
      <c r="W6" s="117">
        <f>MainEntry!L16</f>
        <v>15</v>
      </c>
      <c r="Z6" s="17" t="s">
        <v>167</v>
      </c>
      <c r="AA6" s="117">
        <f>MainEntry!O16</f>
        <v>1080</v>
      </c>
    </row>
    <row r="7" spans="2:49" s="28" customFormat="1" ht="16.2" thickBot="1" x14ac:dyDescent="0.3">
      <c r="B7"/>
      <c r="C7" s="20" t="s">
        <v>28</v>
      </c>
      <c r="D7" s="20" t="s">
        <v>51</v>
      </c>
      <c r="E7" s="20" t="s">
        <v>0</v>
      </c>
      <c r="F7" s="18" t="s">
        <v>19</v>
      </c>
      <c r="G7" s="20" t="s">
        <v>31</v>
      </c>
      <c r="H7" s="20" t="s">
        <v>1</v>
      </c>
      <c r="I7" s="20"/>
      <c r="J7"/>
      <c r="K7" s="4" t="s">
        <v>38</v>
      </c>
      <c r="L7" s="50">
        <f>MainEntry!J20</f>
        <v>0.21</v>
      </c>
      <c r="N7" s="4" t="s">
        <v>84</v>
      </c>
      <c r="O7" s="109">
        <f>L12-O6</f>
        <v>0.93592723854489401</v>
      </c>
      <c r="R7" s="4" t="s">
        <v>151</v>
      </c>
      <c r="S7" s="117">
        <f>MainEntry!J21</f>
        <v>27</v>
      </c>
      <c r="V7" s="4" t="s">
        <v>154</v>
      </c>
      <c r="W7" s="126">
        <f>10^(G33+F33/(W6+273))</f>
        <v>1.6529130176384025E-2</v>
      </c>
      <c r="Z7" s="4" t="s">
        <v>83</v>
      </c>
      <c r="AA7" s="126">
        <f>O6</f>
        <v>1.0670727614551057</v>
      </c>
      <c r="AB7"/>
      <c r="AC7" s="4" t="s">
        <v>83</v>
      </c>
      <c r="AD7" s="129">
        <f>(-AA23-SQRT(AA23^2-4*AA22*AA24))/(2*AA22)</f>
        <v>0.92275217156405109</v>
      </c>
      <c r="AP7"/>
      <c r="AQ7"/>
      <c r="AR7"/>
      <c r="AS7"/>
      <c r="AT7"/>
      <c r="AU7"/>
      <c r="AV7"/>
      <c r="AW7"/>
    </row>
    <row r="8" spans="2:49" s="28" customFormat="1" ht="16.2" thickBot="1" x14ac:dyDescent="0.3">
      <c r="B8" s="4" t="s">
        <v>2</v>
      </c>
      <c r="C8" s="3" t="s">
        <v>3</v>
      </c>
      <c r="D8" s="10">
        <v>36</v>
      </c>
      <c r="E8" s="5">
        <v>16.042999999999999</v>
      </c>
      <c r="F8" s="50">
        <f>MainEntry!E21</f>
        <v>0.96</v>
      </c>
      <c r="G8" s="5">
        <f>E8*F8</f>
        <v>15.401279999999998</v>
      </c>
      <c r="H8" s="6">
        <f t="shared" ref="H8:H17" si="0">G8/$E$19</f>
        <v>0.92082765960309043</v>
      </c>
      <c r="I8" s="74"/>
      <c r="K8" s="17" t="s">
        <v>198</v>
      </c>
      <c r="L8" s="94">
        <f>(2*F8 + 3*F9 + 3.5*F10 + 5*F11  + 6.5*F12 + 0.5*F13 + 0.5*F14)/L7</f>
        <v>9.6261904761904749</v>
      </c>
      <c r="N8" s="10" t="s">
        <v>85</v>
      </c>
      <c r="O8" s="109">
        <f>L13-L12+O6-L11</f>
        <v>0.26872276145510554</v>
      </c>
      <c r="R8" s="4" t="s">
        <v>149</v>
      </c>
      <c r="S8" s="119">
        <f>(25-S6)*Q39</f>
        <v>73.114800000000017</v>
      </c>
      <c r="V8" s="4" t="s">
        <v>155</v>
      </c>
      <c r="W8" s="126">
        <f>-(W7*(O10-O7))/(1-W7)+O7</f>
        <v>0.83030149724501567</v>
      </c>
      <c r="Z8" s="4" t="s">
        <v>84</v>
      </c>
      <c r="AA8" s="126">
        <f>O7-W8</f>
        <v>0.10562574129987834</v>
      </c>
      <c r="AC8" s="4" t="s">
        <v>84</v>
      </c>
      <c r="AD8" s="129">
        <f>AA19-AD7</f>
        <v>0.24994633119093279</v>
      </c>
      <c r="AP8"/>
      <c r="AQ8"/>
      <c r="AR8"/>
      <c r="AS8"/>
      <c r="AT8"/>
      <c r="AU8"/>
      <c r="AV8"/>
      <c r="AW8"/>
    </row>
    <row r="9" spans="2:49" s="28" customFormat="1" ht="14.1" customHeight="1" thickBot="1" x14ac:dyDescent="0.3">
      <c r="B9" s="4" t="s">
        <v>4</v>
      </c>
      <c r="C9" s="2" t="s">
        <v>5</v>
      </c>
      <c r="D9" s="10">
        <v>43</v>
      </c>
      <c r="E9" s="5">
        <v>28.053999999999998</v>
      </c>
      <c r="F9" s="50">
        <f>MainEntry!E22</f>
        <v>2E-3</v>
      </c>
      <c r="G9" s="5">
        <f t="shared" ref="G9:G17" si="1">E9*F9</f>
        <v>5.6107999999999998E-2</v>
      </c>
      <c r="H9" s="6">
        <f t="shared" si="0"/>
        <v>3.3546431416746013E-3</v>
      </c>
      <c r="I9" s="74"/>
      <c r="K9" s="4" t="s">
        <v>104</v>
      </c>
      <c r="L9" s="50">
        <f>MainEntry!J24</f>
        <v>0.55000000000000004</v>
      </c>
      <c r="N9" s="4" t="s">
        <v>80</v>
      </c>
      <c r="O9" s="109">
        <f>L11-O8</f>
        <v>0.75227723854489437</v>
      </c>
      <c r="R9" s="4" t="s">
        <v>152</v>
      </c>
      <c r="S9" s="119">
        <f>L10*(25-S7)*Q40</f>
        <v>-308.8014521428571</v>
      </c>
      <c r="V9" s="4" t="s">
        <v>158</v>
      </c>
      <c r="W9" s="116">
        <f>-S16+D14*(W6-25)</f>
        <v>-28812.902168597215</v>
      </c>
      <c r="Z9" s="4" t="s">
        <v>85</v>
      </c>
      <c r="AA9" s="126">
        <f>O8</f>
        <v>0.26872276145510554</v>
      </c>
      <c r="AC9" s="4" t="s">
        <v>85</v>
      </c>
      <c r="AD9" s="129">
        <f>AA20-AA19+AD7-AA18</f>
        <v>0.12440217156405087</v>
      </c>
      <c r="AP9"/>
      <c r="AQ9"/>
      <c r="AR9"/>
      <c r="AS9"/>
      <c r="AT9"/>
      <c r="AU9"/>
      <c r="AV9"/>
      <c r="AW9"/>
    </row>
    <row r="10" spans="2:49" s="28" customFormat="1" ht="14.1" customHeight="1" thickBot="1" x14ac:dyDescent="0.3">
      <c r="B10" s="4" t="s">
        <v>6</v>
      </c>
      <c r="C10" s="14" t="s">
        <v>7</v>
      </c>
      <c r="D10" s="10">
        <v>54</v>
      </c>
      <c r="E10" s="9">
        <v>30.07</v>
      </c>
      <c r="F10" s="50">
        <f>MainEntry!E23</f>
        <v>1.4999999999999999E-2</v>
      </c>
      <c r="G10" s="5">
        <f t="shared" si="1"/>
        <v>0.45105000000000001</v>
      </c>
      <c r="H10" s="6">
        <f t="shared" si="0"/>
        <v>2.6967843962578043E-2</v>
      </c>
      <c r="I10" s="74"/>
      <c r="K10" s="4" t="s">
        <v>116</v>
      </c>
      <c r="L10" s="94">
        <f>L8*MainEntry!J24</f>
        <v>5.2944047619047616</v>
      </c>
      <c r="N10" s="4" t="s">
        <v>129</v>
      </c>
      <c r="O10" s="94">
        <f>SUM(O6:O9)+L14</f>
        <v>7.2205797619047623</v>
      </c>
      <c r="P10" s="39"/>
      <c r="Q10"/>
      <c r="R10" s="4" t="s">
        <v>63</v>
      </c>
      <c r="S10" s="25">
        <f>O9*D38</f>
        <v>-83148.450899128627</v>
      </c>
      <c r="V10" s="4" t="s">
        <v>159</v>
      </c>
      <c r="W10" s="116">
        <f>-S17</f>
        <v>-16158.740351624283</v>
      </c>
      <c r="Z10" s="4" t="s">
        <v>80</v>
      </c>
      <c r="AA10" s="126">
        <f>O9</f>
        <v>0.75227723854489437</v>
      </c>
      <c r="AC10" s="4" t="s">
        <v>80</v>
      </c>
      <c r="AD10" s="129">
        <f>AA18-AD9</f>
        <v>0.89659782843594904</v>
      </c>
      <c r="AP10"/>
      <c r="AQ10"/>
      <c r="AR10"/>
      <c r="AS10"/>
      <c r="AT10"/>
      <c r="AU10"/>
      <c r="AV10"/>
      <c r="AW10"/>
    </row>
    <row r="11" spans="2:49" s="28" customFormat="1" ht="14.1" customHeight="1" thickBot="1" x14ac:dyDescent="0.3">
      <c r="B11" s="4" t="s">
        <v>8</v>
      </c>
      <c r="C11" s="14" t="s">
        <v>9</v>
      </c>
      <c r="D11" s="10">
        <v>75</v>
      </c>
      <c r="E11" s="9">
        <v>44.097000000000001</v>
      </c>
      <c r="F11" s="50">
        <f>MainEntry!E24</f>
        <v>6.0000000000000001E-3</v>
      </c>
      <c r="G11" s="5">
        <f t="shared" si="1"/>
        <v>0.26458200000000004</v>
      </c>
      <c r="H11" s="6">
        <f t="shared" si="0"/>
        <v>1.5819102297543124E-2</v>
      </c>
      <c r="I11" s="74"/>
      <c r="K11" s="4" t="s">
        <v>118</v>
      </c>
      <c r="L11" s="94">
        <f>MainEntry!C35</f>
        <v>1.0209999999999999</v>
      </c>
      <c r="M11"/>
      <c r="N11" s="4" t="s">
        <v>86</v>
      </c>
      <c r="O11" s="6">
        <f>O6/$O$10</f>
        <v>0.14778214445949361</v>
      </c>
      <c r="P11" s="39"/>
      <c r="Q11"/>
      <c r="R11" s="4" t="s">
        <v>141</v>
      </c>
      <c r="S11" s="25">
        <f>(O8-F15)*D40</f>
        <v>-105351.31613743713</v>
      </c>
      <c r="V11" s="4" t="s">
        <v>160</v>
      </c>
      <c r="W11" s="116">
        <f>-S18</f>
        <v>-43805.475406661099</v>
      </c>
      <c r="Z11" s="4" t="s">
        <v>164</v>
      </c>
      <c r="AA11" s="126">
        <f>L14</f>
        <v>4.1965797619047622</v>
      </c>
      <c r="AC11" s="4" t="s">
        <v>164</v>
      </c>
      <c r="AD11" s="126">
        <f>AA11</f>
        <v>4.1965797619047622</v>
      </c>
      <c r="AP11"/>
      <c r="AQ11"/>
      <c r="AR11"/>
      <c r="AS11"/>
      <c r="AT11"/>
      <c r="AU11"/>
      <c r="AV11"/>
      <c r="AW11"/>
    </row>
    <row r="12" spans="2:49" s="28" customFormat="1" ht="14.1" customHeight="1" thickBot="1" x14ac:dyDescent="0.3">
      <c r="B12" s="4" t="s">
        <v>26</v>
      </c>
      <c r="C12" s="15" t="s">
        <v>27</v>
      </c>
      <c r="D12" s="10">
        <v>103</v>
      </c>
      <c r="E12" s="9">
        <v>58.123999999999995</v>
      </c>
      <c r="F12" s="50">
        <f>MainEntry!E25</f>
        <v>2E-3</v>
      </c>
      <c r="G12" s="5">
        <f t="shared" si="1"/>
        <v>0.11624799999999999</v>
      </c>
      <c r="H12" s="6">
        <f t="shared" si="0"/>
        <v>6.9503556700183404E-3</v>
      </c>
      <c r="I12" s="74"/>
      <c r="K12" s="4" t="s">
        <v>119</v>
      </c>
      <c r="L12" s="94">
        <f>MainEntry!C36/2</f>
        <v>2.0029999999999997</v>
      </c>
      <c r="N12" s="4" t="s">
        <v>87</v>
      </c>
      <c r="O12" s="6">
        <f>O7/$O$10</f>
        <v>0.12961940306826553</v>
      </c>
      <c r="P12" s="112"/>
      <c r="Q12"/>
      <c r="R12" s="4" t="s">
        <v>142</v>
      </c>
      <c r="S12" s="25">
        <f>O7*D42</f>
        <v>-226320.30926149501</v>
      </c>
      <c r="V12" s="4" t="s">
        <v>161</v>
      </c>
      <c r="W12" s="116">
        <f>-S19</f>
        <v>-37811.851350893048</v>
      </c>
      <c r="Z12" s="4" t="s">
        <v>165</v>
      </c>
      <c r="AA12" s="126">
        <f>SUM(AA7:AA11)</f>
        <v>6.390278264659746</v>
      </c>
      <c r="AC12" s="4" t="s">
        <v>165</v>
      </c>
      <c r="AD12" s="126">
        <f>SUM(AD7:AD11)</f>
        <v>6.390278264659746</v>
      </c>
      <c r="AP12"/>
      <c r="AQ12"/>
      <c r="AR12"/>
      <c r="AS12"/>
      <c r="AT12"/>
      <c r="AU12"/>
      <c r="AV12"/>
      <c r="AW12"/>
    </row>
    <row r="13" spans="2:49" s="28" customFormat="1" ht="14.1" customHeight="1" thickBot="1" x14ac:dyDescent="0.3">
      <c r="B13" s="4" t="s">
        <v>10</v>
      </c>
      <c r="C13" s="16" t="s">
        <v>11</v>
      </c>
      <c r="D13" s="10">
        <v>29</v>
      </c>
      <c r="E13" s="9">
        <v>2.016</v>
      </c>
      <c r="F13" s="50">
        <f>MainEntry!E26</f>
        <v>0</v>
      </c>
      <c r="G13" s="5">
        <f t="shared" si="1"/>
        <v>0</v>
      </c>
      <c r="H13" s="6">
        <f t="shared" si="0"/>
        <v>0</v>
      </c>
      <c r="I13" s="74"/>
      <c r="K13" s="4" t="s">
        <v>120</v>
      </c>
      <c r="L13" s="94">
        <f>MainEntry!C37+ Calcs!L7*Calcs!L10*2</f>
        <v>2.2256499999999995</v>
      </c>
      <c r="N13" s="4" t="s">
        <v>88</v>
      </c>
      <c r="O13" s="6">
        <f>O8/$O$10</f>
        <v>3.7216230595895732E-2</v>
      </c>
      <c r="P13" s="39"/>
      <c r="Q13"/>
      <c r="R13" s="4" t="s">
        <v>133</v>
      </c>
      <c r="S13" s="119">
        <f>F8*D32+F11*D35</f>
        <v>-72440.681999999986</v>
      </c>
      <c r="V13" s="4" t="s">
        <v>162</v>
      </c>
      <c r="W13" s="116">
        <f>-S20</f>
        <v>-157175.00541219051</v>
      </c>
      <c r="Z13" s="4" t="s">
        <v>86</v>
      </c>
      <c r="AA13" s="128">
        <f>AA7/$AA$12</f>
        <v>0.1669837708564828</v>
      </c>
      <c r="AC13" s="4" t="s">
        <v>86</v>
      </c>
      <c r="AD13" s="128">
        <f>AD7/$AD$12</f>
        <v>0.14439937250732282</v>
      </c>
      <c r="AP13"/>
      <c r="AQ13"/>
      <c r="AR13"/>
      <c r="AS13"/>
      <c r="AT13"/>
      <c r="AU13"/>
      <c r="AV13"/>
      <c r="AW13"/>
    </row>
    <row r="14" spans="2:49" s="28" customFormat="1" ht="14.1" customHeight="1" thickBot="1" x14ac:dyDescent="0.3">
      <c r="B14" s="4" t="s">
        <v>12</v>
      </c>
      <c r="C14" s="10" t="s">
        <v>13</v>
      </c>
      <c r="D14" s="10">
        <v>30</v>
      </c>
      <c r="E14" s="7">
        <v>28.010999999999999</v>
      </c>
      <c r="F14" s="50">
        <f>MainEntry!E27</f>
        <v>0</v>
      </c>
      <c r="G14" s="5">
        <f t="shared" si="1"/>
        <v>0</v>
      </c>
      <c r="H14" s="6">
        <f t="shared" si="0"/>
        <v>0</v>
      </c>
      <c r="I14" s="74"/>
      <c r="K14" s="4" t="s">
        <v>121</v>
      </c>
      <c r="L14" s="94">
        <f>MainEntry!C38/2 + (1-L7)*L10</f>
        <v>4.1965797619047622</v>
      </c>
      <c r="N14" s="4" t="s">
        <v>81</v>
      </c>
      <c r="O14" s="6">
        <f>O9/$O$10</f>
        <v>0.10418515733512879</v>
      </c>
      <c r="P14" s="39"/>
      <c r="Q14"/>
      <c r="R14" s="4" t="s">
        <v>71</v>
      </c>
      <c r="S14" s="116">
        <f>SUM(S8:S12)-S13</f>
        <v>-342615.08095020364</v>
      </c>
      <c r="V14" s="4" t="s">
        <v>156</v>
      </c>
      <c r="W14" s="116">
        <f>W8*(D43-D42)</f>
        <v>-36546.550702736611</v>
      </c>
      <c r="Z14" s="4" t="s">
        <v>87</v>
      </c>
      <c r="AA14" s="128">
        <f>AA8/$AA$12</f>
        <v>1.6529130176384025E-2</v>
      </c>
      <c r="AC14" s="4" t="s">
        <v>87</v>
      </c>
      <c r="AD14" s="128">
        <f>AD8/$AD$12</f>
        <v>3.9113528525543999E-2</v>
      </c>
      <c r="AP14"/>
      <c r="AQ14"/>
      <c r="AR14"/>
      <c r="AS14"/>
      <c r="AT14"/>
      <c r="AU14"/>
      <c r="AV14"/>
      <c r="AW14"/>
    </row>
    <row r="15" spans="2:49" s="28" customFormat="1" ht="14.1" customHeight="1" thickBot="1" x14ac:dyDescent="0.3">
      <c r="B15" s="4" t="s">
        <v>14</v>
      </c>
      <c r="C15" s="10" t="s">
        <v>15</v>
      </c>
      <c r="D15" s="10">
        <v>38</v>
      </c>
      <c r="E15" s="11">
        <v>44.010999999999996</v>
      </c>
      <c r="F15" s="50">
        <f>MainEntry!E28</f>
        <v>1E-3</v>
      </c>
      <c r="G15" s="5">
        <f t="shared" si="1"/>
        <v>4.4010999999999995E-2</v>
      </c>
      <c r="H15" s="6">
        <f t="shared" si="0"/>
        <v>2.6313751926327947E-3</v>
      </c>
      <c r="I15" s="10"/>
      <c r="K15" s="4" t="s">
        <v>76</v>
      </c>
      <c r="L15" s="8">
        <f>10^(I41/(L6+273)+J41)</f>
        <v>2.4553958682265105</v>
      </c>
      <c r="N15" s="4" t="s">
        <v>89</v>
      </c>
      <c r="O15" s="6">
        <f>L14/$O$10</f>
        <v>0.58119706454121633</v>
      </c>
      <c r="P15" s="39"/>
      <c r="Q15"/>
      <c r="V15" s="4" t="s">
        <v>157</v>
      </c>
      <c r="W15" s="116">
        <f>SUM(W9:W14)</f>
        <v>-320310.52539270278</v>
      </c>
      <c r="Z15" s="4" t="s">
        <v>88</v>
      </c>
      <c r="AA15" s="128">
        <f>AA9/$AA$12</f>
        <v>4.205180906459538E-2</v>
      </c>
      <c r="AC15" s="4" t="s">
        <v>88</v>
      </c>
      <c r="AD15" s="128">
        <f>AD9/$AD$12</f>
        <v>1.9467410715435368E-2</v>
      </c>
      <c r="AP15"/>
      <c r="AQ15"/>
      <c r="AR15"/>
      <c r="AS15"/>
      <c r="AT15"/>
      <c r="AU15"/>
      <c r="AV15"/>
      <c r="AW15"/>
    </row>
    <row r="16" spans="2:49" ht="14.1" customHeight="1" thickBot="1" x14ac:dyDescent="0.3">
      <c r="B16" s="4" t="s">
        <v>33</v>
      </c>
      <c r="C16" s="16" t="s">
        <v>34</v>
      </c>
      <c r="D16" s="38">
        <v>33.6</v>
      </c>
      <c r="E16" s="11">
        <v>18.015999999999998</v>
      </c>
      <c r="F16" s="50">
        <f>MainEntry!E29</f>
        <v>0</v>
      </c>
      <c r="G16" s="5">
        <f t="shared" si="1"/>
        <v>0</v>
      </c>
      <c r="H16" s="6">
        <f t="shared" si="0"/>
        <v>0</v>
      </c>
      <c r="I16" s="38"/>
      <c r="J16" s="28"/>
      <c r="K16" s="4" t="s">
        <v>77</v>
      </c>
      <c r="L16" s="94">
        <f>1/L15-1</f>
        <v>-0.59273369604458837</v>
      </c>
      <c r="N16" s="4" t="s">
        <v>82</v>
      </c>
      <c r="O16" s="58">
        <f>F33/(LOG(O12)-G33)-273</f>
        <v>51.412347959609974</v>
      </c>
      <c r="P16" s="39"/>
      <c r="R16" s="4" t="s">
        <v>70</v>
      </c>
      <c r="S16" s="25">
        <f>O9*(R33*L6^2+Q33*L6+P33)</f>
        <v>28512.902168597215</v>
      </c>
      <c r="T16" s="28"/>
      <c r="Z16" s="4" t="s">
        <v>81</v>
      </c>
      <c r="AA16" s="128">
        <f>AA10/$AA$12</f>
        <v>0.11772214094419405</v>
      </c>
      <c r="AB16" s="28"/>
      <c r="AC16" s="4" t="s">
        <v>81</v>
      </c>
      <c r="AD16" s="128">
        <f>AD10/$AD$12</f>
        <v>0.14030653929335407</v>
      </c>
    </row>
    <row r="17" spans="2:31" ht="14.1" customHeight="1" thickBot="1" x14ac:dyDescent="0.3">
      <c r="B17" s="4" t="s">
        <v>16</v>
      </c>
      <c r="C17" s="12" t="s">
        <v>17</v>
      </c>
      <c r="D17" s="38">
        <v>29.1</v>
      </c>
      <c r="E17" s="13">
        <v>28.013999999999999</v>
      </c>
      <c r="F17" s="50">
        <f>MainEntry!E30</f>
        <v>1.4000000000000012E-2</v>
      </c>
      <c r="G17" s="5">
        <f t="shared" si="1"/>
        <v>0.39219600000000032</v>
      </c>
      <c r="H17" s="6">
        <f t="shared" si="0"/>
        <v>2.3449020132462625E-2</v>
      </c>
      <c r="I17" s="38"/>
      <c r="J17" s="28"/>
      <c r="K17" s="4" t="s">
        <v>78</v>
      </c>
      <c r="L17" s="94">
        <f>(L13-2*L11-2*L12)/L15 -L13+L12+L11</f>
        <v>-0.75836435692396753</v>
      </c>
      <c r="N17" s="4" t="s">
        <v>125</v>
      </c>
      <c r="O17" s="5">
        <f>I33/(L6+273)+J33 - 2*LOG(O14)+2*LOG(O13)</f>
        <v>-11.879652706376564</v>
      </c>
      <c r="P17" s="216" t="str">
        <f>IF(O17&lt;O18,"Fe won't oxidize","Fe oxidizes")</f>
        <v>Fe oxidizes</v>
      </c>
      <c r="R17" s="4" t="s">
        <v>143</v>
      </c>
      <c r="S17" s="25">
        <f>O8*(R37*L6^2+Q37*L6+P37)</f>
        <v>16158.740351624283</v>
      </c>
      <c r="T17" s="25"/>
      <c r="Z17" s="4" t="s">
        <v>89</v>
      </c>
      <c r="AA17" s="128">
        <f>AA11/$AA$12</f>
        <v>0.65671314895834376</v>
      </c>
      <c r="AB17" s="28"/>
      <c r="AC17" s="4" t="s">
        <v>89</v>
      </c>
      <c r="AD17" s="128">
        <f>AD11/$AD$12</f>
        <v>0.65671314895834376</v>
      </c>
    </row>
    <row r="18" spans="2:31" ht="14.1" customHeight="1" x14ac:dyDescent="0.35">
      <c r="C18" s="81" t="s">
        <v>41</v>
      </c>
      <c r="D18" s="38">
        <v>29.4</v>
      </c>
      <c r="E18" s="63">
        <v>32</v>
      </c>
      <c r="I18" s="74"/>
      <c r="K18" s="4" t="s">
        <v>79</v>
      </c>
      <c r="L18" s="94">
        <f>(2*L11*L12 + L12^2 -L12*L13)/L15</f>
        <v>1.4841427800528599</v>
      </c>
      <c r="N18" s="4" t="s">
        <v>103</v>
      </c>
      <c r="O18" s="5">
        <f>F41/(L6+273) +G41</f>
        <v>-11.97645417515275</v>
      </c>
      <c r="P18" s="216"/>
      <c r="R18" s="4" t="s">
        <v>144</v>
      </c>
      <c r="S18" s="25">
        <f>O7*(N37*L6^2+M37*L6+L37)</f>
        <v>43805.475406661099</v>
      </c>
      <c r="T18" s="25"/>
      <c r="Z18" s="4" t="s">
        <v>118</v>
      </c>
      <c r="AA18" s="95">
        <f>AA9+AA10</f>
        <v>1.0209999999999999</v>
      </c>
    </row>
    <row r="19" spans="2:31" ht="14.1" customHeight="1" x14ac:dyDescent="0.25">
      <c r="D19" s="82" t="s">
        <v>18</v>
      </c>
      <c r="E19" s="83">
        <f>E8*F8+E9*F9+E10*F10+E11*F11+E12*F12+E13*F13+E14*F14+E15*F15+E16*F16+E17*F17</f>
        <v>16.725474999999999</v>
      </c>
      <c r="F19" s="80"/>
      <c r="N19" s="4" t="s">
        <v>90</v>
      </c>
      <c r="O19">
        <f>(10^(F37/(L6+273) +G37))*(O14^2/O13)</f>
        <v>2.5198591424584297E-4</v>
      </c>
      <c r="Q19" s="28"/>
      <c r="R19" s="4" t="s">
        <v>145</v>
      </c>
      <c r="S19" s="25">
        <f>O6*(N41*L6^2+M41*L6+L41)</f>
        <v>37811.851350893048</v>
      </c>
      <c r="Z19" s="4" t="s">
        <v>119</v>
      </c>
      <c r="AA19" s="95">
        <f>AA7+AA8</f>
        <v>1.1726985027549839</v>
      </c>
      <c r="AC19" s="4" t="s">
        <v>176</v>
      </c>
      <c r="AD19" s="5">
        <f>I33/(AA6+273)+J33 - 2*LOG(AD16)+2*LOG(AD15)</f>
        <v>-14.469161024076904</v>
      </c>
      <c r="AE19" s="202" t="str">
        <f>IF(AD19&lt;AD20,"Fe won't oxidize","Fe oxidizes")</f>
        <v>Fe won't oxidize</v>
      </c>
    </row>
    <row r="20" spans="2:31" ht="14.1" customHeight="1" x14ac:dyDescent="0.25">
      <c r="N20" s="4" t="s">
        <v>127</v>
      </c>
      <c r="O20">
        <f>(O14^2*O11^2*10^(I37/(L6+273)+J37))/O13</f>
        <v>1.558369468866386E-8</v>
      </c>
      <c r="R20" s="4" t="s">
        <v>146</v>
      </c>
      <c r="S20" s="25">
        <f>L14*(N33*L6^2+M33*L6+L33)</f>
        <v>157175.00541219051</v>
      </c>
      <c r="T20" s="132"/>
      <c r="Z20" s="4" t="s">
        <v>120</v>
      </c>
      <c r="AA20" s="95">
        <f>AA8+2*AA9+AA10</f>
        <v>1.3953485027549837</v>
      </c>
      <c r="AC20" s="4" t="s">
        <v>103</v>
      </c>
      <c r="AD20" s="5">
        <f>F41/(AA6+273)+G41</f>
        <v>-13.639199556541019</v>
      </c>
      <c r="AE20" s="202"/>
    </row>
    <row r="21" spans="2:31" ht="14.1" customHeight="1" x14ac:dyDescent="0.25">
      <c r="C21" s="21"/>
      <c r="D21" s="22"/>
      <c r="E21" s="22"/>
      <c r="F21" s="106"/>
      <c r="G21" s="48" t="s">
        <v>24</v>
      </c>
      <c r="N21" s="4"/>
      <c r="O21" s="95"/>
      <c r="R21" s="4" t="s">
        <v>72</v>
      </c>
      <c r="S21" s="25">
        <f>SUM(S16:S20)</f>
        <v>283463.97468996618</v>
      </c>
      <c r="T21" s="132"/>
      <c r="Z21" s="4" t="s">
        <v>76</v>
      </c>
      <c r="AA21" s="84">
        <f>10^(J41+I41/(AA6+273))</f>
        <v>1.9522319300870346</v>
      </c>
      <c r="AC21" s="4" t="s">
        <v>90</v>
      </c>
      <c r="AD21">
        <f>(10^(F37/(AA6+273) +G37))*(AD16^2/AD15)</f>
        <v>2.9247538349352507E-3</v>
      </c>
    </row>
    <row r="22" spans="2:31" ht="15.6" customHeight="1" x14ac:dyDescent="0.25">
      <c r="C22" s="23"/>
      <c r="D22" s="24"/>
      <c r="E22" s="24"/>
      <c r="F22" s="107" t="s">
        <v>75</v>
      </c>
      <c r="G22" s="104">
        <f>MainEntry!C35-MainEntry!E28</f>
        <v>1.02</v>
      </c>
      <c r="N22" s="4" t="s">
        <v>193</v>
      </c>
      <c r="O22" s="8">
        <f>O10*0.0820575*(L6+273)/1000</f>
        <v>0.87275651217581252</v>
      </c>
      <c r="R22" s="4" t="s">
        <v>171</v>
      </c>
      <c r="S22" s="25">
        <f>MainEntry!H16</f>
        <v>30000</v>
      </c>
      <c r="U22" s="195"/>
      <c r="V22" s="195"/>
      <c r="W22" s="195"/>
      <c r="Z22" s="4" t="s">
        <v>77</v>
      </c>
      <c r="AA22" s="94">
        <f>1/AA21-1</f>
        <v>-0.48776577998321236</v>
      </c>
      <c r="AC22" s="4" t="s">
        <v>127</v>
      </c>
      <c r="AD22">
        <f>(AD16^2*AD13^2*10^(I37/(AA6+273)+J37))/AD15</f>
        <v>3.3619191341671723E-7</v>
      </c>
    </row>
    <row r="23" spans="2:31" ht="13.2" customHeight="1" x14ac:dyDescent="0.25">
      <c r="C23" s="23"/>
      <c r="D23" s="24"/>
      <c r="E23" s="24"/>
      <c r="F23" s="107" t="s">
        <v>132</v>
      </c>
      <c r="G23" s="118">
        <f>MainEntry!C35</f>
        <v>1.0209999999999999</v>
      </c>
      <c r="R23" s="41" t="s">
        <v>169</v>
      </c>
      <c r="S23" s="131">
        <f>S14+S21+S22</f>
        <v>-29151.106260237459</v>
      </c>
      <c r="T23" s="205" t="str">
        <f>IF(S23&lt;0,"&lt;==Remove more heat or lower the % stoich. oxidant","&lt;==Remove less heat, lower the hot gas temp. or raise the % stoich. oxidant")</f>
        <v>&lt;==Remove more heat or lower the % stoich. oxidant</v>
      </c>
      <c r="U23" s="205"/>
      <c r="V23" s="205"/>
      <c r="W23" s="205"/>
      <c r="Z23" s="4" t="s">
        <v>78</v>
      </c>
      <c r="AA23" s="94">
        <f>(AA20-2*AA18-2*AA19)/AA21 -AA20+AA19+AA18</f>
        <v>-0.73427963106109662</v>
      </c>
      <c r="AC23" s="4" t="s">
        <v>191</v>
      </c>
      <c r="AD23" s="8">
        <f>AD21/(0.000003037*AA6^2 -0.007284*AA6+4.601)</f>
        <v>1.0572540728259062E-2</v>
      </c>
    </row>
    <row r="24" spans="2:31" ht="15.6" x14ac:dyDescent="0.35">
      <c r="C24" s="23"/>
      <c r="D24" s="32"/>
      <c r="E24" s="24"/>
      <c r="F24" s="108" t="s">
        <v>172</v>
      </c>
      <c r="G24" s="105">
        <f>MainEntry!C36/2-MainEntry!E29</f>
        <v>2.0029999999999997</v>
      </c>
      <c r="N24" s="39"/>
      <c r="T24" s="205"/>
      <c r="U24" s="205"/>
      <c r="V24" s="205"/>
      <c r="W24" s="205"/>
      <c r="Z24" s="4" t="s">
        <v>79</v>
      </c>
      <c r="AA24" s="94">
        <f>(2*AA18*AA19 + AA19^2 -AA19*AA20)/AA21</f>
        <v>1.092876818633</v>
      </c>
    </row>
    <row r="25" spans="2:31" ht="15.6" x14ac:dyDescent="0.35">
      <c r="C25" s="44"/>
      <c r="D25" s="1"/>
      <c r="E25" s="1"/>
      <c r="F25" s="103" t="s">
        <v>173</v>
      </c>
      <c r="G25" s="118">
        <f>MainEntry!C36/2</f>
        <v>2.0029999999999997</v>
      </c>
      <c r="O25" s="39"/>
      <c r="T25" s="132"/>
      <c r="AC25" s="4" t="s">
        <v>196</v>
      </c>
      <c r="AD25" s="8">
        <f>AD12*0.0820575*(AA6+273)/1000</f>
        <v>0.70947296002423499</v>
      </c>
    </row>
    <row r="26" spans="2:31" ht="13.8" x14ac:dyDescent="0.25">
      <c r="D26" s="82"/>
      <c r="E26" s="83"/>
      <c r="O26" s="39"/>
      <c r="T26" s="132"/>
    </row>
    <row r="27" spans="2:31" x14ac:dyDescent="0.25">
      <c r="O27" s="39"/>
    </row>
    <row r="28" spans="2:31" ht="15.6" customHeight="1" x14ac:dyDescent="0.25"/>
    <row r="29" spans="2:31" x14ac:dyDescent="0.25">
      <c r="O29" s="39"/>
    </row>
    <row r="30" spans="2:31" ht="16.2" x14ac:dyDescent="0.25">
      <c r="B30" s="212" t="s">
        <v>139</v>
      </c>
      <c r="C30" s="212"/>
      <c r="D30" s="212"/>
      <c r="E30" s="212"/>
      <c r="F30" s="56"/>
      <c r="G30" s="56"/>
      <c r="H30" s="57" t="s">
        <v>135</v>
      </c>
      <c r="I30" s="56"/>
      <c r="J30" s="56"/>
      <c r="L30" s="67"/>
      <c r="M30" s="56"/>
      <c r="N30" s="56"/>
      <c r="O30" s="57" t="s">
        <v>136</v>
      </c>
      <c r="P30" s="56"/>
      <c r="Q30" s="56"/>
      <c r="R30" s="68"/>
      <c r="W30" s="36"/>
      <c r="X30" s="36"/>
    </row>
    <row r="31" spans="2:31" ht="15.6" x14ac:dyDescent="0.35">
      <c r="D31" s="4" t="s">
        <v>60</v>
      </c>
      <c r="F31" s="203" t="s">
        <v>98</v>
      </c>
      <c r="G31" s="203"/>
      <c r="I31" s="203" t="s">
        <v>99</v>
      </c>
      <c r="J31" s="203"/>
      <c r="L31" s="203" t="s">
        <v>66</v>
      </c>
      <c r="M31" s="203"/>
      <c r="N31" s="203"/>
      <c r="O31" s="62"/>
      <c r="P31" s="203" t="s">
        <v>67</v>
      </c>
      <c r="Q31" s="203"/>
      <c r="R31" s="203"/>
    </row>
    <row r="32" spans="2:31" ht="15.6" x14ac:dyDescent="0.25">
      <c r="C32" s="10" t="s">
        <v>3</v>
      </c>
      <c r="D32" s="75">
        <v>-74810</v>
      </c>
      <c r="F32" s="45" t="s">
        <v>42</v>
      </c>
      <c r="G32" s="45" t="s">
        <v>43</v>
      </c>
      <c r="I32" s="45" t="s">
        <v>42</v>
      </c>
      <c r="J32" s="45" t="s">
        <v>43</v>
      </c>
      <c r="L32" s="45" t="s">
        <v>42</v>
      </c>
      <c r="M32" s="45" t="s">
        <v>43</v>
      </c>
      <c r="N32" s="47" t="s">
        <v>20</v>
      </c>
      <c r="P32" s="45" t="s">
        <v>42</v>
      </c>
      <c r="Q32" s="45" t="s">
        <v>43</v>
      </c>
      <c r="R32" s="47" t="s">
        <v>20</v>
      </c>
    </row>
    <row r="33" spans="2:21" ht="15.6" x14ac:dyDescent="0.25">
      <c r="C33" s="10" t="s">
        <v>5</v>
      </c>
      <c r="D33" s="75">
        <v>52467</v>
      </c>
      <c r="F33" s="71">
        <v>-2295</v>
      </c>
      <c r="G33" s="110">
        <v>6.1870000000000003</v>
      </c>
      <c r="I33" s="111">
        <v>-29365</v>
      </c>
      <c r="J33" s="110">
        <v>8.9499999999999993</v>
      </c>
      <c r="L33" s="71">
        <v>-1508</v>
      </c>
      <c r="M33" s="72">
        <v>30.28</v>
      </c>
      <c r="N33" s="73">
        <v>1.823E-3</v>
      </c>
      <c r="P33" s="71">
        <v>-1803</v>
      </c>
      <c r="Q33" s="72">
        <v>31.08</v>
      </c>
      <c r="R33" s="73">
        <v>1.673E-3</v>
      </c>
    </row>
    <row r="34" spans="2:21" ht="15.6" x14ac:dyDescent="0.25">
      <c r="B34" t="s">
        <v>105</v>
      </c>
      <c r="C34" s="10" t="s">
        <v>7</v>
      </c>
      <c r="D34" s="75">
        <v>-84684</v>
      </c>
    </row>
    <row r="35" spans="2:21" ht="15.6" x14ac:dyDescent="0.35">
      <c r="B35" s="4" t="s">
        <v>107</v>
      </c>
      <c r="C35" s="10" t="s">
        <v>9</v>
      </c>
      <c r="D35" s="75">
        <v>-103847</v>
      </c>
      <c r="F35" s="203" t="s">
        <v>100</v>
      </c>
      <c r="G35" s="203"/>
      <c r="I35" s="203" t="s">
        <v>102</v>
      </c>
      <c r="J35" s="203"/>
      <c r="L35" s="204" t="s">
        <v>68</v>
      </c>
      <c r="M35" s="204"/>
      <c r="N35" s="204"/>
      <c r="O35" s="62"/>
      <c r="P35" s="204" t="s">
        <v>73</v>
      </c>
      <c r="Q35" s="204"/>
      <c r="R35" s="204"/>
    </row>
    <row r="36" spans="2:21" ht="16.8" customHeight="1" x14ac:dyDescent="0.25">
      <c r="B36" s="115" t="s">
        <v>106</v>
      </c>
      <c r="C36" s="10" t="s">
        <v>29</v>
      </c>
      <c r="D36" s="75">
        <v>-126148</v>
      </c>
      <c r="F36" s="45" t="s">
        <v>42</v>
      </c>
      <c r="G36" s="45" t="s">
        <v>43</v>
      </c>
      <c r="I36" s="45" t="s">
        <v>42</v>
      </c>
      <c r="J36" s="45" t="s">
        <v>43</v>
      </c>
      <c r="L36" s="45" t="s">
        <v>42</v>
      </c>
      <c r="M36" s="45" t="s">
        <v>43</v>
      </c>
      <c r="N36" s="45" t="s">
        <v>20</v>
      </c>
      <c r="P36" s="45" t="s">
        <v>42</v>
      </c>
      <c r="Q36" s="45" t="s">
        <v>43</v>
      </c>
      <c r="R36" s="45" t="s">
        <v>20</v>
      </c>
    </row>
    <row r="37" spans="2:21" ht="15.6" x14ac:dyDescent="0.25">
      <c r="C37" s="16" t="s">
        <v>11</v>
      </c>
      <c r="D37" s="76">
        <v>0</v>
      </c>
      <c r="F37" s="71">
        <v>8715</v>
      </c>
      <c r="G37" s="110">
        <v>-8.98</v>
      </c>
      <c r="I37" s="111">
        <v>13520</v>
      </c>
      <c r="J37" s="110">
        <v>-14.79</v>
      </c>
      <c r="L37" s="71">
        <v>-1463</v>
      </c>
      <c r="M37" s="72">
        <v>33.869999999999997</v>
      </c>
      <c r="N37" s="73">
        <v>5.2940000000000001E-3</v>
      </c>
      <c r="P37" s="71">
        <v>-4845</v>
      </c>
      <c r="Q37" s="72">
        <v>50.15</v>
      </c>
      <c r="R37" s="73">
        <v>3.3310000000000002E-3</v>
      </c>
    </row>
    <row r="38" spans="2:21" x14ac:dyDescent="0.25">
      <c r="C38" s="10" t="s">
        <v>13</v>
      </c>
      <c r="D38" s="75">
        <v>-110529</v>
      </c>
      <c r="T38" s="25"/>
      <c r="U38" s="25"/>
    </row>
    <row r="39" spans="2:21" ht="15.6" x14ac:dyDescent="0.35">
      <c r="D39" s="10"/>
      <c r="F39" s="203" t="s">
        <v>101</v>
      </c>
      <c r="G39" s="203"/>
      <c r="I39" s="203" t="s">
        <v>124</v>
      </c>
      <c r="J39" s="203"/>
      <c r="L39" s="204" t="s">
        <v>69</v>
      </c>
      <c r="M39" s="204"/>
      <c r="N39" s="204"/>
      <c r="P39" s="17" t="s">
        <v>148</v>
      </c>
      <c r="Q39" s="124">
        <f>D8*F8+D9*F9+D10*F10+D11*F11+D12*F12+D13*F13+D14*F14+D15*F15+D16*F16+D17*F17</f>
        <v>36.557400000000008</v>
      </c>
      <c r="T39" s="25"/>
      <c r="U39" s="25"/>
    </row>
    <row r="40" spans="2:21" ht="15.6" x14ac:dyDescent="0.25">
      <c r="C40" s="10" t="s">
        <v>15</v>
      </c>
      <c r="D40" s="75">
        <v>-393509</v>
      </c>
      <c r="F40" s="45" t="s">
        <v>42</v>
      </c>
      <c r="G40" s="45" t="s">
        <v>43</v>
      </c>
      <c r="I40" s="45" t="s">
        <v>42</v>
      </c>
      <c r="J40" s="45" t="s">
        <v>43</v>
      </c>
      <c r="L40" s="45" t="s">
        <v>42</v>
      </c>
      <c r="M40" s="45" t="s">
        <v>43</v>
      </c>
      <c r="N40" s="45" t="s">
        <v>20</v>
      </c>
      <c r="P40" s="125" t="s">
        <v>153</v>
      </c>
      <c r="Q40" s="124">
        <f>D18*L7+D17*(1-L7)</f>
        <v>29.163</v>
      </c>
    </row>
    <row r="41" spans="2:21" ht="13.2" customHeight="1" x14ac:dyDescent="0.3">
      <c r="B41" s="4" t="s">
        <v>37</v>
      </c>
      <c r="C41" s="87" t="s">
        <v>13</v>
      </c>
      <c r="D41" s="76">
        <v>-110530</v>
      </c>
      <c r="F41" s="111">
        <v>-27615</v>
      </c>
      <c r="G41" s="110">
        <v>6.7709999999999999</v>
      </c>
      <c r="I41" s="111">
        <v>-1654</v>
      </c>
      <c r="J41" s="110">
        <v>1.5129999999999999</v>
      </c>
      <c r="L41" s="71">
        <v>-166</v>
      </c>
      <c r="M41" s="72">
        <v>27.18</v>
      </c>
      <c r="N41" s="73">
        <v>2.0730000000000002E-3</v>
      </c>
      <c r="S41" s="26"/>
      <c r="T41" s="26"/>
      <c r="U41" s="26"/>
    </row>
    <row r="42" spans="2:21" ht="15.6" x14ac:dyDescent="0.25">
      <c r="B42" s="10" t="s">
        <v>36</v>
      </c>
      <c r="C42" s="10" t="s">
        <v>30</v>
      </c>
      <c r="D42" s="75">
        <v>-241814</v>
      </c>
    </row>
    <row r="43" spans="2:21" ht="13.8" customHeight="1" x14ac:dyDescent="0.25">
      <c r="C43" s="10" t="s">
        <v>44</v>
      </c>
      <c r="D43" s="77">
        <v>-285830</v>
      </c>
    </row>
    <row r="44" spans="2:21" ht="13.8" customHeight="1" x14ac:dyDescent="0.25"/>
    <row r="47" spans="2:21" ht="15.6" x14ac:dyDescent="0.25">
      <c r="B47" s="101" t="s">
        <v>138</v>
      </c>
      <c r="C47" s="100"/>
      <c r="D47" s="100"/>
      <c r="E47" s="100"/>
      <c r="F47" s="100"/>
      <c r="G47" s="100"/>
    </row>
    <row r="48" spans="2:21" x14ac:dyDescent="0.25">
      <c r="B48" s="10" t="s">
        <v>62</v>
      </c>
      <c r="C48" s="89" t="s">
        <v>56</v>
      </c>
      <c r="D48" s="90" t="s">
        <v>58</v>
      </c>
      <c r="E48" s="91" t="s">
        <v>57</v>
      </c>
      <c r="F48" s="92" t="s">
        <v>13</v>
      </c>
      <c r="G48" s="93" t="s">
        <v>55</v>
      </c>
    </row>
    <row r="49" spans="2:7" x14ac:dyDescent="0.25">
      <c r="B49" s="10">
        <v>800.00000000000011</v>
      </c>
      <c r="C49" s="58">
        <v>23889.773399868041</v>
      </c>
      <c r="D49" s="58">
        <v>29051.280078113523</v>
      </c>
      <c r="E49" s="58">
        <v>22902.008376534253</v>
      </c>
      <c r="F49" s="58">
        <v>24138.182714412396</v>
      </c>
      <c r="G49" s="58">
        <v>37416.781361471367</v>
      </c>
    </row>
    <row r="50" spans="2:7" x14ac:dyDescent="0.25">
      <c r="B50" s="10">
        <v>860.00000000000011</v>
      </c>
      <c r="C50" s="58">
        <v>25882.641678718224</v>
      </c>
      <c r="D50" s="58">
        <v>31602.983641055427</v>
      </c>
      <c r="E50" s="58">
        <v>24740.306109302634</v>
      </c>
      <c r="F50" s="58">
        <v>26162.373167546968</v>
      </c>
      <c r="G50" s="58">
        <v>40740.957020020011</v>
      </c>
    </row>
    <row r="51" spans="2:7" x14ac:dyDescent="0.25">
      <c r="B51" s="10">
        <v>920.00000000000011</v>
      </c>
      <c r="C51" s="58">
        <v>27891.891619381942</v>
      </c>
      <c r="D51" s="58">
        <v>34196.889149084695</v>
      </c>
      <c r="E51" s="58">
        <v>26592.647504424931</v>
      </c>
      <c r="F51" s="58">
        <v>28202.915697447628</v>
      </c>
      <c r="G51" s="58">
        <v>44098.90301482044</v>
      </c>
    </row>
    <row r="52" spans="2:7" x14ac:dyDescent="0.25">
      <c r="B52" s="10">
        <v>980.00000000000011</v>
      </c>
      <c r="C52" s="58">
        <v>29916.62882429544</v>
      </c>
      <c r="D52" s="58">
        <v>36832.081452394283</v>
      </c>
      <c r="E52" s="58">
        <v>28459.434920657644</v>
      </c>
      <c r="F52" s="58">
        <v>30258.541658277802</v>
      </c>
      <c r="G52" s="58">
        <v>47487.602737612309</v>
      </c>
    </row>
    <row r="53" spans="2:7" x14ac:dyDescent="0.25">
      <c r="B53" s="10">
        <v>1040</v>
      </c>
      <c r="C53" s="58">
        <v>31956.00560542311</v>
      </c>
      <c r="D53" s="58">
        <v>39507.585444019744</v>
      </c>
      <c r="E53" s="58">
        <v>30340.965987679323</v>
      </c>
      <c r="F53" s="58">
        <v>32328.091418386543</v>
      </c>
      <c r="G53" s="58">
        <v>50904.38123896726</v>
      </c>
    </row>
    <row r="54" spans="2:7" x14ac:dyDescent="0.25">
      <c r="B54" s="10">
        <v>1100</v>
      </c>
      <c r="C54" s="58">
        <v>34009.217565814979</v>
      </c>
      <c r="D54" s="58">
        <v>42222.376060866489</v>
      </c>
      <c r="E54" s="58">
        <v>32237.44637255447</v>
      </c>
      <c r="F54" s="58">
        <v>34410.50598471157</v>
      </c>
      <c r="G54" s="58">
        <v>54346.857434752761</v>
      </c>
    </row>
    <row r="55" spans="2:7" x14ac:dyDescent="0.25">
      <c r="B55" s="10">
        <v>1160</v>
      </c>
      <c r="C55" s="58">
        <v>36075.50003244714</v>
      </c>
      <c r="D55" s="58">
        <v>44975.386232434757</v>
      </c>
      <c r="E55" s="58">
        <v>34149.000840739558</v>
      </c>
      <c r="F55" s="58">
        <v>36504.818438903676</v>
      </c>
      <c r="G55" s="58">
        <v>57812.904332258302</v>
      </c>
    </row>
    <row r="56" spans="2:7" x14ac:dyDescent="0.25">
      <c r="B56" s="10">
        <v>1220</v>
      </c>
      <c r="C56" s="58">
        <v>38154.124566690487</v>
      </c>
      <c r="D56" s="58">
        <v>47765.5132702884</v>
      </c>
      <c r="E56" s="58">
        <v>36075.682816356755</v>
      </c>
      <c r="F56" s="58">
        <v>38610.145657961097</v>
      </c>
      <c r="G56" s="58">
        <v>61300.615750207478</v>
      </c>
    </row>
    <row r="57" spans="2:7" x14ac:dyDescent="0.25">
      <c r="B57" s="10">
        <v>1280</v>
      </c>
      <c r="C57" s="58">
        <v>40244.395669099853</v>
      </c>
      <c r="D57" s="58">
        <v>50591.624057063411</v>
      </c>
      <c r="E57" s="58">
        <v>38017.482642361676</v>
      </c>
      <c r="F57" s="58">
        <v>40725.680555711144</v>
      </c>
      <c r="G57" s="58">
        <v>64808.278321336336</v>
      </c>
    </row>
    <row r="58" spans="2:7" x14ac:dyDescent="0.25">
      <c r="B58" s="98">
        <v>1400</v>
      </c>
      <c r="C58" s="99">
        <v>44457.242257133104</v>
      </c>
      <c r="D58" s="99">
        <v>56347.137047937656</v>
      </c>
      <c r="E58" s="99">
        <v>41946.12371742745</v>
      </c>
      <c r="F58" s="99">
        <v>44984.483054531476</v>
      </c>
      <c r="G58" s="99">
        <v>71877.429002522607</v>
      </c>
    </row>
    <row r="66" spans="2:21" ht="13.8" x14ac:dyDescent="0.25">
      <c r="B66" s="101" t="s">
        <v>122</v>
      </c>
      <c r="C66" s="101"/>
      <c r="D66" s="101"/>
    </row>
    <row r="67" spans="2:21" ht="16.2" x14ac:dyDescent="0.25">
      <c r="C67" s="20" t="s">
        <v>108</v>
      </c>
    </row>
    <row r="68" spans="2:21" x14ac:dyDescent="0.25">
      <c r="B68" s="96" t="s">
        <v>62</v>
      </c>
      <c r="C68" s="96" t="s">
        <v>65</v>
      </c>
      <c r="D68" s="102" t="s">
        <v>64</v>
      </c>
    </row>
    <row r="69" spans="2:21" x14ac:dyDescent="0.25">
      <c r="B69">
        <v>1073</v>
      </c>
      <c r="C69">
        <v>9.3183618849879027E-4</v>
      </c>
      <c r="D69" s="8">
        <v>-3.3927641966429084E-2</v>
      </c>
    </row>
    <row r="70" spans="2:21" x14ac:dyDescent="0.25">
      <c r="B70">
        <v>1173</v>
      </c>
      <c r="C70">
        <v>8.5240592013184407E-4</v>
      </c>
      <c r="D70" s="8">
        <v>0.1053174754488707</v>
      </c>
    </row>
    <row r="71" spans="2:21" x14ac:dyDescent="0.25">
      <c r="B71">
        <v>1273</v>
      </c>
      <c r="C71">
        <v>7.8545340674235332E-4</v>
      </c>
      <c r="D71" s="8">
        <v>0.21933765578430825</v>
      </c>
    </row>
    <row r="72" spans="2:21" x14ac:dyDescent="0.25">
      <c r="B72">
        <v>1373</v>
      </c>
      <c r="C72">
        <v>7.2825256122412032E-4</v>
      </c>
      <c r="D72" s="8">
        <v>0.31398216083916974</v>
      </c>
      <c r="L72" s="51"/>
    </row>
    <row r="73" spans="2:21" x14ac:dyDescent="0.25">
      <c r="B73">
        <v>1473</v>
      </c>
      <c r="C73">
        <v>6.7881750272760636E-4</v>
      </c>
      <c r="D73" s="8">
        <v>0.39346749791348112</v>
      </c>
    </row>
    <row r="74" spans="2:21" x14ac:dyDescent="0.25">
      <c r="B74">
        <v>1573</v>
      </c>
      <c r="C74">
        <v>6.3566729420576882E-4</v>
      </c>
      <c r="D74" s="8">
        <v>0.46090275307038991</v>
      </c>
    </row>
    <row r="75" spans="2:21" x14ac:dyDescent="0.25">
      <c r="B75">
        <v>1673</v>
      </c>
      <c r="C75">
        <v>5.9767504625880461E-4</v>
      </c>
      <c r="D75" s="8">
        <v>0.51862551885782315</v>
      </c>
    </row>
    <row r="76" spans="2:21" x14ac:dyDescent="0.25">
      <c r="L76" s="51"/>
      <c r="T76" s="39"/>
      <c r="U76" s="39"/>
    </row>
    <row r="77" spans="2:21" x14ac:dyDescent="0.25">
      <c r="T77" s="39"/>
      <c r="U77" s="39"/>
    </row>
    <row r="78" spans="2:21" x14ac:dyDescent="0.25">
      <c r="T78" s="39"/>
      <c r="U78" s="39"/>
    </row>
    <row r="79" spans="2:21" x14ac:dyDescent="0.25">
      <c r="T79" s="39"/>
      <c r="U79" s="39"/>
    </row>
    <row r="80" spans="2:21" ht="13.8" x14ac:dyDescent="0.25">
      <c r="B80" s="101" t="s">
        <v>109</v>
      </c>
      <c r="C80" s="101"/>
      <c r="D80" s="101"/>
      <c r="E80" s="101"/>
      <c r="T80" s="39"/>
      <c r="U80" s="39"/>
    </row>
    <row r="81" spans="2:14" ht="15.6" x14ac:dyDescent="0.25">
      <c r="B81" s="10" t="s">
        <v>91</v>
      </c>
      <c r="C81" s="10" t="s">
        <v>93</v>
      </c>
      <c r="D81" s="10" t="s">
        <v>92</v>
      </c>
      <c r="E81" s="10" t="s">
        <v>94</v>
      </c>
    </row>
    <row r="82" spans="2:14" x14ac:dyDescent="0.25">
      <c r="B82" s="10">
        <v>0</v>
      </c>
      <c r="C82" s="10">
        <v>6.0299999999999998E-3</v>
      </c>
      <c r="D82" s="10">
        <v>3.6609921288669233E-3</v>
      </c>
      <c r="E82" s="10">
        <f t="shared" ref="E82:E90" si="2">LOG(C82)</f>
        <v>-2.2196826878598488</v>
      </c>
    </row>
    <row r="83" spans="2:14" x14ac:dyDescent="0.25">
      <c r="B83" s="10">
        <v>8</v>
      </c>
      <c r="C83" s="10">
        <v>1.0580000000000001E-2</v>
      </c>
      <c r="D83" s="10">
        <v>3.556820202738752E-3</v>
      </c>
      <c r="E83" s="10">
        <f t="shared" si="2"/>
        <v>-1.9755143323008331</v>
      </c>
    </row>
    <row r="84" spans="2:14" x14ac:dyDescent="0.25">
      <c r="B84" s="10">
        <v>16</v>
      </c>
      <c r="C84" s="10">
        <v>1.7930000000000001E-2</v>
      </c>
      <c r="D84" s="10">
        <v>3.4584125886218228E-3</v>
      </c>
      <c r="E84" s="10">
        <f t="shared" si="2"/>
        <v>-1.7464197104378172</v>
      </c>
    </row>
    <row r="85" spans="2:14" x14ac:dyDescent="0.25">
      <c r="B85" s="10">
        <v>24</v>
      </c>
      <c r="C85" s="10">
        <v>2.9399999999999999E-2</v>
      </c>
      <c r="D85" s="10">
        <v>3.3653037186606094E-3</v>
      </c>
      <c r="E85" s="10">
        <f t="shared" si="2"/>
        <v>-1.5316526695878427</v>
      </c>
      <c r="N85" s="10"/>
    </row>
    <row r="86" spans="2:14" x14ac:dyDescent="0.25">
      <c r="B86" s="10">
        <v>32</v>
      </c>
      <c r="C86" s="10">
        <v>4.6899999999999997E-2</v>
      </c>
      <c r="D86" s="10">
        <v>3.2770768474520728E-3</v>
      </c>
      <c r="E86" s="10">
        <f t="shared" si="2"/>
        <v>-1.3288271572849168</v>
      </c>
      <c r="N86" s="10"/>
    </row>
    <row r="87" spans="2:14" x14ac:dyDescent="0.25">
      <c r="B87" s="10">
        <v>40</v>
      </c>
      <c r="C87" s="10">
        <v>7.2800000000000004E-2</v>
      </c>
      <c r="D87" s="10">
        <v>3.1933578157432542E-3</v>
      </c>
      <c r="E87" s="10">
        <f t="shared" si="2"/>
        <v>-1.1378686206869628</v>
      </c>
      <c r="N87" s="10"/>
    </row>
    <row r="88" spans="2:14" x14ac:dyDescent="0.25">
      <c r="B88" s="10">
        <v>48</v>
      </c>
      <c r="C88" s="10">
        <v>0.1101</v>
      </c>
      <c r="D88" s="10">
        <v>3.1138097462245057E-3</v>
      </c>
      <c r="E88" s="10">
        <f t="shared" si="2"/>
        <v>-0.95821268102824819</v>
      </c>
      <c r="N88" s="10"/>
    </row>
    <row r="89" spans="2:14" x14ac:dyDescent="0.25">
      <c r="B89" s="10">
        <v>56</v>
      </c>
      <c r="C89" s="10">
        <v>0.16289999999999999</v>
      </c>
      <c r="D89" s="10">
        <v>3.0381285128360932E-3</v>
      </c>
      <c r="E89" s="10">
        <f t="shared" si="2"/>
        <v>-0.78807891569149069</v>
      </c>
      <c r="N89" s="10"/>
    </row>
    <row r="90" spans="2:14" x14ac:dyDescent="0.25">
      <c r="B90" s="10">
        <v>60</v>
      </c>
      <c r="C90" s="10">
        <v>0.1966</v>
      </c>
      <c r="D90" s="10">
        <v>3.0016509079993999E-3</v>
      </c>
      <c r="E90" s="10">
        <f t="shared" si="2"/>
        <v>-0.70641648650388322</v>
      </c>
      <c r="N90" s="10"/>
    </row>
    <row r="91" spans="2:14" x14ac:dyDescent="0.25">
      <c r="C91" t="s">
        <v>128</v>
      </c>
      <c r="N91" s="10"/>
    </row>
    <row r="92" spans="2:14" x14ac:dyDescent="0.25">
      <c r="G92" t="s">
        <v>40</v>
      </c>
      <c r="N92" s="10"/>
    </row>
    <row r="93" spans="2:14" x14ac:dyDescent="0.25">
      <c r="N93" s="10"/>
    </row>
    <row r="95" spans="2:14" ht="16.2" x14ac:dyDescent="0.25">
      <c r="B95" s="101" t="s">
        <v>130</v>
      </c>
      <c r="C95" s="101"/>
      <c r="D95" s="101"/>
    </row>
    <row r="96" spans="2:14" ht="16.2" x14ac:dyDescent="0.25">
      <c r="C96" s="20" t="s">
        <v>110</v>
      </c>
      <c r="D96" s="25"/>
    </row>
    <row r="97" spans="2:8" x14ac:dyDescent="0.25">
      <c r="B97" s="10" t="s">
        <v>95</v>
      </c>
      <c r="C97" s="10" t="s">
        <v>92</v>
      </c>
      <c r="D97" s="10" t="s">
        <v>96</v>
      </c>
    </row>
    <row r="98" spans="2:8" x14ac:dyDescent="0.25">
      <c r="B98" s="10">
        <v>1100</v>
      </c>
      <c r="C98" s="10">
        <v>9.0909090909090909E-4</v>
      </c>
      <c r="D98" s="8">
        <v>-17.751648646683815</v>
      </c>
      <c r="F98" s="25"/>
    </row>
    <row r="99" spans="2:8" x14ac:dyDescent="0.25">
      <c r="B99" s="10">
        <v>1200</v>
      </c>
      <c r="C99" s="10">
        <v>8.3333333333333339E-4</v>
      </c>
      <c r="D99" s="8">
        <v>-15.519640691628759</v>
      </c>
    </row>
    <row r="100" spans="2:8" x14ac:dyDescent="0.25">
      <c r="B100" s="10">
        <v>1300</v>
      </c>
      <c r="C100" s="10">
        <v>7.6923076923076923E-4</v>
      </c>
      <c r="D100" s="8">
        <v>-13.633894291253682</v>
      </c>
    </row>
    <row r="101" spans="2:8" x14ac:dyDescent="0.25">
      <c r="B101" s="10">
        <v>1400</v>
      </c>
      <c r="C101" s="10">
        <v>7.1428571428571429E-4</v>
      </c>
      <c r="D101" s="8">
        <v>-12.020134479262799</v>
      </c>
    </row>
    <row r="102" spans="2:8" x14ac:dyDescent="0.25">
      <c r="B102" s="10">
        <v>1500</v>
      </c>
      <c r="C102" s="10">
        <v>6.6666666666666664E-4</v>
      </c>
      <c r="D102" s="8">
        <v>-10.623882220838102</v>
      </c>
    </row>
    <row r="103" spans="2:8" x14ac:dyDescent="0.25">
      <c r="B103" s="10">
        <v>1600</v>
      </c>
      <c r="C103" s="10">
        <v>6.2500000000000001E-4</v>
      </c>
      <c r="D103" s="8">
        <v>-9.4042735471401624</v>
      </c>
    </row>
    <row r="104" spans="2:8" x14ac:dyDescent="0.25">
      <c r="B104" s="10">
        <v>1700</v>
      </c>
      <c r="C104" s="10">
        <v>5.8823529411764701E-4</v>
      </c>
      <c r="D104" s="8">
        <v>-8.330058135569633</v>
      </c>
    </row>
    <row r="105" spans="2:8" x14ac:dyDescent="0.25">
      <c r="G105" s="25"/>
      <c r="H105" s="25"/>
    </row>
    <row r="112" spans="2:8" ht="13.8" x14ac:dyDescent="0.25">
      <c r="B112" s="101" t="s">
        <v>131</v>
      </c>
      <c r="C112" s="101"/>
      <c r="D112" s="101"/>
    </row>
    <row r="113" spans="2:14" ht="16.2" x14ac:dyDescent="0.25">
      <c r="C113" s="20" t="s">
        <v>111</v>
      </c>
    </row>
    <row r="114" spans="2:14" x14ac:dyDescent="0.25">
      <c r="B114" s="102" t="s">
        <v>97</v>
      </c>
      <c r="C114" s="102" t="s">
        <v>65</v>
      </c>
      <c r="D114" s="102" t="s">
        <v>64</v>
      </c>
    </row>
    <row r="115" spans="2:14" x14ac:dyDescent="0.25">
      <c r="B115" s="10">
        <v>1100</v>
      </c>
      <c r="C115" s="10">
        <v>9.0909090909090909E-4</v>
      </c>
      <c r="D115" s="8">
        <v>-1.0497527951900569</v>
      </c>
    </row>
    <row r="116" spans="2:14" x14ac:dyDescent="0.25">
      <c r="B116" s="10">
        <v>1200</v>
      </c>
      <c r="C116" s="10">
        <v>8.3333333333333339E-4</v>
      </c>
      <c r="D116" s="8">
        <v>-1.7191369922230559</v>
      </c>
      <c r="N116" s="84"/>
    </row>
    <row r="117" spans="2:14" x14ac:dyDescent="0.25">
      <c r="B117" s="10">
        <v>1300</v>
      </c>
      <c r="C117" s="10">
        <v>7.6923076923076923E-4</v>
      </c>
      <c r="D117" s="8">
        <v>-2.2819430910245524</v>
      </c>
      <c r="J117" s="97"/>
    </row>
    <row r="118" spans="2:14" x14ac:dyDescent="0.25">
      <c r="B118" s="10">
        <v>1400</v>
      </c>
      <c r="C118" s="10">
        <v>7.1428571428571429E-4</v>
      </c>
      <c r="D118" s="8">
        <v>-2.7611315702222869</v>
      </c>
      <c r="J118" s="17"/>
      <c r="L118" s="51"/>
      <c r="M118" s="51"/>
    </row>
    <row r="119" spans="2:14" x14ac:dyDescent="0.25">
      <c r="B119" s="10">
        <v>1500</v>
      </c>
      <c r="C119" s="10">
        <v>6.6666666666666664E-4</v>
      </c>
      <c r="D119" s="8">
        <v>-3.1735451767618796</v>
      </c>
    </row>
    <row r="120" spans="2:14" x14ac:dyDescent="0.25">
      <c r="B120" s="10">
        <v>1600</v>
      </c>
      <c r="C120" s="10">
        <v>6.2500000000000001E-4</v>
      </c>
      <c r="D120" s="8">
        <v>-3.5318153211045171</v>
      </c>
    </row>
    <row r="121" spans="2:14" x14ac:dyDescent="0.25">
      <c r="B121" s="10">
        <v>1700</v>
      </c>
      <c r="C121" s="10">
        <v>5.8823529411764701E-4</v>
      </c>
      <c r="D121" s="8">
        <v>-3.845597854761424</v>
      </c>
    </row>
    <row r="125" spans="2:14" ht="13.8" x14ac:dyDescent="0.25">
      <c r="E125" s="55"/>
    </row>
    <row r="127" spans="2:14" ht="16.2" x14ac:dyDescent="0.25">
      <c r="B127" s="101" t="s">
        <v>113</v>
      </c>
      <c r="C127" s="101"/>
      <c r="D127" s="101"/>
    </row>
    <row r="128" spans="2:14" ht="16.2" x14ac:dyDescent="0.35">
      <c r="B128" s="55" t="s">
        <v>112</v>
      </c>
      <c r="C128" s="55"/>
      <c r="D128" s="55"/>
    </row>
    <row r="129" spans="2:4" x14ac:dyDescent="0.25">
      <c r="B129" s="102" t="s">
        <v>97</v>
      </c>
      <c r="C129" s="102" t="s">
        <v>65</v>
      </c>
      <c r="D129" s="102" t="s">
        <v>64</v>
      </c>
    </row>
    <row r="130" spans="2:4" x14ac:dyDescent="0.25">
      <c r="B130" s="10">
        <v>1100</v>
      </c>
      <c r="C130" s="10">
        <v>9.0909090909090909E-4</v>
      </c>
      <c r="D130" s="8">
        <v>-18.343799857533419</v>
      </c>
    </row>
    <row r="131" spans="2:4" x14ac:dyDescent="0.25">
      <c r="B131" s="10">
        <v>1185</v>
      </c>
      <c r="C131" s="10">
        <v>8.4388185654008364E-4</v>
      </c>
      <c r="D131" s="8">
        <v>-16.531374911188657</v>
      </c>
    </row>
    <row r="132" spans="2:4" x14ac:dyDescent="0.25">
      <c r="B132" s="10">
        <v>1200</v>
      </c>
      <c r="C132" s="10">
        <v>8.3333333333333339E-4</v>
      </c>
      <c r="D132" s="8">
        <v>-16.238688319434356</v>
      </c>
    </row>
    <row r="133" spans="2:4" x14ac:dyDescent="0.25">
      <c r="B133" s="10">
        <v>1300</v>
      </c>
      <c r="C133" s="10">
        <v>7.6923076923076923E-4</v>
      </c>
      <c r="D133" s="8">
        <v>-14.463114080060253</v>
      </c>
    </row>
    <row r="134" spans="2:4" x14ac:dyDescent="0.25">
      <c r="B134" s="10">
        <v>1400</v>
      </c>
      <c r="C134" s="10">
        <v>7.1428571428571429E-4</v>
      </c>
      <c r="D134" s="8">
        <v>-12.94591230883281</v>
      </c>
    </row>
    <row r="135" spans="2:4" x14ac:dyDescent="0.25">
      <c r="B135" s="10">
        <v>1500</v>
      </c>
      <c r="C135" s="10">
        <v>6.6666666666666664E-4</v>
      </c>
      <c r="D135" s="8">
        <v>-11.635192202325321</v>
      </c>
    </row>
    <row r="136" spans="2:4" x14ac:dyDescent="0.25">
      <c r="B136" s="10">
        <v>1600</v>
      </c>
      <c r="C136" s="10">
        <v>6.2500000000000001E-4</v>
      </c>
      <c r="D136" s="8">
        <v>-10.492108674446586</v>
      </c>
    </row>
    <row r="137" spans="2:4" x14ac:dyDescent="0.25">
      <c r="B137" s="10">
        <v>1652</v>
      </c>
      <c r="C137" s="10">
        <v>6.0532687651331679E-4</v>
      </c>
      <c r="D137" s="8">
        <v>-9.9539623138233431</v>
      </c>
    </row>
    <row r="143" spans="2:4" ht="16.2" x14ac:dyDescent="0.25">
      <c r="B143" s="101" t="s">
        <v>123</v>
      </c>
      <c r="C143" s="101"/>
      <c r="D143" s="101"/>
    </row>
    <row r="144" spans="2:4" ht="16.2" x14ac:dyDescent="0.25">
      <c r="C144" s="20" t="s">
        <v>114</v>
      </c>
      <c r="D144" s="10"/>
    </row>
    <row r="145" spans="2:4" x14ac:dyDescent="0.25">
      <c r="B145" s="10">
        <v>1100</v>
      </c>
      <c r="C145" s="10">
        <v>9.0909090909090909E-4</v>
      </c>
      <c r="D145" s="8">
        <v>-2.4944857517033268</v>
      </c>
    </row>
    <row r="146" spans="2:4" x14ac:dyDescent="0.25">
      <c r="B146" s="10">
        <v>1200</v>
      </c>
      <c r="C146" s="10">
        <v>8.3333333333333339E-4</v>
      </c>
      <c r="D146" s="8">
        <v>-3.5241180198683248</v>
      </c>
    </row>
    <row r="147" spans="2:4" x14ac:dyDescent="0.25">
      <c r="B147" s="10">
        <v>1300</v>
      </c>
      <c r="C147" s="10">
        <v>7.6923076923076923E-4</v>
      </c>
      <c r="D147" s="8">
        <v>-4.3937724726379059</v>
      </c>
    </row>
    <row r="148" spans="2:4" x14ac:dyDescent="0.25">
      <c r="B148" s="10">
        <v>1400</v>
      </c>
      <c r="C148" s="10">
        <v>7.1428571428571429E-4</v>
      </c>
      <c r="D148" s="8">
        <v>-5.137227633684013</v>
      </c>
    </row>
    <row r="149" spans="2:4" x14ac:dyDescent="0.25">
      <c r="B149" s="10">
        <v>1500</v>
      </c>
      <c r="C149" s="10">
        <v>6.6666666666666621E-4</v>
      </c>
      <c r="D149" s="8">
        <v>-5.7794021373355635</v>
      </c>
    </row>
    <row r="150" spans="2:4" x14ac:dyDescent="0.25">
      <c r="B150" s="10">
        <v>1600</v>
      </c>
      <c r="C150" s="10">
        <v>6.2500000000000001E-4</v>
      </c>
      <c r="D150" s="8">
        <v>-6.3391648466568844</v>
      </c>
    </row>
    <row r="151" spans="2:4" x14ac:dyDescent="0.25">
      <c r="B151" s="10">
        <v>1700</v>
      </c>
      <c r="C151" s="10">
        <v>5.8823529411764701E-4</v>
      </c>
      <c r="D151" s="8">
        <v>-6.8309452373379926</v>
      </c>
    </row>
  </sheetData>
  <mergeCells count="20">
    <mergeCell ref="Z3:AD3"/>
    <mergeCell ref="Z4:AD4"/>
    <mergeCell ref="B30:E30"/>
    <mergeCell ref="F31:G31"/>
    <mergeCell ref="F35:G35"/>
    <mergeCell ref="V4:X4"/>
    <mergeCell ref="Q4:S4"/>
    <mergeCell ref="P35:R35"/>
    <mergeCell ref="P31:R31"/>
    <mergeCell ref="J4:O4"/>
    <mergeCell ref="P17:P18"/>
    <mergeCell ref="AE19:AE20"/>
    <mergeCell ref="F39:G39"/>
    <mergeCell ref="I31:J31"/>
    <mergeCell ref="I35:J35"/>
    <mergeCell ref="I39:J39"/>
    <mergeCell ref="L39:N39"/>
    <mergeCell ref="L35:N35"/>
    <mergeCell ref="L31:N31"/>
    <mergeCell ref="T23:W24"/>
  </mergeCells>
  <pageMargins left="0.75" right="0.75" top="1" bottom="1" header="0.5" footer="0.5"/>
  <pageSetup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6201" r:id="rId4">
          <objectPr defaultSize="0" autoPict="0" r:id="rId5">
            <anchor moveWithCells="1" sizeWithCells="1">
              <from>
                <xdr:col>9</xdr:col>
                <xdr:colOff>563880</xdr:colOff>
                <xdr:row>18</xdr:row>
                <xdr:rowOff>22860</xdr:rowOff>
              </from>
              <to>
                <xdr:col>11</xdr:col>
                <xdr:colOff>480060</xdr:colOff>
                <xdr:row>20</xdr:row>
                <xdr:rowOff>106680</xdr:rowOff>
              </to>
            </anchor>
          </objectPr>
        </oleObject>
      </mc:Choice>
      <mc:Fallback>
        <oleObject progId="Equation.3" shapeId="6201" r:id="rId4"/>
      </mc:Fallback>
    </mc:AlternateContent>
    <mc:AlternateContent xmlns:mc="http://schemas.openxmlformats.org/markup-compatibility/2006">
      <mc:Choice Requires="x14">
        <oleObject progId="Equation.3" shapeId="6218" r:id="rId6">
          <objectPr defaultSize="0" autoPict="0" r:id="rId7">
            <anchor moveWithCells="1">
              <from>
                <xdr:col>6</xdr:col>
                <xdr:colOff>297180</xdr:colOff>
                <xdr:row>100</xdr:row>
                <xdr:rowOff>121920</xdr:rowOff>
              </from>
              <to>
                <xdr:col>8</xdr:col>
                <xdr:colOff>441960</xdr:colOff>
                <xdr:row>103</xdr:row>
                <xdr:rowOff>7620</xdr:rowOff>
              </to>
            </anchor>
          </objectPr>
        </oleObject>
      </mc:Choice>
      <mc:Fallback>
        <oleObject progId="Equation.3" shapeId="6218" r:id="rId6"/>
      </mc:Fallback>
    </mc:AlternateContent>
    <mc:AlternateContent xmlns:mc="http://schemas.openxmlformats.org/markup-compatibility/2006">
      <mc:Choice Requires="x14">
        <oleObject progId="Equation.3" shapeId="6219" r:id="rId8">
          <objectPr defaultSize="0" r:id="rId9">
            <anchor moveWithCells="1">
              <from>
                <xdr:col>8</xdr:col>
                <xdr:colOff>518160</xdr:colOff>
                <xdr:row>117</xdr:row>
                <xdr:rowOff>83820</xdr:rowOff>
              </from>
              <to>
                <xdr:col>10</xdr:col>
                <xdr:colOff>350520</xdr:colOff>
                <xdr:row>120</xdr:row>
                <xdr:rowOff>22860</xdr:rowOff>
              </to>
            </anchor>
          </objectPr>
        </oleObject>
      </mc:Choice>
      <mc:Fallback>
        <oleObject progId="Equation.3" shapeId="6219" r:id="rId8"/>
      </mc:Fallback>
    </mc:AlternateContent>
    <mc:AlternateContent xmlns:mc="http://schemas.openxmlformats.org/markup-compatibility/2006">
      <mc:Choice Requires="x14">
        <oleObject progId="Equation.3" shapeId="6220" r:id="rId10">
          <objectPr defaultSize="0" autoPict="0" r:id="rId11">
            <anchor moveWithCells="1">
              <from>
                <xdr:col>6</xdr:col>
                <xdr:colOff>350520</xdr:colOff>
                <xdr:row>131</xdr:row>
                <xdr:rowOff>144780</xdr:rowOff>
              </from>
              <to>
                <xdr:col>8</xdr:col>
                <xdr:colOff>76200</xdr:colOff>
                <xdr:row>133</xdr:row>
                <xdr:rowOff>60960</xdr:rowOff>
              </to>
            </anchor>
          </objectPr>
        </oleObject>
      </mc:Choice>
      <mc:Fallback>
        <oleObject progId="Equation.3" shapeId="6220" r:id="rId10"/>
      </mc:Fallback>
    </mc:AlternateContent>
    <mc:AlternateContent xmlns:mc="http://schemas.openxmlformats.org/markup-compatibility/2006">
      <mc:Choice Requires="x14">
        <oleObject progId="Equation.3" shapeId="6222" r:id="rId12">
          <objectPr defaultSize="0" autoPict="0" r:id="rId13">
            <anchor moveWithCells="1">
              <from>
                <xdr:col>5</xdr:col>
                <xdr:colOff>533400</xdr:colOff>
                <xdr:row>143</xdr:row>
                <xdr:rowOff>45720</xdr:rowOff>
              </from>
              <to>
                <xdr:col>9</xdr:col>
                <xdr:colOff>152400</xdr:colOff>
                <xdr:row>145</xdr:row>
                <xdr:rowOff>106680</xdr:rowOff>
              </to>
            </anchor>
          </objectPr>
        </oleObject>
      </mc:Choice>
      <mc:Fallback>
        <oleObject progId="Equation.3" shapeId="6222" r:id="rId12"/>
      </mc:Fallback>
    </mc:AlternateContent>
    <mc:AlternateContent xmlns:mc="http://schemas.openxmlformats.org/markup-compatibility/2006">
      <mc:Choice Requires="x14">
        <oleObject progId="Equation.3" shapeId="6225" r:id="rId14">
          <objectPr defaultSize="0" autoPict="0" r:id="rId15">
            <anchor moveWithCells="1">
              <from>
                <xdr:col>6</xdr:col>
                <xdr:colOff>541020</xdr:colOff>
                <xdr:row>71</xdr:row>
                <xdr:rowOff>68580</xdr:rowOff>
              </from>
              <to>
                <xdr:col>9</xdr:col>
                <xdr:colOff>38100</xdr:colOff>
                <xdr:row>74</xdr:row>
                <xdr:rowOff>15240</xdr:rowOff>
              </to>
            </anchor>
          </objectPr>
        </oleObject>
      </mc:Choice>
      <mc:Fallback>
        <oleObject progId="Equation.3" shapeId="6225" r:id="rId14"/>
      </mc:Fallback>
    </mc:AlternateContent>
    <mc:AlternateContent xmlns:mc="http://schemas.openxmlformats.org/markup-compatibility/2006">
      <mc:Choice Requires="x14">
        <oleObject progId="Equation.3" shapeId="6227" r:id="rId16">
          <objectPr defaultSize="0" autoPict="0" r:id="rId17">
            <anchor moveWithCells="1">
              <from>
                <xdr:col>6</xdr:col>
                <xdr:colOff>274320</xdr:colOff>
                <xdr:row>87</xdr:row>
                <xdr:rowOff>15240</xdr:rowOff>
              </from>
              <to>
                <xdr:col>9</xdr:col>
                <xdr:colOff>121920</xdr:colOff>
                <xdr:row>89</xdr:row>
                <xdr:rowOff>83820</xdr:rowOff>
              </to>
            </anchor>
          </objectPr>
        </oleObject>
      </mc:Choice>
      <mc:Fallback>
        <oleObject progId="Equation.3" shapeId="6227" r:id="rId1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R60"/>
  <sheetViews>
    <sheetView zoomScale="80" zoomScaleNormal="80" workbookViewId="0"/>
  </sheetViews>
  <sheetFormatPr defaultRowHeight="13.2" x14ac:dyDescent="0.25"/>
  <cols>
    <col min="1" max="1" width="8.77734375" customWidth="1"/>
    <col min="2" max="2" width="12.88671875" customWidth="1"/>
    <col min="21" max="21" width="8.88671875" customWidth="1"/>
    <col min="22" max="22" width="7.88671875" customWidth="1"/>
  </cols>
  <sheetData>
    <row r="2" spans="2:18" ht="15" x14ac:dyDescent="0.25">
      <c r="C2" s="219" t="s">
        <v>197</v>
      </c>
      <c r="D2" s="220"/>
      <c r="E2" s="220"/>
      <c r="F2" s="220"/>
      <c r="G2" s="220"/>
      <c r="H2" s="220"/>
      <c r="I2" s="220"/>
      <c r="J2" s="221"/>
    </row>
    <row r="3" spans="2:18" x14ac:dyDescent="0.25">
      <c r="I3" s="3"/>
    </row>
    <row r="4" spans="2:18" x14ac:dyDescent="0.25">
      <c r="I4" s="10"/>
    </row>
    <row r="5" spans="2:18" x14ac:dyDescent="0.25">
      <c r="E5" s="3"/>
      <c r="F5" s="3"/>
      <c r="G5" s="3"/>
      <c r="H5" s="3"/>
    </row>
    <row r="6" spans="2:18" x14ac:dyDescent="0.25">
      <c r="E6" s="10"/>
      <c r="F6" s="10"/>
      <c r="G6" s="10"/>
      <c r="H6" s="10"/>
    </row>
    <row r="7" spans="2:18" x14ac:dyDescent="0.25">
      <c r="E7" s="10"/>
      <c r="F7" s="10"/>
      <c r="G7" s="10"/>
      <c r="H7" s="10"/>
      <c r="I7" s="10"/>
    </row>
    <row r="8" spans="2:18" x14ac:dyDescent="0.25">
      <c r="E8" s="10"/>
      <c r="F8" s="10"/>
      <c r="G8" s="10"/>
      <c r="H8" s="10"/>
      <c r="I8" s="10"/>
    </row>
    <row r="9" spans="2:18" x14ac:dyDescent="0.25">
      <c r="D9" s="88"/>
      <c r="E9" s="10"/>
      <c r="F9" s="10"/>
      <c r="G9" s="10"/>
      <c r="H9" s="10"/>
      <c r="I9" s="10"/>
    </row>
    <row r="10" spans="2:18" ht="13.8" thickBot="1" x14ac:dyDescent="0.3">
      <c r="D10" s="88"/>
      <c r="E10" s="10"/>
    </row>
    <row r="11" spans="2:18" ht="13.8" thickTop="1" x14ac:dyDescent="0.25">
      <c r="B11" s="146"/>
      <c r="C11" s="147"/>
      <c r="D11" s="147"/>
      <c r="E11" s="147"/>
      <c r="F11" s="147"/>
      <c r="G11" s="147"/>
      <c r="H11" s="148"/>
      <c r="I11" s="149"/>
      <c r="J11" s="147"/>
      <c r="K11" s="147"/>
      <c r="L11" s="147"/>
      <c r="M11" s="147"/>
      <c r="N11" s="147"/>
      <c r="O11" s="147"/>
      <c r="P11" s="147"/>
      <c r="Q11" s="147"/>
      <c r="R11" s="150"/>
    </row>
    <row r="12" spans="2:18" ht="14.4" thickBot="1" x14ac:dyDescent="0.3">
      <c r="B12" s="151"/>
      <c r="C12" s="152" t="s">
        <v>170</v>
      </c>
      <c r="D12" s="153"/>
      <c r="E12" s="152" t="s">
        <v>180</v>
      </c>
      <c r="F12" s="153"/>
      <c r="G12" s="154" t="s">
        <v>115</v>
      </c>
      <c r="H12" s="155"/>
      <c r="I12" s="153"/>
      <c r="J12" s="152" t="s">
        <v>166</v>
      </c>
      <c r="K12" s="153"/>
      <c r="L12" s="153"/>
      <c r="M12" s="153"/>
      <c r="N12" s="153"/>
      <c r="O12" s="153"/>
      <c r="P12" s="153"/>
      <c r="Q12" s="153"/>
      <c r="R12" s="156"/>
    </row>
    <row r="13" spans="2:18" ht="13.8" thickBot="1" x14ac:dyDescent="0.3">
      <c r="B13" s="151"/>
      <c r="C13" s="157">
        <v>50000</v>
      </c>
      <c r="D13" s="153"/>
      <c r="E13" s="157">
        <v>1120</v>
      </c>
      <c r="F13" s="153"/>
      <c r="G13" s="157">
        <v>20</v>
      </c>
      <c r="H13" s="155"/>
      <c r="I13" s="153"/>
      <c r="J13" s="157">
        <v>1050</v>
      </c>
      <c r="K13" s="153"/>
      <c r="L13" s="153"/>
      <c r="M13" s="153"/>
      <c r="N13" s="153"/>
      <c r="O13" s="153"/>
      <c r="P13" s="153"/>
      <c r="Q13" s="153"/>
      <c r="R13" s="156"/>
    </row>
    <row r="14" spans="2:18" x14ac:dyDescent="0.25">
      <c r="B14" s="151"/>
      <c r="C14" s="153"/>
      <c r="D14" s="153"/>
      <c r="E14" s="153"/>
      <c r="F14" s="153"/>
      <c r="G14" s="153"/>
      <c r="H14" s="153"/>
      <c r="I14" s="153"/>
      <c r="J14" s="153"/>
      <c r="K14" s="158"/>
      <c r="L14" s="153"/>
      <c r="M14" s="153"/>
      <c r="N14" s="153"/>
      <c r="O14" s="153"/>
      <c r="P14" s="153"/>
      <c r="Q14" s="153"/>
      <c r="R14" s="156"/>
    </row>
    <row r="15" spans="2:18" x14ac:dyDescent="0.25">
      <c r="B15" s="151"/>
      <c r="C15" s="153"/>
      <c r="D15" s="153"/>
      <c r="E15" s="153"/>
      <c r="F15" s="153"/>
      <c r="G15" s="153"/>
      <c r="H15" s="153"/>
      <c r="I15" s="153"/>
      <c r="J15" s="153"/>
      <c r="K15" s="158"/>
      <c r="L15" s="153"/>
      <c r="M15" s="153"/>
      <c r="N15" s="153"/>
      <c r="O15" s="153"/>
      <c r="P15" s="153"/>
      <c r="Q15" s="153"/>
      <c r="R15" s="156"/>
    </row>
    <row r="16" spans="2:18" ht="15.6" thickBot="1" x14ac:dyDescent="0.3">
      <c r="B16" s="159"/>
      <c r="C16" s="153"/>
      <c r="D16" s="160" t="s">
        <v>39</v>
      </c>
      <c r="E16" s="161"/>
      <c r="F16" s="153"/>
      <c r="G16" s="120"/>
      <c r="H16" s="121"/>
      <c r="I16" s="121"/>
      <c r="J16" s="183" t="s">
        <v>185</v>
      </c>
      <c r="K16" s="121"/>
      <c r="L16" s="121"/>
      <c r="M16" s="121"/>
      <c r="N16" s="121"/>
      <c r="O16" s="121"/>
      <c r="P16" s="121"/>
      <c r="Q16" s="121"/>
      <c r="R16" s="184"/>
    </row>
    <row r="17" spans="2:18" ht="16.8" thickBot="1" x14ac:dyDescent="0.3">
      <c r="B17" s="151"/>
      <c r="C17" s="153"/>
      <c r="D17" s="162" t="s">
        <v>61</v>
      </c>
      <c r="E17" s="163">
        <v>0.21</v>
      </c>
      <c r="F17" s="153"/>
      <c r="G17" s="217" t="s">
        <v>179</v>
      </c>
      <c r="H17" s="217"/>
      <c r="I17" s="153"/>
      <c r="J17" s="153"/>
      <c r="K17" s="153"/>
      <c r="L17" s="153"/>
      <c r="M17" s="153"/>
      <c r="N17" s="153"/>
      <c r="O17" s="153"/>
      <c r="P17" s="153"/>
      <c r="Q17" s="153"/>
      <c r="R17" s="156"/>
    </row>
    <row r="18" spans="2:18" ht="14.4" thickBot="1" x14ac:dyDescent="0.3">
      <c r="B18" s="164"/>
      <c r="C18" s="153"/>
      <c r="D18" s="162" t="s">
        <v>52</v>
      </c>
      <c r="E18" s="157">
        <v>50</v>
      </c>
      <c r="F18" s="153"/>
      <c r="G18" s="217"/>
      <c r="H18" s="217"/>
      <c r="I18" s="165">
        <v>-45953.389029488142</v>
      </c>
      <c r="J18" s="166" t="str">
        <f>IF(I18&lt;0,"&lt;==Remove more heat or lower the % stoich. oxidant","&lt;==Lower the hot gas temp. or raise the % stoich. oxidant")</f>
        <v>&lt;==Remove more heat or lower the % stoich. oxidant</v>
      </c>
      <c r="K18" s="153"/>
      <c r="L18" s="153"/>
      <c r="M18" s="153"/>
      <c r="N18" s="153"/>
      <c r="O18" s="153"/>
      <c r="P18" s="153"/>
      <c r="Q18" s="153"/>
      <c r="R18" s="156"/>
    </row>
    <row r="19" spans="2:18" ht="13.8" x14ac:dyDescent="0.25">
      <c r="B19" s="164"/>
      <c r="C19" s="153"/>
      <c r="D19" s="162" t="s">
        <v>59</v>
      </c>
      <c r="E19" s="167">
        <v>9.5238095238095237</v>
      </c>
      <c r="F19" s="153"/>
      <c r="G19" s="217"/>
      <c r="H19" s="217"/>
      <c r="I19" s="153"/>
      <c r="J19" s="153"/>
      <c r="K19" s="153"/>
      <c r="L19" s="153"/>
      <c r="M19" s="153"/>
      <c r="N19" s="153"/>
      <c r="O19" s="153"/>
      <c r="P19" s="153"/>
      <c r="Q19" s="153"/>
      <c r="R19" s="156"/>
    </row>
    <row r="20" spans="2:18" ht="14.4" thickBot="1" x14ac:dyDescent="0.3">
      <c r="B20" s="164"/>
      <c r="C20" s="153"/>
      <c r="D20" s="153"/>
      <c r="E20" s="153"/>
      <c r="F20" s="153"/>
      <c r="G20" s="153"/>
      <c r="H20" s="153"/>
      <c r="I20" s="153"/>
      <c r="J20" s="168" t="s">
        <v>174</v>
      </c>
      <c r="K20" s="153"/>
      <c r="L20" s="153"/>
      <c r="M20" s="153"/>
      <c r="N20" s="153"/>
      <c r="O20" s="169" t="s">
        <v>175</v>
      </c>
      <c r="P20" s="153"/>
      <c r="Q20" s="153"/>
      <c r="R20" s="156"/>
    </row>
    <row r="21" spans="2:18" ht="16.2" thickBot="1" x14ac:dyDescent="0.3">
      <c r="B21" s="164"/>
      <c r="C21" s="153"/>
      <c r="D21" s="162" t="s">
        <v>104</v>
      </c>
      <c r="E21" s="170">
        <v>0.56999999999999995</v>
      </c>
      <c r="F21" s="153"/>
      <c r="G21" s="153"/>
      <c r="H21" s="153"/>
      <c r="I21" s="153"/>
      <c r="J21" s="155" t="s">
        <v>86</v>
      </c>
      <c r="K21" s="171">
        <v>0.14111798456604352</v>
      </c>
      <c r="L21" s="153"/>
      <c r="M21" s="153"/>
      <c r="N21" s="153"/>
      <c r="O21" s="155" t="s">
        <v>86</v>
      </c>
      <c r="P21" s="171">
        <v>0.13562677937898246</v>
      </c>
      <c r="Q21" s="153"/>
      <c r="R21" s="156"/>
    </row>
    <row r="22" spans="2:18" ht="15.6" x14ac:dyDescent="0.25">
      <c r="B22" s="164"/>
      <c r="C22" s="153"/>
      <c r="D22" s="162" t="s">
        <v>74</v>
      </c>
      <c r="E22" s="167">
        <v>5.4285714285714279</v>
      </c>
      <c r="F22" s="153"/>
      <c r="G22" s="153"/>
      <c r="H22" s="153"/>
      <c r="I22" s="153"/>
      <c r="J22" s="155" t="s">
        <v>87</v>
      </c>
      <c r="K22" s="171">
        <v>0.13328421065151821</v>
      </c>
      <c r="L22" s="153"/>
      <c r="M22" s="153"/>
      <c r="N22" s="153"/>
      <c r="O22" s="155" t="s">
        <v>87</v>
      </c>
      <c r="P22" s="171">
        <v>4.6118257558013243E-2</v>
      </c>
      <c r="Q22" s="153"/>
      <c r="R22" s="156"/>
    </row>
    <row r="23" spans="2:18" ht="15.6" x14ac:dyDescent="0.25">
      <c r="B23" s="164"/>
      <c r="C23" s="153"/>
      <c r="D23" s="153"/>
      <c r="E23" s="153"/>
      <c r="F23" s="153"/>
      <c r="G23" s="153"/>
      <c r="H23" s="153"/>
      <c r="I23" s="153"/>
      <c r="J23" s="155" t="s">
        <v>88</v>
      </c>
      <c r="K23" s="171">
        <v>4.2333194287721268E-2</v>
      </c>
      <c r="L23" s="153"/>
      <c r="M23" s="153"/>
      <c r="N23" s="153"/>
      <c r="O23" s="155" t="s">
        <v>88</v>
      </c>
      <c r="P23" s="171">
        <v>2.4227400290988306E-2</v>
      </c>
      <c r="Q23" s="153"/>
      <c r="R23" s="156"/>
    </row>
    <row r="24" spans="2:18" x14ac:dyDescent="0.25">
      <c r="B24" s="164"/>
      <c r="C24" s="153"/>
      <c r="D24" s="153"/>
      <c r="E24" s="153"/>
      <c r="F24" s="153"/>
      <c r="G24" s="153"/>
      <c r="H24" s="153"/>
      <c r="I24" s="153"/>
      <c r="J24" s="155" t="s">
        <v>81</v>
      </c>
      <c r="K24" s="171">
        <v>9.4867903321059599E-2</v>
      </c>
      <c r="L24" s="153"/>
      <c r="M24" s="153"/>
      <c r="N24" s="153"/>
      <c r="O24" s="155" t="s">
        <v>81</v>
      </c>
      <c r="P24" s="171">
        <v>0.13049395955344795</v>
      </c>
      <c r="Q24" s="153"/>
      <c r="R24" s="156"/>
    </row>
    <row r="25" spans="2:18" ht="15.6" x14ac:dyDescent="0.25">
      <c r="B25" s="164"/>
      <c r="C25" s="153"/>
      <c r="D25" s="153"/>
      <c r="E25" s="153"/>
      <c r="F25" s="153"/>
      <c r="G25" s="153"/>
      <c r="H25" s="153"/>
      <c r="I25" s="153"/>
      <c r="J25" s="155" t="s">
        <v>89</v>
      </c>
      <c r="K25" s="171">
        <v>0.58839670717365733</v>
      </c>
      <c r="L25" s="153"/>
      <c r="M25" s="153"/>
      <c r="N25" s="153"/>
      <c r="O25" s="155" t="s">
        <v>89</v>
      </c>
      <c r="P25" s="171">
        <v>0.66353360321856802</v>
      </c>
      <c r="Q25" s="153"/>
      <c r="R25" s="156"/>
    </row>
    <row r="26" spans="2:18" ht="13.2" customHeight="1" x14ac:dyDescent="0.25">
      <c r="B26" s="151"/>
      <c r="C26" s="153"/>
      <c r="D26" s="153"/>
      <c r="E26" s="153"/>
      <c r="F26" s="153"/>
      <c r="G26" s="153"/>
      <c r="H26" s="153"/>
      <c r="I26" s="153"/>
      <c r="J26" s="155" t="s">
        <v>82</v>
      </c>
      <c r="K26" s="172">
        <v>51.968576303159523</v>
      </c>
      <c r="L26" s="153"/>
      <c r="M26" s="153"/>
      <c r="N26" s="153"/>
      <c r="O26" s="218" t="s">
        <v>177</v>
      </c>
      <c r="P26" s="218"/>
      <c r="Q26" s="218"/>
      <c r="R26" s="156"/>
    </row>
    <row r="27" spans="2:18" ht="15.6" x14ac:dyDescent="0.35">
      <c r="B27" s="151"/>
      <c r="C27" s="153"/>
      <c r="D27" s="153"/>
      <c r="E27" s="153"/>
      <c r="F27" s="153"/>
      <c r="G27" s="153"/>
      <c r="H27" s="153"/>
      <c r="I27" s="153"/>
      <c r="J27" s="153"/>
      <c r="K27" s="153"/>
      <c r="L27" s="173" t="s">
        <v>181</v>
      </c>
      <c r="M27" s="153"/>
      <c r="N27" s="153"/>
      <c r="O27" s="174" t="s">
        <v>176</v>
      </c>
      <c r="P27" s="175">
        <v>-14.708334384081159</v>
      </c>
      <c r="Q27" s="176"/>
      <c r="R27" s="156"/>
    </row>
    <row r="28" spans="2:18" ht="15.6" x14ac:dyDescent="0.35">
      <c r="B28" s="151"/>
      <c r="C28" s="153"/>
      <c r="D28" s="153"/>
      <c r="E28" s="153"/>
      <c r="F28" s="153"/>
      <c r="G28" s="153"/>
      <c r="H28" s="153"/>
      <c r="I28" s="153"/>
      <c r="J28" s="174" t="s">
        <v>182</v>
      </c>
      <c r="K28" s="175">
        <v>-12.831278535156887</v>
      </c>
      <c r="L28" s="153"/>
      <c r="M28" s="153"/>
      <c r="N28" s="153"/>
      <c r="O28" s="174" t="s">
        <v>103</v>
      </c>
      <c r="P28" s="175">
        <v>-14.102015873015873</v>
      </c>
      <c r="Q28" s="176" t="s">
        <v>183</v>
      </c>
      <c r="R28" s="156"/>
    </row>
    <row r="29" spans="2:18" ht="15.6" x14ac:dyDescent="0.35">
      <c r="B29" s="177"/>
      <c r="C29" s="178"/>
      <c r="D29" s="153"/>
      <c r="E29" s="153"/>
      <c r="F29" s="153"/>
      <c r="G29" s="153"/>
      <c r="H29" s="153"/>
      <c r="I29" s="153"/>
      <c r="J29" s="174" t="s">
        <v>103</v>
      </c>
      <c r="K29" s="175">
        <v>-13.053120603015074</v>
      </c>
      <c r="L29" s="179" t="s">
        <v>184</v>
      </c>
      <c r="M29" s="153"/>
      <c r="N29" s="153"/>
      <c r="O29" s="153"/>
      <c r="P29" s="153"/>
      <c r="Q29" s="153"/>
      <c r="R29" s="156"/>
    </row>
    <row r="30" spans="2:18" ht="13.8" thickBot="1" x14ac:dyDescent="0.3">
      <c r="B30" s="180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2"/>
    </row>
    <row r="31" spans="2:18" ht="13.2" customHeight="1" thickTop="1" x14ac:dyDescent="0.25"/>
    <row r="32" spans="2:18" s="196" customFormat="1" x14ac:dyDescent="0.25"/>
    <row r="33" spans="2:13" ht="15" x14ac:dyDescent="0.25">
      <c r="E33" s="189" t="s">
        <v>189</v>
      </c>
    </row>
    <row r="34" spans="2:13" x14ac:dyDescent="0.25">
      <c r="B34" s="17" t="s">
        <v>104</v>
      </c>
      <c r="C34" s="186">
        <v>0.4</v>
      </c>
      <c r="D34" s="186">
        <v>0.5</v>
      </c>
      <c r="E34" s="186">
        <v>0.60000000000000009</v>
      </c>
      <c r="F34" s="186">
        <v>0.70000000000000007</v>
      </c>
      <c r="G34" s="186">
        <v>0.8</v>
      </c>
      <c r="H34" s="186">
        <v>0.9</v>
      </c>
      <c r="I34" s="186">
        <v>1</v>
      </c>
      <c r="J34" s="185"/>
      <c r="K34" s="185"/>
    </row>
    <row r="35" spans="2:13" ht="15.6" x14ac:dyDescent="0.25">
      <c r="B35" s="4" t="s">
        <v>86</v>
      </c>
      <c r="C35" s="188">
        <v>0.25</v>
      </c>
      <c r="D35" s="188">
        <v>0.1777439306355616</v>
      </c>
      <c r="E35" s="188">
        <v>0.12212668956855492</v>
      </c>
      <c r="F35" s="188">
        <v>7.9031182276815271E-2</v>
      </c>
      <c r="G35" s="188">
        <v>4.5593381144118122E-2</v>
      </c>
      <c r="H35" s="188">
        <v>1.9767130877678268E-2</v>
      </c>
      <c r="I35" s="188">
        <v>0</v>
      </c>
    </row>
    <row r="36" spans="2:13" ht="15.6" x14ac:dyDescent="0.25">
      <c r="B36" s="4" t="s">
        <v>87</v>
      </c>
      <c r="C36" s="188">
        <v>7.940318307762971E-2</v>
      </c>
      <c r="D36" s="188">
        <v>0.11518173911704419</v>
      </c>
      <c r="E36" s="188">
        <v>0.14150711436620458</v>
      </c>
      <c r="F36" s="188">
        <v>0.16063643373389541</v>
      </c>
      <c r="G36" s="188">
        <v>0.17410233192077693</v>
      </c>
      <c r="H36" s="188">
        <v>0.1830292231197764</v>
      </c>
      <c r="I36" s="188">
        <v>0.18831114780578123</v>
      </c>
    </row>
    <row r="37" spans="2:13" ht="15.6" x14ac:dyDescent="0.25">
      <c r="B37" s="4" t="s">
        <v>88</v>
      </c>
      <c r="C37" s="188">
        <v>1.9905343726995685E-2</v>
      </c>
      <c r="D37" s="188">
        <v>3.2162959290877216E-2</v>
      </c>
      <c r="E37" s="188">
        <v>4.4266751286568325E-2</v>
      </c>
      <c r="F37" s="188">
        <v>5.6579629888857647E-2</v>
      </c>
      <c r="G37" s="188">
        <v>6.9315667873453557E-2</v>
      </c>
      <c r="H37" s="188">
        <v>8.2559719965399986E-2</v>
      </c>
      <c r="I37" s="188">
        <v>9.6281515109930285E-2</v>
      </c>
    </row>
    <row r="38" spans="2:13" x14ac:dyDescent="0.25">
      <c r="B38" s="4" t="s">
        <v>81</v>
      </c>
      <c r="C38" s="188">
        <v>0.14858514713866069</v>
      </c>
      <c r="D38" s="188">
        <v>0.11760686382899498</v>
      </c>
      <c r="E38" s="188">
        <v>9.0526448015749744E-2</v>
      </c>
      <c r="F38" s="188">
        <v>6.5959908854200153E-2</v>
      </c>
      <c r="G38" s="188">
        <v>4.3012446332832459E-2</v>
      </c>
      <c r="H38" s="188">
        <v>2.1127929168271015E-2</v>
      </c>
      <c r="I38" s="188">
        <v>0</v>
      </c>
    </row>
    <row r="39" spans="2:13" ht="15.6" x14ac:dyDescent="0.25">
      <c r="B39" s="4" t="s">
        <v>89</v>
      </c>
      <c r="C39" s="187">
        <v>0.50196922621456619</v>
      </c>
      <c r="D39" s="187">
        <v>0.55730450712752211</v>
      </c>
      <c r="E39" s="187">
        <v>0.60157299676292242</v>
      </c>
      <c r="F39" s="187">
        <v>0.63779284524623159</v>
      </c>
      <c r="G39" s="187">
        <v>0.66797617272881882</v>
      </c>
      <c r="H39" s="187">
        <v>0.69351599686887444</v>
      </c>
      <c r="I39" s="190">
        <v>0.71540733708428861</v>
      </c>
    </row>
    <row r="40" spans="2:13" x14ac:dyDescent="0.25">
      <c r="B40" t="s">
        <v>82</v>
      </c>
      <c r="C40" s="191">
        <v>41.937416303493876</v>
      </c>
      <c r="D40" s="191">
        <v>49.077400936288768</v>
      </c>
      <c r="E40" s="191">
        <v>53.16936896683842</v>
      </c>
      <c r="F40" s="191">
        <v>55.742119171544118</v>
      </c>
      <c r="G40" s="191">
        <v>57.396694003500329</v>
      </c>
      <c r="H40" s="191">
        <v>58.432850497330207</v>
      </c>
      <c r="I40" s="191">
        <v>59.025294993614864</v>
      </c>
    </row>
    <row r="41" spans="2:13" ht="13.8" x14ac:dyDescent="0.25">
      <c r="J41" s="197" t="s">
        <v>188</v>
      </c>
      <c r="K41" s="198"/>
      <c r="L41" s="198"/>
      <c r="M41" s="199"/>
    </row>
    <row r="42" spans="2:13" ht="14.4" thickBot="1" x14ac:dyDescent="0.3">
      <c r="K42" s="69" t="s">
        <v>28</v>
      </c>
      <c r="L42" s="70" t="s">
        <v>46</v>
      </c>
    </row>
    <row r="43" spans="2:13" ht="16.2" thickBot="1" x14ac:dyDescent="0.3">
      <c r="J43" s="4" t="s">
        <v>2</v>
      </c>
      <c r="K43" s="45" t="s">
        <v>3</v>
      </c>
      <c r="L43" s="85">
        <v>0.96</v>
      </c>
    </row>
    <row r="44" spans="2:13" ht="16.2" thickBot="1" x14ac:dyDescent="0.3">
      <c r="J44" s="4" t="s">
        <v>4</v>
      </c>
      <c r="K44" s="46" t="s">
        <v>5</v>
      </c>
      <c r="L44" s="85">
        <v>2E-3</v>
      </c>
    </row>
    <row r="45" spans="2:13" ht="16.2" thickBot="1" x14ac:dyDescent="0.3">
      <c r="J45" s="4" t="s">
        <v>6</v>
      </c>
      <c r="K45" s="45" t="s">
        <v>7</v>
      </c>
      <c r="L45" s="85">
        <v>1.2999999999999999E-2</v>
      </c>
    </row>
    <row r="46" spans="2:13" ht="16.2" thickBot="1" x14ac:dyDescent="0.3">
      <c r="J46" s="4" t="s">
        <v>8</v>
      </c>
      <c r="K46" s="45" t="s">
        <v>9</v>
      </c>
      <c r="L46" s="85">
        <v>5.0000000000000001E-3</v>
      </c>
    </row>
    <row r="47" spans="2:13" ht="16.2" thickBot="1" x14ac:dyDescent="0.3">
      <c r="J47" s="4" t="s">
        <v>26</v>
      </c>
      <c r="K47" s="47" t="s">
        <v>27</v>
      </c>
      <c r="L47" s="85">
        <v>2E-3</v>
      </c>
    </row>
    <row r="48" spans="2:13" ht="16.2" thickBot="1" x14ac:dyDescent="0.3">
      <c r="J48" s="4" t="s">
        <v>10</v>
      </c>
      <c r="K48" s="48" t="s">
        <v>11</v>
      </c>
      <c r="L48" s="85">
        <v>0</v>
      </c>
    </row>
    <row r="49" spans="2:12" ht="13.8" thickBot="1" x14ac:dyDescent="0.3">
      <c r="J49" s="4" t="s">
        <v>12</v>
      </c>
      <c r="K49" s="48" t="s">
        <v>13</v>
      </c>
      <c r="L49" s="85">
        <v>0</v>
      </c>
    </row>
    <row r="50" spans="2:12" ht="16.2" thickBot="1" x14ac:dyDescent="0.3">
      <c r="J50" s="4" t="s">
        <v>14</v>
      </c>
      <c r="K50" s="48" t="s">
        <v>15</v>
      </c>
      <c r="L50" s="85">
        <v>6.0000000000000001E-3</v>
      </c>
    </row>
    <row r="51" spans="2:12" ht="16.2" thickBot="1" x14ac:dyDescent="0.3">
      <c r="J51" s="4" t="s">
        <v>33</v>
      </c>
      <c r="K51" s="48" t="s">
        <v>34</v>
      </c>
      <c r="L51" s="85">
        <v>0</v>
      </c>
    </row>
    <row r="52" spans="2:12" ht="15.6" x14ac:dyDescent="0.25">
      <c r="J52" s="4" t="s">
        <v>16</v>
      </c>
      <c r="K52" s="49" t="s">
        <v>17</v>
      </c>
      <c r="L52" s="52">
        <f>1-SUM(L43:L51)</f>
        <v>1.2000000000000011E-2</v>
      </c>
    </row>
    <row r="59" spans="2:12" x14ac:dyDescent="0.25">
      <c r="B59" t="s">
        <v>186</v>
      </c>
    </row>
    <row r="60" spans="2:12" x14ac:dyDescent="0.25">
      <c r="B60" t="s">
        <v>187</v>
      </c>
    </row>
  </sheetData>
  <mergeCells count="4">
    <mergeCell ref="G17:H19"/>
    <mergeCell ref="O26:Q26"/>
    <mergeCell ref="J41:M41"/>
    <mergeCell ref="C2:J2"/>
  </mergeCells>
  <pageMargins left="0.7" right="0.7" top="0.75" bottom="0.75" header="0.3" footer="0.3"/>
  <pageSetup orientation="portrait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MainEntry</vt:lpstr>
      <vt:lpstr>Calcs</vt:lpstr>
      <vt:lpstr>StoredResults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</dc:creator>
  <cp:lastModifiedBy>thermart</cp:lastModifiedBy>
  <cp:lastPrinted>2012-04-24T22:03:55Z</cp:lastPrinted>
  <dcterms:created xsi:type="dcterms:W3CDTF">2012-04-18T02:58:23Z</dcterms:created>
  <dcterms:modified xsi:type="dcterms:W3CDTF">2013-05-02T23:45:22Z</dcterms:modified>
</cp:coreProperties>
</file>