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60" windowWidth="15180" windowHeight="9345" firstSheet="1" activeTab="1"/>
  </bookViews>
  <sheets>
    <sheet name="SUMMARY" sheetId="6" r:id="rId1"/>
    <sheet name="Report" sheetId="9" r:id="rId2"/>
    <sheet name="Notes" sheetId="11" r:id="rId3"/>
    <sheet name="FY07 PU" sheetId="12" r:id="rId4"/>
    <sheet name="Outputs" sheetId="10" r:id="rId5"/>
  </sheets>
  <definedNames>
    <definedName name="Name1">Report!$A$359</definedName>
    <definedName name="Name2">Report!$A$7</definedName>
    <definedName name="Names">'FY07 PU'!$I$5:$EX$7</definedName>
    <definedName name="Outputs">Report!$E$15:$I$15</definedName>
    <definedName name="_xlnm.Print_Area" localSheetId="2">Notes!$A$1:$B$61</definedName>
    <definedName name="_xlnm.Print_Area" localSheetId="1">Report!$A$361:$N$406</definedName>
    <definedName name="_xlnm.Print_Titles" localSheetId="1">Report!$6:$16</definedName>
    <definedName name="Range1">Report!$A$361:$N$700</definedName>
    <definedName name="Range2">Report!$A$17:$N$356</definedName>
    <definedName name="Reset">Outputs!$A$6:$A$151</definedName>
    <definedName name="Snumber">Report!$A$1</definedName>
    <definedName name="Start">Outputs!$A$4</definedName>
  </definedNames>
  <calcPr calcId="145621" fullCalcOnLoad="1"/>
</workbook>
</file>

<file path=xl/calcChain.xml><?xml version="1.0" encoding="utf-8"?>
<calcChain xmlns="http://schemas.openxmlformats.org/spreadsheetml/2006/main">
  <c r="A359" i="9" l="1"/>
  <c r="D11" i="12"/>
  <c r="D361" i="9"/>
  <c r="D12" i="12"/>
  <c r="D362" i="9" s="1"/>
  <c r="D13" i="12"/>
  <c r="D363" i="9" s="1"/>
  <c r="D14" i="12"/>
  <c r="D364" i="9" s="1"/>
  <c r="D15" i="12"/>
  <c r="D365" i="9" s="1"/>
  <c r="D16" i="12"/>
  <c r="D366" i="9" s="1"/>
  <c r="D17" i="12"/>
  <c r="D367" i="9" s="1"/>
  <c r="D18" i="12"/>
  <c r="D368" i="9" s="1"/>
  <c r="D19" i="12"/>
  <c r="D369" i="9" s="1"/>
  <c r="D20" i="12"/>
  <c r="D370" i="9" s="1"/>
  <c r="D21" i="12"/>
  <c r="D371" i="9" s="1"/>
  <c r="D22" i="12"/>
  <c r="D372" i="9" s="1"/>
  <c r="D23" i="12"/>
  <c r="D373" i="9" s="1"/>
  <c r="D24" i="12"/>
  <c r="D374" i="9" s="1"/>
  <c r="D25" i="12"/>
  <c r="D375" i="9" s="1"/>
  <c r="D26" i="12"/>
  <c r="D376" i="9" s="1"/>
  <c r="D27" i="12"/>
  <c r="D377" i="9" s="1"/>
  <c r="D28" i="12"/>
  <c r="D378" i="9" s="1"/>
  <c r="D29" i="12"/>
  <c r="D379" i="9" s="1"/>
  <c r="D30" i="12"/>
  <c r="D380" i="9" s="1"/>
  <c r="D31" i="12"/>
  <c r="D381" i="9" s="1"/>
  <c r="D32" i="12"/>
  <c r="D382" i="9" s="1"/>
  <c r="D33" i="12"/>
  <c r="D383" i="9" s="1"/>
  <c r="D34" i="12"/>
  <c r="D384" i="9" s="1"/>
  <c r="D35" i="12"/>
  <c r="D385" i="9" s="1"/>
  <c r="D36" i="12"/>
  <c r="D386" i="9" s="1"/>
  <c r="D37" i="12"/>
  <c r="D387" i="9" s="1"/>
  <c r="D38" i="12"/>
  <c r="D388" i="9" s="1"/>
  <c r="D39" i="12"/>
  <c r="D389" i="9" s="1"/>
  <c r="D40" i="12"/>
  <c r="D390" i="9" s="1"/>
  <c r="D41" i="12"/>
  <c r="D391" i="9" s="1"/>
  <c r="D42" i="12"/>
  <c r="D392" i="9" s="1"/>
  <c r="D43" i="12"/>
  <c r="D393" i="9" s="1"/>
  <c r="D44" i="12"/>
  <c r="D394" i="9" s="1"/>
  <c r="D45" i="12"/>
  <c r="D395" i="9" s="1"/>
  <c r="D46" i="12"/>
  <c r="D396" i="9" s="1"/>
  <c r="D47" i="12"/>
  <c r="D397" i="9" s="1"/>
  <c r="D48" i="12"/>
  <c r="D398" i="9" s="1"/>
  <c r="D49" i="12"/>
  <c r="D399" i="9" s="1"/>
  <c r="D50" i="12"/>
  <c r="D400" i="9" s="1"/>
  <c r="D51" i="12"/>
  <c r="D401" i="9" s="1"/>
  <c r="D52" i="12"/>
  <c r="D402" i="9" s="1"/>
  <c r="D53" i="12"/>
  <c r="D403" i="9" s="1"/>
  <c r="D54" i="12"/>
  <c r="D404" i="9" s="1"/>
  <c r="D55" i="12"/>
  <c r="D405" i="9" s="1"/>
  <c r="D56" i="12"/>
  <c r="D406" i="9" s="1"/>
  <c r="D57" i="12"/>
  <c r="D407" i="9" s="1"/>
  <c r="D58" i="12"/>
  <c r="D408" i="9" s="1"/>
  <c r="D59" i="12"/>
  <c r="D409" i="9" s="1"/>
  <c r="D60" i="12"/>
  <c r="D410" i="9" s="1"/>
  <c r="D61" i="12"/>
  <c r="D411" i="9" s="1"/>
  <c r="D62" i="12"/>
  <c r="D412" i="9" s="1"/>
  <c r="D63" i="12"/>
  <c r="D413" i="9" s="1"/>
  <c r="D64" i="12"/>
  <c r="D414" i="9" s="1"/>
  <c r="D65" i="12"/>
  <c r="D415" i="9" s="1"/>
  <c r="D66" i="12"/>
  <c r="D416" i="9" s="1"/>
  <c r="D67" i="12"/>
  <c r="D417" i="9" s="1"/>
  <c r="D68" i="12"/>
  <c r="D418" i="9" s="1"/>
  <c r="D69" i="12"/>
  <c r="D419" i="9" s="1"/>
  <c r="D70" i="12"/>
  <c r="D420" i="9" s="1"/>
  <c r="D71" i="12"/>
  <c r="D421" i="9" s="1"/>
  <c r="D72" i="12"/>
  <c r="D422" i="9" s="1"/>
  <c r="D73" i="12"/>
  <c r="D423" i="9" s="1"/>
  <c r="D74" i="12"/>
  <c r="D424" i="9" s="1"/>
  <c r="D75" i="12"/>
  <c r="D425" i="9" s="1"/>
  <c r="D76" i="12"/>
  <c r="D426" i="9" s="1"/>
  <c r="D77" i="12"/>
  <c r="D427" i="9" s="1"/>
  <c r="D78" i="12"/>
  <c r="D428" i="9" s="1"/>
  <c r="D79" i="12"/>
  <c r="D429" i="9" s="1"/>
  <c r="D80" i="12"/>
  <c r="D430" i="9" s="1"/>
  <c r="D81" i="12"/>
  <c r="D431" i="9" s="1"/>
  <c r="D82" i="12"/>
  <c r="D432" i="9" s="1"/>
  <c r="D83" i="12"/>
  <c r="D433" i="9" s="1"/>
  <c r="D84" i="12"/>
  <c r="D434" i="9" s="1"/>
  <c r="D85" i="12"/>
  <c r="D435" i="9" s="1"/>
  <c r="D86" i="12"/>
  <c r="D436" i="9" s="1"/>
  <c r="D87" i="12"/>
  <c r="D437" i="9" s="1"/>
  <c r="D88" i="12"/>
  <c r="D438" i="9" s="1"/>
  <c r="D89" i="12"/>
  <c r="D439" i="9" s="1"/>
  <c r="D90" i="12"/>
  <c r="D440" i="9" s="1"/>
  <c r="D91" i="12"/>
  <c r="D441" i="9" s="1"/>
  <c r="D92" i="12"/>
  <c r="D442" i="9" s="1"/>
  <c r="D93" i="12"/>
  <c r="D443" i="9" s="1"/>
  <c r="D94" i="12"/>
  <c r="D444" i="9" s="1"/>
  <c r="D95" i="12"/>
  <c r="D445" i="9" s="1"/>
  <c r="D96" i="12"/>
  <c r="D446" i="9" s="1"/>
  <c r="D97" i="12"/>
  <c r="D447" i="9"/>
  <c r="D98" i="12"/>
  <c r="D448" i="9" s="1"/>
  <c r="D99" i="12"/>
  <c r="D449" i="9" s="1"/>
  <c r="D100" i="12"/>
  <c r="D450" i="9" s="1"/>
  <c r="D101" i="12"/>
  <c r="D451" i="9" s="1"/>
  <c r="D102" i="12"/>
  <c r="D452" i="9" s="1"/>
  <c r="D103" i="12"/>
  <c r="D453" i="9" s="1"/>
  <c r="D104" i="12"/>
  <c r="D454" i="9" s="1"/>
  <c r="D105" i="12"/>
  <c r="D455" i="9" s="1"/>
  <c r="D106" i="12"/>
  <c r="D456" i="9" s="1"/>
  <c r="D107" i="12"/>
  <c r="D457" i="9" s="1"/>
  <c r="D108" i="12"/>
  <c r="D458" i="9" s="1"/>
  <c r="D109" i="12"/>
  <c r="D459" i="9" s="1"/>
  <c r="D110" i="12"/>
  <c r="D460" i="9" s="1"/>
  <c r="D111" i="12"/>
  <c r="D461" i="9" s="1"/>
  <c r="D112" i="12"/>
  <c r="D462" i="9" s="1"/>
  <c r="D113" i="12"/>
  <c r="D463" i="9" s="1"/>
  <c r="D114" i="12"/>
  <c r="D464" i="9" s="1"/>
  <c r="D115" i="12"/>
  <c r="D465" i="9" s="1"/>
  <c r="D116" i="12"/>
  <c r="D466" i="9" s="1"/>
  <c r="D117" i="12"/>
  <c r="D467" i="9" s="1"/>
  <c r="D118" i="12"/>
  <c r="D468" i="9" s="1"/>
  <c r="D119" i="12"/>
  <c r="D469" i="9" s="1"/>
  <c r="D120" i="12"/>
  <c r="D470" i="9" s="1"/>
  <c r="D121" i="12"/>
  <c r="D471" i="9" s="1"/>
  <c r="D122" i="12"/>
  <c r="D472" i="9" s="1"/>
  <c r="D123" i="12"/>
  <c r="D473" i="9" s="1"/>
  <c r="D124" i="12"/>
  <c r="D474" i="9" s="1"/>
  <c r="D125" i="12"/>
  <c r="D475" i="9" s="1"/>
  <c r="D126" i="12"/>
  <c r="D476" i="9" s="1"/>
  <c r="D127" i="12"/>
  <c r="D477" i="9" s="1"/>
  <c r="D128" i="12"/>
  <c r="D478" i="9" s="1"/>
  <c r="D129" i="12"/>
  <c r="D479" i="9" s="1"/>
  <c r="D130" i="12"/>
  <c r="D480" i="9" s="1"/>
  <c r="D131" i="12"/>
  <c r="D481" i="9" s="1"/>
  <c r="D132" i="12"/>
  <c r="D482" i="9" s="1"/>
  <c r="D133" i="12"/>
  <c r="D483" i="9" s="1"/>
  <c r="D134" i="12"/>
  <c r="D484" i="9" s="1"/>
  <c r="D135" i="12"/>
  <c r="D485" i="9" s="1"/>
  <c r="D136" i="12"/>
  <c r="D486" i="9" s="1"/>
  <c r="D137" i="12"/>
  <c r="D487" i="9" s="1"/>
  <c r="D138" i="12"/>
  <c r="D488" i="9" s="1"/>
  <c r="D139" i="12"/>
  <c r="D489" i="9" s="1"/>
  <c r="D140" i="12"/>
  <c r="D490" i="9" s="1"/>
  <c r="D141" i="12"/>
  <c r="D491" i="9" s="1"/>
  <c r="D142" i="12"/>
  <c r="D492" i="9" s="1"/>
  <c r="D143" i="12"/>
  <c r="D493" i="9" s="1"/>
  <c r="D144" i="12"/>
  <c r="D494" i="9" s="1"/>
  <c r="D145" i="12"/>
  <c r="D495" i="9" s="1"/>
  <c r="D146" i="12"/>
  <c r="D496" i="9" s="1"/>
  <c r="D147" i="12"/>
  <c r="D497" i="9" s="1"/>
  <c r="D148" i="12"/>
  <c r="D498" i="9" s="1"/>
  <c r="D149" i="12"/>
  <c r="D499" i="9" s="1"/>
  <c r="D150" i="12"/>
  <c r="D500" i="9" s="1"/>
  <c r="D151" i="12"/>
  <c r="D501" i="9" s="1"/>
  <c r="D152" i="12"/>
  <c r="D502" i="9" s="1"/>
  <c r="D153" i="12"/>
  <c r="D503" i="9" s="1"/>
  <c r="D154" i="12"/>
  <c r="D504" i="9" s="1"/>
  <c r="D155" i="12"/>
  <c r="D505" i="9" s="1"/>
  <c r="D156" i="12"/>
  <c r="D506" i="9" s="1"/>
  <c r="D157" i="12"/>
  <c r="D507" i="9" s="1"/>
  <c r="D158" i="12"/>
  <c r="D508" i="9" s="1"/>
  <c r="D159" i="12"/>
  <c r="D509" i="9" s="1"/>
  <c r="D160" i="12"/>
  <c r="D510" i="9" s="1"/>
  <c r="D161" i="12"/>
  <c r="D511" i="9" s="1"/>
  <c r="D162" i="12"/>
  <c r="D512" i="9" s="1"/>
  <c r="D163" i="12"/>
  <c r="D513" i="9" s="1"/>
  <c r="D164" i="12"/>
  <c r="D514" i="9" s="1"/>
  <c r="D165" i="12"/>
  <c r="D515" i="9" s="1"/>
  <c r="D166" i="12"/>
  <c r="D516" i="9" s="1"/>
  <c r="D167" i="12"/>
  <c r="D517" i="9" s="1"/>
  <c r="D168" i="12"/>
  <c r="D518" i="9" s="1"/>
  <c r="D169" i="12"/>
  <c r="D519" i="9" s="1"/>
  <c r="D170" i="12"/>
  <c r="D520" i="9" s="1"/>
  <c r="D171" i="12"/>
  <c r="D521" i="9" s="1"/>
  <c r="D172" i="12"/>
  <c r="D522" i="9" s="1"/>
  <c r="D173" i="12"/>
  <c r="D523" i="9" s="1"/>
  <c r="D174" i="12"/>
  <c r="D524" i="9" s="1"/>
  <c r="D175" i="12"/>
  <c r="D525" i="9" s="1"/>
  <c r="D176" i="12"/>
  <c r="D526" i="9" s="1"/>
  <c r="D177" i="12"/>
  <c r="D527" i="9" s="1"/>
  <c r="D178" i="12"/>
  <c r="D528" i="9" s="1"/>
  <c r="D179" i="12"/>
  <c r="D529" i="9" s="1"/>
  <c r="D180" i="12"/>
  <c r="D530" i="9" s="1"/>
  <c r="D181" i="12"/>
  <c r="D531" i="9" s="1"/>
  <c r="D182" i="12"/>
  <c r="D532" i="9" s="1"/>
  <c r="D183" i="12"/>
  <c r="D533" i="9" s="1"/>
  <c r="J533" i="9" s="1"/>
  <c r="D184" i="12"/>
  <c r="D534" i="9" s="1"/>
  <c r="D185" i="12"/>
  <c r="D535" i="9" s="1"/>
  <c r="J535" i="9" s="1"/>
  <c r="D186" i="12"/>
  <c r="D536" i="9" s="1"/>
  <c r="D187" i="12"/>
  <c r="D537" i="9" s="1"/>
  <c r="D188" i="12"/>
  <c r="D538" i="9" s="1"/>
  <c r="D189" i="12"/>
  <c r="D539" i="9" s="1"/>
  <c r="D190" i="12"/>
  <c r="D540" i="9" s="1"/>
  <c r="D191" i="12"/>
  <c r="D541" i="9" s="1"/>
  <c r="D192" i="12"/>
  <c r="D542" i="9" s="1"/>
  <c r="D193" i="12"/>
  <c r="D543" i="9" s="1"/>
  <c r="D194" i="12"/>
  <c r="D544" i="9" s="1"/>
  <c r="D195" i="12"/>
  <c r="D545" i="9" s="1"/>
  <c r="D196" i="12"/>
  <c r="D546" i="9" s="1"/>
  <c r="D197" i="12"/>
  <c r="D547" i="9" s="1"/>
  <c r="D198" i="12"/>
  <c r="D548" i="9" s="1"/>
  <c r="D199" i="12"/>
  <c r="D549" i="9" s="1"/>
  <c r="D200" i="12"/>
  <c r="D550" i="9" s="1"/>
  <c r="D201" i="12"/>
  <c r="D551" i="9" s="1"/>
  <c r="D202" i="12"/>
  <c r="D552" i="9" s="1"/>
  <c r="D203" i="12"/>
  <c r="D553" i="9" s="1"/>
  <c r="D204" i="12"/>
  <c r="D554" i="9" s="1"/>
  <c r="D205" i="12"/>
  <c r="D555" i="9" s="1"/>
  <c r="D206" i="12"/>
  <c r="D556" i="9" s="1"/>
  <c r="D207" i="12"/>
  <c r="D557" i="9" s="1"/>
  <c r="D208" i="12"/>
  <c r="D558" i="9" s="1"/>
  <c r="D209" i="12"/>
  <c r="D559" i="9" s="1"/>
  <c r="D210" i="12"/>
  <c r="D560" i="9" s="1"/>
  <c r="D211" i="12"/>
  <c r="D561" i="9" s="1"/>
  <c r="D212" i="12"/>
  <c r="D562" i="9" s="1"/>
  <c r="D213" i="12"/>
  <c r="D563" i="9" s="1"/>
  <c r="D214" i="12"/>
  <c r="D564" i="9" s="1"/>
  <c r="D215" i="12"/>
  <c r="D565" i="9" s="1"/>
  <c r="D216" i="12"/>
  <c r="D566" i="9" s="1"/>
  <c r="D217" i="12"/>
  <c r="D567" i="9" s="1"/>
  <c r="D218" i="12"/>
  <c r="D568" i="9" s="1"/>
  <c r="D219" i="12"/>
  <c r="D569" i="9" s="1"/>
  <c r="D220" i="12"/>
  <c r="D570" i="9" s="1"/>
  <c r="D221" i="12"/>
  <c r="D571" i="9" s="1"/>
  <c r="D222" i="12"/>
  <c r="D572" i="9" s="1"/>
  <c r="D223" i="12"/>
  <c r="D573" i="9" s="1"/>
  <c r="D224" i="12"/>
  <c r="D574" i="9" s="1"/>
  <c r="D225" i="12"/>
  <c r="D575" i="9" s="1"/>
  <c r="D226" i="12"/>
  <c r="D576" i="9" s="1"/>
  <c r="D227" i="12"/>
  <c r="D577" i="9" s="1"/>
  <c r="D228" i="12"/>
  <c r="D578" i="9" s="1"/>
  <c r="D229" i="12"/>
  <c r="D579" i="9" s="1"/>
  <c r="D230" i="12"/>
  <c r="D580" i="9" s="1"/>
  <c r="D231" i="12"/>
  <c r="D581" i="9" s="1"/>
  <c r="D232" i="12"/>
  <c r="D582" i="9" s="1"/>
  <c r="D233" i="12"/>
  <c r="D583" i="9" s="1"/>
  <c r="D234" i="12"/>
  <c r="D584" i="9" s="1"/>
  <c r="D235" i="12"/>
  <c r="D585" i="9" s="1"/>
  <c r="D236" i="12"/>
  <c r="D586" i="9" s="1"/>
  <c r="D237" i="12"/>
  <c r="D587" i="9" s="1"/>
  <c r="D238" i="12"/>
  <c r="D588" i="9" s="1"/>
  <c r="D239" i="12"/>
  <c r="D589" i="9" s="1"/>
  <c r="D240" i="12"/>
  <c r="D590" i="9" s="1"/>
  <c r="D241" i="12"/>
  <c r="D591" i="9" s="1"/>
  <c r="D242" i="12"/>
  <c r="D592" i="9" s="1"/>
  <c r="D243" i="12"/>
  <c r="D593" i="9" s="1"/>
  <c r="D244" i="12"/>
  <c r="D594" i="9" s="1"/>
  <c r="D245" i="12"/>
  <c r="D595" i="9" s="1"/>
  <c r="D246" i="12"/>
  <c r="D596" i="9" s="1"/>
  <c r="D247" i="12"/>
  <c r="D597" i="9" s="1"/>
  <c r="D248" i="12"/>
  <c r="D598" i="9" s="1"/>
  <c r="D249" i="12"/>
  <c r="D599" i="9" s="1"/>
  <c r="D250" i="12"/>
  <c r="D600" i="9" s="1"/>
  <c r="D251" i="12"/>
  <c r="D601" i="9" s="1"/>
  <c r="D252" i="12"/>
  <c r="D602" i="9" s="1"/>
  <c r="D253" i="12"/>
  <c r="D603" i="9" s="1"/>
  <c r="D254" i="12"/>
  <c r="D604" i="9" s="1"/>
  <c r="D255" i="12"/>
  <c r="D605" i="9" s="1"/>
  <c r="D256" i="12"/>
  <c r="D606" i="9" s="1"/>
  <c r="D257" i="12"/>
  <c r="D607" i="9" s="1"/>
  <c r="D258" i="12"/>
  <c r="D608" i="9" s="1"/>
  <c r="D259" i="12"/>
  <c r="D609" i="9" s="1"/>
  <c r="D260" i="12"/>
  <c r="D610" i="9" s="1"/>
  <c r="D261" i="12"/>
  <c r="D611" i="9" s="1"/>
  <c r="D262" i="12"/>
  <c r="D612" i="9" s="1"/>
  <c r="D263" i="12"/>
  <c r="D613" i="9" s="1"/>
  <c r="D264" i="12"/>
  <c r="D614" i="9" s="1"/>
  <c r="D265" i="12"/>
  <c r="D615" i="9" s="1"/>
  <c r="D266" i="12"/>
  <c r="D616" i="9" s="1"/>
  <c r="D267" i="12"/>
  <c r="D617" i="9" s="1"/>
  <c r="D268" i="12"/>
  <c r="D618" i="9" s="1"/>
  <c r="D269" i="12"/>
  <c r="D619" i="9" s="1"/>
  <c r="D270" i="12"/>
  <c r="D620" i="9" s="1"/>
  <c r="D271" i="12"/>
  <c r="D621" i="9" s="1"/>
  <c r="D272" i="12"/>
  <c r="D622" i="9" s="1"/>
  <c r="D273" i="12"/>
  <c r="D623" i="9" s="1"/>
  <c r="D274" i="12"/>
  <c r="D624" i="9" s="1"/>
  <c r="D275" i="12"/>
  <c r="D625" i="9" s="1"/>
  <c r="D276" i="12"/>
  <c r="D626" i="9" s="1"/>
  <c r="D277" i="12"/>
  <c r="D627" i="9" s="1"/>
  <c r="D278" i="12"/>
  <c r="D628" i="9" s="1"/>
  <c r="D279" i="12"/>
  <c r="D629" i="9" s="1"/>
  <c r="D280" i="12"/>
  <c r="D630" i="9" s="1"/>
  <c r="D281" i="12"/>
  <c r="D631" i="9" s="1"/>
  <c r="D282" i="12"/>
  <c r="D632" i="9" s="1"/>
  <c r="D283" i="12"/>
  <c r="D633" i="9" s="1"/>
  <c r="D284" i="12"/>
  <c r="D634" i="9" s="1"/>
  <c r="D285" i="12"/>
  <c r="D635" i="9" s="1"/>
  <c r="D286" i="12"/>
  <c r="D636" i="9" s="1"/>
  <c r="D287" i="12"/>
  <c r="D637" i="9" s="1"/>
  <c r="D288" i="12"/>
  <c r="D638" i="9" s="1"/>
  <c r="D289" i="12"/>
  <c r="D639" i="9" s="1"/>
  <c r="D290" i="12"/>
  <c r="D640" i="9" s="1"/>
  <c r="D291" i="12"/>
  <c r="D641" i="9" s="1"/>
  <c r="D292" i="12"/>
  <c r="D642" i="9" s="1"/>
  <c r="D293" i="12"/>
  <c r="D643" i="9" s="1"/>
  <c r="D294" i="12"/>
  <c r="D644" i="9" s="1"/>
  <c r="D295" i="12"/>
  <c r="D645" i="9" s="1"/>
  <c r="D296" i="12"/>
  <c r="D646" i="9" s="1"/>
  <c r="D297" i="12"/>
  <c r="D647" i="9" s="1"/>
  <c r="D298" i="12"/>
  <c r="D648" i="9" s="1"/>
  <c r="D299" i="12"/>
  <c r="D649" i="9" s="1"/>
  <c r="D300" i="12"/>
  <c r="D650" i="9" s="1"/>
  <c r="D301" i="12"/>
  <c r="D651" i="9" s="1"/>
  <c r="D302" i="12"/>
  <c r="D652" i="9" s="1"/>
  <c r="D303" i="12"/>
  <c r="D653" i="9" s="1"/>
  <c r="D304" i="12"/>
  <c r="D654" i="9" s="1"/>
  <c r="D305" i="12"/>
  <c r="D655" i="9" s="1"/>
  <c r="D306" i="12"/>
  <c r="D656" i="9" s="1"/>
  <c r="D307" i="12"/>
  <c r="D657" i="9" s="1"/>
  <c r="D308" i="12"/>
  <c r="D658" i="9" s="1"/>
  <c r="D309" i="12"/>
  <c r="D659" i="9" s="1"/>
  <c r="D310" i="12"/>
  <c r="D660" i="9" s="1"/>
  <c r="D311" i="12"/>
  <c r="D661" i="9" s="1"/>
  <c r="D312" i="12"/>
  <c r="D662" i="9" s="1"/>
  <c r="D313" i="12"/>
  <c r="D663" i="9" s="1"/>
  <c r="D314" i="12"/>
  <c r="D664" i="9" s="1"/>
  <c r="D315" i="12"/>
  <c r="D665" i="9" s="1"/>
  <c r="D316" i="12"/>
  <c r="D666" i="9" s="1"/>
  <c r="D317" i="12"/>
  <c r="D667" i="9" s="1"/>
  <c r="D318" i="12"/>
  <c r="D668" i="9" s="1"/>
  <c r="D319" i="12"/>
  <c r="D669" i="9" s="1"/>
  <c r="D320" i="12"/>
  <c r="D670" i="9" s="1"/>
  <c r="D321" i="12"/>
  <c r="D671" i="9" s="1"/>
  <c r="D322" i="12"/>
  <c r="D672" i="9" s="1"/>
  <c r="D323" i="12"/>
  <c r="D673" i="9" s="1"/>
  <c r="D324" i="12"/>
  <c r="D674" i="9" s="1"/>
  <c r="D325" i="12"/>
  <c r="D675" i="9" s="1"/>
  <c r="D326" i="12"/>
  <c r="D676" i="9" s="1"/>
  <c r="D327" i="12"/>
  <c r="D677" i="9" s="1"/>
  <c r="D328" i="12"/>
  <c r="D678" i="9" s="1"/>
  <c r="D329" i="12"/>
  <c r="D679" i="9" s="1"/>
  <c r="D330" i="12"/>
  <c r="D680" i="9" s="1"/>
  <c r="D331" i="12"/>
  <c r="D681" i="9" s="1"/>
  <c r="D332" i="12"/>
  <c r="D682" i="9" s="1"/>
  <c r="D333" i="12"/>
  <c r="D683" i="9" s="1"/>
  <c r="D334" i="12"/>
  <c r="D684" i="9" s="1"/>
  <c r="D335" i="12"/>
  <c r="D685" i="9" s="1"/>
  <c r="D336" i="12"/>
  <c r="D686" i="9" s="1"/>
  <c r="D337" i="12"/>
  <c r="D687" i="9" s="1"/>
  <c r="D338" i="12"/>
  <c r="D688" i="9" s="1"/>
  <c r="D339" i="12"/>
  <c r="D689" i="9" s="1"/>
  <c r="D340" i="12"/>
  <c r="D690" i="9" s="1"/>
  <c r="D341" i="12"/>
  <c r="D691" i="9" s="1"/>
  <c r="D342" i="12"/>
  <c r="D692" i="9" s="1"/>
  <c r="D343" i="12"/>
  <c r="D693" i="9" s="1"/>
  <c r="D344" i="12"/>
  <c r="D694" i="9" s="1"/>
  <c r="D345" i="12"/>
  <c r="D695" i="9" s="1"/>
  <c r="D346" i="12"/>
  <c r="D696" i="9" s="1"/>
  <c r="D15" i="9" s="1"/>
  <c r="D347" i="12"/>
  <c r="D697" i="9" s="1"/>
  <c r="D348" i="12"/>
  <c r="D698" i="9" s="1"/>
  <c r="D349" i="12"/>
  <c r="D699" i="9" s="1"/>
  <c r="D350" i="12"/>
  <c r="D700" i="9" s="1"/>
  <c r="J700" i="9" s="1"/>
  <c r="J15" i="9" s="1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4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EJ9" i="12"/>
  <c r="EK9" i="12"/>
  <c r="EL9" i="12"/>
  <c r="EM9" i="12"/>
  <c r="EN9" i="12"/>
  <c r="EO9" i="12"/>
  <c r="EP9" i="12"/>
  <c r="EQ9" i="12"/>
  <c r="ER9" i="12"/>
  <c r="ES9" i="12"/>
  <c r="ET9" i="12"/>
  <c r="EU9" i="12"/>
  <c r="EV9" i="12"/>
  <c r="EW9" i="12"/>
  <c r="EX9" i="12"/>
  <c r="K361" i="9"/>
  <c r="K362" i="9"/>
  <c r="K15" i="9" s="1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15" i="9"/>
  <c r="M361" i="9"/>
  <c r="M362" i="9"/>
  <c r="M15" i="9" s="1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15" i="9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DE9" i="12"/>
  <c r="DF9" i="12"/>
  <c r="DG9" i="12"/>
  <c r="DH9" i="12"/>
  <c r="DI9" i="12"/>
  <c r="DJ9" i="12"/>
  <c r="DK9" i="12"/>
  <c r="DL9" i="12"/>
  <c r="DM9" i="12"/>
  <c r="DN9" i="12"/>
  <c r="DO9" i="12"/>
  <c r="DP9" i="12"/>
  <c r="DQ9" i="12"/>
  <c r="DR9" i="12"/>
  <c r="DS9" i="12"/>
  <c r="DT9" i="12"/>
  <c r="DU9" i="12"/>
  <c r="DV9" i="12"/>
  <c r="DW9" i="12"/>
  <c r="DX9" i="12"/>
  <c r="DY9" i="12"/>
  <c r="DZ9" i="12"/>
  <c r="EA9" i="12"/>
  <c r="EB9" i="12"/>
  <c r="EC9" i="12"/>
  <c r="ED9" i="12"/>
  <c r="EE9" i="12"/>
  <c r="EF9" i="12"/>
  <c r="EG9" i="12"/>
  <c r="EH9" i="12"/>
  <c r="EI9" i="12"/>
  <c r="I9" i="12"/>
  <c r="D9" i="12"/>
  <c r="N13" i="9"/>
  <c r="M13" i="9"/>
  <c r="L13" i="9"/>
  <c r="K13" i="9"/>
  <c r="J13" i="9"/>
  <c r="F15" i="9" l="1"/>
  <c r="H15" i="9"/>
  <c r="E15" i="9"/>
  <c r="G15" i="9"/>
  <c r="I15" i="9"/>
</calcChain>
</file>

<file path=xl/sharedStrings.xml><?xml version="1.0" encoding="utf-8"?>
<sst xmlns="http://schemas.openxmlformats.org/spreadsheetml/2006/main" count="1909" uniqueCount="575">
  <si>
    <t>CITY ACADEMY</t>
  </si>
  <si>
    <t>BLUFFVIEW MONTESSORI</t>
  </si>
  <si>
    <t>NEW HEIGHTS SCHOOL, INC.</t>
  </si>
  <si>
    <t>CEDAR RIVERSIDE COMMUNITY SCHO</t>
  </si>
  <si>
    <t>METRO DEAF CHARTER SCHOOL</t>
  </si>
  <si>
    <t>SKILLS FOR TOMORROW CHARTER SC</t>
  </si>
  <si>
    <t>MINNESOTA NEW COUNTRY SCHOOL</t>
  </si>
  <si>
    <t>PACT CHARTER SCHOOL</t>
  </si>
  <si>
    <t>NEW VISIONS CHARTER SCHOOL</t>
  </si>
  <si>
    <t>EMILY CHARTER SCHOOL</t>
  </si>
  <si>
    <t>COMMUNITY OF PEACE ACADEMY</t>
  </si>
  <si>
    <t>WORLD LEARNER CHARTER SCHOOL</t>
  </si>
  <si>
    <t>MINNESOTA TRANSITIONS CHARTER</t>
  </si>
  <si>
    <t>ACHIEVE LANGUAGE ACADEMY</t>
  </si>
  <si>
    <t>DULUTH PUBLIC SCHOOLS ACADEMY</t>
  </si>
  <si>
    <t>CYBER VILLAGE ACADEMY</t>
  </si>
  <si>
    <t>E.C.H.O. CHARTER SCHOOL</t>
  </si>
  <si>
    <t>HIGHER GROUND ACADEMY</t>
  </si>
  <si>
    <t>ECI' NOMPA WOONSPE</t>
  </si>
  <si>
    <t>NEW SPIRIT SCHOOLS</t>
  </si>
  <si>
    <t>ODYSSEY CHARTER SCHOOL</t>
  </si>
  <si>
    <t>JENNINGS EXPERIENTIAL HIGH SCH</t>
  </si>
  <si>
    <t>HARVEST PREP SCHOOL/SEED ACADE</t>
  </si>
  <si>
    <t>CONCORDIA CREATIVE LEARNING AC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</si>
  <si>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</si>
  <si>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</si>
  <si>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</si>
  <si>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</si>
  <si>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</si>
  <si>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HEART OF THE EARTH CHARTER</t>
  </si>
  <si>
    <t>LAKES AREA CHARTER SCHOOL</t>
  </si>
  <si>
    <t>LAKE SUPERIOR HIGH SCHOOL</t>
  </si>
  <si>
    <t>GREAT RIVER EDUCATION CENTER</t>
  </si>
  <si>
    <t>COON RAPIDS LEARNING CENTER</t>
  </si>
  <si>
    <t>LAFAYETTE PUBLIC CHARTER SCHOO</t>
  </si>
  <si>
    <t>FOUR DIRECTIONS CHARTER SCHOOL</t>
  </si>
  <si>
    <t>NORTH LAKES ACADEMY</t>
  </si>
  <si>
    <t>LACRESCENT MONTESSORI ACADEMY</t>
  </si>
  <si>
    <t>NERSTRAND CHARTER SCHOOL</t>
  </si>
  <si>
    <t>ROCHESTER OFF-CAMPUS CHARTER H</t>
  </si>
  <si>
    <t>EL COLEGIO CHARTER SCHOOL</t>
  </si>
  <si>
    <t>SCHOOLCRAFT LEARNING COMMUNITY</t>
  </si>
  <si>
    <t>CROSSLAKE COMMUNITY CHARTER SC</t>
  </si>
  <si>
    <t>STUDIO ACADEMY CHARTER SCHOOL</t>
  </si>
  <si>
    <t>RIVERWAY LEARNING COMMUNITY CH</t>
  </si>
  <si>
    <t>RIVERBEND ACADEMY</t>
  </si>
  <si>
    <t>AURORA CHARTER SCHOOL</t>
  </si>
  <si>
    <t>EXCELL ACADEMY CHARTER</t>
  </si>
  <si>
    <t>HOPE COMMUNITY ACADEMY</t>
  </si>
  <si>
    <t>YANKTON COUNTRY CHARTER SCHOOL</t>
  </si>
  <si>
    <t>ACADEMIA CESAR CHAVEZ CHARTER</t>
  </si>
  <si>
    <t>AGRICULTURAL FOOD SCIENCE ACAD</t>
  </si>
  <si>
    <t>AVALON SCHOOL</t>
  </si>
  <si>
    <t>TWIN CITIES INTERNATIONAL ELEM</t>
  </si>
  <si>
    <t>MN INTERNATIONAL MIDDLE CHARTE</t>
  </si>
  <si>
    <t>FRIENDSHIP ACDMY OF FINE ARTS</t>
  </si>
  <si>
    <t>PILLAGER AREA CHARTER SCHOOL</t>
  </si>
  <si>
    <t>COVENANT ACADEMY OF MN. CHTR.</t>
  </si>
  <si>
    <t>BLUESKY CHARTER SCHOOL</t>
  </si>
  <si>
    <t>RIDGEWAY COMMUNITY SCHOOL</t>
  </si>
  <si>
    <t>NORTH SHORE COMMUNITY SCHOOL</t>
  </si>
  <si>
    <t>HARBOR CITY INTERNATIONAL CHAR</t>
  </si>
  <si>
    <t>WOODSON INSTITUTE FOR EXCELLEN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</si>
  <si>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</si>
  <si>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</si>
  <si>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</si>
  <si>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</si>
  <si>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</si>
  <si>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</si>
  <si>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</si>
  <si>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TRIO WOLF CREEK DISTANCE LEARN</t>
  </si>
  <si>
    <t>PARTNERSHIP ACADEMY, INC.</t>
  </si>
  <si>
    <t>NOVA CLASSICAL ACADEMY</t>
  </si>
  <si>
    <t>TAREK IBN ZIYAD ACADEMY</t>
  </si>
  <si>
    <t>GREAT EXPECTATIONS</t>
  </si>
  <si>
    <t>MINNESOTA NORTH STAR ACADEMY</t>
  </si>
  <si>
    <t>MINNESOTA INTERNSHIP CENTER</t>
  </si>
  <si>
    <t>HMONG ACADEMY</t>
  </si>
  <si>
    <t>LIBERTY HIGH SCHOOL</t>
  </si>
  <si>
    <t>GREAT RIVER SCHOOL</t>
  </si>
  <si>
    <t>TREKNORTH HIGH SCHOOL</t>
  </si>
  <si>
    <t>VOYAGEURS EXPEDITIONARY</t>
  </si>
  <si>
    <t>GENERAL JOHN VESSEY JR LEADERS</t>
  </si>
  <si>
    <t>SOBRIETY HIGH</t>
  </si>
  <si>
    <t>MAIN STREET SCHOOL PERFORMING</t>
  </si>
  <si>
    <t>AUGSBURG ACADEMY FOR HEALTH CA</t>
  </si>
  <si>
    <t>ST PAUL CONSERVATORY PERFORMIN</t>
  </si>
  <si>
    <t>FRASER ACADEMY</t>
  </si>
  <si>
    <t>ASCENSION ACADEMY CHARTER SCHO</t>
  </si>
  <si>
    <t>MINNEAPOLIS ACADEMY CHARTER SC</t>
  </si>
  <si>
    <t>LAKES INTERNATIONAL LANGUAGE A</t>
  </si>
  <si>
    <t>KALEIDOSCOPE CHARTER SCHOOL</t>
  </si>
  <si>
    <t>RIVER HEIGHTS CHARTER SCHOOL</t>
  </si>
  <si>
    <t>ST. CROIX PREPARATORY ACADEMY</t>
  </si>
  <si>
    <t>UBAH MEDICAL ACADEMY CHARTER S</t>
  </si>
  <si>
    <t>EAGLE RIDGE ACADEMY CHARTER SC</t>
  </si>
  <si>
    <t>DAKOTA AREA COMMUNITY CHARTER</t>
  </si>
  <si>
    <t>BEACON ACADEMY</t>
  </si>
  <si>
    <t>WORTHINGTON AREA LANGUAGE ACAD</t>
  </si>
  <si>
    <t>PRAIRIE SEEDS ACADEMY</t>
  </si>
  <si>
    <t>TEAM ACADEMY</t>
  </si>
  <si>
    <t>LIGHTHOUSE ACADEMY OF NATIONS</t>
  </si>
  <si>
    <t>TWIN CITIES ACADEMY HIGH SCHOOL</t>
  </si>
  <si>
    <t>BEACON PREPARATORY SCHOOL</t>
  </si>
  <si>
    <t>ADAM ABDULLE ACADEMY</t>
  </si>
  <si>
    <t>SOUL ACADEMY CHARTER SCHOOL</t>
  </si>
  <si>
    <t>SWAN RIVER MONTESSORI CHARTER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</si>
  <si>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</si>
  <si>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</si>
  <si>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</si>
  <si>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</si>
  <si>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</si>
  <si>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</t>
  </si>
  <si>
    <t>GREEN ISLE COMMUNITY SCHOOL</t>
  </si>
  <si>
    <t>BIRCH GROVE COMMUNITY SCHOOL</t>
  </si>
  <si>
    <t>NORTHERN LIGHTS COMMUNITY SCHO</t>
  </si>
  <si>
    <t>ACADEMY OF BIOSCIENCES</t>
  </si>
  <si>
    <t>CYGNUS ACADEMY</t>
  </si>
  <si>
    <t>MINNESOTA ONLINE HIGH SCHOOL</t>
  </si>
  <si>
    <t>EDVISIONS OFF CAMPUS SCHOOL</t>
  </si>
  <si>
    <t>TWIN CITIES GERMAN IMMERSION C</t>
  </si>
  <si>
    <t>DUGSI ACADEMY</t>
  </si>
  <si>
    <t>RECOVERY SCHOOL OF SOUTHERN MN</t>
  </si>
  <si>
    <t>NAYTAUWAUSH COMMUNITY SCHOOL</t>
  </si>
  <si>
    <t>NEW SALEM ACADEMY</t>
  </si>
  <si>
    <t>DAKOTA ACADEMY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</si>
  <si>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</si>
  <si>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</si>
  <si>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</si>
  <si>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</si>
  <si>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</si>
  <si>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</si>
  <si>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</si>
  <si>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</si>
  <si>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</si>
  <si>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</si>
  <si>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</si>
  <si>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</si>
  <si>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</si>
  <si>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</si>
  <si>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</si>
  <si>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</si>
  <si>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</si>
  <si>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</si>
  <si>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</si>
  <si>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</si>
  <si>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</si>
  <si>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</si>
  <si>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</si>
  <si>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</si>
  <si>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</si>
  <si>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ORTONVILLE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</si>
  <si>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</si>
  <si>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</si>
  <si>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</si>
  <si>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</si>
  <si>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</si>
  <si>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</si>
  <si>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</si>
  <si>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</si>
  <si>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</si>
  <si>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</si>
  <si>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</si>
  <si>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</si>
  <si>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</si>
  <si>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</si>
  <si>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</si>
  <si>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</si>
  <si>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</si>
  <si>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</si>
  <si>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</si>
  <si>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</si>
  <si>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</si>
  <si>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</si>
  <si>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</si>
  <si>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</si>
  <si>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</si>
  <si>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</si>
  <si>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</si>
  <si>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</si>
  <si>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</si>
  <si>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</si>
  <si>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</si>
  <si>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</si>
  <si>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</si>
  <si>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</si>
  <si>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</si>
  <si>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</si>
  <si>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</si>
  <si>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</si>
  <si>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</si>
  <si>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</si>
  <si>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</si>
  <si>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</si>
  <si>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</si>
  <si>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</si>
  <si>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</si>
  <si>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</si>
  <si>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</si>
  <si>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</si>
  <si>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</si>
  <si>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</si>
  <si>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</si>
  <si>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</si>
  <si>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</si>
  <si>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</si>
  <si>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</si>
  <si>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</si>
  <si>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</si>
  <si>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</si>
  <si>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</si>
  <si>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</si>
  <si>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</si>
  <si>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</si>
  <si>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</si>
  <si>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</si>
  <si>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</si>
  <si>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</si>
  <si>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</si>
  <si>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</si>
  <si>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</si>
  <si>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</si>
  <si>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</si>
  <si>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</si>
  <si>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</si>
  <si>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</si>
  <si>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</si>
  <si>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</si>
  <si>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</si>
  <si>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</si>
  <si>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</si>
  <si>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</si>
  <si>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</si>
  <si>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</si>
  <si>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</si>
  <si>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</si>
  <si>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</si>
  <si>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</si>
  <si>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</si>
  <si>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</si>
  <si>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</si>
  <si>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</si>
  <si>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</si>
  <si>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</si>
  <si>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</si>
  <si>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</si>
  <si>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</si>
  <si>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</si>
  <si>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BELLINGHAM</t>
  </si>
  <si>
    <t>DAWSON</t>
  </si>
  <si>
    <t>LAKE SUPERIOR</t>
  </si>
  <si>
    <t>LAKE OF THE WOOD</t>
  </si>
  <si>
    <t>CLEVELAND</t>
  </si>
  <si>
    <t>LECENTER</t>
  </si>
  <si>
    <t>MONTGOMERY</t>
  </si>
  <si>
    <t>HENDRICKS</t>
  </si>
  <si>
    <t>IVANHOE</t>
  </si>
  <si>
    <t>LAKE BENTON</t>
  </si>
  <si>
    <t>BALATON</t>
  </si>
  <si>
    <t>MARSHALL</t>
  </si>
  <si>
    <t>MINNEOTA</t>
  </si>
  <si>
    <t>LYND</t>
  </si>
  <si>
    <t>TRACY</t>
  </si>
  <si>
    <t>HUTCHINSON</t>
  </si>
  <si>
    <t>LESTER PRAIRIE</t>
  </si>
  <si>
    <t>MAHNOMEN</t>
  </si>
  <si>
    <t>WAUBUN</t>
  </si>
  <si>
    <t>NEWFOLDEN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</si>
  <si>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</si>
  <si>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</si>
  <si>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</si>
  <si>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</si>
  <si>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</si>
  <si>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</si>
  <si>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</si>
  <si>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</si>
  <si>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</si>
  <si>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</si>
  <si>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</si>
  <si>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</si>
  <si>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</si>
  <si>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</si>
  <si>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</si>
  <si>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</si>
  <si>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</si>
  <si>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</si>
  <si>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</si>
  <si>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</si>
  <si>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</si>
  <si>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</si>
  <si>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</si>
  <si>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</si>
  <si>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</si>
  <si>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</si>
  <si>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</si>
  <si>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</si>
  <si>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</si>
  <si>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</si>
  <si>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</si>
  <si>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</si>
  <si>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</si>
  <si>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</si>
  <si>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</si>
  <si>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</si>
  <si>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</si>
  <si>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</si>
  <si>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</si>
  <si>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</si>
  <si>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</si>
  <si>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</si>
  <si>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</si>
  <si>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</si>
  <si>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</si>
  <si>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</si>
  <si>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</si>
  <si>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</si>
  <si>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</si>
  <si>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</si>
  <si>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</si>
  <si>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</si>
  <si>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</si>
  <si>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</si>
  <si>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</si>
  <si>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</si>
  <si>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</si>
  <si>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</si>
  <si>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</si>
  <si>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</si>
  <si>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</si>
  <si>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</si>
  <si>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</si>
  <si>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</si>
  <si>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</si>
  <si>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</si>
  <si>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</si>
  <si>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</si>
  <si>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</si>
  <si>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</si>
  <si>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</si>
  <si>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</si>
  <si>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</si>
  <si>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</si>
  <si>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</si>
  <si>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</si>
  <si>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</si>
  <si>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</si>
  <si>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</si>
  <si>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</si>
  <si>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</si>
  <si>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</si>
  <si>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</si>
  <si>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</si>
  <si>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</si>
  <si>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</si>
  <si>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</si>
  <si>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</si>
  <si>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</si>
  <si>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</si>
  <si>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</si>
  <si>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</si>
  <si>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</si>
  <si>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</si>
  <si>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</si>
  <si>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</si>
  <si>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</si>
  <si>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MORRIS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</si>
  <si>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</si>
  <si>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</si>
  <si>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</si>
  <si>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</si>
  <si>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</si>
  <si>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</si>
  <si>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</si>
  <si>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</si>
  <si>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</si>
  <si>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</si>
  <si>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</si>
  <si>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</si>
  <si>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</si>
  <si>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</si>
  <si>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</si>
  <si>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</si>
  <si>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</si>
  <si>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</si>
  <si>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</si>
  <si>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</si>
  <si>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</si>
  <si>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</si>
  <si>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</si>
  <si>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</si>
  <si>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</si>
  <si>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</si>
  <si>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</si>
  <si>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</si>
  <si>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</si>
  <si>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</si>
  <si>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</si>
  <si>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</si>
  <si>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</si>
  <si>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</si>
  <si>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</si>
  <si>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</si>
  <si>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</si>
  <si>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</si>
  <si>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</si>
  <si>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</si>
  <si>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</si>
  <si>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</si>
  <si>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</si>
  <si>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</si>
  <si>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</si>
  <si>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</si>
  <si>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</si>
  <si>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</si>
  <si>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</si>
  <si>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</si>
  <si>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</si>
  <si>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</si>
  <si>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</si>
  <si>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</si>
  <si>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</si>
  <si>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</si>
  <si>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</si>
  <si>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</si>
  <si>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</si>
  <si>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</si>
  <si>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</si>
  <si>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</si>
  <si>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</si>
  <si>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>FILMORE CENTRAL</t>
  </si>
  <si>
    <t>NORMAN COUNTY EAST</t>
  </si>
  <si>
    <t>SIBLEY EAST</t>
  </si>
  <si>
    <t>CLEARBROOK-GONVICK</t>
  </si>
  <si>
    <t>WEST CENTRAL AREA</t>
  </si>
  <si>
    <t>KARLSTAD-STRANDQ</t>
  </si>
  <si>
    <t>BELGRADE-BROOTEN-ELR</t>
  </si>
  <si>
    <t>G.F.W.</t>
  </si>
  <si>
    <t>A.C.G.C.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</si>
  <si>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</si>
  <si>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</si>
  <si>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</si>
  <si>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</si>
  <si>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</si>
  <si>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</si>
  <si>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</si>
  <si>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</si>
  <si>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</si>
  <si>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</si>
  <si>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</si>
  <si>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</si>
  <si>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</si>
  <si>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</si>
  <si>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</si>
  <si>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</si>
  <si>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</si>
  <si>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MADISON-MARIETTA-LACQUI PARLE-A.M.M.M.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</si>
  <si>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</si>
  <si>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</si>
  <si>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</si>
  <si>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</si>
  <si>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</si>
  <si>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</si>
  <si>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MCLEOD WEST SCHOOLS</t>
  </si>
  <si>
    <t>CLINTON-GRACEVILLE-BEARDSLEY</t>
  </si>
  <si>
    <t>LAKE PARK-AUDUBON</t>
  </si>
  <si>
    <t>DRSH</t>
  </si>
  <si>
    <t>JACKSON COUNTY CENTRAL</t>
  </si>
  <si>
    <t>REDWOOD AREA SCHOOLS</t>
  </si>
  <si>
    <t>WESTBROOK-WALNUT GROVE</t>
  </si>
  <si>
    <t>PLAINVIEW-ELGIN-MILLVILLE</t>
  </si>
  <si>
    <t>RUSSELL-TYLER-RUTHTON</t>
  </si>
  <si>
    <t>FY 2007</t>
  </si>
  <si>
    <t>FY 2008</t>
  </si>
  <si>
    <t>FY 2009</t>
  </si>
  <si>
    <t>FY 2010</t>
  </si>
  <si>
    <t>FY 2011</t>
  </si>
  <si>
    <t>CHARTER SCHOOL REFERENDUM AID PER PUPIL UNIT, FY 2007 TO FY 2011</t>
  </si>
  <si>
    <t>THESE ESTIMATES REFLECT DECREASING AID PORTIONS AS TAX BASES GROW FASTER THAN PUPIL COUNTS,</t>
  </si>
  <si>
    <t>AND ASSUME THAN AUTHORITIES WILL BE REPLACED AS THEY EXPIRE BUT WILL NOT INCREASE.</t>
  </si>
  <si>
    <t>TOTAL</t>
  </si>
  <si>
    <t xml:space="preserve"> = Charter School Number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</si>
  <si>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</si>
  <si>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</si>
  <si>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</si>
  <si>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</si>
  <si>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</si>
  <si>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</si>
  <si>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</si>
  <si>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</si>
  <si>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</si>
  <si>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</si>
  <si>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AID</t>
  </si>
  <si>
    <t>PER PU</t>
  </si>
  <si>
    <t>PRODUCT</t>
  </si>
  <si>
    <t>PUPIL</t>
  </si>
  <si>
    <t>UNITS</t>
  </si>
  <si>
    <t>ESTIMATED REFERENDUM AID PER PUPIL UNIT, FY 2007 TO FY 2011</t>
  </si>
  <si>
    <t>CHART_REFAID_0711</t>
  </si>
  <si>
    <t>L</t>
  </si>
  <si>
    <t>Notes</t>
  </si>
  <si>
    <t>1.</t>
  </si>
  <si>
    <t>2.</t>
  </si>
  <si>
    <t>3.</t>
  </si>
  <si>
    <t>By following these instructions, you run the "School" macro.</t>
  </si>
  <si>
    <t>The "Report" worksheet includes these instructions:</t>
  </si>
  <si>
    <t>The macro sorts school districts in descending order of the number of pupil units</t>
  </si>
  <si>
    <t>For charter schools, referendum revenue per pupil unit equals the weighted</t>
  </si>
  <si>
    <t>average of the referendum aids per pupil unit received by the charter school's</t>
  </si>
  <si>
    <t xml:space="preserve">students' school districts  of residence. </t>
  </si>
  <si>
    <t>It is assumed that the percentage distribution of each charter school's pupil</t>
  </si>
  <si>
    <t>and 40% came from St. Paul, it is assumed that this 60-40 split will remain</t>
  </si>
  <si>
    <t>in effect for all future years.</t>
  </si>
  <si>
    <t>INSTRUCTIONS:  ENTER THE SCHOOL NUMBER IN CELL A1 (THE</t>
  </si>
  <si>
    <t>YELLOW CELL), THEN READ IN THE SCHOOL'S INPUTS BY HOLDING</t>
  </si>
  <si>
    <t>DOWN THE CTRL KEY AND SIMULTANEOUSLY HITTING THE "A" KEY.</t>
  </si>
  <si>
    <t>4.</t>
  </si>
  <si>
    <t>reside in the district in which the charter school is located.  To carry out this</t>
  </si>
  <si>
    <t>assumption, the spreadsheet assigns 1 pupil unit to the local district and</t>
  </si>
  <si>
    <t>zero pupil units to all other districts.</t>
  </si>
  <si>
    <t>In the portion of the "Report" worksheet that relates to specific school districts,</t>
  </si>
  <si>
    <t>columns H through M are calculated from columns A through G.</t>
  </si>
  <si>
    <t>In the line that shows a school's overall average referendum aid per pupil unit,</t>
  </si>
  <si>
    <t>columns B through G are calculated from column A and columns H through M.</t>
  </si>
  <si>
    <t>5.</t>
  </si>
  <si>
    <t>This approach gives the weighted average referendum aid per pupil unit for</t>
  </si>
  <si>
    <t>all the districts where students live, with the weighting factor being the</t>
  </si>
  <si>
    <t>pupil units shown in column A.</t>
  </si>
  <si>
    <t>from actual values.</t>
  </si>
  <si>
    <t>6.</t>
  </si>
  <si>
    <t>7.</t>
  </si>
  <si>
    <t>This is explained by the fact that charter schools receive only the aid portion of</t>
  </si>
  <si>
    <t>As property tax bases increase while student counts are fairly constant, an</t>
  </si>
  <si>
    <t>increasing portion of school districts' referendum revenue under current law is</t>
  </si>
  <si>
    <t>received as levy and a decreasing portion is received as aid.  This results in less</t>
  </si>
  <si>
    <t>revenue for charter schools.</t>
  </si>
  <si>
    <t>Charter schools' operating revenue per pupil unit tends to decrease over time.</t>
  </si>
  <si>
    <t>resident school districts' operating referendum revenue.</t>
  </si>
  <si>
    <t>living in Centennial #12 and 40% living in Columbia Heights #13, the</t>
  </si>
  <si>
    <t>can be found in the "Report" worksheet.</t>
  </si>
  <si>
    <t>FY 2007 CHARTER SCHOOL PUPIL UNITS BY RESIDENT DISTRICT</t>
  </si>
  <si>
    <t>RPU IN</t>
  </si>
  <si>
    <t>SCHOOL</t>
  </si>
  <si>
    <t>ELOM INTERNATIONAL SCHOOL</t>
  </si>
  <si>
    <t>EAST RANGE ACADEMY OF TECH &amp;SCIENCE</t>
  </si>
  <si>
    <t>INTERNATIONAL SPANISH LANGUAGE ACAD</t>
  </si>
  <si>
    <t>GLACIAL HILLS ELEMENTARY</t>
  </si>
  <si>
    <t>ELLIOT PARK COMMUNITY SCHOOL</t>
  </si>
  <si>
    <t>HIAWATHA LEADERSHIP ACADEMY</t>
  </si>
  <si>
    <t>NOBLE ACADEMY</t>
  </si>
  <si>
    <t>CLARKFIELD CHARTER SCHOOL</t>
  </si>
  <si>
    <t>DUNWOODY ACADEMY</t>
  </si>
  <si>
    <t>PINE GROVE LEADERSHIP ACADEMY</t>
  </si>
  <si>
    <t>LONG TIENG ACADEMY</t>
  </si>
  <si>
    <t>MINISINAAKWAANG LEADERSHIP ACADEMY</t>
  </si>
  <si>
    <t>LINCOLN INTERNATIONAL SCHOOL</t>
  </si>
  <si>
    <t>EMILY O. GOODRIDGE-GREY ACCELERATED</t>
  </si>
  <si>
    <t>COMMUNITY SCHOOL OF EXCELLENCE</t>
  </si>
  <si>
    <t>COMMUNITY SCHOOL OF EXCELLENCE #4181</t>
  </si>
  <si>
    <t>INSTRUCTIONS:  ENTER THE SCHOOL NUMBER IN CELL A1</t>
  </si>
  <si>
    <t>(THE YELLOW CELL), THEN READ IN THE SCHOOL'S INPUTS</t>
  </si>
  <si>
    <t>BY HOLDING DOWN THE CTRL KEY AND SIMULTANEOUSLY</t>
  </si>
  <si>
    <t>HITTING THE "A" KEY.</t>
  </si>
  <si>
    <t>n/a</t>
  </si>
  <si>
    <t>units among resident school districts won't change after FY 2007.  For</t>
  </si>
  <si>
    <t>example, if 60% of a school's FY 2007 pupil units came from Minneapolis,</t>
  </si>
  <si>
    <t>generated for the charter school in FY 2007.</t>
  </si>
  <si>
    <t>For charter schools that open in FY 2008, it is assumed that all pupil units</t>
  </si>
  <si>
    <t>For charter schools that open in FY 2009 or later, it may be easiest to  do a</t>
  </si>
  <si>
    <t>manual calculation.  If a school opens in FY 2009, with 60% of the pupil units</t>
  </si>
  <si>
    <t>estimated average FY 2009 referendum aid per pupil unit would be</t>
  </si>
  <si>
    <t>For example, a school's average FY 2007 referendum aid per pupil unit is found</t>
  </si>
  <si>
    <t xml:space="preserve">by dividing its total FY 2007 referendum aid (see column H) divided by its </t>
  </si>
  <si>
    <t>total FY 2007 pupil units (see column A).</t>
  </si>
  <si>
    <t>The FY 2007 aids per pupil unit shown here may contain rounding discrepancies</t>
  </si>
  <si>
    <t>(0.60 x 169.89) + (0.40 x 0.00) =  101.93.  The 169.89 and the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</si>
</sst>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</font>
    <font>
      <b/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/>
    <xf numFmtId="4" fontId="0" fillId="0" borderId="0" xfId="0" applyNumberFormat="1" applyBorder="1"/>
    <xf numFmtId="0" fontId="1" fillId="0" borderId="0" xfId="0" applyFont="1" applyFill="1" applyBorder="1"/>
    <xf numFmtId="0" fontId="1" fillId="0" borderId="0" xfId="0" applyFont="1" applyFill="1" applyBorder="1" applyAlignment="1" applyProtection="1">
      <alignment horizontal="left"/>
    </xf>
    <xf numFmtId="164" fontId="1" fillId="0" borderId="0" xfId="0" applyNumberFormat="1" applyFont="1" applyFill="1" applyBorder="1" applyAlignment="1" applyProtection="1">
      <alignment horizontal="left"/>
    </xf>
    <xf numFmtId="0" fontId="1" fillId="0" borderId="0" xfId="0" applyFont="1" applyBorder="1" applyAlignment="1" applyProtection="1">
      <alignment horizontal="left"/>
    </xf>
    <xf numFmtId="0" fontId="0" fillId="2" borderId="0" xfId="0" applyFill="1"/>
    <xf numFmtId="0" fontId="0" fillId="0" borderId="0" xfId="0" applyFill="1" applyBorder="1"/>
    <xf numFmtId="0" fontId="0" fillId="0" borderId="0" xfId="0" quotePrefix="1"/>
    <xf numFmtId="1" fontId="0" fillId="0" borderId="0" xfId="0" applyNumberFormat="1" applyProtection="1"/>
    <xf numFmtId="0" fontId="0" fillId="0" borderId="0" xfId="0" applyAlignment="1" applyProtection="1">
      <alignment horizontal="left"/>
    </xf>
    <xf numFmtId="164" fontId="0" fillId="0" borderId="0" xfId="0" applyNumberFormat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0" fontId="1" fillId="0" borderId="0" xfId="0" applyFont="1" applyBorder="1"/>
    <xf numFmtId="4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0" fontId="1" fillId="0" borderId="0" xfId="0" quotePrefix="1" applyFont="1" applyBorder="1" applyAlignment="1" applyProtection="1">
      <alignment horizontal="left"/>
    </xf>
    <xf numFmtId="14" fontId="1" fillId="0" borderId="0" xfId="0" applyNumberFormat="1" applyFont="1" applyBorder="1"/>
    <xf numFmtId="0" fontId="1" fillId="3" borderId="0" xfId="0" applyFont="1" applyFill="1" applyBorder="1" applyAlignment="1">
      <alignment horizontal="right"/>
    </xf>
    <xf numFmtId="0" fontId="1" fillId="0" borderId="0" xfId="0" quotePrefix="1" applyFont="1" applyBorder="1" applyAlignment="1">
      <alignment horizontal="right"/>
    </xf>
    <xf numFmtId="0" fontId="1" fillId="3" borderId="0" xfId="0" applyFont="1" applyFill="1" applyBorder="1"/>
    <xf numFmtId="4" fontId="1" fillId="3" borderId="0" xfId="0" applyNumberFormat="1" applyFont="1" applyFill="1" applyBorder="1" applyAlignment="1">
      <alignment horizontal="right"/>
    </xf>
    <xf numFmtId="4" fontId="1" fillId="0" borderId="0" xfId="0" applyNumberFormat="1" applyFont="1" applyFill="1" applyBorder="1"/>
    <xf numFmtId="4" fontId="1" fillId="0" borderId="0" xfId="0" applyNumberFormat="1" applyFont="1"/>
    <xf numFmtId="0" fontId="3" fillId="0" borderId="0" xfId="0" applyFont="1" applyBorder="1" applyAlignment="1" applyProtection="1">
      <alignment horizontal="left"/>
    </xf>
    <xf numFmtId="0" fontId="3" fillId="0" borderId="0" xfId="0" quotePrefix="1" applyFont="1" applyBorder="1" applyAlignment="1" applyProtection="1">
      <alignment horizontal="left"/>
    </xf>
    <xf numFmtId="0" fontId="3" fillId="0" borderId="0" xfId="0" applyFont="1" applyBorder="1"/>
    <xf numFmtId="4" fontId="0" fillId="0" borderId="0" xfId="0" applyNumberFormat="1" applyAlignment="1">
      <alignment horizontal="right"/>
    </xf>
    <xf numFmtId="0" fontId="4" fillId="0" borderId="0" xfId="0" applyFont="1" applyBorder="1"/>
    <xf numFmtId="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37"/>
  <sheetViews>
    <sheetView workbookViewId="0">
      <selection activeCell="C7" sqref="C7"/>
    </sheetView>
  </sheetViews>
  <sheetFormatPr defaultRowHeight="12.75" x14ac:dyDescent="0.2"/>
  <cols>
    <col min="2" max="2" width="3.7109375" customWidth="1"/>
    <col min="3" max="3" width="20.7109375" customWidth="1"/>
    <col min="4" max="8" width="14.7109375" customWidth="1"/>
  </cols>
  <sheetData>
    <row r="1" spans="1:8" x14ac:dyDescent="0.2">
      <c r="A1" t="s">
        <v>476</v>
      </c>
    </row>
    <row r="2" spans="1:8" x14ac:dyDescent="0.2">
      <c r="A2" t="s">
        <v>477</v>
      </c>
    </row>
    <row r="3" spans="1:8" x14ac:dyDescent="0.2">
      <c r="A3" t="s">
        <v>478</v>
      </c>
    </row>
    <row r="5" spans="1:8" x14ac:dyDescent="0.2">
      <c r="D5" s="2" t="s">
        <v>471</v>
      </c>
      <c r="E5" s="2" t="s">
        <v>472</v>
      </c>
      <c r="F5" s="2" t="s">
        <v>473</v>
      </c>
      <c r="G5" s="2" t="s">
        <v>474</v>
      </c>
      <c r="H5" s="2" t="s">
        <v>475</v>
      </c>
    </row>
    <row r="7" spans="1:8" x14ac:dyDescent="0.2">
      <c r="A7">
        <v>4000</v>
      </c>
      <c r="B7">
        <v>7</v>
      </c>
      <c r="C7" t="s">
        <v>0</v>
      </c>
      <c r="D7" s="1">
        <v>121.5</v>
      </c>
      <c r="E7" s="1">
        <v>93.13</v>
      </c>
      <c r="F7" s="1">
        <v>57.03</v>
      </c>
      <c r="G7" s="1">
        <v>23.85</v>
      </c>
      <c r="H7" s="1">
        <v>0</v>
      </c>
    </row>
    <row r="8" spans="1:8" x14ac:dyDescent="0.2">
      <c r="A8">
        <v>4001</v>
      </c>
      <c r="B8">
        <v>7</v>
      </c>
      <c r="C8" t="s">
        <v>1</v>
      </c>
      <c r="D8" s="1">
        <v>93.56</v>
      </c>
      <c r="E8" s="1">
        <v>29.8</v>
      </c>
      <c r="F8" s="1">
        <v>6.73</v>
      </c>
      <c r="G8" s="1">
        <v>5.04</v>
      </c>
      <c r="H8" s="1">
        <v>3.25</v>
      </c>
    </row>
    <row r="9" spans="1:8" x14ac:dyDescent="0.2">
      <c r="A9">
        <v>4003</v>
      </c>
      <c r="B9">
        <v>7</v>
      </c>
      <c r="C9" t="s">
        <v>2</v>
      </c>
      <c r="D9" s="1">
        <v>6.46</v>
      </c>
      <c r="E9" s="1">
        <v>4.13</v>
      </c>
      <c r="F9" s="1">
        <v>1.79</v>
      </c>
      <c r="G9" s="1">
        <v>0.54</v>
      </c>
      <c r="H9" s="1">
        <v>0</v>
      </c>
    </row>
    <row r="10" spans="1:8" x14ac:dyDescent="0.2">
      <c r="A10">
        <v>4004</v>
      </c>
      <c r="B10">
        <v>7</v>
      </c>
      <c r="C10" t="s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2">
      <c r="A11">
        <v>4005</v>
      </c>
      <c r="B11">
        <v>7</v>
      </c>
      <c r="C11" t="s">
        <v>4</v>
      </c>
      <c r="D11" s="1">
        <v>87.33</v>
      </c>
      <c r="E11" s="1">
        <v>55.44</v>
      </c>
      <c r="F11" s="1">
        <v>24.36</v>
      </c>
      <c r="G11" s="1">
        <v>10.19</v>
      </c>
      <c r="H11" s="1">
        <v>0</v>
      </c>
    </row>
    <row r="12" spans="1:8" x14ac:dyDescent="0.2">
      <c r="A12">
        <v>4006</v>
      </c>
      <c r="B12">
        <v>7</v>
      </c>
      <c r="C12" t="s">
        <v>5</v>
      </c>
      <c r="D12" s="1">
        <v>85.79</v>
      </c>
      <c r="E12" s="1">
        <v>65.33</v>
      </c>
      <c r="F12" s="1">
        <v>39.979999999999997</v>
      </c>
      <c r="G12" s="1">
        <v>16.72</v>
      </c>
      <c r="H12" s="1">
        <v>0</v>
      </c>
    </row>
    <row r="13" spans="1:8" x14ac:dyDescent="0.2">
      <c r="A13">
        <v>4007</v>
      </c>
      <c r="B13">
        <v>7</v>
      </c>
      <c r="C13" t="s">
        <v>6</v>
      </c>
      <c r="D13" s="1">
        <v>176.05</v>
      </c>
      <c r="E13" s="1">
        <v>153.5</v>
      </c>
      <c r="F13" s="1">
        <v>119.7</v>
      </c>
      <c r="G13" s="1">
        <v>87.64</v>
      </c>
      <c r="H13" s="1">
        <v>51.04</v>
      </c>
    </row>
    <row r="14" spans="1:8" x14ac:dyDescent="0.2">
      <c r="A14">
        <v>4008</v>
      </c>
      <c r="B14">
        <v>7</v>
      </c>
      <c r="C14" t="s">
        <v>7</v>
      </c>
      <c r="D14" s="1">
        <v>183.4</v>
      </c>
      <c r="E14" s="1">
        <v>153.41999999999999</v>
      </c>
      <c r="F14" s="1">
        <v>76.599999999999994</v>
      </c>
      <c r="G14" s="1">
        <v>15.14</v>
      </c>
      <c r="H14" s="1">
        <v>1.73</v>
      </c>
    </row>
    <row r="15" spans="1:8" x14ac:dyDescent="0.2">
      <c r="A15">
        <v>4011</v>
      </c>
      <c r="B15">
        <v>7</v>
      </c>
      <c r="C15" t="s">
        <v>8</v>
      </c>
      <c r="D15" s="1">
        <v>9.74</v>
      </c>
      <c r="E15" s="1">
        <v>6.53</v>
      </c>
      <c r="F15" s="1">
        <v>3.55</v>
      </c>
      <c r="G15" s="1">
        <v>1.1000000000000001</v>
      </c>
      <c r="H15" s="1">
        <v>0.22</v>
      </c>
    </row>
    <row r="16" spans="1:8" x14ac:dyDescent="0.2">
      <c r="A16">
        <v>4012</v>
      </c>
      <c r="B16">
        <v>7</v>
      </c>
      <c r="C16" t="s">
        <v>9</v>
      </c>
      <c r="D16" s="1">
        <v>57.12</v>
      </c>
      <c r="E16" s="1">
        <v>17.13</v>
      </c>
      <c r="F16" s="1">
        <v>7.0000000000000007E-2</v>
      </c>
      <c r="G16" s="1">
        <v>0</v>
      </c>
      <c r="H16" s="1">
        <v>0</v>
      </c>
    </row>
    <row r="17" spans="1:8" x14ac:dyDescent="0.2">
      <c r="A17">
        <v>4015</v>
      </c>
      <c r="B17">
        <v>7</v>
      </c>
      <c r="C17" t="s">
        <v>10</v>
      </c>
      <c r="D17" s="1">
        <v>117.02</v>
      </c>
      <c r="E17" s="1">
        <v>89.7</v>
      </c>
      <c r="F17" s="1">
        <v>54.88</v>
      </c>
      <c r="G17" s="1">
        <v>23.06</v>
      </c>
      <c r="H17" s="1">
        <v>0.21</v>
      </c>
    </row>
    <row r="18" spans="1:8" x14ac:dyDescent="0.2">
      <c r="A18">
        <v>4016</v>
      </c>
      <c r="B18">
        <v>7</v>
      </c>
      <c r="C18" t="s">
        <v>11</v>
      </c>
      <c r="D18" s="1">
        <v>59.63</v>
      </c>
      <c r="E18" s="1">
        <v>30.26</v>
      </c>
      <c r="F18" s="1">
        <v>0</v>
      </c>
      <c r="G18" s="1">
        <v>0</v>
      </c>
      <c r="H18" s="1">
        <v>0</v>
      </c>
    </row>
    <row r="19" spans="1:8" x14ac:dyDescent="0.2">
      <c r="A19">
        <v>4017</v>
      </c>
      <c r="B19">
        <v>7</v>
      </c>
      <c r="C19" t="s">
        <v>12</v>
      </c>
      <c r="D19" s="1">
        <v>15.92</v>
      </c>
      <c r="E19" s="1">
        <v>11.83</v>
      </c>
      <c r="F19" s="1">
        <v>7.22</v>
      </c>
      <c r="G19" s="1">
        <v>3.45</v>
      </c>
      <c r="H19" s="1">
        <v>1.05</v>
      </c>
    </row>
    <row r="20" spans="1:8" x14ac:dyDescent="0.2">
      <c r="A20">
        <v>4018</v>
      </c>
      <c r="B20">
        <v>7</v>
      </c>
      <c r="C20" t="s">
        <v>13</v>
      </c>
      <c r="D20" s="1">
        <v>113.32</v>
      </c>
      <c r="E20" s="1">
        <v>86.73</v>
      </c>
      <c r="F20" s="1">
        <v>52.75</v>
      </c>
      <c r="G20" s="1">
        <v>21.92</v>
      </c>
      <c r="H20" s="1">
        <v>0.09</v>
      </c>
    </row>
    <row r="21" spans="1:8" x14ac:dyDescent="0.2">
      <c r="A21">
        <v>4020</v>
      </c>
      <c r="B21">
        <v>7</v>
      </c>
      <c r="C21" t="s">
        <v>14</v>
      </c>
      <c r="D21" s="1">
        <v>95.01</v>
      </c>
      <c r="E21" s="1">
        <v>55.74</v>
      </c>
      <c r="F21" s="1">
        <v>8.6300000000000008</v>
      </c>
      <c r="G21" s="1">
        <v>0.18</v>
      </c>
      <c r="H21" s="1">
        <v>0.14000000000000001</v>
      </c>
    </row>
    <row r="22" spans="1:8" x14ac:dyDescent="0.2">
      <c r="A22">
        <v>4025</v>
      </c>
      <c r="B22">
        <v>7</v>
      </c>
      <c r="C22" t="s">
        <v>15</v>
      </c>
      <c r="D22" s="1">
        <v>61.51</v>
      </c>
      <c r="E22" s="1">
        <v>44.04</v>
      </c>
      <c r="F22" s="1">
        <v>24.51</v>
      </c>
      <c r="G22" s="1">
        <v>9.68</v>
      </c>
      <c r="H22" s="1">
        <v>1.65</v>
      </c>
    </row>
    <row r="23" spans="1:8" x14ac:dyDescent="0.2">
      <c r="A23">
        <v>4026</v>
      </c>
      <c r="B23">
        <v>7</v>
      </c>
      <c r="C23" t="s">
        <v>16</v>
      </c>
      <c r="D23" s="1">
        <v>280.75</v>
      </c>
      <c r="E23" s="1">
        <v>267.55</v>
      </c>
      <c r="F23" s="1">
        <v>244.87</v>
      </c>
      <c r="G23" s="1">
        <v>213.46</v>
      </c>
      <c r="H23" s="1">
        <v>180.53</v>
      </c>
    </row>
    <row r="24" spans="1:8" x14ac:dyDescent="0.2">
      <c r="A24">
        <v>4027</v>
      </c>
      <c r="B24">
        <v>7</v>
      </c>
      <c r="C24" t="s">
        <v>17</v>
      </c>
      <c r="D24" s="1">
        <v>74.23</v>
      </c>
      <c r="E24" s="1">
        <v>56.9</v>
      </c>
      <c r="F24" s="1">
        <v>34.840000000000003</v>
      </c>
      <c r="G24" s="1">
        <v>14.57</v>
      </c>
      <c r="H24" s="1">
        <v>0</v>
      </c>
    </row>
    <row r="25" spans="1:8" x14ac:dyDescent="0.2">
      <c r="A25">
        <v>4028</v>
      </c>
      <c r="B25">
        <v>7</v>
      </c>
      <c r="C25" t="s">
        <v>18</v>
      </c>
      <c r="D25" s="1">
        <v>295.08999999999997</v>
      </c>
      <c r="E25" s="1">
        <v>283.39</v>
      </c>
      <c r="F25" s="1">
        <v>271.11</v>
      </c>
      <c r="G25" s="1">
        <v>247.83</v>
      </c>
      <c r="H25" s="1">
        <v>221.88</v>
      </c>
    </row>
    <row r="26" spans="1:8" x14ac:dyDescent="0.2">
      <c r="A26">
        <v>4029</v>
      </c>
      <c r="B26">
        <v>7</v>
      </c>
      <c r="C26" t="s">
        <v>19</v>
      </c>
      <c r="D26" s="1">
        <v>117.9</v>
      </c>
      <c r="E26" s="1">
        <v>90.3</v>
      </c>
      <c r="F26" s="1">
        <v>55.26</v>
      </c>
      <c r="G26" s="1">
        <v>23.02</v>
      </c>
      <c r="H26" s="1">
        <v>0</v>
      </c>
    </row>
    <row r="27" spans="1:8" x14ac:dyDescent="0.2">
      <c r="A27">
        <v>4030</v>
      </c>
      <c r="B27">
        <v>7</v>
      </c>
      <c r="C27" t="s">
        <v>20</v>
      </c>
      <c r="D27" s="1">
        <v>72.14</v>
      </c>
      <c r="E27" s="1">
        <v>22.68</v>
      </c>
      <c r="F27" s="1">
        <v>7.93</v>
      </c>
      <c r="G27" s="1">
        <v>1.69</v>
      </c>
      <c r="H27" s="1">
        <v>0</v>
      </c>
    </row>
    <row r="28" spans="1:8" x14ac:dyDescent="0.2">
      <c r="A28">
        <v>4031</v>
      </c>
      <c r="B28">
        <v>7</v>
      </c>
      <c r="C28" t="s">
        <v>21</v>
      </c>
      <c r="D28" s="1">
        <v>105.75</v>
      </c>
      <c r="E28" s="1">
        <v>80.510000000000005</v>
      </c>
      <c r="F28" s="1">
        <v>48.88</v>
      </c>
      <c r="G28" s="1">
        <v>20.27</v>
      </c>
      <c r="H28" s="1">
        <v>0</v>
      </c>
    </row>
    <row r="29" spans="1:8" x14ac:dyDescent="0.2">
      <c r="A29">
        <v>4032</v>
      </c>
      <c r="B29">
        <v>7</v>
      </c>
      <c r="C29" t="s">
        <v>22</v>
      </c>
      <c r="D29" s="1">
        <v>15.74</v>
      </c>
      <c r="E29" s="1">
        <v>6.81</v>
      </c>
      <c r="F29" s="1">
        <v>3.23</v>
      </c>
      <c r="G29" s="1">
        <v>0.82</v>
      </c>
      <c r="H29" s="1">
        <v>0</v>
      </c>
    </row>
    <row r="30" spans="1:8" x14ac:dyDescent="0.2">
      <c r="A30">
        <v>4035</v>
      </c>
      <c r="B30">
        <v>7</v>
      </c>
      <c r="C30" t="s">
        <v>23</v>
      </c>
      <c r="D30" s="1">
        <v>106.69</v>
      </c>
      <c r="E30" s="1">
        <v>82.16</v>
      </c>
      <c r="F30" s="1">
        <v>50.02</v>
      </c>
      <c r="G30" s="1">
        <v>20.86</v>
      </c>
      <c r="H30" s="1">
        <v>0.93</v>
      </c>
    </row>
    <row r="31" spans="1:8" x14ac:dyDescent="0.2">
      <c r="A31">
        <v>4036</v>
      </c>
      <c r="B31">
        <v>7</v>
      </c>
      <c r="C31" t="s">
        <v>24</v>
      </c>
      <c r="D31" s="1">
        <v>121.5</v>
      </c>
      <c r="E31" s="1">
        <v>93.13</v>
      </c>
      <c r="F31" s="1">
        <v>57.03</v>
      </c>
      <c r="G31" s="1">
        <v>23.85</v>
      </c>
      <c r="H31" s="1">
        <v>0</v>
      </c>
    </row>
    <row r="32" spans="1:8" x14ac:dyDescent="0.2">
      <c r="A32">
        <v>4038</v>
      </c>
      <c r="B32">
        <v>7</v>
      </c>
      <c r="C32" t="s">
        <v>25</v>
      </c>
      <c r="D32" s="1">
        <v>0.84</v>
      </c>
      <c r="E32" s="1">
        <v>0.55000000000000004</v>
      </c>
      <c r="F32" s="1">
        <v>0.34</v>
      </c>
      <c r="G32" s="1">
        <v>0.12</v>
      </c>
      <c r="H32" s="1">
        <v>0</v>
      </c>
    </row>
    <row r="33" spans="1:8" x14ac:dyDescent="0.2">
      <c r="A33">
        <v>4039</v>
      </c>
      <c r="B33">
        <v>7</v>
      </c>
      <c r="C33" t="s">
        <v>26</v>
      </c>
      <c r="D33" s="1">
        <v>73.62</v>
      </c>
      <c r="E33" s="1">
        <v>53.01</v>
      </c>
      <c r="F33" s="1">
        <v>30.71</v>
      </c>
      <c r="G33" s="1">
        <v>12.42</v>
      </c>
      <c r="H33" s="1">
        <v>0</v>
      </c>
    </row>
    <row r="34" spans="1:8" x14ac:dyDescent="0.2">
      <c r="A34">
        <v>4042</v>
      </c>
      <c r="B34">
        <v>7</v>
      </c>
      <c r="C34" t="s">
        <v>27</v>
      </c>
      <c r="D34" s="1">
        <v>99.83</v>
      </c>
      <c r="E34" s="1">
        <v>75.55</v>
      </c>
      <c r="F34" s="1">
        <v>45.48</v>
      </c>
      <c r="G34" s="1">
        <v>18.920000000000002</v>
      </c>
      <c r="H34" s="1">
        <v>0</v>
      </c>
    </row>
    <row r="35" spans="1:8" x14ac:dyDescent="0.2">
      <c r="A35">
        <v>4043</v>
      </c>
      <c r="B35">
        <v>7</v>
      </c>
      <c r="C35" t="s">
        <v>28</v>
      </c>
      <c r="D35" s="1">
        <v>123.95</v>
      </c>
      <c r="E35" s="1">
        <v>86.03</v>
      </c>
      <c r="F35" s="1">
        <v>28.34</v>
      </c>
      <c r="G35" s="1">
        <v>0.76</v>
      </c>
      <c r="H35" s="1">
        <v>0</v>
      </c>
    </row>
    <row r="36" spans="1:8" x14ac:dyDescent="0.2">
      <c r="A36">
        <v>4044</v>
      </c>
      <c r="B36">
        <v>7</v>
      </c>
      <c r="C36" t="s">
        <v>29</v>
      </c>
      <c r="D36" s="1">
        <v>4.84</v>
      </c>
      <c r="E36" s="1">
        <v>2.72</v>
      </c>
      <c r="F36" s="1">
        <v>1.58</v>
      </c>
      <c r="G36" s="1">
        <v>0.66</v>
      </c>
      <c r="H36" s="1">
        <v>0</v>
      </c>
    </row>
    <row r="37" spans="1:8" x14ac:dyDescent="0.2">
      <c r="A37">
        <v>4045</v>
      </c>
      <c r="B37">
        <v>7</v>
      </c>
      <c r="C37" t="s">
        <v>30</v>
      </c>
      <c r="D37" s="1">
        <v>93.38</v>
      </c>
      <c r="E37" s="1">
        <v>61.26</v>
      </c>
      <c r="F37" s="1">
        <v>44.44</v>
      </c>
      <c r="G37" s="1">
        <v>26.47</v>
      </c>
      <c r="H37" s="1">
        <v>14.87</v>
      </c>
    </row>
    <row r="38" spans="1:8" x14ac:dyDescent="0.2">
      <c r="A38">
        <v>4046</v>
      </c>
      <c r="B38">
        <v>7</v>
      </c>
      <c r="C38" t="s">
        <v>31</v>
      </c>
      <c r="D38" s="1">
        <v>87.66</v>
      </c>
      <c r="E38" s="1">
        <v>51.45</v>
      </c>
      <c r="F38" s="1">
        <v>8.0299999999999994</v>
      </c>
      <c r="G38" s="1">
        <v>0</v>
      </c>
      <c r="H38" s="1">
        <v>0</v>
      </c>
    </row>
    <row r="39" spans="1:8" x14ac:dyDescent="0.2">
      <c r="A39">
        <v>4048</v>
      </c>
      <c r="B39">
        <v>7</v>
      </c>
      <c r="C39" t="s">
        <v>32</v>
      </c>
      <c r="D39" s="1">
        <v>29.85</v>
      </c>
      <c r="E39" s="1">
        <v>8.7100000000000009</v>
      </c>
      <c r="F39" s="1">
        <v>6.46</v>
      </c>
      <c r="G39" s="1">
        <v>4.07</v>
      </c>
      <c r="H39" s="1">
        <v>2.57</v>
      </c>
    </row>
    <row r="40" spans="1:8" x14ac:dyDescent="0.2">
      <c r="A40">
        <v>4049</v>
      </c>
      <c r="B40">
        <v>7</v>
      </c>
      <c r="C40" t="s">
        <v>33</v>
      </c>
      <c r="D40" s="1">
        <v>170.88</v>
      </c>
      <c r="E40" s="1">
        <v>139.82</v>
      </c>
      <c r="F40" s="1">
        <v>75.86</v>
      </c>
      <c r="G40" s="1">
        <v>12.77</v>
      </c>
      <c r="H40" s="1">
        <v>0.79</v>
      </c>
    </row>
    <row r="41" spans="1:8" x14ac:dyDescent="0.2">
      <c r="A41">
        <v>4050</v>
      </c>
      <c r="B41">
        <v>7</v>
      </c>
      <c r="C41" t="s">
        <v>34</v>
      </c>
      <c r="D41" s="1">
        <v>171.18</v>
      </c>
      <c r="E41" s="1">
        <v>144.24</v>
      </c>
      <c r="F41" s="1">
        <v>107.83</v>
      </c>
      <c r="G41" s="1">
        <v>60.36</v>
      </c>
      <c r="H41" s="1">
        <v>26.18</v>
      </c>
    </row>
    <row r="42" spans="1:8" x14ac:dyDescent="0.2">
      <c r="A42">
        <v>4052</v>
      </c>
      <c r="B42">
        <v>7</v>
      </c>
      <c r="C42" t="s">
        <v>35</v>
      </c>
      <c r="D42" s="1">
        <v>8.98</v>
      </c>
      <c r="E42" s="1">
        <v>5.09</v>
      </c>
      <c r="F42" s="1">
        <v>2.75</v>
      </c>
      <c r="G42" s="1">
        <v>0.67</v>
      </c>
      <c r="H42" s="1">
        <v>0</v>
      </c>
    </row>
    <row r="43" spans="1:8" x14ac:dyDescent="0.2">
      <c r="A43">
        <v>4053</v>
      </c>
      <c r="B43">
        <v>7</v>
      </c>
      <c r="C43" t="s">
        <v>36</v>
      </c>
      <c r="D43" s="1">
        <v>83.42</v>
      </c>
      <c r="E43" s="1">
        <v>14.49</v>
      </c>
      <c r="F43" s="1">
        <v>1.48</v>
      </c>
      <c r="G43" s="1">
        <v>0.67</v>
      </c>
      <c r="H43" s="1">
        <v>0.23</v>
      </c>
    </row>
    <row r="44" spans="1:8" x14ac:dyDescent="0.2">
      <c r="A44">
        <v>4054</v>
      </c>
      <c r="B44">
        <v>7</v>
      </c>
      <c r="C44" t="s">
        <v>37</v>
      </c>
      <c r="D44" s="1">
        <v>0.4</v>
      </c>
      <c r="E44" s="1">
        <v>0.34</v>
      </c>
      <c r="F44" s="1">
        <v>0.26</v>
      </c>
      <c r="G44" s="1">
        <v>0.15</v>
      </c>
      <c r="H44" s="1">
        <v>0.04</v>
      </c>
    </row>
    <row r="45" spans="1:8" x14ac:dyDescent="0.2">
      <c r="A45">
        <v>4055</v>
      </c>
      <c r="B45">
        <v>7</v>
      </c>
      <c r="C45" t="s">
        <v>38</v>
      </c>
      <c r="D45" s="1">
        <v>130.38999999999999</v>
      </c>
      <c r="E45" s="1">
        <v>100.66</v>
      </c>
      <c r="F45" s="1">
        <v>68.400000000000006</v>
      </c>
      <c r="G45" s="1">
        <v>32.86</v>
      </c>
      <c r="H45" s="1">
        <v>9.4499999999999993</v>
      </c>
    </row>
    <row r="46" spans="1:8" x14ac:dyDescent="0.2">
      <c r="A46">
        <v>4056</v>
      </c>
      <c r="B46">
        <v>7</v>
      </c>
      <c r="C46" t="s">
        <v>39</v>
      </c>
      <c r="D46" s="1">
        <v>108.24</v>
      </c>
      <c r="E46" s="1">
        <v>81.53</v>
      </c>
      <c r="F46" s="1">
        <v>48.36</v>
      </c>
      <c r="G46" s="1">
        <v>33.85</v>
      </c>
      <c r="H46" s="1">
        <v>26.14</v>
      </c>
    </row>
    <row r="47" spans="1:8" x14ac:dyDescent="0.2">
      <c r="A47">
        <v>4057</v>
      </c>
      <c r="B47">
        <v>7</v>
      </c>
      <c r="C47" t="s">
        <v>40</v>
      </c>
      <c r="D47" s="1">
        <v>12.82</v>
      </c>
      <c r="E47" s="1">
        <v>8.77</v>
      </c>
      <c r="F47" s="1">
        <v>4.66</v>
      </c>
      <c r="G47" s="1">
        <v>1.8</v>
      </c>
      <c r="H47" s="1">
        <v>0</v>
      </c>
    </row>
    <row r="48" spans="1:8" x14ac:dyDescent="0.2">
      <c r="A48">
        <v>4058</v>
      </c>
      <c r="B48">
        <v>7</v>
      </c>
      <c r="C48" t="s">
        <v>41</v>
      </c>
      <c r="D48" s="1">
        <v>243.36</v>
      </c>
      <c r="E48" s="1">
        <v>204.55</v>
      </c>
      <c r="F48" s="1">
        <v>161.65</v>
      </c>
      <c r="G48" s="1">
        <v>123.53</v>
      </c>
      <c r="H48" s="1">
        <v>79.92</v>
      </c>
    </row>
    <row r="49" spans="1:8" x14ac:dyDescent="0.2">
      <c r="A49">
        <v>4059</v>
      </c>
      <c r="B49">
        <v>7</v>
      </c>
      <c r="C49" t="s">
        <v>42</v>
      </c>
      <c r="D49" s="1">
        <v>8.27</v>
      </c>
      <c r="E49" s="1">
        <v>2.46</v>
      </c>
      <c r="F49" s="1">
        <v>0</v>
      </c>
      <c r="G49" s="1">
        <v>0</v>
      </c>
      <c r="H49" s="1">
        <v>0</v>
      </c>
    </row>
    <row r="50" spans="1:8" x14ac:dyDescent="0.2">
      <c r="A50">
        <v>4061</v>
      </c>
      <c r="B50">
        <v>7</v>
      </c>
      <c r="C50" t="s">
        <v>43</v>
      </c>
      <c r="D50" s="1">
        <v>109.08</v>
      </c>
      <c r="E50" s="1">
        <v>83.12</v>
      </c>
      <c r="F50" s="1">
        <v>51.95</v>
      </c>
      <c r="G50" s="1">
        <v>38.729999999999997</v>
      </c>
      <c r="H50" s="1">
        <v>31.01</v>
      </c>
    </row>
    <row r="51" spans="1:8" x14ac:dyDescent="0.2">
      <c r="A51">
        <v>4064</v>
      </c>
      <c r="B51">
        <v>7</v>
      </c>
      <c r="C51" t="s">
        <v>44</v>
      </c>
      <c r="D51" s="1">
        <v>99.41</v>
      </c>
      <c r="E51" s="1">
        <v>36.26</v>
      </c>
      <c r="F51" s="1">
        <v>13.66</v>
      </c>
      <c r="G51" s="1">
        <v>10.96</v>
      </c>
      <c r="H51" s="1">
        <v>8.2100000000000009</v>
      </c>
    </row>
    <row r="52" spans="1:8" x14ac:dyDescent="0.2">
      <c r="A52">
        <v>4066</v>
      </c>
      <c r="B52">
        <v>7</v>
      </c>
      <c r="C52" t="s">
        <v>45</v>
      </c>
      <c r="D52" s="1">
        <v>86.09</v>
      </c>
      <c r="E52" s="1">
        <v>49.66</v>
      </c>
      <c r="F52" s="1">
        <v>28.3</v>
      </c>
      <c r="G52" s="1">
        <v>20.45</v>
      </c>
      <c r="H52" s="1">
        <v>15.04</v>
      </c>
    </row>
    <row r="53" spans="1:8" x14ac:dyDescent="0.2">
      <c r="A53">
        <v>4067</v>
      </c>
      <c r="B53">
        <v>7</v>
      </c>
      <c r="C53" t="s">
        <v>46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 x14ac:dyDescent="0.2">
      <c r="A54">
        <v>4068</v>
      </c>
      <c r="B54">
        <v>7</v>
      </c>
      <c r="C54" t="s">
        <v>47</v>
      </c>
      <c r="D54" s="1">
        <v>59.8</v>
      </c>
      <c r="E54" s="1">
        <v>26.33</v>
      </c>
      <c r="F54" s="1">
        <v>12.25</v>
      </c>
      <c r="G54" s="1">
        <v>3.23</v>
      </c>
      <c r="H54" s="1">
        <v>0.79</v>
      </c>
    </row>
    <row r="55" spans="1:8" x14ac:dyDescent="0.2">
      <c r="A55">
        <v>4070</v>
      </c>
      <c r="B55">
        <v>7</v>
      </c>
      <c r="C55" t="s">
        <v>48</v>
      </c>
      <c r="D55" s="1">
        <v>116.62</v>
      </c>
      <c r="E55" s="1">
        <v>89.29</v>
      </c>
      <c r="F55" s="1">
        <v>54.66</v>
      </c>
      <c r="G55" s="1">
        <v>22.95</v>
      </c>
      <c r="H55" s="1">
        <v>0.14000000000000001</v>
      </c>
    </row>
    <row r="56" spans="1:8" x14ac:dyDescent="0.2">
      <c r="A56">
        <v>4072</v>
      </c>
      <c r="B56">
        <v>7</v>
      </c>
      <c r="C56" t="s">
        <v>49</v>
      </c>
      <c r="D56" s="1">
        <v>359.95</v>
      </c>
      <c r="E56" s="1">
        <v>347.74</v>
      </c>
      <c r="F56" s="1">
        <v>298.52999999999997</v>
      </c>
      <c r="G56" s="1">
        <v>263.83999999999997</v>
      </c>
      <c r="H56" s="1">
        <v>233.58</v>
      </c>
    </row>
    <row r="57" spans="1:8" x14ac:dyDescent="0.2">
      <c r="A57">
        <v>4073</v>
      </c>
      <c r="B57">
        <v>7</v>
      </c>
      <c r="C57" t="s">
        <v>50</v>
      </c>
      <c r="D57" s="1">
        <v>120.91</v>
      </c>
      <c r="E57" s="1">
        <v>92.68</v>
      </c>
      <c r="F57" s="1">
        <v>56.75</v>
      </c>
      <c r="G57" s="1">
        <v>23.73</v>
      </c>
      <c r="H57" s="1">
        <v>0</v>
      </c>
    </row>
    <row r="58" spans="1:8" x14ac:dyDescent="0.2">
      <c r="A58">
        <v>4074</v>
      </c>
      <c r="B58">
        <v>7</v>
      </c>
      <c r="C58" t="s">
        <v>51</v>
      </c>
      <c r="D58" s="1">
        <v>40.229999999999997</v>
      </c>
      <c r="E58" s="1">
        <v>27.25</v>
      </c>
      <c r="F58" s="1">
        <v>14.81</v>
      </c>
      <c r="G58" s="1">
        <v>5.66</v>
      </c>
      <c r="H58" s="1">
        <v>0.48</v>
      </c>
    </row>
    <row r="59" spans="1:8" x14ac:dyDescent="0.2">
      <c r="A59">
        <v>4075</v>
      </c>
      <c r="B59">
        <v>7</v>
      </c>
      <c r="C59" t="s">
        <v>52</v>
      </c>
      <c r="D59" s="1">
        <v>83.72</v>
      </c>
      <c r="E59" s="1">
        <v>62.33</v>
      </c>
      <c r="F59" s="1">
        <v>36.630000000000003</v>
      </c>
      <c r="G59" s="1">
        <v>16.34</v>
      </c>
      <c r="H59" s="1">
        <v>1.35</v>
      </c>
    </row>
    <row r="60" spans="1:8" x14ac:dyDescent="0.2">
      <c r="A60">
        <v>4077</v>
      </c>
      <c r="B60">
        <v>7</v>
      </c>
      <c r="C60" t="s">
        <v>53</v>
      </c>
      <c r="D60" s="1">
        <v>9.4700000000000006</v>
      </c>
      <c r="E60" s="1">
        <v>4.9000000000000004</v>
      </c>
      <c r="F60" s="1">
        <v>2.82</v>
      </c>
      <c r="G60" s="1">
        <v>1.17</v>
      </c>
      <c r="H60" s="1">
        <v>0</v>
      </c>
    </row>
    <row r="61" spans="1:8" x14ac:dyDescent="0.2">
      <c r="A61">
        <v>4078</v>
      </c>
      <c r="B61">
        <v>7</v>
      </c>
      <c r="C61" t="s">
        <v>54</v>
      </c>
      <c r="D61" s="1">
        <v>15.26</v>
      </c>
      <c r="E61" s="1">
        <v>7.9</v>
      </c>
      <c r="F61" s="1">
        <v>4.51</v>
      </c>
      <c r="G61" s="1">
        <v>1.86</v>
      </c>
      <c r="H61" s="1">
        <v>0</v>
      </c>
    </row>
    <row r="62" spans="1:8" x14ac:dyDescent="0.2">
      <c r="A62">
        <v>4079</v>
      </c>
      <c r="B62">
        <v>7</v>
      </c>
      <c r="C62" t="s">
        <v>55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 x14ac:dyDescent="0.2">
      <c r="A63">
        <v>4080</v>
      </c>
      <c r="B63">
        <v>7</v>
      </c>
      <c r="C63" t="s">
        <v>56</v>
      </c>
      <c r="D63" s="1">
        <v>22.72</v>
      </c>
      <c r="E63" s="1">
        <v>13.88</v>
      </c>
      <c r="F63" s="1">
        <v>2.91</v>
      </c>
      <c r="G63" s="1">
        <v>0.5</v>
      </c>
      <c r="H63" s="1">
        <v>0.14000000000000001</v>
      </c>
    </row>
    <row r="64" spans="1:8" x14ac:dyDescent="0.2">
      <c r="A64">
        <v>4081</v>
      </c>
      <c r="B64">
        <v>7</v>
      </c>
      <c r="C64" t="s">
        <v>57</v>
      </c>
      <c r="D64" s="1">
        <v>92.92</v>
      </c>
      <c r="E64" s="1">
        <v>71.55</v>
      </c>
      <c r="F64" s="1">
        <v>48.63</v>
      </c>
      <c r="G64" s="1">
        <v>21.76</v>
      </c>
      <c r="H64" s="1">
        <v>3.48</v>
      </c>
    </row>
    <row r="65" spans="1:8" x14ac:dyDescent="0.2">
      <c r="A65">
        <v>4082</v>
      </c>
      <c r="B65">
        <v>7</v>
      </c>
      <c r="C65" t="s">
        <v>58</v>
      </c>
      <c r="D65" s="1">
        <v>90.34</v>
      </c>
      <c r="E65" s="1">
        <v>74.48</v>
      </c>
      <c r="F65" s="1">
        <v>59.01</v>
      </c>
      <c r="G65" s="1">
        <v>46.1</v>
      </c>
      <c r="H65" s="1">
        <v>33.17</v>
      </c>
    </row>
    <row r="66" spans="1:8" x14ac:dyDescent="0.2">
      <c r="A66">
        <v>4083</v>
      </c>
      <c r="B66">
        <v>7</v>
      </c>
      <c r="C66" t="s">
        <v>59</v>
      </c>
      <c r="D66" s="1">
        <v>92.62</v>
      </c>
      <c r="E66" s="1">
        <v>33.549999999999997</v>
      </c>
      <c r="F66" s="1">
        <v>11.69</v>
      </c>
      <c r="G66" s="1">
        <v>7.67</v>
      </c>
      <c r="H66" s="1">
        <v>4.55</v>
      </c>
    </row>
    <row r="67" spans="1:8" x14ac:dyDescent="0.2">
      <c r="A67">
        <v>4084</v>
      </c>
      <c r="B67">
        <v>7</v>
      </c>
      <c r="C67" t="s">
        <v>60</v>
      </c>
      <c r="D67" s="1">
        <v>5.0999999999999996</v>
      </c>
      <c r="E67" s="1">
        <v>2.99</v>
      </c>
      <c r="F67" s="1">
        <v>0.45</v>
      </c>
      <c r="G67" s="1">
        <v>0</v>
      </c>
      <c r="H67" s="1">
        <v>0</v>
      </c>
    </row>
    <row r="68" spans="1:8" x14ac:dyDescent="0.2">
      <c r="A68">
        <v>4085</v>
      </c>
      <c r="B68">
        <v>7</v>
      </c>
      <c r="C68" t="s">
        <v>61</v>
      </c>
      <c r="D68" s="1">
        <v>88.05</v>
      </c>
      <c r="E68" s="1">
        <v>52.24</v>
      </c>
      <c r="F68" s="1">
        <v>9.3000000000000007</v>
      </c>
      <c r="G68" s="1">
        <v>1.41</v>
      </c>
      <c r="H68" s="1">
        <v>1.0900000000000001</v>
      </c>
    </row>
    <row r="69" spans="1:8" x14ac:dyDescent="0.2">
      <c r="A69">
        <v>4086</v>
      </c>
      <c r="B69">
        <v>7</v>
      </c>
      <c r="C69" t="s">
        <v>62</v>
      </c>
      <c r="D69" s="1">
        <v>12.5</v>
      </c>
      <c r="E69" s="1">
        <v>7.27</v>
      </c>
      <c r="F69" s="1">
        <v>3.86</v>
      </c>
      <c r="G69" s="1">
        <v>0.82</v>
      </c>
      <c r="H69" s="1">
        <v>0.01</v>
      </c>
    </row>
    <row r="70" spans="1:8" x14ac:dyDescent="0.2">
      <c r="A70">
        <v>4087</v>
      </c>
      <c r="B70">
        <v>7</v>
      </c>
      <c r="C70" t="s">
        <v>63</v>
      </c>
      <c r="D70" s="1">
        <v>73.48</v>
      </c>
      <c r="E70" s="1">
        <v>20.96</v>
      </c>
      <c r="F70" s="1">
        <v>7.08</v>
      </c>
      <c r="G70" s="1">
        <v>1.34</v>
      </c>
      <c r="H70" s="1">
        <v>0</v>
      </c>
    </row>
    <row r="71" spans="1:8" x14ac:dyDescent="0.2">
      <c r="A71">
        <v>4088</v>
      </c>
      <c r="B71">
        <v>7</v>
      </c>
      <c r="C71" t="s">
        <v>64</v>
      </c>
      <c r="D71" s="1">
        <v>121.31</v>
      </c>
      <c r="E71" s="1">
        <v>92.98</v>
      </c>
      <c r="F71" s="1">
        <v>56.94</v>
      </c>
      <c r="G71" s="1">
        <v>23.81</v>
      </c>
      <c r="H71" s="1">
        <v>0</v>
      </c>
    </row>
    <row r="72" spans="1:8" x14ac:dyDescent="0.2">
      <c r="A72">
        <v>4089</v>
      </c>
      <c r="B72">
        <v>7</v>
      </c>
      <c r="C72" t="s">
        <v>65</v>
      </c>
      <c r="D72" s="1">
        <v>3.36</v>
      </c>
      <c r="E72" s="1">
        <v>0.38</v>
      </c>
      <c r="F72" s="1">
        <v>0</v>
      </c>
      <c r="G72" s="1">
        <v>0</v>
      </c>
      <c r="H72" s="1">
        <v>0</v>
      </c>
    </row>
    <row r="73" spans="1:8" x14ac:dyDescent="0.2">
      <c r="A73">
        <v>4090</v>
      </c>
      <c r="B73">
        <v>7</v>
      </c>
      <c r="C73" t="s">
        <v>66</v>
      </c>
      <c r="D73" s="1">
        <v>133.1</v>
      </c>
      <c r="E73" s="1">
        <v>84.63</v>
      </c>
      <c r="F73" s="1">
        <v>28.19</v>
      </c>
      <c r="G73" s="1">
        <v>4.51</v>
      </c>
      <c r="H73" s="1">
        <v>2.61</v>
      </c>
    </row>
    <row r="74" spans="1:8" x14ac:dyDescent="0.2">
      <c r="A74">
        <v>4091</v>
      </c>
      <c r="B74">
        <v>7</v>
      </c>
      <c r="C74" t="s">
        <v>67</v>
      </c>
      <c r="D74" s="1">
        <v>138.56</v>
      </c>
      <c r="E74" s="1">
        <v>89.14</v>
      </c>
      <c r="F74" s="1">
        <v>31.53</v>
      </c>
      <c r="G74" s="1">
        <v>6.71</v>
      </c>
      <c r="H74" s="1">
        <v>3.41</v>
      </c>
    </row>
    <row r="75" spans="1:8" x14ac:dyDescent="0.2">
      <c r="A75">
        <v>4092</v>
      </c>
      <c r="B75">
        <v>7</v>
      </c>
      <c r="C75" t="s">
        <v>68</v>
      </c>
      <c r="D75" s="1">
        <v>19.96</v>
      </c>
      <c r="E75" s="1">
        <v>12.57</v>
      </c>
      <c r="F75" s="1">
        <v>6.61</v>
      </c>
      <c r="G75" s="1">
        <v>2.41</v>
      </c>
      <c r="H75" s="1">
        <v>0.23</v>
      </c>
    </row>
    <row r="76" spans="1:8" x14ac:dyDescent="0.2">
      <c r="A76">
        <v>4093</v>
      </c>
      <c r="B76">
        <v>7</v>
      </c>
      <c r="C76" t="s">
        <v>69</v>
      </c>
      <c r="D76" s="1">
        <v>240.69</v>
      </c>
      <c r="E76" s="1">
        <v>215.56</v>
      </c>
      <c r="F76" s="1">
        <v>152.99</v>
      </c>
      <c r="G76" s="1">
        <v>87.84</v>
      </c>
      <c r="H76" s="1">
        <v>16.82</v>
      </c>
    </row>
    <row r="77" spans="1:8" x14ac:dyDescent="0.2">
      <c r="A77">
        <v>4095</v>
      </c>
      <c r="B77">
        <v>7</v>
      </c>
      <c r="C77" t="s">
        <v>70</v>
      </c>
      <c r="D77" s="1">
        <v>86.37</v>
      </c>
      <c r="E77" s="1">
        <v>36.54</v>
      </c>
      <c r="F77" s="1">
        <v>2.4300000000000002</v>
      </c>
      <c r="G77" s="1">
        <v>1.23</v>
      </c>
      <c r="H77" s="1">
        <v>0.4</v>
      </c>
    </row>
    <row r="78" spans="1:8" x14ac:dyDescent="0.2">
      <c r="A78">
        <v>4097</v>
      </c>
      <c r="B78">
        <v>7</v>
      </c>
      <c r="C78" t="s">
        <v>71</v>
      </c>
      <c r="D78" s="1">
        <v>0.41</v>
      </c>
      <c r="E78" s="1">
        <v>0.2</v>
      </c>
      <c r="F78" s="1">
        <v>0</v>
      </c>
      <c r="G78" s="1">
        <v>0</v>
      </c>
      <c r="H78" s="1">
        <v>0</v>
      </c>
    </row>
    <row r="79" spans="1:8" x14ac:dyDescent="0.2">
      <c r="A79">
        <v>4098</v>
      </c>
      <c r="B79">
        <v>7</v>
      </c>
      <c r="C79" t="s">
        <v>72</v>
      </c>
      <c r="D79" s="1">
        <v>75.47</v>
      </c>
      <c r="E79" s="1">
        <v>56.34</v>
      </c>
      <c r="F79" s="1">
        <v>32.57</v>
      </c>
      <c r="G79" s="1">
        <v>13.18</v>
      </c>
      <c r="H79" s="1">
        <v>0.13</v>
      </c>
    </row>
    <row r="80" spans="1:8" x14ac:dyDescent="0.2">
      <c r="A80">
        <v>4099</v>
      </c>
      <c r="B80">
        <v>7</v>
      </c>
      <c r="C80" t="s">
        <v>73</v>
      </c>
      <c r="D80" s="1">
        <v>83.83</v>
      </c>
      <c r="E80" s="1">
        <v>61.18</v>
      </c>
      <c r="F80" s="1">
        <v>33.130000000000003</v>
      </c>
      <c r="G80" s="1">
        <v>13.05</v>
      </c>
      <c r="H80" s="1">
        <v>0</v>
      </c>
    </row>
    <row r="81" spans="1:8" x14ac:dyDescent="0.2">
      <c r="A81">
        <v>4100</v>
      </c>
      <c r="B81">
        <v>7</v>
      </c>
      <c r="C81" t="s">
        <v>74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 x14ac:dyDescent="0.2">
      <c r="A82">
        <v>4101</v>
      </c>
      <c r="B82">
        <v>7</v>
      </c>
      <c r="C82" t="s">
        <v>75</v>
      </c>
      <c r="D82" s="1">
        <v>124.8</v>
      </c>
      <c r="E82" s="1">
        <v>95.51</v>
      </c>
      <c r="F82" s="1">
        <v>63.27</v>
      </c>
      <c r="G82" s="1">
        <v>25.38</v>
      </c>
      <c r="H82" s="1">
        <v>0</v>
      </c>
    </row>
    <row r="83" spans="1:8" x14ac:dyDescent="0.2">
      <c r="A83">
        <v>4102</v>
      </c>
      <c r="B83">
        <v>7</v>
      </c>
      <c r="C83" t="s">
        <v>76</v>
      </c>
      <c r="D83" s="1">
        <v>5.38</v>
      </c>
      <c r="E83" s="1">
        <v>3.33</v>
      </c>
      <c r="F83" s="1">
        <v>1.98</v>
      </c>
      <c r="G83" s="1">
        <v>0.8</v>
      </c>
      <c r="H83" s="1">
        <v>0.06</v>
      </c>
    </row>
    <row r="84" spans="1:8" x14ac:dyDescent="0.2">
      <c r="A84">
        <v>4103</v>
      </c>
      <c r="B84">
        <v>7</v>
      </c>
      <c r="C84" t="s">
        <v>77</v>
      </c>
      <c r="D84" s="1">
        <v>16.63</v>
      </c>
      <c r="E84" s="1">
        <v>8.6199999999999992</v>
      </c>
      <c r="F84" s="1">
        <v>4.87</v>
      </c>
      <c r="G84" s="1">
        <v>1.57</v>
      </c>
      <c r="H84" s="1">
        <v>0</v>
      </c>
    </row>
    <row r="85" spans="1:8" x14ac:dyDescent="0.2">
      <c r="A85">
        <v>4104</v>
      </c>
      <c r="B85">
        <v>7</v>
      </c>
      <c r="C85" t="s">
        <v>78</v>
      </c>
      <c r="D85" s="1">
        <v>146.36000000000001</v>
      </c>
      <c r="E85" s="1">
        <v>120.3</v>
      </c>
      <c r="F85" s="1">
        <v>65.2</v>
      </c>
      <c r="G85" s="1">
        <v>9.85</v>
      </c>
      <c r="H85" s="1">
        <v>0.31</v>
      </c>
    </row>
    <row r="86" spans="1:8" x14ac:dyDescent="0.2">
      <c r="A86">
        <v>4105</v>
      </c>
      <c r="B86">
        <v>7</v>
      </c>
      <c r="C86" t="s">
        <v>79</v>
      </c>
      <c r="D86" s="1">
        <v>72.099999999999994</v>
      </c>
      <c r="E86" s="1">
        <v>54.82</v>
      </c>
      <c r="F86" s="1">
        <v>32.340000000000003</v>
      </c>
      <c r="G86" s="1">
        <v>12.75</v>
      </c>
      <c r="H86" s="1">
        <v>0</v>
      </c>
    </row>
    <row r="87" spans="1:8" x14ac:dyDescent="0.2">
      <c r="A87">
        <v>4106</v>
      </c>
      <c r="B87">
        <v>7</v>
      </c>
      <c r="C87" t="s">
        <v>80</v>
      </c>
      <c r="D87" s="1">
        <v>231.49</v>
      </c>
      <c r="E87" s="1">
        <v>196.88</v>
      </c>
      <c r="F87" s="1">
        <v>158.02000000000001</v>
      </c>
      <c r="G87" s="1">
        <v>122.11</v>
      </c>
      <c r="H87" s="1">
        <v>81.23</v>
      </c>
    </row>
    <row r="88" spans="1:8" x14ac:dyDescent="0.2">
      <c r="A88">
        <v>4107</v>
      </c>
      <c r="B88">
        <v>7</v>
      </c>
      <c r="C88" t="s">
        <v>81</v>
      </c>
      <c r="D88" s="1">
        <v>236.66</v>
      </c>
      <c r="E88" s="1">
        <v>198.92</v>
      </c>
      <c r="F88" s="1">
        <v>157.19999999999999</v>
      </c>
      <c r="G88" s="1">
        <v>120.13</v>
      </c>
      <c r="H88" s="1">
        <v>77.72</v>
      </c>
    </row>
    <row r="89" spans="1:8" x14ac:dyDescent="0.2">
      <c r="A89">
        <v>4108</v>
      </c>
      <c r="B89">
        <v>7</v>
      </c>
      <c r="C89" t="s">
        <v>82</v>
      </c>
      <c r="D89" s="1">
        <v>82.47</v>
      </c>
      <c r="E89" s="1">
        <v>61.17</v>
      </c>
      <c r="F89" s="1">
        <v>36.229999999999997</v>
      </c>
      <c r="G89" s="1">
        <v>15.07</v>
      </c>
      <c r="H89" s="1">
        <v>0.39</v>
      </c>
    </row>
    <row r="90" spans="1:8" x14ac:dyDescent="0.2">
      <c r="A90">
        <v>4109</v>
      </c>
      <c r="B90">
        <v>7</v>
      </c>
      <c r="C90" t="s">
        <v>83</v>
      </c>
      <c r="D90" s="1">
        <v>52.43</v>
      </c>
      <c r="E90" s="1">
        <v>30.16</v>
      </c>
      <c r="F90" s="1">
        <v>9.2799999999999994</v>
      </c>
      <c r="G90" s="1">
        <v>2.4700000000000002</v>
      </c>
      <c r="H90" s="1">
        <v>0.67</v>
      </c>
    </row>
    <row r="91" spans="1:8" x14ac:dyDescent="0.2">
      <c r="A91">
        <v>4110</v>
      </c>
      <c r="B91">
        <v>7</v>
      </c>
      <c r="C91" t="s">
        <v>84</v>
      </c>
      <c r="D91" s="1">
        <v>10.49</v>
      </c>
      <c r="E91" s="1">
        <v>5.28</v>
      </c>
      <c r="F91" s="1">
        <v>3.02</v>
      </c>
      <c r="G91" s="1">
        <v>1.54</v>
      </c>
      <c r="H91" s="1">
        <v>0.1</v>
      </c>
    </row>
    <row r="92" spans="1:8" x14ac:dyDescent="0.2">
      <c r="A92">
        <v>4111</v>
      </c>
      <c r="B92">
        <v>7</v>
      </c>
      <c r="C92" t="s">
        <v>85</v>
      </c>
      <c r="D92" s="1">
        <v>121.5</v>
      </c>
      <c r="E92" s="1">
        <v>93.13</v>
      </c>
      <c r="F92" s="1">
        <v>57.03</v>
      </c>
      <c r="G92" s="1">
        <v>23.85</v>
      </c>
      <c r="H92" s="1">
        <v>0</v>
      </c>
    </row>
    <row r="93" spans="1:8" x14ac:dyDescent="0.2">
      <c r="A93">
        <v>4112</v>
      </c>
      <c r="B93">
        <v>7</v>
      </c>
      <c r="C93" t="s">
        <v>86</v>
      </c>
      <c r="D93" s="1">
        <v>121.5</v>
      </c>
      <c r="E93" s="1">
        <v>93.13</v>
      </c>
      <c r="F93" s="1">
        <v>57.03</v>
      </c>
      <c r="G93" s="1">
        <v>23.85</v>
      </c>
      <c r="H93" s="1">
        <v>0</v>
      </c>
    </row>
    <row r="94" spans="1:8" x14ac:dyDescent="0.2">
      <c r="A94">
        <v>4113</v>
      </c>
      <c r="B94">
        <v>7</v>
      </c>
      <c r="C94" t="s">
        <v>87</v>
      </c>
      <c r="D94" s="1">
        <v>32.229999999999997</v>
      </c>
      <c r="E94" s="1">
        <v>16.940000000000001</v>
      </c>
      <c r="F94" s="1">
        <v>6.27</v>
      </c>
      <c r="G94" s="1">
        <v>2.99</v>
      </c>
      <c r="H94" s="1">
        <v>0.66</v>
      </c>
    </row>
    <row r="95" spans="1:8" x14ac:dyDescent="0.2">
      <c r="A95">
        <v>4114</v>
      </c>
      <c r="B95">
        <v>7</v>
      </c>
      <c r="C95" t="s">
        <v>88</v>
      </c>
      <c r="D95" s="1">
        <v>13.38</v>
      </c>
      <c r="E95" s="1">
        <v>9.06</v>
      </c>
      <c r="F95" s="1">
        <v>4.9400000000000004</v>
      </c>
      <c r="G95" s="1">
        <v>1.04</v>
      </c>
      <c r="H95" s="1">
        <v>0</v>
      </c>
    </row>
    <row r="96" spans="1:8" x14ac:dyDescent="0.2">
      <c r="A96">
        <v>4115</v>
      </c>
      <c r="B96">
        <v>7</v>
      </c>
      <c r="C96" t="s">
        <v>89</v>
      </c>
      <c r="D96" s="1">
        <v>6.92</v>
      </c>
      <c r="E96" s="1">
        <v>4.7</v>
      </c>
      <c r="F96" s="1">
        <v>2.58</v>
      </c>
      <c r="G96" s="1">
        <v>1.04</v>
      </c>
      <c r="H96" s="1">
        <v>0</v>
      </c>
    </row>
    <row r="97" spans="1:8" x14ac:dyDescent="0.2">
      <c r="A97">
        <v>4116</v>
      </c>
      <c r="B97">
        <v>7</v>
      </c>
      <c r="C97" t="s">
        <v>90</v>
      </c>
      <c r="D97" s="1">
        <v>99.21</v>
      </c>
      <c r="E97" s="1">
        <v>36.6</v>
      </c>
      <c r="F97" s="1">
        <v>15.55</v>
      </c>
      <c r="G97" s="1">
        <v>8.3699999999999992</v>
      </c>
      <c r="H97" s="1">
        <v>3.04</v>
      </c>
    </row>
    <row r="98" spans="1:8" x14ac:dyDescent="0.2">
      <c r="A98">
        <v>4118</v>
      </c>
      <c r="B98">
        <v>7</v>
      </c>
      <c r="C98" t="s">
        <v>91</v>
      </c>
      <c r="D98" s="1">
        <v>188.48</v>
      </c>
      <c r="E98" s="1">
        <v>163.78</v>
      </c>
      <c r="F98" s="1">
        <v>5.24</v>
      </c>
      <c r="G98" s="1">
        <v>4.03</v>
      </c>
      <c r="H98" s="1">
        <v>3.06</v>
      </c>
    </row>
    <row r="99" spans="1:8" x14ac:dyDescent="0.2">
      <c r="A99">
        <v>4119</v>
      </c>
      <c r="B99">
        <v>7</v>
      </c>
      <c r="C99" t="s">
        <v>92</v>
      </c>
      <c r="D99" s="1">
        <v>87.81</v>
      </c>
      <c r="E99" s="1">
        <v>66.91</v>
      </c>
      <c r="F99" s="1">
        <v>40.04</v>
      </c>
      <c r="G99" s="1">
        <v>10.52</v>
      </c>
      <c r="H99" s="1">
        <v>0</v>
      </c>
    </row>
    <row r="100" spans="1:8" x14ac:dyDescent="0.2">
      <c r="A100">
        <v>4120</v>
      </c>
      <c r="B100">
        <v>7</v>
      </c>
      <c r="C100" t="s">
        <v>93</v>
      </c>
      <c r="D100" s="1">
        <v>2.57</v>
      </c>
      <c r="E100" s="1">
        <v>0.52</v>
      </c>
      <c r="F100" s="1">
        <v>0</v>
      </c>
      <c r="G100" s="1">
        <v>0</v>
      </c>
      <c r="H100" s="1">
        <v>0</v>
      </c>
    </row>
    <row r="101" spans="1:8" x14ac:dyDescent="0.2">
      <c r="A101">
        <v>4121</v>
      </c>
      <c r="B101">
        <v>7</v>
      </c>
      <c r="C101" t="s">
        <v>94</v>
      </c>
      <c r="D101" s="1">
        <v>7.76</v>
      </c>
      <c r="E101" s="1">
        <v>5.12</v>
      </c>
      <c r="F101" s="1">
        <v>3.04</v>
      </c>
      <c r="G101" s="1">
        <v>1.24</v>
      </c>
      <c r="H101" s="1">
        <v>0</v>
      </c>
    </row>
    <row r="102" spans="1:8" x14ac:dyDescent="0.2">
      <c r="A102">
        <v>4122</v>
      </c>
      <c r="B102">
        <v>7</v>
      </c>
      <c r="C102" t="s">
        <v>95</v>
      </c>
      <c r="D102" s="1">
        <v>21.63</v>
      </c>
      <c r="E102" s="1">
        <v>11.12</v>
      </c>
      <c r="F102" s="1">
        <v>0.55000000000000004</v>
      </c>
      <c r="G102" s="1">
        <v>0.14000000000000001</v>
      </c>
      <c r="H102" s="1">
        <v>0</v>
      </c>
    </row>
    <row r="103" spans="1:8" x14ac:dyDescent="0.2">
      <c r="A103">
        <v>4123</v>
      </c>
      <c r="B103">
        <v>7</v>
      </c>
      <c r="C103" t="s">
        <v>96</v>
      </c>
      <c r="D103" s="1">
        <v>83.98</v>
      </c>
      <c r="E103" s="1">
        <v>20.6</v>
      </c>
      <c r="F103" s="1">
        <v>0.01</v>
      </c>
      <c r="G103" s="1">
        <v>0</v>
      </c>
      <c r="H103" s="1">
        <v>0</v>
      </c>
    </row>
    <row r="104" spans="1:8" x14ac:dyDescent="0.2">
      <c r="A104">
        <v>4124</v>
      </c>
      <c r="B104">
        <v>7</v>
      </c>
      <c r="C104" t="s">
        <v>97</v>
      </c>
      <c r="D104" s="1">
        <v>17.399999999999999</v>
      </c>
      <c r="E104" s="1">
        <v>7.86</v>
      </c>
      <c r="F104" s="1">
        <v>3.46</v>
      </c>
      <c r="G104" s="1">
        <v>2.5299999999999998</v>
      </c>
      <c r="H104" s="1">
        <v>2.14</v>
      </c>
    </row>
    <row r="105" spans="1:8" x14ac:dyDescent="0.2">
      <c r="A105">
        <v>4125</v>
      </c>
      <c r="B105">
        <v>7</v>
      </c>
      <c r="C105" t="s">
        <v>98</v>
      </c>
      <c r="D105" s="1">
        <v>262.27</v>
      </c>
      <c r="E105" s="1">
        <v>250.57</v>
      </c>
      <c r="F105" s="1">
        <v>233.02</v>
      </c>
      <c r="G105" s="1">
        <v>210.16</v>
      </c>
      <c r="H105" s="1">
        <v>184.41</v>
      </c>
    </row>
    <row r="106" spans="1:8" x14ac:dyDescent="0.2">
      <c r="A106">
        <v>4126</v>
      </c>
      <c r="B106">
        <v>7</v>
      </c>
      <c r="C106" t="s">
        <v>99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 x14ac:dyDescent="0.2">
      <c r="A107">
        <v>4127</v>
      </c>
      <c r="B107">
        <v>7</v>
      </c>
      <c r="C107" t="s">
        <v>100</v>
      </c>
      <c r="D107" s="1">
        <v>268.49</v>
      </c>
      <c r="E107" s="1">
        <v>244.72</v>
      </c>
      <c r="F107" s="1">
        <v>213.37</v>
      </c>
      <c r="G107" s="1">
        <v>158.88999999999999</v>
      </c>
      <c r="H107" s="1">
        <v>98.84</v>
      </c>
    </row>
    <row r="108" spans="1:8" x14ac:dyDescent="0.2">
      <c r="A108">
        <v>4131</v>
      </c>
      <c r="B108">
        <v>7</v>
      </c>
      <c r="C108" t="s">
        <v>101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</row>
    <row r="109" spans="1:8" x14ac:dyDescent="0.2">
      <c r="A109">
        <v>4132</v>
      </c>
      <c r="B109">
        <v>7</v>
      </c>
      <c r="C109" t="s">
        <v>102</v>
      </c>
      <c r="D109" s="1">
        <v>121.5</v>
      </c>
      <c r="E109" s="1">
        <v>93.13</v>
      </c>
      <c r="F109" s="1">
        <v>57.03</v>
      </c>
      <c r="G109" s="1">
        <v>23.85</v>
      </c>
      <c r="H109" s="1">
        <v>0</v>
      </c>
    </row>
    <row r="110" spans="1:8" x14ac:dyDescent="0.2">
      <c r="A110">
        <v>4133</v>
      </c>
      <c r="B110">
        <v>7</v>
      </c>
      <c r="C110" t="s">
        <v>103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 x14ac:dyDescent="0.2">
      <c r="A111">
        <v>4135</v>
      </c>
      <c r="B111">
        <v>7</v>
      </c>
      <c r="C111" t="s">
        <v>104</v>
      </c>
      <c r="D111" s="1">
        <v>74.94</v>
      </c>
      <c r="E111" s="1">
        <v>39.57</v>
      </c>
      <c r="F111" s="1">
        <v>7.01</v>
      </c>
      <c r="G111" s="1">
        <v>0</v>
      </c>
      <c r="H111" s="1">
        <v>0</v>
      </c>
    </row>
    <row r="112" spans="1:8" x14ac:dyDescent="0.2">
      <c r="A112">
        <v>4136</v>
      </c>
      <c r="B112">
        <v>7</v>
      </c>
      <c r="C112" t="s">
        <v>105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</row>
    <row r="113" spans="1:8" x14ac:dyDescent="0.2">
      <c r="A113">
        <v>4137</v>
      </c>
      <c r="B113">
        <v>7</v>
      </c>
      <c r="C113" t="s">
        <v>106</v>
      </c>
      <c r="D113" s="1">
        <v>59.54</v>
      </c>
      <c r="E113" s="1">
        <v>42.9</v>
      </c>
      <c r="F113" s="1">
        <v>24.17</v>
      </c>
      <c r="G113" s="1">
        <v>4.5599999999999996</v>
      </c>
      <c r="H113" s="1">
        <v>0</v>
      </c>
    </row>
    <row r="114" spans="1:8" x14ac:dyDescent="0.2">
      <c r="A114">
        <v>4138</v>
      </c>
      <c r="B114">
        <v>7</v>
      </c>
      <c r="C114" t="s">
        <v>107</v>
      </c>
      <c r="D114" s="1">
        <v>345.72</v>
      </c>
      <c r="E114" s="1">
        <v>323.52999999999997</v>
      </c>
      <c r="F114" s="1">
        <v>265.56</v>
      </c>
      <c r="G114" s="1">
        <v>227.57</v>
      </c>
      <c r="H114" s="1">
        <v>171.56</v>
      </c>
    </row>
    <row r="115" spans="1:8" x14ac:dyDescent="0.2">
      <c r="A115">
        <v>4139</v>
      </c>
      <c r="B115">
        <v>7</v>
      </c>
      <c r="C115" t="s">
        <v>108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 x14ac:dyDescent="0.2">
      <c r="A116">
        <v>4140</v>
      </c>
      <c r="B116">
        <v>7</v>
      </c>
      <c r="C116" t="s">
        <v>109</v>
      </c>
      <c r="D116" s="1">
        <v>121.5</v>
      </c>
      <c r="E116" s="1">
        <v>93.13</v>
      </c>
      <c r="F116" s="1">
        <v>57.03</v>
      </c>
      <c r="G116" s="1">
        <v>23.85</v>
      </c>
      <c r="H116" s="1">
        <v>0</v>
      </c>
    </row>
    <row r="117" spans="1:8" x14ac:dyDescent="0.2">
      <c r="A117">
        <v>4141</v>
      </c>
      <c r="B117">
        <v>7</v>
      </c>
      <c r="C117" t="s">
        <v>110</v>
      </c>
      <c r="D117" s="1">
        <v>119.57</v>
      </c>
      <c r="E117" s="1">
        <v>58.01</v>
      </c>
      <c r="F117" s="1">
        <v>0</v>
      </c>
      <c r="G117" s="1">
        <v>0</v>
      </c>
      <c r="H117" s="1">
        <v>0</v>
      </c>
    </row>
    <row r="118" spans="1:8" x14ac:dyDescent="0.2">
      <c r="A118">
        <v>4142</v>
      </c>
      <c r="B118">
        <v>7</v>
      </c>
      <c r="C118" t="s">
        <v>111</v>
      </c>
      <c r="D118" s="1">
        <v>24.03</v>
      </c>
      <c r="E118" s="1">
        <v>0</v>
      </c>
      <c r="F118" s="1">
        <v>0</v>
      </c>
      <c r="G118" s="1">
        <v>0</v>
      </c>
      <c r="H118" s="1">
        <v>0</v>
      </c>
    </row>
    <row r="119" spans="1:8" x14ac:dyDescent="0.2">
      <c r="A119">
        <v>4143</v>
      </c>
      <c r="B119">
        <v>7</v>
      </c>
      <c r="C119" t="s">
        <v>112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</row>
    <row r="120" spans="1:8" x14ac:dyDescent="0.2">
      <c r="A120">
        <v>4144</v>
      </c>
      <c r="B120">
        <v>7</v>
      </c>
      <c r="C120" t="s">
        <v>113</v>
      </c>
      <c r="D120" s="1">
        <v>337.73</v>
      </c>
      <c r="E120" s="1">
        <v>282.64</v>
      </c>
      <c r="F120" s="1">
        <v>224.59</v>
      </c>
      <c r="G120" s="1">
        <v>176.7</v>
      </c>
      <c r="H120" s="1">
        <v>120.4</v>
      </c>
    </row>
    <row r="121" spans="1:8" x14ac:dyDescent="0.2">
      <c r="A121">
        <v>4145</v>
      </c>
      <c r="B121">
        <v>7</v>
      </c>
      <c r="C121" t="s">
        <v>114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</row>
    <row r="122" spans="1:8" x14ac:dyDescent="0.2">
      <c r="A122">
        <v>4146</v>
      </c>
      <c r="B122">
        <v>7</v>
      </c>
      <c r="C122" t="s">
        <v>115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</row>
    <row r="123" spans="1:8" x14ac:dyDescent="0.2">
      <c r="A123">
        <v>4148</v>
      </c>
      <c r="B123">
        <v>7</v>
      </c>
      <c r="C123" t="s">
        <v>116</v>
      </c>
      <c r="D123" s="1">
        <v>65.78</v>
      </c>
      <c r="E123" s="1">
        <v>5.21</v>
      </c>
      <c r="F123" s="1">
        <v>0</v>
      </c>
      <c r="G123" s="1">
        <v>0</v>
      </c>
      <c r="H123" s="1">
        <v>0</v>
      </c>
    </row>
    <row r="124" spans="1:8" x14ac:dyDescent="0.2">
      <c r="A124">
        <v>4149</v>
      </c>
      <c r="B124">
        <v>7</v>
      </c>
      <c r="C124" t="s">
        <v>117</v>
      </c>
      <c r="D124" s="1">
        <v>196.24</v>
      </c>
      <c r="E124" s="1">
        <v>165.95</v>
      </c>
      <c r="F124" s="1">
        <v>89.66</v>
      </c>
      <c r="G124" s="1">
        <v>12.59</v>
      </c>
      <c r="H124" s="1">
        <v>0</v>
      </c>
    </row>
    <row r="125" spans="1:8" x14ac:dyDescent="0.2">
      <c r="A125">
        <v>4150</v>
      </c>
      <c r="B125">
        <v>7</v>
      </c>
      <c r="C125" t="s">
        <v>118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26" spans="1:8" x14ac:dyDescent="0.2">
      <c r="A126">
        <v>4151</v>
      </c>
      <c r="B126">
        <v>7</v>
      </c>
      <c r="C126" t="s">
        <v>119</v>
      </c>
      <c r="D126" s="1">
        <v>136.55000000000001</v>
      </c>
      <c r="E126" s="1">
        <v>111.25</v>
      </c>
      <c r="F126" s="1">
        <v>82.03</v>
      </c>
      <c r="G126" s="1">
        <v>53.18</v>
      </c>
      <c r="H126" s="1">
        <v>20.309999999999999</v>
      </c>
    </row>
    <row r="127" spans="1:8" x14ac:dyDescent="0.2">
      <c r="A127">
        <v>4152</v>
      </c>
      <c r="B127">
        <v>7</v>
      </c>
      <c r="C127" t="s">
        <v>120</v>
      </c>
      <c r="D127" s="1">
        <v>121.5</v>
      </c>
      <c r="E127" s="1">
        <v>93.13</v>
      </c>
      <c r="F127" s="1">
        <v>57.03</v>
      </c>
      <c r="G127" s="1">
        <v>23.85</v>
      </c>
      <c r="H127" s="1">
        <v>0</v>
      </c>
    </row>
    <row r="128" spans="1:8" x14ac:dyDescent="0.2">
      <c r="A128">
        <v>4153</v>
      </c>
      <c r="B128">
        <v>7</v>
      </c>
      <c r="C128" t="s">
        <v>121</v>
      </c>
      <c r="D128" s="1">
        <v>121.5</v>
      </c>
      <c r="E128" s="1">
        <v>93.13</v>
      </c>
      <c r="F128" s="1">
        <v>57.03</v>
      </c>
      <c r="G128" s="1">
        <v>23.85</v>
      </c>
      <c r="H128" s="1">
        <v>0</v>
      </c>
    </row>
    <row r="129" spans="1:8" x14ac:dyDescent="0.2">
      <c r="A129">
        <v>4154</v>
      </c>
      <c r="B129">
        <v>7</v>
      </c>
      <c r="C129" t="s">
        <v>122</v>
      </c>
      <c r="D129" s="1">
        <v>268.27</v>
      </c>
      <c r="E129" s="1">
        <v>263.97000000000003</v>
      </c>
      <c r="F129" s="1">
        <v>218.58</v>
      </c>
      <c r="G129" s="1">
        <v>166.23</v>
      </c>
      <c r="H129" s="1">
        <v>107.79</v>
      </c>
    </row>
    <row r="130" spans="1:8" x14ac:dyDescent="0.2">
      <c r="A130">
        <v>4155</v>
      </c>
      <c r="B130">
        <v>7</v>
      </c>
      <c r="C130" t="s">
        <v>123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</row>
    <row r="131" spans="1:8" x14ac:dyDescent="0.2">
      <c r="A131">
        <v>4157</v>
      </c>
      <c r="B131">
        <v>7</v>
      </c>
      <c r="C131" t="s">
        <v>124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</row>
    <row r="132" spans="1:8" x14ac:dyDescent="0.2">
      <c r="A132">
        <v>4158</v>
      </c>
      <c r="B132">
        <v>7</v>
      </c>
      <c r="C132" t="s">
        <v>125</v>
      </c>
      <c r="D132" s="1">
        <v>24.98</v>
      </c>
      <c r="E132" s="1">
        <v>0</v>
      </c>
      <c r="F132" s="1">
        <v>0</v>
      </c>
      <c r="G132" s="1">
        <v>0</v>
      </c>
      <c r="H132" s="1">
        <v>0</v>
      </c>
    </row>
    <row r="133" spans="1:8" x14ac:dyDescent="0.2">
      <c r="A133">
        <v>4159</v>
      </c>
      <c r="B133">
        <v>7</v>
      </c>
      <c r="C133" t="s">
        <v>126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</row>
    <row r="134" spans="1:8" x14ac:dyDescent="0.2">
      <c r="A134">
        <v>4160</v>
      </c>
      <c r="B134">
        <v>7</v>
      </c>
      <c r="C134" t="s">
        <v>127</v>
      </c>
      <c r="D134" s="1">
        <v>195.62</v>
      </c>
      <c r="E134" s="1">
        <v>170.48</v>
      </c>
      <c r="F134" s="1">
        <v>0</v>
      </c>
      <c r="G134" s="1">
        <v>0</v>
      </c>
      <c r="H134" s="1">
        <v>0</v>
      </c>
    </row>
    <row r="135" spans="1:8" x14ac:dyDescent="0.2">
      <c r="A135">
        <v>4161</v>
      </c>
      <c r="B135">
        <v>7</v>
      </c>
      <c r="C135" t="s">
        <v>128</v>
      </c>
      <c r="D135" s="1">
        <v>232.82</v>
      </c>
      <c r="E135" s="1">
        <v>205.7</v>
      </c>
      <c r="F135" s="1">
        <v>140.35</v>
      </c>
      <c r="G135" s="1">
        <v>73.680000000000007</v>
      </c>
      <c r="H135" s="1">
        <v>0</v>
      </c>
    </row>
    <row r="136" spans="1:8" x14ac:dyDescent="0.2">
      <c r="A136">
        <v>4162</v>
      </c>
      <c r="B136">
        <v>7</v>
      </c>
      <c r="C136" t="s">
        <v>129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</row>
    <row r="137" spans="1:8" x14ac:dyDescent="0.2">
      <c r="A137">
        <v>4163</v>
      </c>
      <c r="B137">
        <v>7</v>
      </c>
      <c r="C137" t="s">
        <v>130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1044"/>
  <sheetViews>
    <sheetView tabSelected="1" zoomScale="75" workbookViewId="0"/>
  </sheetViews>
  <sheetFormatPr defaultRowHeight="12.75" x14ac:dyDescent="0.2"/>
  <cols>
    <col min="1" max="1" width="8.7109375" style="16" customWidth="1"/>
    <col min="2" max="2" width="3.7109375" style="16" customWidth="1"/>
    <col min="3" max="3" width="16.7109375" style="16" customWidth="1"/>
    <col min="4" max="9" width="10.7109375" style="16" customWidth="1"/>
    <col min="10" max="14" width="12.7109375" style="16" customWidth="1"/>
    <col min="15" max="16384" width="9.140625" style="16"/>
  </cols>
  <sheetData>
    <row r="1" spans="1:15" ht="15" x14ac:dyDescent="0.2">
      <c r="A1" s="9">
        <v>4181</v>
      </c>
      <c r="B1" s="31" t="s">
        <v>480</v>
      </c>
      <c r="F1" s="27" t="s">
        <v>558</v>
      </c>
      <c r="G1" s="4"/>
      <c r="H1" s="4"/>
      <c r="I1" s="4"/>
      <c r="J1" s="3"/>
    </row>
    <row r="2" spans="1:15" x14ac:dyDescent="0.2">
      <c r="F2" s="28" t="s">
        <v>559</v>
      </c>
      <c r="G2" s="3"/>
      <c r="H2" s="3"/>
      <c r="I2" s="3"/>
      <c r="J2" s="3"/>
    </row>
    <row r="3" spans="1:15" x14ac:dyDescent="0.2">
      <c r="F3" s="29" t="s">
        <v>560</v>
      </c>
      <c r="G3" s="3"/>
      <c r="H3" s="3"/>
      <c r="I3" s="3"/>
      <c r="J3" s="3"/>
    </row>
    <row r="4" spans="1:15" x14ac:dyDescent="0.2">
      <c r="F4" s="29" t="s">
        <v>561</v>
      </c>
      <c r="G4" s="3"/>
      <c r="H4" s="3"/>
      <c r="I4" s="3"/>
      <c r="J4" s="3"/>
    </row>
    <row r="6" spans="1:15" x14ac:dyDescent="0.2">
      <c r="A6" s="16" t="s">
        <v>496</v>
      </c>
      <c r="E6" s="17"/>
      <c r="F6" s="17"/>
      <c r="H6" s="8"/>
      <c r="I6" s="17"/>
      <c r="N6" s="18" t="s">
        <v>497</v>
      </c>
    </row>
    <row r="7" spans="1:15" x14ac:dyDescent="0.2">
      <c r="A7" s="16" t="s">
        <v>557</v>
      </c>
      <c r="H7" s="19"/>
      <c r="N7" s="20">
        <v>39482</v>
      </c>
    </row>
    <row r="9" spans="1:15" x14ac:dyDescent="0.2">
      <c r="D9" s="18" t="s">
        <v>481</v>
      </c>
      <c r="E9" s="18" t="s">
        <v>482</v>
      </c>
      <c r="F9" s="18" t="s">
        <v>483</v>
      </c>
      <c r="G9" s="18" t="s">
        <v>484</v>
      </c>
      <c r="H9" s="18" t="s">
        <v>485</v>
      </c>
      <c r="I9" s="18" t="s">
        <v>486</v>
      </c>
      <c r="J9" s="18" t="s">
        <v>487</v>
      </c>
      <c r="K9" s="18" t="s">
        <v>488</v>
      </c>
      <c r="L9" s="18" t="s">
        <v>489</v>
      </c>
      <c r="M9" s="18" t="s">
        <v>490</v>
      </c>
      <c r="N9" s="18" t="s">
        <v>498</v>
      </c>
    </row>
    <row r="11" spans="1:15" x14ac:dyDescent="0.2">
      <c r="D11" s="18" t="s">
        <v>471</v>
      </c>
      <c r="E11" s="21" t="s">
        <v>471</v>
      </c>
      <c r="F11" s="21" t="s">
        <v>472</v>
      </c>
      <c r="G11" s="21" t="s">
        <v>473</v>
      </c>
      <c r="H11" s="21" t="s">
        <v>474</v>
      </c>
      <c r="I11" s="21" t="s">
        <v>475</v>
      </c>
      <c r="J11" s="18" t="s">
        <v>471</v>
      </c>
      <c r="K11" s="18" t="s">
        <v>472</v>
      </c>
      <c r="L11" s="18" t="s">
        <v>473</v>
      </c>
      <c r="M11" s="18" t="s">
        <v>474</v>
      </c>
      <c r="N11" s="18" t="s">
        <v>475</v>
      </c>
    </row>
    <row r="12" spans="1:15" x14ac:dyDescent="0.2">
      <c r="D12" s="22" t="s">
        <v>494</v>
      </c>
      <c r="E12" s="21" t="s">
        <v>491</v>
      </c>
      <c r="F12" s="21" t="s">
        <v>491</v>
      </c>
      <c r="G12" s="21" t="s">
        <v>491</v>
      </c>
      <c r="H12" s="21" t="s">
        <v>491</v>
      </c>
      <c r="I12" s="21" t="s">
        <v>491</v>
      </c>
      <c r="J12" s="18" t="s">
        <v>493</v>
      </c>
      <c r="K12" s="18" t="s">
        <v>493</v>
      </c>
      <c r="L12" s="18" t="s">
        <v>493</v>
      </c>
      <c r="M12" s="18" t="s">
        <v>493</v>
      </c>
      <c r="N12" s="18" t="s">
        <v>493</v>
      </c>
    </row>
    <row r="13" spans="1:15" x14ac:dyDescent="0.2">
      <c r="D13" s="22" t="s">
        <v>495</v>
      </c>
      <c r="E13" s="21" t="s">
        <v>492</v>
      </c>
      <c r="F13" s="21" t="s">
        <v>492</v>
      </c>
      <c r="G13" s="21" t="s">
        <v>492</v>
      </c>
      <c r="H13" s="21" t="s">
        <v>492</v>
      </c>
      <c r="I13" s="21" t="s">
        <v>492</v>
      </c>
      <c r="J13" s="18" t="str">
        <f>+"= "&amp;+D9&amp;" X "&amp;+E9</f>
        <v>= A X B</v>
      </c>
      <c r="K13" s="18" t="str">
        <f>+"= "&amp;+D9&amp;" X "&amp;+F9</f>
        <v>= A X C</v>
      </c>
      <c r="L13" s="18" t="str">
        <f>+"= "&amp;+D9&amp;" X "&amp;+G9</f>
        <v>= A X D</v>
      </c>
      <c r="M13" s="18" t="str">
        <f>+"= "&amp;+D9&amp;" X "&amp;+H9</f>
        <v>= A X E</v>
      </c>
      <c r="N13" s="18" t="str">
        <f>+"= "&amp;+D9&amp;" X "&amp;+I9</f>
        <v>= A X F</v>
      </c>
    </row>
    <row r="14" spans="1:15" x14ac:dyDescent="0.2">
      <c r="E14" s="23"/>
      <c r="F14" s="23"/>
      <c r="G14" s="23"/>
      <c r="H14" s="23"/>
      <c r="I14" s="23"/>
    </row>
    <row r="15" spans="1:15" x14ac:dyDescent="0.2">
      <c r="C15" s="16" t="s">
        <v>479</v>
      </c>
      <c r="D15" s="17">
        <f>SUM(D361:D700)</f>
        <v>1</v>
      </c>
      <c r="E15" s="24" t="str">
        <f>IF(D15=1,"n/a",ROUND(IF($D15=0,0,J15/$D15),2))</f>
        <v>n/a</v>
      </c>
      <c r="F15" s="24">
        <f>ROUND(IF($D15=0,0,K15/$D15),2)</f>
        <v>145.43</v>
      </c>
      <c r="G15" s="24">
        <f>ROUND(IF($D15=0,0,L15/$D15),2)</f>
        <v>73.45</v>
      </c>
      <c r="H15" s="24">
        <f>ROUND(IF($D15=0,0,M15/$D15),2)</f>
        <v>29.58</v>
      </c>
      <c r="I15" s="24">
        <f>ROUND(IF($D15=0,0,N15/$D15),2)</f>
        <v>0</v>
      </c>
      <c r="J15" s="17">
        <f>SUM(J361:J700)</f>
        <v>114.42</v>
      </c>
      <c r="K15" s="17">
        <f>SUM(K361:K700)</f>
        <v>145.43</v>
      </c>
      <c r="L15" s="17">
        <f>SUM(L361:L700)</f>
        <v>73.45</v>
      </c>
      <c r="M15" s="17">
        <f>SUM(M361:M700)</f>
        <v>29.58</v>
      </c>
      <c r="N15" s="17">
        <f>SUM(N361:N700)</f>
        <v>0</v>
      </c>
      <c r="O15" s="17"/>
    </row>
    <row r="16" spans="1:15" x14ac:dyDescent="0.2"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">
      <c r="A17" s="16">
        <v>625</v>
      </c>
      <c r="B17" s="16">
        <v>1</v>
      </c>
      <c r="C17" s="16" t="s">
        <v>322</v>
      </c>
      <c r="D17" s="17">
        <v>1</v>
      </c>
      <c r="E17" s="17">
        <v>114.42</v>
      </c>
      <c r="F17" s="17">
        <v>145.43</v>
      </c>
      <c r="G17" s="17">
        <v>73.45</v>
      </c>
      <c r="H17" s="17">
        <v>29.58</v>
      </c>
      <c r="I17" s="17">
        <v>0</v>
      </c>
      <c r="J17" s="17">
        <v>114.42</v>
      </c>
      <c r="K17" s="17">
        <v>145.43</v>
      </c>
      <c r="L17" s="17">
        <v>73.45</v>
      </c>
      <c r="M17" s="17">
        <v>29.58</v>
      </c>
      <c r="N17" s="17">
        <v>0</v>
      </c>
      <c r="O17" s="17"/>
    </row>
    <row r="18" spans="1:15" x14ac:dyDescent="0.2">
      <c r="A18" s="16">
        <v>1</v>
      </c>
      <c r="B18" s="16">
        <v>1</v>
      </c>
      <c r="C18" s="16" t="s">
        <v>131</v>
      </c>
      <c r="D18" s="17">
        <v>0</v>
      </c>
      <c r="E18" s="17">
        <v>0.02</v>
      </c>
      <c r="F18" s="17">
        <v>0.01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/>
    </row>
    <row r="19" spans="1:15" x14ac:dyDescent="0.2">
      <c r="A19" s="16">
        <v>1.2</v>
      </c>
      <c r="B19" s="16">
        <v>3</v>
      </c>
      <c r="C19" s="16" t="s">
        <v>132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/>
    </row>
    <row r="20" spans="1:15" x14ac:dyDescent="0.2">
      <c r="A20" s="16">
        <v>2</v>
      </c>
      <c r="B20" s="16">
        <v>1</v>
      </c>
      <c r="C20" s="16" t="s">
        <v>133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/>
    </row>
    <row r="21" spans="1:15" x14ac:dyDescent="0.2">
      <c r="A21" s="16">
        <v>4</v>
      </c>
      <c r="B21" s="16">
        <v>1</v>
      </c>
      <c r="C21" s="16" t="s">
        <v>134</v>
      </c>
      <c r="D21" s="17">
        <v>0</v>
      </c>
      <c r="E21" s="17">
        <v>0.28999999999999998</v>
      </c>
      <c r="F21" s="17">
        <v>0.1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/>
    </row>
    <row r="22" spans="1:15" x14ac:dyDescent="0.2">
      <c r="A22" s="16">
        <v>6</v>
      </c>
      <c r="B22" s="16">
        <v>3</v>
      </c>
      <c r="C22" s="16" t="s">
        <v>135</v>
      </c>
      <c r="D22" s="17">
        <v>0</v>
      </c>
      <c r="E22" s="17">
        <v>148.33000000000001</v>
      </c>
      <c r="F22" s="17">
        <v>101.24</v>
      </c>
      <c r="G22" s="17">
        <v>33.49</v>
      </c>
      <c r="H22" s="17">
        <v>42.11</v>
      </c>
      <c r="I22" s="17">
        <v>22.55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/>
    </row>
    <row r="23" spans="1:15" x14ac:dyDescent="0.2">
      <c r="A23" s="16">
        <v>11</v>
      </c>
      <c r="B23" s="16">
        <v>1</v>
      </c>
      <c r="C23" s="16" t="s">
        <v>136</v>
      </c>
      <c r="D23" s="17">
        <v>0</v>
      </c>
      <c r="E23" s="17">
        <v>201.32</v>
      </c>
      <c r="F23" s="17">
        <v>160.72999999999999</v>
      </c>
      <c r="G23" s="17">
        <v>94.43</v>
      </c>
      <c r="H23" s="17">
        <v>68.94</v>
      </c>
      <c r="I23" s="17">
        <v>35.299999999999997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/>
    </row>
    <row r="24" spans="1:15" x14ac:dyDescent="0.2">
      <c r="A24" s="16">
        <v>12</v>
      </c>
      <c r="B24" s="16">
        <v>1</v>
      </c>
      <c r="C24" s="16" t="s">
        <v>137</v>
      </c>
      <c r="D24" s="17">
        <v>0</v>
      </c>
      <c r="E24" s="17">
        <v>236.53</v>
      </c>
      <c r="F24" s="17">
        <v>219.92</v>
      </c>
      <c r="G24" s="17">
        <v>159.5</v>
      </c>
      <c r="H24" s="17">
        <v>146.91</v>
      </c>
      <c r="I24" s="17">
        <v>124.23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/>
    </row>
    <row r="25" spans="1:15" x14ac:dyDescent="0.2">
      <c r="A25" s="16">
        <v>13</v>
      </c>
      <c r="B25" s="16">
        <v>1</v>
      </c>
      <c r="C25" s="16" t="s">
        <v>138</v>
      </c>
      <c r="D25" s="17">
        <v>0</v>
      </c>
      <c r="E25" s="17">
        <v>84.33</v>
      </c>
      <c r="F25" s="17">
        <v>18.39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/>
    </row>
    <row r="26" spans="1:15" x14ac:dyDescent="0.2">
      <c r="A26" s="16">
        <v>14</v>
      </c>
      <c r="B26" s="16">
        <v>1</v>
      </c>
      <c r="C26" s="16" t="s">
        <v>139</v>
      </c>
      <c r="D26" s="17">
        <v>0</v>
      </c>
      <c r="E26" s="17">
        <v>62.1</v>
      </c>
      <c r="F26" s="17">
        <v>0.95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/>
    </row>
    <row r="27" spans="1:15" x14ac:dyDescent="0.2">
      <c r="A27" s="16">
        <v>15</v>
      </c>
      <c r="B27" s="16">
        <v>1</v>
      </c>
      <c r="C27" s="16" t="s">
        <v>140</v>
      </c>
      <c r="D27" s="17">
        <v>0</v>
      </c>
      <c r="E27" s="17">
        <v>154.66999999999999</v>
      </c>
      <c r="F27" s="17">
        <v>108.49</v>
      </c>
      <c r="G27" s="17">
        <v>65.38</v>
      </c>
      <c r="H27" s="17">
        <v>2.4300000000000002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/>
    </row>
    <row r="28" spans="1:15" x14ac:dyDescent="0.2">
      <c r="A28" s="16">
        <v>16</v>
      </c>
      <c r="B28" s="16">
        <v>1</v>
      </c>
      <c r="C28" s="16" t="s">
        <v>141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/>
    </row>
    <row r="29" spans="1:15" x14ac:dyDescent="0.2">
      <c r="A29" s="16">
        <v>22</v>
      </c>
      <c r="B29" s="16">
        <v>1</v>
      </c>
      <c r="C29" s="16" t="s">
        <v>142</v>
      </c>
      <c r="D29" s="17">
        <v>0</v>
      </c>
      <c r="E29" s="17">
        <v>117.1</v>
      </c>
      <c r="F29" s="17">
        <v>87.32</v>
      </c>
      <c r="G29" s="17">
        <v>44.46</v>
      </c>
      <c r="H29" s="17">
        <v>22.66</v>
      </c>
      <c r="I29" s="17">
        <v>15.15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/>
    </row>
    <row r="30" spans="1:15" x14ac:dyDescent="0.2">
      <c r="A30" s="16">
        <v>23</v>
      </c>
      <c r="B30" s="16">
        <v>1</v>
      </c>
      <c r="C30" s="16" t="s">
        <v>143</v>
      </c>
      <c r="D30" s="17">
        <v>0</v>
      </c>
      <c r="E30" s="17">
        <v>0</v>
      </c>
      <c r="F30" s="17">
        <v>0</v>
      </c>
      <c r="G30" s="17">
        <v>211.07</v>
      </c>
      <c r="H30" s="17">
        <v>160.69</v>
      </c>
      <c r="I30" s="17">
        <v>132.04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/>
    </row>
    <row r="31" spans="1:15" x14ac:dyDescent="0.2">
      <c r="A31" s="16">
        <v>25</v>
      </c>
      <c r="B31" s="16">
        <v>1</v>
      </c>
      <c r="C31" s="16" t="s">
        <v>144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/>
    </row>
    <row r="32" spans="1:15" x14ac:dyDescent="0.2">
      <c r="A32" s="16">
        <v>31</v>
      </c>
      <c r="B32" s="16">
        <v>1</v>
      </c>
      <c r="C32" s="16" t="s">
        <v>145</v>
      </c>
      <c r="D32" s="17">
        <v>0</v>
      </c>
      <c r="E32" s="17">
        <v>247.97</v>
      </c>
      <c r="F32" s="17">
        <v>211.91</v>
      </c>
      <c r="G32" s="17">
        <v>165.95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/>
    </row>
    <row r="33" spans="1:15" x14ac:dyDescent="0.2">
      <c r="A33" s="16">
        <v>32</v>
      </c>
      <c r="B33" s="16">
        <v>1</v>
      </c>
      <c r="C33" s="16" t="s">
        <v>146</v>
      </c>
      <c r="D33" s="17">
        <v>0</v>
      </c>
      <c r="E33" s="17">
        <v>0.66</v>
      </c>
      <c r="F33" s="17">
        <v>0.56000000000000005</v>
      </c>
      <c r="G33" s="17">
        <v>0.47</v>
      </c>
      <c r="H33" s="17">
        <v>0.42</v>
      </c>
      <c r="I33" s="17">
        <v>0.39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/>
    </row>
    <row r="34" spans="1:15" x14ac:dyDescent="0.2">
      <c r="A34" s="16">
        <v>36</v>
      </c>
      <c r="B34" s="16">
        <v>1</v>
      </c>
      <c r="C34" s="16" t="s">
        <v>147</v>
      </c>
      <c r="D34" s="17">
        <v>0</v>
      </c>
      <c r="E34" s="17">
        <v>38.04</v>
      </c>
      <c r="F34" s="17">
        <v>36.18</v>
      </c>
      <c r="G34" s="17">
        <v>33.42</v>
      </c>
      <c r="H34" s="17">
        <v>31.31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/>
    </row>
    <row r="35" spans="1:15" x14ac:dyDescent="0.2">
      <c r="A35" s="16">
        <v>38</v>
      </c>
      <c r="B35" s="16">
        <v>1</v>
      </c>
      <c r="C35" s="16" t="s">
        <v>148</v>
      </c>
      <c r="D35" s="17">
        <v>0</v>
      </c>
      <c r="E35" s="17">
        <v>1291.6300000000001</v>
      </c>
      <c r="F35" s="17">
        <v>1291.83</v>
      </c>
      <c r="G35" s="17">
        <v>1291.6500000000001</v>
      </c>
      <c r="H35" s="17">
        <v>1291.7</v>
      </c>
      <c r="I35" s="17">
        <v>1291.68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/>
    </row>
    <row r="36" spans="1:15" x14ac:dyDescent="0.2">
      <c r="A36" s="16">
        <v>47</v>
      </c>
      <c r="B36" s="16">
        <v>1</v>
      </c>
      <c r="C36" s="16" t="s">
        <v>149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/>
    </row>
    <row r="37" spans="1:15" x14ac:dyDescent="0.2">
      <c r="A37" s="16">
        <v>51</v>
      </c>
      <c r="B37" s="16">
        <v>1</v>
      </c>
      <c r="C37" s="16" t="s">
        <v>150</v>
      </c>
      <c r="D37" s="17">
        <v>0</v>
      </c>
      <c r="E37" s="17">
        <v>131.15</v>
      </c>
      <c r="F37" s="17">
        <v>115.69</v>
      </c>
      <c r="G37" s="17">
        <v>102.74</v>
      </c>
      <c r="H37" s="17">
        <v>101.55</v>
      </c>
      <c r="I37" s="17">
        <v>96.76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/>
    </row>
    <row r="38" spans="1:15" x14ac:dyDescent="0.2">
      <c r="A38" s="16">
        <v>62</v>
      </c>
      <c r="B38" s="16">
        <v>1</v>
      </c>
      <c r="C38" s="16" t="s">
        <v>151</v>
      </c>
      <c r="D38" s="17">
        <v>0</v>
      </c>
      <c r="E38" s="17">
        <v>387.52</v>
      </c>
      <c r="F38" s="17">
        <v>487.96</v>
      </c>
      <c r="G38" s="17">
        <v>435.95</v>
      </c>
      <c r="H38" s="17">
        <v>429.15</v>
      </c>
      <c r="I38" s="17">
        <v>409.43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/>
    </row>
    <row r="39" spans="1:15" x14ac:dyDescent="0.2">
      <c r="A39" s="16">
        <v>75</v>
      </c>
      <c r="B39" s="16">
        <v>1</v>
      </c>
      <c r="C39" s="16" t="s">
        <v>152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/>
    </row>
    <row r="40" spans="1:15" x14ac:dyDescent="0.2">
      <c r="A40" s="16">
        <v>77</v>
      </c>
      <c r="B40" s="16">
        <v>1</v>
      </c>
      <c r="C40" s="16" t="s">
        <v>153</v>
      </c>
      <c r="D40" s="17">
        <v>0</v>
      </c>
      <c r="E40" s="17">
        <v>56.94</v>
      </c>
      <c r="F40" s="17">
        <v>23.2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/>
    </row>
    <row r="41" spans="1:15" x14ac:dyDescent="0.2">
      <c r="A41" s="16">
        <v>81</v>
      </c>
      <c r="B41" s="16">
        <v>1</v>
      </c>
      <c r="C41" s="16" t="s">
        <v>154</v>
      </c>
      <c r="D41" s="17">
        <v>0</v>
      </c>
      <c r="E41" s="17">
        <v>133.22999999999999</v>
      </c>
      <c r="F41" s="17">
        <v>301.26</v>
      </c>
      <c r="G41" s="17">
        <v>333.44</v>
      </c>
      <c r="H41" s="17">
        <v>231.41</v>
      </c>
      <c r="I41" s="17">
        <v>103.64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/>
    </row>
    <row r="42" spans="1:15" x14ac:dyDescent="0.2">
      <c r="A42" s="16">
        <v>84</v>
      </c>
      <c r="B42" s="16">
        <v>1</v>
      </c>
      <c r="C42" s="16" t="s">
        <v>155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/>
    </row>
    <row r="43" spans="1:15" x14ac:dyDescent="0.2">
      <c r="A43" s="16">
        <v>85</v>
      </c>
      <c r="B43" s="16">
        <v>1</v>
      </c>
      <c r="C43" s="16" t="s">
        <v>156</v>
      </c>
      <c r="D43" s="17">
        <v>0</v>
      </c>
      <c r="E43" s="17">
        <v>435.23</v>
      </c>
      <c r="F43" s="17">
        <v>407.7</v>
      </c>
      <c r="G43" s="17">
        <v>378.78</v>
      </c>
      <c r="H43" s="17">
        <v>369.6</v>
      </c>
      <c r="I43" s="17">
        <v>360.31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/>
    </row>
    <row r="44" spans="1:15" x14ac:dyDescent="0.2">
      <c r="A44" s="16">
        <v>88</v>
      </c>
      <c r="B44" s="16">
        <v>1</v>
      </c>
      <c r="C44" s="16" t="s">
        <v>157</v>
      </c>
      <c r="D44" s="17">
        <v>0</v>
      </c>
      <c r="E44" s="17">
        <v>130.11000000000001</v>
      </c>
      <c r="F44" s="17">
        <v>90.7</v>
      </c>
      <c r="G44" s="17">
        <v>88.97</v>
      </c>
      <c r="H44" s="17">
        <v>45.4</v>
      </c>
      <c r="I44" s="17">
        <v>4.83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/>
    </row>
    <row r="45" spans="1:15" x14ac:dyDescent="0.2">
      <c r="A45" s="16">
        <v>91</v>
      </c>
      <c r="B45" s="16">
        <v>1</v>
      </c>
      <c r="C45" s="16" t="s">
        <v>158</v>
      </c>
      <c r="D45" s="17">
        <v>0</v>
      </c>
      <c r="E45" s="17">
        <v>122.11</v>
      </c>
      <c r="F45" s="17">
        <v>110.21</v>
      </c>
      <c r="G45" s="17">
        <v>94.64</v>
      </c>
      <c r="H45" s="17">
        <v>83.1</v>
      </c>
      <c r="I45" s="17">
        <v>75.099999999999994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/>
    </row>
    <row r="46" spans="1:15" x14ac:dyDescent="0.2">
      <c r="A46" s="16">
        <v>93</v>
      </c>
      <c r="B46" s="16">
        <v>1</v>
      </c>
      <c r="C46" s="16" t="s">
        <v>159</v>
      </c>
      <c r="D46" s="17">
        <v>0</v>
      </c>
      <c r="E46" s="17">
        <v>260.14</v>
      </c>
      <c r="F46" s="17">
        <v>232.02</v>
      </c>
      <c r="G46" s="17">
        <v>185.87</v>
      </c>
      <c r="H46" s="17">
        <v>163.76</v>
      </c>
      <c r="I46" s="17">
        <v>146.55000000000001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/>
    </row>
    <row r="47" spans="1:15" x14ac:dyDescent="0.2">
      <c r="A47" s="16">
        <v>94</v>
      </c>
      <c r="B47" s="16">
        <v>1</v>
      </c>
      <c r="C47" s="16" t="s">
        <v>160</v>
      </c>
      <c r="D47" s="17">
        <v>0</v>
      </c>
      <c r="E47" s="17">
        <v>48.63</v>
      </c>
      <c r="F47" s="17">
        <v>44.31</v>
      </c>
      <c r="G47" s="17">
        <v>36.049999999999997</v>
      </c>
      <c r="H47" s="17">
        <v>33.090000000000003</v>
      </c>
      <c r="I47" s="17">
        <v>29.81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/>
    </row>
    <row r="48" spans="1:15" x14ac:dyDescent="0.2">
      <c r="A48" s="16">
        <v>95</v>
      </c>
      <c r="B48" s="16">
        <v>1</v>
      </c>
      <c r="C48" s="16" t="s">
        <v>161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/>
    </row>
    <row r="49" spans="1:15" x14ac:dyDescent="0.2">
      <c r="A49" s="16">
        <v>97</v>
      </c>
      <c r="B49" s="16">
        <v>1</v>
      </c>
      <c r="C49" s="16" t="s">
        <v>162</v>
      </c>
      <c r="D49" s="17">
        <v>0</v>
      </c>
      <c r="E49" s="17">
        <v>118.89</v>
      </c>
      <c r="F49" s="17">
        <v>101.47</v>
      </c>
      <c r="G49" s="17">
        <v>75.47</v>
      </c>
      <c r="H49" s="17">
        <v>58.29</v>
      </c>
      <c r="I49" s="17">
        <v>47.8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/>
    </row>
    <row r="50" spans="1:15" x14ac:dyDescent="0.2">
      <c r="A50" s="16">
        <v>99</v>
      </c>
      <c r="B50" s="16">
        <v>1</v>
      </c>
      <c r="C50" s="16" t="s">
        <v>163</v>
      </c>
      <c r="D50" s="17">
        <v>0</v>
      </c>
      <c r="E50" s="17">
        <v>203.02</v>
      </c>
      <c r="F50" s="17">
        <v>0.45</v>
      </c>
      <c r="G50" s="17">
        <v>0.36</v>
      </c>
      <c r="H50" s="17">
        <v>0.31</v>
      </c>
      <c r="I50" s="17">
        <v>0.28000000000000003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/>
    </row>
    <row r="51" spans="1:15" x14ac:dyDescent="0.2">
      <c r="A51" s="16">
        <v>100</v>
      </c>
      <c r="B51" s="16">
        <v>1</v>
      </c>
      <c r="C51" s="16" t="s">
        <v>164</v>
      </c>
      <c r="D51" s="17">
        <v>0</v>
      </c>
      <c r="E51" s="17">
        <v>0</v>
      </c>
      <c r="F51" s="17">
        <v>0</v>
      </c>
      <c r="G51" s="17">
        <v>150.76</v>
      </c>
      <c r="H51" s="17">
        <v>105.67</v>
      </c>
      <c r="I51" s="17">
        <v>84.24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/>
    </row>
    <row r="52" spans="1:15" x14ac:dyDescent="0.2">
      <c r="A52" s="16">
        <v>108</v>
      </c>
      <c r="B52" s="16">
        <v>1</v>
      </c>
      <c r="C52" s="16" t="s">
        <v>165</v>
      </c>
      <c r="D52" s="17">
        <v>0</v>
      </c>
      <c r="E52" s="17">
        <v>118.99</v>
      </c>
      <c r="F52" s="17">
        <v>99.8</v>
      </c>
      <c r="G52" s="17">
        <v>32.64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/>
    </row>
    <row r="53" spans="1:15" x14ac:dyDescent="0.2">
      <c r="A53" s="16">
        <v>110</v>
      </c>
      <c r="B53" s="16">
        <v>1</v>
      </c>
      <c r="C53" s="16" t="s">
        <v>166</v>
      </c>
      <c r="D53" s="17">
        <v>0</v>
      </c>
      <c r="E53" s="17">
        <v>90.25</v>
      </c>
      <c r="F53" s="17">
        <v>31.12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/>
    </row>
    <row r="54" spans="1:15" x14ac:dyDescent="0.2">
      <c r="A54" s="16">
        <v>111</v>
      </c>
      <c r="B54" s="16">
        <v>1</v>
      </c>
      <c r="C54" s="16" t="s">
        <v>167</v>
      </c>
      <c r="D54" s="17">
        <v>0</v>
      </c>
      <c r="E54" s="17">
        <v>66.14</v>
      </c>
      <c r="F54" s="17">
        <v>53.47</v>
      </c>
      <c r="G54" s="17">
        <v>29.34</v>
      </c>
      <c r="H54" s="17">
        <v>26.18</v>
      </c>
      <c r="I54" s="17">
        <v>28.01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/>
    </row>
    <row r="55" spans="1:15" x14ac:dyDescent="0.2">
      <c r="A55" s="16">
        <v>112</v>
      </c>
      <c r="B55" s="16">
        <v>1</v>
      </c>
      <c r="C55" s="16" t="s">
        <v>168</v>
      </c>
      <c r="D55" s="17">
        <v>0</v>
      </c>
      <c r="E55" s="17">
        <v>68.66</v>
      </c>
      <c r="F55" s="17">
        <v>21.58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/>
    </row>
    <row r="56" spans="1:15" x14ac:dyDescent="0.2">
      <c r="A56" s="16">
        <v>113</v>
      </c>
      <c r="B56" s="16">
        <v>1</v>
      </c>
      <c r="C56" s="16" t="s">
        <v>169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/>
    </row>
    <row r="57" spans="1:15" x14ac:dyDescent="0.2">
      <c r="A57" s="16">
        <v>115</v>
      </c>
      <c r="B57" s="16">
        <v>1</v>
      </c>
      <c r="C57" s="16" t="s">
        <v>170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/>
    </row>
    <row r="58" spans="1:15" x14ac:dyDescent="0.2">
      <c r="A58" s="16">
        <v>116</v>
      </c>
      <c r="B58" s="16">
        <v>1</v>
      </c>
      <c r="C58" s="16" t="s">
        <v>171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/>
    </row>
    <row r="59" spans="1:15" x14ac:dyDescent="0.2">
      <c r="A59" s="16">
        <v>118</v>
      </c>
      <c r="B59" s="16">
        <v>1</v>
      </c>
      <c r="C59" s="16" t="s">
        <v>172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/>
    </row>
    <row r="60" spans="1:15" x14ac:dyDescent="0.2">
      <c r="A60" s="16">
        <v>129</v>
      </c>
      <c r="B60" s="16">
        <v>1</v>
      </c>
      <c r="C60" s="16" t="s">
        <v>173</v>
      </c>
      <c r="D60" s="17">
        <v>0</v>
      </c>
      <c r="E60" s="17">
        <v>336.91</v>
      </c>
      <c r="F60" s="17">
        <v>325.18</v>
      </c>
      <c r="G60" s="17">
        <v>310.89999999999998</v>
      </c>
      <c r="H60" s="17">
        <v>297.08</v>
      </c>
      <c r="I60" s="17">
        <v>280.42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/>
    </row>
    <row r="61" spans="1:15" x14ac:dyDescent="0.2">
      <c r="A61" s="16">
        <v>138</v>
      </c>
      <c r="B61" s="16">
        <v>1</v>
      </c>
      <c r="C61" s="16" t="s">
        <v>174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/>
    </row>
    <row r="62" spans="1:15" x14ac:dyDescent="0.2">
      <c r="A62" s="16">
        <v>139</v>
      </c>
      <c r="B62" s="16">
        <v>1</v>
      </c>
      <c r="C62" s="16" t="s">
        <v>175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/>
    </row>
    <row r="63" spans="1:15" x14ac:dyDescent="0.2">
      <c r="A63" s="16">
        <v>146</v>
      </c>
      <c r="B63" s="16">
        <v>1</v>
      </c>
      <c r="C63" s="16" t="s">
        <v>176</v>
      </c>
      <c r="D63" s="17">
        <v>0</v>
      </c>
      <c r="E63" s="17">
        <v>640.72</v>
      </c>
      <c r="F63" s="17">
        <v>497.03</v>
      </c>
      <c r="G63" s="17">
        <v>432.21</v>
      </c>
      <c r="H63" s="17">
        <v>415.91</v>
      </c>
      <c r="I63" s="17">
        <v>401.38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/>
    </row>
    <row r="64" spans="1:15" x14ac:dyDescent="0.2">
      <c r="A64" s="16">
        <v>150</v>
      </c>
      <c r="B64" s="16">
        <v>1</v>
      </c>
      <c r="C64" s="16" t="s">
        <v>177</v>
      </c>
      <c r="D64" s="17">
        <v>0</v>
      </c>
      <c r="E64" s="17">
        <v>341.87</v>
      </c>
      <c r="F64" s="17">
        <v>320.5</v>
      </c>
      <c r="G64" s="17">
        <v>286.66000000000003</v>
      </c>
      <c r="H64" s="17">
        <v>270.87</v>
      </c>
      <c r="I64" s="17">
        <v>257.97000000000003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/>
    </row>
    <row r="65" spans="1:15" x14ac:dyDescent="0.2">
      <c r="A65" s="16">
        <v>152</v>
      </c>
      <c r="B65" s="16">
        <v>1</v>
      </c>
      <c r="C65" s="16" t="s">
        <v>178</v>
      </c>
      <c r="D65" s="17">
        <v>0</v>
      </c>
      <c r="E65" s="17">
        <v>20.94</v>
      </c>
      <c r="F65" s="17">
        <v>17.71</v>
      </c>
      <c r="G65" s="17">
        <v>16.02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/>
    </row>
    <row r="66" spans="1:15" x14ac:dyDescent="0.2">
      <c r="A66" s="16">
        <v>162</v>
      </c>
      <c r="B66" s="16">
        <v>1</v>
      </c>
      <c r="C66" s="16" t="s">
        <v>179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/>
    </row>
    <row r="67" spans="1:15" x14ac:dyDescent="0.2">
      <c r="A67" s="16">
        <v>166</v>
      </c>
      <c r="B67" s="16">
        <v>1</v>
      </c>
      <c r="C67" s="16" t="s">
        <v>180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/>
    </row>
    <row r="68" spans="1:15" x14ac:dyDescent="0.2">
      <c r="A68" s="16">
        <v>173</v>
      </c>
      <c r="B68" s="16">
        <v>1</v>
      </c>
      <c r="C68" s="16" t="s">
        <v>181</v>
      </c>
      <c r="D68" s="17">
        <v>0</v>
      </c>
      <c r="E68" s="17">
        <v>379.74</v>
      </c>
      <c r="F68" s="17">
        <v>381.39</v>
      </c>
      <c r="G68" s="17">
        <v>513.73</v>
      </c>
      <c r="H68" s="17">
        <v>496.29</v>
      </c>
      <c r="I68" s="17">
        <v>462.85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/>
    </row>
    <row r="69" spans="1:15" x14ac:dyDescent="0.2">
      <c r="A69" s="16">
        <v>177</v>
      </c>
      <c r="B69" s="16">
        <v>1</v>
      </c>
      <c r="C69" s="16" t="s">
        <v>182</v>
      </c>
      <c r="D69" s="17">
        <v>0</v>
      </c>
      <c r="E69" s="17">
        <v>240.36</v>
      </c>
      <c r="F69" s="17">
        <v>222.18</v>
      </c>
      <c r="G69" s="17">
        <v>430.53</v>
      </c>
      <c r="H69" s="17">
        <v>396.46</v>
      </c>
      <c r="I69" s="17">
        <v>380.57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/>
    </row>
    <row r="70" spans="1:15" x14ac:dyDescent="0.2">
      <c r="A70" s="16">
        <v>181</v>
      </c>
      <c r="B70" s="16">
        <v>1</v>
      </c>
      <c r="C70" s="16" t="s">
        <v>183</v>
      </c>
      <c r="D70" s="17">
        <v>0</v>
      </c>
      <c r="E70" s="17">
        <v>50.85</v>
      </c>
      <c r="F70" s="17">
        <v>36.549999999999997</v>
      </c>
      <c r="G70" s="17">
        <v>8.83</v>
      </c>
      <c r="H70" s="17">
        <v>3.69</v>
      </c>
      <c r="I70" s="17">
        <v>5.0999999999999996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/>
    </row>
    <row r="71" spans="1:15" x14ac:dyDescent="0.2">
      <c r="A71" s="16">
        <v>182</v>
      </c>
      <c r="B71" s="16">
        <v>1</v>
      </c>
      <c r="C71" s="16" t="s">
        <v>184</v>
      </c>
      <c r="D71" s="17">
        <v>0</v>
      </c>
      <c r="E71" s="17">
        <v>59.53</v>
      </c>
      <c r="F71" s="17">
        <v>14.75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/>
    </row>
    <row r="72" spans="1:15" x14ac:dyDescent="0.2">
      <c r="A72" s="16">
        <v>186</v>
      </c>
      <c r="B72" s="16">
        <v>1</v>
      </c>
      <c r="C72" s="16" t="s">
        <v>185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/>
    </row>
    <row r="73" spans="1:15" x14ac:dyDescent="0.2">
      <c r="A73" s="16">
        <v>191</v>
      </c>
      <c r="B73" s="16">
        <v>1</v>
      </c>
      <c r="C73" s="16" t="s">
        <v>186</v>
      </c>
      <c r="D73" s="17">
        <v>0</v>
      </c>
      <c r="E73" s="17">
        <v>41.42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/>
    </row>
    <row r="74" spans="1:15" x14ac:dyDescent="0.2">
      <c r="A74" s="16">
        <v>192</v>
      </c>
      <c r="B74" s="16">
        <v>1</v>
      </c>
      <c r="C74" s="16" t="s">
        <v>187</v>
      </c>
      <c r="D74" s="17">
        <v>0</v>
      </c>
      <c r="E74" s="17">
        <v>70.73</v>
      </c>
      <c r="F74" s="17">
        <v>55.72</v>
      </c>
      <c r="G74" s="17">
        <v>160.6</v>
      </c>
      <c r="H74" s="17">
        <v>157.33000000000001</v>
      </c>
      <c r="I74" s="17">
        <v>155.41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/>
    </row>
    <row r="75" spans="1:15" x14ac:dyDescent="0.2">
      <c r="A75" s="16">
        <v>194</v>
      </c>
      <c r="B75" s="16">
        <v>1</v>
      </c>
      <c r="C75" s="16" t="s">
        <v>188</v>
      </c>
      <c r="D75" s="17">
        <v>0</v>
      </c>
      <c r="E75" s="17">
        <v>151.44999999999999</v>
      </c>
      <c r="F75" s="17">
        <v>92.14</v>
      </c>
      <c r="G75" s="17">
        <v>19.21</v>
      </c>
      <c r="H75" s="17">
        <v>1.65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/>
    </row>
    <row r="76" spans="1:15" x14ac:dyDescent="0.2">
      <c r="A76" s="16">
        <v>195</v>
      </c>
      <c r="B76" s="16">
        <v>1</v>
      </c>
      <c r="C76" s="16" t="s">
        <v>189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/>
    </row>
    <row r="77" spans="1:15" x14ac:dyDescent="0.2">
      <c r="A77" s="16">
        <v>196</v>
      </c>
      <c r="B77" s="16">
        <v>1</v>
      </c>
      <c r="C77" s="16" t="s">
        <v>190</v>
      </c>
      <c r="D77" s="17">
        <v>0</v>
      </c>
      <c r="E77" s="17">
        <v>116</v>
      </c>
      <c r="F77" s="17">
        <v>59.12</v>
      </c>
      <c r="G77" s="17">
        <v>7.0000000000000007E-2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/>
    </row>
    <row r="78" spans="1:15" x14ac:dyDescent="0.2">
      <c r="A78" s="16">
        <v>197</v>
      </c>
      <c r="B78" s="16">
        <v>1</v>
      </c>
      <c r="C78" s="16" t="s">
        <v>191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/>
    </row>
    <row r="79" spans="1:15" x14ac:dyDescent="0.2">
      <c r="A79" s="16">
        <v>199</v>
      </c>
      <c r="B79" s="16">
        <v>1</v>
      </c>
      <c r="C79" s="16" t="s">
        <v>192</v>
      </c>
      <c r="D79" s="17">
        <v>0</v>
      </c>
      <c r="E79" s="17">
        <v>5.1100000000000003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/>
    </row>
    <row r="80" spans="1:15" x14ac:dyDescent="0.2">
      <c r="A80" s="16">
        <v>200</v>
      </c>
      <c r="B80" s="16">
        <v>1</v>
      </c>
      <c r="C80" s="16" t="s">
        <v>193</v>
      </c>
      <c r="D80" s="17">
        <v>0</v>
      </c>
      <c r="E80" s="17">
        <v>110.14</v>
      </c>
      <c r="F80" s="17">
        <v>35.950000000000003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/>
    </row>
    <row r="81" spans="1:15" x14ac:dyDescent="0.2">
      <c r="A81" s="16">
        <v>203</v>
      </c>
      <c r="B81" s="16">
        <v>1</v>
      </c>
      <c r="C81" s="16" t="s">
        <v>194</v>
      </c>
      <c r="D81" s="17">
        <v>0</v>
      </c>
      <c r="E81" s="17">
        <v>240.89</v>
      </c>
      <c r="F81" s="17">
        <v>217.85</v>
      </c>
      <c r="G81" s="17">
        <v>195.82</v>
      </c>
      <c r="H81" s="17">
        <v>271.20999999999998</v>
      </c>
      <c r="I81" s="17">
        <v>257.27999999999997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/>
    </row>
    <row r="82" spans="1:15" x14ac:dyDescent="0.2">
      <c r="A82" s="16">
        <v>204</v>
      </c>
      <c r="B82" s="16">
        <v>1</v>
      </c>
      <c r="C82" s="16" t="s">
        <v>195</v>
      </c>
      <c r="D82" s="17">
        <v>0</v>
      </c>
      <c r="E82" s="17">
        <v>202.5</v>
      </c>
      <c r="F82" s="17">
        <v>195.44</v>
      </c>
      <c r="G82" s="17">
        <v>179.47</v>
      </c>
      <c r="H82" s="17">
        <v>158.63999999999999</v>
      </c>
      <c r="I82" s="17">
        <v>142.44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/>
    </row>
    <row r="83" spans="1:15" x14ac:dyDescent="0.2">
      <c r="A83" s="16">
        <v>206</v>
      </c>
      <c r="B83" s="16">
        <v>1</v>
      </c>
      <c r="C83" s="16" t="s">
        <v>196</v>
      </c>
      <c r="D83" s="17">
        <v>0</v>
      </c>
      <c r="E83" s="17">
        <v>48.56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/>
    </row>
    <row r="84" spans="1:15" x14ac:dyDescent="0.2">
      <c r="A84" s="16">
        <v>207</v>
      </c>
      <c r="B84" s="16">
        <v>1</v>
      </c>
      <c r="C84" s="16" t="s">
        <v>197</v>
      </c>
      <c r="D84" s="17">
        <v>0</v>
      </c>
      <c r="E84" s="17">
        <v>219.81</v>
      </c>
      <c r="F84" s="17">
        <v>169.89</v>
      </c>
      <c r="G84" s="17">
        <v>114.71</v>
      </c>
      <c r="H84" s="17">
        <v>99.2</v>
      </c>
      <c r="I84" s="17">
        <v>0.16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/>
    </row>
    <row r="85" spans="1:15" x14ac:dyDescent="0.2">
      <c r="A85" s="16">
        <v>208</v>
      </c>
      <c r="B85" s="16">
        <v>1</v>
      </c>
      <c r="C85" s="16" t="s">
        <v>198</v>
      </c>
      <c r="D85" s="17">
        <v>0</v>
      </c>
      <c r="E85" s="17">
        <v>547.54999999999995</v>
      </c>
      <c r="F85" s="17">
        <v>484.67</v>
      </c>
      <c r="G85" s="17">
        <v>313.14</v>
      </c>
      <c r="H85" s="17">
        <v>246.98</v>
      </c>
      <c r="I85" s="17">
        <v>184.87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/>
    </row>
    <row r="86" spans="1:15" x14ac:dyDescent="0.2">
      <c r="A86" s="16">
        <v>213</v>
      </c>
      <c r="B86" s="16">
        <v>1</v>
      </c>
      <c r="C86" s="16" t="s">
        <v>199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/>
    </row>
    <row r="87" spans="1:15" x14ac:dyDescent="0.2">
      <c r="A87" s="16">
        <v>227</v>
      </c>
      <c r="B87" s="16">
        <v>1</v>
      </c>
      <c r="C87" s="16" t="s">
        <v>200</v>
      </c>
      <c r="D87" s="17">
        <v>0</v>
      </c>
      <c r="E87" s="17">
        <v>175.7</v>
      </c>
      <c r="F87" s="17">
        <v>162.25</v>
      </c>
      <c r="G87" s="17">
        <v>141.83000000000001</v>
      </c>
      <c r="H87" s="17">
        <v>129.30000000000001</v>
      </c>
      <c r="I87" s="17">
        <v>115.62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/>
    </row>
    <row r="88" spans="1:15" x14ac:dyDescent="0.2">
      <c r="A88" s="16">
        <v>229</v>
      </c>
      <c r="B88" s="16">
        <v>1</v>
      </c>
      <c r="C88" s="16" t="s">
        <v>201</v>
      </c>
      <c r="D88" s="17">
        <v>0</v>
      </c>
      <c r="E88" s="17">
        <v>147.32</v>
      </c>
      <c r="F88" s="17">
        <v>121.29</v>
      </c>
      <c r="G88" s="17">
        <v>93.07</v>
      </c>
      <c r="H88" s="17">
        <v>71.62</v>
      </c>
      <c r="I88" s="17">
        <v>45.05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/>
    </row>
    <row r="89" spans="1:15" x14ac:dyDescent="0.2">
      <c r="A89" s="16">
        <v>238</v>
      </c>
      <c r="B89" s="16">
        <v>1</v>
      </c>
      <c r="C89" s="16" t="s">
        <v>202</v>
      </c>
      <c r="D89" s="17">
        <v>0</v>
      </c>
      <c r="E89" s="17">
        <v>483.17</v>
      </c>
      <c r="F89" s="17">
        <v>462.98</v>
      </c>
      <c r="G89" s="17">
        <v>361.66</v>
      </c>
      <c r="H89" s="17">
        <v>279.95</v>
      </c>
      <c r="I89" s="17">
        <v>219.21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/>
    </row>
    <row r="90" spans="1:15" x14ac:dyDescent="0.2">
      <c r="A90" s="16">
        <v>239</v>
      </c>
      <c r="B90" s="16">
        <v>1</v>
      </c>
      <c r="C90" s="16" t="s">
        <v>203</v>
      </c>
      <c r="D90" s="17">
        <v>0</v>
      </c>
      <c r="E90" s="17">
        <v>397.25</v>
      </c>
      <c r="F90" s="17">
        <v>373.87</v>
      </c>
      <c r="G90" s="17">
        <v>315.02</v>
      </c>
      <c r="H90" s="17">
        <v>293.67</v>
      </c>
      <c r="I90" s="17">
        <v>272.39999999999998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/>
    </row>
    <row r="91" spans="1:15" x14ac:dyDescent="0.2">
      <c r="A91" s="16">
        <v>241</v>
      </c>
      <c r="B91" s="16">
        <v>1</v>
      </c>
      <c r="C91" s="16" t="s">
        <v>204</v>
      </c>
      <c r="D91" s="17">
        <v>0</v>
      </c>
      <c r="E91" s="17">
        <v>248.15</v>
      </c>
      <c r="F91" s="17">
        <v>220.61</v>
      </c>
      <c r="G91" s="17">
        <v>270.79000000000002</v>
      </c>
      <c r="H91" s="17">
        <v>253.15</v>
      </c>
      <c r="I91" s="17">
        <v>228.29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/>
    </row>
    <row r="92" spans="1:15" x14ac:dyDescent="0.2">
      <c r="A92" s="16">
        <v>242</v>
      </c>
      <c r="B92" s="16">
        <v>1</v>
      </c>
      <c r="C92" s="16" t="s">
        <v>205</v>
      </c>
      <c r="D92" s="17">
        <v>0</v>
      </c>
      <c r="E92" s="17">
        <v>300.55</v>
      </c>
      <c r="F92" s="17">
        <v>288.44</v>
      </c>
      <c r="G92" s="17">
        <v>248.43</v>
      </c>
      <c r="H92" s="17">
        <v>230.88</v>
      </c>
      <c r="I92" s="17">
        <v>199.44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/>
    </row>
    <row r="93" spans="1:15" x14ac:dyDescent="0.2">
      <c r="A93" s="16">
        <v>252</v>
      </c>
      <c r="B93" s="16">
        <v>1</v>
      </c>
      <c r="C93" s="16" t="s">
        <v>206</v>
      </c>
      <c r="D93" s="17">
        <v>0</v>
      </c>
      <c r="E93" s="17">
        <v>127.03</v>
      </c>
      <c r="F93" s="17">
        <v>58.85</v>
      </c>
      <c r="G93" s="17">
        <v>8.16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/>
    </row>
    <row r="94" spans="1:15" x14ac:dyDescent="0.2">
      <c r="A94" s="16">
        <v>253</v>
      </c>
      <c r="B94" s="16">
        <v>1</v>
      </c>
      <c r="C94" s="16" t="s">
        <v>207</v>
      </c>
      <c r="D94" s="17">
        <v>0</v>
      </c>
      <c r="E94" s="17">
        <v>68.989999999999995</v>
      </c>
      <c r="F94" s="17">
        <v>62.57</v>
      </c>
      <c r="G94" s="17">
        <v>55.39</v>
      </c>
      <c r="H94" s="17">
        <v>53.14</v>
      </c>
      <c r="I94" s="17">
        <v>50.15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/>
    </row>
    <row r="95" spans="1:15" x14ac:dyDescent="0.2">
      <c r="A95" s="16">
        <v>255</v>
      </c>
      <c r="B95" s="16">
        <v>1</v>
      </c>
      <c r="C95" s="16" t="s">
        <v>208</v>
      </c>
      <c r="D95" s="17">
        <v>0</v>
      </c>
      <c r="E95" s="17">
        <v>218.15</v>
      </c>
      <c r="F95" s="17">
        <v>189.76</v>
      </c>
      <c r="G95" s="17">
        <v>156.13</v>
      </c>
      <c r="H95" s="17">
        <v>141.19</v>
      </c>
      <c r="I95" s="17">
        <v>133.78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/>
    </row>
    <row r="96" spans="1:15" x14ac:dyDescent="0.2">
      <c r="A96" s="16">
        <v>256</v>
      </c>
      <c r="B96" s="16">
        <v>1</v>
      </c>
      <c r="C96" s="16" t="s">
        <v>209</v>
      </c>
      <c r="D96" s="17">
        <v>0</v>
      </c>
      <c r="E96" s="17">
        <v>9.77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/>
    </row>
    <row r="97" spans="1:15" x14ac:dyDescent="0.2">
      <c r="A97" s="16">
        <v>261</v>
      </c>
      <c r="B97" s="16">
        <v>1</v>
      </c>
      <c r="C97" s="16" t="s">
        <v>210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/>
    </row>
    <row r="98" spans="1:15" x14ac:dyDescent="0.2">
      <c r="A98" s="16">
        <v>264</v>
      </c>
      <c r="B98" s="16">
        <v>1</v>
      </c>
      <c r="C98" s="16" t="s">
        <v>211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/>
    </row>
    <row r="99" spans="1:15" x14ac:dyDescent="0.2">
      <c r="A99" s="16">
        <v>270</v>
      </c>
      <c r="B99" s="16">
        <v>1</v>
      </c>
      <c r="C99" s="16" t="s">
        <v>212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/>
    </row>
    <row r="100" spans="1:15" x14ac:dyDescent="0.2">
      <c r="A100" s="16">
        <v>271</v>
      </c>
      <c r="B100" s="16">
        <v>1</v>
      </c>
      <c r="C100" s="16" t="s">
        <v>213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/>
    </row>
    <row r="101" spans="1:15" x14ac:dyDescent="0.2">
      <c r="A101" s="16">
        <v>272</v>
      </c>
      <c r="B101" s="16">
        <v>1</v>
      </c>
      <c r="C101" s="16" t="s">
        <v>214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/>
    </row>
    <row r="102" spans="1:15" x14ac:dyDescent="0.2">
      <c r="A102" s="16">
        <v>273</v>
      </c>
      <c r="B102" s="16">
        <v>1</v>
      </c>
      <c r="C102" s="16" t="s">
        <v>215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/>
    </row>
    <row r="103" spans="1:15" x14ac:dyDescent="0.2">
      <c r="A103" s="16">
        <v>276</v>
      </c>
      <c r="B103" s="16">
        <v>1</v>
      </c>
      <c r="C103" s="16" t="s">
        <v>216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/>
    </row>
    <row r="104" spans="1:15" x14ac:dyDescent="0.2">
      <c r="A104" s="16">
        <v>277</v>
      </c>
      <c r="B104" s="16">
        <v>1</v>
      </c>
      <c r="C104" s="16" t="s">
        <v>217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/>
    </row>
    <row r="105" spans="1:15" x14ac:dyDescent="0.2">
      <c r="A105" s="16">
        <v>278</v>
      </c>
      <c r="B105" s="16">
        <v>1</v>
      </c>
      <c r="C105" s="16" t="s">
        <v>218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/>
    </row>
    <row r="106" spans="1:15" x14ac:dyDescent="0.2">
      <c r="A106" s="16">
        <v>279</v>
      </c>
      <c r="B106" s="16">
        <v>1</v>
      </c>
      <c r="C106" s="16" t="s">
        <v>219</v>
      </c>
      <c r="D106" s="17">
        <v>0</v>
      </c>
      <c r="E106" s="17">
        <v>75.09</v>
      </c>
      <c r="F106" s="17">
        <v>14.26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/>
    </row>
    <row r="107" spans="1:15" x14ac:dyDescent="0.2">
      <c r="A107" s="16">
        <v>280</v>
      </c>
      <c r="B107" s="16">
        <v>1</v>
      </c>
      <c r="C107" s="16" t="s">
        <v>220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/>
    </row>
    <row r="108" spans="1:15" x14ac:dyDescent="0.2">
      <c r="A108" s="16">
        <v>281</v>
      </c>
      <c r="B108" s="16">
        <v>1</v>
      </c>
      <c r="C108" s="16" t="s">
        <v>221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/>
    </row>
    <row r="109" spans="1:15" x14ac:dyDescent="0.2">
      <c r="A109" s="16">
        <v>282</v>
      </c>
      <c r="B109" s="16">
        <v>1</v>
      </c>
      <c r="C109" s="16" t="s">
        <v>222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/>
    </row>
    <row r="110" spans="1:15" x14ac:dyDescent="0.2">
      <c r="A110" s="16">
        <v>283</v>
      </c>
      <c r="B110" s="16">
        <v>1</v>
      </c>
      <c r="C110" s="16" t="s">
        <v>223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/>
    </row>
    <row r="111" spans="1:15" x14ac:dyDescent="0.2">
      <c r="A111" s="16">
        <v>284</v>
      </c>
      <c r="B111" s="16">
        <v>1</v>
      </c>
      <c r="C111" s="16" t="s">
        <v>224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/>
    </row>
    <row r="112" spans="1:15" x14ac:dyDescent="0.2">
      <c r="A112" s="16">
        <v>286</v>
      </c>
      <c r="B112" s="16">
        <v>1</v>
      </c>
      <c r="C112" s="16" t="s">
        <v>225</v>
      </c>
      <c r="D112" s="17">
        <v>0</v>
      </c>
      <c r="E112" s="17">
        <v>105.79</v>
      </c>
      <c r="F112" s="17">
        <v>83.06</v>
      </c>
      <c r="G112" s="17">
        <v>69.459999999999994</v>
      </c>
      <c r="H112" s="17">
        <v>66.34</v>
      </c>
      <c r="I112" s="17">
        <v>59.71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/>
    </row>
    <row r="113" spans="1:15" x14ac:dyDescent="0.2">
      <c r="A113" s="16">
        <v>294</v>
      </c>
      <c r="B113" s="16">
        <v>1</v>
      </c>
      <c r="C113" s="16" t="s">
        <v>226</v>
      </c>
      <c r="D113" s="17">
        <v>0</v>
      </c>
      <c r="E113" s="17">
        <v>241.98</v>
      </c>
      <c r="F113" s="17">
        <v>241.25</v>
      </c>
      <c r="G113" s="17">
        <v>227.39</v>
      </c>
      <c r="H113" s="17">
        <v>162.96</v>
      </c>
      <c r="I113" s="17">
        <v>132.4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/>
    </row>
    <row r="114" spans="1:15" x14ac:dyDescent="0.2">
      <c r="A114" s="16">
        <v>297</v>
      </c>
      <c r="B114" s="16">
        <v>1</v>
      </c>
      <c r="C114" s="16" t="s">
        <v>227</v>
      </c>
      <c r="D114" s="17">
        <v>0</v>
      </c>
      <c r="E114" s="17">
        <v>500.28</v>
      </c>
      <c r="F114" s="17">
        <v>478.51</v>
      </c>
      <c r="G114" s="17">
        <v>386.82</v>
      </c>
      <c r="H114" s="17">
        <v>290.60000000000002</v>
      </c>
      <c r="I114" s="17">
        <v>192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/>
    </row>
    <row r="115" spans="1:15" x14ac:dyDescent="0.2">
      <c r="A115" s="16">
        <v>299</v>
      </c>
      <c r="B115" s="16">
        <v>1</v>
      </c>
      <c r="C115" s="16" t="s">
        <v>228</v>
      </c>
      <c r="D115" s="17">
        <v>0</v>
      </c>
      <c r="E115" s="17">
        <v>343.61</v>
      </c>
      <c r="F115" s="17">
        <v>347.14</v>
      </c>
      <c r="G115" s="17">
        <v>298.73</v>
      </c>
      <c r="H115" s="17">
        <v>244.74</v>
      </c>
      <c r="I115" s="17">
        <v>204.29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/>
    </row>
    <row r="116" spans="1:15" x14ac:dyDescent="0.2">
      <c r="A116" s="16">
        <v>300</v>
      </c>
      <c r="B116" s="16">
        <v>1</v>
      </c>
      <c r="C116" s="16" t="s">
        <v>229</v>
      </c>
      <c r="D116" s="17">
        <v>0</v>
      </c>
      <c r="E116" s="17">
        <v>0.41</v>
      </c>
      <c r="F116" s="17">
        <v>158.61000000000001</v>
      </c>
      <c r="G116" s="17">
        <v>109.49</v>
      </c>
      <c r="H116" s="17">
        <v>100.89</v>
      </c>
      <c r="I116" s="17">
        <v>82.28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/>
    </row>
    <row r="117" spans="1:15" x14ac:dyDescent="0.2">
      <c r="A117" s="16">
        <v>306</v>
      </c>
      <c r="B117" s="16">
        <v>1</v>
      </c>
      <c r="C117" s="16" t="s">
        <v>230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/>
    </row>
    <row r="118" spans="1:15" x14ac:dyDescent="0.2">
      <c r="A118" s="16">
        <v>308</v>
      </c>
      <c r="B118" s="16">
        <v>1</v>
      </c>
      <c r="C118" s="16" t="s">
        <v>231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/>
    </row>
    <row r="119" spans="1:15" x14ac:dyDescent="0.2">
      <c r="A119" s="16">
        <v>309</v>
      </c>
      <c r="B119" s="16">
        <v>1</v>
      </c>
      <c r="C119" s="16" t="s">
        <v>232</v>
      </c>
      <c r="D119" s="17">
        <v>0</v>
      </c>
      <c r="E119" s="17">
        <v>0</v>
      </c>
      <c r="F119" s="17">
        <v>84.13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/>
    </row>
    <row r="120" spans="1:15" x14ac:dyDescent="0.2">
      <c r="A120" s="16">
        <v>314</v>
      </c>
      <c r="B120" s="16">
        <v>1</v>
      </c>
      <c r="C120" s="16" t="s">
        <v>233</v>
      </c>
      <c r="D120" s="17">
        <v>0</v>
      </c>
      <c r="E120" s="17">
        <v>160.04</v>
      </c>
      <c r="F120" s="17">
        <v>132.77000000000001</v>
      </c>
      <c r="G120" s="17">
        <v>166.9</v>
      </c>
      <c r="H120" s="17">
        <v>128.24</v>
      </c>
      <c r="I120" s="17">
        <v>98.29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/>
    </row>
    <row r="121" spans="1:15" x14ac:dyDescent="0.2">
      <c r="A121" s="16">
        <v>316</v>
      </c>
      <c r="B121" s="16">
        <v>1</v>
      </c>
      <c r="C121" s="16" t="s">
        <v>234</v>
      </c>
      <c r="D121" s="17">
        <v>0</v>
      </c>
      <c r="E121" s="17">
        <v>343.55</v>
      </c>
      <c r="F121" s="17">
        <v>331.49</v>
      </c>
      <c r="G121" s="17">
        <v>258.79000000000002</v>
      </c>
      <c r="H121" s="17">
        <v>225.46</v>
      </c>
      <c r="I121" s="17">
        <v>113.44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/>
    </row>
    <row r="122" spans="1:15" x14ac:dyDescent="0.2">
      <c r="A122" s="16">
        <v>317</v>
      </c>
      <c r="B122" s="16">
        <v>1</v>
      </c>
      <c r="C122" s="16" t="s">
        <v>235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/>
    </row>
    <row r="123" spans="1:15" x14ac:dyDescent="0.2">
      <c r="A123" s="16">
        <v>318</v>
      </c>
      <c r="B123" s="16">
        <v>1</v>
      </c>
      <c r="C123" s="16" t="s">
        <v>236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/>
    </row>
    <row r="124" spans="1:15" x14ac:dyDescent="0.2">
      <c r="A124" s="16">
        <v>319</v>
      </c>
      <c r="B124" s="16">
        <v>1</v>
      </c>
      <c r="C124" s="16" t="s">
        <v>237</v>
      </c>
      <c r="D124" s="17">
        <v>0</v>
      </c>
      <c r="E124" s="17">
        <v>69.48</v>
      </c>
      <c r="F124" s="17">
        <v>63.41</v>
      </c>
      <c r="G124" s="17">
        <v>53.91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/>
    </row>
    <row r="125" spans="1:15" x14ac:dyDescent="0.2">
      <c r="A125" s="16">
        <v>323</v>
      </c>
      <c r="B125" s="16">
        <v>2</v>
      </c>
      <c r="C125" s="16" t="s">
        <v>238</v>
      </c>
      <c r="D125" s="17">
        <v>0</v>
      </c>
      <c r="E125" s="17">
        <v>152.11000000000001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/>
    </row>
    <row r="126" spans="1:15" x14ac:dyDescent="0.2">
      <c r="A126" s="16">
        <v>330</v>
      </c>
      <c r="B126" s="16">
        <v>1</v>
      </c>
      <c r="C126" s="16" t="s">
        <v>239</v>
      </c>
      <c r="D126" s="17">
        <v>0</v>
      </c>
      <c r="E126" s="17">
        <v>533.47</v>
      </c>
      <c r="F126" s="17">
        <v>481.19</v>
      </c>
      <c r="G126" s="17">
        <v>399.18</v>
      </c>
      <c r="H126" s="17">
        <v>399.63</v>
      </c>
      <c r="I126" s="17">
        <v>368.06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/>
    </row>
    <row r="127" spans="1:15" x14ac:dyDescent="0.2">
      <c r="A127" s="16">
        <v>332</v>
      </c>
      <c r="B127" s="16">
        <v>1</v>
      </c>
      <c r="C127" s="16" t="s">
        <v>240</v>
      </c>
      <c r="D127" s="17">
        <v>0</v>
      </c>
      <c r="E127" s="17">
        <v>62.64</v>
      </c>
      <c r="F127" s="17">
        <v>52.8</v>
      </c>
      <c r="G127" s="17">
        <v>42.98</v>
      </c>
      <c r="H127" s="17">
        <v>38.97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/>
    </row>
    <row r="128" spans="1:15" x14ac:dyDescent="0.2">
      <c r="A128" s="16">
        <v>333</v>
      </c>
      <c r="B128" s="16">
        <v>1</v>
      </c>
      <c r="C128" s="16" t="s">
        <v>241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/>
    </row>
    <row r="129" spans="1:15" x14ac:dyDescent="0.2">
      <c r="A129" s="16">
        <v>345</v>
      </c>
      <c r="B129" s="16">
        <v>1</v>
      </c>
      <c r="C129" s="16" t="s">
        <v>242</v>
      </c>
      <c r="D129" s="17">
        <v>0</v>
      </c>
      <c r="E129" s="17">
        <v>118.89</v>
      </c>
      <c r="F129" s="17">
        <v>64.45</v>
      </c>
      <c r="G129" s="17">
        <v>35.89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/>
    </row>
    <row r="130" spans="1:15" x14ac:dyDescent="0.2">
      <c r="A130" s="16">
        <v>347</v>
      </c>
      <c r="B130" s="16">
        <v>1</v>
      </c>
      <c r="C130" s="16" t="s">
        <v>243</v>
      </c>
      <c r="D130" s="17">
        <v>0</v>
      </c>
      <c r="E130" s="17">
        <v>262.52999999999997</v>
      </c>
      <c r="F130" s="17">
        <v>238.27</v>
      </c>
      <c r="G130" s="17">
        <v>208.26</v>
      </c>
      <c r="H130" s="17">
        <v>198.65</v>
      </c>
      <c r="I130" s="17">
        <v>187.44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/>
    </row>
    <row r="131" spans="1:15" x14ac:dyDescent="0.2">
      <c r="A131" s="16">
        <v>356</v>
      </c>
      <c r="B131" s="16">
        <v>1</v>
      </c>
      <c r="C131" s="16" t="s">
        <v>244</v>
      </c>
      <c r="D131" s="17">
        <v>0</v>
      </c>
      <c r="E131" s="17">
        <v>295.93</v>
      </c>
      <c r="F131" s="17">
        <v>213.97</v>
      </c>
      <c r="G131" s="17">
        <v>98.13</v>
      </c>
      <c r="H131" s="17">
        <v>1.95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/>
    </row>
    <row r="132" spans="1:15" x14ac:dyDescent="0.2">
      <c r="A132" s="16">
        <v>361</v>
      </c>
      <c r="B132" s="16">
        <v>1</v>
      </c>
      <c r="C132" s="16" t="s">
        <v>245</v>
      </c>
      <c r="D132" s="17">
        <v>0</v>
      </c>
      <c r="E132" s="17">
        <v>297.63</v>
      </c>
      <c r="F132" s="17">
        <v>282.14999999999998</v>
      </c>
      <c r="G132" s="17">
        <v>255.28</v>
      </c>
      <c r="H132" s="17">
        <v>224</v>
      </c>
      <c r="I132" s="17">
        <v>199.28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/>
    </row>
    <row r="133" spans="1:15" x14ac:dyDescent="0.2">
      <c r="A133" s="16">
        <v>362</v>
      </c>
      <c r="B133" s="16">
        <v>1</v>
      </c>
      <c r="C133" s="16" t="s">
        <v>246</v>
      </c>
      <c r="D133" s="17">
        <v>0</v>
      </c>
      <c r="E133" s="17">
        <v>0.72</v>
      </c>
      <c r="F133" s="17">
        <v>0.7</v>
      </c>
      <c r="G133" s="17">
        <v>0.69</v>
      </c>
      <c r="H133" s="17">
        <v>0.65</v>
      </c>
      <c r="I133" s="17">
        <v>0.61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/>
    </row>
    <row r="134" spans="1:15" x14ac:dyDescent="0.2">
      <c r="A134" s="16">
        <v>363</v>
      </c>
      <c r="B134" s="16">
        <v>1</v>
      </c>
      <c r="C134" s="16" t="s">
        <v>247</v>
      </c>
      <c r="D134" s="17">
        <v>0</v>
      </c>
      <c r="E134" s="17">
        <v>0.73</v>
      </c>
      <c r="F134" s="17">
        <v>0.7</v>
      </c>
      <c r="G134" s="17">
        <v>0.67</v>
      </c>
      <c r="H134" s="17">
        <v>0.63</v>
      </c>
      <c r="I134" s="17">
        <v>0.6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/>
    </row>
    <row r="135" spans="1:15" x14ac:dyDescent="0.2">
      <c r="A135" s="16">
        <v>371</v>
      </c>
      <c r="B135" s="16">
        <v>1</v>
      </c>
      <c r="C135" s="16" t="s">
        <v>248</v>
      </c>
      <c r="D135" s="17">
        <v>0</v>
      </c>
      <c r="E135" s="17">
        <v>178.73</v>
      </c>
      <c r="F135" s="17">
        <v>192.28</v>
      </c>
      <c r="G135" s="17">
        <v>96.71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/>
    </row>
    <row r="136" spans="1:15" x14ac:dyDescent="0.2">
      <c r="A136" s="16">
        <v>378</v>
      </c>
      <c r="B136" s="16">
        <v>1</v>
      </c>
      <c r="C136" s="16" t="s">
        <v>249</v>
      </c>
      <c r="D136" s="17">
        <v>0</v>
      </c>
      <c r="E136" s="17">
        <v>506.78</v>
      </c>
      <c r="F136" s="17">
        <v>514.69000000000005</v>
      </c>
      <c r="G136" s="17">
        <v>484.49</v>
      </c>
      <c r="H136" s="17">
        <v>465.78</v>
      </c>
      <c r="I136" s="17">
        <v>441.04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/>
    </row>
    <row r="137" spans="1:15" x14ac:dyDescent="0.2">
      <c r="A137" s="16">
        <v>381</v>
      </c>
      <c r="B137" s="16">
        <v>1</v>
      </c>
      <c r="C137" s="16" t="s">
        <v>250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/>
    </row>
    <row r="138" spans="1:15" x14ac:dyDescent="0.2">
      <c r="A138" s="16">
        <v>390</v>
      </c>
      <c r="B138" s="16">
        <v>1</v>
      </c>
      <c r="C138" s="16" t="s">
        <v>251</v>
      </c>
      <c r="D138" s="17">
        <v>0</v>
      </c>
      <c r="E138" s="17">
        <v>69.72</v>
      </c>
      <c r="F138" s="17">
        <v>59.27</v>
      </c>
      <c r="G138" s="17">
        <v>280.64999999999998</v>
      </c>
      <c r="H138" s="17">
        <v>246.68</v>
      </c>
      <c r="I138" s="17">
        <v>209.1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/>
    </row>
    <row r="139" spans="1:15" x14ac:dyDescent="0.2">
      <c r="A139" s="16">
        <v>391</v>
      </c>
      <c r="B139" s="16">
        <v>1</v>
      </c>
      <c r="C139" s="16" t="s">
        <v>252</v>
      </c>
      <c r="D139" s="17">
        <v>0</v>
      </c>
      <c r="E139" s="17">
        <v>104.91</v>
      </c>
      <c r="F139" s="17">
        <v>100.99</v>
      </c>
      <c r="G139" s="17">
        <v>21.66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/>
    </row>
    <row r="140" spans="1:15" x14ac:dyDescent="0.2">
      <c r="A140" s="16">
        <v>392</v>
      </c>
      <c r="B140" s="16">
        <v>1</v>
      </c>
      <c r="C140" s="16" t="s">
        <v>253</v>
      </c>
      <c r="D140" s="17">
        <v>0</v>
      </c>
      <c r="E140" s="17">
        <v>317.93</v>
      </c>
      <c r="F140" s="17">
        <v>275.07</v>
      </c>
      <c r="G140" s="17">
        <v>245.88</v>
      </c>
      <c r="H140" s="17">
        <v>223.32</v>
      </c>
      <c r="I140" s="17">
        <v>210.21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/>
    </row>
    <row r="141" spans="1:15" x14ac:dyDescent="0.2">
      <c r="A141" s="16">
        <v>394</v>
      </c>
      <c r="B141" s="16">
        <v>1</v>
      </c>
      <c r="C141" s="16" t="s">
        <v>254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/>
    </row>
    <row r="142" spans="1:15" x14ac:dyDescent="0.2">
      <c r="A142" s="16">
        <v>402</v>
      </c>
      <c r="B142" s="16">
        <v>1</v>
      </c>
      <c r="C142" s="16" t="s">
        <v>255</v>
      </c>
      <c r="D142" s="17">
        <v>0</v>
      </c>
      <c r="E142" s="17">
        <v>454.82</v>
      </c>
      <c r="F142" s="17">
        <v>464.78</v>
      </c>
      <c r="G142" s="17">
        <v>433.61</v>
      </c>
      <c r="H142" s="17">
        <v>397.42</v>
      </c>
      <c r="I142" s="17">
        <v>390.27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/>
    </row>
    <row r="143" spans="1:15" x14ac:dyDescent="0.2">
      <c r="A143" s="16">
        <v>403</v>
      </c>
      <c r="B143" s="16">
        <v>1</v>
      </c>
      <c r="C143" s="16" t="s">
        <v>256</v>
      </c>
      <c r="D143" s="17">
        <v>0</v>
      </c>
      <c r="E143" s="17">
        <v>270.04000000000002</v>
      </c>
      <c r="F143" s="17">
        <v>647.91999999999996</v>
      </c>
      <c r="G143" s="17">
        <v>597.36</v>
      </c>
      <c r="H143" s="17">
        <v>586.41</v>
      </c>
      <c r="I143" s="17">
        <v>537.73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/>
    </row>
    <row r="144" spans="1:15" x14ac:dyDescent="0.2">
      <c r="A144" s="16">
        <v>404</v>
      </c>
      <c r="B144" s="16">
        <v>1</v>
      </c>
      <c r="C144" s="16" t="s">
        <v>257</v>
      </c>
      <c r="D144" s="17">
        <v>0</v>
      </c>
      <c r="E144" s="17">
        <v>101.47</v>
      </c>
      <c r="F144" s="17">
        <v>347.14</v>
      </c>
      <c r="G144" s="17">
        <v>305.8</v>
      </c>
      <c r="H144" s="17">
        <v>335.76</v>
      </c>
      <c r="I144" s="17">
        <v>288.58999999999997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/>
    </row>
    <row r="145" spans="1:15" x14ac:dyDescent="0.2">
      <c r="A145" s="16">
        <v>411</v>
      </c>
      <c r="B145" s="16">
        <v>1</v>
      </c>
      <c r="C145" s="16" t="s">
        <v>258</v>
      </c>
      <c r="D145" s="17">
        <v>0</v>
      </c>
      <c r="E145" s="17">
        <v>245.16</v>
      </c>
      <c r="F145" s="17">
        <v>107.13</v>
      </c>
      <c r="G145" s="17">
        <v>104.96</v>
      </c>
      <c r="H145" s="17">
        <v>60.42</v>
      </c>
      <c r="I145" s="17">
        <v>22.51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/>
    </row>
    <row r="146" spans="1:15" x14ac:dyDescent="0.2">
      <c r="A146" s="16">
        <v>413</v>
      </c>
      <c r="B146" s="16">
        <v>1</v>
      </c>
      <c r="C146" s="16" t="s">
        <v>259</v>
      </c>
      <c r="D146" s="17">
        <v>0</v>
      </c>
      <c r="E146" s="17">
        <v>69.12</v>
      </c>
      <c r="F146" s="17">
        <v>61.92</v>
      </c>
      <c r="G146" s="17">
        <v>179.44</v>
      </c>
      <c r="H146" s="17">
        <v>177.5</v>
      </c>
      <c r="I146" s="17">
        <v>160.88999999999999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/>
    </row>
    <row r="147" spans="1:15" x14ac:dyDescent="0.2">
      <c r="A147" s="16">
        <v>414</v>
      </c>
      <c r="B147" s="16">
        <v>1</v>
      </c>
      <c r="C147" s="16" t="s">
        <v>260</v>
      </c>
      <c r="D147" s="17">
        <v>0</v>
      </c>
      <c r="E147" s="17">
        <v>80.11</v>
      </c>
      <c r="F147" s="17">
        <v>76</v>
      </c>
      <c r="G147" s="17">
        <v>71.03</v>
      </c>
      <c r="H147" s="17">
        <v>65.59</v>
      </c>
      <c r="I147" s="17">
        <v>61.92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/>
    </row>
    <row r="148" spans="1:15" x14ac:dyDescent="0.2">
      <c r="A148" s="16">
        <v>415</v>
      </c>
      <c r="B148" s="16">
        <v>1</v>
      </c>
      <c r="C148" s="16" t="s">
        <v>261</v>
      </c>
      <c r="D148" s="17">
        <v>0</v>
      </c>
      <c r="E148" s="17">
        <v>440.38</v>
      </c>
      <c r="F148" s="17">
        <v>262.08</v>
      </c>
      <c r="G148" s="17">
        <v>159.19</v>
      </c>
      <c r="H148" s="17">
        <v>115.5</v>
      </c>
      <c r="I148" s="17">
        <v>71.72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/>
    </row>
    <row r="149" spans="1:15" x14ac:dyDescent="0.2">
      <c r="A149" s="16">
        <v>417</v>
      </c>
      <c r="B149" s="16">
        <v>1</v>
      </c>
      <c r="C149" s="16" t="s">
        <v>262</v>
      </c>
      <c r="D149" s="17">
        <v>0</v>
      </c>
      <c r="E149" s="17">
        <v>271.69</v>
      </c>
      <c r="F149" s="17">
        <v>261.11</v>
      </c>
      <c r="G149" s="17">
        <v>383.22</v>
      </c>
      <c r="H149" s="17">
        <v>355.66</v>
      </c>
      <c r="I149" s="17">
        <v>328.83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/>
    </row>
    <row r="150" spans="1:15" x14ac:dyDescent="0.2">
      <c r="A150" s="16">
        <v>423</v>
      </c>
      <c r="B150" s="16">
        <v>1</v>
      </c>
      <c r="C150" s="16" t="s">
        <v>263</v>
      </c>
      <c r="D150" s="17">
        <v>0</v>
      </c>
      <c r="E150" s="17">
        <v>260.36</v>
      </c>
      <c r="F150" s="17">
        <v>221.72</v>
      </c>
      <c r="G150" s="17">
        <v>168.8</v>
      </c>
      <c r="H150" s="17">
        <v>136.09</v>
      </c>
      <c r="I150" s="17">
        <v>104.42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/>
    </row>
    <row r="151" spans="1:15" x14ac:dyDescent="0.2">
      <c r="A151" s="16">
        <v>424</v>
      </c>
      <c r="B151" s="16">
        <v>1</v>
      </c>
      <c r="C151" s="16" t="s">
        <v>264</v>
      </c>
      <c r="D151" s="17">
        <v>0</v>
      </c>
      <c r="E151" s="17">
        <v>252.52</v>
      </c>
      <c r="F151" s="17">
        <v>250.26</v>
      </c>
      <c r="G151" s="17">
        <v>160.51</v>
      </c>
      <c r="H151" s="17">
        <v>108.69</v>
      </c>
      <c r="I151" s="17">
        <v>72.94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/>
    </row>
    <row r="152" spans="1:15" x14ac:dyDescent="0.2">
      <c r="A152" s="16">
        <v>432</v>
      </c>
      <c r="B152" s="16">
        <v>1</v>
      </c>
      <c r="C152" s="16" t="s">
        <v>265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/>
    </row>
    <row r="153" spans="1:15" x14ac:dyDescent="0.2">
      <c r="A153" s="16">
        <v>435</v>
      </c>
      <c r="B153" s="16">
        <v>1</v>
      </c>
      <c r="C153" s="16" t="s">
        <v>266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/>
    </row>
    <row r="154" spans="1:15" x14ac:dyDescent="0.2">
      <c r="A154" s="16">
        <v>441</v>
      </c>
      <c r="B154" s="16">
        <v>1</v>
      </c>
      <c r="C154" s="16" t="s">
        <v>267</v>
      </c>
      <c r="D154" s="17">
        <v>0</v>
      </c>
      <c r="E154" s="17">
        <v>326.01</v>
      </c>
      <c r="F154" s="17">
        <v>369.2</v>
      </c>
      <c r="G154" s="17">
        <v>365.48</v>
      </c>
      <c r="H154" s="17">
        <v>340.68</v>
      </c>
      <c r="I154" s="17">
        <v>325.52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/>
    </row>
    <row r="155" spans="1:15" x14ac:dyDescent="0.2">
      <c r="A155" s="16">
        <v>447</v>
      </c>
      <c r="B155" s="16">
        <v>1</v>
      </c>
      <c r="C155" s="16" t="s">
        <v>268</v>
      </c>
      <c r="D155" s="17">
        <v>0</v>
      </c>
      <c r="E155" s="17">
        <v>105.06</v>
      </c>
      <c r="F155" s="17">
        <v>102.06</v>
      </c>
      <c r="G155" s="17">
        <v>97.04</v>
      </c>
      <c r="H155" s="17">
        <v>93.38</v>
      </c>
      <c r="I155" s="17">
        <v>90.43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/>
    </row>
    <row r="156" spans="1:15" x14ac:dyDescent="0.2">
      <c r="A156" s="16">
        <v>458</v>
      </c>
      <c r="B156" s="16">
        <v>1</v>
      </c>
      <c r="C156" s="16" t="s">
        <v>269</v>
      </c>
      <c r="D156" s="17">
        <v>0</v>
      </c>
      <c r="E156" s="17">
        <v>38.53</v>
      </c>
      <c r="F156" s="17">
        <v>42.88</v>
      </c>
      <c r="G156" s="17">
        <v>224.46</v>
      </c>
      <c r="H156" s="17">
        <v>210.4</v>
      </c>
      <c r="I156" s="17">
        <v>160.34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/>
    </row>
    <row r="157" spans="1:15" x14ac:dyDescent="0.2">
      <c r="A157" s="16">
        <v>463</v>
      </c>
      <c r="B157" s="16">
        <v>1</v>
      </c>
      <c r="C157" s="16" t="s">
        <v>270</v>
      </c>
      <c r="D157" s="17">
        <v>0</v>
      </c>
      <c r="E157" s="17">
        <v>239.94</v>
      </c>
      <c r="F157" s="17">
        <v>217.14</v>
      </c>
      <c r="G157" s="17">
        <v>179.94</v>
      </c>
      <c r="H157" s="17">
        <v>164.87</v>
      </c>
      <c r="I157" s="17">
        <v>145.76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/>
    </row>
    <row r="158" spans="1:15" x14ac:dyDescent="0.2">
      <c r="A158" s="16">
        <v>465</v>
      </c>
      <c r="B158" s="16">
        <v>1</v>
      </c>
      <c r="C158" s="16" t="s">
        <v>271</v>
      </c>
      <c r="D158" s="17">
        <v>0</v>
      </c>
      <c r="E158" s="17">
        <v>153.37</v>
      </c>
      <c r="F158" s="17">
        <v>128.16</v>
      </c>
      <c r="G158" s="17">
        <v>107.86</v>
      </c>
      <c r="H158" s="17">
        <v>96.36</v>
      </c>
      <c r="I158" s="17">
        <v>83.63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/>
    </row>
    <row r="159" spans="1:15" x14ac:dyDescent="0.2">
      <c r="A159" s="16">
        <v>466</v>
      </c>
      <c r="B159" s="16">
        <v>1</v>
      </c>
      <c r="C159" s="16" t="s">
        <v>272</v>
      </c>
      <c r="D159" s="17">
        <v>0</v>
      </c>
      <c r="E159" s="17">
        <v>71.08</v>
      </c>
      <c r="F159" s="17">
        <v>0</v>
      </c>
      <c r="G159" s="17">
        <v>175.93</v>
      </c>
      <c r="H159" s="17">
        <v>167.82</v>
      </c>
      <c r="I159" s="17">
        <v>158.91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/>
    </row>
    <row r="160" spans="1:15" x14ac:dyDescent="0.2">
      <c r="A160" s="16">
        <v>473</v>
      </c>
      <c r="B160" s="16">
        <v>1</v>
      </c>
      <c r="C160" s="16" t="s">
        <v>273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/>
    </row>
    <row r="161" spans="1:15" x14ac:dyDescent="0.2">
      <c r="A161" s="16">
        <v>477</v>
      </c>
      <c r="B161" s="16">
        <v>1</v>
      </c>
      <c r="C161" s="16" t="s">
        <v>274</v>
      </c>
      <c r="D161" s="17">
        <v>0</v>
      </c>
      <c r="E161" s="17">
        <v>142.37</v>
      </c>
      <c r="F161" s="17">
        <v>119.88</v>
      </c>
      <c r="G161" s="17">
        <v>97.74</v>
      </c>
      <c r="H161" s="17">
        <v>91.18</v>
      </c>
      <c r="I161" s="17">
        <v>82.35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/>
    </row>
    <row r="162" spans="1:15" x14ac:dyDescent="0.2">
      <c r="A162" s="16">
        <v>480</v>
      </c>
      <c r="B162" s="16">
        <v>1</v>
      </c>
      <c r="C162" s="16" t="s">
        <v>275</v>
      </c>
      <c r="D162" s="17">
        <v>0</v>
      </c>
      <c r="E162" s="17">
        <v>0.45</v>
      </c>
      <c r="F162" s="17">
        <v>0.37</v>
      </c>
      <c r="G162" s="17">
        <v>171.87</v>
      </c>
      <c r="H162" s="17">
        <v>131.37</v>
      </c>
      <c r="I162" s="17">
        <v>91.96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/>
    </row>
    <row r="163" spans="1:15" x14ac:dyDescent="0.2">
      <c r="A163" s="16">
        <v>482</v>
      </c>
      <c r="B163" s="16">
        <v>1</v>
      </c>
      <c r="C163" s="16" t="s">
        <v>276</v>
      </c>
      <c r="D163" s="17">
        <v>0</v>
      </c>
      <c r="E163" s="17">
        <v>324.41000000000003</v>
      </c>
      <c r="F163" s="17">
        <v>256.41000000000003</v>
      </c>
      <c r="G163" s="17">
        <v>265.87</v>
      </c>
      <c r="H163" s="17">
        <v>252.24</v>
      </c>
      <c r="I163" s="17">
        <v>228.15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/>
    </row>
    <row r="164" spans="1:15" x14ac:dyDescent="0.2">
      <c r="A164" s="16">
        <v>484</v>
      </c>
      <c r="B164" s="16">
        <v>1</v>
      </c>
      <c r="C164" s="16" t="s">
        <v>277</v>
      </c>
      <c r="D164" s="17">
        <v>0</v>
      </c>
      <c r="E164" s="17">
        <v>296.79000000000002</v>
      </c>
      <c r="F164" s="17">
        <v>262.7</v>
      </c>
      <c r="G164" s="17">
        <v>327.49</v>
      </c>
      <c r="H164" s="17">
        <v>302.12</v>
      </c>
      <c r="I164" s="17">
        <v>285.7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/>
    </row>
    <row r="165" spans="1:15" x14ac:dyDescent="0.2">
      <c r="A165" s="16">
        <v>485</v>
      </c>
      <c r="B165" s="16">
        <v>1</v>
      </c>
      <c r="C165" s="16" t="s">
        <v>278</v>
      </c>
      <c r="D165" s="17">
        <v>0</v>
      </c>
      <c r="E165" s="17">
        <v>0.55000000000000004</v>
      </c>
      <c r="F165" s="17">
        <v>0.48</v>
      </c>
      <c r="G165" s="17">
        <v>0.43</v>
      </c>
      <c r="H165" s="17">
        <v>0.43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/>
    </row>
    <row r="166" spans="1:15" x14ac:dyDescent="0.2">
      <c r="A166" s="16">
        <v>486</v>
      </c>
      <c r="B166" s="16">
        <v>1</v>
      </c>
      <c r="C166" s="16" t="s">
        <v>279</v>
      </c>
      <c r="D166" s="17">
        <v>0</v>
      </c>
      <c r="E166" s="17">
        <v>480.34</v>
      </c>
      <c r="F166" s="17">
        <v>462.72</v>
      </c>
      <c r="G166" s="17">
        <v>420.33</v>
      </c>
      <c r="H166" s="17">
        <v>385.95</v>
      </c>
      <c r="I166" s="17">
        <v>341.02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/>
    </row>
    <row r="167" spans="1:15" x14ac:dyDescent="0.2">
      <c r="A167" s="16">
        <v>487</v>
      </c>
      <c r="B167" s="16">
        <v>1</v>
      </c>
      <c r="C167" s="16" t="s">
        <v>280</v>
      </c>
      <c r="D167" s="17">
        <v>0</v>
      </c>
      <c r="E167" s="17">
        <v>0</v>
      </c>
      <c r="F167" s="17">
        <v>0</v>
      </c>
      <c r="G167" s="17">
        <v>175.33</v>
      </c>
      <c r="H167" s="17">
        <v>171.34</v>
      </c>
      <c r="I167" s="17">
        <v>145.07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/>
    </row>
    <row r="168" spans="1:15" x14ac:dyDescent="0.2">
      <c r="A168" s="16">
        <v>492</v>
      </c>
      <c r="B168" s="16">
        <v>1</v>
      </c>
      <c r="C168" s="16" t="s">
        <v>281</v>
      </c>
      <c r="D168" s="17">
        <v>0</v>
      </c>
      <c r="E168" s="17">
        <v>349.4</v>
      </c>
      <c r="F168" s="17">
        <v>353.58</v>
      </c>
      <c r="G168" s="17">
        <v>341.61</v>
      </c>
      <c r="H168" s="17">
        <v>336.24</v>
      </c>
      <c r="I168" s="17">
        <v>317.18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/>
    </row>
    <row r="169" spans="1:15" x14ac:dyDescent="0.2">
      <c r="A169" s="16">
        <v>495</v>
      </c>
      <c r="B169" s="16">
        <v>1</v>
      </c>
      <c r="C169" s="16" t="s">
        <v>282</v>
      </c>
      <c r="D169" s="17">
        <v>0</v>
      </c>
      <c r="E169" s="17">
        <v>343.07</v>
      </c>
      <c r="F169" s="17">
        <v>321.44</v>
      </c>
      <c r="G169" s="17">
        <v>293.3</v>
      </c>
      <c r="H169" s="17">
        <v>271.38</v>
      </c>
      <c r="I169" s="17">
        <v>263.07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/>
    </row>
    <row r="170" spans="1:15" x14ac:dyDescent="0.2">
      <c r="A170" s="16">
        <v>497</v>
      </c>
      <c r="B170" s="16">
        <v>1</v>
      </c>
      <c r="C170" s="16" t="s">
        <v>283</v>
      </c>
      <c r="D170" s="17">
        <v>0</v>
      </c>
      <c r="E170" s="17">
        <v>118.54</v>
      </c>
      <c r="F170" s="17">
        <v>6.46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/>
    </row>
    <row r="171" spans="1:15" x14ac:dyDescent="0.2">
      <c r="A171" s="16">
        <v>499</v>
      </c>
      <c r="B171" s="16">
        <v>1</v>
      </c>
      <c r="C171" s="16" t="s">
        <v>284</v>
      </c>
      <c r="D171" s="17">
        <v>0</v>
      </c>
      <c r="E171" s="17">
        <v>65.83</v>
      </c>
      <c r="F171" s="17">
        <v>21.38</v>
      </c>
      <c r="G171" s="17">
        <v>27.48</v>
      </c>
      <c r="H171" s="17">
        <v>33.51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/>
    </row>
    <row r="172" spans="1:15" x14ac:dyDescent="0.2">
      <c r="A172" s="16">
        <v>500</v>
      </c>
      <c r="B172" s="16">
        <v>1</v>
      </c>
      <c r="C172" s="16" t="s">
        <v>285</v>
      </c>
      <c r="D172" s="17">
        <v>0</v>
      </c>
      <c r="E172" s="17">
        <v>395.61</v>
      </c>
      <c r="F172" s="17">
        <v>363.91</v>
      </c>
      <c r="G172" s="17">
        <v>494.51</v>
      </c>
      <c r="H172" s="17">
        <v>411.94</v>
      </c>
      <c r="I172" s="17">
        <v>334.63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/>
    </row>
    <row r="173" spans="1:15" x14ac:dyDescent="0.2">
      <c r="A173" s="16">
        <v>505</v>
      </c>
      <c r="B173" s="16">
        <v>1</v>
      </c>
      <c r="C173" s="16" t="s">
        <v>286</v>
      </c>
      <c r="D173" s="17">
        <v>0</v>
      </c>
      <c r="E173" s="17">
        <v>1075.0999999999999</v>
      </c>
      <c r="F173" s="17">
        <v>987.16</v>
      </c>
      <c r="G173" s="17">
        <v>865.09</v>
      </c>
      <c r="H173" s="17">
        <v>732.02</v>
      </c>
      <c r="I173" s="17">
        <v>596.41999999999996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/>
    </row>
    <row r="174" spans="1:15" x14ac:dyDescent="0.2">
      <c r="A174" s="16">
        <v>507</v>
      </c>
      <c r="B174" s="16">
        <v>1</v>
      </c>
      <c r="C174" s="16" t="s">
        <v>287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/>
    </row>
    <row r="175" spans="1:15" x14ac:dyDescent="0.2">
      <c r="A175" s="16">
        <v>508</v>
      </c>
      <c r="B175" s="16">
        <v>1</v>
      </c>
      <c r="C175" s="16" t="s">
        <v>288</v>
      </c>
      <c r="D175" s="17">
        <v>0</v>
      </c>
      <c r="E175" s="17">
        <v>236.01</v>
      </c>
      <c r="F175" s="17">
        <v>246.88</v>
      </c>
      <c r="G175" s="17">
        <v>181.05</v>
      </c>
      <c r="H175" s="17">
        <v>160.51</v>
      </c>
      <c r="I175" s="17">
        <v>129.91999999999999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/>
    </row>
    <row r="176" spans="1:15" x14ac:dyDescent="0.2">
      <c r="A176" s="16">
        <v>511</v>
      </c>
      <c r="B176" s="16">
        <v>1</v>
      </c>
      <c r="C176" s="16" t="s">
        <v>289</v>
      </c>
      <c r="D176" s="17">
        <v>0</v>
      </c>
      <c r="E176" s="17">
        <v>356.76</v>
      </c>
      <c r="F176" s="17">
        <v>345.83</v>
      </c>
      <c r="G176" s="17">
        <v>338.12</v>
      </c>
      <c r="H176" s="17">
        <v>324.06</v>
      </c>
      <c r="I176" s="17">
        <v>311.89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/>
    </row>
    <row r="177" spans="1:15" x14ac:dyDescent="0.2">
      <c r="A177" s="16">
        <v>513</v>
      </c>
      <c r="B177" s="16">
        <v>1</v>
      </c>
      <c r="C177" s="16" t="s">
        <v>290</v>
      </c>
      <c r="D177" s="17">
        <v>0</v>
      </c>
      <c r="E177" s="17">
        <v>592.49</v>
      </c>
      <c r="F177" s="17">
        <v>694.37</v>
      </c>
      <c r="G177" s="17">
        <v>654.34</v>
      </c>
      <c r="H177" s="17">
        <v>996.41</v>
      </c>
      <c r="I177" s="17">
        <v>1003.97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/>
    </row>
    <row r="178" spans="1:15" x14ac:dyDescent="0.2">
      <c r="A178" s="16">
        <v>514</v>
      </c>
      <c r="B178" s="16">
        <v>1</v>
      </c>
      <c r="C178" s="16" t="s">
        <v>291</v>
      </c>
      <c r="D178" s="17">
        <v>0</v>
      </c>
      <c r="E178" s="17">
        <v>69.2</v>
      </c>
      <c r="F178" s="17">
        <v>53.31</v>
      </c>
      <c r="G178" s="17">
        <v>24.66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/>
    </row>
    <row r="179" spans="1:15" x14ac:dyDescent="0.2">
      <c r="A179" s="16">
        <v>516</v>
      </c>
      <c r="B179" s="16">
        <v>1</v>
      </c>
      <c r="C179" s="16" t="s">
        <v>292</v>
      </c>
      <c r="D179" s="17">
        <v>0</v>
      </c>
      <c r="E179" s="17">
        <v>229.99</v>
      </c>
      <c r="F179" s="17">
        <v>303.52999999999997</v>
      </c>
      <c r="G179" s="17">
        <v>275.68</v>
      </c>
      <c r="H179" s="17">
        <v>277.8</v>
      </c>
      <c r="I179" s="17">
        <v>345.58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/>
    </row>
    <row r="180" spans="1:15" x14ac:dyDescent="0.2">
      <c r="A180" s="16">
        <v>518</v>
      </c>
      <c r="B180" s="16">
        <v>1</v>
      </c>
      <c r="C180" s="16" t="s">
        <v>293</v>
      </c>
      <c r="D180" s="17">
        <v>0</v>
      </c>
      <c r="E180" s="17">
        <v>260.01</v>
      </c>
      <c r="F180" s="17">
        <v>534.24</v>
      </c>
      <c r="G180" s="17">
        <v>518.79999999999995</v>
      </c>
      <c r="H180" s="17">
        <v>499.87</v>
      </c>
      <c r="I180" s="17">
        <v>475.13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/>
    </row>
    <row r="181" spans="1:15" x14ac:dyDescent="0.2">
      <c r="A181" s="16">
        <v>531</v>
      </c>
      <c r="B181" s="16">
        <v>1</v>
      </c>
      <c r="C181" s="16" t="s">
        <v>294</v>
      </c>
      <c r="D181" s="17">
        <v>0</v>
      </c>
      <c r="E181" s="17">
        <v>62.1</v>
      </c>
      <c r="F181" s="17">
        <v>54.28</v>
      </c>
      <c r="G181" s="17">
        <v>49.37</v>
      </c>
      <c r="H181" s="17">
        <v>47.91</v>
      </c>
      <c r="I181" s="17">
        <v>45.65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/>
    </row>
    <row r="182" spans="1:15" x14ac:dyDescent="0.2">
      <c r="A182" s="16">
        <v>533</v>
      </c>
      <c r="B182" s="16">
        <v>1</v>
      </c>
      <c r="C182" s="16" t="s">
        <v>295</v>
      </c>
      <c r="D182" s="17">
        <v>0</v>
      </c>
      <c r="E182" s="17">
        <v>71.98</v>
      </c>
      <c r="F182" s="17">
        <v>65.91</v>
      </c>
      <c r="G182" s="17">
        <v>59.34</v>
      </c>
      <c r="H182" s="17">
        <v>57.55</v>
      </c>
      <c r="I182" s="17">
        <v>54.69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/>
    </row>
    <row r="183" spans="1:15" x14ac:dyDescent="0.2">
      <c r="A183" s="16">
        <v>534</v>
      </c>
      <c r="B183" s="16">
        <v>1</v>
      </c>
      <c r="C183" s="16" t="s">
        <v>296</v>
      </c>
      <c r="D183" s="17">
        <v>0</v>
      </c>
      <c r="E183" s="17">
        <v>362.74</v>
      </c>
      <c r="F183" s="17">
        <v>355.92</v>
      </c>
      <c r="G183" s="17">
        <v>284.31</v>
      </c>
      <c r="H183" s="17">
        <v>278.79000000000002</v>
      </c>
      <c r="I183" s="17">
        <v>263.33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/>
    </row>
    <row r="184" spans="1:15" x14ac:dyDescent="0.2">
      <c r="A184" s="16">
        <v>535</v>
      </c>
      <c r="B184" s="16">
        <v>1</v>
      </c>
      <c r="C184" s="16" t="s">
        <v>297</v>
      </c>
      <c r="D184" s="17">
        <v>0</v>
      </c>
      <c r="E184" s="17">
        <v>72.25</v>
      </c>
      <c r="F184" s="17">
        <v>42.6</v>
      </c>
      <c r="G184" s="17">
        <v>17.68</v>
      </c>
      <c r="H184" s="17">
        <v>15.81</v>
      </c>
      <c r="I184" s="17">
        <v>7.92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/>
    </row>
    <row r="185" spans="1:15" x14ac:dyDescent="0.2">
      <c r="A185" s="16">
        <v>542</v>
      </c>
      <c r="B185" s="16">
        <v>1</v>
      </c>
      <c r="C185" s="16" t="s">
        <v>298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/>
    </row>
    <row r="186" spans="1:15" x14ac:dyDescent="0.2">
      <c r="A186" s="16">
        <v>544</v>
      </c>
      <c r="B186" s="16">
        <v>1</v>
      </c>
      <c r="C186" s="16" t="s">
        <v>299</v>
      </c>
      <c r="D186" s="17">
        <v>0</v>
      </c>
      <c r="E186" s="17">
        <v>160.25</v>
      </c>
      <c r="F186" s="17">
        <v>111.75</v>
      </c>
      <c r="G186" s="17">
        <v>75.180000000000007</v>
      </c>
      <c r="H186" s="17">
        <v>51.68</v>
      </c>
      <c r="I186" s="17">
        <v>31.48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/>
    </row>
    <row r="187" spans="1:15" x14ac:dyDescent="0.2">
      <c r="A187" s="16">
        <v>545</v>
      </c>
      <c r="B187" s="16">
        <v>1</v>
      </c>
      <c r="C187" s="16" t="s">
        <v>300</v>
      </c>
      <c r="D187" s="17">
        <v>0</v>
      </c>
      <c r="E187" s="17">
        <v>232.97</v>
      </c>
      <c r="F187" s="17">
        <v>208.27</v>
      </c>
      <c r="G187" s="17">
        <v>149.79</v>
      </c>
      <c r="H187" s="17">
        <v>97.68</v>
      </c>
      <c r="I187" s="17">
        <v>59.19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/>
    </row>
    <row r="188" spans="1:15" x14ac:dyDescent="0.2">
      <c r="A188" s="16">
        <v>547</v>
      </c>
      <c r="B188" s="16">
        <v>1</v>
      </c>
      <c r="C188" s="16" t="s">
        <v>301</v>
      </c>
      <c r="D188" s="17">
        <v>0</v>
      </c>
      <c r="E188" s="17">
        <v>229.96</v>
      </c>
      <c r="F188" s="17">
        <v>194.74</v>
      </c>
      <c r="G188" s="17">
        <v>159.06</v>
      </c>
      <c r="H188" s="17">
        <v>129.88999999999999</v>
      </c>
      <c r="I188" s="17">
        <v>110.01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/>
    </row>
    <row r="189" spans="1:15" x14ac:dyDescent="0.2">
      <c r="A189" s="16">
        <v>548</v>
      </c>
      <c r="B189" s="16">
        <v>1</v>
      </c>
      <c r="C189" s="16" t="s">
        <v>302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/>
    </row>
    <row r="190" spans="1:15" x14ac:dyDescent="0.2">
      <c r="A190" s="16">
        <v>549</v>
      </c>
      <c r="B190" s="16">
        <v>1</v>
      </c>
      <c r="C190" s="16" t="s">
        <v>303</v>
      </c>
      <c r="D190" s="17">
        <v>0</v>
      </c>
      <c r="E190" s="17">
        <v>8.3699999999999992</v>
      </c>
      <c r="F190" s="17">
        <v>4.8099999999999996</v>
      </c>
      <c r="G190" s="17">
        <v>1.04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/>
    </row>
    <row r="191" spans="1:15" x14ac:dyDescent="0.2">
      <c r="A191" s="16">
        <v>550</v>
      </c>
      <c r="B191" s="16">
        <v>1</v>
      </c>
      <c r="C191" s="16" t="s">
        <v>304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/>
    </row>
    <row r="192" spans="1:15" x14ac:dyDescent="0.2">
      <c r="A192" s="16">
        <v>553</v>
      </c>
      <c r="B192" s="16">
        <v>1</v>
      </c>
      <c r="C192" s="16" t="s">
        <v>305</v>
      </c>
      <c r="D192" s="17">
        <v>0</v>
      </c>
      <c r="E192" s="17">
        <v>139.69</v>
      </c>
      <c r="F192" s="17">
        <v>129.82</v>
      </c>
      <c r="G192" s="17">
        <v>120.37</v>
      </c>
      <c r="H192" s="17">
        <v>115.91</v>
      </c>
      <c r="I192" s="17">
        <v>111.54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/>
    </row>
    <row r="193" spans="1:15" x14ac:dyDescent="0.2">
      <c r="A193" s="16">
        <v>561</v>
      </c>
      <c r="B193" s="16">
        <v>1</v>
      </c>
      <c r="C193" s="16" t="s">
        <v>306</v>
      </c>
      <c r="D193" s="17">
        <v>0</v>
      </c>
      <c r="E193" s="17">
        <v>1396.37</v>
      </c>
      <c r="F193" s="17">
        <v>1355.71</v>
      </c>
      <c r="G193" s="17">
        <v>1297.24</v>
      </c>
      <c r="H193" s="17">
        <v>1255.6300000000001</v>
      </c>
      <c r="I193" s="17">
        <v>1242.48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/>
    </row>
    <row r="194" spans="1:15" x14ac:dyDescent="0.2">
      <c r="A194" s="16">
        <v>564</v>
      </c>
      <c r="B194" s="16">
        <v>1</v>
      </c>
      <c r="C194" s="16" t="s">
        <v>307</v>
      </c>
      <c r="D194" s="17">
        <v>0</v>
      </c>
      <c r="E194" s="17">
        <v>465.49</v>
      </c>
      <c r="F194" s="17">
        <v>473.96</v>
      </c>
      <c r="G194" s="17">
        <v>453.81</v>
      </c>
      <c r="H194" s="17">
        <v>425.09</v>
      </c>
      <c r="I194" s="17">
        <v>410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/>
    </row>
    <row r="195" spans="1:15" x14ac:dyDescent="0.2">
      <c r="A195" s="16">
        <v>577</v>
      </c>
      <c r="B195" s="16">
        <v>1</v>
      </c>
      <c r="C195" s="16" t="s">
        <v>308</v>
      </c>
      <c r="D195" s="17">
        <v>0</v>
      </c>
      <c r="E195" s="17">
        <v>63.06</v>
      </c>
      <c r="F195" s="17">
        <v>55.68</v>
      </c>
      <c r="G195" s="17">
        <v>44.45</v>
      </c>
      <c r="H195" s="17">
        <v>32.869999999999997</v>
      </c>
      <c r="I195" s="17">
        <v>26.43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/>
    </row>
    <row r="196" spans="1:15" x14ac:dyDescent="0.2">
      <c r="A196" s="16">
        <v>578</v>
      </c>
      <c r="B196" s="16">
        <v>1</v>
      </c>
      <c r="C196" s="16" t="s">
        <v>309</v>
      </c>
      <c r="D196" s="17">
        <v>0</v>
      </c>
      <c r="E196" s="17">
        <v>246.07</v>
      </c>
      <c r="F196" s="17">
        <v>215.77</v>
      </c>
      <c r="G196" s="17">
        <v>145.78</v>
      </c>
      <c r="H196" s="17">
        <v>108.65</v>
      </c>
      <c r="I196" s="17">
        <v>82.79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/>
    </row>
    <row r="197" spans="1:15" x14ac:dyDescent="0.2">
      <c r="A197" s="16">
        <v>581</v>
      </c>
      <c r="B197" s="16">
        <v>1</v>
      </c>
      <c r="C197" s="16" t="s">
        <v>310</v>
      </c>
      <c r="D197" s="17">
        <v>0</v>
      </c>
      <c r="E197" s="17">
        <v>104.5</v>
      </c>
      <c r="F197" s="17">
        <v>126.72</v>
      </c>
      <c r="G197" s="17">
        <v>89.33</v>
      </c>
      <c r="H197" s="17">
        <v>27.32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/>
    </row>
    <row r="198" spans="1:15" x14ac:dyDescent="0.2">
      <c r="A198" s="16">
        <v>592</v>
      </c>
      <c r="B198" s="16">
        <v>1</v>
      </c>
      <c r="C198" s="16" t="s">
        <v>311</v>
      </c>
      <c r="D198" s="17">
        <v>0</v>
      </c>
      <c r="E198" s="17">
        <v>588.42999999999995</v>
      </c>
      <c r="F198" s="17">
        <v>630.55999999999995</v>
      </c>
      <c r="G198" s="17">
        <v>407.85</v>
      </c>
      <c r="H198" s="17">
        <v>381.67</v>
      </c>
      <c r="I198" s="17">
        <v>280.75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/>
    </row>
    <row r="199" spans="1:15" x14ac:dyDescent="0.2">
      <c r="A199" s="16">
        <v>593</v>
      </c>
      <c r="B199" s="16">
        <v>1</v>
      </c>
      <c r="C199" s="16" t="s">
        <v>312</v>
      </c>
      <c r="D199" s="17">
        <v>0</v>
      </c>
      <c r="E199" s="17">
        <v>418.51</v>
      </c>
      <c r="F199" s="17">
        <v>391</v>
      </c>
      <c r="G199" s="17">
        <v>354.61</v>
      </c>
      <c r="H199" s="17">
        <v>345.56</v>
      </c>
      <c r="I199" s="17">
        <v>328.5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/>
    </row>
    <row r="200" spans="1:15" x14ac:dyDescent="0.2">
      <c r="A200" s="16">
        <v>595</v>
      </c>
      <c r="B200" s="16">
        <v>1</v>
      </c>
      <c r="C200" s="16" t="s">
        <v>313</v>
      </c>
      <c r="D200" s="17">
        <v>0</v>
      </c>
      <c r="E200" s="17">
        <v>78.84</v>
      </c>
      <c r="F200" s="17">
        <v>69.180000000000007</v>
      </c>
      <c r="G200" s="17">
        <v>285.3</v>
      </c>
      <c r="H200" s="17">
        <v>245.92</v>
      </c>
      <c r="I200" s="17">
        <v>226.83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/>
    </row>
    <row r="201" spans="1:15" x14ac:dyDescent="0.2">
      <c r="A201" s="16">
        <v>599</v>
      </c>
      <c r="B201" s="16">
        <v>1</v>
      </c>
      <c r="C201" s="16" t="s">
        <v>314</v>
      </c>
      <c r="D201" s="17">
        <v>0</v>
      </c>
      <c r="E201" s="17">
        <v>649.55999999999995</v>
      </c>
      <c r="F201" s="17">
        <v>591.85</v>
      </c>
      <c r="G201" s="17">
        <v>488.3</v>
      </c>
      <c r="H201" s="17">
        <v>419.09</v>
      </c>
      <c r="I201" s="17">
        <v>392.65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/>
    </row>
    <row r="202" spans="1:15" x14ac:dyDescent="0.2">
      <c r="A202" s="16">
        <v>600</v>
      </c>
      <c r="B202" s="16">
        <v>1</v>
      </c>
      <c r="C202" s="16" t="s">
        <v>315</v>
      </c>
      <c r="D202" s="17">
        <v>0</v>
      </c>
      <c r="E202" s="17">
        <v>169.51</v>
      </c>
      <c r="F202" s="17">
        <v>206.02</v>
      </c>
      <c r="G202" s="17">
        <v>164.96</v>
      </c>
      <c r="H202" s="17">
        <v>148.38</v>
      </c>
      <c r="I202" s="17">
        <v>112.36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/>
    </row>
    <row r="203" spans="1:15" x14ac:dyDescent="0.2">
      <c r="A203" s="16">
        <v>601</v>
      </c>
      <c r="B203" s="16">
        <v>1</v>
      </c>
      <c r="C203" s="16" t="s">
        <v>316</v>
      </c>
      <c r="D203" s="17">
        <v>0</v>
      </c>
      <c r="E203" s="17">
        <v>581.41999999999996</v>
      </c>
      <c r="F203" s="17">
        <v>562</v>
      </c>
      <c r="G203" s="17">
        <v>526.69000000000005</v>
      </c>
      <c r="H203" s="17">
        <v>507.34</v>
      </c>
      <c r="I203" s="17">
        <v>493.13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/>
    </row>
    <row r="204" spans="1:15" x14ac:dyDescent="0.2">
      <c r="A204" s="16">
        <v>611</v>
      </c>
      <c r="B204" s="16">
        <v>1</v>
      </c>
      <c r="C204" s="16" t="s">
        <v>317</v>
      </c>
      <c r="D204" s="17">
        <v>0</v>
      </c>
      <c r="E204" s="17">
        <v>308.70999999999998</v>
      </c>
      <c r="F204" s="17">
        <v>263.27</v>
      </c>
      <c r="G204" s="17">
        <v>224.97</v>
      </c>
      <c r="H204" s="17">
        <v>264.94</v>
      </c>
      <c r="I204" s="17">
        <v>342.11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/>
    </row>
    <row r="205" spans="1:15" x14ac:dyDescent="0.2">
      <c r="A205" s="16">
        <v>621</v>
      </c>
      <c r="B205" s="16">
        <v>1</v>
      </c>
      <c r="C205" s="16" t="s">
        <v>318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/>
    </row>
    <row r="206" spans="1:15" x14ac:dyDescent="0.2">
      <c r="A206" s="16">
        <v>622</v>
      </c>
      <c r="B206" s="16">
        <v>1</v>
      </c>
      <c r="C206" s="16" t="s">
        <v>319</v>
      </c>
      <c r="D206" s="17">
        <v>0</v>
      </c>
      <c r="E206" s="17">
        <v>3.85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/>
    </row>
    <row r="207" spans="1:15" x14ac:dyDescent="0.2">
      <c r="A207" s="16">
        <v>623</v>
      </c>
      <c r="B207" s="16">
        <v>1</v>
      </c>
      <c r="C207" s="16" t="s">
        <v>320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/>
    </row>
    <row r="208" spans="1:15" x14ac:dyDescent="0.2">
      <c r="A208" s="16">
        <v>624</v>
      </c>
      <c r="B208" s="16">
        <v>1</v>
      </c>
      <c r="C208" s="16" t="s">
        <v>321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/>
    </row>
    <row r="209" spans="1:15" x14ac:dyDescent="0.2">
      <c r="A209" s="16">
        <v>627</v>
      </c>
      <c r="B209" s="16">
        <v>1</v>
      </c>
      <c r="C209" s="16" t="s">
        <v>323</v>
      </c>
      <c r="D209" s="17">
        <v>0</v>
      </c>
      <c r="E209" s="17">
        <v>231.56</v>
      </c>
      <c r="F209" s="17">
        <v>212.92</v>
      </c>
      <c r="G209" s="17">
        <v>176.29</v>
      </c>
      <c r="H209" s="17">
        <v>137.85</v>
      </c>
      <c r="I209" s="17">
        <v>82.7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/>
    </row>
    <row r="210" spans="1:15" x14ac:dyDescent="0.2">
      <c r="A210" s="16">
        <v>628</v>
      </c>
      <c r="B210" s="16">
        <v>1</v>
      </c>
      <c r="C210" s="16" t="s">
        <v>324</v>
      </c>
      <c r="D210" s="17">
        <v>0</v>
      </c>
      <c r="E210" s="17">
        <v>369.04</v>
      </c>
      <c r="F210" s="17">
        <v>512.39</v>
      </c>
      <c r="G210" s="17">
        <v>519.91999999999996</v>
      </c>
      <c r="H210" s="17">
        <v>449.25</v>
      </c>
      <c r="I210" s="17">
        <v>438.57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/>
    </row>
    <row r="211" spans="1:15" x14ac:dyDescent="0.2">
      <c r="A211" s="16">
        <v>630</v>
      </c>
      <c r="B211" s="16">
        <v>1</v>
      </c>
      <c r="C211" s="16" t="s">
        <v>325</v>
      </c>
      <c r="D211" s="17">
        <v>0</v>
      </c>
      <c r="E211" s="17">
        <v>718.65</v>
      </c>
      <c r="F211" s="17">
        <v>704.89</v>
      </c>
      <c r="G211" s="17">
        <v>672.7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/>
    </row>
    <row r="212" spans="1:15" x14ac:dyDescent="0.2">
      <c r="A212" s="16">
        <v>635</v>
      </c>
      <c r="B212" s="16">
        <v>1</v>
      </c>
      <c r="C212" s="16" t="s">
        <v>326</v>
      </c>
      <c r="D212" s="17">
        <v>0</v>
      </c>
      <c r="E212" s="17">
        <v>350.54</v>
      </c>
      <c r="F212" s="17">
        <v>326.97000000000003</v>
      </c>
      <c r="G212" s="17">
        <v>446.04</v>
      </c>
      <c r="H212" s="17">
        <v>383.98</v>
      </c>
      <c r="I212" s="17">
        <v>337.46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/>
    </row>
    <row r="213" spans="1:15" x14ac:dyDescent="0.2">
      <c r="A213" s="16">
        <v>640</v>
      </c>
      <c r="B213" s="16">
        <v>1</v>
      </c>
      <c r="C213" s="16" t="s">
        <v>327</v>
      </c>
      <c r="D213" s="17">
        <v>0</v>
      </c>
      <c r="E213" s="17">
        <v>370.25</v>
      </c>
      <c r="F213" s="17">
        <v>356.02</v>
      </c>
      <c r="G213" s="17">
        <v>621.14</v>
      </c>
      <c r="H213" s="17">
        <v>582.65</v>
      </c>
      <c r="I213" s="17">
        <v>577.11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/>
    </row>
    <row r="214" spans="1:15" x14ac:dyDescent="0.2">
      <c r="A214" s="16">
        <v>656</v>
      </c>
      <c r="B214" s="16">
        <v>1</v>
      </c>
      <c r="C214" s="16" t="s">
        <v>328</v>
      </c>
      <c r="D214" s="17">
        <v>0</v>
      </c>
      <c r="E214" s="17">
        <v>122.52</v>
      </c>
      <c r="F214" s="17">
        <v>89.25</v>
      </c>
      <c r="G214" s="17">
        <v>62.44</v>
      </c>
      <c r="H214" s="17">
        <v>36.520000000000003</v>
      </c>
      <c r="I214" s="17">
        <v>14.9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/>
    </row>
    <row r="215" spans="1:15" x14ac:dyDescent="0.2">
      <c r="A215" s="16">
        <v>659</v>
      </c>
      <c r="B215" s="16">
        <v>1</v>
      </c>
      <c r="C215" s="16" t="s">
        <v>329</v>
      </c>
      <c r="D215" s="17">
        <v>0</v>
      </c>
      <c r="E215" s="17">
        <v>140.36000000000001</v>
      </c>
      <c r="F215" s="17">
        <v>88.2</v>
      </c>
      <c r="G215" s="17">
        <v>23.52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/>
    </row>
    <row r="216" spans="1:15" x14ac:dyDescent="0.2">
      <c r="A216" s="16">
        <v>671</v>
      </c>
      <c r="B216" s="16">
        <v>1</v>
      </c>
      <c r="C216" s="16" t="s">
        <v>330</v>
      </c>
      <c r="D216" s="17">
        <v>0</v>
      </c>
      <c r="E216" s="17">
        <v>380.52</v>
      </c>
      <c r="F216" s="17">
        <v>371.13</v>
      </c>
      <c r="G216" s="17">
        <v>338.9</v>
      </c>
      <c r="H216" s="17">
        <v>321.47000000000003</v>
      </c>
      <c r="I216" s="17">
        <v>304.19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/>
    </row>
    <row r="217" spans="1:15" x14ac:dyDescent="0.2">
      <c r="A217" s="16">
        <v>676</v>
      </c>
      <c r="B217" s="16">
        <v>1</v>
      </c>
      <c r="C217" s="16" t="s">
        <v>331</v>
      </c>
      <c r="D217" s="17">
        <v>0</v>
      </c>
      <c r="E217" s="17">
        <v>598.48</v>
      </c>
      <c r="F217" s="17">
        <v>527.29</v>
      </c>
      <c r="G217" s="17">
        <v>468.12</v>
      </c>
      <c r="H217" s="17">
        <v>480.76</v>
      </c>
      <c r="I217" s="17">
        <v>463.22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/>
    </row>
    <row r="218" spans="1:15" x14ac:dyDescent="0.2">
      <c r="A218" s="16">
        <v>682</v>
      </c>
      <c r="B218" s="16">
        <v>1</v>
      </c>
      <c r="C218" s="16" t="s">
        <v>332</v>
      </c>
      <c r="D218" s="17">
        <v>0</v>
      </c>
      <c r="E218" s="17">
        <v>354.74</v>
      </c>
      <c r="F218" s="17">
        <v>337.12</v>
      </c>
      <c r="G218" s="17">
        <v>313.64</v>
      </c>
      <c r="H218" s="17">
        <v>307.13</v>
      </c>
      <c r="I218" s="17">
        <v>296.79000000000002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/>
    </row>
    <row r="219" spans="1:15" x14ac:dyDescent="0.2">
      <c r="A219" s="16">
        <v>690</v>
      </c>
      <c r="B219" s="16">
        <v>1</v>
      </c>
      <c r="C219" s="16" t="s">
        <v>333</v>
      </c>
      <c r="D219" s="17">
        <v>0</v>
      </c>
      <c r="E219" s="17">
        <v>430.85</v>
      </c>
      <c r="F219" s="17">
        <v>411.31</v>
      </c>
      <c r="G219" s="17">
        <v>385.71</v>
      </c>
      <c r="H219" s="17">
        <v>369.89</v>
      </c>
      <c r="I219" s="17">
        <v>358.15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/>
    </row>
    <row r="220" spans="1:15" x14ac:dyDescent="0.2">
      <c r="A220" s="16">
        <v>695</v>
      </c>
      <c r="B220" s="16">
        <v>1</v>
      </c>
      <c r="C220" s="16" t="s">
        <v>334</v>
      </c>
      <c r="D220" s="17">
        <v>0</v>
      </c>
      <c r="E220" s="17">
        <v>480.78</v>
      </c>
      <c r="F220" s="17">
        <v>489.67</v>
      </c>
      <c r="G220" s="17">
        <v>469.27</v>
      </c>
      <c r="H220" s="17">
        <v>454.17</v>
      </c>
      <c r="I220" s="17">
        <v>442.64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/>
    </row>
    <row r="221" spans="1:15" x14ac:dyDescent="0.2">
      <c r="A221" s="16">
        <v>696</v>
      </c>
      <c r="B221" s="16">
        <v>1</v>
      </c>
      <c r="C221" s="16" t="s">
        <v>335</v>
      </c>
      <c r="D221" s="17">
        <v>0</v>
      </c>
      <c r="E221" s="17">
        <v>20.149999999999999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/>
    </row>
    <row r="222" spans="1:15" x14ac:dyDescent="0.2">
      <c r="A222" s="16">
        <v>698</v>
      </c>
      <c r="B222" s="16">
        <v>1</v>
      </c>
      <c r="C222" s="16" t="s">
        <v>336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/>
    </row>
    <row r="223" spans="1:15" x14ac:dyDescent="0.2">
      <c r="A223" s="16">
        <v>700</v>
      </c>
      <c r="B223" s="16">
        <v>1</v>
      </c>
      <c r="C223" s="16" t="s">
        <v>337</v>
      </c>
      <c r="D223" s="17">
        <v>0</v>
      </c>
      <c r="E223" s="17">
        <v>0.3</v>
      </c>
      <c r="F223" s="17">
        <v>0.2</v>
      </c>
      <c r="G223" s="17">
        <v>0.09</v>
      </c>
      <c r="H223" s="17">
        <v>0.02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/>
    </row>
    <row r="224" spans="1:15" x14ac:dyDescent="0.2">
      <c r="A224" s="16">
        <v>701</v>
      </c>
      <c r="B224" s="16">
        <v>1</v>
      </c>
      <c r="C224" s="16" t="s">
        <v>338</v>
      </c>
      <c r="D224" s="17">
        <v>0</v>
      </c>
      <c r="E224" s="17">
        <v>315.14999999999998</v>
      </c>
      <c r="F224" s="17">
        <v>283.18</v>
      </c>
      <c r="G224" s="17">
        <v>297.43</v>
      </c>
      <c r="H224" s="17">
        <v>267.3</v>
      </c>
      <c r="I224" s="17">
        <v>241.42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/>
    </row>
    <row r="225" spans="1:15" x14ac:dyDescent="0.2">
      <c r="A225" s="16">
        <v>704</v>
      </c>
      <c r="B225" s="16">
        <v>1</v>
      </c>
      <c r="C225" s="16" t="s">
        <v>339</v>
      </c>
      <c r="D225" s="17">
        <v>0</v>
      </c>
      <c r="E225" s="17">
        <v>0.39</v>
      </c>
      <c r="F225" s="17">
        <v>0.28999999999999998</v>
      </c>
      <c r="G225" s="17">
        <v>0.18</v>
      </c>
      <c r="H225" s="17">
        <v>0.12</v>
      </c>
      <c r="I225" s="17">
        <v>7.0000000000000007E-2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/>
    </row>
    <row r="226" spans="1:15" x14ac:dyDescent="0.2">
      <c r="A226" s="16">
        <v>706</v>
      </c>
      <c r="B226" s="16">
        <v>1</v>
      </c>
      <c r="C226" s="16" t="s">
        <v>340</v>
      </c>
      <c r="D226" s="17">
        <v>0</v>
      </c>
      <c r="E226" s="17">
        <v>344.34</v>
      </c>
      <c r="F226" s="17">
        <v>349.12</v>
      </c>
      <c r="G226" s="17">
        <v>321.52999999999997</v>
      </c>
      <c r="H226" s="17">
        <v>277.87</v>
      </c>
      <c r="I226" s="17">
        <v>249.33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/>
    </row>
    <row r="227" spans="1:15" x14ac:dyDescent="0.2">
      <c r="A227" s="16">
        <v>707</v>
      </c>
      <c r="B227" s="16">
        <v>1</v>
      </c>
      <c r="C227" s="16" t="s">
        <v>341</v>
      </c>
      <c r="D227" s="17">
        <v>0</v>
      </c>
      <c r="E227" s="17">
        <v>848.76</v>
      </c>
      <c r="F227" s="17">
        <v>848.77</v>
      </c>
      <c r="G227" s="17">
        <v>848.77</v>
      </c>
      <c r="H227" s="17">
        <v>636.9</v>
      </c>
      <c r="I227" s="17">
        <v>571.9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/>
    </row>
    <row r="228" spans="1:15" x14ac:dyDescent="0.2">
      <c r="A228" s="16">
        <v>709</v>
      </c>
      <c r="B228" s="16">
        <v>1</v>
      </c>
      <c r="C228" s="16" t="s">
        <v>342</v>
      </c>
      <c r="D228" s="17">
        <v>0</v>
      </c>
      <c r="E228" s="17">
        <v>95.06</v>
      </c>
      <c r="F228" s="17">
        <v>52.09</v>
      </c>
      <c r="G228" s="17">
        <v>19.53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/>
    </row>
    <row r="229" spans="1:15" x14ac:dyDescent="0.2">
      <c r="A229" s="16">
        <v>712</v>
      </c>
      <c r="B229" s="16">
        <v>1</v>
      </c>
      <c r="C229" s="16" t="s">
        <v>343</v>
      </c>
      <c r="D229" s="17">
        <v>0</v>
      </c>
      <c r="E229" s="17">
        <v>290.10000000000002</v>
      </c>
      <c r="F229" s="17">
        <v>266.29000000000002</v>
      </c>
      <c r="G229" s="17">
        <v>239.97</v>
      </c>
      <c r="H229" s="17">
        <v>201.53</v>
      </c>
      <c r="I229" s="17">
        <v>174.18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/>
    </row>
    <row r="230" spans="1:15" x14ac:dyDescent="0.2">
      <c r="A230" s="16">
        <v>716</v>
      </c>
      <c r="B230" s="16">
        <v>1</v>
      </c>
      <c r="C230" s="16" t="s">
        <v>344</v>
      </c>
      <c r="D230" s="17">
        <v>0</v>
      </c>
      <c r="E230" s="17">
        <v>0</v>
      </c>
      <c r="F230" s="17">
        <v>0</v>
      </c>
      <c r="G230" s="17">
        <v>70.290000000000006</v>
      </c>
      <c r="H230" s="17">
        <v>53.02</v>
      </c>
      <c r="I230" s="17">
        <v>44.51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/>
    </row>
    <row r="231" spans="1:15" x14ac:dyDescent="0.2">
      <c r="A231" s="16">
        <v>717</v>
      </c>
      <c r="B231" s="16">
        <v>1</v>
      </c>
      <c r="C231" s="16" t="s">
        <v>345</v>
      </c>
      <c r="D231" s="17">
        <v>0</v>
      </c>
      <c r="E231" s="17">
        <v>0.31</v>
      </c>
      <c r="F231" s="17">
        <v>0.22</v>
      </c>
      <c r="G231" s="17">
        <v>0.11</v>
      </c>
      <c r="H231" s="17">
        <v>0.04</v>
      </c>
      <c r="I231" s="17">
        <v>0.02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/>
    </row>
    <row r="232" spans="1:15" x14ac:dyDescent="0.2">
      <c r="A232" s="16">
        <v>719</v>
      </c>
      <c r="B232" s="16">
        <v>1</v>
      </c>
      <c r="C232" s="16" t="s">
        <v>346</v>
      </c>
      <c r="D232" s="17">
        <v>0</v>
      </c>
      <c r="E232" s="17">
        <v>70.81</v>
      </c>
      <c r="F232" s="17">
        <v>27.32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/>
    </row>
    <row r="233" spans="1:15" x14ac:dyDescent="0.2">
      <c r="A233" s="16">
        <v>720</v>
      </c>
      <c r="B233" s="16">
        <v>1</v>
      </c>
      <c r="C233" s="16" t="s">
        <v>347</v>
      </c>
      <c r="D233" s="17">
        <v>0</v>
      </c>
      <c r="E233" s="17">
        <v>55.89</v>
      </c>
      <c r="F233" s="17">
        <v>16.97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/>
    </row>
    <row r="234" spans="1:15" x14ac:dyDescent="0.2">
      <c r="A234" s="16">
        <v>721</v>
      </c>
      <c r="B234" s="16">
        <v>1</v>
      </c>
      <c r="C234" s="16" t="s">
        <v>348</v>
      </c>
      <c r="D234" s="17">
        <v>0</v>
      </c>
      <c r="E234" s="17">
        <v>158.84</v>
      </c>
      <c r="F234" s="17">
        <v>123.72</v>
      </c>
      <c r="G234" s="17">
        <v>130.96</v>
      </c>
      <c r="H234" s="17">
        <v>70.900000000000006</v>
      </c>
      <c r="I234" s="17">
        <v>36.119999999999997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/>
    </row>
    <row r="235" spans="1:15" x14ac:dyDescent="0.2">
      <c r="A235" s="16">
        <v>726</v>
      </c>
      <c r="B235" s="16">
        <v>1</v>
      </c>
      <c r="C235" s="16" t="s">
        <v>349</v>
      </c>
      <c r="D235" s="17">
        <v>0</v>
      </c>
      <c r="E235" s="17">
        <v>66.37</v>
      </c>
      <c r="F235" s="17">
        <v>46.55</v>
      </c>
      <c r="G235" s="17">
        <v>0</v>
      </c>
      <c r="H235" s="17">
        <v>2.2400000000000002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/>
    </row>
    <row r="236" spans="1:15" x14ac:dyDescent="0.2">
      <c r="A236" s="16">
        <v>727</v>
      </c>
      <c r="B236" s="16">
        <v>1</v>
      </c>
      <c r="C236" s="16" t="s">
        <v>350</v>
      </c>
      <c r="D236" s="17">
        <v>0</v>
      </c>
      <c r="E236" s="17">
        <v>3.88</v>
      </c>
      <c r="F236" s="17">
        <v>3.3</v>
      </c>
      <c r="G236" s="17">
        <v>2.64</v>
      </c>
      <c r="H236" s="17">
        <v>2.3199999999999998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/>
    </row>
    <row r="237" spans="1:15" x14ac:dyDescent="0.2">
      <c r="A237" s="16">
        <v>728</v>
      </c>
      <c r="B237" s="16">
        <v>1</v>
      </c>
      <c r="C237" s="16" t="s">
        <v>351</v>
      </c>
      <c r="D237" s="17">
        <v>0</v>
      </c>
      <c r="E237" s="17">
        <v>192.21</v>
      </c>
      <c r="F237" s="17">
        <v>169</v>
      </c>
      <c r="G237" s="17">
        <v>91.63</v>
      </c>
      <c r="H237" s="17">
        <v>55.97</v>
      </c>
      <c r="I237" s="17">
        <v>44.97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/>
    </row>
    <row r="238" spans="1:15" x14ac:dyDescent="0.2">
      <c r="A238" s="16">
        <v>738</v>
      </c>
      <c r="B238" s="16">
        <v>1</v>
      </c>
      <c r="C238" s="16" t="s">
        <v>352</v>
      </c>
      <c r="D238" s="17">
        <v>0</v>
      </c>
      <c r="E238" s="17">
        <v>284.27999999999997</v>
      </c>
      <c r="F238" s="17">
        <v>240.81</v>
      </c>
      <c r="G238" s="17">
        <v>200.16</v>
      </c>
      <c r="H238" s="17">
        <v>187.66</v>
      </c>
      <c r="I238" s="17">
        <v>173.17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/>
    </row>
    <row r="239" spans="1:15" x14ac:dyDescent="0.2">
      <c r="A239" s="16">
        <v>739</v>
      </c>
      <c r="B239" s="16">
        <v>1</v>
      </c>
      <c r="C239" s="16" t="s">
        <v>353</v>
      </c>
      <c r="D239" s="17">
        <v>0</v>
      </c>
      <c r="E239" s="17">
        <v>137.43</v>
      </c>
      <c r="F239" s="17">
        <v>109.94</v>
      </c>
      <c r="G239" s="17">
        <v>75.709999999999994</v>
      </c>
      <c r="H239" s="17">
        <v>53.83</v>
      </c>
      <c r="I239" s="17">
        <v>37.549999999999997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/>
    </row>
    <row r="240" spans="1:15" x14ac:dyDescent="0.2">
      <c r="A240" s="16">
        <v>740</v>
      </c>
      <c r="B240" s="16">
        <v>1</v>
      </c>
      <c r="C240" s="16" t="s">
        <v>354</v>
      </c>
      <c r="D240" s="17">
        <v>0</v>
      </c>
      <c r="E240" s="17">
        <v>357.97</v>
      </c>
      <c r="F240" s="17">
        <v>352.72</v>
      </c>
      <c r="G240" s="17">
        <v>309.29000000000002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/>
    </row>
    <row r="241" spans="1:15" x14ac:dyDescent="0.2">
      <c r="A241" s="16">
        <v>741</v>
      </c>
      <c r="B241" s="16">
        <v>1</v>
      </c>
      <c r="C241" s="16" t="s">
        <v>355</v>
      </c>
      <c r="D241" s="17">
        <v>0</v>
      </c>
      <c r="E241" s="17">
        <v>194.24</v>
      </c>
      <c r="F241" s="17">
        <v>166.79</v>
      </c>
      <c r="G241" s="17">
        <v>134.07</v>
      </c>
      <c r="H241" s="17">
        <v>115.74</v>
      </c>
      <c r="I241" s="17">
        <v>102.71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/>
    </row>
    <row r="242" spans="1:15" x14ac:dyDescent="0.2">
      <c r="A242" s="16">
        <v>742</v>
      </c>
      <c r="B242" s="16">
        <v>1</v>
      </c>
      <c r="C242" s="16" t="s">
        <v>356</v>
      </c>
      <c r="D242" s="17">
        <v>0</v>
      </c>
      <c r="E242" s="17">
        <v>65.319999999999993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/>
    </row>
    <row r="243" spans="1:15" x14ac:dyDescent="0.2">
      <c r="A243" s="16">
        <v>743</v>
      </c>
      <c r="B243" s="16">
        <v>1</v>
      </c>
      <c r="C243" s="16" t="s">
        <v>357</v>
      </c>
      <c r="D243" s="17">
        <v>0</v>
      </c>
      <c r="E243" s="17">
        <v>263.38</v>
      </c>
      <c r="F243" s="17">
        <v>241.5</v>
      </c>
      <c r="G243" s="17">
        <v>188.64</v>
      </c>
      <c r="H243" s="17">
        <v>147.15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/>
    </row>
    <row r="244" spans="1:15" x14ac:dyDescent="0.2">
      <c r="A244" s="16">
        <v>745</v>
      </c>
      <c r="B244" s="16">
        <v>1</v>
      </c>
      <c r="C244" s="16" t="s">
        <v>358</v>
      </c>
      <c r="D244" s="17">
        <v>0</v>
      </c>
      <c r="E244" s="17">
        <v>200.34</v>
      </c>
      <c r="F244" s="17">
        <v>181.85</v>
      </c>
      <c r="G244" s="17">
        <v>148.41999999999999</v>
      </c>
      <c r="H244" s="17">
        <v>137.11000000000001</v>
      </c>
      <c r="I244" s="17">
        <v>127.79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/>
    </row>
    <row r="245" spans="1:15" x14ac:dyDescent="0.2">
      <c r="A245" s="16">
        <v>748</v>
      </c>
      <c r="B245" s="16">
        <v>1</v>
      </c>
      <c r="C245" s="16" t="s">
        <v>359</v>
      </c>
      <c r="D245" s="17">
        <v>0</v>
      </c>
      <c r="E245" s="17">
        <v>139.66</v>
      </c>
      <c r="F245" s="17">
        <v>119.12</v>
      </c>
      <c r="G245" s="17">
        <v>99.56</v>
      </c>
      <c r="H245" s="17">
        <v>94.79</v>
      </c>
      <c r="I245" s="17">
        <v>90.2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/>
    </row>
    <row r="246" spans="1:15" x14ac:dyDescent="0.2">
      <c r="A246" s="16">
        <v>750</v>
      </c>
      <c r="B246" s="16">
        <v>1</v>
      </c>
      <c r="C246" s="16" t="s">
        <v>360</v>
      </c>
      <c r="D246" s="17">
        <v>0</v>
      </c>
      <c r="E246" s="17">
        <v>47.96</v>
      </c>
      <c r="F246" s="17">
        <v>36.64</v>
      </c>
      <c r="G246" s="17">
        <v>89.01</v>
      </c>
      <c r="H246" s="17">
        <v>55.25</v>
      </c>
      <c r="I246" s="17">
        <v>35.26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/>
    </row>
    <row r="247" spans="1:15" x14ac:dyDescent="0.2">
      <c r="A247" s="16">
        <v>756</v>
      </c>
      <c r="B247" s="16">
        <v>1</v>
      </c>
      <c r="C247" s="16" t="s">
        <v>361</v>
      </c>
      <c r="D247" s="17">
        <v>0</v>
      </c>
      <c r="E247" s="17">
        <v>212.41</v>
      </c>
      <c r="F247" s="17">
        <v>195.89</v>
      </c>
      <c r="G247" s="17">
        <v>175.76</v>
      </c>
      <c r="H247" s="17">
        <v>164.49</v>
      </c>
      <c r="I247" s="17">
        <v>153.24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/>
    </row>
    <row r="248" spans="1:15" x14ac:dyDescent="0.2">
      <c r="A248" s="16">
        <v>761</v>
      </c>
      <c r="B248" s="16">
        <v>1</v>
      </c>
      <c r="C248" s="16" t="s">
        <v>362</v>
      </c>
      <c r="D248" s="17">
        <v>0</v>
      </c>
      <c r="E248" s="17">
        <v>272.51</v>
      </c>
      <c r="F248" s="17">
        <v>265.5</v>
      </c>
      <c r="G248" s="17">
        <v>218.81</v>
      </c>
      <c r="H248" s="17">
        <v>210.89</v>
      </c>
      <c r="I248" s="17">
        <v>199.31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/>
    </row>
    <row r="249" spans="1:15" x14ac:dyDescent="0.2">
      <c r="A249" s="16">
        <v>763</v>
      </c>
      <c r="B249" s="16">
        <v>1</v>
      </c>
      <c r="C249" s="16" t="s">
        <v>363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/>
    </row>
    <row r="250" spans="1:15" x14ac:dyDescent="0.2">
      <c r="A250" s="16">
        <v>768</v>
      </c>
      <c r="B250" s="16">
        <v>1</v>
      </c>
      <c r="C250" s="16" t="s">
        <v>364</v>
      </c>
      <c r="D250" s="17">
        <v>0</v>
      </c>
      <c r="E250" s="17">
        <v>521.85</v>
      </c>
      <c r="F250" s="17">
        <v>532.61</v>
      </c>
      <c r="G250" s="17">
        <v>639.41</v>
      </c>
      <c r="H250" s="17">
        <v>618.55999999999995</v>
      </c>
      <c r="I250" s="17">
        <v>594.59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/>
    </row>
    <row r="251" spans="1:15" x14ac:dyDescent="0.2">
      <c r="A251" s="16">
        <v>769</v>
      </c>
      <c r="B251" s="16">
        <v>1</v>
      </c>
      <c r="C251" s="16" t="s">
        <v>365</v>
      </c>
      <c r="D251" s="17">
        <v>0</v>
      </c>
      <c r="E251" s="17">
        <v>188.09</v>
      </c>
      <c r="F251" s="17">
        <v>204.91</v>
      </c>
      <c r="G251" s="17">
        <v>165.9</v>
      </c>
      <c r="H251" s="17">
        <v>152.80000000000001</v>
      </c>
      <c r="I251" s="17">
        <v>131.01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/>
    </row>
    <row r="252" spans="1:15" x14ac:dyDescent="0.2">
      <c r="A252" s="16">
        <v>771</v>
      </c>
      <c r="B252" s="16">
        <v>1</v>
      </c>
      <c r="C252" s="16" t="s">
        <v>366</v>
      </c>
      <c r="D252" s="17">
        <v>0</v>
      </c>
      <c r="E252" s="17">
        <v>280.08</v>
      </c>
      <c r="F252" s="17">
        <v>202.53</v>
      </c>
      <c r="G252" s="17">
        <v>297.33</v>
      </c>
      <c r="H252" s="17">
        <v>296.22000000000003</v>
      </c>
      <c r="I252" s="17">
        <v>134.29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/>
    </row>
    <row r="253" spans="1:15" x14ac:dyDescent="0.2">
      <c r="A253" s="16">
        <v>775</v>
      </c>
      <c r="B253" s="16">
        <v>1</v>
      </c>
      <c r="C253" s="16" t="s">
        <v>367</v>
      </c>
      <c r="D253" s="17">
        <v>0</v>
      </c>
      <c r="E253" s="17">
        <v>245.2</v>
      </c>
      <c r="F253" s="17">
        <v>253.91</v>
      </c>
      <c r="G253" s="17">
        <v>217.74</v>
      </c>
      <c r="H253" s="17">
        <v>212.85</v>
      </c>
      <c r="I253" s="17">
        <v>180.83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/>
    </row>
    <row r="254" spans="1:15" x14ac:dyDescent="0.2">
      <c r="A254" s="16">
        <v>777</v>
      </c>
      <c r="B254" s="16">
        <v>1</v>
      </c>
      <c r="C254" s="16" t="s">
        <v>368</v>
      </c>
      <c r="D254" s="17">
        <v>0</v>
      </c>
      <c r="E254" s="17">
        <v>200.83</v>
      </c>
      <c r="F254" s="17">
        <v>312.2</v>
      </c>
      <c r="G254" s="17">
        <v>289.2</v>
      </c>
      <c r="H254" s="17">
        <v>265.48</v>
      </c>
      <c r="I254" s="17">
        <v>253.42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/>
    </row>
    <row r="255" spans="1:15" x14ac:dyDescent="0.2">
      <c r="A255" s="16">
        <v>786</v>
      </c>
      <c r="B255" s="16">
        <v>1</v>
      </c>
      <c r="C255" s="16" t="s">
        <v>369</v>
      </c>
      <c r="D255" s="17">
        <v>0</v>
      </c>
      <c r="E255" s="17">
        <v>100.34</v>
      </c>
      <c r="F255" s="17">
        <v>527.33000000000004</v>
      </c>
      <c r="G255" s="17">
        <v>497.44</v>
      </c>
      <c r="H255" s="17">
        <v>487.84</v>
      </c>
      <c r="I255" s="17">
        <v>473.91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/>
    </row>
    <row r="256" spans="1:15" x14ac:dyDescent="0.2">
      <c r="A256" s="16">
        <v>787</v>
      </c>
      <c r="B256" s="16">
        <v>1</v>
      </c>
      <c r="C256" s="16" t="s">
        <v>370</v>
      </c>
      <c r="D256" s="17">
        <v>0</v>
      </c>
      <c r="E256" s="17">
        <v>81.400000000000006</v>
      </c>
      <c r="F256" s="17">
        <v>69.73</v>
      </c>
      <c r="G256" s="17">
        <v>61.45</v>
      </c>
      <c r="H256" s="17">
        <v>54.78</v>
      </c>
      <c r="I256" s="17">
        <v>46.33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/>
    </row>
    <row r="257" spans="1:15" x14ac:dyDescent="0.2">
      <c r="A257" s="16">
        <v>801</v>
      </c>
      <c r="B257" s="16">
        <v>1</v>
      </c>
      <c r="C257" s="16" t="s">
        <v>371</v>
      </c>
      <c r="D257" s="17">
        <v>0</v>
      </c>
      <c r="E257" s="17">
        <v>641.05999999999995</v>
      </c>
      <c r="F257" s="17">
        <v>604.72</v>
      </c>
      <c r="G257" s="17">
        <v>527.64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7"/>
    </row>
    <row r="258" spans="1:15" x14ac:dyDescent="0.2">
      <c r="A258" s="16">
        <v>803</v>
      </c>
      <c r="B258" s="16">
        <v>1</v>
      </c>
      <c r="C258" s="16" t="s">
        <v>372</v>
      </c>
      <c r="D258" s="17">
        <v>0</v>
      </c>
      <c r="E258" s="17">
        <v>297.83</v>
      </c>
      <c r="F258" s="17">
        <v>274.57</v>
      </c>
      <c r="G258" s="17">
        <v>229.33</v>
      </c>
      <c r="H258" s="17">
        <v>226.45</v>
      </c>
      <c r="I258" s="17">
        <v>205.38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/>
    </row>
    <row r="259" spans="1:15" x14ac:dyDescent="0.2">
      <c r="A259" s="16">
        <v>811</v>
      </c>
      <c r="B259" s="16">
        <v>1</v>
      </c>
      <c r="C259" s="16" t="s">
        <v>373</v>
      </c>
      <c r="D259" s="17">
        <v>0</v>
      </c>
      <c r="E259" s="17">
        <v>145.78</v>
      </c>
      <c r="F259" s="17">
        <v>105.05</v>
      </c>
      <c r="G259" s="17">
        <v>14.15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/>
    </row>
    <row r="260" spans="1:15" x14ac:dyDescent="0.2">
      <c r="A260" s="16">
        <v>813</v>
      </c>
      <c r="B260" s="16">
        <v>1</v>
      </c>
      <c r="C260" s="16" t="s">
        <v>374</v>
      </c>
      <c r="D260" s="17">
        <v>0</v>
      </c>
      <c r="E260" s="17">
        <v>192.9</v>
      </c>
      <c r="F260" s="17">
        <v>132.41999999999999</v>
      </c>
      <c r="G260" s="17">
        <v>81.05</v>
      </c>
      <c r="H260" s="17">
        <v>28.67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/>
    </row>
    <row r="261" spans="1:15" x14ac:dyDescent="0.2">
      <c r="A261" s="16">
        <v>815</v>
      </c>
      <c r="B261" s="16">
        <v>2</v>
      </c>
      <c r="C261" s="16" t="s">
        <v>375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/>
    </row>
    <row r="262" spans="1:15" x14ac:dyDescent="0.2">
      <c r="A262" s="16">
        <v>818</v>
      </c>
      <c r="B262" s="16">
        <v>1</v>
      </c>
      <c r="C262" s="16" t="s">
        <v>376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/>
    </row>
    <row r="263" spans="1:15" x14ac:dyDescent="0.2">
      <c r="A263" s="16">
        <v>820</v>
      </c>
      <c r="B263" s="16">
        <v>1</v>
      </c>
      <c r="C263" s="16" t="s">
        <v>377</v>
      </c>
      <c r="D263" s="17">
        <v>0</v>
      </c>
      <c r="E263" s="17">
        <v>554.16999999999996</v>
      </c>
      <c r="F263" s="17">
        <v>530.21</v>
      </c>
      <c r="G263" s="17">
        <v>486.09</v>
      </c>
      <c r="H263" s="17">
        <v>461.99</v>
      </c>
      <c r="I263" s="17">
        <v>443.18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/>
    </row>
    <row r="264" spans="1:15" x14ac:dyDescent="0.2">
      <c r="A264" s="16">
        <v>821</v>
      </c>
      <c r="B264" s="16">
        <v>1</v>
      </c>
      <c r="C264" s="16" t="s">
        <v>378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/>
    </row>
    <row r="265" spans="1:15" x14ac:dyDescent="0.2">
      <c r="A265" s="16">
        <v>829</v>
      </c>
      <c r="B265" s="16">
        <v>1</v>
      </c>
      <c r="C265" s="16" t="s">
        <v>379</v>
      </c>
      <c r="D265" s="17">
        <v>0</v>
      </c>
      <c r="E265" s="17">
        <v>291.43</v>
      </c>
      <c r="F265" s="17">
        <v>261.73</v>
      </c>
      <c r="G265" s="17">
        <v>211.72</v>
      </c>
      <c r="H265" s="17">
        <v>194.19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/>
    </row>
    <row r="266" spans="1:15" x14ac:dyDescent="0.2">
      <c r="A266" s="16">
        <v>831</v>
      </c>
      <c r="B266" s="16">
        <v>1</v>
      </c>
      <c r="C266" s="16" t="s">
        <v>380</v>
      </c>
      <c r="D266" s="17">
        <v>0</v>
      </c>
      <c r="E266" s="17">
        <v>92.15</v>
      </c>
      <c r="F266" s="17">
        <v>15.62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/>
    </row>
    <row r="267" spans="1:15" x14ac:dyDescent="0.2">
      <c r="A267" s="16">
        <v>832</v>
      </c>
      <c r="B267" s="16">
        <v>1</v>
      </c>
      <c r="C267" s="16" t="s">
        <v>381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/>
    </row>
    <row r="268" spans="1:15" x14ac:dyDescent="0.2">
      <c r="A268" s="16">
        <v>833</v>
      </c>
      <c r="B268" s="16">
        <v>1</v>
      </c>
      <c r="C268" s="16" t="s">
        <v>382</v>
      </c>
      <c r="D268" s="17">
        <v>0</v>
      </c>
      <c r="E268" s="17">
        <v>147.03</v>
      </c>
      <c r="F268" s="17">
        <v>101.21</v>
      </c>
      <c r="G268" s="17">
        <v>46.82</v>
      </c>
      <c r="H268" s="17">
        <v>41.97</v>
      </c>
      <c r="I268" s="17">
        <v>21.4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/>
    </row>
    <row r="269" spans="1:15" x14ac:dyDescent="0.2">
      <c r="A269" s="16">
        <v>834</v>
      </c>
      <c r="B269" s="16">
        <v>1</v>
      </c>
      <c r="C269" s="16" t="s">
        <v>383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/>
    </row>
    <row r="270" spans="1:15" x14ac:dyDescent="0.2">
      <c r="A270" s="16">
        <v>836</v>
      </c>
      <c r="B270" s="16">
        <v>1</v>
      </c>
      <c r="C270" s="16" t="s">
        <v>384</v>
      </c>
      <c r="D270" s="17">
        <v>0</v>
      </c>
      <c r="E270" s="17">
        <v>396.74</v>
      </c>
      <c r="F270" s="17">
        <v>340.84</v>
      </c>
      <c r="G270" s="17">
        <v>254.07</v>
      </c>
      <c r="H270" s="17">
        <v>233.92</v>
      </c>
      <c r="I270" s="17">
        <v>229.32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/>
    </row>
    <row r="271" spans="1:15" x14ac:dyDescent="0.2">
      <c r="A271" s="16">
        <v>837</v>
      </c>
      <c r="B271" s="16">
        <v>1</v>
      </c>
      <c r="C271" s="16" t="s">
        <v>385</v>
      </c>
      <c r="D271" s="17">
        <v>0</v>
      </c>
      <c r="E271" s="17">
        <v>356.19</v>
      </c>
      <c r="F271" s="17">
        <v>333.88</v>
      </c>
      <c r="G271" s="17">
        <v>297.7</v>
      </c>
      <c r="H271" s="17">
        <v>290.24</v>
      </c>
      <c r="I271" s="17">
        <v>269.97000000000003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/>
    </row>
    <row r="272" spans="1:15" x14ac:dyDescent="0.2">
      <c r="A272" s="16">
        <v>840</v>
      </c>
      <c r="B272" s="16">
        <v>1</v>
      </c>
      <c r="C272" s="16" t="s">
        <v>386</v>
      </c>
      <c r="D272" s="17">
        <v>0</v>
      </c>
      <c r="E272" s="17">
        <v>405.03</v>
      </c>
      <c r="F272" s="17">
        <v>386.29</v>
      </c>
      <c r="G272" s="17">
        <v>371.21</v>
      </c>
      <c r="H272" s="17">
        <v>363.39</v>
      </c>
      <c r="I272" s="17">
        <v>349.29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/>
    </row>
    <row r="273" spans="1:15" x14ac:dyDescent="0.2">
      <c r="A273" s="16">
        <v>846</v>
      </c>
      <c r="B273" s="16">
        <v>1</v>
      </c>
      <c r="C273" s="16" t="s">
        <v>387</v>
      </c>
      <c r="D273" s="17">
        <v>0</v>
      </c>
      <c r="E273" s="17">
        <v>0</v>
      </c>
      <c r="F273" s="17">
        <v>0</v>
      </c>
      <c r="G273" s="17">
        <v>423.78</v>
      </c>
      <c r="H273" s="17">
        <v>408.03</v>
      </c>
      <c r="I273" s="17">
        <v>385.37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/>
    </row>
    <row r="274" spans="1:15" x14ac:dyDescent="0.2">
      <c r="A274" s="16">
        <v>850</v>
      </c>
      <c r="B274" s="16">
        <v>1</v>
      </c>
      <c r="C274" s="16" t="s">
        <v>388</v>
      </c>
      <c r="D274" s="17">
        <v>0</v>
      </c>
      <c r="E274" s="17">
        <v>685.2</v>
      </c>
      <c r="F274" s="17">
        <v>338.66</v>
      </c>
      <c r="G274" s="17">
        <v>63.46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/>
    </row>
    <row r="275" spans="1:15" x14ac:dyDescent="0.2">
      <c r="A275" s="16">
        <v>852</v>
      </c>
      <c r="B275" s="16">
        <v>1</v>
      </c>
      <c r="C275" s="16" t="s">
        <v>389</v>
      </c>
      <c r="D275" s="17">
        <v>0</v>
      </c>
      <c r="E275" s="17">
        <v>296.42</v>
      </c>
      <c r="F275" s="17">
        <v>309.83</v>
      </c>
      <c r="G275" s="17">
        <v>218.01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/>
    </row>
    <row r="276" spans="1:15" x14ac:dyDescent="0.2">
      <c r="A276" s="16">
        <v>857</v>
      </c>
      <c r="B276" s="16">
        <v>1</v>
      </c>
      <c r="C276" s="16" t="s">
        <v>390</v>
      </c>
      <c r="D276" s="17">
        <v>0</v>
      </c>
      <c r="E276" s="17">
        <v>346.55</v>
      </c>
      <c r="F276" s="17">
        <v>300.58999999999997</v>
      </c>
      <c r="G276" s="17">
        <v>275.14999999999998</v>
      </c>
      <c r="H276" s="17">
        <v>255.55</v>
      </c>
      <c r="I276" s="17">
        <v>239.82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/>
    </row>
    <row r="277" spans="1:15" x14ac:dyDescent="0.2">
      <c r="A277" s="16">
        <v>858</v>
      </c>
      <c r="B277" s="16">
        <v>1</v>
      </c>
      <c r="C277" s="16" t="s">
        <v>391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/>
    </row>
    <row r="278" spans="1:15" x14ac:dyDescent="0.2">
      <c r="A278" s="16">
        <v>861</v>
      </c>
      <c r="B278" s="16">
        <v>1</v>
      </c>
      <c r="C278" s="16" t="s">
        <v>392</v>
      </c>
      <c r="D278" s="17">
        <v>0</v>
      </c>
      <c r="E278" s="17">
        <v>103.52</v>
      </c>
      <c r="F278" s="17">
        <v>39.5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/>
    </row>
    <row r="279" spans="1:15" x14ac:dyDescent="0.2">
      <c r="A279" s="16">
        <v>876</v>
      </c>
      <c r="B279" s="16">
        <v>1</v>
      </c>
      <c r="C279" s="16" t="s">
        <v>393</v>
      </c>
      <c r="D279" s="17">
        <v>0</v>
      </c>
      <c r="E279" s="17">
        <v>90.59</v>
      </c>
      <c r="F279" s="17">
        <v>38.92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/>
    </row>
    <row r="280" spans="1:15" x14ac:dyDescent="0.2">
      <c r="A280" s="16">
        <v>877</v>
      </c>
      <c r="B280" s="16">
        <v>1</v>
      </c>
      <c r="C280" s="16" t="s">
        <v>394</v>
      </c>
      <c r="D280" s="17">
        <v>0</v>
      </c>
      <c r="E280" s="17">
        <v>169.24</v>
      </c>
      <c r="F280" s="17">
        <v>122.66</v>
      </c>
      <c r="G280" s="17">
        <v>79.900000000000006</v>
      </c>
      <c r="H280" s="17">
        <v>70.959999999999994</v>
      </c>
      <c r="I280" s="17">
        <v>65.55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/>
    </row>
    <row r="281" spans="1:15" x14ac:dyDescent="0.2">
      <c r="A281" s="16">
        <v>879</v>
      </c>
      <c r="B281" s="16">
        <v>1</v>
      </c>
      <c r="C281" s="16" t="s">
        <v>395</v>
      </c>
      <c r="D281" s="17">
        <v>0</v>
      </c>
      <c r="E281" s="17">
        <v>99.64</v>
      </c>
      <c r="F281" s="17">
        <v>64.5</v>
      </c>
      <c r="G281" s="17">
        <v>28.88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/>
    </row>
    <row r="282" spans="1:15" x14ac:dyDescent="0.2">
      <c r="A282" s="16">
        <v>881</v>
      </c>
      <c r="B282" s="16">
        <v>1</v>
      </c>
      <c r="C282" s="16" t="s">
        <v>396</v>
      </c>
      <c r="D282" s="17">
        <v>0</v>
      </c>
      <c r="E282" s="17">
        <v>164.25</v>
      </c>
      <c r="F282" s="17">
        <v>101.5</v>
      </c>
      <c r="G282" s="17">
        <v>19.66</v>
      </c>
      <c r="H282" s="17">
        <v>9.32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/>
    </row>
    <row r="283" spans="1:15" x14ac:dyDescent="0.2">
      <c r="A283" s="16">
        <v>882</v>
      </c>
      <c r="B283" s="16">
        <v>1</v>
      </c>
      <c r="C283" s="16" t="s">
        <v>397</v>
      </c>
      <c r="D283" s="17">
        <v>0</v>
      </c>
      <c r="E283" s="17">
        <v>61.79</v>
      </c>
      <c r="F283" s="17">
        <v>44.18</v>
      </c>
      <c r="G283" s="17">
        <v>87.42</v>
      </c>
      <c r="H283" s="17">
        <v>60.72</v>
      </c>
      <c r="I283" s="17">
        <v>22.93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/>
    </row>
    <row r="284" spans="1:15" x14ac:dyDescent="0.2">
      <c r="A284" s="16">
        <v>883</v>
      </c>
      <c r="B284" s="16">
        <v>1</v>
      </c>
      <c r="C284" s="16" t="s">
        <v>398</v>
      </c>
      <c r="D284" s="17">
        <v>0</v>
      </c>
      <c r="E284" s="17">
        <v>2.41</v>
      </c>
      <c r="F284" s="17">
        <v>0.65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/>
    </row>
    <row r="285" spans="1:15" x14ac:dyDescent="0.2">
      <c r="A285" s="16">
        <v>885</v>
      </c>
      <c r="B285" s="16">
        <v>1</v>
      </c>
      <c r="C285" s="16" t="s">
        <v>399</v>
      </c>
      <c r="D285" s="17">
        <v>0</v>
      </c>
      <c r="E285" s="17">
        <v>213.44</v>
      </c>
      <c r="F285" s="17">
        <v>177.86</v>
      </c>
      <c r="G285" s="17">
        <v>149.25</v>
      </c>
      <c r="H285" s="17">
        <v>144.77000000000001</v>
      </c>
      <c r="I285" s="17">
        <v>143.81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/>
    </row>
    <row r="286" spans="1:15" x14ac:dyDescent="0.2">
      <c r="A286" s="16">
        <v>891</v>
      </c>
      <c r="B286" s="16">
        <v>1</v>
      </c>
      <c r="C286" s="16" t="s">
        <v>400</v>
      </c>
      <c r="D286" s="17">
        <v>0</v>
      </c>
      <c r="E286" s="17">
        <v>357.06</v>
      </c>
      <c r="F286" s="17">
        <v>347.86</v>
      </c>
      <c r="G286" s="17">
        <v>464.89</v>
      </c>
      <c r="H286" s="17">
        <v>441.78</v>
      </c>
      <c r="I286" s="17">
        <v>421.79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/>
    </row>
    <row r="287" spans="1:15" x14ac:dyDescent="0.2">
      <c r="A287" s="16">
        <v>911</v>
      </c>
      <c r="B287" s="16">
        <v>1</v>
      </c>
      <c r="C287" s="16" t="s">
        <v>401</v>
      </c>
      <c r="D287" s="17">
        <v>0</v>
      </c>
      <c r="E287" s="17">
        <v>46.87</v>
      </c>
      <c r="F287" s="17">
        <v>37.299999999999997</v>
      </c>
      <c r="G287" s="17">
        <v>27.53</v>
      </c>
      <c r="H287" s="17">
        <v>23.81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/>
    </row>
    <row r="288" spans="1:15" x14ac:dyDescent="0.2">
      <c r="A288" s="16">
        <v>912</v>
      </c>
      <c r="B288" s="16">
        <v>1</v>
      </c>
      <c r="C288" s="16" t="s">
        <v>402</v>
      </c>
      <c r="D288" s="17">
        <v>0</v>
      </c>
      <c r="E288" s="17">
        <v>0.56999999999999995</v>
      </c>
      <c r="F288" s="17">
        <v>0.5</v>
      </c>
      <c r="G288" s="17">
        <v>0.43</v>
      </c>
      <c r="H288" s="17">
        <v>0.38</v>
      </c>
      <c r="I288" s="17">
        <v>0.35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/>
    </row>
    <row r="289" spans="1:15" x14ac:dyDescent="0.2">
      <c r="A289" s="16">
        <v>914</v>
      </c>
      <c r="B289" s="16">
        <v>1</v>
      </c>
      <c r="C289" s="16" t="s">
        <v>403</v>
      </c>
      <c r="D289" s="17">
        <v>0</v>
      </c>
      <c r="E289" s="17">
        <v>604.51</v>
      </c>
      <c r="F289" s="17">
        <v>353.33</v>
      </c>
      <c r="G289" s="17">
        <v>343.51</v>
      </c>
      <c r="H289" s="17">
        <v>248.23</v>
      </c>
      <c r="I289" s="17">
        <v>145.41999999999999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/>
    </row>
    <row r="290" spans="1:15" x14ac:dyDescent="0.2">
      <c r="A290" s="16">
        <v>2071</v>
      </c>
      <c r="B290" s="16">
        <v>1</v>
      </c>
      <c r="C290" s="16" t="s">
        <v>404</v>
      </c>
      <c r="D290" s="17">
        <v>0</v>
      </c>
      <c r="E290" s="17">
        <v>101.25</v>
      </c>
      <c r="F290" s="17">
        <v>93.35</v>
      </c>
      <c r="G290" s="17">
        <v>36.6</v>
      </c>
      <c r="H290" s="17">
        <v>32.44</v>
      </c>
      <c r="I290" s="17">
        <v>21.84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/>
    </row>
    <row r="291" spans="1:15" x14ac:dyDescent="0.2">
      <c r="A291" s="16">
        <v>2125</v>
      </c>
      <c r="B291" s="16">
        <v>1</v>
      </c>
      <c r="C291" s="16" t="s">
        <v>405</v>
      </c>
      <c r="D291" s="17">
        <v>0</v>
      </c>
      <c r="E291" s="17">
        <v>197.27</v>
      </c>
      <c r="F291" s="17">
        <v>176.64</v>
      </c>
      <c r="G291" s="17">
        <v>299.32</v>
      </c>
      <c r="H291" s="17">
        <v>278.38</v>
      </c>
      <c r="I291" s="17">
        <v>270.14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/>
    </row>
    <row r="292" spans="1:15" x14ac:dyDescent="0.2">
      <c r="A292" s="16">
        <v>2134</v>
      </c>
      <c r="B292" s="16">
        <v>1</v>
      </c>
      <c r="C292" s="16" t="s">
        <v>406</v>
      </c>
      <c r="D292" s="17">
        <v>0</v>
      </c>
      <c r="E292" s="17">
        <v>154.41</v>
      </c>
      <c r="F292" s="17">
        <v>84.01</v>
      </c>
      <c r="G292" s="17">
        <v>196.99</v>
      </c>
      <c r="H292" s="17">
        <v>158.19999999999999</v>
      </c>
      <c r="I292" s="17">
        <v>80.569999999999993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/>
    </row>
    <row r="293" spans="1:15" x14ac:dyDescent="0.2">
      <c r="A293" s="16">
        <v>2135</v>
      </c>
      <c r="B293" s="16">
        <v>1</v>
      </c>
      <c r="C293" s="16" t="s">
        <v>407</v>
      </c>
      <c r="D293" s="17">
        <v>0</v>
      </c>
      <c r="E293" s="17">
        <v>325.66000000000003</v>
      </c>
      <c r="F293" s="17">
        <v>305.48</v>
      </c>
      <c r="G293" s="17">
        <v>237.44</v>
      </c>
      <c r="H293" s="17">
        <v>212.02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/>
    </row>
    <row r="294" spans="1:15" x14ac:dyDescent="0.2">
      <c r="A294" s="16">
        <v>2137</v>
      </c>
      <c r="B294" s="16">
        <v>1</v>
      </c>
      <c r="C294" s="16" t="s">
        <v>408</v>
      </c>
      <c r="D294" s="17">
        <v>0</v>
      </c>
      <c r="E294" s="17">
        <v>153.83000000000001</v>
      </c>
      <c r="F294" s="17">
        <v>128.66</v>
      </c>
      <c r="G294" s="17">
        <v>111.84</v>
      </c>
      <c r="H294" s="17">
        <v>103.52</v>
      </c>
      <c r="I294" s="17">
        <v>90.5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/>
    </row>
    <row r="295" spans="1:15" x14ac:dyDescent="0.2">
      <c r="A295" s="16">
        <v>2142</v>
      </c>
      <c r="B295" s="16">
        <v>1</v>
      </c>
      <c r="C295" s="16" t="s">
        <v>409</v>
      </c>
      <c r="D295" s="17">
        <v>0</v>
      </c>
      <c r="E295" s="17">
        <v>39.94</v>
      </c>
      <c r="F295" s="17">
        <v>25.92</v>
      </c>
      <c r="G295" s="17">
        <v>7.78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/>
    </row>
    <row r="296" spans="1:15" x14ac:dyDescent="0.2">
      <c r="A296" s="16">
        <v>2143</v>
      </c>
      <c r="B296" s="16">
        <v>1</v>
      </c>
      <c r="C296" s="16" t="s">
        <v>410</v>
      </c>
      <c r="D296" s="17">
        <v>0</v>
      </c>
      <c r="E296" s="17">
        <v>163.72999999999999</v>
      </c>
      <c r="F296" s="17">
        <v>111.93</v>
      </c>
      <c r="G296" s="17">
        <v>61.07</v>
      </c>
      <c r="H296" s="17">
        <v>30.04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/>
    </row>
    <row r="297" spans="1:15" x14ac:dyDescent="0.2">
      <c r="A297" s="16">
        <v>2144</v>
      </c>
      <c r="B297" s="16">
        <v>1</v>
      </c>
      <c r="C297" s="16" t="s">
        <v>411</v>
      </c>
      <c r="D297" s="17">
        <v>0</v>
      </c>
      <c r="E297" s="17">
        <v>117.41</v>
      </c>
      <c r="F297" s="17">
        <v>56.75</v>
      </c>
      <c r="G297" s="17">
        <v>2.56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/>
    </row>
    <row r="298" spans="1:15" x14ac:dyDescent="0.2">
      <c r="A298" s="16">
        <v>2149</v>
      </c>
      <c r="B298" s="16">
        <v>1</v>
      </c>
      <c r="C298" s="16" t="s">
        <v>412</v>
      </c>
      <c r="D298" s="17">
        <v>0</v>
      </c>
      <c r="E298" s="17">
        <v>0.18</v>
      </c>
      <c r="F298" s="17">
        <v>219.07</v>
      </c>
      <c r="G298" s="17">
        <v>142.62</v>
      </c>
      <c r="H298" s="17">
        <v>88.94</v>
      </c>
      <c r="I298" s="17">
        <v>40.590000000000003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/>
    </row>
    <row r="299" spans="1:15" x14ac:dyDescent="0.2">
      <c r="A299" s="16">
        <v>2154</v>
      </c>
      <c r="B299" s="16">
        <v>1</v>
      </c>
      <c r="C299" s="16" t="s">
        <v>413</v>
      </c>
      <c r="D299" s="17">
        <v>0</v>
      </c>
      <c r="E299" s="17">
        <v>220.2</v>
      </c>
      <c r="F299" s="17">
        <v>213.42</v>
      </c>
      <c r="G299" s="17">
        <v>194.66</v>
      </c>
      <c r="H299" s="17">
        <v>165.52</v>
      </c>
      <c r="I299" s="17">
        <v>153.19999999999999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/>
    </row>
    <row r="300" spans="1:15" x14ac:dyDescent="0.2">
      <c r="A300" s="16">
        <v>2155</v>
      </c>
      <c r="B300" s="16">
        <v>1</v>
      </c>
      <c r="C300" s="16" t="s">
        <v>414</v>
      </c>
      <c r="D300" s="17">
        <v>0</v>
      </c>
      <c r="E300" s="17">
        <v>65.489999999999995</v>
      </c>
      <c r="F300" s="17">
        <v>58.86</v>
      </c>
      <c r="G300" s="17">
        <v>51.17</v>
      </c>
      <c r="H300" s="17">
        <v>46.06</v>
      </c>
      <c r="I300" s="17">
        <v>42.84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/>
    </row>
    <row r="301" spans="1:15" x14ac:dyDescent="0.2">
      <c r="A301" s="16">
        <v>2159</v>
      </c>
      <c r="B301" s="16">
        <v>1</v>
      </c>
      <c r="C301" s="16" t="s">
        <v>415</v>
      </c>
      <c r="D301" s="17">
        <v>0</v>
      </c>
      <c r="E301" s="17">
        <v>339.25</v>
      </c>
      <c r="F301" s="17">
        <v>350.89</v>
      </c>
      <c r="G301" s="17">
        <v>289.51</v>
      </c>
      <c r="H301" s="17">
        <v>271.76</v>
      </c>
      <c r="I301" s="17">
        <v>256.49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/>
    </row>
    <row r="302" spans="1:15" x14ac:dyDescent="0.2">
      <c r="A302" s="16">
        <v>2164</v>
      </c>
      <c r="B302" s="16">
        <v>1</v>
      </c>
      <c r="C302" s="16" t="s">
        <v>416</v>
      </c>
      <c r="D302" s="17">
        <v>0</v>
      </c>
      <c r="E302" s="17">
        <v>0</v>
      </c>
      <c r="F302" s="17">
        <v>0</v>
      </c>
      <c r="G302" s="17">
        <v>278.7</v>
      </c>
      <c r="H302" s="17">
        <v>270.66000000000003</v>
      </c>
      <c r="I302" s="17">
        <v>262.14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/>
    </row>
    <row r="303" spans="1:15" x14ac:dyDescent="0.2">
      <c r="A303" s="16">
        <v>2165</v>
      </c>
      <c r="B303" s="16">
        <v>1</v>
      </c>
      <c r="C303" s="16" t="s">
        <v>417</v>
      </c>
      <c r="D303" s="17">
        <v>0</v>
      </c>
      <c r="E303" s="17">
        <v>58.63</v>
      </c>
      <c r="F303" s="17">
        <v>43.11</v>
      </c>
      <c r="G303" s="17">
        <v>30.99</v>
      </c>
      <c r="H303" s="17">
        <v>55.57</v>
      </c>
      <c r="I303" s="17">
        <v>45.15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/>
    </row>
    <row r="304" spans="1:15" x14ac:dyDescent="0.2">
      <c r="A304" s="16">
        <v>2167</v>
      </c>
      <c r="B304" s="16">
        <v>1</v>
      </c>
      <c r="C304" s="16" t="s">
        <v>418</v>
      </c>
      <c r="D304" s="17">
        <v>0</v>
      </c>
      <c r="E304" s="17">
        <v>338.06</v>
      </c>
      <c r="F304" s="17">
        <v>340.01</v>
      </c>
      <c r="G304" s="17">
        <v>327.04000000000002</v>
      </c>
      <c r="H304" s="17">
        <v>324.68</v>
      </c>
      <c r="I304" s="17">
        <v>321.89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/>
    </row>
    <row r="305" spans="1:15" x14ac:dyDescent="0.2">
      <c r="A305" s="16">
        <v>2168</v>
      </c>
      <c r="B305" s="16">
        <v>1</v>
      </c>
      <c r="C305" s="16" t="s">
        <v>419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/>
    </row>
    <row r="306" spans="1:15" x14ac:dyDescent="0.2">
      <c r="A306" s="16">
        <v>2169</v>
      </c>
      <c r="B306" s="16">
        <v>1</v>
      </c>
      <c r="C306" s="16" t="s">
        <v>420</v>
      </c>
      <c r="D306" s="17">
        <v>0</v>
      </c>
      <c r="E306" s="17">
        <v>509.61</v>
      </c>
      <c r="F306" s="17">
        <v>685.04</v>
      </c>
      <c r="G306" s="17">
        <v>633.54999999999995</v>
      </c>
      <c r="H306" s="17">
        <v>586.66999999999996</v>
      </c>
      <c r="I306" s="17">
        <v>540.67999999999995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/>
    </row>
    <row r="307" spans="1:15" x14ac:dyDescent="0.2">
      <c r="A307" s="16">
        <v>2170</v>
      </c>
      <c r="B307" s="16">
        <v>1</v>
      </c>
      <c r="C307" s="16" t="s">
        <v>421</v>
      </c>
      <c r="D307" s="17">
        <v>0</v>
      </c>
      <c r="E307" s="17">
        <v>0</v>
      </c>
      <c r="F307" s="17">
        <v>254.38</v>
      </c>
      <c r="G307" s="17">
        <v>231.66</v>
      </c>
      <c r="H307" s="17">
        <v>215.66</v>
      </c>
      <c r="I307" s="17">
        <v>203.88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/>
    </row>
    <row r="308" spans="1:15" x14ac:dyDescent="0.2">
      <c r="A308" s="16">
        <v>2171</v>
      </c>
      <c r="B308" s="16">
        <v>1</v>
      </c>
      <c r="C308" s="16" t="s">
        <v>422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/>
    </row>
    <row r="309" spans="1:15" x14ac:dyDescent="0.2">
      <c r="A309" s="16">
        <v>2172</v>
      </c>
      <c r="B309" s="16">
        <v>1</v>
      </c>
      <c r="C309" s="16" t="s">
        <v>423</v>
      </c>
      <c r="D309" s="17">
        <v>0</v>
      </c>
      <c r="E309" s="17">
        <v>191.55</v>
      </c>
      <c r="F309" s="17">
        <v>154.11000000000001</v>
      </c>
      <c r="G309" s="17">
        <v>241.46</v>
      </c>
      <c r="H309" s="17">
        <v>226.34</v>
      </c>
      <c r="I309" s="17">
        <v>206.21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/>
    </row>
    <row r="310" spans="1:15" x14ac:dyDescent="0.2">
      <c r="A310" s="16">
        <v>2174</v>
      </c>
      <c r="B310" s="16">
        <v>1</v>
      </c>
      <c r="C310" s="16" t="s">
        <v>424</v>
      </c>
      <c r="D310" s="17">
        <v>0</v>
      </c>
      <c r="E310" s="17">
        <v>0.28999999999999998</v>
      </c>
      <c r="F310" s="17">
        <v>0.17</v>
      </c>
      <c r="G310" s="17">
        <v>0.04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/>
    </row>
    <row r="311" spans="1:15" x14ac:dyDescent="0.2">
      <c r="A311" s="16">
        <v>2176</v>
      </c>
      <c r="B311" s="16">
        <v>1</v>
      </c>
      <c r="C311" s="16" t="s">
        <v>425</v>
      </c>
      <c r="D311" s="17">
        <v>0</v>
      </c>
      <c r="E311" s="17">
        <v>365.46</v>
      </c>
      <c r="F311" s="17">
        <v>323.95999999999998</v>
      </c>
      <c r="G311" s="17">
        <v>226.1</v>
      </c>
      <c r="H311" s="17">
        <v>190.56</v>
      </c>
      <c r="I311" s="17">
        <v>141.09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/>
    </row>
    <row r="312" spans="1:15" x14ac:dyDescent="0.2">
      <c r="A312" s="16">
        <v>2180</v>
      </c>
      <c r="B312" s="16">
        <v>1</v>
      </c>
      <c r="C312" s="16" t="s">
        <v>426</v>
      </c>
      <c r="D312" s="17">
        <v>0</v>
      </c>
      <c r="E312" s="17">
        <v>215.21</v>
      </c>
      <c r="F312" s="17">
        <v>183.87</v>
      </c>
      <c r="G312" s="17">
        <v>169.21</v>
      </c>
      <c r="H312" s="17">
        <v>131.1</v>
      </c>
      <c r="I312" s="17">
        <v>56.11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/>
    </row>
    <row r="313" spans="1:15" x14ac:dyDescent="0.2">
      <c r="A313" s="16">
        <v>2184</v>
      </c>
      <c r="B313" s="16">
        <v>1</v>
      </c>
      <c r="C313" s="16" t="s">
        <v>427</v>
      </c>
      <c r="D313" s="17">
        <v>0</v>
      </c>
      <c r="E313" s="17">
        <v>588.15</v>
      </c>
      <c r="F313" s="17">
        <v>582.98</v>
      </c>
      <c r="G313" s="17">
        <v>541.59</v>
      </c>
      <c r="H313" s="17">
        <v>523.62</v>
      </c>
      <c r="I313" s="17">
        <v>484.24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/>
    </row>
    <row r="314" spans="1:15" x14ac:dyDescent="0.2">
      <c r="A314" s="16">
        <v>2190</v>
      </c>
      <c r="B314" s="16">
        <v>1</v>
      </c>
      <c r="C314" s="16" t="s">
        <v>428</v>
      </c>
      <c r="D314" s="17">
        <v>0</v>
      </c>
      <c r="E314" s="17">
        <v>275.43</v>
      </c>
      <c r="F314" s="17">
        <v>559.35</v>
      </c>
      <c r="G314" s="17">
        <v>504.8</v>
      </c>
      <c r="H314" s="17">
        <v>511.98</v>
      </c>
      <c r="I314" s="17">
        <v>485.41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/>
    </row>
    <row r="315" spans="1:15" x14ac:dyDescent="0.2">
      <c r="A315" s="16">
        <v>2198</v>
      </c>
      <c r="B315" s="16">
        <v>1</v>
      </c>
      <c r="C315" s="16" t="s">
        <v>429</v>
      </c>
      <c r="D315" s="17">
        <v>0</v>
      </c>
      <c r="E315" s="17">
        <v>349.28</v>
      </c>
      <c r="F315" s="17">
        <v>333.14</v>
      </c>
      <c r="G315" s="17">
        <v>266.82</v>
      </c>
      <c r="H315" s="17">
        <v>234.45</v>
      </c>
      <c r="I315" s="17">
        <v>210.65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/>
    </row>
    <row r="316" spans="1:15" x14ac:dyDescent="0.2">
      <c r="A316" s="16">
        <v>2215</v>
      </c>
      <c r="B316" s="16">
        <v>1</v>
      </c>
      <c r="C316" s="16" t="s">
        <v>430</v>
      </c>
      <c r="D316" s="17">
        <v>0</v>
      </c>
      <c r="E316" s="17">
        <v>466.28</v>
      </c>
      <c r="F316" s="17">
        <v>458.39</v>
      </c>
      <c r="G316" s="17">
        <v>1078.22</v>
      </c>
      <c r="H316" s="17">
        <v>1008.16</v>
      </c>
      <c r="I316" s="17">
        <v>963.41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/>
    </row>
    <row r="317" spans="1:15" x14ac:dyDescent="0.2">
      <c r="A317" s="16">
        <v>2310</v>
      </c>
      <c r="B317" s="16">
        <v>1</v>
      </c>
      <c r="C317" s="16" t="s">
        <v>431</v>
      </c>
      <c r="D317" s="17">
        <v>0</v>
      </c>
      <c r="E317" s="17">
        <v>352.65</v>
      </c>
      <c r="F317" s="17">
        <v>290.61</v>
      </c>
      <c r="G317" s="17">
        <v>247.92</v>
      </c>
      <c r="H317" s="17">
        <v>225.54</v>
      </c>
      <c r="I317" s="17">
        <v>204.87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/>
    </row>
    <row r="318" spans="1:15" x14ac:dyDescent="0.2">
      <c r="A318" s="16">
        <v>2311</v>
      </c>
      <c r="B318" s="16">
        <v>1</v>
      </c>
      <c r="C318" s="16" t="s">
        <v>432</v>
      </c>
      <c r="D318" s="17">
        <v>0</v>
      </c>
      <c r="E318" s="17">
        <v>172.01</v>
      </c>
      <c r="F318" s="17">
        <v>179.19</v>
      </c>
      <c r="G318" s="17">
        <v>241.67</v>
      </c>
      <c r="H318" s="17">
        <v>200.41</v>
      </c>
      <c r="I318" s="17">
        <v>179.12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/>
    </row>
    <row r="319" spans="1:15" x14ac:dyDescent="0.2">
      <c r="A319" s="16">
        <v>2342</v>
      </c>
      <c r="B319" s="16">
        <v>1</v>
      </c>
      <c r="C319" s="16" t="s">
        <v>433</v>
      </c>
      <c r="D319" s="17">
        <v>0</v>
      </c>
      <c r="E319" s="17">
        <v>251</v>
      </c>
      <c r="F319" s="17">
        <v>438.08</v>
      </c>
      <c r="G319" s="17">
        <v>382.7</v>
      </c>
      <c r="H319" s="17">
        <v>316.47000000000003</v>
      </c>
      <c r="I319" s="17">
        <v>287.58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/>
    </row>
    <row r="320" spans="1:15" x14ac:dyDescent="0.2">
      <c r="A320" s="16">
        <v>2358</v>
      </c>
      <c r="B320" s="16">
        <v>1</v>
      </c>
      <c r="C320" s="16" t="s">
        <v>434</v>
      </c>
      <c r="D320" s="17">
        <v>0</v>
      </c>
      <c r="E320" s="17">
        <v>527.19000000000005</v>
      </c>
      <c r="F320" s="17">
        <v>413.58</v>
      </c>
      <c r="G320" s="17">
        <v>407.08</v>
      </c>
      <c r="H320" s="17">
        <v>400.64</v>
      </c>
      <c r="I320" s="17">
        <v>387.58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/>
    </row>
    <row r="321" spans="1:15" x14ac:dyDescent="0.2">
      <c r="A321" s="16">
        <v>2364</v>
      </c>
      <c r="B321" s="16">
        <v>1</v>
      </c>
      <c r="C321" s="16" t="s">
        <v>435</v>
      </c>
      <c r="D321" s="17">
        <v>0</v>
      </c>
      <c r="E321" s="17">
        <v>503.68</v>
      </c>
      <c r="F321" s="17">
        <v>483.85</v>
      </c>
      <c r="G321" s="17">
        <v>416.04</v>
      </c>
      <c r="H321" s="17">
        <v>363.42</v>
      </c>
      <c r="I321" s="17">
        <v>314.52999999999997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/>
    </row>
    <row r="322" spans="1:15" x14ac:dyDescent="0.2">
      <c r="A322" s="16">
        <v>2365</v>
      </c>
      <c r="B322" s="16">
        <v>1</v>
      </c>
      <c r="C322" s="16" t="s">
        <v>436</v>
      </c>
      <c r="D322" s="17">
        <v>0</v>
      </c>
      <c r="E322" s="17">
        <v>185.07</v>
      </c>
      <c r="F322" s="17">
        <v>161.47999999999999</v>
      </c>
      <c r="G322" s="17">
        <v>132.55000000000001</v>
      </c>
      <c r="H322" s="17">
        <v>105.21</v>
      </c>
      <c r="I322" s="17">
        <v>84.4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/>
    </row>
    <row r="323" spans="1:15" x14ac:dyDescent="0.2">
      <c r="A323" s="16">
        <v>2396</v>
      </c>
      <c r="B323" s="16">
        <v>1</v>
      </c>
      <c r="C323" s="16" t="s">
        <v>437</v>
      </c>
      <c r="D323" s="17">
        <v>0</v>
      </c>
      <c r="E323" s="17">
        <v>316.25</v>
      </c>
      <c r="F323" s="17">
        <v>301.06</v>
      </c>
      <c r="G323" s="17">
        <v>255.07</v>
      </c>
      <c r="H323" s="17">
        <v>252.46</v>
      </c>
      <c r="I323" s="17">
        <v>233.77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/>
    </row>
    <row r="324" spans="1:15" x14ac:dyDescent="0.2">
      <c r="A324" s="16">
        <v>2397</v>
      </c>
      <c r="B324" s="16">
        <v>1</v>
      </c>
      <c r="C324" s="16" t="s">
        <v>438</v>
      </c>
      <c r="D324" s="17">
        <v>0</v>
      </c>
      <c r="E324" s="17">
        <v>138.80000000000001</v>
      </c>
      <c r="F324" s="17">
        <v>121.97</v>
      </c>
      <c r="G324" s="17">
        <v>102.67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/>
    </row>
    <row r="325" spans="1:15" x14ac:dyDescent="0.2">
      <c r="A325" s="16">
        <v>2448</v>
      </c>
      <c r="B325" s="16">
        <v>1</v>
      </c>
      <c r="C325" s="16" t="s">
        <v>439</v>
      </c>
      <c r="D325" s="17">
        <v>0</v>
      </c>
      <c r="E325" s="17">
        <v>110.58</v>
      </c>
      <c r="F325" s="17">
        <v>114.66</v>
      </c>
      <c r="G325" s="17">
        <v>70.69</v>
      </c>
      <c r="H325" s="17">
        <v>52.25</v>
      </c>
      <c r="I325" s="17">
        <v>10.68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/>
    </row>
    <row r="326" spans="1:15" x14ac:dyDescent="0.2">
      <c r="A326" s="16">
        <v>2527</v>
      </c>
      <c r="B326" s="16">
        <v>1</v>
      </c>
      <c r="C326" s="16" t="s">
        <v>440</v>
      </c>
      <c r="D326" s="17">
        <v>0</v>
      </c>
      <c r="E326" s="17">
        <v>856.02</v>
      </c>
      <c r="F326" s="17">
        <v>768.12</v>
      </c>
      <c r="G326" s="17">
        <v>653.80999999999995</v>
      </c>
      <c r="H326" s="17">
        <v>533.41</v>
      </c>
      <c r="I326" s="17">
        <v>493.5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/>
    </row>
    <row r="327" spans="1:15" x14ac:dyDescent="0.2">
      <c r="A327" s="16">
        <v>2534</v>
      </c>
      <c r="B327" s="16">
        <v>1</v>
      </c>
      <c r="C327" s="16" t="s">
        <v>441</v>
      </c>
      <c r="D327" s="17">
        <v>0</v>
      </c>
      <c r="E327" s="17">
        <v>233.01</v>
      </c>
      <c r="F327" s="17">
        <v>344.35</v>
      </c>
      <c r="G327" s="17">
        <v>284.58999999999997</v>
      </c>
      <c r="H327" s="17">
        <v>268.95999999999998</v>
      </c>
      <c r="I327" s="17">
        <v>234.71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/>
    </row>
    <row r="328" spans="1:15" x14ac:dyDescent="0.2">
      <c r="A328" s="16">
        <v>2536</v>
      </c>
      <c r="B328" s="16">
        <v>1</v>
      </c>
      <c r="C328" s="16" t="s">
        <v>442</v>
      </c>
      <c r="D328" s="17">
        <v>0</v>
      </c>
      <c r="E328" s="17">
        <v>22.97</v>
      </c>
      <c r="F328" s="17">
        <v>0</v>
      </c>
      <c r="G328" s="17">
        <v>18.62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/>
    </row>
    <row r="329" spans="1:15" x14ac:dyDescent="0.2">
      <c r="A329" s="16">
        <v>2580</v>
      </c>
      <c r="B329" s="16">
        <v>1</v>
      </c>
      <c r="C329" s="16" t="s">
        <v>443</v>
      </c>
      <c r="D329" s="17">
        <v>0</v>
      </c>
      <c r="E329" s="17">
        <v>67.55</v>
      </c>
      <c r="F329" s="17">
        <v>58.25</v>
      </c>
      <c r="G329" s="17">
        <v>47.6</v>
      </c>
      <c r="H329" s="17">
        <v>39.99</v>
      </c>
      <c r="I329" s="17">
        <v>34.19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/>
    </row>
    <row r="330" spans="1:15" x14ac:dyDescent="0.2">
      <c r="A330" s="16">
        <v>2609</v>
      </c>
      <c r="B330" s="16">
        <v>1</v>
      </c>
      <c r="C330" s="16" t="s">
        <v>444</v>
      </c>
      <c r="D330" s="17">
        <v>0</v>
      </c>
      <c r="E330" s="17">
        <v>0</v>
      </c>
      <c r="F330" s="17">
        <v>463.09</v>
      </c>
      <c r="G330" s="17">
        <v>388.41</v>
      </c>
      <c r="H330" s="17">
        <v>308.12</v>
      </c>
      <c r="I330" s="17">
        <v>276.42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/>
    </row>
    <row r="331" spans="1:15" x14ac:dyDescent="0.2">
      <c r="A331" s="16">
        <v>2683</v>
      </c>
      <c r="B331" s="16">
        <v>1</v>
      </c>
      <c r="C331" s="16" t="s">
        <v>445</v>
      </c>
      <c r="D331" s="17">
        <v>0</v>
      </c>
      <c r="E331" s="17">
        <v>398.16</v>
      </c>
      <c r="F331" s="17">
        <v>388.04</v>
      </c>
      <c r="G331" s="17">
        <v>367.74</v>
      </c>
      <c r="H331" s="17">
        <v>375.98</v>
      </c>
      <c r="I331" s="17">
        <v>365.41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/>
    </row>
    <row r="332" spans="1:15" x14ac:dyDescent="0.2">
      <c r="A332" s="16">
        <v>2687</v>
      </c>
      <c r="B332" s="16">
        <v>1</v>
      </c>
      <c r="C332" s="16" t="s">
        <v>446</v>
      </c>
      <c r="D332" s="17">
        <v>0</v>
      </c>
      <c r="E332" s="17">
        <v>197.68</v>
      </c>
      <c r="F332" s="17">
        <v>143.31</v>
      </c>
      <c r="G332" s="17">
        <v>51.52</v>
      </c>
      <c r="H332" s="17">
        <v>5.84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/>
    </row>
    <row r="333" spans="1:15" x14ac:dyDescent="0.2">
      <c r="A333" s="16">
        <v>2689</v>
      </c>
      <c r="B333" s="16">
        <v>1</v>
      </c>
      <c r="C333" s="16" t="s">
        <v>447</v>
      </c>
      <c r="D333" s="17">
        <v>0</v>
      </c>
      <c r="E333" s="17">
        <v>288.61</v>
      </c>
      <c r="F333" s="17">
        <v>279.52</v>
      </c>
      <c r="G333" s="17">
        <v>630.6</v>
      </c>
      <c r="H333" s="17">
        <v>621.5</v>
      </c>
      <c r="I333" s="17">
        <v>589.76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/>
    </row>
    <row r="334" spans="1:15" x14ac:dyDescent="0.2">
      <c r="A334" s="16">
        <v>2711</v>
      </c>
      <c r="B334" s="16">
        <v>1</v>
      </c>
      <c r="C334" s="16" t="s">
        <v>448</v>
      </c>
      <c r="D334" s="17">
        <v>0</v>
      </c>
      <c r="E334" s="17">
        <v>67.53</v>
      </c>
      <c r="F334" s="17">
        <v>60.56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/>
    </row>
    <row r="335" spans="1:15" x14ac:dyDescent="0.2">
      <c r="A335" s="16">
        <v>2752</v>
      </c>
      <c r="B335" s="16">
        <v>1</v>
      </c>
      <c r="C335" s="16" t="s">
        <v>449</v>
      </c>
      <c r="D335" s="17">
        <v>0</v>
      </c>
      <c r="E335" s="17">
        <v>252.04</v>
      </c>
      <c r="F335" s="17">
        <v>234.77</v>
      </c>
      <c r="G335" s="17">
        <v>206.49</v>
      </c>
      <c r="H335" s="17">
        <v>188.44</v>
      </c>
      <c r="I335" s="17">
        <v>174.16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/>
    </row>
    <row r="336" spans="1:15" x14ac:dyDescent="0.2">
      <c r="A336" s="16">
        <v>2753</v>
      </c>
      <c r="B336" s="16">
        <v>1</v>
      </c>
      <c r="C336" s="16" t="s">
        <v>450</v>
      </c>
      <c r="D336" s="17">
        <v>0</v>
      </c>
      <c r="E336" s="17">
        <v>246.34</v>
      </c>
      <c r="F336" s="17">
        <v>190.26</v>
      </c>
      <c r="G336" s="17">
        <v>245.62</v>
      </c>
      <c r="H336" s="17">
        <v>220.04</v>
      </c>
      <c r="I336" s="17">
        <v>187.05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/>
    </row>
    <row r="337" spans="1:15" x14ac:dyDescent="0.2">
      <c r="A337" s="16">
        <v>2754</v>
      </c>
      <c r="B337" s="16">
        <v>1</v>
      </c>
      <c r="C337" s="16" t="s">
        <v>451</v>
      </c>
      <c r="D337" s="17">
        <v>0</v>
      </c>
      <c r="E337" s="17">
        <v>188.74</v>
      </c>
      <c r="F337" s="17">
        <v>194.91</v>
      </c>
      <c r="G337" s="17">
        <v>297.16000000000003</v>
      </c>
      <c r="H337" s="17">
        <v>289.3</v>
      </c>
      <c r="I337" s="17">
        <v>282.79000000000002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/>
    </row>
    <row r="338" spans="1:15" x14ac:dyDescent="0.2">
      <c r="A338" s="16">
        <v>2759</v>
      </c>
      <c r="B338" s="16">
        <v>1</v>
      </c>
      <c r="C338" s="16" t="s">
        <v>452</v>
      </c>
      <c r="D338" s="17">
        <v>0</v>
      </c>
      <c r="E338" s="17">
        <v>517.87</v>
      </c>
      <c r="F338" s="17">
        <v>502.44</v>
      </c>
      <c r="G338" s="17">
        <v>467.02</v>
      </c>
      <c r="H338" s="17">
        <v>461.51</v>
      </c>
      <c r="I338" s="17">
        <v>442.38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/>
    </row>
    <row r="339" spans="1:15" x14ac:dyDescent="0.2">
      <c r="A339" s="16">
        <v>2805</v>
      </c>
      <c r="B339" s="16">
        <v>1</v>
      </c>
      <c r="C339" s="16" t="s">
        <v>453</v>
      </c>
      <c r="D339" s="17">
        <v>0</v>
      </c>
      <c r="E339" s="17">
        <v>206.61</v>
      </c>
      <c r="F339" s="17">
        <v>187.84</v>
      </c>
      <c r="G339" s="17">
        <v>115.65</v>
      </c>
      <c r="H339" s="17">
        <v>83.4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/>
    </row>
    <row r="340" spans="1:15" x14ac:dyDescent="0.2">
      <c r="A340" s="16">
        <v>2835</v>
      </c>
      <c r="B340" s="16">
        <v>1</v>
      </c>
      <c r="C340" s="16" t="s">
        <v>454</v>
      </c>
      <c r="D340" s="17">
        <v>0</v>
      </c>
      <c r="E340" s="17">
        <v>114.74</v>
      </c>
      <c r="F340" s="17">
        <v>103.21</v>
      </c>
      <c r="G340" s="17">
        <v>63.98</v>
      </c>
      <c r="H340" s="17">
        <v>54.37</v>
      </c>
      <c r="I340" s="17">
        <v>47.05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/>
    </row>
    <row r="341" spans="1:15" x14ac:dyDescent="0.2">
      <c r="A341" s="16">
        <v>2853</v>
      </c>
      <c r="B341" s="16">
        <v>1</v>
      </c>
      <c r="C341" s="16" t="s">
        <v>455</v>
      </c>
      <c r="D341" s="17">
        <v>0</v>
      </c>
      <c r="E341" s="17">
        <v>670.46</v>
      </c>
      <c r="F341" s="17">
        <v>661.19</v>
      </c>
      <c r="G341" s="17">
        <v>569.49</v>
      </c>
      <c r="H341" s="17">
        <v>506.41</v>
      </c>
      <c r="I341" s="17">
        <v>451.85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/>
    </row>
    <row r="342" spans="1:15" x14ac:dyDescent="0.2">
      <c r="A342" s="16">
        <v>2854</v>
      </c>
      <c r="B342" s="16">
        <v>1</v>
      </c>
      <c r="C342" s="16" t="s">
        <v>456</v>
      </c>
      <c r="D342" s="17">
        <v>0</v>
      </c>
      <c r="E342" s="17">
        <v>569.30999999999995</v>
      </c>
      <c r="F342" s="17">
        <v>532.72</v>
      </c>
      <c r="G342" s="17">
        <v>570.91</v>
      </c>
      <c r="H342" s="17">
        <v>556.15</v>
      </c>
      <c r="I342" s="17">
        <v>539.48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/>
    </row>
    <row r="343" spans="1:15" x14ac:dyDescent="0.2">
      <c r="A343" s="16">
        <v>2856</v>
      </c>
      <c r="B343" s="16">
        <v>1</v>
      </c>
      <c r="C343" s="16" t="s">
        <v>457</v>
      </c>
      <c r="D343" s="17">
        <v>0</v>
      </c>
      <c r="E343" s="17">
        <v>340.13</v>
      </c>
      <c r="F343" s="17">
        <v>352.65</v>
      </c>
      <c r="G343" s="17">
        <v>203.9</v>
      </c>
      <c r="H343" s="17">
        <v>173.19</v>
      </c>
      <c r="I343" s="17">
        <v>169.89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/>
    </row>
    <row r="344" spans="1:15" x14ac:dyDescent="0.2">
      <c r="A344" s="16">
        <v>2859</v>
      </c>
      <c r="B344" s="16">
        <v>1</v>
      </c>
      <c r="C344" s="16" t="s">
        <v>458</v>
      </c>
      <c r="D344" s="17">
        <v>0</v>
      </c>
      <c r="E344" s="17">
        <v>265.72000000000003</v>
      </c>
      <c r="F344" s="17">
        <v>256.94</v>
      </c>
      <c r="G344" s="17">
        <v>215.28</v>
      </c>
      <c r="H344" s="17">
        <v>199.53</v>
      </c>
      <c r="I344" s="17">
        <v>180.95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/>
    </row>
    <row r="345" spans="1:15" x14ac:dyDescent="0.2">
      <c r="A345" s="16">
        <v>2860</v>
      </c>
      <c r="B345" s="16">
        <v>1</v>
      </c>
      <c r="C345" s="16" t="s">
        <v>459</v>
      </c>
      <c r="D345" s="17">
        <v>0</v>
      </c>
      <c r="E345" s="17">
        <v>366.31</v>
      </c>
      <c r="F345" s="17">
        <v>356.35</v>
      </c>
      <c r="G345" s="17">
        <v>325.2</v>
      </c>
      <c r="H345" s="17">
        <v>312.43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7"/>
    </row>
    <row r="346" spans="1:15" x14ac:dyDescent="0.2">
      <c r="A346" s="16">
        <v>2884</v>
      </c>
      <c r="B346" s="16">
        <v>1</v>
      </c>
      <c r="C346" s="16" t="s">
        <v>460</v>
      </c>
      <c r="D346" s="17">
        <v>0</v>
      </c>
      <c r="E346" s="17">
        <v>638.63</v>
      </c>
      <c r="F346" s="17">
        <v>587.75</v>
      </c>
      <c r="G346" s="17">
        <v>516.69000000000005</v>
      </c>
      <c r="H346" s="17">
        <v>470.84</v>
      </c>
      <c r="I346" s="17">
        <v>433.75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/>
    </row>
    <row r="347" spans="1:15" x14ac:dyDescent="0.2">
      <c r="A347" s="16">
        <v>2886</v>
      </c>
      <c r="B347" s="16">
        <v>1</v>
      </c>
      <c r="C347" s="16" t="s">
        <v>461</v>
      </c>
      <c r="D347" s="17">
        <v>0</v>
      </c>
      <c r="E347" s="17">
        <v>109.56</v>
      </c>
      <c r="F347" s="17">
        <v>80.41</v>
      </c>
      <c r="G347" s="17">
        <v>23.35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/>
    </row>
    <row r="348" spans="1:15" x14ac:dyDescent="0.2">
      <c r="A348" s="16">
        <v>2887</v>
      </c>
      <c r="B348" s="16">
        <v>1</v>
      </c>
      <c r="C348" s="16" t="s">
        <v>462</v>
      </c>
      <c r="D348" s="17">
        <v>0</v>
      </c>
      <c r="E348" s="17">
        <v>360.15</v>
      </c>
      <c r="F348" s="17">
        <v>357.79</v>
      </c>
      <c r="G348" s="17">
        <v>289.06</v>
      </c>
      <c r="H348" s="17">
        <v>243.86</v>
      </c>
      <c r="I348" s="17">
        <v>188.21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/>
    </row>
    <row r="349" spans="1:15" x14ac:dyDescent="0.2">
      <c r="A349" s="16">
        <v>2888</v>
      </c>
      <c r="B349" s="16">
        <v>1</v>
      </c>
      <c r="C349" s="16" t="s">
        <v>463</v>
      </c>
      <c r="D349" s="17">
        <v>0</v>
      </c>
      <c r="E349" s="17">
        <v>100.8</v>
      </c>
      <c r="F349" s="17">
        <v>750.78</v>
      </c>
      <c r="G349" s="17">
        <v>695.28</v>
      </c>
      <c r="H349" s="17">
        <v>664.56</v>
      </c>
      <c r="I349" s="17">
        <v>624.94000000000005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/>
    </row>
    <row r="350" spans="1:15" x14ac:dyDescent="0.2">
      <c r="A350" s="16">
        <v>2889</v>
      </c>
      <c r="B350" s="16">
        <v>1</v>
      </c>
      <c r="C350" s="16" t="s">
        <v>464</v>
      </c>
      <c r="D350" s="17">
        <v>0</v>
      </c>
      <c r="E350" s="17">
        <v>188.55</v>
      </c>
      <c r="F350" s="17">
        <v>62.46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O350" s="17"/>
    </row>
    <row r="351" spans="1:15" x14ac:dyDescent="0.2">
      <c r="A351" s="16">
        <v>2890</v>
      </c>
      <c r="B351" s="16">
        <v>1</v>
      </c>
      <c r="C351" s="16" t="s">
        <v>465</v>
      </c>
      <c r="D351" s="17">
        <v>0</v>
      </c>
      <c r="E351" s="17">
        <v>205.54</v>
      </c>
      <c r="F351" s="17">
        <v>337.26</v>
      </c>
      <c r="G351" s="17">
        <v>188.17</v>
      </c>
      <c r="H351" s="17">
        <v>126.41</v>
      </c>
      <c r="I351" s="17">
        <v>49.96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O351" s="17"/>
    </row>
    <row r="352" spans="1:15" x14ac:dyDescent="0.2">
      <c r="A352" s="16">
        <v>2895</v>
      </c>
      <c r="B352" s="16">
        <v>1</v>
      </c>
      <c r="C352" s="16" t="s">
        <v>466</v>
      </c>
      <c r="D352" s="17">
        <v>0</v>
      </c>
      <c r="E352" s="17">
        <v>31.77</v>
      </c>
      <c r="F352" s="17">
        <v>29.66</v>
      </c>
      <c r="G352" s="17">
        <v>442.02</v>
      </c>
      <c r="H352" s="17">
        <v>401.98</v>
      </c>
      <c r="I352" s="17">
        <v>362.81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/>
    </row>
    <row r="353" spans="1:15" x14ac:dyDescent="0.2">
      <c r="A353" s="16">
        <v>2897</v>
      </c>
      <c r="B353" s="16">
        <v>1</v>
      </c>
      <c r="C353" s="16" t="s">
        <v>467</v>
      </c>
      <c r="D353" s="17">
        <v>0</v>
      </c>
      <c r="E353" s="17">
        <v>314.94</v>
      </c>
      <c r="F353" s="17">
        <v>299.22000000000003</v>
      </c>
      <c r="G353" s="17">
        <v>280.04000000000002</v>
      </c>
      <c r="H353" s="17">
        <v>274.7</v>
      </c>
      <c r="I353" s="17">
        <v>262.66000000000003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/>
    </row>
    <row r="354" spans="1:15" x14ac:dyDescent="0.2">
      <c r="A354" s="16">
        <v>2898</v>
      </c>
      <c r="B354" s="16">
        <v>1</v>
      </c>
      <c r="C354" s="16" t="s">
        <v>468</v>
      </c>
      <c r="D354" s="17">
        <v>0</v>
      </c>
      <c r="E354" s="17">
        <v>196.68</v>
      </c>
      <c r="F354" s="17">
        <v>179.32</v>
      </c>
      <c r="G354" s="17">
        <v>157.46</v>
      </c>
      <c r="H354" s="17">
        <v>131.38999999999999</v>
      </c>
      <c r="I354" s="17">
        <v>102.92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/>
    </row>
    <row r="355" spans="1:15" x14ac:dyDescent="0.2">
      <c r="A355" s="16">
        <v>2899</v>
      </c>
      <c r="B355" s="16">
        <v>1</v>
      </c>
      <c r="C355" s="16" t="s">
        <v>469</v>
      </c>
      <c r="D355" s="17">
        <v>0</v>
      </c>
      <c r="E355" s="17">
        <v>169.14</v>
      </c>
      <c r="F355" s="17">
        <v>149.87</v>
      </c>
      <c r="G355" s="17">
        <v>132.6</v>
      </c>
      <c r="H355" s="17">
        <v>116.75</v>
      </c>
      <c r="I355" s="17">
        <v>101.57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/>
    </row>
    <row r="356" spans="1:15" x14ac:dyDescent="0.2">
      <c r="A356" s="16">
        <v>2902</v>
      </c>
      <c r="B356" s="16">
        <v>1</v>
      </c>
      <c r="C356" s="16" t="s">
        <v>470</v>
      </c>
      <c r="D356" s="17">
        <v>0</v>
      </c>
      <c r="E356" s="17">
        <v>434.73</v>
      </c>
      <c r="F356" s="17">
        <v>435.52</v>
      </c>
      <c r="G356" s="17">
        <v>404.09</v>
      </c>
      <c r="H356" s="17">
        <v>380.59</v>
      </c>
      <c r="I356" s="17">
        <v>349.74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/>
    </row>
    <row r="357" spans="1:15" x14ac:dyDescent="0.2"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</row>
    <row r="358" spans="1:15" x14ac:dyDescent="0.2"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</row>
    <row r="359" spans="1:15" x14ac:dyDescent="0.2">
      <c r="A359" s="16" t="str">
        <f>HLOOKUP(Snumber,Names,3,FALSE)&amp;" #"&amp;FIXED(Snumber,0,TRUE)</f>
        <v>COMMUNITY SCHOOL OF EXCELLENCE #4181</v>
      </c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  <row r="360" spans="1:15" x14ac:dyDescent="0.2"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</row>
    <row r="361" spans="1:15" x14ac:dyDescent="0.2">
      <c r="A361" s="5">
        <v>1</v>
      </c>
      <c r="B361" s="5">
        <v>1</v>
      </c>
      <c r="C361" s="6" t="s">
        <v>131</v>
      </c>
      <c r="D361" s="25">
        <f>'FY07 PU'!D11</f>
        <v>0</v>
      </c>
      <c r="E361" s="17">
        <v>0.02</v>
      </c>
      <c r="F361" s="32">
        <v>0.01</v>
      </c>
      <c r="G361" s="32">
        <v>0</v>
      </c>
      <c r="H361" s="17">
        <v>0</v>
      </c>
      <c r="I361" s="17">
        <v>0</v>
      </c>
      <c r="J361" s="17">
        <f>$D361*E361</f>
        <v>0</v>
      </c>
      <c r="K361" s="17">
        <f>$D361*F361</f>
        <v>0</v>
      </c>
      <c r="L361" s="17">
        <f>$D361*G361</f>
        <v>0</v>
      </c>
      <c r="M361" s="17">
        <f>$D361*H361</f>
        <v>0</v>
      </c>
      <c r="N361" s="17">
        <f>$D361*I361</f>
        <v>0</v>
      </c>
      <c r="O361" s="32"/>
    </row>
    <row r="362" spans="1:15" x14ac:dyDescent="0.2">
      <c r="A362" s="5">
        <v>1.2</v>
      </c>
      <c r="B362" s="5">
        <v>3</v>
      </c>
      <c r="C362" s="6" t="s">
        <v>132</v>
      </c>
      <c r="D362" s="25">
        <f>'FY07 PU'!D12</f>
        <v>0</v>
      </c>
      <c r="E362" s="17">
        <v>0</v>
      </c>
      <c r="F362" s="32">
        <v>0</v>
      </c>
      <c r="G362" s="32">
        <v>0</v>
      </c>
      <c r="H362" s="17">
        <v>0</v>
      </c>
      <c r="I362" s="17">
        <v>0</v>
      </c>
      <c r="J362" s="17">
        <f t="shared" ref="J362:J425" si="0">$D362*E362</f>
        <v>0</v>
      </c>
      <c r="K362" s="17">
        <f t="shared" ref="K362:K425" si="1">$D362*F362</f>
        <v>0</v>
      </c>
      <c r="L362" s="17">
        <f t="shared" ref="L362:L425" si="2">$D362*G362</f>
        <v>0</v>
      </c>
      <c r="M362" s="17">
        <f t="shared" ref="M362:M425" si="3">$D362*H362</f>
        <v>0</v>
      </c>
      <c r="N362" s="17">
        <f t="shared" ref="N362:N425" si="4">$D362*I362</f>
        <v>0</v>
      </c>
      <c r="O362" s="32"/>
    </row>
    <row r="363" spans="1:15" x14ac:dyDescent="0.2">
      <c r="A363" s="5">
        <v>2</v>
      </c>
      <c r="B363" s="5">
        <v>1</v>
      </c>
      <c r="C363" s="6" t="s">
        <v>133</v>
      </c>
      <c r="D363" s="25">
        <f>'FY07 PU'!D13</f>
        <v>0</v>
      </c>
      <c r="E363" s="17">
        <v>0</v>
      </c>
      <c r="F363" s="32">
        <v>0</v>
      </c>
      <c r="G363" s="32">
        <v>0</v>
      </c>
      <c r="H363" s="17">
        <v>0</v>
      </c>
      <c r="I363" s="17">
        <v>0</v>
      </c>
      <c r="J363" s="17">
        <f t="shared" si="0"/>
        <v>0</v>
      </c>
      <c r="K363" s="17">
        <f t="shared" si="1"/>
        <v>0</v>
      </c>
      <c r="L363" s="17">
        <f t="shared" si="2"/>
        <v>0</v>
      </c>
      <c r="M363" s="17">
        <f t="shared" si="3"/>
        <v>0</v>
      </c>
      <c r="N363" s="17">
        <f t="shared" si="4"/>
        <v>0</v>
      </c>
      <c r="O363" s="32"/>
    </row>
    <row r="364" spans="1:15" x14ac:dyDescent="0.2">
      <c r="A364" s="5">
        <v>4</v>
      </c>
      <c r="B364" s="5">
        <v>1</v>
      </c>
      <c r="C364" s="6" t="s">
        <v>134</v>
      </c>
      <c r="D364" s="25">
        <f>'FY07 PU'!D14</f>
        <v>0</v>
      </c>
      <c r="E364" s="17">
        <v>0.28999999999999998</v>
      </c>
      <c r="F364" s="32">
        <v>0.1</v>
      </c>
      <c r="G364" s="32">
        <v>0</v>
      </c>
      <c r="H364" s="17">
        <v>0</v>
      </c>
      <c r="I364" s="17">
        <v>0</v>
      </c>
      <c r="J364" s="17">
        <f t="shared" si="0"/>
        <v>0</v>
      </c>
      <c r="K364" s="17">
        <f t="shared" si="1"/>
        <v>0</v>
      </c>
      <c r="L364" s="17">
        <f t="shared" si="2"/>
        <v>0</v>
      </c>
      <c r="M364" s="17">
        <f t="shared" si="3"/>
        <v>0</v>
      </c>
      <c r="N364" s="17">
        <f t="shared" si="4"/>
        <v>0</v>
      </c>
      <c r="O364" s="32"/>
    </row>
    <row r="365" spans="1:15" x14ac:dyDescent="0.2">
      <c r="A365" s="5">
        <v>6</v>
      </c>
      <c r="B365" s="5">
        <v>3</v>
      </c>
      <c r="C365" s="6" t="s">
        <v>135</v>
      </c>
      <c r="D365" s="25">
        <f>'FY07 PU'!D15</f>
        <v>0</v>
      </c>
      <c r="E365" s="17">
        <v>148.33000000000001</v>
      </c>
      <c r="F365" s="32">
        <v>101.24</v>
      </c>
      <c r="G365" s="32">
        <v>33.49</v>
      </c>
      <c r="H365" s="17">
        <v>42.11</v>
      </c>
      <c r="I365" s="17">
        <v>22.55</v>
      </c>
      <c r="J365" s="17">
        <f t="shared" si="0"/>
        <v>0</v>
      </c>
      <c r="K365" s="17">
        <f t="shared" si="1"/>
        <v>0</v>
      </c>
      <c r="L365" s="17">
        <f t="shared" si="2"/>
        <v>0</v>
      </c>
      <c r="M365" s="17">
        <f t="shared" si="3"/>
        <v>0</v>
      </c>
      <c r="N365" s="17">
        <f t="shared" si="4"/>
        <v>0</v>
      </c>
      <c r="O365" s="32"/>
    </row>
    <row r="366" spans="1:15" x14ac:dyDescent="0.2">
      <c r="A366" s="5">
        <v>11</v>
      </c>
      <c r="B366" s="5">
        <v>1</v>
      </c>
      <c r="C366" s="6" t="s">
        <v>136</v>
      </c>
      <c r="D366" s="25">
        <f>'FY07 PU'!D16</f>
        <v>0</v>
      </c>
      <c r="E366" s="17">
        <v>201.32</v>
      </c>
      <c r="F366" s="32">
        <v>160.72999999999999</v>
      </c>
      <c r="G366" s="32">
        <v>94.43</v>
      </c>
      <c r="H366" s="17">
        <v>68.94</v>
      </c>
      <c r="I366" s="17">
        <v>35.299999999999997</v>
      </c>
      <c r="J366" s="17">
        <f t="shared" si="0"/>
        <v>0</v>
      </c>
      <c r="K366" s="17">
        <f t="shared" si="1"/>
        <v>0</v>
      </c>
      <c r="L366" s="17">
        <f t="shared" si="2"/>
        <v>0</v>
      </c>
      <c r="M366" s="17">
        <f t="shared" si="3"/>
        <v>0</v>
      </c>
      <c r="N366" s="17">
        <f t="shared" si="4"/>
        <v>0</v>
      </c>
      <c r="O366" s="32"/>
    </row>
    <row r="367" spans="1:15" x14ac:dyDescent="0.2">
      <c r="A367" s="5">
        <v>12</v>
      </c>
      <c r="B367" s="5">
        <v>1</v>
      </c>
      <c r="C367" s="6" t="s">
        <v>137</v>
      </c>
      <c r="D367" s="25">
        <f>'FY07 PU'!D17</f>
        <v>0</v>
      </c>
      <c r="E367" s="17">
        <v>236.53</v>
      </c>
      <c r="F367" s="32">
        <v>219.92</v>
      </c>
      <c r="G367" s="32">
        <v>159.5</v>
      </c>
      <c r="H367" s="17">
        <v>146.91</v>
      </c>
      <c r="I367" s="17">
        <v>124.23</v>
      </c>
      <c r="J367" s="17">
        <f t="shared" si="0"/>
        <v>0</v>
      </c>
      <c r="K367" s="17">
        <f t="shared" si="1"/>
        <v>0</v>
      </c>
      <c r="L367" s="17">
        <f t="shared" si="2"/>
        <v>0</v>
      </c>
      <c r="M367" s="17">
        <f t="shared" si="3"/>
        <v>0</v>
      </c>
      <c r="N367" s="17">
        <f t="shared" si="4"/>
        <v>0</v>
      </c>
      <c r="O367" s="32"/>
    </row>
    <row r="368" spans="1:15" x14ac:dyDescent="0.2">
      <c r="A368" s="5">
        <v>13</v>
      </c>
      <c r="B368" s="5">
        <v>1</v>
      </c>
      <c r="C368" s="6" t="s">
        <v>138</v>
      </c>
      <c r="D368" s="25">
        <f>'FY07 PU'!D18</f>
        <v>0</v>
      </c>
      <c r="E368" s="17">
        <v>84.33</v>
      </c>
      <c r="F368" s="32">
        <v>18.39</v>
      </c>
      <c r="G368" s="32">
        <v>0</v>
      </c>
      <c r="H368" s="17">
        <v>0</v>
      </c>
      <c r="I368" s="17">
        <v>0</v>
      </c>
      <c r="J368" s="17">
        <f t="shared" si="0"/>
        <v>0</v>
      </c>
      <c r="K368" s="17">
        <f t="shared" si="1"/>
        <v>0</v>
      </c>
      <c r="L368" s="17">
        <f t="shared" si="2"/>
        <v>0</v>
      </c>
      <c r="M368" s="17">
        <f t="shared" si="3"/>
        <v>0</v>
      </c>
      <c r="N368" s="17">
        <f t="shared" si="4"/>
        <v>0</v>
      </c>
      <c r="O368" s="32"/>
    </row>
    <row r="369" spans="1:15" x14ac:dyDescent="0.2">
      <c r="A369" s="5">
        <v>14</v>
      </c>
      <c r="B369" s="5">
        <v>1</v>
      </c>
      <c r="C369" s="6" t="s">
        <v>139</v>
      </c>
      <c r="D369" s="25">
        <f>'FY07 PU'!D19</f>
        <v>0</v>
      </c>
      <c r="E369" s="17">
        <v>62.1</v>
      </c>
      <c r="F369" s="32">
        <v>0.95</v>
      </c>
      <c r="G369" s="32">
        <v>0</v>
      </c>
      <c r="H369" s="17">
        <v>0</v>
      </c>
      <c r="I369" s="17">
        <v>0</v>
      </c>
      <c r="J369" s="17">
        <f t="shared" si="0"/>
        <v>0</v>
      </c>
      <c r="K369" s="17">
        <f t="shared" si="1"/>
        <v>0</v>
      </c>
      <c r="L369" s="17">
        <f t="shared" si="2"/>
        <v>0</v>
      </c>
      <c r="M369" s="17">
        <f t="shared" si="3"/>
        <v>0</v>
      </c>
      <c r="N369" s="17">
        <f t="shared" si="4"/>
        <v>0</v>
      </c>
      <c r="O369" s="32"/>
    </row>
    <row r="370" spans="1:15" x14ac:dyDescent="0.2">
      <c r="A370" s="5">
        <v>15</v>
      </c>
      <c r="B370" s="5">
        <v>1</v>
      </c>
      <c r="C370" s="6" t="s">
        <v>140</v>
      </c>
      <c r="D370" s="25">
        <f>'FY07 PU'!D20</f>
        <v>0</v>
      </c>
      <c r="E370" s="17">
        <v>154.66999999999999</v>
      </c>
      <c r="F370" s="32">
        <v>108.49</v>
      </c>
      <c r="G370" s="32">
        <v>65.38</v>
      </c>
      <c r="H370" s="17">
        <v>2.4300000000000002</v>
      </c>
      <c r="I370" s="17">
        <v>0</v>
      </c>
      <c r="J370" s="17">
        <f t="shared" si="0"/>
        <v>0</v>
      </c>
      <c r="K370" s="17">
        <f t="shared" si="1"/>
        <v>0</v>
      </c>
      <c r="L370" s="17">
        <f t="shared" si="2"/>
        <v>0</v>
      </c>
      <c r="M370" s="17">
        <f t="shared" si="3"/>
        <v>0</v>
      </c>
      <c r="N370" s="17">
        <f t="shared" si="4"/>
        <v>0</v>
      </c>
      <c r="O370" s="32"/>
    </row>
    <row r="371" spans="1:15" x14ac:dyDescent="0.2">
      <c r="A371" s="5">
        <v>16</v>
      </c>
      <c r="B371" s="5">
        <v>1</v>
      </c>
      <c r="C371" s="6" t="s">
        <v>141</v>
      </c>
      <c r="D371" s="25">
        <f>'FY07 PU'!D21</f>
        <v>0</v>
      </c>
      <c r="E371" s="17">
        <v>0</v>
      </c>
      <c r="F371" s="32">
        <v>0</v>
      </c>
      <c r="G371" s="32">
        <v>0</v>
      </c>
      <c r="H371" s="17">
        <v>0</v>
      </c>
      <c r="I371" s="17">
        <v>0</v>
      </c>
      <c r="J371" s="17">
        <f t="shared" si="0"/>
        <v>0</v>
      </c>
      <c r="K371" s="17">
        <f t="shared" si="1"/>
        <v>0</v>
      </c>
      <c r="L371" s="17">
        <f t="shared" si="2"/>
        <v>0</v>
      </c>
      <c r="M371" s="17">
        <f t="shared" si="3"/>
        <v>0</v>
      </c>
      <c r="N371" s="17">
        <f t="shared" si="4"/>
        <v>0</v>
      </c>
      <c r="O371" s="32"/>
    </row>
    <row r="372" spans="1:15" x14ac:dyDescent="0.2">
      <c r="A372" s="5">
        <v>22</v>
      </c>
      <c r="B372" s="5">
        <v>1</v>
      </c>
      <c r="C372" s="6" t="s">
        <v>142</v>
      </c>
      <c r="D372" s="25">
        <f>'FY07 PU'!D22</f>
        <v>0</v>
      </c>
      <c r="E372" s="17">
        <v>117.1</v>
      </c>
      <c r="F372" s="32">
        <v>87.32</v>
      </c>
      <c r="G372" s="32">
        <v>44.46</v>
      </c>
      <c r="H372" s="17">
        <v>22.66</v>
      </c>
      <c r="I372" s="17">
        <v>15.15</v>
      </c>
      <c r="J372" s="17">
        <f t="shared" si="0"/>
        <v>0</v>
      </c>
      <c r="K372" s="17">
        <f t="shared" si="1"/>
        <v>0</v>
      </c>
      <c r="L372" s="17">
        <f t="shared" si="2"/>
        <v>0</v>
      </c>
      <c r="M372" s="17">
        <f t="shared" si="3"/>
        <v>0</v>
      </c>
      <c r="N372" s="17">
        <f t="shared" si="4"/>
        <v>0</v>
      </c>
      <c r="O372" s="32"/>
    </row>
    <row r="373" spans="1:15" x14ac:dyDescent="0.2">
      <c r="A373" s="5">
        <v>23</v>
      </c>
      <c r="B373" s="5">
        <v>1</v>
      </c>
      <c r="C373" s="6" t="s">
        <v>143</v>
      </c>
      <c r="D373" s="25">
        <f>'FY07 PU'!D23</f>
        <v>0</v>
      </c>
      <c r="E373" s="17">
        <v>0</v>
      </c>
      <c r="F373" s="32">
        <v>0</v>
      </c>
      <c r="G373" s="32">
        <v>211.07</v>
      </c>
      <c r="H373" s="17">
        <v>160.69</v>
      </c>
      <c r="I373" s="17">
        <v>132.04</v>
      </c>
      <c r="J373" s="17">
        <f t="shared" si="0"/>
        <v>0</v>
      </c>
      <c r="K373" s="17">
        <f t="shared" si="1"/>
        <v>0</v>
      </c>
      <c r="L373" s="17">
        <f t="shared" si="2"/>
        <v>0</v>
      </c>
      <c r="M373" s="17">
        <f t="shared" si="3"/>
        <v>0</v>
      </c>
      <c r="N373" s="17">
        <f t="shared" si="4"/>
        <v>0</v>
      </c>
      <c r="O373" s="32"/>
    </row>
    <row r="374" spans="1:15" x14ac:dyDescent="0.2">
      <c r="A374" s="5">
        <v>25</v>
      </c>
      <c r="B374" s="5">
        <v>1</v>
      </c>
      <c r="C374" s="6" t="s">
        <v>144</v>
      </c>
      <c r="D374" s="25">
        <f>'FY07 PU'!D24</f>
        <v>0</v>
      </c>
      <c r="E374" s="17">
        <v>0</v>
      </c>
      <c r="F374" s="32">
        <v>0</v>
      </c>
      <c r="G374" s="32">
        <v>0</v>
      </c>
      <c r="H374" s="17">
        <v>0</v>
      </c>
      <c r="I374" s="17">
        <v>0</v>
      </c>
      <c r="J374" s="17">
        <f t="shared" si="0"/>
        <v>0</v>
      </c>
      <c r="K374" s="17">
        <f t="shared" si="1"/>
        <v>0</v>
      </c>
      <c r="L374" s="17">
        <f t="shared" si="2"/>
        <v>0</v>
      </c>
      <c r="M374" s="17">
        <f t="shared" si="3"/>
        <v>0</v>
      </c>
      <c r="N374" s="17">
        <f t="shared" si="4"/>
        <v>0</v>
      </c>
      <c r="O374" s="32"/>
    </row>
    <row r="375" spans="1:15" x14ac:dyDescent="0.2">
      <c r="A375" s="5">
        <v>31</v>
      </c>
      <c r="B375" s="5">
        <v>1</v>
      </c>
      <c r="C375" s="6" t="s">
        <v>145</v>
      </c>
      <c r="D375" s="25">
        <f>'FY07 PU'!D25</f>
        <v>0</v>
      </c>
      <c r="E375" s="17">
        <v>247.97</v>
      </c>
      <c r="F375" s="32">
        <v>211.91</v>
      </c>
      <c r="G375" s="32">
        <v>165.95</v>
      </c>
      <c r="H375" s="17">
        <v>0</v>
      </c>
      <c r="I375" s="17">
        <v>0</v>
      </c>
      <c r="J375" s="17">
        <f t="shared" si="0"/>
        <v>0</v>
      </c>
      <c r="K375" s="17">
        <f t="shared" si="1"/>
        <v>0</v>
      </c>
      <c r="L375" s="17">
        <f t="shared" si="2"/>
        <v>0</v>
      </c>
      <c r="M375" s="17">
        <f t="shared" si="3"/>
        <v>0</v>
      </c>
      <c r="N375" s="17">
        <f t="shared" si="4"/>
        <v>0</v>
      </c>
      <c r="O375" s="32"/>
    </row>
    <row r="376" spans="1:15" x14ac:dyDescent="0.2">
      <c r="A376" s="5">
        <v>32</v>
      </c>
      <c r="B376" s="5">
        <v>1</v>
      </c>
      <c r="C376" s="6" t="s">
        <v>146</v>
      </c>
      <c r="D376" s="25">
        <f>'FY07 PU'!D26</f>
        <v>0</v>
      </c>
      <c r="E376" s="17">
        <v>0.66</v>
      </c>
      <c r="F376" s="32">
        <v>0.56000000000000005</v>
      </c>
      <c r="G376" s="32">
        <v>0.47</v>
      </c>
      <c r="H376" s="17">
        <v>0.42</v>
      </c>
      <c r="I376" s="17">
        <v>0.39</v>
      </c>
      <c r="J376" s="17">
        <f t="shared" si="0"/>
        <v>0</v>
      </c>
      <c r="K376" s="17">
        <f t="shared" si="1"/>
        <v>0</v>
      </c>
      <c r="L376" s="17">
        <f t="shared" si="2"/>
        <v>0</v>
      </c>
      <c r="M376" s="17">
        <f t="shared" si="3"/>
        <v>0</v>
      </c>
      <c r="N376" s="17">
        <f t="shared" si="4"/>
        <v>0</v>
      </c>
      <c r="O376" s="32"/>
    </row>
    <row r="377" spans="1:15" x14ac:dyDescent="0.2">
      <c r="A377" s="5">
        <v>36</v>
      </c>
      <c r="B377" s="5">
        <v>1</v>
      </c>
      <c r="C377" s="6" t="s">
        <v>147</v>
      </c>
      <c r="D377" s="25">
        <f>'FY07 PU'!D27</f>
        <v>0</v>
      </c>
      <c r="E377" s="17">
        <v>38.04</v>
      </c>
      <c r="F377" s="32">
        <v>36.18</v>
      </c>
      <c r="G377" s="32">
        <v>33.42</v>
      </c>
      <c r="H377" s="17">
        <v>31.31</v>
      </c>
      <c r="I377" s="17">
        <v>0</v>
      </c>
      <c r="J377" s="17">
        <f t="shared" si="0"/>
        <v>0</v>
      </c>
      <c r="K377" s="17">
        <f t="shared" si="1"/>
        <v>0</v>
      </c>
      <c r="L377" s="17">
        <f t="shared" si="2"/>
        <v>0</v>
      </c>
      <c r="M377" s="17">
        <f t="shared" si="3"/>
        <v>0</v>
      </c>
      <c r="N377" s="17">
        <f t="shared" si="4"/>
        <v>0</v>
      </c>
      <c r="O377" s="32"/>
    </row>
    <row r="378" spans="1:15" x14ac:dyDescent="0.2">
      <c r="A378" s="5">
        <v>38</v>
      </c>
      <c r="B378" s="5">
        <v>1</v>
      </c>
      <c r="C378" s="6" t="s">
        <v>148</v>
      </c>
      <c r="D378" s="25">
        <f>'FY07 PU'!D28</f>
        <v>0</v>
      </c>
      <c r="E378" s="17">
        <v>1291.6300000000001</v>
      </c>
      <c r="F378" s="32">
        <v>1291.83</v>
      </c>
      <c r="G378" s="32">
        <v>1291.6500000000001</v>
      </c>
      <c r="H378" s="17">
        <v>1291.7</v>
      </c>
      <c r="I378" s="17">
        <v>1291.68</v>
      </c>
      <c r="J378" s="17">
        <f t="shared" si="0"/>
        <v>0</v>
      </c>
      <c r="K378" s="17">
        <f t="shared" si="1"/>
        <v>0</v>
      </c>
      <c r="L378" s="17">
        <f t="shared" si="2"/>
        <v>0</v>
      </c>
      <c r="M378" s="17">
        <f t="shared" si="3"/>
        <v>0</v>
      </c>
      <c r="N378" s="17">
        <f t="shared" si="4"/>
        <v>0</v>
      </c>
      <c r="O378" s="32"/>
    </row>
    <row r="379" spans="1:15" x14ac:dyDescent="0.2">
      <c r="A379" s="5">
        <v>47</v>
      </c>
      <c r="B379" s="5">
        <v>1</v>
      </c>
      <c r="C379" s="6" t="s">
        <v>149</v>
      </c>
      <c r="D379" s="25">
        <f>'FY07 PU'!D29</f>
        <v>0</v>
      </c>
      <c r="E379" s="17">
        <v>0</v>
      </c>
      <c r="F379" s="32">
        <v>0</v>
      </c>
      <c r="G379" s="32">
        <v>0</v>
      </c>
      <c r="H379" s="17">
        <v>0</v>
      </c>
      <c r="I379" s="17">
        <v>0</v>
      </c>
      <c r="J379" s="17">
        <f t="shared" si="0"/>
        <v>0</v>
      </c>
      <c r="K379" s="17">
        <f t="shared" si="1"/>
        <v>0</v>
      </c>
      <c r="L379" s="17">
        <f t="shared" si="2"/>
        <v>0</v>
      </c>
      <c r="M379" s="17">
        <f t="shared" si="3"/>
        <v>0</v>
      </c>
      <c r="N379" s="17">
        <f t="shared" si="4"/>
        <v>0</v>
      </c>
      <c r="O379" s="32"/>
    </row>
    <row r="380" spans="1:15" x14ac:dyDescent="0.2">
      <c r="A380" s="5">
        <v>51</v>
      </c>
      <c r="B380" s="5">
        <v>1</v>
      </c>
      <c r="C380" s="6" t="s">
        <v>150</v>
      </c>
      <c r="D380" s="25">
        <f>'FY07 PU'!D30</f>
        <v>0</v>
      </c>
      <c r="E380" s="17">
        <v>131.15</v>
      </c>
      <c r="F380" s="32">
        <v>115.69</v>
      </c>
      <c r="G380" s="32">
        <v>102.74</v>
      </c>
      <c r="H380" s="17">
        <v>101.55</v>
      </c>
      <c r="I380" s="17">
        <v>96.76</v>
      </c>
      <c r="J380" s="17">
        <f t="shared" si="0"/>
        <v>0</v>
      </c>
      <c r="K380" s="17">
        <f t="shared" si="1"/>
        <v>0</v>
      </c>
      <c r="L380" s="17">
        <f t="shared" si="2"/>
        <v>0</v>
      </c>
      <c r="M380" s="17">
        <f t="shared" si="3"/>
        <v>0</v>
      </c>
      <c r="N380" s="17">
        <f t="shared" si="4"/>
        <v>0</v>
      </c>
      <c r="O380" s="32"/>
    </row>
    <row r="381" spans="1:15" x14ac:dyDescent="0.2">
      <c r="A381" s="5">
        <v>62</v>
      </c>
      <c r="B381" s="5">
        <v>1</v>
      </c>
      <c r="C381" s="6" t="s">
        <v>151</v>
      </c>
      <c r="D381" s="25">
        <f>'FY07 PU'!D31</f>
        <v>0</v>
      </c>
      <c r="E381" s="17">
        <v>387.52</v>
      </c>
      <c r="F381" s="32">
        <v>487.96</v>
      </c>
      <c r="G381" s="32">
        <v>435.95</v>
      </c>
      <c r="H381" s="17">
        <v>429.15</v>
      </c>
      <c r="I381" s="17">
        <v>409.43</v>
      </c>
      <c r="J381" s="17">
        <f t="shared" si="0"/>
        <v>0</v>
      </c>
      <c r="K381" s="17">
        <f t="shared" si="1"/>
        <v>0</v>
      </c>
      <c r="L381" s="17">
        <f t="shared" si="2"/>
        <v>0</v>
      </c>
      <c r="M381" s="17">
        <f t="shared" si="3"/>
        <v>0</v>
      </c>
      <c r="N381" s="17">
        <f t="shared" si="4"/>
        <v>0</v>
      </c>
      <c r="O381" s="32"/>
    </row>
    <row r="382" spans="1:15" x14ac:dyDescent="0.2">
      <c r="A382" s="5">
        <v>75</v>
      </c>
      <c r="B382" s="5">
        <v>1</v>
      </c>
      <c r="C382" s="6" t="s">
        <v>152</v>
      </c>
      <c r="D382" s="25">
        <f>'FY07 PU'!D32</f>
        <v>0</v>
      </c>
      <c r="E382" s="17">
        <v>0</v>
      </c>
      <c r="F382" s="32">
        <v>0</v>
      </c>
      <c r="G382" s="32">
        <v>0</v>
      </c>
      <c r="H382" s="17">
        <v>0</v>
      </c>
      <c r="I382" s="17">
        <v>0</v>
      </c>
      <c r="J382" s="17">
        <f t="shared" si="0"/>
        <v>0</v>
      </c>
      <c r="K382" s="17">
        <f t="shared" si="1"/>
        <v>0</v>
      </c>
      <c r="L382" s="17">
        <f t="shared" si="2"/>
        <v>0</v>
      </c>
      <c r="M382" s="17">
        <f t="shared" si="3"/>
        <v>0</v>
      </c>
      <c r="N382" s="17">
        <f t="shared" si="4"/>
        <v>0</v>
      </c>
      <c r="O382" s="32"/>
    </row>
    <row r="383" spans="1:15" x14ac:dyDescent="0.2">
      <c r="A383" s="5">
        <v>77</v>
      </c>
      <c r="B383" s="5">
        <v>1</v>
      </c>
      <c r="C383" s="6" t="s">
        <v>153</v>
      </c>
      <c r="D383" s="25">
        <f>'FY07 PU'!D33</f>
        <v>0</v>
      </c>
      <c r="E383" s="17">
        <v>56.94</v>
      </c>
      <c r="F383" s="32">
        <v>23.2</v>
      </c>
      <c r="G383" s="32">
        <v>0</v>
      </c>
      <c r="H383" s="17">
        <v>0</v>
      </c>
      <c r="I383" s="17">
        <v>0</v>
      </c>
      <c r="J383" s="17">
        <f t="shared" si="0"/>
        <v>0</v>
      </c>
      <c r="K383" s="17">
        <f t="shared" si="1"/>
        <v>0</v>
      </c>
      <c r="L383" s="17">
        <f t="shared" si="2"/>
        <v>0</v>
      </c>
      <c r="M383" s="17">
        <f t="shared" si="3"/>
        <v>0</v>
      </c>
      <c r="N383" s="17">
        <f t="shared" si="4"/>
        <v>0</v>
      </c>
      <c r="O383" s="32"/>
    </row>
    <row r="384" spans="1:15" x14ac:dyDescent="0.2">
      <c r="A384" s="5">
        <v>81</v>
      </c>
      <c r="B384" s="5">
        <v>1</v>
      </c>
      <c r="C384" s="6" t="s">
        <v>154</v>
      </c>
      <c r="D384" s="25">
        <f>'FY07 PU'!D34</f>
        <v>0</v>
      </c>
      <c r="E384" s="17">
        <v>133.22999999999999</v>
      </c>
      <c r="F384" s="32">
        <v>301.26</v>
      </c>
      <c r="G384" s="32">
        <v>333.44</v>
      </c>
      <c r="H384" s="17">
        <v>231.41</v>
      </c>
      <c r="I384" s="17">
        <v>103.64</v>
      </c>
      <c r="J384" s="17">
        <f t="shared" si="0"/>
        <v>0</v>
      </c>
      <c r="K384" s="17">
        <f t="shared" si="1"/>
        <v>0</v>
      </c>
      <c r="L384" s="17">
        <f t="shared" si="2"/>
        <v>0</v>
      </c>
      <c r="M384" s="17">
        <f t="shared" si="3"/>
        <v>0</v>
      </c>
      <c r="N384" s="17">
        <f t="shared" si="4"/>
        <v>0</v>
      </c>
      <c r="O384" s="32"/>
    </row>
    <row r="385" spans="1:15" x14ac:dyDescent="0.2">
      <c r="A385" s="5">
        <v>84</v>
      </c>
      <c r="B385" s="5">
        <v>1</v>
      </c>
      <c r="C385" s="6" t="s">
        <v>155</v>
      </c>
      <c r="D385" s="25">
        <f>'FY07 PU'!D35</f>
        <v>0</v>
      </c>
      <c r="E385" s="17">
        <v>0</v>
      </c>
      <c r="F385" s="32">
        <v>0</v>
      </c>
      <c r="G385" s="32">
        <v>0</v>
      </c>
      <c r="H385" s="17">
        <v>0</v>
      </c>
      <c r="I385" s="17">
        <v>0</v>
      </c>
      <c r="J385" s="17">
        <f t="shared" si="0"/>
        <v>0</v>
      </c>
      <c r="K385" s="17">
        <f t="shared" si="1"/>
        <v>0</v>
      </c>
      <c r="L385" s="17">
        <f t="shared" si="2"/>
        <v>0</v>
      </c>
      <c r="M385" s="17">
        <f t="shared" si="3"/>
        <v>0</v>
      </c>
      <c r="N385" s="17">
        <f t="shared" si="4"/>
        <v>0</v>
      </c>
      <c r="O385" s="32"/>
    </row>
    <row r="386" spans="1:15" x14ac:dyDescent="0.2">
      <c r="A386" s="5">
        <v>85</v>
      </c>
      <c r="B386" s="5">
        <v>1</v>
      </c>
      <c r="C386" s="6" t="s">
        <v>156</v>
      </c>
      <c r="D386" s="25">
        <f>'FY07 PU'!D36</f>
        <v>0</v>
      </c>
      <c r="E386" s="17">
        <v>435.23</v>
      </c>
      <c r="F386" s="32">
        <v>407.7</v>
      </c>
      <c r="G386" s="32">
        <v>378.78</v>
      </c>
      <c r="H386" s="17">
        <v>369.6</v>
      </c>
      <c r="I386" s="17">
        <v>360.31</v>
      </c>
      <c r="J386" s="17">
        <f t="shared" si="0"/>
        <v>0</v>
      </c>
      <c r="K386" s="17">
        <f t="shared" si="1"/>
        <v>0</v>
      </c>
      <c r="L386" s="17">
        <f t="shared" si="2"/>
        <v>0</v>
      </c>
      <c r="M386" s="17">
        <f t="shared" si="3"/>
        <v>0</v>
      </c>
      <c r="N386" s="17">
        <f t="shared" si="4"/>
        <v>0</v>
      </c>
      <c r="O386" s="32"/>
    </row>
    <row r="387" spans="1:15" x14ac:dyDescent="0.2">
      <c r="A387" s="5">
        <v>88</v>
      </c>
      <c r="B387" s="5">
        <v>1</v>
      </c>
      <c r="C387" s="6" t="s">
        <v>157</v>
      </c>
      <c r="D387" s="25">
        <f>'FY07 PU'!D37</f>
        <v>0</v>
      </c>
      <c r="E387" s="17">
        <v>130.11000000000001</v>
      </c>
      <c r="F387" s="32">
        <v>90.7</v>
      </c>
      <c r="G387" s="32">
        <v>88.97</v>
      </c>
      <c r="H387" s="17">
        <v>45.4</v>
      </c>
      <c r="I387" s="17">
        <v>4.83</v>
      </c>
      <c r="J387" s="17">
        <f t="shared" si="0"/>
        <v>0</v>
      </c>
      <c r="K387" s="17">
        <f t="shared" si="1"/>
        <v>0</v>
      </c>
      <c r="L387" s="17">
        <f t="shared" si="2"/>
        <v>0</v>
      </c>
      <c r="M387" s="17">
        <f t="shared" si="3"/>
        <v>0</v>
      </c>
      <c r="N387" s="17">
        <f t="shared" si="4"/>
        <v>0</v>
      </c>
      <c r="O387" s="32"/>
    </row>
    <row r="388" spans="1:15" x14ac:dyDescent="0.2">
      <c r="A388" s="5">
        <v>91</v>
      </c>
      <c r="B388" s="5">
        <v>1</v>
      </c>
      <c r="C388" s="6" t="s">
        <v>158</v>
      </c>
      <c r="D388" s="25">
        <f>'FY07 PU'!D38</f>
        <v>0</v>
      </c>
      <c r="E388" s="17">
        <v>122.11</v>
      </c>
      <c r="F388" s="32">
        <v>110.21</v>
      </c>
      <c r="G388" s="32">
        <v>94.64</v>
      </c>
      <c r="H388" s="17">
        <v>83.1</v>
      </c>
      <c r="I388" s="17">
        <v>75.099999999999994</v>
      </c>
      <c r="J388" s="17">
        <f t="shared" si="0"/>
        <v>0</v>
      </c>
      <c r="K388" s="17">
        <f t="shared" si="1"/>
        <v>0</v>
      </c>
      <c r="L388" s="17">
        <f t="shared" si="2"/>
        <v>0</v>
      </c>
      <c r="M388" s="17">
        <f t="shared" si="3"/>
        <v>0</v>
      </c>
      <c r="N388" s="17">
        <f t="shared" si="4"/>
        <v>0</v>
      </c>
      <c r="O388" s="32"/>
    </row>
    <row r="389" spans="1:15" x14ac:dyDescent="0.2">
      <c r="A389" s="5">
        <v>93</v>
      </c>
      <c r="B389" s="5">
        <v>1</v>
      </c>
      <c r="C389" s="6" t="s">
        <v>159</v>
      </c>
      <c r="D389" s="25">
        <f>'FY07 PU'!D39</f>
        <v>0</v>
      </c>
      <c r="E389" s="17">
        <v>260.14</v>
      </c>
      <c r="F389" s="32">
        <v>232.02</v>
      </c>
      <c r="G389" s="32">
        <v>185.87</v>
      </c>
      <c r="H389" s="17">
        <v>163.76</v>
      </c>
      <c r="I389" s="17">
        <v>146.55000000000001</v>
      </c>
      <c r="J389" s="17">
        <f t="shared" si="0"/>
        <v>0</v>
      </c>
      <c r="K389" s="17">
        <f t="shared" si="1"/>
        <v>0</v>
      </c>
      <c r="L389" s="17">
        <f t="shared" si="2"/>
        <v>0</v>
      </c>
      <c r="M389" s="17">
        <f t="shared" si="3"/>
        <v>0</v>
      </c>
      <c r="N389" s="17">
        <f t="shared" si="4"/>
        <v>0</v>
      </c>
      <c r="O389" s="32"/>
    </row>
    <row r="390" spans="1:15" x14ac:dyDescent="0.2">
      <c r="A390" s="5">
        <v>94</v>
      </c>
      <c r="B390" s="5">
        <v>1</v>
      </c>
      <c r="C390" s="6" t="s">
        <v>160</v>
      </c>
      <c r="D390" s="25">
        <f>'FY07 PU'!D40</f>
        <v>0</v>
      </c>
      <c r="E390" s="17">
        <v>48.63</v>
      </c>
      <c r="F390" s="32">
        <v>44.31</v>
      </c>
      <c r="G390" s="32">
        <v>36.049999999999997</v>
      </c>
      <c r="H390" s="17">
        <v>33.090000000000003</v>
      </c>
      <c r="I390" s="17">
        <v>29.81</v>
      </c>
      <c r="J390" s="17">
        <f t="shared" si="0"/>
        <v>0</v>
      </c>
      <c r="K390" s="17">
        <f t="shared" si="1"/>
        <v>0</v>
      </c>
      <c r="L390" s="17">
        <f t="shared" si="2"/>
        <v>0</v>
      </c>
      <c r="M390" s="17">
        <f t="shared" si="3"/>
        <v>0</v>
      </c>
      <c r="N390" s="17">
        <f t="shared" si="4"/>
        <v>0</v>
      </c>
      <c r="O390" s="32"/>
    </row>
    <row r="391" spans="1:15" x14ac:dyDescent="0.2">
      <c r="A391" s="5">
        <v>95</v>
      </c>
      <c r="B391" s="5">
        <v>1</v>
      </c>
      <c r="C391" s="6" t="s">
        <v>161</v>
      </c>
      <c r="D391" s="25">
        <f>'FY07 PU'!D41</f>
        <v>0</v>
      </c>
      <c r="E391" s="17">
        <v>0</v>
      </c>
      <c r="F391" s="32">
        <v>0</v>
      </c>
      <c r="G391" s="32">
        <v>0</v>
      </c>
      <c r="H391" s="17">
        <v>0</v>
      </c>
      <c r="I391" s="17">
        <v>0</v>
      </c>
      <c r="J391" s="17">
        <f t="shared" si="0"/>
        <v>0</v>
      </c>
      <c r="K391" s="17">
        <f t="shared" si="1"/>
        <v>0</v>
      </c>
      <c r="L391" s="17">
        <f t="shared" si="2"/>
        <v>0</v>
      </c>
      <c r="M391" s="17">
        <f t="shared" si="3"/>
        <v>0</v>
      </c>
      <c r="N391" s="17">
        <f t="shared" si="4"/>
        <v>0</v>
      </c>
      <c r="O391" s="32"/>
    </row>
    <row r="392" spans="1:15" x14ac:dyDescent="0.2">
      <c r="A392" s="5">
        <v>97</v>
      </c>
      <c r="B392" s="5">
        <v>1</v>
      </c>
      <c r="C392" s="6" t="s">
        <v>162</v>
      </c>
      <c r="D392" s="25">
        <f>'FY07 PU'!D42</f>
        <v>0</v>
      </c>
      <c r="E392" s="17">
        <v>118.89</v>
      </c>
      <c r="F392" s="32">
        <v>101.47</v>
      </c>
      <c r="G392" s="32">
        <v>75.47</v>
      </c>
      <c r="H392" s="17">
        <v>58.29</v>
      </c>
      <c r="I392" s="17">
        <v>47.8</v>
      </c>
      <c r="J392" s="17">
        <f t="shared" si="0"/>
        <v>0</v>
      </c>
      <c r="K392" s="17">
        <f t="shared" si="1"/>
        <v>0</v>
      </c>
      <c r="L392" s="17">
        <f t="shared" si="2"/>
        <v>0</v>
      </c>
      <c r="M392" s="17">
        <f t="shared" si="3"/>
        <v>0</v>
      </c>
      <c r="N392" s="17">
        <f t="shared" si="4"/>
        <v>0</v>
      </c>
      <c r="O392" s="32"/>
    </row>
    <row r="393" spans="1:15" x14ac:dyDescent="0.2">
      <c r="A393" s="5">
        <v>99</v>
      </c>
      <c r="B393" s="5">
        <v>1</v>
      </c>
      <c r="C393" s="6" t="s">
        <v>163</v>
      </c>
      <c r="D393" s="25">
        <f>'FY07 PU'!D43</f>
        <v>0</v>
      </c>
      <c r="E393" s="17">
        <v>203.02</v>
      </c>
      <c r="F393" s="32">
        <v>0.45</v>
      </c>
      <c r="G393" s="32">
        <v>0.36</v>
      </c>
      <c r="H393" s="17">
        <v>0.31</v>
      </c>
      <c r="I393" s="17">
        <v>0.28000000000000003</v>
      </c>
      <c r="J393" s="17">
        <f t="shared" si="0"/>
        <v>0</v>
      </c>
      <c r="K393" s="17">
        <f t="shared" si="1"/>
        <v>0</v>
      </c>
      <c r="L393" s="17">
        <f t="shared" si="2"/>
        <v>0</v>
      </c>
      <c r="M393" s="17">
        <f t="shared" si="3"/>
        <v>0</v>
      </c>
      <c r="N393" s="17">
        <f t="shared" si="4"/>
        <v>0</v>
      </c>
      <c r="O393" s="32"/>
    </row>
    <row r="394" spans="1:15" x14ac:dyDescent="0.2">
      <c r="A394" s="5">
        <v>100</v>
      </c>
      <c r="B394" s="5">
        <v>1</v>
      </c>
      <c r="C394" s="6" t="s">
        <v>164</v>
      </c>
      <c r="D394" s="25">
        <f>'FY07 PU'!D44</f>
        <v>0</v>
      </c>
      <c r="E394" s="17">
        <v>0</v>
      </c>
      <c r="F394" s="32">
        <v>0</v>
      </c>
      <c r="G394" s="32">
        <v>150.76</v>
      </c>
      <c r="H394" s="17">
        <v>105.67</v>
      </c>
      <c r="I394" s="17">
        <v>84.24</v>
      </c>
      <c r="J394" s="17">
        <f t="shared" si="0"/>
        <v>0</v>
      </c>
      <c r="K394" s="17">
        <f t="shared" si="1"/>
        <v>0</v>
      </c>
      <c r="L394" s="17">
        <f t="shared" si="2"/>
        <v>0</v>
      </c>
      <c r="M394" s="17">
        <f t="shared" si="3"/>
        <v>0</v>
      </c>
      <c r="N394" s="17">
        <f t="shared" si="4"/>
        <v>0</v>
      </c>
      <c r="O394" s="32"/>
    </row>
    <row r="395" spans="1:15" x14ac:dyDescent="0.2">
      <c r="A395" s="5">
        <v>108</v>
      </c>
      <c r="B395" s="5">
        <v>1</v>
      </c>
      <c r="C395" s="6" t="s">
        <v>165</v>
      </c>
      <c r="D395" s="25">
        <f>'FY07 PU'!D45</f>
        <v>0</v>
      </c>
      <c r="E395" s="17">
        <v>118.99</v>
      </c>
      <c r="F395" s="32">
        <v>99.8</v>
      </c>
      <c r="G395" s="32">
        <v>32.64</v>
      </c>
      <c r="H395" s="17">
        <v>0</v>
      </c>
      <c r="I395" s="17">
        <v>0</v>
      </c>
      <c r="J395" s="17">
        <f t="shared" si="0"/>
        <v>0</v>
      </c>
      <c r="K395" s="17">
        <f t="shared" si="1"/>
        <v>0</v>
      </c>
      <c r="L395" s="17">
        <f t="shared" si="2"/>
        <v>0</v>
      </c>
      <c r="M395" s="17">
        <f t="shared" si="3"/>
        <v>0</v>
      </c>
      <c r="N395" s="17">
        <f t="shared" si="4"/>
        <v>0</v>
      </c>
      <c r="O395" s="32"/>
    </row>
    <row r="396" spans="1:15" x14ac:dyDescent="0.2">
      <c r="A396" s="5">
        <v>110</v>
      </c>
      <c r="B396" s="5">
        <v>1</v>
      </c>
      <c r="C396" s="6" t="s">
        <v>166</v>
      </c>
      <c r="D396" s="25">
        <f>'FY07 PU'!D46</f>
        <v>0</v>
      </c>
      <c r="E396" s="17">
        <v>90.25</v>
      </c>
      <c r="F396" s="32">
        <v>31.12</v>
      </c>
      <c r="G396" s="32">
        <v>0</v>
      </c>
      <c r="H396" s="17">
        <v>0</v>
      </c>
      <c r="I396" s="17">
        <v>0</v>
      </c>
      <c r="J396" s="17">
        <f t="shared" si="0"/>
        <v>0</v>
      </c>
      <c r="K396" s="17">
        <f t="shared" si="1"/>
        <v>0</v>
      </c>
      <c r="L396" s="17">
        <f t="shared" si="2"/>
        <v>0</v>
      </c>
      <c r="M396" s="17">
        <f t="shared" si="3"/>
        <v>0</v>
      </c>
      <c r="N396" s="17">
        <f t="shared" si="4"/>
        <v>0</v>
      </c>
      <c r="O396" s="32"/>
    </row>
    <row r="397" spans="1:15" x14ac:dyDescent="0.2">
      <c r="A397" s="5">
        <v>111</v>
      </c>
      <c r="B397" s="5">
        <v>1</v>
      </c>
      <c r="C397" s="6" t="s">
        <v>167</v>
      </c>
      <c r="D397" s="25">
        <f>'FY07 PU'!D47</f>
        <v>0</v>
      </c>
      <c r="E397" s="17">
        <v>66.14</v>
      </c>
      <c r="F397" s="32">
        <v>53.47</v>
      </c>
      <c r="G397" s="32">
        <v>29.34</v>
      </c>
      <c r="H397" s="17">
        <v>26.18</v>
      </c>
      <c r="I397" s="17">
        <v>28.01</v>
      </c>
      <c r="J397" s="17">
        <f t="shared" si="0"/>
        <v>0</v>
      </c>
      <c r="K397" s="17">
        <f t="shared" si="1"/>
        <v>0</v>
      </c>
      <c r="L397" s="17">
        <f t="shared" si="2"/>
        <v>0</v>
      </c>
      <c r="M397" s="17">
        <f t="shared" si="3"/>
        <v>0</v>
      </c>
      <c r="N397" s="17">
        <f t="shared" si="4"/>
        <v>0</v>
      </c>
      <c r="O397" s="32"/>
    </row>
    <row r="398" spans="1:15" x14ac:dyDescent="0.2">
      <c r="A398" s="5">
        <v>112</v>
      </c>
      <c r="B398" s="5">
        <v>1</v>
      </c>
      <c r="C398" s="6" t="s">
        <v>168</v>
      </c>
      <c r="D398" s="25">
        <f>'FY07 PU'!D48</f>
        <v>0</v>
      </c>
      <c r="E398" s="17">
        <v>68.66</v>
      </c>
      <c r="F398" s="32">
        <v>21.58</v>
      </c>
      <c r="G398" s="32">
        <v>0</v>
      </c>
      <c r="H398" s="17">
        <v>0</v>
      </c>
      <c r="I398" s="17">
        <v>0</v>
      </c>
      <c r="J398" s="17">
        <f t="shared" si="0"/>
        <v>0</v>
      </c>
      <c r="K398" s="17">
        <f t="shared" si="1"/>
        <v>0</v>
      </c>
      <c r="L398" s="17">
        <f t="shared" si="2"/>
        <v>0</v>
      </c>
      <c r="M398" s="17">
        <f t="shared" si="3"/>
        <v>0</v>
      </c>
      <c r="N398" s="17">
        <f t="shared" si="4"/>
        <v>0</v>
      </c>
      <c r="O398" s="32"/>
    </row>
    <row r="399" spans="1:15" x14ac:dyDescent="0.2">
      <c r="A399" s="5">
        <v>113</v>
      </c>
      <c r="B399" s="5">
        <v>1</v>
      </c>
      <c r="C399" s="6" t="s">
        <v>169</v>
      </c>
      <c r="D399" s="25">
        <f>'FY07 PU'!D49</f>
        <v>0</v>
      </c>
      <c r="E399" s="17">
        <v>0</v>
      </c>
      <c r="F399" s="32">
        <v>0</v>
      </c>
      <c r="G399" s="32">
        <v>0</v>
      </c>
      <c r="H399" s="17">
        <v>0</v>
      </c>
      <c r="I399" s="17">
        <v>0</v>
      </c>
      <c r="J399" s="17">
        <f t="shared" si="0"/>
        <v>0</v>
      </c>
      <c r="K399" s="17">
        <f t="shared" si="1"/>
        <v>0</v>
      </c>
      <c r="L399" s="17">
        <f t="shared" si="2"/>
        <v>0</v>
      </c>
      <c r="M399" s="17">
        <f t="shared" si="3"/>
        <v>0</v>
      </c>
      <c r="N399" s="17">
        <f t="shared" si="4"/>
        <v>0</v>
      </c>
      <c r="O399" s="32"/>
    </row>
    <row r="400" spans="1:15" x14ac:dyDescent="0.2">
      <c r="A400" s="5">
        <v>115</v>
      </c>
      <c r="B400" s="5">
        <v>1</v>
      </c>
      <c r="C400" s="6" t="s">
        <v>170</v>
      </c>
      <c r="D400" s="25">
        <f>'FY07 PU'!D50</f>
        <v>0</v>
      </c>
      <c r="E400" s="17">
        <v>0</v>
      </c>
      <c r="F400" s="32">
        <v>0</v>
      </c>
      <c r="G400" s="32">
        <v>0</v>
      </c>
      <c r="H400" s="17">
        <v>0</v>
      </c>
      <c r="I400" s="17">
        <v>0</v>
      </c>
      <c r="J400" s="17">
        <f t="shared" si="0"/>
        <v>0</v>
      </c>
      <c r="K400" s="17">
        <f t="shared" si="1"/>
        <v>0</v>
      </c>
      <c r="L400" s="17">
        <f t="shared" si="2"/>
        <v>0</v>
      </c>
      <c r="M400" s="17">
        <f t="shared" si="3"/>
        <v>0</v>
      </c>
      <c r="N400" s="17">
        <f t="shared" si="4"/>
        <v>0</v>
      </c>
      <c r="O400" s="32"/>
    </row>
    <row r="401" spans="1:15" x14ac:dyDescent="0.2">
      <c r="A401" s="5">
        <v>116</v>
      </c>
      <c r="B401" s="5">
        <v>1</v>
      </c>
      <c r="C401" s="6" t="s">
        <v>171</v>
      </c>
      <c r="D401" s="25">
        <f>'FY07 PU'!D51</f>
        <v>0</v>
      </c>
      <c r="E401" s="17">
        <v>0</v>
      </c>
      <c r="F401" s="32">
        <v>0</v>
      </c>
      <c r="G401" s="32">
        <v>0</v>
      </c>
      <c r="H401" s="17">
        <v>0</v>
      </c>
      <c r="I401" s="17">
        <v>0</v>
      </c>
      <c r="J401" s="17">
        <f t="shared" si="0"/>
        <v>0</v>
      </c>
      <c r="K401" s="17">
        <f t="shared" si="1"/>
        <v>0</v>
      </c>
      <c r="L401" s="17">
        <f t="shared" si="2"/>
        <v>0</v>
      </c>
      <c r="M401" s="17">
        <f t="shared" si="3"/>
        <v>0</v>
      </c>
      <c r="N401" s="17">
        <f t="shared" si="4"/>
        <v>0</v>
      </c>
      <c r="O401" s="32"/>
    </row>
    <row r="402" spans="1:15" x14ac:dyDescent="0.2">
      <c r="A402" s="5">
        <v>118</v>
      </c>
      <c r="B402" s="5">
        <v>1</v>
      </c>
      <c r="C402" s="6" t="s">
        <v>172</v>
      </c>
      <c r="D402" s="25">
        <f>'FY07 PU'!D52</f>
        <v>0</v>
      </c>
      <c r="E402" s="17">
        <v>0</v>
      </c>
      <c r="F402" s="32">
        <v>0</v>
      </c>
      <c r="G402" s="32">
        <v>0</v>
      </c>
      <c r="H402" s="17">
        <v>0</v>
      </c>
      <c r="I402" s="17">
        <v>0</v>
      </c>
      <c r="J402" s="17">
        <f t="shared" si="0"/>
        <v>0</v>
      </c>
      <c r="K402" s="17">
        <f t="shared" si="1"/>
        <v>0</v>
      </c>
      <c r="L402" s="17">
        <f t="shared" si="2"/>
        <v>0</v>
      </c>
      <c r="M402" s="17">
        <f t="shared" si="3"/>
        <v>0</v>
      </c>
      <c r="N402" s="17">
        <f t="shared" si="4"/>
        <v>0</v>
      </c>
      <c r="O402" s="32"/>
    </row>
    <row r="403" spans="1:15" x14ac:dyDescent="0.2">
      <c r="A403" s="5">
        <v>129</v>
      </c>
      <c r="B403" s="5">
        <v>1</v>
      </c>
      <c r="C403" s="6" t="s">
        <v>173</v>
      </c>
      <c r="D403" s="25">
        <f>'FY07 PU'!D53</f>
        <v>0</v>
      </c>
      <c r="E403" s="17">
        <v>336.91</v>
      </c>
      <c r="F403" s="32">
        <v>325.18</v>
      </c>
      <c r="G403" s="32">
        <v>310.89999999999998</v>
      </c>
      <c r="H403" s="17">
        <v>297.08</v>
      </c>
      <c r="I403" s="17">
        <v>280.42</v>
      </c>
      <c r="J403" s="17">
        <f t="shared" si="0"/>
        <v>0</v>
      </c>
      <c r="K403" s="17">
        <f t="shared" si="1"/>
        <v>0</v>
      </c>
      <c r="L403" s="17">
        <f t="shared" si="2"/>
        <v>0</v>
      </c>
      <c r="M403" s="17">
        <f t="shared" si="3"/>
        <v>0</v>
      </c>
      <c r="N403" s="17">
        <f t="shared" si="4"/>
        <v>0</v>
      </c>
      <c r="O403" s="32"/>
    </row>
    <row r="404" spans="1:15" x14ac:dyDescent="0.2">
      <c r="A404" s="5">
        <v>138</v>
      </c>
      <c r="B404" s="5">
        <v>1</v>
      </c>
      <c r="C404" s="6" t="s">
        <v>174</v>
      </c>
      <c r="D404" s="25">
        <f>'FY07 PU'!D54</f>
        <v>0</v>
      </c>
      <c r="E404" s="17">
        <v>0</v>
      </c>
      <c r="F404" s="32">
        <v>0</v>
      </c>
      <c r="G404" s="32">
        <v>0</v>
      </c>
      <c r="H404" s="17">
        <v>0</v>
      </c>
      <c r="I404" s="17">
        <v>0</v>
      </c>
      <c r="J404" s="17">
        <f t="shared" si="0"/>
        <v>0</v>
      </c>
      <c r="K404" s="17">
        <f t="shared" si="1"/>
        <v>0</v>
      </c>
      <c r="L404" s="17">
        <f t="shared" si="2"/>
        <v>0</v>
      </c>
      <c r="M404" s="17">
        <f t="shared" si="3"/>
        <v>0</v>
      </c>
      <c r="N404" s="17">
        <f t="shared" si="4"/>
        <v>0</v>
      </c>
      <c r="O404" s="32"/>
    </row>
    <row r="405" spans="1:15" x14ac:dyDescent="0.2">
      <c r="A405" s="5">
        <v>139</v>
      </c>
      <c r="B405" s="5">
        <v>1</v>
      </c>
      <c r="C405" s="6" t="s">
        <v>175</v>
      </c>
      <c r="D405" s="25">
        <f>'FY07 PU'!D55</f>
        <v>0</v>
      </c>
      <c r="E405" s="17">
        <v>0</v>
      </c>
      <c r="F405" s="32">
        <v>0</v>
      </c>
      <c r="G405" s="32">
        <v>0</v>
      </c>
      <c r="H405" s="17">
        <v>0</v>
      </c>
      <c r="I405" s="17">
        <v>0</v>
      </c>
      <c r="J405" s="17">
        <f t="shared" si="0"/>
        <v>0</v>
      </c>
      <c r="K405" s="17">
        <f t="shared" si="1"/>
        <v>0</v>
      </c>
      <c r="L405" s="17">
        <f t="shared" si="2"/>
        <v>0</v>
      </c>
      <c r="M405" s="17">
        <f t="shared" si="3"/>
        <v>0</v>
      </c>
      <c r="N405" s="17">
        <f t="shared" si="4"/>
        <v>0</v>
      </c>
      <c r="O405" s="32"/>
    </row>
    <row r="406" spans="1:15" x14ac:dyDescent="0.2">
      <c r="A406" s="5">
        <v>146</v>
      </c>
      <c r="B406" s="5">
        <v>1</v>
      </c>
      <c r="C406" s="6" t="s">
        <v>176</v>
      </c>
      <c r="D406" s="25">
        <f>'FY07 PU'!D56</f>
        <v>0</v>
      </c>
      <c r="E406" s="17">
        <v>640.72</v>
      </c>
      <c r="F406" s="32">
        <v>497.03</v>
      </c>
      <c r="G406" s="32">
        <v>432.21</v>
      </c>
      <c r="H406" s="17">
        <v>415.91</v>
      </c>
      <c r="I406" s="17">
        <v>401.38</v>
      </c>
      <c r="J406" s="17">
        <f t="shared" si="0"/>
        <v>0</v>
      </c>
      <c r="K406" s="17">
        <f t="shared" si="1"/>
        <v>0</v>
      </c>
      <c r="L406" s="17">
        <f t="shared" si="2"/>
        <v>0</v>
      </c>
      <c r="M406" s="17">
        <f t="shared" si="3"/>
        <v>0</v>
      </c>
      <c r="N406" s="17">
        <f t="shared" si="4"/>
        <v>0</v>
      </c>
      <c r="O406" s="32"/>
    </row>
    <row r="407" spans="1:15" x14ac:dyDescent="0.2">
      <c r="A407" s="5">
        <v>150</v>
      </c>
      <c r="B407" s="5">
        <v>1</v>
      </c>
      <c r="C407" s="6" t="s">
        <v>177</v>
      </c>
      <c r="D407" s="25">
        <f>'FY07 PU'!D57</f>
        <v>0</v>
      </c>
      <c r="E407" s="17">
        <v>341.87</v>
      </c>
      <c r="F407" s="32">
        <v>320.5</v>
      </c>
      <c r="G407" s="32">
        <v>286.66000000000003</v>
      </c>
      <c r="H407" s="17">
        <v>270.87</v>
      </c>
      <c r="I407" s="17">
        <v>257.97000000000003</v>
      </c>
      <c r="J407" s="17">
        <f t="shared" si="0"/>
        <v>0</v>
      </c>
      <c r="K407" s="17">
        <f t="shared" si="1"/>
        <v>0</v>
      </c>
      <c r="L407" s="17">
        <f t="shared" si="2"/>
        <v>0</v>
      </c>
      <c r="M407" s="17">
        <f t="shared" si="3"/>
        <v>0</v>
      </c>
      <c r="N407" s="17">
        <f t="shared" si="4"/>
        <v>0</v>
      </c>
      <c r="O407" s="32"/>
    </row>
    <row r="408" spans="1:15" x14ac:dyDescent="0.2">
      <c r="A408" s="5">
        <v>152</v>
      </c>
      <c r="B408" s="5">
        <v>1</v>
      </c>
      <c r="C408" s="6" t="s">
        <v>178</v>
      </c>
      <c r="D408" s="25">
        <f>'FY07 PU'!D58</f>
        <v>0</v>
      </c>
      <c r="E408" s="17">
        <v>20.94</v>
      </c>
      <c r="F408" s="32">
        <v>17.71</v>
      </c>
      <c r="G408" s="32">
        <v>16.02</v>
      </c>
      <c r="H408" s="17">
        <v>0</v>
      </c>
      <c r="I408" s="17">
        <v>0</v>
      </c>
      <c r="J408" s="17">
        <f t="shared" si="0"/>
        <v>0</v>
      </c>
      <c r="K408" s="17">
        <f t="shared" si="1"/>
        <v>0</v>
      </c>
      <c r="L408" s="17">
        <f t="shared" si="2"/>
        <v>0</v>
      </c>
      <c r="M408" s="17">
        <f t="shared" si="3"/>
        <v>0</v>
      </c>
      <c r="N408" s="17">
        <f t="shared" si="4"/>
        <v>0</v>
      </c>
      <c r="O408" s="32"/>
    </row>
    <row r="409" spans="1:15" x14ac:dyDescent="0.2">
      <c r="A409" s="5">
        <v>162</v>
      </c>
      <c r="B409" s="5">
        <v>1</v>
      </c>
      <c r="C409" s="6" t="s">
        <v>179</v>
      </c>
      <c r="D409" s="25">
        <f>'FY07 PU'!D59</f>
        <v>0</v>
      </c>
      <c r="E409" s="17">
        <v>0</v>
      </c>
      <c r="F409" s="32">
        <v>0</v>
      </c>
      <c r="G409" s="32">
        <v>0</v>
      </c>
      <c r="H409" s="17">
        <v>0</v>
      </c>
      <c r="I409" s="17">
        <v>0</v>
      </c>
      <c r="J409" s="17">
        <f t="shared" si="0"/>
        <v>0</v>
      </c>
      <c r="K409" s="17">
        <f t="shared" si="1"/>
        <v>0</v>
      </c>
      <c r="L409" s="17">
        <f t="shared" si="2"/>
        <v>0</v>
      </c>
      <c r="M409" s="17">
        <f t="shared" si="3"/>
        <v>0</v>
      </c>
      <c r="N409" s="17">
        <f t="shared" si="4"/>
        <v>0</v>
      </c>
      <c r="O409" s="32"/>
    </row>
    <row r="410" spans="1:15" x14ac:dyDescent="0.2">
      <c r="A410" s="5">
        <v>166</v>
      </c>
      <c r="B410" s="5">
        <v>1</v>
      </c>
      <c r="C410" s="6" t="s">
        <v>180</v>
      </c>
      <c r="D410" s="25">
        <f>'FY07 PU'!D60</f>
        <v>0</v>
      </c>
      <c r="E410" s="17">
        <v>0</v>
      </c>
      <c r="F410" s="32">
        <v>0</v>
      </c>
      <c r="G410" s="32">
        <v>0</v>
      </c>
      <c r="H410" s="17">
        <v>0</v>
      </c>
      <c r="I410" s="17">
        <v>0</v>
      </c>
      <c r="J410" s="17">
        <f t="shared" si="0"/>
        <v>0</v>
      </c>
      <c r="K410" s="17">
        <f t="shared" si="1"/>
        <v>0</v>
      </c>
      <c r="L410" s="17">
        <f t="shared" si="2"/>
        <v>0</v>
      </c>
      <c r="M410" s="17">
        <f t="shared" si="3"/>
        <v>0</v>
      </c>
      <c r="N410" s="17">
        <f t="shared" si="4"/>
        <v>0</v>
      </c>
      <c r="O410" s="32"/>
    </row>
    <row r="411" spans="1:15" x14ac:dyDescent="0.2">
      <c r="A411" s="5">
        <v>173</v>
      </c>
      <c r="B411" s="5">
        <v>1</v>
      </c>
      <c r="C411" s="6" t="s">
        <v>181</v>
      </c>
      <c r="D411" s="25">
        <f>'FY07 PU'!D61</f>
        <v>0</v>
      </c>
      <c r="E411" s="17">
        <v>379.74</v>
      </c>
      <c r="F411" s="32">
        <v>381.39</v>
      </c>
      <c r="G411" s="32">
        <v>513.73</v>
      </c>
      <c r="H411" s="17">
        <v>496.29</v>
      </c>
      <c r="I411" s="17">
        <v>462.85</v>
      </c>
      <c r="J411" s="17">
        <f t="shared" si="0"/>
        <v>0</v>
      </c>
      <c r="K411" s="17">
        <f t="shared" si="1"/>
        <v>0</v>
      </c>
      <c r="L411" s="17">
        <f t="shared" si="2"/>
        <v>0</v>
      </c>
      <c r="M411" s="17">
        <f t="shared" si="3"/>
        <v>0</v>
      </c>
      <c r="N411" s="17">
        <f t="shared" si="4"/>
        <v>0</v>
      </c>
      <c r="O411" s="32"/>
    </row>
    <row r="412" spans="1:15" x14ac:dyDescent="0.2">
      <c r="A412" s="5">
        <v>177</v>
      </c>
      <c r="B412" s="5">
        <v>1</v>
      </c>
      <c r="C412" s="6" t="s">
        <v>182</v>
      </c>
      <c r="D412" s="25">
        <f>'FY07 PU'!D62</f>
        <v>0</v>
      </c>
      <c r="E412" s="17">
        <v>240.36</v>
      </c>
      <c r="F412" s="32">
        <v>222.18</v>
      </c>
      <c r="G412" s="32">
        <v>430.53</v>
      </c>
      <c r="H412" s="17">
        <v>396.46</v>
      </c>
      <c r="I412" s="17">
        <v>380.57</v>
      </c>
      <c r="J412" s="17">
        <f t="shared" si="0"/>
        <v>0</v>
      </c>
      <c r="K412" s="17">
        <f t="shared" si="1"/>
        <v>0</v>
      </c>
      <c r="L412" s="17">
        <f t="shared" si="2"/>
        <v>0</v>
      </c>
      <c r="M412" s="17">
        <f t="shared" si="3"/>
        <v>0</v>
      </c>
      <c r="N412" s="17">
        <f t="shared" si="4"/>
        <v>0</v>
      </c>
      <c r="O412" s="32"/>
    </row>
    <row r="413" spans="1:15" x14ac:dyDescent="0.2">
      <c r="A413" s="5">
        <v>181</v>
      </c>
      <c r="B413" s="5">
        <v>1</v>
      </c>
      <c r="C413" s="6" t="s">
        <v>183</v>
      </c>
      <c r="D413" s="25">
        <f>'FY07 PU'!D63</f>
        <v>0</v>
      </c>
      <c r="E413" s="17">
        <v>50.85</v>
      </c>
      <c r="F413" s="32">
        <v>36.549999999999997</v>
      </c>
      <c r="G413" s="32">
        <v>8.83</v>
      </c>
      <c r="H413" s="17">
        <v>3.69</v>
      </c>
      <c r="I413" s="17">
        <v>5.0999999999999996</v>
      </c>
      <c r="J413" s="17">
        <f t="shared" si="0"/>
        <v>0</v>
      </c>
      <c r="K413" s="17">
        <f t="shared" si="1"/>
        <v>0</v>
      </c>
      <c r="L413" s="17">
        <f t="shared" si="2"/>
        <v>0</v>
      </c>
      <c r="M413" s="17">
        <f t="shared" si="3"/>
        <v>0</v>
      </c>
      <c r="N413" s="17">
        <f t="shared" si="4"/>
        <v>0</v>
      </c>
      <c r="O413" s="32"/>
    </row>
    <row r="414" spans="1:15" x14ac:dyDescent="0.2">
      <c r="A414" s="5">
        <v>182</v>
      </c>
      <c r="B414" s="5">
        <v>1</v>
      </c>
      <c r="C414" s="6" t="s">
        <v>184</v>
      </c>
      <c r="D414" s="25">
        <f>'FY07 PU'!D64</f>
        <v>0</v>
      </c>
      <c r="E414" s="17">
        <v>59.53</v>
      </c>
      <c r="F414" s="32">
        <v>14.75</v>
      </c>
      <c r="G414" s="32">
        <v>0</v>
      </c>
      <c r="H414" s="17">
        <v>0</v>
      </c>
      <c r="I414" s="17">
        <v>0</v>
      </c>
      <c r="J414" s="17">
        <f t="shared" si="0"/>
        <v>0</v>
      </c>
      <c r="K414" s="17">
        <f t="shared" si="1"/>
        <v>0</v>
      </c>
      <c r="L414" s="17">
        <f t="shared" si="2"/>
        <v>0</v>
      </c>
      <c r="M414" s="17">
        <f t="shared" si="3"/>
        <v>0</v>
      </c>
      <c r="N414" s="17">
        <f t="shared" si="4"/>
        <v>0</v>
      </c>
      <c r="O414" s="32"/>
    </row>
    <row r="415" spans="1:15" x14ac:dyDescent="0.2">
      <c r="A415" s="5">
        <v>186</v>
      </c>
      <c r="B415" s="5">
        <v>1</v>
      </c>
      <c r="C415" s="6" t="s">
        <v>185</v>
      </c>
      <c r="D415" s="25">
        <f>'FY07 PU'!D65</f>
        <v>0</v>
      </c>
      <c r="E415" s="17">
        <v>0</v>
      </c>
      <c r="F415" s="32">
        <v>0</v>
      </c>
      <c r="G415" s="32">
        <v>0</v>
      </c>
      <c r="H415" s="17">
        <v>0</v>
      </c>
      <c r="I415" s="17">
        <v>0</v>
      </c>
      <c r="J415" s="17">
        <f t="shared" si="0"/>
        <v>0</v>
      </c>
      <c r="K415" s="17">
        <f t="shared" si="1"/>
        <v>0</v>
      </c>
      <c r="L415" s="17">
        <f t="shared" si="2"/>
        <v>0</v>
      </c>
      <c r="M415" s="17">
        <f t="shared" si="3"/>
        <v>0</v>
      </c>
      <c r="N415" s="17">
        <f t="shared" si="4"/>
        <v>0</v>
      </c>
      <c r="O415" s="32"/>
    </row>
    <row r="416" spans="1:15" x14ac:dyDescent="0.2">
      <c r="A416" s="5">
        <v>191</v>
      </c>
      <c r="B416" s="5">
        <v>1</v>
      </c>
      <c r="C416" s="6" t="s">
        <v>186</v>
      </c>
      <c r="D416" s="25">
        <f>'FY07 PU'!D66</f>
        <v>0</v>
      </c>
      <c r="E416" s="17">
        <v>41.42</v>
      </c>
      <c r="F416" s="32">
        <v>0</v>
      </c>
      <c r="G416" s="32">
        <v>0</v>
      </c>
      <c r="H416" s="17">
        <v>0</v>
      </c>
      <c r="I416" s="17">
        <v>0</v>
      </c>
      <c r="J416" s="17">
        <f t="shared" si="0"/>
        <v>0</v>
      </c>
      <c r="K416" s="17">
        <f t="shared" si="1"/>
        <v>0</v>
      </c>
      <c r="L416" s="17">
        <f t="shared" si="2"/>
        <v>0</v>
      </c>
      <c r="M416" s="17">
        <f t="shared" si="3"/>
        <v>0</v>
      </c>
      <c r="N416" s="17">
        <f t="shared" si="4"/>
        <v>0</v>
      </c>
      <c r="O416" s="32"/>
    </row>
    <row r="417" spans="1:15" x14ac:dyDescent="0.2">
      <c r="A417" s="5">
        <v>192</v>
      </c>
      <c r="B417" s="5">
        <v>1</v>
      </c>
      <c r="C417" s="6" t="s">
        <v>187</v>
      </c>
      <c r="D417" s="25">
        <f>'FY07 PU'!D67</f>
        <v>0</v>
      </c>
      <c r="E417" s="17">
        <v>70.73</v>
      </c>
      <c r="F417" s="32">
        <v>55.72</v>
      </c>
      <c r="G417" s="32">
        <v>160.6</v>
      </c>
      <c r="H417" s="17">
        <v>157.33000000000001</v>
      </c>
      <c r="I417" s="17">
        <v>155.41</v>
      </c>
      <c r="J417" s="17">
        <f t="shared" si="0"/>
        <v>0</v>
      </c>
      <c r="K417" s="17">
        <f t="shared" si="1"/>
        <v>0</v>
      </c>
      <c r="L417" s="17">
        <f t="shared" si="2"/>
        <v>0</v>
      </c>
      <c r="M417" s="17">
        <f t="shared" si="3"/>
        <v>0</v>
      </c>
      <c r="N417" s="17">
        <f t="shared" si="4"/>
        <v>0</v>
      </c>
      <c r="O417" s="32"/>
    </row>
    <row r="418" spans="1:15" x14ac:dyDescent="0.2">
      <c r="A418" s="5">
        <v>194</v>
      </c>
      <c r="B418" s="5">
        <v>1</v>
      </c>
      <c r="C418" s="6" t="s">
        <v>188</v>
      </c>
      <c r="D418" s="25">
        <f>'FY07 PU'!D68</f>
        <v>0</v>
      </c>
      <c r="E418" s="17">
        <v>151.44999999999999</v>
      </c>
      <c r="F418" s="32">
        <v>92.14</v>
      </c>
      <c r="G418" s="32">
        <v>19.21</v>
      </c>
      <c r="H418" s="17">
        <v>1.65</v>
      </c>
      <c r="I418" s="17">
        <v>0</v>
      </c>
      <c r="J418" s="17">
        <f t="shared" si="0"/>
        <v>0</v>
      </c>
      <c r="K418" s="17">
        <f t="shared" si="1"/>
        <v>0</v>
      </c>
      <c r="L418" s="17">
        <f t="shared" si="2"/>
        <v>0</v>
      </c>
      <c r="M418" s="17">
        <f t="shared" si="3"/>
        <v>0</v>
      </c>
      <c r="N418" s="17">
        <f t="shared" si="4"/>
        <v>0</v>
      </c>
      <c r="O418" s="32"/>
    </row>
    <row r="419" spans="1:15" x14ac:dyDescent="0.2">
      <c r="A419" s="5">
        <v>195</v>
      </c>
      <c r="B419" s="5">
        <v>1</v>
      </c>
      <c r="C419" s="6" t="s">
        <v>189</v>
      </c>
      <c r="D419" s="25">
        <f>'FY07 PU'!D69</f>
        <v>0</v>
      </c>
      <c r="E419" s="17">
        <v>0</v>
      </c>
      <c r="F419" s="32">
        <v>0</v>
      </c>
      <c r="G419" s="32">
        <v>0</v>
      </c>
      <c r="H419" s="17">
        <v>0</v>
      </c>
      <c r="I419" s="17">
        <v>0</v>
      </c>
      <c r="J419" s="17">
        <f t="shared" si="0"/>
        <v>0</v>
      </c>
      <c r="K419" s="17">
        <f t="shared" si="1"/>
        <v>0</v>
      </c>
      <c r="L419" s="17">
        <f t="shared" si="2"/>
        <v>0</v>
      </c>
      <c r="M419" s="17">
        <f t="shared" si="3"/>
        <v>0</v>
      </c>
      <c r="N419" s="17">
        <f t="shared" si="4"/>
        <v>0</v>
      </c>
      <c r="O419" s="32"/>
    </row>
    <row r="420" spans="1:15" x14ac:dyDescent="0.2">
      <c r="A420" s="5">
        <v>196</v>
      </c>
      <c r="B420" s="5">
        <v>1</v>
      </c>
      <c r="C420" s="6" t="s">
        <v>190</v>
      </c>
      <c r="D420" s="25">
        <f>'FY07 PU'!D70</f>
        <v>0</v>
      </c>
      <c r="E420" s="17">
        <v>116</v>
      </c>
      <c r="F420" s="32">
        <v>59.12</v>
      </c>
      <c r="G420" s="32">
        <v>7.0000000000000007E-2</v>
      </c>
      <c r="H420" s="17">
        <v>0</v>
      </c>
      <c r="I420" s="17">
        <v>0</v>
      </c>
      <c r="J420" s="17">
        <f t="shared" si="0"/>
        <v>0</v>
      </c>
      <c r="K420" s="17">
        <f t="shared" si="1"/>
        <v>0</v>
      </c>
      <c r="L420" s="17">
        <f t="shared" si="2"/>
        <v>0</v>
      </c>
      <c r="M420" s="17">
        <f t="shared" si="3"/>
        <v>0</v>
      </c>
      <c r="N420" s="17">
        <f t="shared" si="4"/>
        <v>0</v>
      </c>
      <c r="O420" s="32"/>
    </row>
    <row r="421" spans="1:15" x14ac:dyDescent="0.2">
      <c r="A421" s="5">
        <v>197</v>
      </c>
      <c r="B421" s="5">
        <v>1</v>
      </c>
      <c r="C421" s="6" t="s">
        <v>191</v>
      </c>
      <c r="D421" s="25">
        <f>'FY07 PU'!D71</f>
        <v>0</v>
      </c>
      <c r="E421" s="17">
        <v>0</v>
      </c>
      <c r="F421" s="32">
        <v>0</v>
      </c>
      <c r="G421" s="32">
        <v>0</v>
      </c>
      <c r="H421" s="17">
        <v>0</v>
      </c>
      <c r="I421" s="17">
        <v>0</v>
      </c>
      <c r="J421" s="17">
        <f t="shared" si="0"/>
        <v>0</v>
      </c>
      <c r="K421" s="17">
        <f t="shared" si="1"/>
        <v>0</v>
      </c>
      <c r="L421" s="17">
        <f t="shared" si="2"/>
        <v>0</v>
      </c>
      <c r="M421" s="17">
        <f t="shared" si="3"/>
        <v>0</v>
      </c>
      <c r="N421" s="17">
        <f t="shared" si="4"/>
        <v>0</v>
      </c>
      <c r="O421" s="32"/>
    </row>
    <row r="422" spans="1:15" x14ac:dyDescent="0.2">
      <c r="A422" s="5">
        <v>199</v>
      </c>
      <c r="B422" s="5">
        <v>1</v>
      </c>
      <c r="C422" s="6" t="s">
        <v>192</v>
      </c>
      <c r="D422" s="25">
        <f>'FY07 PU'!D72</f>
        <v>0</v>
      </c>
      <c r="E422" s="17">
        <v>5.1100000000000003</v>
      </c>
      <c r="F422" s="32">
        <v>0</v>
      </c>
      <c r="G422" s="32">
        <v>0</v>
      </c>
      <c r="H422" s="17">
        <v>0</v>
      </c>
      <c r="I422" s="17">
        <v>0</v>
      </c>
      <c r="J422" s="17">
        <f t="shared" si="0"/>
        <v>0</v>
      </c>
      <c r="K422" s="17">
        <f t="shared" si="1"/>
        <v>0</v>
      </c>
      <c r="L422" s="17">
        <f t="shared" si="2"/>
        <v>0</v>
      </c>
      <c r="M422" s="17">
        <f t="shared" si="3"/>
        <v>0</v>
      </c>
      <c r="N422" s="17">
        <f t="shared" si="4"/>
        <v>0</v>
      </c>
      <c r="O422" s="32"/>
    </row>
    <row r="423" spans="1:15" x14ac:dyDescent="0.2">
      <c r="A423" s="5">
        <v>200</v>
      </c>
      <c r="B423" s="5">
        <v>1</v>
      </c>
      <c r="C423" s="6" t="s">
        <v>193</v>
      </c>
      <c r="D423" s="25">
        <f>'FY07 PU'!D73</f>
        <v>0</v>
      </c>
      <c r="E423" s="17">
        <v>110.14</v>
      </c>
      <c r="F423" s="32">
        <v>35.950000000000003</v>
      </c>
      <c r="G423" s="32">
        <v>0</v>
      </c>
      <c r="H423" s="17">
        <v>0</v>
      </c>
      <c r="I423" s="17">
        <v>0</v>
      </c>
      <c r="J423" s="17">
        <f t="shared" si="0"/>
        <v>0</v>
      </c>
      <c r="K423" s="17">
        <f t="shared" si="1"/>
        <v>0</v>
      </c>
      <c r="L423" s="17">
        <f t="shared" si="2"/>
        <v>0</v>
      </c>
      <c r="M423" s="17">
        <f t="shared" si="3"/>
        <v>0</v>
      </c>
      <c r="N423" s="17">
        <f t="shared" si="4"/>
        <v>0</v>
      </c>
      <c r="O423" s="32"/>
    </row>
    <row r="424" spans="1:15" x14ac:dyDescent="0.2">
      <c r="A424" s="5">
        <v>203</v>
      </c>
      <c r="B424" s="5">
        <v>1</v>
      </c>
      <c r="C424" s="6" t="s">
        <v>194</v>
      </c>
      <c r="D424" s="25">
        <f>'FY07 PU'!D74</f>
        <v>0</v>
      </c>
      <c r="E424" s="17">
        <v>240.89</v>
      </c>
      <c r="F424" s="32">
        <v>217.85</v>
      </c>
      <c r="G424" s="32">
        <v>195.82</v>
      </c>
      <c r="H424" s="17">
        <v>271.20999999999998</v>
      </c>
      <c r="I424" s="17">
        <v>257.27999999999997</v>
      </c>
      <c r="J424" s="17">
        <f t="shared" si="0"/>
        <v>0</v>
      </c>
      <c r="K424" s="17">
        <f t="shared" si="1"/>
        <v>0</v>
      </c>
      <c r="L424" s="17">
        <f t="shared" si="2"/>
        <v>0</v>
      </c>
      <c r="M424" s="17">
        <f t="shared" si="3"/>
        <v>0</v>
      </c>
      <c r="N424" s="17">
        <f t="shared" si="4"/>
        <v>0</v>
      </c>
      <c r="O424" s="32"/>
    </row>
    <row r="425" spans="1:15" x14ac:dyDescent="0.2">
      <c r="A425" s="5">
        <v>204</v>
      </c>
      <c r="B425" s="5">
        <v>1</v>
      </c>
      <c r="C425" s="6" t="s">
        <v>195</v>
      </c>
      <c r="D425" s="25">
        <f>'FY07 PU'!D75</f>
        <v>0</v>
      </c>
      <c r="E425" s="17">
        <v>202.5</v>
      </c>
      <c r="F425" s="32">
        <v>195.44</v>
      </c>
      <c r="G425" s="32">
        <v>179.47</v>
      </c>
      <c r="H425" s="17">
        <v>158.63999999999999</v>
      </c>
      <c r="I425" s="17">
        <v>142.44</v>
      </c>
      <c r="J425" s="17">
        <f t="shared" si="0"/>
        <v>0</v>
      </c>
      <c r="K425" s="17">
        <f t="shared" si="1"/>
        <v>0</v>
      </c>
      <c r="L425" s="17">
        <f t="shared" si="2"/>
        <v>0</v>
      </c>
      <c r="M425" s="17">
        <f t="shared" si="3"/>
        <v>0</v>
      </c>
      <c r="N425" s="17">
        <f t="shared" si="4"/>
        <v>0</v>
      </c>
      <c r="O425" s="32"/>
    </row>
    <row r="426" spans="1:15" x14ac:dyDescent="0.2">
      <c r="A426" s="5">
        <v>206</v>
      </c>
      <c r="B426" s="5">
        <v>1</v>
      </c>
      <c r="C426" s="6" t="s">
        <v>196</v>
      </c>
      <c r="D426" s="25">
        <f>'FY07 PU'!D76</f>
        <v>0</v>
      </c>
      <c r="E426" s="17">
        <v>48.56</v>
      </c>
      <c r="F426" s="32">
        <v>0</v>
      </c>
      <c r="G426" s="32">
        <v>0</v>
      </c>
      <c r="H426" s="17">
        <v>0</v>
      </c>
      <c r="I426" s="17">
        <v>0</v>
      </c>
      <c r="J426" s="17">
        <f t="shared" ref="J426:J489" si="5">$D426*E426</f>
        <v>0</v>
      </c>
      <c r="K426" s="17">
        <f t="shared" ref="K426:K489" si="6">$D426*F426</f>
        <v>0</v>
      </c>
      <c r="L426" s="17">
        <f t="shared" ref="L426:L489" si="7">$D426*G426</f>
        <v>0</v>
      </c>
      <c r="M426" s="17">
        <f t="shared" ref="M426:M489" si="8">$D426*H426</f>
        <v>0</v>
      </c>
      <c r="N426" s="17">
        <f t="shared" ref="N426:N489" si="9">$D426*I426</f>
        <v>0</v>
      </c>
      <c r="O426" s="32"/>
    </row>
    <row r="427" spans="1:15" x14ac:dyDescent="0.2">
      <c r="A427" s="5">
        <v>207</v>
      </c>
      <c r="B427" s="5">
        <v>1</v>
      </c>
      <c r="C427" s="6" t="s">
        <v>197</v>
      </c>
      <c r="D427" s="25">
        <f>'FY07 PU'!D77</f>
        <v>0</v>
      </c>
      <c r="E427" s="17">
        <v>219.81</v>
      </c>
      <c r="F427" s="32">
        <v>169.89</v>
      </c>
      <c r="G427" s="32">
        <v>114.71</v>
      </c>
      <c r="H427" s="17">
        <v>99.2</v>
      </c>
      <c r="I427" s="17">
        <v>0.16</v>
      </c>
      <c r="J427" s="17">
        <f t="shared" si="5"/>
        <v>0</v>
      </c>
      <c r="K427" s="17">
        <f t="shared" si="6"/>
        <v>0</v>
      </c>
      <c r="L427" s="17">
        <f t="shared" si="7"/>
        <v>0</v>
      </c>
      <c r="M427" s="17">
        <f t="shared" si="8"/>
        <v>0</v>
      </c>
      <c r="N427" s="17">
        <f t="shared" si="9"/>
        <v>0</v>
      </c>
      <c r="O427" s="32"/>
    </row>
    <row r="428" spans="1:15" x14ac:dyDescent="0.2">
      <c r="A428" s="5">
        <v>208</v>
      </c>
      <c r="B428" s="5">
        <v>1</v>
      </c>
      <c r="C428" s="6" t="s">
        <v>198</v>
      </c>
      <c r="D428" s="25">
        <f>'FY07 PU'!D78</f>
        <v>0</v>
      </c>
      <c r="E428" s="17">
        <v>547.54999999999995</v>
      </c>
      <c r="F428" s="32">
        <v>484.67</v>
      </c>
      <c r="G428" s="32">
        <v>313.14</v>
      </c>
      <c r="H428" s="17">
        <v>246.98</v>
      </c>
      <c r="I428" s="17">
        <v>184.87</v>
      </c>
      <c r="J428" s="17">
        <f t="shared" si="5"/>
        <v>0</v>
      </c>
      <c r="K428" s="17">
        <f t="shared" si="6"/>
        <v>0</v>
      </c>
      <c r="L428" s="17">
        <f t="shared" si="7"/>
        <v>0</v>
      </c>
      <c r="M428" s="17">
        <f t="shared" si="8"/>
        <v>0</v>
      </c>
      <c r="N428" s="17">
        <f t="shared" si="9"/>
        <v>0</v>
      </c>
      <c r="O428" s="32"/>
    </row>
    <row r="429" spans="1:15" x14ac:dyDescent="0.2">
      <c r="A429" s="5">
        <v>213</v>
      </c>
      <c r="B429" s="5">
        <v>1</v>
      </c>
      <c r="C429" s="6" t="s">
        <v>199</v>
      </c>
      <c r="D429" s="25">
        <f>'FY07 PU'!D79</f>
        <v>0</v>
      </c>
      <c r="E429" s="17">
        <v>0</v>
      </c>
      <c r="F429" s="32">
        <v>0</v>
      </c>
      <c r="G429" s="32">
        <v>0</v>
      </c>
      <c r="H429" s="17">
        <v>0</v>
      </c>
      <c r="I429" s="17">
        <v>0</v>
      </c>
      <c r="J429" s="17">
        <f t="shared" si="5"/>
        <v>0</v>
      </c>
      <c r="K429" s="17">
        <f t="shared" si="6"/>
        <v>0</v>
      </c>
      <c r="L429" s="17">
        <f t="shared" si="7"/>
        <v>0</v>
      </c>
      <c r="M429" s="17">
        <f t="shared" si="8"/>
        <v>0</v>
      </c>
      <c r="N429" s="17">
        <f t="shared" si="9"/>
        <v>0</v>
      </c>
      <c r="O429" s="32"/>
    </row>
    <row r="430" spans="1:15" x14ac:dyDescent="0.2">
      <c r="A430" s="5">
        <v>227</v>
      </c>
      <c r="B430" s="5">
        <v>1</v>
      </c>
      <c r="C430" s="6" t="s">
        <v>200</v>
      </c>
      <c r="D430" s="25">
        <f>'FY07 PU'!D80</f>
        <v>0</v>
      </c>
      <c r="E430" s="17">
        <v>175.7</v>
      </c>
      <c r="F430" s="32">
        <v>162.25</v>
      </c>
      <c r="G430" s="32">
        <v>141.83000000000001</v>
      </c>
      <c r="H430" s="17">
        <v>129.30000000000001</v>
      </c>
      <c r="I430" s="17">
        <v>115.62</v>
      </c>
      <c r="J430" s="17">
        <f t="shared" si="5"/>
        <v>0</v>
      </c>
      <c r="K430" s="17">
        <f t="shared" si="6"/>
        <v>0</v>
      </c>
      <c r="L430" s="17">
        <f t="shared" si="7"/>
        <v>0</v>
      </c>
      <c r="M430" s="17">
        <f t="shared" si="8"/>
        <v>0</v>
      </c>
      <c r="N430" s="17">
        <f t="shared" si="9"/>
        <v>0</v>
      </c>
      <c r="O430" s="32"/>
    </row>
    <row r="431" spans="1:15" x14ac:dyDescent="0.2">
      <c r="A431" s="5">
        <v>229</v>
      </c>
      <c r="B431" s="5">
        <v>1</v>
      </c>
      <c r="C431" s="6" t="s">
        <v>201</v>
      </c>
      <c r="D431" s="25">
        <f>'FY07 PU'!D81</f>
        <v>0</v>
      </c>
      <c r="E431" s="17">
        <v>147.32</v>
      </c>
      <c r="F431" s="32">
        <v>121.29</v>
      </c>
      <c r="G431" s="32">
        <v>93.07</v>
      </c>
      <c r="H431" s="17">
        <v>71.62</v>
      </c>
      <c r="I431" s="17">
        <v>45.05</v>
      </c>
      <c r="J431" s="17">
        <f t="shared" si="5"/>
        <v>0</v>
      </c>
      <c r="K431" s="17">
        <f t="shared" si="6"/>
        <v>0</v>
      </c>
      <c r="L431" s="17">
        <f t="shared" si="7"/>
        <v>0</v>
      </c>
      <c r="M431" s="17">
        <f t="shared" si="8"/>
        <v>0</v>
      </c>
      <c r="N431" s="17">
        <f t="shared" si="9"/>
        <v>0</v>
      </c>
      <c r="O431" s="32"/>
    </row>
    <row r="432" spans="1:15" x14ac:dyDescent="0.2">
      <c r="A432" s="5">
        <v>238</v>
      </c>
      <c r="B432" s="5">
        <v>1</v>
      </c>
      <c r="C432" s="6" t="s">
        <v>202</v>
      </c>
      <c r="D432" s="25">
        <f>'FY07 PU'!D82</f>
        <v>0</v>
      </c>
      <c r="E432" s="17">
        <v>483.17</v>
      </c>
      <c r="F432" s="32">
        <v>462.98</v>
      </c>
      <c r="G432" s="32">
        <v>361.66</v>
      </c>
      <c r="H432" s="17">
        <v>279.95</v>
      </c>
      <c r="I432" s="17">
        <v>219.21</v>
      </c>
      <c r="J432" s="17">
        <f t="shared" si="5"/>
        <v>0</v>
      </c>
      <c r="K432" s="17">
        <f t="shared" si="6"/>
        <v>0</v>
      </c>
      <c r="L432" s="17">
        <f t="shared" si="7"/>
        <v>0</v>
      </c>
      <c r="M432" s="17">
        <f t="shared" si="8"/>
        <v>0</v>
      </c>
      <c r="N432" s="17">
        <f t="shared" si="9"/>
        <v>0</v>
      </c>
      <c r="O432" s="32"/>
    </row>
    <row r="433" spans="1:15" x14ac:dyDescent="0.2">
      <c r="A433" s="5">
        <v>239</v>
      </c>
      <c r="B433" s="5">
        <v>1</v>
      </c>
      <c r="C433" s="6" t="s">
        <v>203</v>
      </c>
      <c r="D433" s="25">
        <f>'FY07 PU'!D83</f>
        <v>0</v>
      </c>
      <c r="E433" s="17">
        <v>397.25</v>
      </c>
      <c r="F433" s="32">
        <v>373.87</v>
      </c>
      <c r="G433" s="32">
        <v>315.02</v>
      </c>
      <c r="H433" s="17">
        <v>293.67</v>
      </c>
      <c r="I433" s="17">
        <v>272.39999999999998</v>
      </c>
      <c r="J433" s="17">
        <f t="shared" si="5"/>
        <v>0</v>
      </c>
      <c r="K433" s="17">
        <f t="shared" si="6"/>
        <v>0</v>
      </c>
      <c r="L433" s="17">
        <f t="shared" si="7"/>
        <v>0</v>
      </c>
      <c r="M433" s="17">
        <f t="shared" si="8"/>
        <v>0</v>
      </c>
      <c r="N433" s="17">
        <f t="shared" si="9"/>
        <v>0</v>
      </c>
      <c r="O433" s="32"/>
    </row>
    <row r="434" spans="1:15" x14ac:dyDescent="0.2">
      <c r="A434" s="5">
        <v>241</v>
      </c>
      <c r="B434" s="5">
        <v>1</v>
      </c>
      <c r="C434" s="6" t="s">
        <v>204</v>
      </c>
      <c r="D434" s="25">
        <f>'FY07 PU'!D84</f>
        <v>0</v>
      </c>
      <c r="E434" s="17">
        <v>248.15</v>
      </c>
      <c r="F434" s="32">
        <v>220.61</v>
      </c>
      <c r="G434" s="32">
        <v>270.79000000000002</v>
      </c>
      <c r="H434" s="17">
        <v>253.15</v>
      </c>
      <c r="I434" s="17">
        <v>228.29</v>
      </c>
      <c r="J434" s="17">
        <f t="shared" si="5"/>
        <v>0</v>
      </c>
      <c r="K434" s="17">
        <f t="shared" si="6"/>
        <v>0</v>
      </c>
      <c r="L434" s="17">
        <f t="shared" si="7"/>
        <v>0</v>
      </c>
      <c r="M434" s="17">
        <f t="shared" si="8"/>
        <v>0</v>
      </c>
      <c r="N434" s="17">
        <f t="shared" si="9"/>
        <v>0</v>
      </c>
      <c r="O434" s="32"/>
    </row>
    <row r="435" spans="1:15" x14ac:dyDescent="0.2">
      <c r="A435" s="5">
        <v>242</v>
      </c>
      <c r="B435" s="5">
        <v>1</v>
      </c>
      <c r="C435" s="6" t="s">
        <v>205</v>
      </c>
      <c r="D435" s="25">
        <f>'FY07 PU'!D85</f>
        <v>0</v>
      </c>
      <c r="E435" s="17">
        <v>300.55</v>
      </c>
      <c r="F435" s="32">
        <v>288.44</v>
      </c>
      <c r="G435" s="32">
        <v>248.43</v>
      </c>
      <c r="H435" s="17">
        <v>230.88</v>
      </c>
      <c r="I435" s="17">
        <v>199.44</v>
      </c>
      <c r="J435" s="17">
        <f t="shared" si="5"/>
        <v>0</v>
      </c>
      <c r="K435" s="17">
        <f t="shared" si="6"/>
        <v>0</v>
      </c>
      <c r="L435" s="17">
        <f t="shared" si="7"/>
        <v>0</v>
      </c>
      <c r="M435" s="17">
        <f t="shared" si="8"/>
        <v>0</v>
      </c>
      <c r="N435" s="17">
        <f t="shared" si="9"/>
        <v>0</v>
      </c>
      <c r="O435" s="32"/>
    </row>
    <row r="436" spans="1:15" x14ac:dyDescent="0.2">
      <c r="A436" s="5">
        <v>252</v>
      </c>
      <c r="B436" s="5">
        <v>1</v>
      </c>
      <c r="C436" s="6" t="s">
        <v>206</v>
      </c>
      <c r="D436" s="25">
        <f>'FY07 PU'!D86</f>
        <v>0</v>
      </c>
      <c r="E436" s="17">
        <v>127.03</v>
      </c>
      <c r="F436" s="32">
        <v>58.85</v>
      </c>
      <c r="G436" s="32">
        <v>8.16</v>
      </c>
      <c r="H436" s="17">
        <v>0</v>
      </c>
      <c r="I436" s="17">
        <v>0</v>
      </c>
      <c r="J436" s="17">
        <f t="shared" si="5"/>
        <v>0</v>
      </c>
      <c r="K436" s="17">
        <f t="shared" si="6"/>
        <v>0</v>
      </c>
      <c r="L436" s="17">
        <f t="shared" si="7"/>
        <v>0</v>
      </c>
      <c r="M436" s="17">
        <f t="shared" si="8"/>
        <v>0</v>
      </c>
      <c r="N436" s="17">
        <f t="shared" si="9"/>
        <v>0</v>
      </c>
      <c r="O436" s="32"/>
    </row>
    <row r="437" spans="1:15" x14ac:dyDescent="0.2">
      <c r="A437" s="5">
        <v>253</v>
      </c>
      <c r="B437" s="5">
        <v>1</v>
      </c>
      <c r="C437" s="6" t="s">
        <v>207</v>
      </c>
      <c r="D437" s="25">
        <f>'FY07 PU'!D87</f>
        <v>0</v>
      </c>
      <c r="E437" s="17">
        <v>68.989999999999995</v>
      </c>
      <c r="F437" s="32">
        <v>62.57</v>
      </c>
      <c r="G437" s="32">
        <v>55.39</v>
      </c>
      <c r="H437" s="17">
        <v>53.14</v>
      </c>
      <c r="I437" s="17">
        <v>50.15</v>
      </c>
      <c r="J437" s="17">
        <f t="shared" si="5"/>
        <v>0</v>
      </c>
      <c r="K437" s="17">
        <f t="shared" si="6"/>
        <v>0</v>
      </c>
      <c r="L437" s="17">
        <f t="shared" si="7"/>
        <v>0</v>
      </c>
      <c r="M437" s="17">
        <f t="shared" si="8"/>
        <v>0</v>
      </c>
      <c r="N437" s="17">
        <f t="shared" si="9"/>
        <v>0</v>
      </c>
      <c r="O437" s="32"/>
    </row>
    <row r="438" spans="1:15" x14ac:dyDescent="0.2">
      <c r="A438" s="5">
        <v>255</v>
      </c>
      <c r="B438" s="5">
        <v>1</v>
      </c>
      <c r="C438" s="6" t="s">
        <v>208</v>
      </c>
      <c r="D438" s="25">
        <f>'FY07 PU'!D88</f>
        <v>0</v>
      </c>
      <c r="E438" s="17">
        <v>218.15</v>
      </c>
      <c r="F438" s="32">
        <v>189.76</v>
      </c>
      <c r="G438" s="32">
        <v>156.13</v>
      </c>
      <c r="H438" s="17">
        <v>141.19</v>
      </c>
      <c r="I438" s="17">
        <v>133.78</v>
      </c>
      <c r="J438" s="17">
        <f t="shared" si="5"/>
        <v>0</v>
      </c>
      <c r="K438" s="17">
        <f t="shared" si="6"/>
        <v>0</v>
      </c>
      <c r="L438" s="17">
        <f t="shared" si="7"/>
        <v>0</v>
      </c>
      <c r="M438" s="17">
        <f t="shared" si="8"/>
        <v>0</v>
      </c>
      <c r="N438" s="17">
        <f t="shared" si="9"/>
        <v>0</v>
      </c>
      <c r="O438" s="32"/>
    </row>
    <row r="439" spans="1:15" x14ac:dyDescent="0.2">
      <c r="A439" s="5">
        <v>256</v>
      </c>
      <c r="B439" s="5">
        <v>1</v>
      </c>
      <c r="C439" s="6" t="s">
        <v>209</v>
      </c>
      <c r="D439" s="25">
        <f>'FY07 PU'!D89</f>
        <v>0</v>
      </c>
      <c r="E439" s="17">
        <v>9.77</v>
      </c>
      <c r="F439" s="32">
        <v>0</v>
      </c>
      <c r="G439" s="32">
        <v>0</v>
      </c>
      <c r="H439" s="17">
        <v>0</v>
      </c>
      <c r="I439" s="17">
        <v>0</v>
      </c>
      <c r="J439" s="17">
        <f t="shared" si="5"/>
        <v>0</v>
      </c>
      <c r="K439" s="17">
        <f t="shared" si="6"/>
        <v>0</v>
      </c>
      <c r="L439" s="17">
        <f t="shared" si="7"/>
        <v>0</v>
      </c>
      <c r="M439" s="17">
        <f t="shared" si="8"/>
        <v>0</v>
      </c>
      <c r="N439" s="17">
        <f t="shared" si="9"/>
        <v>0</v>
      </c>
      <c r="O439" s="32"/>
    </row>
    <row r="440" spans="1:15" x14ac:dyDescent="0.2">
      <c r="A440" s="5">
        <v>261</v>
      </c>
      <c r="B440" s="5">
        <v>1</v>
      </c>
      <c r="C440" s="6" t="s">
        <v>210</v>
      </c>
      <c r="D440" s="25">
        <f>'FY07 PU'!D90</f>
        <v>0</v>
      </c>
      <c r="E440" s="17">
        <v>0</v>
      </c>
      <c r="F440" s="32">
        <v>0</v>
      </c>
      <c r="G440" s="32">
        <v>0</v>
      </c>
      <c r="H440" s="17">
        <v>0</v>
      </c>
      <c r="I440" s="17">
        <v>0</v>
      </c>
      <c r="J440" s="17">
        <f t="shared" si="5"/>
        <v>0</v>
      </c>
      <c r="K440" s="17">
        <f t="shared" si="6"/>
        <v>0</v>
      </c>
      <c r="L440" s="17">
        <f t="shared" si="7"/>
        <v>0</v>
      </c>
      <c r="M440" s="17">
        <f t="shared" si="8"/>
        <v>0</v>
      </c>
      <c r="N440" s="17">
        <f t="shared" si="9"/>
        <v>0</v>
      </c>
      <c r="O440" s="32"/>
    </row>
    <row r="441" spans="1:15" x14ac:dyDescent="0.2">
      <c r="A441" s="5">
        <v>264</v>
      </c>
      <c r="B441" s="5">
        <v>1</v>
      </c>
      <c r="C441" s="6" t="s">
        <v>211</v>
      </c>
      <c r="D441" s="25">
        <f>'FY07 PU'!D91</f>
        <v>0</v>
      </c>
      <c r="E441" s="17">
        <v>0</v>
      </c>
      <c r="F441" s="32">
        <v>0</v>
      </c>
      <c r="G441" s="32">
        <v>0</v>
      </c>
      <c r="H441" s="17">
        <v>0</v>
      </c>
      <c r="I441" s="17">
        <v>0</v>
      </c>
      <c r="J441" s="17">
        <f t="shared" si="5"/>
        <v>0</v>
      </c>
      <c r="K441" s="17">
        <f t="shared" si="6"/>
        <v>0</v>
      </c>
      <c r="L441" s="17">
        <f t="shared" si="7"/>
        <v>0</v>
      </c>
      <c r="M441" s="17">
        <f t="shared" si="8"/>
        <v>0</v>
      </c>
      <c r="N441" s="17">
        <f t="shared" si="9"/>
        <v>0</v>
      </c>
      <c r="O441" s="32"/>
    </row>
    <row r="442" spans="1:15" x14ac:dyDescent="0.2">
      <c r="A442" s="5">
        <v>270</v>
      </c>
      <c r="B442" s="5">
        <v>1</v>
      </c>
      <c r="C442" s="6" t="s">
        <v>212</v>
      </c>
      <c r="D442" s="25">
        <f>'FY07 PU'!D92</f>
        <v>0</v>
      </c>
      <c r="E442" s="17">
        <v>0</v>
      </c>
      <c r="F442" s="32">
        <v>0</v>
      </c>
      <c r="G442" s="32">
        <v>0</v>
      </c>
      <c r="H442" s="17">
        <v>0</v>
      </c>
      <c r="I442" s="17">
        <v>0</v>
      </c>
      <c r="J442" s="17">
        <f t="shared" si="5"/>
        <v>0</v>
      </c>
      <c r="K442" s="17">
        <f t="shared" si="6"/>
        <v>0</v>
      </c>
      <c r="L442" s="17">
        <f t="shared" si="7"/>
        <v>0</v>
      </c>
      <c r="M442" s="17">
        <f t="shared" si="8"/>
        <v>0</v>
      </c>
      <c r="N442" s="17">
        <f t="shared" si="9"/>
        <v>0</v>
      </c>
      <c r="O442" s="32"/>
    </row>
    <row r="443" spans="1:15" x14ac:dyDescent="0.2">
      <c r="A443" s="5">
        <v>271</v>
      </c>
      <c r="B443" s="5">
        <v>1</v>
      </c>
      <c r="C443" s="6" t="s">
        <v>213</v>
      </c>
      <c r="D443" s="25">
        <f>'FY07 PU'!D93</f>
        <v>0</v>
      </c>
      <c r="E443" s="17">
        <v>0</v>
      </c>
      <c r="F443" s="32">
        <v>0</v>
      </c>
      <c r="G443" s="32">
        <v>0</v>
      </c>
      <c r="H443" s="17">
        <v>0</v>
      </c>
      <c r="I443" s="17">
        <v>0</v>
      </c>
      <c r="J443" s="17">
        <f t="shared" si="5"/>
        <v>0</v>
      </c>
      <c r="K443" s="17">
        <f t="shared" si="6"/>
        <v>0</v>
      </c>
      <c r="L443" s="17">
        <f t="shared" si="7"/>
        <v>0</v>
      </c>
      <c r="M443" s="17">
        <f t="shared" si="8"/>
        <v>0</v>
      </c>
      <c r="N443" s="17">
        <f t="shared" si="9"/>
        <v>0</v>
      </c>
      <c r="O443" s="32"/>
    </row>
    <row r="444" spans="1:15" x14ac:dyDescent="0.2">
      <c r="A444" s="5">
        <v>272</v>
      </c>
      <c r="B444" s="5">
        <v>1</v>
      </c>
      <c r="C444" s="6" t="s">
        <v>214</v>
      </c>
      <c r="D444" s="25">
        <f>'FY07 PU'!D94</f>
        <v>0</v>
      </c>
      <c r="E444" s="17">
        <v>0</v>
      </c>
      <c r="F444" s="32">
        <v>0</v>
      </c>
      <c r="G444" s="32">
        <v>0</v>
      </c>
      <c r="H444" s="17">
        <v>0</v>
      </c>
      <c r="I444" s="17">
        <v>0</v>
      </c>
      <c r="J444" s="17">
        <f t="shared" si="5"/>
        <v>0</v>
      </c>
      <c r="K444" s="17">
        <f t="shared" si="6"/>
        <v>0</v>
      </c>
      <c r="L444" s="17">
        <f t="shared" si="7"/>
        <v>0</v>
      </c>
      <c r="M444" s="17">
        <f t="shared" si="8"/>
        <v>0</v>
      </c>
      <c r="N444" s="17">
        <f t="shared" si="9"/>
        <v>0</v>
      </c>
      <c r="O444" s="32"/>
    </row>
    <row r="445" spans="1:15" x14ac:dyDescent="0.2">
      <c r="A445" s="5">
        <v>273</v>
      </c>
      <c r="B445" s="5">
        <v>1</v>
      </c>
      <c r="C445" s="6" t="s">
        <v>215</v>
      </c>
      <c r="D445" s="25">
        <f>'FY07 PU'!D95</f>
        <v>0</v>
      </c>
      <c r="E445" s="17">
        <v>0</v>
      </c>
      <c r="F445" s="32">
        <v>0</v>
      </c>
      <c r="G445" s="32">
        <v>0</v>
      </c>
      <c r="H445" s="17">
        <v>0</v>
      </c>
      <c r="I445" s="17">
        <v>0</v>
      </c>
      <c r="J445" s="17">
        <f t="shared" si="5"/>
        <v>0</v>
      </c>
      <c r="K445" s="17">
        <f t="shared" si="6"/>
        <v>0</v>
      </c>
      <c r="L445" s="17">
        <f t="shared" si="7"/>
        <v>0</v>
      </c>
      <c r="M445" s="17">
        <f t="shared" si="8"/>
        <v>0</v>
      </c>
      <c r="N445" s="17">
        <f t="shared" si="9"/>
        <v>0</v>
      </c>
      <c r="O445" s="32"/>
    </row>
    <row r="446" spans="1:15" x14ac:dyDescent="0.2">
      <c r="A446" s="5">
        <v>276</v>
      </c>
      <c r="B446" s="5">
        <v>1</v>
      </c>
      <c r="C446" s="6" t="s">
        <v>216</v>
      </c>
      <c r="D446" s="25">
        <f>'FY07 PU'!D96</f>
        <v>0</v>
      </c>
      <c r="E446" s="17">
        <v>0</v>
      </c>
      <c r="F446" s="32">
        <v>0</v>
      </c>
      <c r="G446" s="32">
        <v>0</v>
      </c>
      <c r="H446" s="17">
        <v>0</v>
      </c>
      <c r="I446" s="17">
        <v>0</v>
      </c>
      <c r="J446" s="17">
        <f t="shared" si="5"/>
        <v>0</v>
      </c>
      <c r="K446" s="17">
        <f t="shared" si="6"/>
        <v>0</v>
      </c>
      <c r="L446" s="17">
        <f t="shared" si="7"/>
        <v>0</v>
      </c>
      <c r="M446" s="17">
        <f t="shared" si="8"/>
        <v>0</v>
      </c>
      <c r="N446" s="17">
        <f t="shared" si="9"/>
        <v>0</v>
      </c>
      <c r="O446" s="32"/>
    </row>
    <row r="447" spans="1:15" x14ac:dyDescent="0.2">
      <c r="A447" s="5">
        <v>277</v>
      </c>
      <c r="B447" s="5">
        <v>1</v>
      </c>
      <c r="C447" s="6" t="s">
        <v>217</v>
      </c>
      <c r="D447" s="25">
        <f>'FY07 PU'!D97</f>
        <v>0</v>
      </c>
      <c r="E447" s="17">
        <v>0</v>
      </c>
      <c r="F447" s="32">
        <v>0</v>
      </c>
      <c r="G447" s="32">
        <v>0</v>
      </c>
      <c r="H447" s="17">
        <v>0</v>
      </c>
      <c r="I447" s="17">
        <v>0</v>
      </c>
      <c r="J447" s="17">
        <f t="shared" si="5"/>
        <v>0</v>
      </c>
      <c r="K447" s="17">
        <f t="shared" si="6"/>
        <v>0</v>
      </c>
      <c r="L447" s="17">
        <f t="shared" si="7"/>
        <v>0</v>
      </c>
      <c r="M447" s="17">
        <f t="shared" si="8"/>
        <v>0</v>
      </c>
      <c r="N447" s="17">
        <f t="shared" si="9"/>
        <v>0</v>
      </c>
      <c r="O447" s="32"/>
    </row>
    <row r="448" spans="1:15" x14ac:dyDescent="0.2">
      <c r="A448" s="5">
        <v>278</v>
      </c>
      <c r="B448" s="5">
        <v>1</v>
      </c>
      <c r="C448" s="6" t="s">
        <v>218</v>
      </c>
      <c r="D448" s="25">
        <f>'FY07 PU'!D98</f>
        <v>0</v>
      </c>
      <c r="E448" s="17">
        <v>0</v>
      </c>
      <c r="F448" s="32">
        <v>0</v>
      </c>
      <c r="G448" s="32">
        <v>0</v>
      </c>
      <c r="H448" s="17">
        <v>0</v>
      </c>
      <c r="I448" s="17">
        <v>0</v>
      </c>
      <c r="J448" s="17">
        <f t="shared" si="5"/>
        <v>0</v>
      </c>
      <c r="K448" s="17">
        <f t="shared" si="6"/>
        <v>0</v>
      </c>
      <c r="L448" s="17">
        <f t="shared" si="7"/>
        <v>0</v>
      </c>
      <c r="M448" s="17">
        <f t="shared" si="8"/>
        <v>0</v>
      </c>
      <c r="N448" s="17">
        <f t="shared" si="9"/>
        <v>0</v>
      </c>
      <c r="O448" s="32"/>
    </row>
    <row r="449" spans="1:15" x14ac:dyDescent="0.2">
      <c r="A449" s="5">
        <v>279</v>
      </c>
      <c r="B449" s="5">
        <v>1</v>
      </c>
      <c r="C449" s="6" t="s">
        <v>219</v>
      </c>
      <c r="D449" s="25">
        <f>'FY07 PU'!D99</f>
        <v>0</v>
      </c>
      <c r="E449" s="17">
        <v>75.09</v>
      </c>
      <c r="F449" s="32">
        <v>14.26</v>
      </c>
      <c r="G449" s="32">
        <v>0</v>
      </c>
      <c r="H449" s="17">
        <v>0</v>
      </c>
      <c r="I449" s="17">
        <v>0</v>
      </c>
      <c r="J449" s="17">
        <f t="shared" si="5"/>
        <v>0</v>
      </c>
      <c r="K449" s="17">
        <f t="shared" si="6"/>
        <v>0</v>
      </c>
      <c r="L449" s="17">
        <f t="shared" si="7"/>
        <v>0</v>
      </c>
      <c r="M449" s="17">
        <f t="shared" si="8"/>
        <v>0</v>
      </c>
      <c r="N449" s="17">
        <f t="shared" si="9"/>
        <v>0</v>
      </c>
      <c r="O449" s="32"/>
    </row>
    <row r="450" spans="1:15" x14ac:dyDescent="0.2">
      <c r="A450" s="5">
        <v>280</v>
      </c>
      <c r="B450" s="5">
        <v>1</v>
      </c>
      <c r="C450" s="6" t="s">
        <v>220</v>
      </c>
      <c r="D450" s="25">
        <f>'FY07 PU'!D100</f>
        <v>0</v>
      </c>
      <c r="E450" s="17">
        <v>0</v>
      </c>
      <c r="F450" s="32">
        <v>0</v>
      </c>
      <c r="G450" s="32">
        <v>0</v>
      </c>
      <c r="H450" s="17">
        <v>0</v>
      </c>
      <c r="I450" s="17">
        <v>0</v>
      </c>
      <c r="J450" s="17">
        <f t="shared" si="5"/>
        <v>0</v>
      </c>
      <c r="K450" s="17">
        <f t="shared" si="6"/>
        <v>0</v>
      </c>
      <c r="L450" s="17">
        <f t="shared" si="7"/>
        <v>0</v>
      </c>
      <c r="M450" s="17">
        <f t="shared" si="8"/>
        <v>0</v>
      </c>
      <c r="N450" s="17">
        <f t="shared" si="9"/>
        <v>0</v>
      </c>
      <c r="O450" s="32"/>
    </row>
    <row r="451" spans="1:15" x14ac:dyDescent="0.2">
      <c r="A451" s="5">
        <v>281</v>
      </c>
      <c r="B451" s="5">
        <v>1</v>
      </c>
      <c r="C451" s="6" t="s">
        <v>221</v>
      </c>
      <c r="D451" s="25">
        <f>'FY07 PU'!D101</f>
        <v>0</v>
      </c>
      <c r="E451" s="17">
        <v>0</v>
      </c>
      <c r="F451" s="32">
        <v>0</v>
      </c>
      <c r="G451" s="32">
        <v>0</v>
      </c>
      <c r="H451" s="17">
        <v>0</v>
      </c>
      <c r="I451" s="17">
        <v>0</v>
      </c>
      <c r="J451" s="17">
        <f t="shared" si="5"/>
        <v>0</v>
      </c>
      <c r="K451" s="17">
        <f t="shared" si="6"/>
        <v>0</v>
      </c>
      <c r="L451" s="17">
        <f t="shared" si="7"/>
        <v>0</v>
      </c>
      <c r="M451" s="17">
        <f t="shared" si="8"/>
        <v>0</v>
      </c>
      <c r="N451" s="17">
        <f t="shared" si="9"/>
        <v>0</v>
      </c>
      <c r="O451" s="32"/>
    </row>
    <row r="452" spans="1:15" x14ac:dyDescent="0.2">
      <c r="A452" s="5">
        <v>282</v>
      </c>
      <c r="B452" s="5">
        <v>1</v>
      </c>
      <c r="C452" s="6" t="s">
        <v>222</v>
      </c>
      <c r="D452" s="25">
        <f>'FY07 PU'!D102</f>
        <v>0</v>
      </c>
      <c r="E452" s="17">
        <v>0</v>
      </c>
      <c r="F452" s="32">
        <v>0</v>
      </c>
      <c r="G452" s="32">
        <v>0</v>
      </c>
      <c r="H452" s="17">
        <v>0</v>
      </c>
      <c r="I452" s="17">
        <v>0</v>
      </c>
      <c r="J452" s="17">
        <f t="shared" si="5"/>
        <v>0</v>
      </c>
      <c r="K452" s="17">
        <f t="shared" si="6"/>
        <v>0</v>
      </c>
      <c r="L452" s="17">
        <f t="shared" si="7"/>
        <v>0</v>
      </c>
      <c r="M452" s="17">
        <f t="shared" si="8"/>
        <v>0</v>
      </c>
      <c r="N452" s="17">
        <f t="shared" si="9"/>
        <v>0</v>
      </c>
      <c r="O452" s="32"/>
    </row>
    <row r="453" spans="1:15" x14ac:dyDescent="0.2">
      <c r="A453" s="5">
        <v>283</v>
      </c>
      <c r="B453" s="5">
        <v>1</v>
      </c>
      <c r="C453" s="6" t="s">
        <v>223</v>
      </c>
      <c r="D453" s="25">
        <f>'FY07 PU'!D103</f>
        <v>0</v>
      </c>
      <c r="E453" s="17">
        <v>0</v>
      </c>
      <c r="F453" s="32">
        <v>0</v>
      </c>
      <c r="G453" s="32">
        <v>0</v>
      </c>
      <c r="H453" s="17">
        <v>0</v>
      </c>
      <c r="I453" s="17">
        <v>0</v>
      </c>
      <c r="J453" s="17">
        <f t="shared" si="5"/>
        <v>0</v>
      </c>
      <c r="K453" s="17">
        <f t="shared" si="6"/>
        <v>0</v>
      </c>
      <c r="L453" s="17">
        <f t="shared" si="7"/>
        <v>0</v>
      </c>
      <c r="M453" s="17">
        <f t="shared" si="8"/>
        <v>0</v>
      </c>
      <c r="N453" s="17">
        <f t="shared" si="9"/>
        <v>0</v>
      </c>
      <c r="O453" s="32"/>
    </row>
    <row r="454" spans="1:15" x14ac:dyDescent="0.2">
      <c r="A454" s="5">
        <v>284</v>
      </c>
      <c r="B454" s="5">
        <v>1</v>
      </c>
      <c r="C454" s="6" t="s">
        <v>224</v>
      </c>
      <c r="D454" s="25">
        <f>'FY07 PU'!D104</f>
        <v>0</v>
      </c>
      <c r="E454" s="17">
        <v>0</v>
      </c>
      <c r="F454" s="32">
        <v>0</v>
      </c>
      <c r="G454" s="32">
        <v>0</v>
      </c>
      <c r="H454" s="17">
        <v>0</v>
      </c>
      <c r="I454" s="17">
        <v>0</v>
      </c>
      <c r="J454" s="17">
        <f t="shared" si="5"/>
        <v>0</v>
      </c>
      <c r="K454" s="17">
        <f t="shared" si="6"/>
        <v>0</v>
      </c>
      <c r="L454" s="17">
        <f t="shared" si="7"/>
        <v>0</v>
      </c>
      <c r="M454" s="17">
        <f t="shared" si="8"/>
        <v>0</v>
      </c>
      <c r="N454" s="17">
        <f t="shared" si="9"/>
        <v>0</v>
      </c>
      <c r="O454" s="32"/>
    </row>
    <row r="455" spans="1:15" x14ac:dyDescent="0.2">
      <c r="A455" s="5">
        <v>286</v>
      </c>
      <c r="B455" s="5">
        <v>1</v>
      </c>
      <c r="C455" s="6" t="s">
        <v>225</v>
      </c>
      <c r="D455" s="25">
        <f>'FY07 PU'!D105</f>
        <v>0</v>
      </c>
      <c r="E455" s="17">
        <v>105.79</v>
      </c>
      <c r="F455" s="32">
        <v>83.06</v>
      </c>
      <c r="G455" s="32">
        <v>69.459999999999994</v>
      </c>
      <c r="H455" s="17">
        <v>66.34</v>
      </c>
      <c r="I455" s="17">
        <v>59.71</v>
      </c>
      <c r="J455" s="17">
        <f t="shared" si="5"/>
        <v>0</v>
      </c>
      <c r="K455" s="17">
        <f t="shared" si="6"/>
        <v>0</v>
      </c>
      <c r="L455" s="17">
        <f t="shared" si="7"/>
        <v>0</v>
      </c>
      <c r="M455" s="17">
        <f t="shared" si="8"/>
        <v>0</v>
      </c>
      <c r="N455" s="17">
        <f t="shared" si="9"/>
        <v>0</v>
      </c>
      <c r="O455" s="32"/>
    </row>
    <row r="456" spans="1:15" x14ac:dyDescent="0.2">
      <c r="A456" s="5">
        <v>294</v>
      </c>
      <c r="B456" s="5">
        <v>1</v>
      </c>
      <c r="C456" s="6" t="s">
        <v>226</v>
      </c>
      <c r="D456" s="25">
        <f>'FY07 PU'!D106</f>
        <v>0</v>
      </c>
      <c r="E456" s="17">
        <v>241.98</v>
      </c>
      <c r="F456" s="32">
        <v>241.25</v>
      </c>
      <c r="G456" s="32">
        <v>227.39</v>
      </c>
      <c r="H456" s="17">
        <v>162.96</v>
      </c>
      <c r="I456" s="17">
        <v>132.4</v>
      </c>
      <c r="J456" s="17">
        <f t="shared" si="5"/>
        <v>0</v>
      </c>
      <c r="K456" s="17">
        <f t="shared" si="6"/>
        <v>0</v>
      </c>
      <c r="L456" s="17">
        <f t="shared" si="7"/>
        <v>0</v>
      </c>
      <c r="M456" s="17">
        <f t="shared" si="8"/>
        <v>0</v>
      </c>
      <c r="N456" s="17">
        <f t="shared" si="9"/>
        <v>0</v>
      </c>
      <c r="O456" s="32"/>
    </row>
    <row r="457" spans="1:15" x14ac:dyDescent="0.2">
      <c r="A457" s="5">
        <v>297</v>
      </c>
      <c r="B457" s="5">
        <v>1</v>
      </c>
      <c r="C457" s="6" t="s">
        <v>227</v>
      </c>
      <c r="D457" s="25">
        <f>'FY07 PU'!D107</f>
        <v>0</v>
      </c>
      <c r="E457" s="17">
        <v>500.28</v>
      </c>
      <c r="F457" s="32">
        <v>478.51</v>
      </c>
      <c r="G457" s="32">
        <v>386.82</v>
      </c>
      <c r="H457" s="17">
        <v>290.60000000000002</v>
      </c>
      <c r="I457" s="17">
        <v>192</v>
      </c>
      <c r="J457" s="17">
        <f t="shared" si="5"/>
        <v>0</v>
      </c>
      <c r="K457" s="17">
        <f t="shared" si="6"/>
        <v>0</v>
      </c>
      <c r="L457" s="17">
        <f t="shared" si="7"/>
        <v>0</v>
      </c>
      <c r="M457" s="17">
        <f t="shared" si="8"/>
        <v>0</v>
      </c>
      <c r="N457" s="17">
        <f t="shared" si="9"/>
        <v>0</v>
      </c>
      <c r="O457" s="32"/>
    </row>
    <row r="458" spans="1:15" x14ac:dyDescent="0.2">
      <c r="A458" s="5">
        <v>299</v>
      </c>
      <c r="B458" s="5">
        <v>1</v>
      </c>
      <c r="C458" s="6" t="s">
        <v>228</v>
      </c>
      <c r="D458" s="25">
        <f>'FY07 PU'!D108</f>
        <v>0</v>
      </c>
      <c r="E458" s="17">
        <v>343.61</v>
      </c>
      <c r="F458" s="32">
        <v>347.14</v>
      </c>
      <c r="G458" s="32">
        <v>298.73</v>
      </c>
      <c r="H458" s="17">
        <v>244.74</v>
      </c>
      <c r="I458" s="17">
        <v>204.29</v>
      </c>
      <c r="J458" s="17">
        <f t="shared" si="5"/>
        <v>0</v>
      </c>
      <c r="K458" s="17">
        <f t="shared" si="6"/>
        <v>0</v>
      </c>
      <c r="L458" s="17">
        <f t="shared" si="7"/>
        <v>0</v>
      </c>
      <c r="M458" s="17">
        <f t="shared" si="8"/>
        <v>0</v>
      </c>
      <c r="N458" s="17">
        <f t="shared" si="9"/>
        <v>0</v>
      </c>
      <c r="O458" s="32"/>
    </row>
    <row r="459" spans="1:15" x14ac:dyDescent="0.2">
      <c r="A459" s="5">
        <v>300</v>
      </c>
      <c r="B459" s="5">
        <v>1</v>
      </c>
      <c r="C459" s="6" t="s">
        <v>229</v>
      </c>
      <c r="D459" s="25">
        <f>'FY07 PU'!D109</f>
        <v>0</v>
      </c>
      <c r="E459" s="17">
        <v>0.41</v>
      </c>
      <c r="F459" s="32">
        <v>158.61000000000001</v>
      </c>
      <c r="G459" s="32">
        <v>109.49</v>
      </c>
      <c r="H459" s="17">
        <v>100.89</v>
      </c>
      <c r="I459" s="17">
        <v>82.28</v>
      </c>
      <c r="J459" s="17">
        <f t="shared" si="5"/>
        <v>0</v>
      </c>
      <c r="K459" s="17">
        <f t="shared" si="6"/>
        <v>0</v>
      </c>
      <c r="L459" s="17">
        <f t="shared" si="7"/>
        <v>0</v>
      </c>
      <c r="M459" s="17">
        <f t="shared" si="8"/>
        <v>0</v>
      </c>
      <c r="N459" s="17">
        <f t="shared" si="9"/>
        <v>0</v>
      </c>
      <c r="O459" s="32"/>
    </row>
    <row r="460" spans="1:15" x14ac:dyDescent="0.2">
      <c r="A460" s="5">
        <v>306</v>
      </c>
      <c r="B460" s="5">
        <v>1</v>
      </c>
      <c r="C460" s="6" t="s">
        <v>230</v>
      </c>
      <c r="D460" s="25">
        <f>'FY07 PU'!D110</f>
        <v>0</v>
      </c>
      <c r="E460" s="17">
        <v>0</v>
      </c>
      <c r="F460" s="32">
        <v>0</v>
      </c>
      <c r="G460" s="32">
        <v>0</v>
      </c>
      <c r="H460" s="17">
        <v>0</v>
      </c>
      <c r="I460" s="17">
        <v>0</v>
      </c>
      <c r="J460" s="17">
        <f t="shared" si="5"/>
        <v>0</v>
      </c>
      <c r="K460" s="17">
        <f t="shared" si="6"/>
        <v>0</v>
      </c>
      <c r="L460" s="17">
        <f t="shared" si="7"/>
        <v>0</v>
      </c>
      <c r="M460" s="17">
        <f t="shared" si="8"/>
        <v>0</v>
      </c>
      <c r="N460" s="17">
        <f t="shared" si="9"/>
        <v>0</v>
      </c>
      <c r="O460" s="32"/>
    </row>
    <row r="461" spans="1:15" x14ac:dyDescent="0.2">
      <c r="A461" s="5">
        <v>308</v>
      </c>
      <c r="B461" s="5">
        <v>1</v>
      </c>
      <c r="C461" s="6" t="s">
        <v>231</v>
      </c>
      <c r="D461" s="25">
        <f>'FY07 PU'!D111</f>
        <v>0</v>
      </c>
      <c r="E461" s="17">
        <v>0</v>
      </c>
      <c r="F461" s="32">
        <v>0</v>
      </c>
      <c r="G461" s="32">
        <v>0</v>
      </c>
      <c r="H461" s="17">
        <v>0</v>
      </c>
      <c r="I461" s="17">
        <v>0</v>
      </c>
      <c r="J461" s="17">
        <f t="shared" si="5"/>
        <v>0</v>
      </c>
      <c r="K461" s="17">
        <f t="shared" si="6"/>
        <v>0</v>
      </c>
      <c r="L461" s="17">
        <f t="shared" si="7"/>
        <v>0</v>
      </c>
      <c r="M461" s="17">
        <f t="shared" si="8"/>
        <v>0</v>
      </c>
      <c r="N461" s="17">
        <f t="shared" si="9"/>
        <v>0</v>
      </c>
      <c r="O461" s="32"/>
    </row>
    <row r="462" spans="1:15" x14ac:dyDescent="0.2">
      <c r="A462" s="5">
        <v>309</v>
      </c>
      <c r="B462" s="5">
        <v>1</v>
      </c>
      <c r="C462" s="6" t="s">
        <v>232</v>
      </c>
      <c r="D462" s="25">
        <f>'FY07 PU'!D112</f>
        <v>0</v>
      </c>
      <c r="E462" s="17">
        <v>0</v>
      </c>
      <c r="F462" s="32">
        <v>84.13</v>
      </c>
      <c r="G462" s="32">
        <v>0</v>
      </c>
      <c r="H462" s="17">
        <v>0</v>
      </c>
      <c r="I462" s="17">
        <v>0</v>
      </c>
      <c r="J462" s="17">
        <f t="shared" si="5"/>
        <v>0</v>
      </c>
      <c r="K462" s="17">
        <f t="shared" si="6"/>
        <v>0</v>
      </c>
      <c r="L462" s="17">
        <f t="shared" si="7"/>
        <v>0</v>
      </c>
      <c r="M462" s="17">
        <f t="shared" si="8"/>
        <v>0</v>
      </c>
      <c r="N462" s="17">
        <f t="shared" si="9"/>
        <v>0</v>
      </c>
      <c r="O462" s="32"/>
    </row>
    <row r="463" spans="1:15" x14ac:dyDescent="0.2">
      <c r="A463" s="5">
        <v>314</v>
      </c>
      <c r="B463" s="5">
        <v>1</v>
      </c>
      <c r="C463" s="6" t="s">
        <v>233</v>
      </c>
      <c r="D463" s="25">
        <f>'FY07 PU'!D113</f>
        <v>0</v>
      </c>
      <c r="E463" s="17">
        <v>160.04</v>
      </c>
      <c r="F463" s="32">
        <v>132.77000000000001</v>
      </c>
      <c r="G463" s="32">
        <v>166.9</v>
      </c>
      <c r="H463" s="17">
        <v>128.24</v>
      </c>
      <c r="I463" s="17">
        <v>98.29</v>
      </c>
      <c r="J463" s="17">
        <f t="shared" si="5"/>
        <v>0</v>
      </c>
      <c r="K463" s="17">
        <f t="shared" si="6"/>
        <v>0</v>
      </c>
      <c r="L463" s="17">
        <f t="shared" si="7"/>
        <v>0</v>
      </c>
      <c r="M463" s="17">
        <f t="shared" si="8"/>
        <v>0</v>
      </c>
      <c r="N463" s="17">
        <f t="shared" si="9"/>
        <v>0</v>
      </c>
      <c r="O463" s="32"/>
    </row>
    <row r="464" spans="1:15" x14ac:dyDescent="0.2">
      <c r="A464" s="5">
        <v>316</v>
      </c>
      <c r="B464" s="5">
        <v>1</v>
      </c>
      <c r="C464" s="6" t="s">
        <v>234</v>
      </c>
      <c r="D464" s="25">
        <f>'FY07 PU'!D114</f>
        <v>0</v>
      </c>
      <c r="E464" s="17">
        <v>343.55</v>
      </c>
      <c r="F464" s="32">
        <v>331.49</v>
      </c>
      <c r="G464" s="32">
        <v>258.79000000000002</v>
      </c>
      <c r="H464" s="17">
        <v>225.46</v>
      </c>
      <c r="I464" s="17">
        <v>113.44</v>
      </c>
      <c r="J464" s="17">
        <f t="shared" si="5"/>
        <v>0</v>
      </c>
      <c r="K464" s="17">
        <f t="shared" si="6"/>
        <v>0</v>
      </c>
      <c r="L464" s="17">
        <f t="shared" si="7"/>
        <v>0</v>
      </c>
      <c r="M464" s="17">
        <f t="shared" si="8"/>
        <v>0</v>
      </c>
      <c r="N464" s="17">
        <f t="shared" si="9"/>
        <v>0</v>
      </c>
      <c r="O464" s="32"/>
    </row>
    <row r="465" spans="1:15" x14ac:dyDescent="0.2">
      <c r="A465" s="5">
        <v>317</v>
      </c>
      <c r="B465" s="5">
        <v>1</v>
      </c>
      <c r="C465" s="6" t="s">
        <v>235</v>
      </c>
      <c r="D465" s="25">
        <f>'FY07 PU'!D115</f>
        <v>0</v>
      </c>
      <c r="E465" s="17">
        <v>0</v>
      </c>
      <c r="F465" s="32">
        <v>0</v>
      </c>
      <c r="G465" s="32">
        <v>0</v>
      </c>
      <c r="H465" s="17">
        <v>0</v>
      </c>
      <c r="I465" s="17">
        <v>0</v>
      </c>
      <c r="J465" s="17">
        <f t="shared" si="5"/>
        <v>0</v>
      </c>
      <c r="K465" s="17">
        <f t="shared" si="6"/>
        <v>0</v>
      </c>
      <c r="L465" s="17">
        <f t="shared" si="7"/>
        <v>0</v>
      </c>
      <c r="M465" s="17">
        <f t="shared" si="8"/>
        <v>0</v>
      </c>
      <c r="N465" s="17">
        <f t="shared" si="9"/>
        <v>0</v>
      </c>
      <c r="O465" s="32"/>
    </row>
    <row r="466" spans="1:15" x14ac:dyDescent="0.2">
      <c r="A466" s="5">
        <v>318</v>
      </c>
      <c r="B466" s="5">
        <v>1</v>
      </c>
      <c r="C466" s="6" t="s">
        <v>236</v>
      </c>
      <c r="D466" s="25">
        <f>'FY07 PU'!D116</f>
        <v>0</v>
      </c>
      <c r="E466" s="17">
        <v>0</v>
      </c>
      <c r="F466" s="32">
        <v>0</v>
      </c>
      <c r="G466" s="32">
        <v>0</v>
      </c>
      <c r="H466" s="17">
        <v>0</v>
      </c>
      <c r="I466" s="17">
        <v>0</v>
      </c>
      <c r="J466" s="17">
        <f t="shared" si="5"/>
        <v>0</v>
      </c>
      <c r="K466" s="17">
        <f t="shared" si="6"/>
        <v>0</v>
      </c>
      <c r="L466" s="17">
        <f t="shared" si="7"/>
        <v>0</v>
      </c>
      <c r="M466" s="17">
        <f t="shared" si="8"/>
        <v>0</v>
      </c>
      <c r="N466" s="17">
        <f t="shared" si="9"/>
        <v>0</v>
      </c>
      <c r="O466" s="32"/>
    </row>
    <row r="467" spans="1:15" x14ac:dyDescent="0.2">
      <c r="A467" s="5">
        <v>319</v>
      </c>
      <c r="B467" s="5">
        <v>1</v>
      </c>
      <c r="C467" s="6" t="s">
        <v>237</v>
      </c>
      <c r="D467" s="25">
        <f>'FY07 PU'!D117</f>
        <v>0</v>
      </c>
      <c r="E467" s="17">
        <v>69.48</v>
      </c>
      <c r="F467" s="32">
        <v>63.41</v>
      </c>
      <c r="G467" s="32">
        <v>53.91</v>
      </c>
      <c r="H467" s="17">
        <v>0</v>
      </c>
      <c r="I467" s="17">
        <v>0</v>
      </c>
      <c r="J467" s="17">
        <f t="shared" si="5"/>
        <v>0</v>
      </c>
      <c r="K467" s="17">
        <f t="shared" si="6"/>
        <v>0</v>
      </c>
      <c r="L467" s="17">
        <f t="shared" si="7"/>
        <v>0</v>
      </c>
      <c r="M467" s="17">
        <f t="shared" si="8"/>
        <v>0</v>
      </c>
      <c r="N467" s="17">
        <f t="shared" si="9"/>
        <v>0</v>
      </c>
      <c r="O467" s="32"/>
    </row>
    <row r="468" spans="1:15" x14ac:dyDescent="0.2">
      <c r="A468" s="5">
        <v>323</v>
      </c>
      <c r="B468" s="5">
        <v>2</v>
      </c>
      <c r="C468" s="6" t="s">
        <v>238</v>
      </c>
      <c r="D468" s="25">
        <f>'FY07 PU'!D118</f>
        <v>0</v>
      </c>
      <c r="E468" s="17">
        <v>152.11000000000001</v>
      </c>
      <c r="F468" s="32">
        <v>0</v>
      </c>
      <c r="G468" s="32">
        <v>0</v>
      </c>
      <c r="H468" s="17">
        <v>0</v>
      </c>
      <c r="I468" s="17">
        <v>0</v>
      </c>
      <c r="J468" s="17">
        <f t="shared" si="5"/>
        <v>0</v>
      </c>
      <c r="K468" s="17">
        <f t="shared" si="6"/>
        <v>0</v>
      </c>
      <c r="L468" s="17">
        <f t="shared" si="7"/>
        <v>0</v>
      </c>
      <c r="M468" s="17">
        <f t="shared" si="8"/>
        <v>0</v>
      </c>
      <c r="N468" s="17">
        <f t="shared" si="9"/>
        <v>0</v>
      </c>
      <c r="O468" s="32"/>
    </row>
    <row r="469" spans="1:15" x14ac:dyDescent="0.2">
      <c r="A469" s="5">
        <v>330</v>
      </c>
      <c r="B469" s="5">
        <v>1</v>
      </c>
      <c r="C469" s="6" t="s">
        <v>239</v>
      </c>
      <c r="D469" s="25">
        <f>'FY07 PU'!D119</f>
        <v>0</v>
      </c>
      <c r="E469" s="17">
        <v>533.47</v>
      </c>
      <c r="F469" s="32">
        <v>481.19</v>
      </c>
      <c r="G469" s="32">
        <v>399.18</v>
      </c>
      <c r="H469" s="17">
        <v>399.63</v>
      </c>
      <c r="I469" s="17">
        <v>368.06</v>
      </c>
      <c r="J469" s="17">
        <f t="shared" si="5"/>
        <v>0</v>
      </c>
      <c r="K469" s="17">
        <f t="shared" si="6"/>
        <v>0</v>
      </c>
      <c r="L469" s="17">
        <f t="shared" si="7"/>
        <v>0</v>
      </c>
      <c r="M469" s="17">
        <f t="shared" si="8"/>
        <v>0</v>
      </c>
      <c r="N469" s="17">
        <f t="shared" si="9"/>
        <v>0</v>
      </c>
      <c r="O469" s="32"/>
    </row>
    <row r="470" spans="1:15" x14ac:dyDescent="0.2">
      <c r="A470" s="5">
        <v>332</v>
      </c>
      <c r="B470" s="5">
        <v>1</v>
      </c>
      <c r="C470" s="6" t="s">
        <v>240</v>
      </c>
      <c r="D470" s="25">
        <f>'FY07 PU'!D120</f>
        <v>0</v>
      </c>
      <c r="E470" s="17">
        <v>62.64</v>
      </c>
      <c r="F470" s="32">
        <v>52.8</v>
      </c>
      <c r="G470" s="32">
        <v>42.98</v>
      </c>
      <c r="H470" s="17">
        <v>38.97</v>
      </c>
      <c r="I470" s="17">
        <v>0</v>
      </c>
      <c r="J470" s="17">
        <f t="shared" si="5"/>
        <v>0</v>
      </c>
      <c r="K470" s="17">
        <f t="shared" si="6"/>
        <v>0</v>
      </c>
      <c r="L470" s="17">
        <f t="shared" si="7"/>
        <v>0</v>
      </c>
      <c r="M470" s="17">
        <f t="shared" si="8"/>
        <v>0</v>
      </c>
      <c r="N470" s="17">
        <f t="shared" si="9"/>
        <v>0</v>
      </c>
      <c r="O470" s="32"/>
    </row>
    <row r="471" spans="1:15" x14ac:dyDescent="0.2">
      <c r="A471" s="5">
        <v>333</v>
      </c>
      <c r="B471" s="5">
        <v>1</v>
      </c>
      <c r="C471" s="6" t="s">
        <v>241</v>
      </c>
      <c r="D471" s="25">
        <f>'FY07 PU'!D121</f>
        <v>0</v>
      </c>
      <c r="E471" s="17">
        <v>0</v>
      </c>
      <c r="F471" s="32">
        <v>0</v>
      </c>
      <c r="G471" s="32">
        <v>0</v>
      </c>
      <c r="H471" s="17">
        <v>0</v>
      </c>
      <c r="I471" s="17">
        <v>0</v>
      </c>
      <c r="J471" s="17">
        <f t="shared" si="5"/>
        <v>0</v>
      </c>
      <c r="K471" s="17">
        <f t="shared" si="6"/>
        <v>0</v>
      </c>
      <c r="L471" s="17">
        <f t="shared" si="7"/>
        <v>0</v>
      </c>
      <c r="M471" s="17">
        <f t="shared" si="8"/>
        <v>0</v>
      </c>
      <c r="N471" s="17">
        <f t="shared" si="9"/>
        <v>0</v>
      </c>
      <c r="O471" s="32"/>
    </row>
    <row r="472" spans="1:15" x14ac:dyDescent="0.2">
      <c r="A472" s="5">
        <v>345</v>
      </c>
      <c r="B472" s="5">
        <v>1</v>
      </c>
      <c r="C472" s="6" t="s">
        <v>242</v>
      </c>
      <c r="D472" s="25">
        <f>'FY07 PU'!D122</f>
        <v>0</v>
      </c>
      <c r="E472" s="17">
        <v>118.89</v>
      </c>
      <c r="F472" s="32">
        <v>64.45</v>
      </c>
      <c r="G472" s="32">
        <v>35.89</v>
      </c>
      <c r="H472" s="17">
        <v>0</v>
      </c>
      <c r="I472" s="17">
        <v>0</v>
      </c>
      <c r="J472" s="17">
        <f t="shared" si="5"/>
        <v>0</v>
      </c>
      <c r="K472" s="17">
        <f t="shared" si="6"/>
        <v>0</v>
      </c>
      <c r="L472" s="17">
        <f t="shared" si="7"/>
        <v>0</v>
      </c>
      <c r="M472" s="17">
        <f t="shared" si="8"/>
        <v>0</v>
      </c>
      <c r="N472" s="17">
        <f t="shared" si="9"/>
        <v>0</v>
      </c>
      <c r="O472" s="32"/>
    </row>
    <row r="473" spans="1:15" x14ac:dyDescent="0.2">
      <c r="A473" s="5">
        <v>347</v>
      </c>
      <c r="B473" s="5">
        <v>1</v>
      </c>
      <c r="C473" s="6" t="s">
        <v>243</v>
      </c>
      <c r="D473" s="25">
        <f>'FY07 PU'!D123</f>
        <v>0</v>
      </c>
      <c r="E473" s="17">
        <v>262.52999999999997</v>
      </c>
      <c r="F473" s="32">
        <v>238.27</v>
      </c>
      <c r="G473" s="32">
        <v>208.26</v>
      </c>
      <c r="H473" s="17">
        <v>198.65</v>
      </c>
      <c r="I473" s="17">
        <v>187.44</v>
      </c>
      <c r="J473" s="17">
        <f t="shared" si="5"/>
        <v>0</v>
      </c>
      <c r="K473" s="17">
        <f t="shared" si="6"/>
        <v>0</v>
      </c>
      <c r="L473" s="17">
        <f t="shared" si="7"/>
        <v>0</v>
      </c>
      <c r="M473" s="17">
        <f t="shared" si="8"/>
        <v>0</v>
      </c>
      <c r="N473" s="17">
        <f t="shared" si="9"/>
        <v>0</v>
      </c>
      <c r="O473" s="32"/>
    </row>
    <row r="474" spans="1:15" x14ac:dyDescent="0.2">
      <c r="A474" s="5">
        <v>356</v>
      </c>
      <c r="B474" s="5">
        <v>1</v>
      </c>
      <c r="C474" s="6" t="s">
        <v>244</v>
      </c>
      <c r="D474" s="25">
        <f>'FY07 PU'!D124</f>
        <v>0</v>
      </c>
      <c r="E474" s="17">
        <v>295.93</v>
      </c>
      <c r="F474" s="32">
        <v>213.97</v>
      </c>
      <c r="G474" s="32">
        <v>98.13</v>
      </c>
      <c r="H474" s="17">
        <v>1.95</v>
      </c>
      <c r="I474" s="17">
        <v>0</v>
      </c>
      <c r="J474" s="17">
        <f t="shared" si="5"/>
        <v>0</v>
      </c>
      <c r="K474" s="17">
        <f t="shared" si="6"/>
        <v>0</v>
      </c>
      <c r="L474" s="17">
        <f t="shared" si="7"/>
        <v>0</v>
      </c>
      <c r="M474" s="17">
        <f t="shared" si="8"/>
        <v>0</v>
      </c>
      <c r="N474" s="17">
        <f t="shared" si="9"/>
        <v>0</v>
      </c>
      <c r="O474" s="32"/>
    </row>
    <row r="475" spans="1:15" x14ac:dyDescent="0.2">
      <c r="A475" s="5">
        <v>361</v>
      </c>
      <c r="B475" s="5">
        <v>1</v>
      </c>
      <c r="C475" s="6" t="s">
        <v>245</v>
      </c>
      <c r="D475" s="25">
        <f>'FY07 PU'!D125</f>
        <v>0</v>
      </c>
      <c r="E475" s="17">
        <v>297.63</v>
      </c>
      <c r="F475" s="32">
        <v>282.14999999999998</v>
      </c>
      <c r="G475" s="32">
        <v>255.28</v>
      </c>
      <c r="H475" s="17">
        <v>224</v>
      </c>
      <c r="I475" s="17">
        <v>199.28</v>
      </c>
      <c r="J475" s="17">
        <f t="shared" si="5"/>
        <v>0</v>
      </c>
      <c r="K475" s="17">
        <f t="shared" si="6"/>
        <v>0</v>
      </c>
      <c r="L475" s="17">
        <f t="shared" si="7"/>
        <v>0</v>
      </c>
      <c r="M475" s="17">
        <f t="shared" si="8"/>
        <v>0</v>
      </c>
      <c r="N475" s="17">
        <f t="shared" si="9"/>
        <v>0</v>
      </c>
      <c r="O475" s="32"/>
    </row>
    <row r="476" spans="1:15" x14ac:dyDescent="0.2">
      <c r="A476" s="5">
        <v>362</v>
      </c>
      <c r="B476" s="5">
        <v>1</v>
      </c>
      <c r="C476" s="6" t="s">
        <v>246</v>
      </c>
      <c r="D476" s="25">
        <f>'FY07 PU'!D126</f>
        <v>0</v>
      </c>
      <c r="E476" s="17">
        <v>0.72</v>
      </c>
      <c r="F476" s="32">
        <v>0.7</v>
      </c>
      <c r="G476" s="32">
        <v>0.69</v>
      </c>
      <c r="H476" s="17">
        <v>0.65</v>
      </c>
      <c r="I476" s="17">
        <v>0.61</v>
      </c>
      <c r="J476" s="17">
        <f t="shared" si="5"/>
        <v>0</v>
      </c>
      <c r="K476" s="17">
        <f t="shared" si="6"/>
        <v>0</v>
      </c>
      <c r="L476" s="17">
        <f t="shared" si="7"/>
        <v>0</v>
      </c>
      <c r="M476" s="17">
        <f t="shared" si="8"/>
        <v>0</v>
      </c>
      <c r="N476" s="17">
        <f t="shared" si="9"/>
        <v>0</v>
      </c>
      <c r="O476" s="32"/>
    </row>
    <row r="477" spans="1:15" x14ac:dyDescent="0.2">
      <c r="A477" s="5">
        <v>363</v>
      </c>
      <c r="B477" s="5">
        <v>1</v>
      </c>
      <c r="C477" s="6" t="s">
        <v>247</v>
      </c>
      <c r="D477" s="25">
        <f>'FY07 PU'!D127</f>
        <v>0</v>
      </c>
      <c r="E477" s="17">
        <v>0.73</v>
      </c>
      <c r="F477" s="32">
        <v>0.7</v>
      </c>
      <c r="G477" s="32">
        <v>0.67</v>
      </c>
      <c r="H477" s="17">
        <v>0.63</v>
      </c>
      <c r="I477" s="17">
        <v>0.6</v>
      </c>
      <c r="J477" s="17">
        <f t="shared" si="5"/>
        <v>0</v>
      </c>
      <c r="K477" s="17">
        <f t="shared" si="6"/>
        <v>0</v>
      </c>
      <c r="L477" s="17">
        <f t="shared" si="7"/>
        <v>0</v>
      </c>
      <c r="M477" s="17">
        <f t="shared" si="8"/>
        <v>0</v>
      </c>
      <c r="N477" s="17">
        <f t="shared" si="9"/>
        <v>0</v>
      </c>
      <c r="O477" s="32"/>
    </row>
    <row r="478" spans="1:15" x14ac:dyDescent="0.2">
      <c r="A478" s="5">
        <v>371</v>
      </c>
      <c r="B478" s="5">
        <v>1</v>
      </c>
      <c r="C478" s="6" t="s">
        <v>248</v>
      </c>
      <c r="D478" s="25">
        <f>'FY07 PU'!D128</f>
        <v>0</v>
      </c>
      <c r="E478" s="17">
        <v>178.73</v>
      </c>
      <c r="F478" s="32">
        <v>192.28</v>
      </c>
      <c r="G478" s="32">
        <v>96.71</v>
      </c>
      <c r="H478" s="17">
        <v>0</v>
      </c>
      <c r="I478" s="17">
        <v>0</v>
      </c>
      <c r="J478" s="17">
        <f t="shared" si="5"/>
        <v>0</v>
      </c>
      <c r="K478" s="17">
        <f t="shared" si="6"/>
        <v>0</v>
      </c>
      <c r="L478" s="17">
        <f t="shared" si="7"/>
        <v>0</v>
      </c>
      <c r="M478" s="17">
        <f t="shared" si="8"/>
        <v>0</v>
      </c>
      <c r="N478" s="17">
        <f t="shared" si="9"/>
        <v>0</v>
      </c>
      <c r="O478" s="32"/>
    </row>
    <row r="479" spans="1:15" x14ac:dyDescent="0.2">
      <c r="A479" s="5">
        <v>378</v>
      </c>
      <c r="B479" s="5">
        <v>1</v>
      </c>
      <c r="C479" s="6" t="s">
        <v>249</v>
      </c>
      <c r="D479" s="25">
        <f>'FY07 PU'!D129</f>
        <v>0</v>
      </c>
      <c r="E479" s="17">
        <v>506.78</v>
      </c>
      <c r="F479" s="32">
        <v>514.69000000000005</v>
      </c>
      <c r="G479" s="32">
        <v>484.49</v>
      </c>
      <c r="H479" s="17">
        <v>465.78</v>
      </c>
      <c r="I479" s="17">
        <v>441.04</v>
      </c>
      <c r="J479" s="17">
        <f t="shared" si="5"/>
        <v>0</v>
      </c>
      <c r="K479" s="17">
        <f t="shared" si="6"/>
        <v>0</v>
      </c>
      <c r="L479" s="17">
        <f t="shared" si="7"/>
        <v>0</v>
      </c>
      <c r="M479" s="17">
        <f t="shared" si="8"/>
        <v>0</v>
      </c>
      <c r="N479" s="17">
        <f t="shared" si="9"/>
        <v>0</v>
      </c>
      <c r="O479" s="32"/>
    </row>
    <row r="480" spans="1:15" x14ac:dyDescent="0.2">
      <c r="A480" s="5">
        <v>381</v>
      </c>
      <c r="B480" s="5">
        <v>1</v>
      </c>
      <c r="C480" s="6" t="s">
        <v>250</v>
      </c>
      <c r="D480" s="25">
        <f>'FY07 PU'!D130</f>
        <v>0</v>
      </c>
      <c r="E480" s="17">
        <v>0</v>
      </c>
      <c r="F480" s="32">
        <v>0</v>
      </c>
      <c r="G480" s="32">
        <v>0</v>
      </c>
      <c r="H480" s="17">
        <v>0</v>
      </c>
      <c r="I480" s="17">
        <v>0</v>
      </c>
      <c r="J480" s="17">
        <f t="shared" si="5"/>
        <v>0</v>
      </c>
      <c r="K480" s="17">
        <f t="shared" si="6"/>
        <v>0</v>
      </c>
      <c r="L480" s="17">
        <f t="shared" si="7"/>
        <v>0</v>
      </c>
      <c r="M480" s="17">
        <f t="shared" si="8"/>
        <v>0</v>
      </c>
      <c r="N480" s="17">
        <f t="shared" si="9"/>
        <v>0</v>
      </c>
      <c r="O480" s="32"/>
    </row>
    <row r="481" spans="1:15" x14ac:dyDescent="0.2">
      <c r="A481" s="5">
        <v>390</v>
      </c>
      <c r="B481" s="5">
        <v>1</v>
      </c>
      <c r="C481" s="6" t="s">
        <v>251</v>
      </c>
      <c r="D481" s="25">
        <f>'FY07 PU'!D131</f>
        <v>0</v>
      </c>
      <c r="E481" s="17">
        <v>69.72</v>
      </c>
      <c r="F481" s="32">
        <v>59.27</v>
      </c>
      <c r="G481" s="32">
        <v>280.64999999999998</v>
      </c>
      <c r="H481" s="17">
        <v>246.68</v>
      </c>
      <c r="I481" s="17">
        <v>209.1</v>
      </c>
      <c r="J481" s="17">
        <f t="shared" si="5"/>
        <v>0</v>
      </c>
      <c r="K481" s="17">
        <f t="shared" si="6"/>
        <v>0</v>
      </c>
      <c r="L481" s="17">
        <f t="shared" si="7"/>
        <v>0</v>
      </c>
      <c r="M481" s="17">
        <f t="shared" si="8"/>
        <v>0</v>
      </c>
      <c r="N481" s="17">
        <f t="shared" si="9"/>
        <v>0</v>
      </c>
      <c r="O481" s="32"/>
    </row>
    <row r="482" spans="1:15" x14ac:dyDescent="0.2">
      <c r="A482" s="5">
        <v>391</v>
      </c>
      <c r="B482" s="5">
        <v>1</v>
      </c>
      <c r="C482" s="6" t="s">
        <v>252</v>
      </c>
      <c r="D482" s="25">
        <f>'FY07 PU'!D132</f>
        <v>0</v>
      </c>
      <c r="E482" s="17">
        <v>104.91</v>
      </c>
      <c r="F482" s="32">
        <v>100.99</v>
      </c>
      <c r="G482" s="32">
        <v>21.66</v>
      </c>
      <c r="H482" s="17">
        <v>0</v>
      </c>
      <c r="I482" s="17">
        <v>0</v>
      </c>
      <c r="J482" s="17">
        <f t="shared" si="5"/>
        <v>0</v>
      </c>
      <c r="K482" s="17">
        <f t="shared" si="6"/>
        <v>0</v>
      </c>
      <c r="L482" s="17">
        <f t="shared" si="7"/>
        <v>0</v>
      </c>
      <c r="M482" s="17">
        <f t="shared" si="8"/>
        <v>0</v>
      </c>
      <c r="N482" s="17">
        <f t="shared" si="9"/>
        <v>0</v>
      </c>
      <c r="O482" s="32"/>
    </row>
    <row r="483" spans="1:15" x14ac:dyDescent="0.2">
      <c r="A483" s="5">
        <v>392</v>
      </c>
      <c r="B483" s="5">
        <v>1</v>
      </c>
      <c r="C483" s="6" t="s">
        <v>253</v>
      </c>
      <c r="D483" s="25">
        <f>'FY07 PU'!D133</f>
        <v>0</v>
      </c>
      <c r="E483" s="17">
        <v>317.93</v>
      </c>
      <c r="F483" s="32">
        <v>275.07</v>
      </c>
      <c r="G483" s="32">
        <v>245.88</v>
      </c>
      <c r="H483" s="17">
        <v>223.32</v>
      </c>
      <c r="I483" s="17">
        <v>210.21</v>
      </c>
      <c r="J483" s="17">
        <f t="shared" si="5"/>
        <v>0</v>
      </c>
      <c r="K483" s="17">
        <f t="shared" si="6"/>
        <v>0</v>
      </c>
      <c r="L483" s="17">
        <f t="shared" si="7"/>
        <v>0</v>
      </c>
      <c r="M483" s="17">
        <f t="shared" si="8"/>
        <v>0</v>
      </c>
      <c r="N483" s="17">
        <f t="shared" si="9"/>
        <v>0</v>
      </c>
      <c r="O483" s="32"/>
    </row>
    <row r="484" spans="1:15" x14ac:dyDescent="0.2">
      <c r="A484" s="5">
        <v>394</v>
      </c>
      <c r="B484" s="5">
        <v>1</v>
      </c>
      <c r="C484" s="6" t="s">
        <v>254</v>
      </c>
      <c r="D484" s="25">
        <f>'FY07 PU'!D134</f>
        <v>0</v>
      </c>
      <c r="E484" s="17">
        <v>0</v>
      </c>
      <c r="F484" s="32">
        <v>0</v>
      </c>
      <c r="G484" s="32">
        <v>0</v>
      </c>
      <c r="H484" s="17">
        <v>0</v>
      </c>
      <c r="I484" s="17">
        <v>0</v>
      </c>
      <c r="J484" s="17">
        <f t="shared" si="5"/>
        <v>0</v>
      </c>
      <c r="K484" s="17">
        <f t="shared" si="6"/>
        <v>0</v>
      </c>
      <c r="L484" s="17">
        <f t="shared" si="7"/>
        <v>0</v>
      </c>
      <c r="M484" s="17">
        <f t="shared" si="8"/>
        <v>0</v>
      </c>
      <c r="N484" s="17">
        <f t="shared" si="9"/>
        <v>0</v>
      </c>
      <c r="O484" s="32"/>
    </row>
    <row r="485" spans="1:15" x14ac:dyDescent="0.2">
      <c r="A485" s="5">
        <v>402</v>
      </c>
      <c r="B485" s="5">
        <v>1</v>
      </c>
      <c r="C485" s="6" t="s">
        <v>255</v>
      </c>
      <c r="D485" s="25">
        <f>'FY07 PU'!D135</f>
        <v>0</v>
      </c>
      <c r="E485" s="17">
        <v>454.82</v>
      </c>
      <c r="F485" s="32">
        <v>464.78</v>
      </c>
      <c r="G485" s="32">
        <v>433.61</v>
      </c>
      <c r="H485" s="17">
        <v>397.42</v>
      </c>
      <c r="I485" s="17">
        <v>390.27</v>
      </c>
      <c r="J485" s="17">
        <f t="shared" si="5"/>
        <v>0</v>
      </c>
      <c r="K485" s="17">
        <f t="shared" si="6"/>
        <v>0</v>
      </c>
      <c r="L485" s="17">
        <f t="shared" si="7"/>
        <v>0</v>
      </c>
      <c r="M485" s="17">
        <f t="shared" si="8"/>
        <v>0</v>
      </c>
      <c r="N485" s="17">
        <f t="shared" si="9"/>
        <v>0</v>
      </c>
      <c r="O485" s="32"/>
    </row>
    <row r="486" spans="1:15" x14ac:dyDescent="0.2">
      <c r="A486" s="5">
        <v>403</v>
      </c>
      <c r="B486" s="5">
        <v>1</v>
      </c>
      <c r="C486" s="6" t="s">
        <v>256</v>
      </c>
      <c r="D486" s="25">
        <f>'FY07 PU'!D136</f>
        <v>0</v>
      </c>
      <c r="E486" s="17">
        <v>270.04000000000002</v>
      </c>
      <c r="F486" s="32">
        <v>647.91999999999996</v>
      </c>
      <c r="G486" s="32">
        <v>597.36</v>
      </c>
      <c r="H486" s="17">
        <v>586.41</v>
      </c>
      <c r="I486" s="17">
        <v>537.73</v>
      </c>
      <c r="J486" s="17">
        <f t="shared" si="5"/>
        <v>0</v>
      </c>
      <c r="K486" s="17">
        <f t="shared" si="6"/>
        <v>0</v>
      </c>
      <c r="L486" s="17">
        <f t="shared" si="7"/>
        <v>0</v>
      </c>
      <c r="M486" s="17">
        <f t="shared" si="8"/>
        <v>0</v>
      </c>
      <c r="N486" s="17">
        <f t="shared" si="9"/>
        <v>0</v>
      </c>
      <c r="O486" s="32"/>
    </row>
    <row r="487" spans="1:15" x14ac:dyDescent="0.2">
      <c r="A487" s="5">
        <v>404</v>
      </c>
      <c r="B487" s="5">
        <v>1</v>
      </c>
      <c r="C487" s="6" t="s">
        <v>257</v>
      </c>
      <c r="D487" s="25">
        <f>'FY07 PU'!D137</f>
        <v>0</v>
      </c>
      <c r="E487" s="17">
        <v>101.47</v>
      </c>
      <c r="F487" s="32">
        <v>347.14</v>
      </c>
      <c r="G487" s="32">
        <v>305.8</v>
      </c>
      <c r="H487" s="17">
        <v>335.76</v>
      </c>
      <c r="I487" s="17">
        <v>288.58999999999997</v>
      </c>
      <c r="J487" s="17">
        <f t="shared" si="5"/>
        <v>0</v>
      </c>
      <c r="K487" s="17">
        <f t="shared" si="6"/>
        <v>0</v>
      </c>
      <c r="L487" s="17">
        <f t="shared" si="7"/>
        <v>0</v>
      </c>
      <c r="M487" s="17">
        <f t="shared" si="8"/>
        <v>0</v>
      </c>
      <c r="N487" s="17">
        <f t="shared" si="9"/>
        <v>0</v>
      </c>
      <c r="O487" s="32"/>
    </row>
    <row r="488" spans="1:15" x14ac:dyDescent="0.2">
      <c r="A488" s="5">
        <v>411</v>
      </c>
      <c r="B488" s="5">
        <v>1</v>
      </c>
      <c r="C488" s="6" t="s">
        <v>258</v>
      </c>
      <c r="D488" s="25">
        <f>'FY07 PU'!D138</f>
        <v>0</v>
      </c>
      <c r="E488" s="17">
        <v>245.16</v>
      </c>
      <c r="F488" s="32">
        <v>107.13</v>
      </c>
      <c r="G488" s="32">
        <v>104.96</v>
      </c>
      <c r="H488" s="17">
        <v>60.42</v>
      </c>
      <c r="I488" s="17">
        <v>22.51</v>
      </c>
      <c r="J488" s="17">
        <f t="shared" si="5"/>
        <v>0</v>
      </c>
      <c r="K488" s="17">
        <f t="shared" si="6"/>
        <v>0</v>
      </c>
      <c r="L488" s="17">
        <f t="shared" si="7"/>
        <v>0</v>
      </c>
      <c r="M488" s="17">
        <f t="shared" si="8"/>
        <v>0</v>
      </c>
      <c r="N488" s="17">
        <f t="shared" si="9"/>
        <v>0</v>
      </c>
      <c r="O488" s="32"/>
    </row>
    <row r="489" spans="1:15" x14ac:dyDescent="0.2">
      <c r="A489" s="5">
        <v>413</v>
      </c>
      <c r="B489" s="5">
        <v>1</v>
      </c>
      <c r="C489" s="6" t="s">
        <v>259</v>
      </c>
      <c r="D489" s="25">
        <f>'FY07 PU'!D139</f>
        <v>0</v>
      </c>
      <c r="E489" s="17">
        <v>69.12</v>
      </c>
      <c r="F489" s="32">
        <v>61.92</v>
      </c>
      <c r="G489" s="32">
        <v>179.44</v>
      </c>
      <c r="H489" s="17">
        <v>177.5</v>
      </c>
      <c r="I489" s="17">
        <v>160.88999999999999</v>
      </c>
      <c r="J489" s="17">
        <f t="shared" si="5"/>
        <v>0</v>
      </c>
      <c r="K489" s="17">
        <f t="shared" si="6"/>
        <v>0</v>
      </c>
      <c r="L489" s="17">
        <f t="shared" si="7"/>
        <v>0</v>
      </c>
      <c r="M489" s="17">
        <f t="shared" si="8"/>
        <v>0</v>
      </c>
      <c r="N489" s="17">
        <f t="shared" si="9"/>
        <v>0</v>
      </c>
      <c r="O489" s="32"/>
    </row>
    <row r="490" spans="1:15" x14ac:dyDescent="0.2">
      <c r="A490" s="5">
        <v>414</v>
      </c>
      <c r="B490" s="5">
        <v>1</v>
      </c>
      <c r="C490" s="6" t="s">
        <v>260</v>
      </c>
      <c r="D490" s="25">
        <f>'FY07 PU'!D140</f>
        <v>0</v>
      </c>
      <c r="E490" s="17">
        <v>80.11</v>
      </c>
      <c r="F490" s="32">
        <v>76</v>
      </c>
      <c r="G490" s="32">
        <v>71.03</v>
      </c>
      <c r="H490" s="17">
        <v>65.59</v>
      </c>
      <c r="I490" s="17">
        <v>61.92</v>
      </c>
      <c r="J490" s="17">
        <f t="shared" ref="J490:J553" si="10">$D490*E490</f>
        <v>0</v>
      </c>
      <c r="K490" s="17">
        <f t="shared" ref="K490:K553" si="11">$D490*F490</f>
        <v>0</v>
      </c>
      <c r="L490" s="17">
        <f t="shared" ref="L490:L553" si="12">$D490*G490</f>
        <v>0</v>
      </c>
      <c r="M490" s="17">
        <f t="shared" ref="M490:M553" si="13">$D490*H490</f>
        <v>0</v>
      </c>
      <c r="N490" s="17">
        <f t="shared" ref="N490:N553" si="14">$D490*I490</f>
        <v>0</v>
      </c>
      <c r="O490" s="32"/>
    </row>
    <row r="491" spans="1:15" x14ac:dyDescent="0.2">
      <c r="A491" s="5">
        <v>415</v>
      </c>
      <c r="B491" s="5">
        <v>1</v>
      </c>
      <c r="C491" s="6" t="s">
        <v>261</v>
      </c>
      <c r="D491" s="25">
        <f>'FY07 PU'!D141</f>
        <v>0</v>
      </c>
      <c r="E491" s="17">
        <v>440.38</v>
      </c>
      <c r="F491" s="32">
        <v>262.08</v>
      </c>
      <c r="G491" s="32">
        <v>159.19</v>
      </c>
      <c r="H491" s="17">
        <v>115.5</v>
      </c>
      <c r="I491" s="17">
        <v>71.72</v>
      </c>
      <c r="J491" s="17">
        <f t="shared" si="10"/>
        <v>0</v>
      </c>
      <c r="K491" s="17">
        <f t="shared" si="11"/>
        <v>0</v>
      </c>
      <c r="L491" s="17">
        <f t="shared" si="12"/>
        <v>0</v>
      </c>
      <c r="M491" s="17">
        <f t="shared" si="13"/>
        <v>0</v>
      </c>
      <c r="N491" s="17">
        <f t="shared" si="14"/>
        <v>0</v>
      </c>
      <c r="O491" s="32"/>
    </row>
    <row r="492" spans="1:15" x14ac:dyDescent="0.2">
      <c r="A492" s="5">
        <v>417</v>
      </c>
      <c r="B492" s="5">
        <v>1</v>
      </c>
      <c r="C492" s="6" t="s">
        <v>262</v>
      </c>
      <c r="D492" s="25">
        <f>'FY07 PU'!D142</f>
        <v>0</v>
      </c>
      <c r="E492" s="17">
        <v>271.69</v>
      </c>
      <c r="F492" s="32">
        <v>261.11</v>
      </c>
      <c r="G492" s="32">
        <v>383.22</v>
      </c>
      <c r="H492" s="17">
        <v>355.66</v>
      </c>
      <c r="I492" s="17">
        <v>328.83</v>
      </c>
      <c r="J492" s="17">
        <f t="shared" si="10"/>
        <v>0</v>
      </c>
      <c r="K492" s="17">
        <f t="shared" si="11"/>
        <v>0</v>
      </c>
      <c r="L492" s="17">
        <f t="shared" si="12"/>
        <v>0</v>
      </c>
      <c r="M492" s="17">
        <f t="shared" si="13"/>
        <v>0</v>
      </c>
      <c r="N492" s="17">
        <f t="shared" si="14"/>
        <v>0</v>
      </c>
      <c r="O492" s="32"/>
    </row>
    <row r="493" spans="1:15" x14ac:dyDescent="0.2">
      <c r="A493" s="5">
        <v>423</v>
      </c>
      <c r="B493" s="5">
        <v>1</v>
      </c>
      <c r="C493" s="6" t="s">
        <v>263</v>
      </c>
      <c r="D493" s="25">
        <f>'FY07 PU'!D143</f>
        <v>0</v>
      </c>
      <c r="E493" s="17">
        <v>260.36</v>
      </c>
      <c r="F493" s="32">
        <v>221.72</v>
      </c>
      <c r="G493" s="32">
        <v>168.8</v>
      </c>
      <c r="H493" s="17">
        <v>136.09</v>
      </c>
      <c r="I493" s="17">
        <v>104.42</v>
      </c>
      <c r="J493" s="17">
        <f t="shared" si="10"/>
        <v>0</v>
      </c>
      <c r="K493" s="17">
        <f t="shared" si="11"/>
        <v>0</v>
      </c>
      <c r="L493" s="17">
        <f t="shared" si="12"/>
        <v>0</v>
      </c>
      <c r="M493" s="17">
        <f t="shared" si="13"/>
        <v>0</v>
      </c>
      <c r="N493" s="17">
        <f t="shared" si="14"/>
        <v>0</v>
      </c>
      <c r="O493" s="32"/>
    </row>
    <row r="494" spans="1:15" x14ac:dyDescent="0.2">
      <c r="A494" s="5">
        <v>424</v>
      </c>
      <c r="B494" s="5">
        <v>1</v>
      </c>
      <c r="C494" s="6" t="s">
        <v>264</v>
      </c>
      <c r="D494" s="25">
        <f>'FY07 PU'!D144</f>
        <v>0</v>
      </c>
      <c r="E494" s="17">
        <v>252.52</v>
      </c>
      <c r="F494" s="32">
        <v>250.26</v>
      </c>
      <c r="G494" s="32">
        <v>160.51</v>
      </c>
      <c r="H494" s="17">
        <v>108.69</v>
      </c>
      <c r="I494" s="17">
        <v>72.94</v>
      </c>
      <c r="J494" s="17">
        <f t="shared" si="10"/>
        <v>0</v>
      </c>
      <c r="K494" s="17">
        <f t="shared" si="11"/>
        <v>0</v>
      </c>
      <c r="L494" s="17">
        <f t="shared" si="12"/>
        <v>0</v>
      </c>
      <c r="M494" s="17">
        <f t="shared" si="13"/>
        <v>0</v>
      </c>
      <c r="N494" s="17">
        <f t="shared" si="14"/>
        <v>0</v>
      </c>
      <c r="O494" s="32"/>
    </row>
    <row r="495" spans="1:15" x14ac:dyDescent="0.2">
      <c r="A495" s="5">
        <v>432</v>
      </c>
      <c r="B495" s="5">
        <v>1</v>
      </c>
      <c r="C495" s="6" t="s">
        <v>265</v>
      </c>
      <c r="D495" s="25">
        <f>'FY07 PU'!D145</f>
        <v>0</v>
      </c>
      <c r="E495" s="17">
        <v>0</v>
      </c>
      <c r="F495" s="32">
        <v>0</v>
      </c>
      <c r="G495" s="32">
        <v>0</v>
      </c>
      <c r="H495" s="17">
        <v>0</v>
      </c>
      <c r="I495" s="17">
        <v>0</v>
      </c>
      <c r="J495" s="17">
        <f t="shared" si="10"/>
        <v>0</v>
      </c>
      <c r="K495" s="17">
        <f t="shared" si="11"/>
        <v>0</v>
      </c>
      <c r="L495" s="17">
        <f t="shared" si="12"/>
        <v>0</v>
      </c>
      <c r="M495" s="17">
        <f t="shared" si="13"/>
        <v>0</v>
      </c>
      <c r="N495" s="17">
        <f t="shared" si="14"/>
        <v>0</v>
      </c>
      <c r="O495" s="32"/>
    </row>
    <row r="496" spans="1:15" x14ac:dyDescent="0.2">
      <c r="A496" s="5">
        <v>435</v>
      </c>
      <c r="B496" s="5">
        <v>1</v>
      </c>
      <c r="C496" s="6" t="s">
        <v>266</v>
      </c>
      <c r="D496" s="25">
        <f>'FY07 PU'!D146</f>
        <v>0</v>
      </c>
      <c r="E496" s="17">
        <v>0</v>
      </c>
      <c r="F496" s="32">
        <v>0</v>
      </c>
      <c r="G496" s="32">
        <v>0</v>
      </c>
      <c r="H496" s="17">
        <v>0</v>
      </c>
      <c r="I496" s="17">
        <v>0</v>
      </c>
      <c r="J496" s="17">
        <f t="shared" si="10"/>
        <v>0</v>
      </c>
      <c r="K496" s="17">
        <f t="shared" si="11"/>
        <v>0</v>
      </c>
      <c r="L496" s="17">
        <f t="shared" si="12"/>
        <v>0</v>
      </c>
      <c r="M496" s="17">
        <f t="shared" si="13"/>
        <v>0</v>
      </c>
      <c r="N496" s="17">
        <f t="shared" si="14"/>
        <v>0</v>
      </c>
      <c r="O496" s="32"/>
    </row>
    <row r="497" spans="1:15" x14ac:dyDescent="0.2">
      <c r="A497" s="5">
        <v>441</v>
      </c>
      <c r="B497" s="5">
        <v>1</v>
      </c>
      <c r="C497" s="6" t="s">
        <v>267</v>
      </c>
      <c r="D497" s="25">
        <f>'FY07 PU'!D147</f>
        <v>0</v>
      </c>
      <c r="E497" s="17">
        <v>326.01</v>
      </c>
      <c r="F497" s="32">
        <v>369.2</v>
      </c>
      <c r="G497" s="32">
        <v>365.48</v>
      </c>
      <c r="H497" s="17">
        <v>340.68</v>
      </c>
      <c r="I497" s="17">
        <v>325.52</v>
      </c>
      <c r="J497" s="17">
        <f t="shared" si="10"/>
        <v>0</v>
      </c>
      <c r="K497" s="17">
        <f t="shared" si="11"/>
        <v>0</v>
      </c>
      <c r="L497" s="17">
        <f t="shared" si="12"/>
        <v>0</v>
      </c>
      <c r="M497" s="17">
        <f t="shared" si="13"/>
        <v>0</v>
      </c>
      <c r="N497" s="17">
        <f t="shared" si="14"/>
        <v>0</v>
      </c>
      <c r="O497" s="32"/>
    </row>
    <row r="498" spans="1:15" x14ac:dyDescent="0.2">
      <c r="A498" s="5">
        <v>447</v>
      </c>
      <c r="B498" s="5">
        <v>1</v>
      </c>
      <c r="C498" s="6" t="s">
        <v>268</v>
      </c>
      <c r="D498" s="25">
        <f>'FY07 PU'!D148</f>
        <v>0</v>
      </c>
      <c r="E498" s="17">
        <v>105.06</v>
      </c>
      <c r="F498" s="32">
        <v>102.06</v>
      </c>
      <c r="G498" s="32">
        <v>97.04</v>
      </c>
      <c r="H498" s="17">
        <v>93.38</v>
      </c>
      <c r="I498" s="17">
        <v>90.43</v>
      </c>
      <c r="J498" s="17">
        <f t="shared" si="10"/>
        <v>0</v>
      </c>
      <c r="K498" s="17">
        <f t="shared" si="11"/>
        <v>0</v>
      </c>
      <c r="L498" s="17">
        <f t="shared" si="12"/>
        <v>0</v>
      </c>
      <c r="M498" s="17">
        <f t="shared" si="13"/>
        <v>0</v>
      </c>
      <c r="N498" s="17">
        <f t="shared" si="14"/>
        <v>0</v>
      </c>
      <c r="O498" s="32"/>
    </row>
    <row r="499" spans="1:15" x14ac:dyDescent="0.2">
      <c r="A499" s="5">
        <v>458</v>
      </c>
      <c r="B499" s="5">
        <v>1</v>
      </c>
      <c r="C499" s="6" t="s">
        <v>269</v>
      </c>
      <c r="D499" s="25">
        <f>'FY07 PU'!D149</f>
        <v>0</v>
      </c>
      <c r="E499" s="17">
        <v>38.53</v>
      </c>
      <c r="F499" s="32">
        <v>42.88</v>
      </c>
      <c r="G499" s="32">
        <v>224.46</v>
      </c>
      <c r="H499" s="17">
        <v>210.4</v>
      </c>
      <c r="I499" s="17">
        <v>160.34</v>
      </c>
      <c r="J499" s="17">
        <f t="shared" si="10"/>
        <v>0</v>
      </c>
      <c r="K499" s="17">
        <f t="shared" si="11"/>
        <v>0</v>
      </c>
      <c r="L499" s="17">
        <f t="shared" si="12"/>
        <v>0</v>
      </c>
      <c r="M499" s="17">
        <f t="shared" si="13"/>
        <v>0</v>
      </c>
      <c r="N499" s="17">
        <f t="shared" si="14"/>
        <v>0</v>
      </c>
      <c r="O499" s="32"/>
    </row>
    <row r="500" spans="1:15" x14ac:dyDescent="0.2">
      <c r="A500" s="5">
        <v>463</v>
      </c>
      <c r="B500" s="5">
        <v>1</v>
      </c>
      <c r="C500" s="6" t="s">
        <v>270</v>
      </c>
      <c r="D500" s="25">
        <f>'FY07 PU'!D150</f>
        <v>0</v>
      </c>
      <c r="E500" s="17">
        <v>239.94</v>
      </c>
      <c r="F500" s="32">
        <v>217.14</v>
      </c>
      <c r="G500" s="32">
        <v>179.94</v>
      </c>
      <c r="H500" s="17">
        <v>164.87</v>
      </c>
      <c r="I500" s="17">
        <v>145.76</v>
      </c>
      <c r="J500" s="17">
        <f t="shared" si="10"/>
        <v>0</v>
      </c>
      <c r="K500" s="17">
        <f t="shared" si="11"/>
        <v>0</v>
      </c>
      <c r="L500" s="17">
        <f t="shared" si="12"/>
        <v>0</v>
      </c>
      <c r="M500" s="17">
        <f t="shared" si="13"/>
        <v>0</v>
      </c>
      <c r="N500" s="17">
        <f t="shared" si="14"/>
        <v>0</v>
      </c>
      <c r="O500" s="32"/>
    </row>
    <row r="501" spans="1:15" x14ac:dyDescent="0.2">
      <c r="A501" s="5">
        <v>465</v>
      </c>
      <c r="B501" s="5">
        <v>1</v>
      </c>
      <c r="C501" s="6" t="s">
        <v>271</v>
      </c>
      <c r="D501" s="25">
        <f>'FY07 PU'!D151</f>
        <v>0</v>
      </c>
      <c r="E501" s="17">
        <v>153.37</v>
      </c>
      <c r="F501" s="32">
        <v>128.16</v>
      </c>
      <c r="G501" s="32">
        <v>107.86</v>
      </c>
      <c r="H501" s="17">
        <v>96.36</v>
      </c>
      <c r="I501" s="17">
        <v>83.63</v>
      </c>
      <c r="J501" s="17">
        <f t="shared" si="10"/>
        <v>0</v>
      </c>
      <c r="K501" s="17">
        <f t="shared" si="11"/>
        <v>0</v>
      </c>
      <c r="L501" s="17">
        <f t="shared" si="12"/>
        <v>0</v>
      </c>
      <c r="M501" s="17">
        <f t="shared" si="13"/>
        <v>0</v>
      </c>
      <c r="N501" s="17">
        <f t="shared" si="14"/>
        <v>0</v>
      </c>
      <c r="O501" s="32"/>
    </row>
    <row r="502" spans="1:15" x14ac:dyDescent="0.2">
      <c r="A502" s="5">
        <v>466</v>
      </c>
      <c r="B502" s="5">
        <v>1</v>
      </c>
      <c r="C502" s="6" t="s">
        <v>272</v>
      </c>
      <c r="D502" s="25">
        <f>'FY07 PU'!D152</f>
        <v>0</v>
      </c>
      <c r="E502" s="17">
        <v>71.08</v>
      </c>
      <c r="F502" s="32">
        <v>0</v>
      </c>
      <c r="G502" s="32">
        <v>175.93</v>
      </c>
      <c r="H502" s="17">
        <v>167.82</v>
      </c>
      <c r="I502" s="17">
        <v>158.91</v>
      </c>
      <c r="J502" s="17">
        <f t="shared" si="10"/>
        <v>0</v>
      </c>
      <c r="K502" s="17">
        <f t="shared" si="11"/>
        <v>0</v>
      </c>
      <c r="L502" s="17">
        <f t="shared" si="12"/>
        <v>0</v>
      </c>
      <c r="M502" s="17">
        <f t="shared" si="13"/>
        <v>0</v>
      </c>
      <c r="N502" s="17">
        <f t="shared" si="14"/>
        <v>0</v>
      </c>
      <c r="O502" s="32"/>
    </row>
    <row r="503" spans="1:15" x14ac:dyDescent="0.2">
      <c r="A503" s="5">
        <v>473</v>
      </c>
      <c r="B503" s="5">
        <v>1</v>
      </c>
      <c r="C503" s="6" t="s">
        <v>273</v>
      </c>
      <c r="D503" s="25">
        <f>'FY07 PU'!D153</f>
        <v>0</v>
      </c>
      <c r="E503" s="17">
        <v>0</v>
      </c>
      <c r="F503" s="32">
        <v>0</v>
      </c>
      <c r="G503" s="32">
        <v>0</v>
      </c>
      <c r="H503" s="17">
        <v>0</v>
      </c>
      <c r="I503" s="17">
        <v>0</v>
      </c>
      <c r="J503" s="17">
        <f t="shared" si="10"/>
        <v>0</v>
      </c>
      <c r="K503" s="17">
        <f t="shared" si="11"/>
        <v>0</v>
      </c>
      <c r="L503" s="17">
        <f t="shared" si="12"/>
        <v>0</v>
      </c>
      <c r="M503" s="17">
        <f t="shared" si="13"/>
        <v>0</v>
      </c>
      <c r="N503" s="17">
        <f t="shared" si="14"/>
        <v>0</v>
      </c>
      <c r="O503" s="32"/>
    </row>
    <row r="504" spans="1:15" x14ac:dyDescent="0.2">
      <c r="A504" s="5">
        <v>477</v>
      </c>
      <c r="B504" s="5">
        <v>1</v>
      </c>
      <c r="C504" s="6" t="s">
        <v>274</v>
      </c>
      <c r="D504" s="25">
        <f>'FY07 PU'!D154</f>
        <v>0</v>
      </c>
      <c r="E504" s="17">
        <v>142.37</v>
      </c>
      <c r="F504" s="32">
        <v>119.88</v>
      </c>
      <c r="G504" s="32">
        <v>97.74</v>
      </c>
      <c r="H504" s="17">
        <v>91.18</v>
      </c>
      <c r="I504" s="17">
        <v>82.35</v>
      </c>
      <c r="J504" s="17">
        <f t="shared" si="10"/>
        <v>0</v>
      </c>
      <c r="K504" s="17">
        <f t="shared" si="11"/>
        <v>0</v>
      </c>
      <c r="L504" s="17">
        <f t="shared" si="12"/>
        <v>0</v>
      </c>
      <c r="M504" s="17">
        <f t="shared" si="13"/>
        <v>0</v>
      </c>
      <c r="N504" s="17">
        <f t="shared" si="14"/>
        <v>0</v>
      </c>
      <c r="O504" s="32"/>
    </row>
    <row r="505" spans="1:15" x14ac:dyDescent="0.2">
      <c r="A505" s="5">
        <v>480</v>
      </c>
      <c r="B505" s="5">
        <v>1</v>
      </c>
      <c r="C505" s="7" t="s">
        <v>275</v>
      </c>
      <c r="D505" s="25">
        <f>'FY07 PU'!D155</f>
        <v>0</v>
      </c>
      <c r="E505" s="17">
        <v>0.45</v>
      </c>
      <c r="F505" s="32">
        <v>0.37</v>
      </c>
      <c r="G505" s="32">
        <v>171.87</v>
      </c>
      <c r="H505" s="17">
        <v>131.37</v>
      </c>
      <c r="I505" s="17">
        <v>91.96</v>
      </c>
      <c r="J505" s="17">
        <f t="shared" si="10"/>
        <v>0</v>
      </c>
      <c r="K505" s="17">
        <f t="shared" si="11"/>
        <v>0</v>
      </c>
      <c r="L505" s="17">
        <f t="shared" si="12"/>
        <v>0</v>
      </c>
      <c r="M505" s="17">
        <f t="shared" si="13"/>
        <v>0</v>
      </c>
      <c r="N505" s="17">
        <f t="shared" si="14"/>
        <v>0</v>
      </c>
      <c r="O505" s="32"/>
    </row>
    <row r="506" spans="1:15" x14ac:dyDescent="0.2">
      <c r="A506" s="5">
        <v>482</v>
      </c>
      <c r="B506" s="5">
        <v>1</v>
      </c>
      <c r="C506" s="6" t="s">
        <v>276</v>
      </c>
      <c r="D506" s="25">
        <f>'FY07 PU'!D156</f>
        <v>0</v>
      </c>
      <c r="E506" s="17">
        <v>324.41000000000003</v>
      </c>
      <c r="F506" s="32">
        <v>256.41000000000003</v>
      </c>
      <c r="G506" s="32">
        <v>265.87</v>
      </c>
      <c r="H506" s="17">
        <v>252.24</v>
      </c>
      <c r="I506" s="17">
        <v>228.15</v>
      </c>
      <c r="J506" s="17">
        <f t="shared" si="10"/>
        <v>0</v>
      </c>
      <c r="K506" s="17">
        <f t="shared" si="11"/>
        <v>0</v>
      </c>
      <c r="L506" s="17">
        <f t="shared" si="12"/>
        <v>0</v>
      </c>
      <c r="M506" s="17">
        <f t="shared" si="13"/>
        <v>0</v>
      </c>
      <c r="N506" s="17">
        <f t="shared" si="14"/>
        <v>0</v>
      </c>
      <c r="O506" s="32"/>
    </row>
    <row r="507" spans="1:15" x14ac:dyDescent="0.2">
      <c r="A507" s="5">
        <v>484</v>
      </c>
      <c r="B507" s="5">
        <v>1</v>
      </c>
      <c r="C507" s="6" t="s">
        <v>277</v>
      </c>
      <c r="D507" s="25">
        <f>'FY07 PU'!D157</f>
        <v>0</v>
      </c>
      <c r="E507" s="17">
        <v>296.79000000000002</v>
      </c>
      <c r="F507" s="32">
        <v>262.7</v>
      </c>
      <c r="G507" s="32">
        <v>327.49</v>
      </c>
      <c r="H507" s="17">
        <v>302.12</v>
      </c>
      <c r="I507" s="17">
        <v>285.7</v>
      </c>
      <c r="J507" s="17">
        <f t="shared" si="10"/>
        <v>0</v>
      </c>
      <c r="K507" s="17">
        <f t="shared" si="11"/>
        <v>0</v>
      </c>
      <c r="L507" s="17">
        <f t="shared" si="12"/>
        <v>0</v>
      </c>
      <c r="M507" s="17">
        <f t="shared" si="13"/>
        <v>0</v>
      </c>
      <c r="N507" s="17">
        <f t="shared" si="14"/>
        <v>0</v>
      </c>
      <c r="O507" s="32"/>
    </row>
    <row r="508" spans="1:15" x14ac:dyDescent="0.2">
      <c r="A508" s="5">
        <v>485</v>
      </c>
      <c r="B508" s="5">
        <v>1</v>
      </c>
      <c r="C508" s="6" t="s">
        <v>278</v>
      </c>
      <c r="D508" s="25">
        <f>'FY07 PU'!D158</f>
        <v>0</v>
      </c>
      <c r="E508" s="17">
        <v>0.55000000000000004</v>
      </c>
      <c r="F508" s="32">
        <v>0.48</v>
      </c>
      <c r="G508" s="32">
        <v>0.43</v>
      </c>
      <c r="H508" s="17">
        <v>0.43</v>
      </c>
      <c r="I508" s="17">
        <v>0</v>
      </c>
      <c r="J508" s="17">
        <f t="shared" si="10"/>
        <v>0</v>
      </c>
      <c r="K508" s="17">
        <f t="shared" si="11"/>
        <v>0</v>
      </c>
      <c r="L508" s="17">
        <f t="shared" si="12"/>
        <v>0</v>
      </c>
      <c r="M508" s="17">
        <f t="shared" si="13"/>
        <v>0</v>
      </c>
      <c r="N508" s="17">
        <f t="shared" si="14"/>
        <v>0</v>
      </c>
      <c r="O508" s="32"/>
    </row>
    <row r="509" spans="1:15" x14ac:dyDescent="0.2">
      <c r="A509" s="5">
        <v>486</v>
      </c>
      <c r="B509" s="5">
        <v>1</v>
      </c>
      <c r="C509" s="6" t="s">
        <v>279</v>
      </c>
      <c r="D509" s="25">
        <f>'FY07 PU'!D159</f>
        <v>0</v>
      </c>
      <c r="E509" s="17">
        <v>480.34</v>
      </c>
      <c r="F509" s="32">
        <v>462.72</v>
      </c>
      <c r="G509" s="32">
        <v>420.33</v>
      </c>
      <c r="H509" s="17">
        <v>385.95</v>
      </c>
      <c r="I509" s="17">
        <v>341.02</v>
      </c>
      <c r="J509" s="17">
        <f t="shared" si="10"/>
        <v>0</v>
      </c>
      <c r="K509" s="17">
        <f t="shared" si="11"/>
        <v>0</v>
      </c>
      <c r="L509" s="17">
        <f t="shared" si="12"/>
        <v>0</v>
      </c>
      <c r="M509" s="17">
        <f t="shared" si="13"/>
        <v>0</v>
      </c>
      <c r="N509" s="17">
        <f t="shared" si="14"/>
        <v>0</v>
      </c>
      <c r="O509" s="32"/>
    </row>
    <row r="510" spans="1:15" x14ac:dyDescent="0.2">
      <c r="A510" s="5">
        <v>487</v>
      </c>
      <c r="B510" s="5">
        <v>1</v>
      </c>
      <c r="C510" s="6" t="s">
        <v>280</v>
      </c>
      <c r="D510" s="25">
        <f>'FY07 PU'!D160</f>
        <v>0</v>
      </c>
      <c r="E510" s="17">
        <v>0</v>
      </c>
      <c r="F510" s="32">
        <v>0</v>
      </c>
      <c r="G510" s="32">
        <v>175.33</v>
      </c>
      <c r="H510" s="17">
        <v>171.34</v>
      </c>
      <c r="I510" s="17">
        <v>145.07</v>
      </c>
      <c r="J510" s="17">
        <f t="shared" si="10"/>
        <v>0</v>
      </c>
      <c r="K510" s="17">
        <f t="shared" si="11"/>
        <v>0</v>
      </c>
      <c r="L510" s="17">
        <f t="shared" si="12"/>
        <v>0</v>
      </c>
      <c r="M510" s="17">
        <f t="shared" si="13"/>
        <v>0</v>
      </c>
      <c r="N510" s="17">
        <f t="shared" si="14"/>
        <v>0</v>
      </c>
      <c r="O510" s="32"/>
    </row>
    <row r="511" spans="1:15" x14ac:dyDescent="0.2">
      <c r="A511" s="5">
        <v>492</v>
      </c>
      <c r="B511" s="5">
        <v>1</v>
      </c>
      <c r="C511" s="6" t="s">
        <v>281</v>
      </c>
      <c r="D511" s="25">
        <f>'FY07 PU'!D161</f>
        <v>0</v>
      </c>
      <c r="E511" s="17">
        <v>349.4</v>
      </c>
      <c r="F511" s="32">
        <v>353.58</v>
      </c>
      <c r="G511" s="32">
        <v>341.61</v>
      </c>
      <c r="H511" s="17">
        <v>336.24</v>
      </c>
      <c r="I511" s="17">
        <v>317.18</v>
      </c>
      <c r="J511" s="17">
        <f t="shared" si="10"/>
        <v>0</v>
      </c>
      <c r="K511" s="17">
        <f t="shared" si="11"/>
        <v>0</v>
      </c>
      <c r="L511" s="17">
        <f t="shared" si="12"/>
        <v>0</v>
      </c>
      <c r="M511" s="17">
        <f t="shared" si="13"/>
        <v>0</v>
      </c>
      <c r="N511" s="17">
        <f t="shared" si="14"/>
        <v>0</v>
      </c>
      <c r="O511" s="32"/>
    </row>
    <row r="512" spans="1:15" x14ac:dyDescent="0.2">
      <c r="A512" s="5">
        <v>495</v>
      </c>
      <c r="B512" s="5">
        <v>1</v>
      </c>
      <c r="C512" s="6" t="s">
        <v>282</v>
      </c>
      <c r="D512" s="25">
        <f>'FY07 PU'!D162</f>
        <v>0</v>
      </c>
      <c r="E512" s="17">
        <v>343.07</v>
      </c>
      <c r="F512" s="32">
        <v>321.44</v>
      </c>
      <c r="G512" s="32">
        <v>293.3</v>
      </c>
      <c r="H512" s="17">
        <v>271.38</v>
      </c>
      <c r="I512" s="17">
        <v>263.07</v>
      </c>
      <c r="J512" s="17">
        <f t="shared" si="10"/>
        <v>0</v>
      </c>
      <c r="K512" s="17">
        <f t="shared" si="11"/>
        <v>0</v>
      </c>
      <c r="L512" s="17">
        <f t="shared" si="12"/>
        <v>0</v>
      </c>
      <c r="M512" s="17">
        <f t="shared" si="13"/>
        <v>0</v>
      </c>
      <c r="N512" s="17">
        <f t="shared" si="14"/>
        <v>0</v>
      </c>
      <c r="O512" s="32"/>
    </row>
    <row r="513" spans="1:15" x14ac:dyDescent="0.2">
      <c r="A513" s="5">
        <v>497</v>
      </c>
      <c r="B513" s="5">
        <v>1</v>
      </c>
      <c r="C513" s="6" t="s">
        <v>283</v>
      </c>
      <c r="D513" s="25">
        <f>'FY07 PU'!D163</f>
        <v>0</v>
      </c>
      <c r="E513" s="17">
        <v>118.54</v>
      </c>
      <c r="F513" s="32">
        <v>6.46</v>
      </c>
      <c r="G513" s="32">
        <v>0</v>
      </c>
      <c r="H513" s="17">
        <v>0</v>
      </c>
      <c r="I513" s="17">
        <v>0</v>
      </c>
      <c r="J513" s="17">
        <f t="shared" si="10"/>
        <v>0</v>
      </c>
      <c r="K513" s="17">
        <f t="shared" si="11"/>
        <v>0</v>
      </c>
      <c r="L513" s="17">
        <f t="shared" si="12"/>
        <v>0</v>
      </c>
      <c r="M513" s="17">
        <f t="shared" si="13"/>
        <v>0</v>
      </c>
      <c r="N513" s="17">
        <f t="shared" si="14"/>
        <v>0</v>
      </c>
      <c r="O513" s="32"/>
    </row>
    <row r="514" spans="1:15" x14ac:dyDescent="0.2">
      <c r="A514" s="5">
        <v>499</v>
      </c>
      <c r="B514" s="5">
        <v>1</v>
      </c>
      <c r="C514" s="6" t="s">
        <v>284</v>
      </c>
      <c r="D514" s="25">
        <f>'FY07 PU'!D164</f>
        <v>0</v>
      </c>
      <c r="E514" s="17">
        <v>65.83</v>
      </c>
      <c r="F514" s="32">
        <v>21.38</v>
      </c>
      <c r="G514" s="32">
        <v>27.48</v>
      </c>
      <c r="H514" s="17">
        <v>33.51</v>
      </c>
      <c r="I514" s="17">
        <v>0</v>
      </c>
      <c r="J514" s="17">
        <f t="shared" si="10"/>
        <v>0</v>
      </c>
      <c r="K514" s="17">
        <f t="shared" si="11"/>
        <v>0</v>
      </c>
      <c r="L514" s="17">
        <f t="shared" si="12"/>
        <v>0</v>
      </c>
      <c r="M514" s="17">
        <f t="shared" si="13"/>
        <v>0</v>
      </c>
      <c r="N514" s="17">
        <f t="shared" si="14"/>
        <v>0</v>
      </c>
      <c r="O514" s="32"/>
    </row>
    <row r="515" spans="1:15" x14ac:dyDescent="0.2">
      <c r="A515" s="5">
        <v>500</v>
      </c>
      <c r="B515" s="5">
        <v>1</v>
      </c>
      <c r="C515" s="6" t="s">
        <v>285</v>
      </c>
      <c r="D515" s="25">
        <f>'FY07 PU'!D165</f>
        <v>0</v>
      </c>
      <c r="E515" s="17">
        <v>395.61</v>
      </c>
      <c r="F515" s="32">
        <v>363.91</v>
      </c>
      <c r="G515" s="32">
        <v>494.51</v>
      </c>
      <c r="H515" s="17">
        <v>411.94</v>
      </c>
      <c r="I515" s="17">
        <v>334.63</v>
      </c>
      <c r="J515" s="17">
        <f t="shared" si="10"/>
        <v>0</v>
      </c>
      <c r="K515" s="17">
        <f t="shared" si="11"/>
        <v>0</v>
      </c>
      <c r="L515" s="17">
        <f t="shared" si="12"/>
        <v>0</v>
      </c>
      <c r="M515" s="17">
        <f t="shared" si="13"/>
        <v>0</v>
      </c>
      <c r="N515" s="17">
        <f t="shared" si="14"/>
        <v>0</v>
      </c>
      <c r="O515" s="32"/>
    </row>
    <row r="516" spans="1:15" x14ac:dyDescent="0.2">
      <c r="A516" s="5">
        <v>505</v>
      </c>
      <c r="B516" s="5">
        <v>1</v>
      </c>
      <c r="C516" s="6" t="s">
        <v>286</v>
      </c>
      <c r="D516" s="25">
        <f>'FY07 PU'!D166</f>
        <v>0</v>
      </c>
      <c r="E516" s="17">
        <v>1075.0999999999999</v>
      </c>
      <c r="F516" s="32">
        <v>987.16</v>
      </c>
      <c r="G516" s="32">
        <v>865.09</v>
      </c>
      <c r="H516" s="17">
        <v>732.02</v>
      </c>
      <c r="I516" s="17">
        <v>596.41999999999996</v>
      </c>
      <c r="J516" s="17">
        <f t="shared" si="10"/>
        <v>0</v>
      </c>
      <c r="K516" s="17">
        <f t="shared" si="11"/>
        <v>0</v>
      </c>
      <c r="L516" s="17">
        <f t="shared" si="12"/>
        <v>0</v>
      </c>
      <c r="M516" s="17">
        <f t="shared" si="13"/>
        <v>0</v>
      </c>
      <c r="N516" s="17">
        <f t="shared" si="14"/>
        <v>0</v>
      </c>
      <c r="O516" s="32"/>
    </row>
    <row r="517" spans="1:15" x14ac:dyDescent="0.2">
      <c r="A517" s="5">
        <v>507</v>
      </c>
      <c r="B517" s="5">
        <v>1</v>
      </c>
      <c r="C517" s="6" t="s">
        <v>287</v>
      </c>
      <c r="D517" s="25">
        <f>'FY07 PU'!D167</f>
        <v>0</v>
      </c>
      <c r="E517" s="17">
        <v>0</v>
      </c>
      <c r="F517" s="32">
        <v>0</v>
      </c>
      <c r="G517" s="32">
        <v>0</v>
      </c>
      <c r="H517" s="17">
        <v>0</v>
      </c>
      <c r="I517" s="17">
        <v>0</v>
      </c>
      <c r="J517" s="17">
        <f t="shared" si="10"/>
        <v>0</v>
      </c>
      <c r="K517" s="17">
        <f t="shared" si="11"/>
        <v>0</v>
      </c>
      <c r="L517" s="17">
        <f t="shared" si="12"/>
        <v>0</v>
      </c>
      <c r="M517" s="17">
        <f t="shared" si="13"/>
        <v>0</v>
      </c>
      <c r="N517" s="17">
        <f t="shared" si="14"/>
        <v>0</v>
      </c>
      <c r="O517" s="32"/>
    </row>
    <row r="518" spans="1:15" x14ac:dyDescent="0.2">
      <c r="A518" s="5">
        <v>508</v>
      </c>
      <c r="B518" s="5">
        <v>1</v>
      </c>
      <c r="C518" s="6" t="s">
        <v>288</v>
      </c>
      <c r="D518" s="25">
        <f>'FY07 PU'!D168</f>
        <v>0</v>
      </c>
      <c r="E518" s="17">
        <v>236.01</v>
      </c>
      <c r="F518" s="32">
        <v>246.88</v>
      </c>
      <c r="G518" s="32">
        <v>181.05</v>
      </c>
      <c r="H518" s="17">
        <v>160.51</v>
      </c>
      <c r="I518" s="17">
        <v>129.91999999999999</v>
      </c>
      <c r="J518" s="17">
        <f t="shared" si="10"/>
        <v>0</v>
      </c>
      <c r="K518" s="17">
        <f t="shared" si="11"/>
        <v>0</v>
      </c>
      <c r="L518" s="17">
        <f t="shared" si="12"/>
        <v>0</v>
      </c>
      <c r="M518" s="17">
        <f t="shared" si="13"/>
        <v>0</v>
      </c>
      <c r="N518" s="17">
        <f t="shared" si="14"/>
        <v>0</v>
      </c>
      <c r="O518" s="32"/>
    </row>
    <row r="519" spans="1:15" x14ac:dyDescent="0.2">
      <c r="A519" s="5">
        <v>511</v>
      </c>
      <c r="B519" s="5">
        <v>1</v>
      </c>
      <c r="C519" s="6" t="s">
        <v>289</v>
      </c>
      <c r="D519" s="25">
        <f>'FY07 PU'!D169</f>
        <v>0</v>
      </c>
      <c r="E519" s="17">
        <v>356.76</v>
      </c>
      <c r="F519" s="32">
        <v>345.83</v>
      </c>
      <c r="G519" s="32">
        <v>338.12</v>
      </c>
      <c r="H519" s="17">
        <v>324.06</v>
      </c>
      <c r="I519" s="17">
        <v>311.89</v>
      </c>
      <c r="J519" s="17">
        <f t="shared" si="10"/>
        <v>0</v>
      </c>
      <c r="K519" s="17">
        <f t="shared" si="11"/>
        <v>0</v>
      </c>
      <c r="L519" s="17">
        <f t="shared" si="12"/>
        <v>0</v>
      </c>
      <c r="M519" s="17">
        <f t="shared" si="13"/>
        <v>0</v>
      </c>
      <c r="N519" s="17">
        <f t="shared" si="14"/>
        <v>0</v>
      </c>
      <c r="O519" s="32"/>
    </row>
    <row r="520" spans="1:15" x14ac:dyDescent="0.2">
      <c r="A520" s="5">
        <v>513</v>
      </c>
      <c r="B520" s="5">
        <v>1</v>
      </c>
      <c r="C520" s="6" t="s">
        <v>290</v>
      </c>
      <c r="D520" s="25">
        <f>'FY07 PU'!D170</f>
        <v>0</v>
      </c>
      <c r="E520" s="17">
        <v>592.49</v>
      </c>
      <c r="F520" s="32">
        <v>694.37</v>
      </c>
      <c r="G520" s="32">
        <v>654.34</v>
      </c>
      <c r="H520" s="17">
        <v>996.41</v>
      </c>
      <c r="I520" s="17">
        <v>1003.97</v>
      </c>
      <c r="J520" s="17">
        <f t="shared" si="10"/>
        <v>0</v>
      </c>
      <c r="K520" s="17">
        <f t="shared" si="11"/>
        <v>0</v>
      </c>
      <c r="L520" s="17">
        <f t="shared" si="12"/>
        <v>0</v>
      </c>
      <c r="M520" s="17">
        <f t="shared" si="13"/>
        <v>0</v>
      </c>
      <c r="N520" s="17">
        <f t="shared" si="14"/>
        <v>0</v>
      </c>
      <c r="O520" s="32"/>
    </row>
    <row r="521" spans="1:15" x14ac:dyDescent="0.2">
      <c r="A521" s="5">
        <v>514</v>
      </c>
      <c r="B521" s="5">
        <v>1</v>
      </c>
      <c r="C521" s="6" t="s">
        <v>291</v>
      </c>
      <c r="D521" s="25">
        <f>'FY07 PU'!D171</f>
        <v>0</v>
      </c>
      <c r="E521" s="17">
        <v>69.2</v>
      </c>
      <c r="F521" s="32">
        <v>53.31</v>
      </c>
      <c r="G521" s="32">
        <v>24.66</v>
      </c>
      <c r="H521" s="17">
        <v>0</v>
      </c>
      <c r="I521" s="17">
        <v>0</v>
      </c>
      <c r="J521" s="17">
        <f t="shared" si="10"/>
        <v>0</v>
      </c>
      <c r="K521" s="17">
        <f t="shared" si="11"/>
        <v>0</v>
      </c>
      <c r="L521" s="17">
        <f t="shared" si="12"/>
        <v>0</v>
      </c>
      <c r="M521" s="17">
        <f t="shared" si="13"/>
        <v>0</v>
      </c>
      <c r="N521" s="17">
        <f t="shared" si="14"/>
        <v>0</v>
      </c>
      <c r="O521" s="32"/>
    </row>
    <row r="522" spans="1:15" x14ac:dyDescent="0.2">
      <c r="A522" s="5">
        <v>516</v>
      </c>
      <c r="B522" s="5">
        <v>1</v>
      </c>
      <c r="C522" s="6" t="s">
        <v>292</v>
      </c>
      <c r="D522" s="25">
        <f>'FY07 PU'!D172</f>
        <v>0</v>
      </c>
      <c r="E522" s="17">
        <v>229.99</v>
      </c>
      <c r="F522" s="32">
        <v>303.52999999999997</v>
      </c>
      <c r="G522" s="32">
        <v>275.68</v>
      </c>
      <c r="H522" s="17">
        <v>277.8</v>
      </c>
      <c r="I522" s="17">
        <v>345.58</v>
      </c>
      <c r="J522" s="17">
        <f t="shared" si="10"/>
        <v>0</v>
      </c>
      <c r="K522" s="17">
        <f t="shared" si="11"/>
        <v>0</v>
      </c>
      <c r="L522" s="17">
        <f t="shared" si="12"/>
        <v>0</v>
      </c>
      <c r="M522" s="17">
        <f t="shared" si="13"/>
        <v>0</v>
      </c>
      <c r="N522" s="17">
        <f t="shared" si="14"/>
        <v>0</v>
      </c>
      <c r="O522" s="32"/>
    </row>
    <row r="523" spans="1:15" x14ac:dyDescent="0.2">
      <c r="A523" s="5">
        <v>518</v>
      </c>
      <c r="B523" s="5">
        <v>1</v>
      </c>
      <c r="C523" s="6" t="s">
        <v>293</v>
      </c>
      <c r="D523" s="25">
        <f>'FY07 PU'!D173</f>
        <v>0</v>
      </c>
      <c r="E523" s="17">
        <v>260.01</v>
      </c>
      <c r="F523" s="32">
        <v>534.24</v>
      </c>
      <c r="G523" s="32">
        <v>518.79999999999995</v>
      </c>
      <c r="H523" s="17">
        <v>499.87</v>
      </c>
      <c r="I523" s="17">
        <v>475.13</v>
      </c>
      <c r="J523" s="17">
        <f t="shared" si="10"/>
        <v>0</v>
      </c>
      <c r="K523" s="17">
        <f t="shared" si="11"/>
        <v>0</v>
      </c>
      <c r="L523" s="17">
        <f t="shared" si="12"/>
        <v>0</v>
      </c>
      <c r="M523" s="17">
        <f t="shared" si="13"/>
        <v>0</v>
      </c>
      <c r="N523" s="17">
        <f t="shared" si="14"/>
        <v>0</v>
      </c>
      <c r="O523" s="32"/>
    </row>
    <row r="524" spans="1:15" x14ac:dyDescent="0.2">
      <c r="A524" s="5">
        <v>531</v>
      </c>
      <c r="B524" s="5">
        <v>1</v>
      </c>
      <c r="C524" s="6" t="s">
        <v>294</v>
      </c>
      <c r="D524" s="25">
        <f>'FY07 PU'!D174</f>
        <v>0</v>
      </c>
      <c r="E524" s="17">
        <v>62.1</v>
      </c>
      <c r="F524" s="32">
        <v>54.28</v>
      </c>
      <c r="G524" s="32">
        <v>49.37</v>
      </c>
      <c r="H524" s="17">
        <v>47.91</v>
      </c>
      <c r="I524" s="17">
        <v>45.65</v>
      </c>
      <c r="J524" s="17">
        <f t="shared" si="10"/>
        <v>0</v>
      </c>
      <c r="K524" s="17">
        <f t="shared" si="11"/>
        <v>0</v>
      </c>
      <c r="L524" s="17">
        <f t="shared" si="12"/>
        <v>0</v>
      </c>
      <c r="M524" s="17">
        <f t="shared" si="13"/>
        <v>0</v>
      </c>
      <c r="N524" s="17">
        <f t="shared" si="14"/>
        <v>0</v>
      </c>
      <c r="O524" s="32"/>
    </row>
    <row r="525" spans="1:15" x14ac:dyDescent="0.2">
      <c r="A525" s="5">
        <v>533</v>
      </c>
      <c r="B525" s="5">
        <v>1</v>
      </c>
      <c r="C525" s="6" t="s">
        <v>295</v>
      </c>
      <c r="D525" s="25">
        <f>'FY07 PU'!D175</f>
        <v>0</v>
      </c>
      <c r="E525" s="17">
        <v>71.98</v>
      </c>
      <c r="F525" s="32">
        <v>65.91</v>
      </c>
      <c r="G525" s="32">
        <v>59.34</v>
      </c>
      <c r="H525" s="17">
        <v>57.55</v>
      </c>
      <c r="I525" s="17">
        <v>54.69</v>
      </c>
      <c r="J525" s="17">
        <f t="shared" si="10"/>
        <v>0</v>
      </c>
      <c r="K525" s="17">
        <f t="shared" si="11"/>
        <v>0</v>
      </c>
      <c r="L525" s="17">
        <f t="shared" si="12"/>
        <v>0</v>
      </c>
      <c r="M525" s="17">
        <f t="shared" si="13"/>
        <v>0</v>
      </c>
      <c r="N525" s="17">
        <f t="shared" si="14"/>
        <v>0</v>
      </c>
      <c r="O525" s="32"/>
    </row>
    <row r="526" spans="1:15" x14ac:dyDescent="0.2">
      <c r="A526" s="5">
        <v>534</v>
      </c>
      <c r="B526" s="5">
        <v>1</v>
      </c>
      <c r="C526" s="6" t="s">
        <v>296</v>
      </c>
      <c r="D526" s="25">
        <f>'FY07 PU'!D176</f>
        <v>0</v>
      </c>
      <c r="E526" s="17">
        <v>362.74</v>
      </c>
      <c r="F526" s="32">
        <v>355.92</v>
      </c>
      <c r="G526" s="32">
        <v>284.31</v>
      </c>
      <c r="H526" s="17">
        <v>278.79000000000002</v>
      </c>
      <c r="I526" s="17">
        <v>263.33</v>
      </c>
      <c r="J526" s="17">
        <f t="shared" si="10"/>
        <v>0</v>
      </c>
      <c r="K526" s="17">
        <f t="shared" si="11"/>
        <v>0</v>
      </c>
      <c r="L526" s="17">
        <f t="shared" si="12"/>
        <v>0</v>
      </c>
      <c r="M526" s="17">
        <f t="shared" si="13"/>
        <v>0</v>
      </c>
      <c r="N526" s="17">
        <f t="shared" si="14"/>
        <v>0</v>
      </c>
      <c r="O526" s="32"/>
    </row>
    <row r="527" spans="1:15" x14ac:dyDescent="0.2">
      <c r="A527" s="5">
        <v>535</v>
      </c>
      <c r="B527" s="5">
        <v>1</v>
      </c>
      <c r="C527" s="6" t="s">
        <v>297</v>
      </c>
      <c r="D527" s="25">
        <f>'FY07 PU'!D177</f>
        <v>0</v>
      </c>
      <c r="E527" s="17">
        <v>72.25</v>
      </c>
      <c r="F527" s="32">
        <v>42.6</v>
      </c>
      <c r="G527" s="32">
        <v>17.68</v>
      </c>
      <c r="H527" s="17">
        <v>15.81</v>
      </c>
      <c r="I527" s="17">
        <v>7.92</v>
      </c>
      <c r="J527" s="17">
        <f t="shared" si="10"/>
        <v>0</v>
      </c>
      <c r="K527" s="17">
        <f t="shared" si="11"/>
        <v>0</v>
      </c>
      <c r="L527" s="17">
        <f t="shared" si="12"/>
        <v>0</v>
      </c>
      <c r="M527" s="17">
        <f t="shared" si="13"/>
        <v>0</v>
      </c>
      <c r="N527" s="17">
        <f t="shared" si="14"/>
        <v>0</v>
      </c>
      <c r="O527" s="32"/>
    </row>
    <row r="528" spans="1:15" x14ac:dyDescent="0.2">
      <c r="A528" s="5">
        <v>542</v>
      </c>
      <c r="B528" s="5">
        <v>1</v>
      </c>
      <c r="C528" s="6" t="s">
        <v>298</v>
      </c>
      <c r="D528" s="25">
        <f>'FY07 PU'!D178</f>
        <v>0</v>
      </c>
      <c r="E528" s="17">
        <v>0</v>
      </c>
      <c r="F528" s="32">
        <v>0</v>
      </c>
      <c r="G528" s="32">
        <v>0</v>
      </c>
      <c r="H528" s="17">
        <v>0</v>
      </c>
      <c r="I528" s="17">
        <v>0</v>
      </c>
      <c r="J528" s="17">
        <f t="shared" si="10"/>
        <v>0</v>
      </c>
      <c r="K528" s="17">
        <f t="shared" si="11"/>
        <v>0</v>
      </c>
      <c r="L528" s="17">
        <f t="shared" si="12"/>
        <v>0</v>
      </c>
      <c r="M528" s="17">
        <f t="shared" si="13"/>
        <v>0</v>
      </c>
      <c r="N528" s="17">
        <f t="shared" si="14"/>
        <v>0</v>
      </c>
      <c r="O528" s="32"/>
    </row>
    <row r="529" spans="1:15" x14ac:dyDescent="0.2">
      <c r="A529" s="5">
        <v>544</v>
      </c>
      <c r="B529" s="5">
        <v>1</v>
      </c>
      <c r="C529" s="6" t="s">
        <v>299</v>
      </c>
      <c r="D529" s="25">
        <f>'FY07 PU'!D179</f>
        <v>0</v>
      </c>
      <c r="E529" s="17">
        <v>160.25</v>
      </c>
      <c r="F529" s="32">
        <v>111.75</v>
      </c>
      <c r="G529" s="32">
        <v>75.180000000000007</v>
      </c>
      <c r="H529" s="17">
        <v>51.68</v>
      </c>
      <c r="I529" s="17">
        <v>31.48</v>
      </c>
      <c r="J529" s="17">
        <f t="shared" si="10"/>
        <v>0</v>
      </c>
      <c r="K529" s="17">
        <f t="shared" si="11"/>
        <v>0</v>
      </c>
      <c r="L529" s="17">
        <f t="shared" si="12"/>
        <v>0</v>
      </c>
      <c r="M529" s="17">
        <f t="shared" si="13"/>
        <v>0</v>
      </c>
      <c r="N529" s="17">
        <f t="shared" si="14"/>
        <v>0</v>
      </c>
      <c r="O529" s="32"/>
    </row>
    <row r="530" spans="1:15" x14ac:dyDescent="0.2">
      <c r="A530" s="5">
        <v>545</v>
      </c>
      <c r="B530" s="5">
        <v>1</v>
      </c>
      <c r="C530" s="6" t="s">
        <v>300</v>
      </c>
      <c r="D530" s="25">
        <f>'FY07 PU'!D180</f>
        <v>0</v>
      </c>
      <c r="E530" s="17">
        <v>232.97</v>
      </c>
      <c r="F530" s="32">
        <v>208.27</v>
      </c>
      <c r="G530" s="32">
        <v>149.79</v>
      </c>
      <c r="H530" s="17">
        <v>97.68</v>
      </c>
      <c r="I530" s="17">
        <v>59.19</v>
      </c>
      <c r="J530" s="17">
        <f t="shared" si="10"/>
        <v>0</v>
      </c>
      <c r="K530" s="17">
        <f t="shared" si="11"/>
        <v>0</v>
      </c>
      <c r="L530" s="17">
        <f t="shared" si="12"/>
        <v>0</v>
      </c>
      <c r="M530" s="17">
        <f t="shared" si="13"/>
        <v>0</v>
      </c>
      <c r="N530" s="17">
        <f t="shared" si="14"/>
        <v>0</v>
      </c>
      <c r="O530" s="32"/>
    </row>
    <row r="531" spans="1:15" x14ac:dyDescent="0.2">
      <c r="A531" s="5">
        <v>547</v>
      </c>
      <c r="B531" s="5">
        <v>1</v>
      </c>
      <c r="C531" s="6" t="s">
        <v>301</v>
      </c>
      <c r="D531" s="25">
        <f>'FY07 PU'!D181</f>
        <v>0</v>
      </c>
      <c r="E531" s="17">
        <v>229.96</v>
      </c>
      <c r="F531" s="32">
        <v>194.74</v>
      </c>
      <c r="G531" s="32">
        <v>159.06</v>
      </c>
      <c r="H531" s="17">
        <v>129.88999999999999</v>
      </c>
      <c r="I531" s="17">
        <v>110.01</v>
      </c>
      <c r="J531" s="17">
        <f t="shared" si="10"/>
        <v>0</v>
      </c>
      <c r="K531" s="17">
        <f t="shared" si="11"/>
        <v>0</v>
      </c>
      <c r="L531" s="17">
        <f t="shared" si="12"/>
        <v>0</v>
      </c>
      <c r="M531" s="17">
        <f t="shared" si="13"/>
        <v>0</v>
      </c>
      <c r="N531" s="17">
        <f t="shared" si="14"/>
        <v>0</v>
      </c>
      <c r="O531" s="32"/>
    </row>
    <row r="532" spans="1:15" x14ac:dyDescent="0.2">
      <c r="A532" s="5">
        <v>548</v>
      </c>
      <c r="B532" s="5">
        <v>1</v>
      </c>
      <c r="C532" s="6" t="s">
        <v>302</v>
      </c>
      <c r="D532" s="25">
        <f>'FY07 PU'!D182</f>
        <v>0</v>
      </c>
      <c r="E532" s="17">
        <v>0</v>
      </c>
      <c r="F532" s="32">
        <v>0</v>
      </c>
      <c r="G532" s="32">
        <v>0</v>
      </c>
      <c r="H532" s="17">
        <v>0</v>
      </c>
      <c r="I532" s="17">
        <v>0</v>
      </c>
      <c r="J532" s="17">
        <f t="shared" si="10"/>
        <v>0</v>
      </c>
      <c r="K532" s="17">
        <f t="shared" si="11"/>
        <v>0</v>
      </c>
      <c r="L532" s="17">
        <f t="shared" si="12"/>
        <v>0</v>
      </c>
      <c r="M532" s="17">
        <f t="shared" si="13"/>
        <v>0</v>
      </c>
      <c r="N532" s="17">
        <f t="shared" si="14"/>
        <v>0</v>
      </c>
      <c r="O532" s="32"/>
    </row>
    <row r="533" spans="1:15" x14ac:dyDescent="0.2">
      <c r="A533" s="5">
        <v>549</v>
      </c>
      <c r="B533" s="5">
        <v>1</v>
      </c>
      <c r="C533" s="6" t="s">
        <v>303</v>
      </c>
      <c r="D533" s="25">
        <f>'FY07 PU'!D183</f>
        <v>0</v>
      </c>
      <c r="E533" s="17">
        <v>8.3699999999999992</v>
      </c>
      <c r="F533" s="32">
        <v>4.8099999999999996</v>
      </c>
      <c r="G533" s="32">
        <v>1.04</v>
      </c>
      <c r="H533" s="17">
        <v>0</v>
      </c>
      <c r="I533" s="17">
        <v>0</v>
      </c>
      <c r="J533" s="17">
        <f t="shared" si="10"/>
        <v>0</v>
      </c>
      <c r="K533" s="17">
        <f t="shared" si="11"/>
        <v>0</v>
      </c>
      <c r="L533" s="17">
        <f t="shared" si="12"/>
        <v>0</v>
      </c>
      <c r="M533" s="17">
        <f t="shared" si="13"/>
        <v>0</v>
      </c>
      <c r="N533" s="17">
        <f t="shared" si="14"/>
        <v>0</v>
      </c>
      <c r="O533" s="32"/>
    </row>
    <row r="534" spans="1:15" x14ac:dyDescent="0.2">
      <c r="A534" s="5">
        <v>550</v>
      </c>
      <c r="B534" s="5">
        <v>1</v>
      </c>
      <c r="C534" s="6" t="s">
        <v>304</v>
      </c>
      <c r="D534" s="25">
        <f>'FY07 PU'!D184</f>
        <v>0</v>
      </c>
      <c r="E534" s="17">
        <v>0</v>
      </c>
      <c r="F534" s="32">
        <v>0</v>
      </c>
      <c r="G534" s="32">
        <v>0</v>
      </c>
      <c r="H534" s="17">
        <v>0</v>
      </c>
      <c r="I534" s="17">
        <v>0</v>
      </c>
      <c r="J534" s="17">
        <f t="shared" si="10"/>
        <v>0</v>
      </c>
      <c r="K534" s="17">
        <f t="shared" si="11"/>
        <v>0</v>
      </c>
      <c r="L534" s="17">
        <f t="shared" si="12"/>
        <v>0</v>
      </c>
      <c r="M534" s="17">
        <f t="shared" si="13"/>
        <v>0</v>
      </c>
      <c r="N534" s="17">
        <f t="shared" si="14"/>
        <v>0</v>
      </c>
      <c r="O534" s="32"/>
    </row>
    <row r="535" spans="1:15" x14ac:dyDescent="0.2">
      <c r="A535" s="5">
        <v>553</v>
      </c>
      <c r="B535" s="5">
        <v>1</v>
      </c>
      <c r="C535" s="6" t="s">
        <v>305</v>
      </c>
      <c r="D535" s="25">
        <f>'FY07 PU'!D185</f>
        <v>0</v>
      </c>
      <c r="E535" s="17">
        <v>139.69</v>
      </c>
      <c r="F535" s="32">
        <v>129.82</v>
      </c>
      <c r="G535" s="32">
        <v>120.37</v>
      </c>
      <c r="H535" s="17">
        <v>115.91</v>
      </c>
      <c r="I535" s="17">
        <v>111.54</v>
      </c>
      <c r="J535" s="17">
        <f t="shared" si="10"/>
        <v>0</v>
      </c>
      <c r="K535" s="17">
        <f t="shared" si="11"/>
        <v>0</v>
      </c>
      <c r="L535" s="17">
        <f t="shared" si="12"/>
        <v>0</v>
      </c>
      <c r="M535" s="17">
        <f t="shared" si="13"/>
        <v>0</v>
      </c>
      <c r="N535" s="17">
        <f t="shared" si="14"/>
        <v>0</v>
      </c>
      <c r="O535" s="32"/>
    </row>
    <row r="536" spans="1:15" x14ac:dyDescent="0.2">
      <c r="A536" s="5">
        <v>561</v>
      </c>
      <c r="B536" s="5">
        <v>1</v>
      </c>
      <c r="C536" s="6" t="s">
        <v>306</v>
      </c>
      <c r="D536" s="25">
        <f>'FY07 PU'!D186</f>
        <v>0</v>
      </c>
      <c r="E536" s="17">
        <v>1396.37</v>
      </c>
      <c r="F536" s="32">
        <v>1355.71</v>
      </c>
      <c r="G536" s="32">
        <v>1297.24</v>
      </c>
      <c r="H536" s="17">
        <v>1255.6300000000001</v>
      </c>
      <c r="I536" s="17">
        <v>1242.48</v>
      </c>
      <c r="J536" s="17">
        <f t="shared" si="10"/>
        <v>0</v>
      </c>
      <c r="K536" s="17">
        <f t="shared" si="11"/>
        <v>0</v>
      </c>
      <c r="L536" s="17">
        <f t="shared" si="12"/>
        <v>0</v>
      </c>
      <c r="M536" s="17">
        <f t="shared" si="13"/>
        <v>0</v>
      </c>
      <c r="N536" s="17">
        <f t="shared" si="14"/>
        <v>0</v>
      </c>
      <c r="O536" s="32"/>
    </row>
    <row r="537" spans="1:15" x14ac:dyDescent="0.2">
      <c r="A537" s="5">
        <v>564</v>
      </c>
      <c r="B537" s="5">
        <v>1</v>
      </c>
      <c r="C537" s="6" t="s">
        <v>307</v>
      </c>
      <c r="D537" s="25">
        <f>'FY07 PU'!D187</f>
        <v>0</v>
      </c>
      <c r="E537" s="17">
        <v>465.49</v>
      </c>
      <c r="F537" s="32">
        <v>473.96</v>
      </c>
      <c r="G537" s="32">
        <v>453.81</v>
      </c>
      <c r="H537" s="17">
        <v>425.09</v>
      </c>
      <c r="I537" s="17">
        <v>410</v>
      </c>
      <c r="J537" s="17">
        <f t="shared" si="10"/>
        <v>0</v>
      </c>
      <c r="K537" s="17">
        <f t="shared" si="11"/>
        <v>0</v>
      </c>
      <c r="L537" s="17">
        <f t="shared" si="12"/>
        <v>0</v>
      </c>
      <c r="M537" s="17">
        <f t="shared" si="13"/>
        <v>0</v>
      </c>
      <c r="N537" s="17">
        <f t="shared" si="14"/>
        <v>0</v>
      </c>
      <c r="O537" s="32"/>
    </row>
    <row r="538" spans="1:15" x14ac:dyDescent="0.2">
      <c r="A538" s="5">
        <v>577</v>
      </c>
      <c r="B538" s="5">
        <v>1</v>
      </c>
      <c r="C538" s="6" t="s">
        <v>308</v>
      </c>
      <c r="D538" s="25">
        <f>'FY07 PU'!D188</f>
        <v>0</v>
      </c>
      <c r="E538" s="17">
        <v>63.06</v>
      </c>
      <c r="F538" s="32">
        <v>55.68</v>
      </c>
      <c r="G538" s="32">
        <v>44.45</v>
      </c>
      <c r="H538" s="17">
        <v>32.869999999999997</v>
      </c>
      <c r="I538" s="17">
        <v>26.43</v>
      </c>
      <c r="J538" s="17">
        <f t="shared" si="10"/>
        <v>0</v>
      </c>
      <c r="K538" s="17">
        <f t="shared" si="11"/>
        <v>0</v>
      </c>
      <c r="L538" s="17">
        <f t="shared" si="12"/>
        <v>0</v>
      </c>
      <c r="M538" s="17">
        <f t="shared" si="13"/>
        <v>0</v>
      </c>
      <c r="N538" s="17">
        <f t="shared" si="14"/>
        <v>0</v>
      </c>
      <c r="O538" s="32"/>
    </row>
    <row r="539" spans="1:15" x14ac:dyDescent="0.2">
      <c r="A539" s="5">
        <v>578</v>
      </c>
      <c r="B539" s="5">
        <v>1</v>
      </c>
      <c r="C539" s="6" t="s">
        <v>309</v>
      </c>
      <c r="D539" s="25">
        <f>'FY07 PU'!D189</f>
        <v>0</v>
      </c>
      <c r="E539" s="17">
        <v>246.07</v>
      </c>
      <c r="F539" s="32">
        <v>215.77</v>
      </c>
      <c r="G539" s="32">
        <v>145.78</v>
      </c>
      <c r="H539" s="17">
        <v>108.65</v>
      </c>
      <c r="I539" s="17">
        <v>82.79</v>
      </c>
      <c r="J539" s="17">
        <f t="shared" si="10"/>
        <v>0</v>
      </c>
      <c r="K539" s="17">
        <f t="shared" si="11"/>
        <v>0</v>
      </c>
      <c r="L539" s="17">
        <f t="shared" si="12"/>
        <v>0</v>
      </c>
      <c r="M539" s="17">
        <f t="shared" si="13"/>
        <v>0</v>
      </c>
      <c r="N539" s="17">
        <f t="shared" si="14"/>
        <v>0</v>
      </c>
      <c r="O539" s="32"/>
    </row>
    <row r="540" spans="1:15" x14ac:dyDescent="0.2">
      <c r="A540" s="5">
        <v>581</v>
      </c>
      <c r="B540" s="5">
        <v>1</v>
      </c>
      <c r="C540" s="6" t="s">
        <v>310</v>
      </c>
      <c r="D540" s="25">
        <f>'FY07 PU'!D190</f>
        <v>0</v>
      </c>
      <c r="E540" s="17">
        <v>104.5</v>
      </c>
      <c r="F540" s="32">
        <v>126.72</v>
      </c>
      <c r="G540" s="32">
        <v>89.33</v>
      </c>
      <c r="H540" s="17">
        <v>27.32</v>
      </c>
      <c r="I540" s="17">
        <v>0</v>
      </c>
      <c r="J540" s="17">
        <f t="shared" si="10"/>
        <v>0</v>
      </c>
      <c r="K540" s="17">
        <f t="shared" si="11"/>
        <v>0</v>
      </c>
      <c r="L540" s="17">
        <f t="shared" si="12"/>
        <v>0</v>
      </c>
      <c r="M540" s="17">
        <f t="shared" si="13"/>
        <v>0</v>
      </c>
      <c r="N540" s="17">
        <f t="shared" si="14"/>
        <v>0</v>
      </c>
      <c r="O540" s="32"/>
    </row>
    <row r="541" spans="1:15" x14ac:dyDescent="0.2">
      <c r="A541" s="5">
        <v>592</v>
      </c>
      <c r="B541" s="5">
        <v>1</v>
      </c>
      <c r="C541" s="6" t="s">
        <v>311</v>
      </c>
      <c r="D541" s="25">
        <f>'FY07 PU'!D191</f>
        <v>0</v>
      </c>
      <c r="E541" s="17">
        <v>588.42999999999995</v>
      </c>
      <c r="F541" s="32">
        <v>630.55999999999995</v>
      </c>
      <c r="G541" s="32">
        <v>407.85</v>
      </c>
      <c r="H541" s="17">
        <v>381.67</v>
      </c>
      <c r="I541" s="17">
        <v>280.75</v>
      </c>
      <c r="J541" s="17">
        <f t="shared" si="10"/>
        <v>0</v>
      </c>
      <c r="K541" s="17">
        <f t="shared" si="11"/>
        <v>0</v>
      </c>
      <c r="L541" s="17">
        <f t="shared" si="12"/>
        <v>0</v>
      </c>
      <c r="M541" s="17">
        <f t="shared" si="13"/>
        <v>0</v>
      </c>
      <c r="N541" s="17">
        <f t="shared" si="14"/>
        <v>0</v>
      </c>
      <c r="O541" s="32"/>
    </row>
    <row r="542" spans="1:15" x14ac:dyDescent="0.2">
      <c r="A542" s="5">
        <v>593</v>
      </c>
      <c r="B542" s="5">
        <v>1</v>
      </c>
      <c r="C542" s="6" t="s">
        <v>312</v>
      </c>
      <c r="D542" s="25">
        <f>'FY07 PU'!D192</f>
        <v>0</v>
      </c>
      <c r="E542" s="17">
        <v>418.51</v>
      </c>
      <c r="F542" s="32">
        <v>391</v>
      </c>
      <c r="G542" s="32">
        <v>354.61</v>
      </c>
      <c r="H542" s="17">
        <v>345.56</v>
      </c>
      <c r="I542" s="17">
        <v>328.5</v>
      </c>
      <c r="J542" s="17">
        <f t="shared" si="10"/>
        <v>0</v>
      </c>
      <c r="K542" s="17">
        <f t="shared" si="11"/>
        <v>0</v>
      </c>
      <c r="L542" s="17">
        <f t="shared" si="12"/>
        <v>0</v>
      </c>
      <c r="M542" s="17">
        <f t="shared" si="13"/>
        <v>0</v>
      </c>
      <c r="N542" s="17">
        <f t="shared" si="14"/>
        <v>0</v>
      </c>
      <c r="O542" s="32"/>
    </row>
    <row r="543" spans="1:15" x14ac:dyDescent="0.2">
      <c r="A543" s="5">
        <v>595</v>
      </c>
      <c r="B543" s="5">
        <v>1</v>
      </c>
      <c r="C543" s="6" t="s">
        <v>313</v>
      </c>
      <c r="D543" s="25">
        <f>'FY07 PU'!D193</f>
        <v>0</v>
      </c>
      <c r="E543" s="17">
        <v>78.84</v>
      </c>
      <c r="F543" s="32">
        <v>69.180000000000007</v>
      </c>
      <c r="G543" s="32">
        <v>285.3</v>
      </c>
      <c r="H543" s="17">
        <v>245.92</v>
      </c>
      <c r="I543" s="17">
        <v>226.83</v>
      </c>
      <c r="J543" s="17">
        <f t="shared" si="10"/>
        <v>0</v>
      </c>
      <c r="K543" s="17">
        <f t="shared" si="11"/>
        <v>0</v>
      </c>
      <c r="L543" s="17">
        <f t="shared" si="12"/>
        <v>0</v>
      </c>
      <c r="M543" s="17">
        <f t="shared" si="13"/>
        <v>0</v>
      </c>
      <c r="N543" s="17">
        <f t="shared" si="14"/>
        <v>0</v>
      </c>
      <c r="O543" s="32"/>
    </row>
    <row r="544" spans="1:15" x14ac:dyDescent="0.2">
      <c r="A544" s="5">
        <v>599</v>
      </c>
      <c r="B544" s="5">
        <v>1</v>
      </c>
      <c r="C544" s="6" t="s">
        <v>314</v>
      </c>
      <c r="D544" s="25">
        <f>'FY07 PU'!D194</f>
        <v>0</v>
      </c>
      <c r="E544" s="17">
        <v>649.55999999999995</v>
      </c>
      <c r="F544" s="32">
        <v>591.85</v>
      </c>
      <c r="G544" s="32">
        <v>488.3</v>
      </c>
      <c r="H544" s="17">
        <v>419.09</v>
      </c>
      <c r="I544" s="17">
        <v>392.65</v>
      </c>
      <c r="J544" s="17">
        <f t="shared" si="10"/>
        <v>0</v>
      </c>
      <c r="K544" s="17">
        <f t="shared" si="11"/>
        <v>0</v>
      </c>
      <c r="L544" s="17">
        <f t="shared" si="12"/>
        <v>0</v>
      </c>
      <c r="M544" s="17">
        <f t="shared" si="13"/>
        <v>0</v>
      </c>
      <c r="N544" s="17">
        <f t="shared" si="14"/>
        <v>0</v>
      </c>
      <c r="O544" s="32"/>
    </row>
    <row r="545" spans="1:15" x14ac:dyDescent="0.2">
      <c r="A545" s="5">
        <v>600</v>
      </c>
      <c r="B545" s="5">
        <v>1</v>
      </c>
      <c r="C545" s="7" t="s">
        <v>315</v>
      </c>
      <c r="D545" s="25">
        <f>'FY07 PU'!D195</f>
        <v>0</v>
      </c>
      <c r="E545" s="17">
        <v>169.51</v>
      </c>
      <c r="F545" s="32">
        <v>206.02</v>
      </c>
      <c r="G545" s="32">
        <v>164.96</v>
      </c>
      <c r="H545" s="17">
        <v>148.38</v>
      </c>
      <c r="I545" s="17">
        <v>112.36</v>
      </c>
      <c r="J545" s="17">
        <f t="shared" si="10"/>
        <v>0</v>
      </c>
      <c r="K545" s="17">
        <f t="shared" si="11"/>
        <v>0</v>
      </c>
      <c r="L545" s="17">
        <f t="shared" si="12"/>
        <v>0</v>
      </c>
      <c r="M545" s="17">
        <f t="shared" si="13"/>
        <v>0</v>
      </c>
      <c r="N545" s="17">
        <f t="shared" si="14"/>
        <v>0</v>
      </c>
      <c r="O545" s="32"/>
    </row>
    <row r="546" spans="1:15" x14ac:dyDescent="0.2">
      <c r="A546" s="5">
        <v>601</v>
      </c>
      <c r="B546" s="5">
        <v>1</v>
      </c>
      <c r="C546" s="6" t="s">
        <v>316</v>
      </c>
      <c r="D546" s="25">
        <f>'FY07 PU'!D196</f>
        <v>0</v>
      </c>
      <c r="E546" s="17">
        <v>581.41999999999996</v>
      </c>
      <c r="F546" s="32">
        <v>562</v>
      </c>
      <c r="G546" s="32">
        <v>526.69000000000005</v>
      </c>
      <c r="H546" s="17">
        <v>507.34</v>
      </c>
      <c r="I546" s="17">
        <v>493.13</v>
      </c>
      <c r="J546" s="17">
        <f t="shared" si="10"/>
        <v>0</v>
      </c>
      <c r="K546" s="17">
        <f t="shared" si="11"/>
        <v>0</v>
      </c>
      <c r="L546" s="17">
        <f t="shared" si="12"/>
        <v>0</v>
      </c>
      <c r="M546" s="17">
        <f t="shared" si="13"/>
        <v>0</v>
      </c>
      <c r="N546" s="17">
        <f t="shared" si="14"/>
        <v>0</v>
      </c>
      <c r="O546" s="32"/>
    </row>
    <row r="547" spans="1:15" x14ac:dyDescent="0.2">
      <c r="A547" s="5">
        <v>611</v>
      </c>
      <c r="B547" s="5">
        <v>1</v>
      </c>
      <c r="C547" s="6" t="s">
        <v>317</v>
      </c>
      <c r="D547" s="25">
        <f>'FY07 PU'!D197</f>
        <v>0</v>
      </c>
      <c r="E547" s="17">
        <v>308.70999999999998</v>
      </c>
      <c r="F547" s="32">
        <v>263.27</v>
      </c>
      <c r="G547" s="32">
        <v>224.97</v>
      </c>
      <c r="H547" s="17">
        <v>264.94</v>
      </c>
      <c r="I547" s="17">
        <v>342.11</v>
      </c>
      <c r="J547" s="17">
        <f t="shared" si="10"/>
        <v>0</v>
      </c>
      <c r="K547" s="17">
        <f t="shared" si="11"/>
        <v>0</v>
      </c>
      <c r="L547" s="17">
        <f t="shared" si="12"/>
        <v>0</v>
      </c>
      <c r="M547" s="17">
        <f t="shared" si="13"/>
        <v>0</v>
      </c>
      <c r="N547" s="17">
        <f t="shared" si="14"/>
        <v>0</v>
      </c>
      <c r="O547" s="32"/>
    </row>
    <row r="548" spans="1:15" x14ac:dyDescent="0.2">
      <c r="A548" s="5">
        <v>621</v>
      </c>
      <c r="B548" s="5">
        <v>1</v>
      </c>
      <c r="C548" s="6" t="s">
        <v>318</v>
      </c>
      <c r="D548" s="25">
        <f>'FY07 PU'!D198</f>
        <v>0</v>
      </c>
      <c r="E548" s="17">
        <v>0</v>
      </c>
      <c r="F548" s="32">
        <v>0</v>
      </c>
      <c r="G548" s="32">
        <v>0</v>
      </c>
      <c r="H548" s="17">
        <v>0</v>
      </c>
      <c r="I548" s="17">
        <v>0</v>
      </c>
      <c r="J548" s="17">
        <f t="shared" si="10"/>
        <v>0</v>
      </c>
      <c r="K548" s="17">
        <f t="shared" si="11"/>
        <v>0</v>
      </c>
      <c r="L548" s="17">
        <f t="shared" si="12"/>
        <v>0</v>
      </c>
      <c r="M548" s="17">
        <f t="shared" si="13"/>
        <v>0</v>
      </c>
      <c r="N548" s="17">
        <f t="shared" si="14"/>
        <v>0</v>
      </c>
      <c r="O548" s="32"/>
    </row>
    <row r="549" spans="1:15" x14ac:dyDescent="0.2">
      <c r="A549" s="5">
        <v>622</v>
      </c>
      <c r="B549" s="5">
        <v>1</v>
      </c>
      <c r="C549" s="6" t="s">
        <v>319</v>
      </c>
      <c r="D549" s="25">
        <f>'FY07 PU'!D199</f>
        <v>0</v>
      </c>
      <c r="E549" s="17">
        <v>3.85</v>
      </c>
      <c r="F549" s="32">
        <v>0</v>
      </c>
      <c r="G549" s="32">
        <v>0</v>
      </c>
      <c r="H549" s="17">
        <v>0</v>
      </c>
      <c r="I549" s="17">
        <v>0</v>
      </c>
      <c r="J549" s="17">
        <f t="shared" si="10"/>
        <v>0</v>
      </c>
      <c r="K549" s="17">
        <f t="shared" si="11"/>
        <v>0</v>
      </c>
      <c r="L549" s="17">
        <f t="shared" si="12"/>
        <v>0</v>
      </c>
      <c r="M549" s="17">
        <f t="shared" si="13"/>
        <v>0</v>
      </c>
      <c r="N549" s="17">
        <f t="shared" si="14"/>
        <v>0</v>
      </c>
      <c r="O549" s="32"/>
    </row>
    <row r="550" spans="1:15" x14ac:dyDescent="0.2">
      <c r="A550" s="5">
        <v>623</v>
      </c>
      <c r="B550" s="5">
        <v>1</v>
      </c>
      <c r="C550" s="6" t="s">
        <v>320</v>
      </c>
      <c r="D550" s="25">
        <f>'FY07 PU'!D200</f>
        <v>0</v>
      </c>
      <c r="E550" s="17">
        <v>0</v>
      </c>
      <c r="F550" s="32">
        <v>0</v>
      </c>
      <c r="G550" s="32">
        <v>0</v>
      </c>
      <c r="H550" s="17">
        <v>0</v>
      </c>
      <c r="I550" s="17">
        <v>0</v>
      </c>
      <c r="J550" s="17">
        <f t="shared" si="10"/>
        <v>0</v>
      </c>
      <c r="K550" s="17">
        <f t="shared" si="11"/>
        <v>0</v>
      </c>
      <c r="L550" s="17">
        <f t="shared" si="12"/>
        <v>0</v>
      </c>
      <c r="M550" s="17">
        <f t="shared" si="13"/>
        <v>0</v>
      </c>
      <c r="N550" s="17">
        <f t="shared" si="14"/>
        <v>0</v>
      </c>
      <c r="O550" s="32"/>
    </row>
    <row r="551" spans="1:15" x14ac:dyDescent="0.2">
      <c r="A551" s="5">
        <v>624</v>
      </c>
      <c r="B551" s="5">
        <v>1</v>
      </c>
      <c r="C551" s="6" t="s">
        <v>321</v>
      </c>
      <c r="D551" s="25">
        <f>'FY07 PU'!D201</f>
        <v>0</v>
      </c>
      <c r="E551" s="17">
        <v>0</v>
      </c>
      <c r="F551" s="32">
        <v>0</v>
      </c>
      <c r="G551" s="32">
        <v>0</v>
      </c>
      <c r="H551" s="17">
        <v>0</v>
      </c>
      <c r="I551" s="17">
        <v>0</v>
      </c>
      <c r="J551" s="17">
        <f t="shared" si="10"/>
        <v>0</v>
      </c>
      <c r="K551" s="17">
        <f t="shared" si="11"/>
        <v>0</v>
      </c>
      <c r="L551" s="17">
        <f t="shared" si="12"/>
        <v>0</v>
      </c>
      <c r="M551" s="17">
        <f t="shared" si="13"/>
        <v>0</v>
      </c>
      <c r="N551" s="17">
        <f t="shared" si="14"/>
        <v>0</v>
      </c>
      <c r="O551" s="32"/>
    </row>
    <row r="552" spans="1:15" x14ac:dyDescent="0.2">
      <c r="A552" s="5">
        <v>625</v>
      </c>
      <c r="B552" s="5">
        <v>1</v>
      </c>
      <c r="C552" s="6" t="s">
        <v>322</v>
      </c>
      <c r="D552" s="25">
        <f>'FY07 PU'!D202</f>
        <v>1</v>
      </c>
      <c r="E552" s="17">
        <v>114.42</v>
      </c>
      <c r="F552" s="32">
        <v>145.43</v>
      </c>
      <c r="G552" s="32">
        <v>73.45</v>
      </c>
      <c r="H552" s="17">
        <v>29.58</v>
      </c>
      <c r="I552" s="17">
        <v>0</v>
      </c>
      <c r="J552" s="17">
        <f t="shared" si="10"/>
        <v>114.42</v>
      </c>
      <c r="K552" s="17">
        <f t="shared" si="11"/>
        <v>145.43</v>
      </c>
      <c r="L552" s="17">
        <f t="shared" si="12"/>
        <v>73.45</v>
      </c>
      <c r="M552" s="17">
        <f t="shared" si="13"/>
        <v>29.58</v>
      </c>
      <c r="N552" s="17">
        <f t="shared" si="14"/>
        <v>0</v>
      </c>
      <c r="O552" s="32"/>
    </row>
    <row r="553" spans="1:15" x14ac:dyDescent="0.2">
      <c r="A553" s="5">
        <v>627</v>
      </c>
      <c r="B553" s="5">
        <v>1</v>
      </c>
      <c r="C553" s="6" t="s">
        <v>323</v>
      </c>
      <c r="D553" s="25">
        <f>'FY07 PU'!D203</f>
        <v>0</v>
      </c>
      <c r="E553" s="17">
        <v>231.56</v>
      </c>
      <c r="F553" s="32">
        <v>212.92</v>
      </c>
      <c r="G553" s="32">
        <v>176.29</v>
      </c>
      <c r="H553" s="17">
        <v>137.85</v>
      </c>
      <c r="I553" s="17">
        <v>82.7</v>
      </c>
      <c r="J553" s="17">
        <f t="shared" si="10"/>
        <v>0</v>
      </c>
      <c r="K553" s="17">
        <f t="shared" si="11"/>
        <v>0</v>
      </c>
      <c r="L553" s="17">
        <f t="shared" si="12"/>
        <v>0</v>
      </c>
      <c r="M553" s="17">
        <f t="shared" si="13"/>
        <v>0</v>
      </c>
      <c r="N553" s="17">
        <f t="shared" si="14"/>
        <v>0</v>
      </c>
      <c r="O553" s="32"/>
    </row>
    <row r="554" spans="1:15" x14ac:dyDescent="0.2">
      <c r="A554" s="5">
        <v>628</v>
      </c>
      <c r="B554" s="5">
        <v>1</v>
      </c>
      <c r="C554" s="6" t="s">
        <v>324</v>
      </c>
      <c r="D554" s="25">
        <f>'FY07 PU'!D204</f>
        <v>0</v>
      </c>
      <c r="E554" s="17">
        <v>369.04</v>
      </c>
      <c r="F554" s="32">
        <v>512.39</v>
      </c>
      <c r="G554" s="32">
        <v>519.91999999999996</v>
      </c>
      <c r="H554" s="17">
        <v>449.25</v>
      </c>
      <c r="I554" s="17">
        <v>438.57</v>
      </c>
      <c r="J554" s="17">
        <f t="shared" ref="J554:J617" si="15">$D554*E554</f>
        <v>0</v>
      </c>
      <c r="K554" s="17">
        <f t="shared" ref="K554:K617" si="16">$D554*F554</f>
        <v>0</v>
      </c>
      <c r="L554" s="17">
        <f t="shared" ref="L554:L617" si="17">$D554*G554</f>
        <v>0</v>
      </c>
      <c r="M554" s="17">
        <f t="shared" ref="M554:M617" si="18">$D554*H554</f>
        <v>0</v>
      </c>
      <c r="N554" s="17">
        <f t="shared" ref="N554:N617" si="19">$D554*I554</f>
        <v>0</v>
      </c>
      <c r="O554" s="32"/>
    </row>
    <row r="555" spans="1:15" x14ac:dyDescent="0.2">
      <c r="A555" s="5">
        <v>630</v>
      </c>
      <c r="B555" s="5">
        <v>1</v>
      </c>
      <c r="C555" s="6" t="s">
        <v>325</v>
      </c>
      <c r="D555" s="25">
        <f>'FY07 PU'!D205</f>
        <v>0</v>
      </c>
      <c r="E555" s="17">
        <v>718.65</v>
      </c>
      <c r="F555" s="32">
        <v>704.89</v>
      </c>
      <c r="G555" s="32">
        <v>672.7</v>
      </c>
      <c r="H555" s="17">
        <v>0</v>
      </c>
      <c r="I555" s="17">
        <v>0</v>
      </c>
      <c r="J555" s="17">
        <f t="shared" si="15"/>
        <v>0</v>
      </c>
      <c r="K555" s="17">
        <f t="shared" si="16"/>
        <v>0</v>
      </c>
      <c r="L555" s="17">
        <f t="shared" si="17"/>
        <v>0</v>
      </c>
      <c r="M555" s="17">
        <f t="shared" si="18"/>
        <v>0</v>
      </c>
      <c r="N555" s="17">
        <f t="shared" si="19"/>
        <v>0</v>
      </c>
      <c r="O555" s="32"/>
    </row>
    <row r="556" spans="1:15" x14ac:dyDescent="0.2">
      <c r="A556" s="5">
        <v>635</v>
      </c>
      <c r="B556" s="5">
        <v>1</v>
      </c>
      <c r="C556" s="6" t="s">
        <v>326</v>
      </c>
      <c r="D556" s="25">
        <f>'FY07 PU'!D206</f>
        <v>0</v>
      </c>
      <c r="E556" s="17">
        <v>350.54</v>
      </c>
      <c r="F556" s="32">
        <v>326.97000000000003</v>
      </c>
      <c r="G556" s="32">
        <v>446.04</v>
      </c>
      <c r="H556" s="17">
        <v>383.98</v>
      </c>
      <c r="I556" s="17">
        <v>337.46</v>
      </c>
      <c r="J556" s="17">
        <f t="shared" si="15"/>
        <v>0</v>
      </c>
      <c r="K556" s="17">
        <f t="shared" si="16"/>
        <v>0</v>
      </c>
      <c r="L556" s="17">
        <f t="shared" si="17"/>
        <v>0</v>
      </c>
      <c r="M556" s="17">
        <f t="shared" si="18"/>
        <v>0</v>
      </c>
      <c r="N556" s="17">
        <f t="shared" si="19"/>
        <v>0</v>
      </c>
      <c r="O556" s="32"/>
    </row>
    <row r="557" spans="1:15" x14ac:dyDescent="0.2">
      <c r="A557" s="5">
        <v>640</v>
      </c>
      <c r="B557" s="5">
        <v>1</v>
      </c>
      <c r="C557" s="6" t="s">
        <v>327</v>
      </c>
      <c r="D557" s="25">
        <f>'FY07 PU'!D207</f>
        <v>0</v>
      </c>
      <c r="E557" s="17">
        <v>370.25</v>
      </c>
      <c r="F557" s="32">
        <v>356.02</v>
      </c>
      <c r="G557" s="32">
        <v>621.14</v>
      </c>
      <c r="H557" s="17">
        <v>582.65</v>
      </c>
      <c r="I557" s="17">
        <v>577.11</v>
      </c>
      <c r="J557" s="17">
        <f t="shared" si="15"/>
        <v>0</v>
      </c>
      <c r="K557" s="17">
        <f t="shared" si="16"/>
        <v>0</v>
      </c>
      <c r="L557" s="17">
        <f t="shared" si="17"/>
        <v>0</v>
      </c>
      <c r="M557" s="17">
        <f t="shared" si="18"/>
        <v>0</v>
      </c>
      <c r="N557" s="17">
        <f t="shared" si="19"/>
        <v>0</v>
      </c>
      <c r="O557" s="32"/>
    </row>
    <row r="558" spans="1:15" x14ac:dyDescent="0.2">
      <c r="A558" s="5">
        <v>656</v>
      </c>
      <c r="B558" s="5">
        <v>1</v>
      </c>
      <c r="C558" s="6" t="s">
        <v>328</v>
      </c>
      <c r="D558" s="25">
        <f>'FY07 PU'!D208</f>
        <v>0</v>
      </c>
      <c r="E558" s="17">
        <v>122.52</v>
      </c>
      <c r="F558" s="32">
        <v>89.25</v>
      </c>
      <c r="G558" s="32">
        <v>62.44</v>
      </c>
      <c r="H558" s="17">
        <v>36.520000000000003</v>
      </c>
      <c r="I558" s="17">
        <v>14.9</v>
      </c>
      <c r="J558" s="17">
        <f t="shared" si="15"/>
        <v>0</v>
      </c>
      <c r="K558" s="17">
        <f t="shared" si="16"/>
        <v>0</v>
      </c>
      <c r="L558" s="17">
        <f t="shared" si="17"/>
        <v>0</v>
      </c>
      <c r="M558" s="17">
        <f t="shared" si="18"/>
        <v>0</v>
      </c>
      <c r="N558" s="17">
        <f t="shared" si="19"/>
        <v>0</v>
      </c>
      <c r="O558" s="32"/>
    </row>
    <row r="559" spans="1:15" x14ac:dyDescent="0.2">
      <c r="A559" s="5">
        <v>659</v>
      </c>
      <c r="B559" s="5">
        <v>1</v>
      </c>
      <c r="C559" s="6" t="s">
        <v>329</v>
      </c>
      <c r="D559" s="25">
        <f>'FY07 PU'!D209</f>
        <v>0</v>
      </c>
      <c r="E559" s="17">
        <v>140.36000000000001</v>
      </c>
      <c r="F559" s="32">
        <v>88.2</v>
      </c>
      <c r="G559" s="32">
        <v>23.52</v>
      </c>
      <c r="H559" s="17">
        <v>0</v>
      </c>
      <c r="I559" s="17">
        <v>0</v>
      </c>
      <c r="J559" s="17">
        <f t="shared" si="15"/>
        <v>0</v>
      </c>
      <c r="K559" s="17">
        <f t="shared" si="16"/>
        <v>0</v>
      </c>
      <c r="L559" s="17">
        <f t="shared" si="17"/>
        <v>0</v>
      </c>
      <c r="M559" s="17">
        <f t="shared" si="18"/>
        <v>0</v>
      </c>
      <c r="N559" s="17">
        <f t="shared" si="19"/>
        <v>0</v>
      </c>
      <c r="O559" s="32"/>
    </row>
    <row r="560" spans="1:15" x14ac:dyDescent="0.2">
      <c r="A560" s="5">
        <v>671</v>
      </c>
      <c r="B560" s="5">
        <v>1</v>
      </c>
      <c r="C560" s="6" t="s">
        <v>330</v>
      </c>
      <c r="D560" s="25">
        <f>'FY07 PU'!D210</f>
        <v>0</v>
      </c>
      <c r="E560" s="17">
        <v>380.52</v>
      </c>
      <c r="F560" s="32">
        <v>371.13</v>
      </c>
      <c r="G560" s="32">
        <v>338.9</v>
      </c>
      <c r="H560" s="17">
        <v>321.47000000000003</v>
      </c>
      <c r="I560" s="17">
        <v>304.19</v>
      </c>
      <c r="J560" s="17">
        <f t="shared" si="15"/>
        <v>0</v>
      </c>
      <c r="K560" s="17">
        <f t="shared" si="16"/>
        <v>0</v>
      </c>
      <c r="L560" s="17">
        <f t="shared" si="17"/>
        <v>0</v>
      </c>
      <c r="M560" s="17">
        <f t="shared" si="18"/>
        <v>0</v>
      </c>
      <c r="N560" s="17">
        <f t="shared" si="19"/>
        <v>0</v>
      </c>
      <c r="O560" s="32"/>
    </row>
    <row r="561" spans="1:15" x14ac:dyDescent="0.2">
      <c r="A561" s="5">
        <v>676</v>
      </c>
      <c r="B561" s="5">
        <v>1</v>
      </c>
      <c r="C561" s="6" t="s">
        <v>331</v>
      </c>
      <c r="D561" s="25">
        <f>'FY07 PU'!D211</f>
        <v>0</v>
      </c>
      <c r="E561" s="17">
        <v>598.48</v>
      </c>
      <c r="F561" s="32">
        <v>527.29</v>
      </c>
      <c r="G561" s="32">
        <v>468.12</v>
      </c>
      <c r="H561" s="17">
        <v>480.76</v>
      </c>
      <c r="I561" s="17">
        <v>463.22</v>
      </c>
      <c r="J561" s="17">
        <f t="shared" si="15"/>
        <v>0</v>
      </c>
      <c r="K561" s="17">
        <f t="shared" si="16"/>
        <v>0</v>
      </c>
      <c r="L561" s="17">
        <f t="shared" si="17"/>
        <v>0</v>
      </c>
      <c r="M561" s="17">
        <f t="shared" si="18"/>
        <v>0</v>
      </c>
      <c r="N561" s="17">
        <f t="shared" si="19"/>
        <v>0</v>
      </c>
      <c r="O561" s="32"/>
    </row>
    <row r="562" spans="1:15" x14ac:dyDescent="0.2">
      <c r="A562" s="5">
        <v>682</v>
      </c>
      <c r="B562" s="5">
        <v>1</v>
      </c>
      <c r="C562" s="6" t="s">
        <v>332</v>
      </c>
      <c r="D562" s="25">
        <f>'FY07 PU'!D212</f>
        <v>0</v>
      </c>
      <c r="E562" s="17">
        <v>354.74</v>
      </c>
      <c r="F562" s="32">
        <v>337.12</v>
      </c>
      <c r="G562" s="32">
        <v>313.64</v>
      </c>
      <c r="H562" s="17">
        <v>307.13</v>
      </c>
      <c r="I562" s="17">
        <v>296.79000000000002</v>
      </c>
      <c r="J562" s="17">
        <f t="shared" si="15"/>
        <v>0</v>
      </c>
      <c r="K562" s="17">
        <f t="shared" si="16"/>
        <v>0</v>
      </c>
      <c r="L562" s="17">
        <f t="shared" si="17"/>
        <v>0</v>
      </c>
      <c r="M562" s="17">
        <f t="shared" si="18"/>
        <v>0</v>
      </c>
      <c r="N562" s="17">
        <f t="shared" si="19"/>
        <v>0</v>
      </c>
      <c r="O562" s="32"/>
    </row>
    <row r="563" spans="1:15" x14ac:dyDescent="0.2">
      <c r="A563" s="5">
        <v>690</v>
      </c>
      <c r="B563" s="5">
        <v>1</v>
      </c>
      <c r="C563" s="6" t="s">
        <v>333</v>
      </c>
      <c r="D563" s="25">
        <f>'FY07 PU'!D213</f>
        <v>0</v>
      </c>
      <c r="E563" s="17">
        <v>430.85</v>
      </c>
      <c r="F563" s="32">
        <v>411.31</v>
      </c>
      <c r="G563" s="32">
        <v>385.71</v>
      </c>
      <c r="H563" s="17">
        <v>369.89</v>
      </c>
      <c r="I563" s="17">
        <v>358.15</v>
      </c>
      <c r="J563" s="17">
        <f t="shared" si="15"/>
        <v>0</v>
      </c>
      <c r="K563" s="17">
        <f t="shared" si="16"/>
        <v>0</v>
      </c>
      <c r="L563" s="17">
        <f t="shared" si="17"/>
        <v>0</v>
      </c>
      <c r="M563" s="17">
        <f t="shared" si="18"/>
        <v>0</v>
      </c>
      <c r="N563" s="17">
        <f t="shared" si="19"/>
        <v>0</v>
      </c>
      <c r="O563" s="32"/>
    </row>
    <row r="564" spans="1:15" x14ac:dyDescent="0.2">
      <c r="A564" s="5">
        <v>695</v>
      </c>
      <c r="B564" s="5">
        <v>1</v>
      </c>
      <c r="C564" s="6" t="s">
        <v>334</v>
      </c>
      <c r="D564" s="25">
        <f>'FY07 PU'!D214</f>
        <v>0</v>
      </c>
      <c r="E564" s="17">
        <v>480.78</v>
      </c>
      <c r="F564" s="32">
        <v>489.67</v>
      </c>
      <c r="G564" s="32">
        <v>469.27</v>
      </c>
      <c r="H564" s="17">
        <v>454.17</v>
      </c>
      <c r="I564" s="17">
        <v>442.64</v>
      </c>
      <c r="J564" s="17">
        <f t="shared" si="15"/>
        <v>0</v>
      </c>
      <c r="K564" s="17">
        <f t="shared" si="16"/>
        <v>0</v>
      </c>
      <c r="L564" s="17">
        <f t="shared" si="17"/>
        <v>0</v>
      </c>
      <c r="M564" s="17">
        <f t="shared" si="18"/>
        <v>0</v>
      </c>
      <c r="N564" s="17">
        <f t="shared" si="19"/>
        <v>0</v>
      </c>
      <c r="O564" s="32"/>
    </row>
    <row r="565" spans="1:15" x14ac:dyDescent="0.2">
      <c r="A565" s="5">
        <v>696</v>
      </c>
      <c r="B565" s="5">
        <v>1</v>
      </c>
      <c r="C565" s="6" t="s">
        <v>335</v>
      </c>
      <c r="D565" s="25">
        <f>'FY07 PU'!D215</f>
        <v>0</v>
      </c>
      <c r="E565" s="17">
        <v>20.149999999999999</v>
      </c>
      <c r="F565" s="32">
        <v>0</v>
      </c>
      <c r="G565" s="32">
        <v>0</v>
      </c>
      <c r="H565" s="17">
        <v>0</v>
      </c>
      <c r="I565" s="17">
        <v>0</v>
      </c>
      <c r="J565" s="17">
        <f t="shared" si="15"/>
        <v>0</v>
      </c>
      <c r="K565" s="17">
        <f t="shared" si="16"/>
        <v>0</v>
      </c>
      <c r="L565" s="17">
        <f t="shared" si="17"/>
        <v>0</v>
      </c>
      <c r="M565" s="17">
        <f t="shared" si="18"/>
        <v>0</v>
      </c>
      <c r="N565" s="17">
        <f t="shared" si="19"/>
        <v>0</v>
      </c>
      <c r="O565" s="32"/>
    </row>
    <row r="566" spans="1:15" x14ac:dyDescent="0.2">
      <c r="A566" s="5">
        <v>698</v>
      </c>
      <c r="B566" s="5">
        <v>1</v>
      </c>
      <c r="C566" s="6" t="s">
        <v>336</v>
      </c>
      <c r="D566" s="25">
        <f>'FY07 PU'!D216</f>
        <v>0</v>
      </c>
      <c r="E566" s="17">
        <v>0</v>
      </c>
      <c r="F566" s="32">
        <v>0</v>
      </c>
      <c r="G566" s="32">
        <v>0</v>
      </c>
      <c r="H566" s="17">
        <v>0</v>
      </c>
      <c r="I566" s="17">
        <v>0</v>
      </c>
      <c r="J566" s="17">
        <f t="shared" si="15"/>
        <v>0</v>
      </c>
      <c r="K566" s="17">
        <f t="shared" si="16"/>
        <v>0</v>
      </c>
      <c r="L566" s="17">
        <f t="shared" si="17"/>
        <v>0</v>
      </c>
      <c r="M566" s="17">
        <f t="shared" si="18"/>
        <v>0</v>
      </c>
      <c r="N566" s="17">
        <f t="shared" si="19"/>
        <v>0</v>
      </c>
      <c r="O566" s="32"/>
    </row>
    <row r="567" spans="1:15" x14ac:dyDescent="0.2">
      <c r="A567" s="5">
        <v>700</v>
      </c>
      <c r="B567" s="5">
        <v>1</v>
      </c>
      <c r="C567" s="6" t="s">
        <v>337</v>
      </c>
      <c r="D567" s="25">
        <f>'FY07 PU'!D217</f>
        <v>0</v>
      </c>
      <c r="E567" s="17">
        <v>0.3</v>
      </c>
      <c r="F567" s="32">
        <v>0.2</v>
      </c>
      <c r="G567" s="32">
        <v>0.09</v>
      </c>
      <c r="H567" s="17">
        <v>0.02</v>
      </c>
      <c r="I567" s="17">
        <v>0</v>
      </c>
      <c r="J567" s="17">
        <f t="shared" si="15"/>
        <v>0</v>
      </c>
      <c r="K567" s="17">
        <f t="shared" si="16"/>
        <v>0</v>
      </c>
      <c r="L567" s="17">
        <f t="shared" si="17"/>
        <v>0</v>
      </c>
      <c r="M567" s="17">
        <f t="shared" si="18"/>
        <v>0</v>
      </c>
      <c r="N567" s="17">
        <f t="shared" si="19"/>
        <v>0</v>
      </c>
      <c r="O567" s="32"/>
    </row>
    <row r="568" spans="1:15" x14ac:dyDescent="0.2">
      <c r="A568" s="5">
        <v>701</v>
      </c>
      <c r="B568" s="5">
        <v>1</v>
      </c>
      <c r="C568" s="6" t="s">
        <v>338</v>
      </c>
      <c r="D568" s="25">
        <f>'FY07 PU'!D218</f>
        <v>0</v>
      </c>
      <c r="E568" s="17">
        <v>315.14999999999998</v>
      </c>
      <c r="F568" s="32">
        <v>283.18</v>
      </c>
      <c r="G568" s="32">
        <v>297.43</v>
      </c>
      <c r="H568" s="17">
        <v>267.3</v>
      </c>
      <c r="I568" s="17">
        <v>241.42</v>
      </c>
      <c r="J568" s="17">
        <f t="shared" si="15"/>
        <v>0</v>
      </c>
      <c r="K568" s="17">
        <f t="shared" si="16"/>
        <v>0</v>
      </c>
      <c r="L568" s="17">
        <f t="shared" si="17"/>
        <v>0</v>
      </c>
      <c r="M568" s="17">
        <f t="shared" si="18"/>
        <v>0</v>
      </c>
      <c r="N568" s="17">
        <f t="shared" si="19"/>
        <v>0</v>
      </c>
      <c r="O568" s="32"/>
    </row>
    <row r="569" spans="1:15" x14ac:dyDescent="0.2">
      <c r="A569" s="5">
        <v>704</v>
      </c>
      <c r="B569" s="5">
        <v>1</v>
      </c>
      <c r="C569" s="6" t="s">
        <v>339</v>
      </c>
      <c r="D569" s="25">
        <f>'FY07 PU'!D219</f>
        <v>0</v>
      </c>
      <c r="E569" s="17">
        <v>0.39</v>
      </c>
      <c r="F569" s="32">
        <v>0.28999999999999998</v>
      </c>
      <c r="G569" s="32">
        <v>0.18</v>
      </c>
      <c r="H569" s="17">
        <v>0.12</v>
      </c>
      <c r="I569" s="17">
        <v>7.0000000000000007E-2</v>
      </c>
      <c r="J569" s="17">
        <f t="shared" si="15"/>
        <v>0</v>
      </c>
      <c r="K569" s="17">
        <f t="shared" si="16"/>
        <v>0</v>
      </c>
      <c r="L569" s="17">
        <f t="shared" si="17"/>
        <v>0</v>
      </c>
      <c r="M569" s="17">
        <f t="shared" si="18"/>
        <v>0</v>
      </c>
      <c r="N569" s="17">
        <f t="shared" si="19"/>
        <v>0</v>
      </c>
      <c r="O569" s="32"/>
    </row>
    <row r="570" spans="1:15" x14ac:dyDescent="0.2">
      <c r="A570" s="5">
        <v>706</v>
      </c>
      <c r="B570" s="5">
        <v>1</v>
      </c>
      <c r="C570" s="6" t="s">
        <v>340</v>
      </c>
      <c r="D570" s="25">
        <f>'FY07 PU'!D220</f>
        <v>0</v>
      </c>
      <c r="E570" s="17">
        <v>344.34</v>
      </c>
      <c r="F570" s="32">
        <v>349.12</v>
      </c>
      <c r="G570" s="32">
        <v>321.52999999999997</v>
      </c>
      <c r="H570" s="17">
        <v>277.87</v>
      </c>
      <c r="I570" s="17">
        <v>249.33</v>
      </c>
      <c r="J570" s="17">
        <f t="shared" si="15"/>
        <v>0</v>
      </c>
      <c r="K570" s="17">
        <f t="shared" si="16"/>
        <v>0</v>
      </c>
      <c r="L570" s="17">
        <f t="shared" si="17"/>
        <v>0</v>
      </c>
      <c r="M570" s="17">
        <f t="shared" si="18"/>
        <v>0</v>
      </c>
      <c r="N570" s="17">
        <f t="shared" si="19"/>
        <v>0</v>
      </c>
      <c r="O570" s="32"/>
    </row>
    <row r="571" spans="1:15" x14ac:dyDescent="0.2">
      <c r="A571" s="5">
        <v>707</v>
      </c>
      <c r="B571" s="5">
        <v>1</v>
      </c>
      <c r="C571" s="6" t="s">
        <v>341</v>
      </c>
      <c r="D571" s="25">
        <f>'FY07 PU'!D221</f>
        <v>0</v>
      </c>
      <c r="E571" s="17">
        <v>848.76</v>
      </c>
      <c r="F571" s="32">
        <v>848.77</v>
      </c>
      <c r="G571" s="32">
        <v>848.77</v>
      </c>
      <c r="H571" s="17">
        <v>636.9</v>
      </c>
      <c r="I571" s="17">
        <v>571.9</v>
      </c>
      <c r="J571" s="17">
        <f t="shared" si="15"/>
        <v>0</v>
      </c>
      <c r="K571" s="17">
        <f t="shared" si="16"/>
        <v>0</v>
      </c>
      <c r="L571" s="17">
        <f t="shared" si="17"/>
        <v>0</v>
      </c>
      <c r="M571" s="17">
        <f t="shared" si="18"/>
        <v>0</v>
      </c>
      <c r="N571" s="17">
        <f t="shared" si="19"/>
        <v>0</v>
      </c>
      <c r="O571" s="32"/>
    </row>
    <row r="572" spans="1:15" x14ac:dyDescent="0.2">
      <c r="A572" s="5">
        <v>709</v>
      </c>
      <c r="B572" s="5">
        <v>1</v>
      </c>
      <c r="C572" s="6" t="s">
        <v>342</v>
      </c>
      <c r="D572" s="25">
        <f>'FY07 PU'!D222</f>
        <v>0</v>
      </c>
      <c r="E572" s="17">
        <v>95.06</v>
      </c>
      <c r="F572" s="32">
        <v>52.09</v>
      </c>
      <c r="G572" s="32">
        <v>19.53</v>
      </c>
      <c r="H572" s="17">
        <v>0</v>
      </c>
      <c r="I572" s="17">
        <v>0</v>
      </c>
      <c r="J572" s="17">
        <f t="shared" si="15"/>
        <v>0</v>
      </c>
      <c r="K572" s="17">
        <f t="shared" si="16"/>
        <v>0</v>
      </c>
      <c r="L572" s="17">
        <f t="shared" si="17"/>
        <v>0</v>
      </c>
      <c r="M572" s="17">
        <f t="shared" si="18"/>
        <v>0</v>
      </c>
      <c r="N572" s="17">
        <f t="shared" si="19"/>
        <v>0</v>
      </c>
      <c r="O572" s="32"/>
    </row>
    <row r="573" spans="1:15" x14ac:dyDescent="0.2">
      <c r="A573" s="5">
        <v>712</v>
      </c>
      <c r="B573" s="5">
        <v>1</v>
      </c>
      <c r="C573" s="6" t="s">
        <v>343</v>
      </c>
      <c r="D573" s="25">
        <f>'FY07 PU'!D223</f>
        <v>0</v>
      </c>
      <c r="E573" s="17">
        <v>290.10000000000002</v>
      </c>
      <c r="F573" s="32">
        <v>266.29000000000002</v>
      </c>
      <c r="G573" s="32">
        <v>239.97</v>
      </c>
      <c r="H573" s="17">
        <v>201.53</v>
      </c>
      <c r="I573" s="17">
        <v>174.18</v>
      </c>
      <c r="J573" s="17">
        <f t="shared" si="15"/>
        <v>0</v>
      </c>
      <c r="K573" s="17">
        <f t="shared" si="16"/>
        <v>0</v>
      </c>
      <c r="L573" s="17">
        <f t="shared" si="17"/>
        <v>0</v>
      </c>
      <c r="M573" s="17">
        <f t="shared" si="18"/>
        <v>0</v>
      </c>
      <c r="N573" s="17">
        <f t="shared" si="19"/>
        <v>0</v>
      </c>
      <c r="O573" s="32"/>
    </row>
    <row r="574" spans="1:15" x14ac:dyDescent="0.2">
      <c r="A574" s="5">
        <v>716</v>
      </c>
      <c r="B574" s="5">
        <v>1</v>
      </c>
      <c r="C574" s="7" t="s">
        <v>344</v>
      </c>
      <c r="D574" s="25">
        <f>'FY07 PU'!D224</f>
        <v>0</v>
      </c>
      <c r="E574" s="17">
        <v>0</v>
      </c>
      <c r="F574" s="32">
        <v>0</v>
      </c>
      <c r="G574" s="32">
        <v>70.290000000000006</v>
      </c>
      <c r="H574" s="17">
        <v>53.02</v>
      </c>
      <c r="I574" s="17">
        <v>44.51</v>
      </c>
      <c r="J574" s="17">
        <f t="shared" si="15"/>
        <v>0</v>
      </c>
      <c r="K574" s="17">
        <f t="shared" si="16"/>
        <v>0</v>
      </c>
      <c r="L574" s="17">
        <f t="shared" si="17"/>
        <v>0</v>
      </c>
      <c r="M574" s="17">
        <f t="shared" si="18"/>
        <v>0</v>
      </c>
      <c r="N574" s="17">
        <f t="shared" si="19"/>
        <v>0</v>
      </c>
      <c r="O574" s="32"/>
    </row>
    <row r="575" spans="1:15" x14ac:dyDescent="0.2">
      <c r="A575" s="5">
        <v>717</v>
      </c>
      <c r="B575" s="5">
        <v>1</v>
      </c>
      <c r="C575" s="6" t="s">
        <v>345</v>
      </c>
      <c r="D575" s="25">
        <f>'FY07 PU'!D225</f>
        <v>0</v>
      </c>
      <c r="E575" s="17">
        <v>0.31</v>
      </c>
      <c r="F575" s="32">
        <v>0.22</v>
      </c>
      <c r="G575" s="32">
        <v>0.11</v>
      </c>
      <c r="H575" s="17">
        <v>0.04</v>
      </c>
      <c r="I575" s="17">
        <v>0.02</v>
      </c>
      <c r="J575" s="17">
        <f t="shared" si="15"/>
        <v>0</v>
      </c>
      <c r="K575" s="17">
        <f t="shared" si="16"/>
        <v>0</v>
      </c>
      <c r="L575" s="17">
        <f t="shared" si="17"/>
        <v>0</v>
      </c>
      <c r="M575" s="17">
        <f t="shared" si="18"/>
        <v>0</v>
      </c>
      <c r="N575" s="17">
        <f t="shared" si="19"/>
        <v>0</v>
      </c>
      <c r="O575" s="32"/>
    </row>
    <row r="576" spans="1:15" x14ac:dyDescent="0.2">
      <c r="A576" s="5">
        <v>719</v>
      </c>
      <c r="B576" s="5">
        <v>1</v>
      </c>
      <c r="C576" s="6" t="s">
        <v>346</v>
      </c>
      <c r="D576" s="25">
        <f>'FY07 PU'!D226</f>
        <v>0</v>
      </c>
      <c r="E576" s="17">
        <v>70.81</v>
      </c>
      <c r="F576" s="32">
        <v>27.32</v>
      </c>
      <c r="G576" s="32">
        <v>0</v>
      </c>
      <c r="H576" s="17">
        <v>0</v>
      </c>
      <c r="I576" s="17">
        <v>0</v>
      </c>
      <c r="J576" s="17">
        <f t="shared" si="15"/>
        <v>0</v>
      </c>
      <c r="K576" s="17">
        <f t="shared" si="16"/>
        <v>0</v>
      </c>
      <c r="L576" s="17">
        <f t="shared" si="17"/>
        <v>0</v>
      </c>
      <c r="M576" s="17">
        <f t="shared" si="18"/>
        <v>0</v>
      </c>
      <c r="N576" s="17">
        <f t="shared" si="19"/>
        <v>0</v>
      </c>
      <c r="O576" s="32"/>
    </row>
    <row r="577" spans="1:15" x14ac:dyDescent="0.2">
      <c r="A577" s="5">
        <v>720</v>
      </c>
      <c r="B577" s="5">
        <v>1</v>
      </c>
      <c r="C577" s="6" t="s">
        <v>347</v>
      </c>
      <c r="D577" s="25">
        <f>'FY07 PU'!D227</f>
        <v>0</v>
      </c>
      <c r="E577" s="17">
        <v>55.89</v>
      </c>
      <c r="F577" s="32">
        <v>16.97</v>
      </c>
      <c r="G577" s="32">
        <v>0</v>
      </c>
      <c r="H577" s="17">
        <v>0</v>
      </c>
      <c r="I577" s="17">
        <v>0</v>
      </c>
      <c r="J577" s="17">
        <f t="shared" si="15"/>
        <v>0</v>
      </c>
      <c r="K577" s="17">
        <f t="shared" si="16"/>
        <v>0</v>
      </c>
      <c r="L577" s="17">
        <f t="shared" si="17"/>
        <v>0</v>
      </c>
      <c r="M577" s="17">
        <f t="shared" si="18"/>
        <v>0</v>
      </c>
      <c r="N577" s="17">
        <f t="shared" si="19"/>
        <v>0</v>
      </c>
      <c r="O577" s="32"/>
    </row>
    <row r="578" spans="1:15" x14ac:dyDescent="0.2">
      <c r="A578" s="5">
        <v>721</v>
      </c>
      <c r="B578" s="5">
        <v>1</v>
      </c>
      <c r="C578" s="6" t="s">
        <v>348</v>
      </c>
      <c r="D578" s="25">
        <f>'FY07 PU'!D228</f>
        <v>0</v>
      </c>
      <c r="E578" s="17">
        <v>158.84</v>
      </c>
      <c r="F578" s="32">
        <v>123.72</v>
      </c>
      <c r="G578" s="32">
        <v>130.96</v>
      </c>
      <c r="H578" s="17">
        <v>70.900000000000006</v>
      </c>
      <c r="I578" s="17">
        <v>36.119999999999997</v>
      </c>
      <c r="J578" s="17">
        <f t="shared" si="15"/>
        <v>0</v>
      </c>
      <c r="K578" s="17">
        <f t="shared" si="16"/>
        <v>0</v>
      </c>
      <c r="L578" s="17">
        <f t="shared" si="17"/>
        <v>0</v>
      </c>
      <c r="M578" s="17">
        <f t="shared" si="18"/>
        <v>0</v>
      </c>
      <c r="N578" s="17">
        <f t="shared" si="19"/>
        <v>0</v>
      </c>
      <c r="O578" s="32"/>
    </row>
    <row r="579" spans="1:15" x14ac:dyDescent="0.2">
      <c r="A579" s="5">
        <v>726</v>
      </c>
      <c r="B579" s="5">
        <v>1</v>
      </c>
      <c r="C579" s="6" t="s">
        <v>349</v>
      </c>
      <c r="D579" s="25">
        <f>'FY07 PU'!D229</f>
        <v>0</v>
      </c>
      <c r="E579" s="17">
        <v>66.37</v>
      </c>
      <c r="F579" s="32">
        <v>46.55</v>
      </c>
      <c r="G579" s="32">
        <v>0</v>
      </c>
      <c r="H579" s="17">
        <v>2.2400000000000002</v>
      </c>
      <c r="I579" s="17">
        <v>0</v>
      </c>
      <c r="J579" s="17">
        <f t="shared" si="15"/>
        <v>0</v>
      </c>
      <c r="K579" s="17">
        <f t="shared" si="16"/>
        <v>0</v>
      </c>
      <c r="L579" s="17">
        <f t="shared" si="17"/>
        <v>0</v>
      </c>
      <c r="M579" s="17">
        <f t="shared" si="18"/>
        <v>0</v>
      </c>
      <c r="N579" s="17">
        <f t="shared" si="19"/>
        <v>0</v>
      </c>
      <c r="O579" s="32"/>
    </row>
    <row r="580" spans="1:15" x14ac:dyDescent="0.2">
      <c r="A580" s="5">
        <v>727</v>
      </c>
      <c r="B580" s="5">
        <v>1</v>
      </c>
      <c r="C580" s="6" t="s">
        <v>350</v>
      </c>
      <c r="D580" s="25">
        <f>'FY07 PU'!D230</f>
        <v>0</v>
      </c>
      <c r="E580" s="17">
        <v>3.88</v>
      </c>
      <c r="F580" s="32">
        <v>3.3</v>
      </c>
      <c r="G580" s="32">
        <v>2.64</v>
      </c>
      <c r="H580" s="17">
        <v>2.3199999999999998</v>
      </c>
      <c r="I580" s="17">
        <v>0</v>
      </c>
      <c r="J580" s="17">
        <f t="shared" si="15"/>
        <v>0</v>
      </c>
      <c r="K580" s="17">
        <f t="shared" si="16"/>
        <v>0</v>
      </c>
      <c r="L580" s="17">
        <f t="shared" si="17"/>
        <v>0</v>
      </c>
      <c r="M580" s="17">
        <f t="shared" si="18"/>
        <v>0</v>
      </c>
      <c r="N580" s="17">
        <f t="shared" si="19"/>
        <v>0</v>
      </c>
      <c r="O580" s="32"/>
    </row>
    <row r="581" spans="1:15" x14ac:dyDescent="0.2">
      <c r="A581" s="5">
        <v>728</v>
      </c>
      <c r="B581" s="5">
        <v>1</v>
      </c>
      <c r="C581" s="6" t="s">
        <v>351</v>
      </c>
      <c r="D581" s="25">
        <f>'FY07 PU'!D231</f>
        <v>0</v>
      </c>
      <c r="E581" s="17">
        <v>192.21</v>
      </c>
      <c r="F581" s="32">
        <v>169</v>
      </c>
      <c r="G581" s="32">
        <v>91.63</v>
      </c>
      <c r="H581" s="17">
        <v>55.97</v>
      </c>
      <c r="I581" s="17">
        <v>44.97</v>
      </c>
      <c r="J581" s="17">
        <f t="shared" si="15"/>
        <v>0</v>
      </c>
      <c r="K581" s="17">
        <f t="shared" si="16"/>
        <v>0</v>
      </c>
      <c r="L581" s="17">
        <f t="shared" si="17"/>
        <v>0</v>
      </c>
      <c r="M581" s="17">
        <f t="shared" si="18"/>
        <v>0</v>
      </c>
      <c r="N581" s="17">
        <f t="shared" si="19"/>
        <v>0</v>
      </c>
      <c r="O581" s="32"/>
    </row>
    <row r="582" spans="1:15" x14ac:dyDescent="0.2">
      <c r="A582" s="5">
        <v>738</v>
      </c>
      <c r="B582" s="5">
        <v>1</v>
      </c>
      <c r="C582" s="6" t="s">
        <v>352</v>
      </c>
      <c r="D582" s="25">
        <f>'FY07 PU'!D232</f>
        <v>0</v>
      </c>
      <c r="E582" s="17">
        <v>284.27999999999997</v>
      </c>
      <c r="F582" s="32">
        <v>240.81</v>
      </c>
      <c r="G582" s="32">
        <v>200.16</v>
      </c>
      <c r="H582" s="17">
        <v>187.66</v>
      </c>
      <c r="I582" s="17">
        <v>173.17</v>
      </c>
      <c r="J582" s="17">
        <f t="shared" si="15"/>
        <v>0</v>
      </c>
      <c r="K582" s="17">
        <f t="shared" si="16"/>
        <v>0</v>
      </c>
      <c r="L582" s="17">
        <f t="shared" si="17"/>
        <v>0</v>
      </c>
      <c r="M582" s="17">
        <f t="shared" si="18"/>
        <v>0</v>
      </c>
      <c r="N582" s="17">
        <f t="shared" si="19"/>
        <v>0</v>
      </c>
      <c r="O582" s="32"/>
    </row>
    <row r="583" spans="1:15" x14ac:dyDescent="0.2">
      <c r="A583" s="5">
        <v>739</v>
      </c>
      <c r="B583" s="5">
        <v>1</v>
      </c>
      <c r="C583" s="6" t="s">
        <v>353</v>
      </c>
      <c r="D583" s="25">
        <f>'FY07 PU'!D233</f>
        <v>0</v>
      </c>
      <c r="E583" s="17">
        <v>137.43</v>
      </c>
      <c r="F583" s="32">
        <v>109.94</v>
      </c>
      <c r="G583" s="32">
        <v>75.709999999999994</v>
      </c>
      <c r="H583" s="17">
        <v>53.83</v>
      </c>
      <c r="I583" s="17">
        <v>37.549999999999997</v>
      </c>
      <c r="J583" s="17">
        <f t="shared" si="15"/>
        <v>0</v>
      </c>
      <c r="K583" s="17">
        <f t="shared" si="16"/>
        <v>0</v>
      </c>
      <c r="L583" s="17">
        <f t="shared" si="17"/>
        <v>0</v>
      </c>
      <c r="M583" s="17">
        <f t="shared" si="18"/>
        <v>0</v>
      </c>
      <c r="N583" s="17">
        <f t="shared" si="19"/>
        <v>0</v>
      </c>
      <c r="O583" s="32"/>
    </row>
    <row r="584" spans="1:15" x14ac:dyDescent="0.2">
      <c r="A584" s="5">
        <v>740</v>
      </c>
      <c r="B584" s="5">
        <v>1</v>
      </c>
      <c r="C584" s="6" t="s">
        <v>354</v>
      </c>
      <c r="D584" s="25">
        <f>'FY07 PU'!D234</f>
        <v>0</v>
      </c>
      <c r="E584" s="17">
        <v>357.97</v>
      </c>
      <c r="F584" s="32">
        <v>352.72</v>
      </c>
      <c r="G584" s="32">
        <v>309.29000000000002</v>
      </c>
      <c r="H584" s="17">
        <v>0</v>
      </c>
      <c r="I584" s="17">
        <v>0</v>
      </c>
      <c r="J584" s="17">
        <f t="shared" si="15"/>
        <v>0</v>
      </c>
      <c r="K584" s="17">
        <f t="shared" si="16"/>
        <v>0</v>
      </c>
      <c r="L584" s="17">
        <f t="shared" si="17"/>
        <v>0</v>
      </c>
      <c r="M584" s="17">
        <f t="shared" si="18"/>
        <v>0</v>
      </c>
      <c r="N584" s="17">
        <f t="shared" si="19"/>
        <v>0</v>
      </c>
      <c r="O584" s="32"/>
    </row>
    <row r="585" spans="1:15" x14ac:dyDescent="0.2">
      <c r="A585" s="5">
        <v>741</v>
      </c>
      <c r="B585" s="5">
        <v>1</v>
      </c>
      <c r="C585" s="6" t="s">
        <v>355</v>
      </c>
      <c r="D585" s="25">
        <f>'FY07 PU'!D235</f>
        <v>0</v>
      </c>
      <c r="E585" s="17">
        <v>194.24</v>
      </c>
      <c r="F585" s="32">
        <v>166.79</v>
      </c>
      <c r="G585" s="32">
        <v>134.07</v>
      </c>
      <c r="H585" s="17">
        <v>115.74</v>
      </c>
      <c r="I585" s="17">
        <v>102.71</v>
      </c>
      <c r="J585" s="17">
        <f t="shared" si="15"/>
        <v>0</v>
      </c>
      <c r="K585" s="17">
        <f t="shared" si="16"/>
        <v>0</v>
      </c>
      <c r="L585" s="17">
        <f t="shared" si="17"/>
        <v>0</v>
      </c>
      <c r="M585" s="17">
        <f t="shared" si="18"/>
        <v>0</v>
      </c>
      <c r="N585" s="17">
        <f t="shared" si="19"/>
        <v>0</v>
      </c>
      <c r="O585" s="32"/>
    </row>
    <row r="586" spans="1:15" x14ac:dyDescent="0.2">
      <c r="A586" s="5">
        <v>742</v>
      </c>
      <c r="B586" s="5">
        <v>1</v>
      </c>
      <c r="C586" s="6" t="s">
        <v>356</v>
      </c>
      <c r="D586" s="25">
        <f>'FY07 PU'!D236</f>
        <v>0</v>
      </c>
      <c r="E586" s="17">
        <v>65.319999999999993</v>
      </c>
      <c r="F586" s="32">
        <v>0</v>
      </c>
      <c r="G586" s="32">
        <v>0</v>
      </c>
      <c r="H586" s="17">
        <v>0</v>
      </c>
      <c r="I586" s="17">
        <v>0</v>
      </c>
      <c r="J586" s="17">
        <f t="shared" si="15"/>
        <v>0</v>
      </c>
      <c r="K586" s="17">
        <f t="shared" si="16"/>
        <v>0</v>
      </c>
      <c r="L586" s="17">
        <f t="shared" si="17"/>
        <v>0</v>
      </c>
      <c r="M586" s="17">
        <f t="shared" si="18"/>
        <v>0</v>
      </c>
      <c r="N586" s="17">
        <f t="shared" si="19"/>
        <v>0</v>
      </c>
      <c r="O586" s="32"/>
    </row>
    <row r="587" spans="1:15" x14ac:dyDescent="0.2">
      <c r="A587" s="5">
        <v>743</v>
      </c>
      <c r="B587" s="5">
        <v>1</v>
      </c>
      <c r="C587" s="6" t="s">
        <v>357</v>
      </c>
      <c r="D587" s="25">
        <f>'FY07 PU'!D237</f>
        <v>0</v>
      </c>
      <c r="E587" s="17">
        <v>263.38</v>
      </c>
      <c r="F587" s="32">
        <v>241.5</v>
      </c>
      <c r="G587" s="32">
        <v>188.64</v>
      </c>
      <c r="H587" s="17">
        <v>147.15</v>
      </c>
      <c r="I587" s="17">
        <v>0</v>
      </c>
      <c r="J587" s="17">
        <f t="shared" si="15"/>
        <v>0</v>
      </c>
      <c r="K587" s="17">
        <f t="shared" si="16"/>
        <v>0</v>
      </c>
      <c r="L587" s="17">
        <f t="shared" si="17"/>
        <v>0</v>
      </c>
      <c r="M587" s="17">
        <f t="shared" si="18"/>
        <v>0</v>
      </c>
      <c r="N587" s="17">
        <f t="shared" si="19"/>
        <v>0</v>
      </c>
      <c r="O587" s="32"/>
    </row>
    <row r="588" spans="1:15" x14ac:dyDescent="0.2">
      <c r="A588" s="5">
        <v>745</v>
      </c>
      <c r="B588" s="5">
        <v>1</v>
      </c>
      <c r="C588" s="6" t="s">
        <v>358</v>
      </c>
      <c r="D588" s="25">
        <f>'FY07 PU'!D238</f>
        <v>0</v>
      </c>
      <c r="E588" s="17">
        <v>200.34</v>
      </c>
      <c r="F588" s="32">
        <v>181.85</v>
      </c>
      <c r="G588" s="32">
        <v>148.41999999999999</v>
      </c>
      <c r="H588" s="17">
        <v>137.11000000000001</v>
      </c>
      <c r="I588" s="17">
        <v>127.79</v>
      </c>
      <c r="J588" s="17">
        <f t="shared" si="15"/>
        <v>0</v>
      </c>
      <c r="K588" s="17">
        <f t="shared" si="16"/>
        <v>0</v>
      </c>
      <c r="L588" s="17">
        <f t="shared" si="17"/>
        <v>0</v>
      </c>
      <c r="M588" s="17">
        <f t="shared" si="18"/>
        <v>0</v>
      </c>
      <c r="N588" s="17">
        <f t="shared" si="19"/>
        <v>0</v>
      </c>
      <c r="O588" s="32"/>
    </row>
    <row r="589" spans="1:15" x14ac:dyDescent="0.2">
      <c r="A589" s="5">
        <v>748</v>
      </c>
      <c r="B589" s="5">
        <v>1</v>
      </c>
      <c r="C589" s="6" t="s">
        <v>359</v>
      </c>
      <c r="D589" s="25">
        <f>'FY07 PU'!D239</f>
        <v>0</v>
      </c>
      <c r="E589" s="17">
        <v>139.66</v>
      </c>
      <c r="F589" s="32">
        <v>119.12</v>
      </c>
      <c r="G589" s="32">
        <v>99.56</v>
      </c>
      <c r="H589" s="17">
        <v>94.79</v>
      </c>
      <c r="I589" s="17">
        <v>90.2</v>
      </c>
      <c r="J589" s="17">
        <f t="shared" si="15"/>
        <v>0</v>
      </c>
      <c r="K589" s="17">
        <f t="shared" si="16"/>
        <v>0</v>
      </c>
      <c r="L589" s="17">
        <f t="shared" si="17"/>
        <v>0</v>
      </c>
      <c r="M589" s="17">
        <f t="shared" si="18"/>
        <v>0</v>
      </c>
      <c r="N589" s="17">
        <f t="shared" si="19"/>
        <v>0</v>
      </c>
      <c r="O589" s="32"/>
    </row>
    <row r="590" spans="1:15" x14ac:dyDescent="0.2">
      <c r="A590" s="5">
        <v>750</v>
      </c>
      <c r="B590" s="5">
        <v>1</v>
      </c>
      <c r="C590" s="6" t="s">
        <v>360</v>
      </c>
      <c r="D590" s="25">
        <f>'FY07 PU'!D240</f>
        <v>0</v>
      </c>
      <c r="E590" s="17">
        <v>47.96</v>
      </c>
      <c r="F590" s="32">
        <v>36.64</v>
      </c>
      <c r="G590" s="32">
        <v>89.01</v>
      </c>
      <c r="H590" s="17">
        <v>55.25</v>
      </c>
      <c r="I590" s="17">
        <v>35.26</v>
      </c>
      <c r="J590" s="17">
        <f t="shared" si="15"/>
        <v>0</v>
      </c>
      <c r="K590" s="17">
        <f t="shared" si="16"/>
        <v>0</v>
      </c>
      <c r="L590" s="17">
        <f t="shared" si="17"/>
        <v>0</v>
      </c>
      <c r="M590" s="17">
        <f t="shared" si="18"/>
        <v>0</v>
      </c>
      <c r="N590" s="17">
        <f t="shared" si="19"/>
        <v>0</v>
      </c>
      <c r="O590" s="32"/>
    </row>
    <row r="591" spans="1:15" x14ac:dyDescent="0.2">
      <c r="A591" s="5">
        <v>756</v>
      </c>
      <c r="B591" s="5">
        <v>1</v>
      </c>
      <c r="C591" s="6" t="s">
        <v>361</v>
      </c>
      <c r="D591" s="25">
        <f>'FY07 PU'!D241</f>
        <v>0</v>
      </c>
      <c r="E591" s="17">
        <v>212.41</v>
      </c>
      <c r="F591" s="32">
        <v>195.89</v>
      </c>
      <c r="G591" s="32">
        <v>175.76</v>
      </c>
      <c r="H591" s="17">
        <v>164.49</v>
      </c>
      <c r="I591" s="17">
        <v>153.24</v>
      </c>
      <c r="J591" s="17">
        <f t="shared" si="15"/>
        <v>0</v>
      </c>
      <c r="K591" s="17">
        <f t="shared" si="16"/>
        <v>0</v>
      </c>
      <c r="L591" s="17">
        <f t="shared" si="17"/>
        <v>0</v>
      </c>
      <c r="M591" s="17">
        <f t="shared" si="18"/>
        <v>0</v>
      </c>
      <c r="N591" s="17">
        <f t="shared" si="19"/>
        <v>0</v>
      </c>
      <c r="O591" s="32"/>
    </row>
    <row r="592" spans="1:15" x14ac:dyDescent="0.2">
      <c r="A592" s="5">
        <v>761</v>
      </c>
      <c r="B592" s="5">
        <v>1</v>
      </c>
      <c r="C592" s="6" t="s">
        <v>362</v>
      </c>
      <c r="D592" s="25">
        <f>'FY07 PU'!D242</f>
        <v>0</v>
      </c>
      <c r="E592" s="17">
        <v>272.51</v>
      </c>
      <c r="F592" s="32">
        <v>265.5</v>
      </c>
      <c r="G592" s="32">
        <v>218.81</v>
      </c>
      <c r="H592" s="17">
        <v>210.89</v>
      </c>
      <c r="I592" s="17">
        <v>199.31</v>
      </c>
      <c r="J592" s="17">
        <f t="shared" si="15"/>
        <v>0</v>
      </c>
      <c r="K592" s="17">
        <f t="shared" si="16"/>
        <v>0</v>
      </c>
      <c r="L592" s="17">
        <f t="shared" si="17"/>
        <v>0</v>
      </c>
      <c r="M592" s="17">
        <f t="shared" si="18"/>
        <v>0</v>
      </c>
      <c r="N592" s="17">
        <f t="shared" si="19"/>
        <v>0</v>
      </c>
      <c r="O592" s="32"/>
    </row>
    <row r="593" spans="1:15" x14ac:dyDescent="0.2">
      <c r="A593" s="5">
        <v>763</v>
      </c>
      <c r="B593" s="5">
        <v>1</v>
      </c>
      <c r="C593" s="6" t="s">
        <v>363</v>
      </c>
      <c r="D593" s="25">
        <f>'FY07 PU'!D243</f>
        <v>0</v>
      </c>
      <c r="E593" s="17">
        <v>0</v>
      </c>
      <c r="F593" s="32">
        <v>0</v>
      </c>
      <c r="G593" s="32">
        <v>0</v>
      </c>
      <c r="H593" s="17">
        <v>0</v>
      </c>
      <c r="I593" s="17">
        <v>0</v>
      </c>
      <c r="J593" s="17">
        <f t="shared" si="15"/>
        <v>0</v>
      </c>
      <c r="K593" s="17">
        <f t="shared" si="16"/>
        <v>0</v>
      </c>
      <c r="L593" s="17">
        <f t="shared" si="17"/>
        <v>0</v>
      </c>
      <c r="M593" s="17">
        <f t="shared" si="18"/>
        <v>0</v>
      </c>
      <c r="N593" s="17">
        <f t="shared" si="19"/>
        <v>0</v>
      </c>
      <c r="O593" s="32"/>
    </row>
    <row r="594" spans="1:15" x14ac:dyDescent="0.2">
      <c r="A594" s="5">
        <v>768</v>
      </c>
      <c r="B594" s="5">
        <v>1</v>
      </c>
      <c r="C594" s="6" t="s">
        <v>364</v>
      </c>
      <c r="D594" s="25">
        <f>'FY07 PU'!D244</f>
        <v>0</v>
      </c>
      <c r="E594" s="17">
        <v>521.85</v>
      </c>
      <c r="F594" s="32">
        <v>532.61</v>
      </c>
      <c r="G594" s="32">
        <v>639.41</v>
      </c>
      <c r="H594" s="17">
        <v>618.55999999999995</v>
      </c>
      <c r="I594" s="17">
        <v>594.59</v>
      </c>
      <c r="J594" s="17">
        <f t="shared" si="15"/>
        <v>0</v>
      </c>
      <c r="K594" s="17">
        <f t="shared" si="16"/>
        <v>0</v>
      </c>
      <c r="L594" s="17">
        <f t="shared" si="17"/>
        <v>0</v>
      </c>
      <c r="M594" s="17">
        <f t="shared" si="18"/>
        <v>0</v>
      </c>
      <c r="N594" s="17">
        <f t="shared" si="19"/>
        <v>0</v>
      </c>
      <c r="O594" s="32"/>
    </row>
    <row r="595" spans="1:15" x14ac:dyDescent="0.2">
      <c r="A595" s="5">
        <v>769</v>
      </c>
      <c r="B595" s="5">
        <v>1</v>
      </c>
      <c r="C595" s="6" t="s">
        <v>365</v>
      </c>
      <c r="D595" s="25">
        <f>'FY07 PU'!D245</f>
        <v>0</v>
      </c>
      <c r="E595" s="17">
        <v>188.09</v>
      </c>
      <c r="F595" s="32">
        <v>204.91</v>
      </c>
      <c r="G595" s="32">
        <v>165.9</v>
      </c>
      <c r="H595" s="17">
        <v>152.80000000000001</v>
      </c>
      <c r="I595" s="17">
        <v>131.01</v>
      </c>
      <c r="J595" s="17">
        <f t="shared" si="15"/>
        <v>0</v>
      </c>
      <c r="K595" s="17">
        <f t="shared" si="16"/>
        <v>0</v>
      </c>
      <c r="L595" s="17">
        <f t="shared" si="17"/>
        <v>0</v>
      </c>
      <c r="M595" s="17">
        <f t="shared" si="18"/>
        <v>0</v>
      </c>
      <c r="N595" s="17">
        <f t="shared" si="19"/>
        <v>0</v>
      </c>
      <c r="O595" s="32"/>
    </row>
    <row r="596" spans="1:15" x14ac:dyDescent="0.2">
      <c r="A596" s="5">
        <v>771</v>
      </c>
      <c r="B596" s="5">
        <v>1</v>
      </c>
      <c r="C596" s="6" t="s">
        <v>366</v>
      </c>
      <c r="D596" s="25">
        <f>'FY07 PU'!D246</f>
        <v>0</v>
      </c>
      <c r="E596" s="17">
        <v>280.08</v>
      </c>
      <c r="F596" s="32">
        <v>202.53</v>
      </c>
      <c r="G596" s="32">
        <v>297.33</v>
      </c>
      <c r="H596" s="17">
        <v>296.22000000000003</v>
      </c>
      <c r="I596" s="17">
        <v>134.29</v>
      </c>
      <c r="J596" s="17">
        <f t="shared" si="15"/>
        <v>0</v>
      </c>
      <c r="K596" s="17">
        <f t="shared" si="16"/>
        <v>0</v>
      </c>
      <c r="L596" s="17">
        <f t="shared" si="17"/>
        <v>0</v>
      </c>
      <c r="M596" s="17">
        <f t="shared" si="18"/>
        <v>0</v>
      </c>
      <c r="N596" s="17">
        <f t="shared" si="19"/>
        <v>0</v>
      </c>
      <c r="O596" s="32"/>
    </row>
    <row r="597" spans="1:15" x14ac:dyDescent="0.2">
      <c r="A597" s="5">
        <v>775</v>
      </c>
      <c r="B597" s="5">
        <v>1</v>
      </c>
      <c r="C597" s="6" t="s">
        <v>367</v>
      </c>
      <c r="D597" s="25">
        <f>'FY07 PU'!D247</f>
        <v>0</v>
      </c>
      <c r="E597" s="17">
        <v>245.2</v>
      </c>
      <c r="F597" s="32">
        <v>253.91</v>
      </c>
      <c r="G597" s="32">
        <v>217.74</v>
      </c>
      <c r="H597" s="17">
        <v>212.85</v>
      </c>
      <c r="I597" s="17">
        <v>180.83</v>
      </c>
      <c r="J597" s="17">
        <f t="shared" si="15"/>
        <v>0</v>
      </c>
      <c r="K597" s="17">
        <f t="shared" si="16"/>
        <v>0</v>
      </c>
      <c r="L597" s="17">
        <f t="shared" si="17"/>
        <v>0</v>
      </c>
      <c r="M597" s="17">
        <f t="shared" si="18"/>
        <v>0</v>
      </c>
      <c r="N597" s="17">
        <f t="shared" si="19"/>
        <v>0</v>
      </c>
      <c r="O597" s="32"/>
    </row>
    <row r="598" spans="1:15" x14ac:dyDescent="0.2">
      <c r="A598" s="5">
        <v>777</v>
      </c>
      <c r="B598" s="5">
        <v>1</v>
      </c>
      <c r="C598" s="6" t="s">
        <v>368</v>
      </c>
      <c r="D598" s="25">
        <f>'FY07 PU'!D248</f>
        <v>0</v>
      </c>
      <c r="E598" s="17">
        <v>200.83</v>
      </c>
      <c r="F598" s="32">
        <v>312.2</v>
      </c>
      <c r="G598" s="32">
        <v>289.2</v>
      </c>
      <c r="H598" s="17">
        <v>265.48</v>
      </c>
      <c r="I598" s="17">
        <v>253.42</v>
      </c>
      <c r="J598" s="17">
        <f t="shared" si="15"/>
        <v>0</v>
      </c>
      <c r="K598" s="17">
        <f t="shared" si="16"/>
        <v>0</v>
      </c>
      <c r="L598" s="17">
        <f t="shared" si="17"/>
        <v>0</v>
      </c>
      <c r="M598" s="17">
        <f t="shared" si="18"/>
        <v>0</v>
      </c>
      <c r="N598" s="17">
        <f t="shared" si="19"/>
        <v>0</v>
      </c>
      <c r="O598" s="32"/>
    </row>
    <row r="599" spans="1:15" x14ac:dyDescent="0.2">
      <c r="A599" s="5">
        <v>786</v>
      </c>
      <c r="B599" s="5">
        <v>1</v>
      </c>
      <c r="C599" s="6" t="s">
        <v>369</v>
      </c>
      <c r="D599" s="25">
        <f>'FY07 PU'!D249</f>
        <v>0</v>
      </c>
      <c r="E599" s="17">
        <v>100.34</v>
      </c>
      <c r="F599" s="32">
        <v>527.33000000000004</v>
      </c>
      <c r="G599" s="32">
        <v>497.44</v>
      </c>
      <c r="H599" s="17">
        <v>487.84</v>
      </c>
      <c r="I599" s="17">
        <v>473.91</v>
      </c>
      <c r="J599" s="17">
        <f t="shared" si="15"/>
        <v>0</v>
      </c>
      <c r="K599" s="17">
        <f t="shared" si="16"/>
        <v>0</v>
      </c>
      <c r="L599" s="17">
        <f t="shared" si="17"/>
        <v>0</v>
      </c>
      <c r="M599" s="17">
        <f t="shared" si="18"/>
        <v>0</v>
      </c>
      <c r="N599" s="17">
        <f t="shared" si="19"/>
        <v>0</v>
      </c>
      <c r="O599" s="32"/>
    </row>
    <row r="600" spans="1:15" x14ac:dyDescent="0.2">
      <c r="A600" s="5">
        <v>787</v>
      </c>
      <c r="B600" s="5">
        <v>1</v>
      </c>
      <c r="C600" s="6" t="s">
        <v>370</v>
      </c>
      <c r="D600" s="25">
        <f>'FY07 PU'!D250</f>
        <v>0</v>
      </c>
      <c r="E600" s="17">
        <v>81.400000000000006</v>
      </c>
      <c r="F600" s="32">
        <v>69.73</v>
      </c>
      <c r="G600" s="32">
        <v>61.45</v>
      </c>
      <c r="H600" s="17">
        <v>54.78</v>
      </c>
      <c r="I600" s="17">
        <v>46.33</v>
      </c>
      <c r="J600" s="17">
        <f t="shared" si="15"/>
        <v>0</v>
      </c>
      <c r="K600" s="17">
        <f t="shared" si="16"/>
        <v>0</v>
      </c>
      <c r="L600" s="17">
        <f t="shared" si="17"/>
        <v>0</v>
      </c>
      <c r="M600" s="17">
        <f t="shared" si="18"/>
        <v>0</v>
      </c>
      <c r="N600" s="17">
        <f t="shared" si="19"/>
        <v>0</v>
      </c>
      <c r="O600" s="32"/>
    </row>
    <row r="601" spans="1:15" x14ac:dyDescent="0.2">
      <c r="A601" s="5">
        <v>801</v>
      </c>
      <c r="B601" s="5">
        <v>1</v>
      </c>
      <c r="C601" s="6" t="s">
        <v>371</v>
      </c>
      <c r="D601" s="25">
        <f>'FY07 PU'!D251</f>
        <v>0</v>
      </c>
      <c r="E601" s="17">
        <v>641.05999999999995</v>
      </c>
      <c r="F601" s="32">
        <v>604.72</v>
      </c>
      <c r="G601" s="32">
        <v>527.64</v>
      </c>
      <c r="H601" s="17">
        <v>0</v>
      </c>
      <c r="I601" s="17">
        <v>0</v>
      </c>
      <c r="J601" s="17">
        <f t="shared" si="15"/>
        <v>0</v>
      </c>
      <c r="K601" s="17">
        <f t="shared" si="16"/>
        <v>0</v>
      </c>
      <c r="L601" s="17">
        <f t="shared" si="17"/>
        <v>0</v>
      </c>
      <c r="M601" s="17">
        <f t="shared" si="18"/>
        <v>0</v>
      </c>
      <c r="N601" s="17">
        <f t="shared" si="19"/>
        <v>0</v>
      </c>
      <c r="O601" s="32"/>
    </row>
    <row r="602" spans="1:15" x14ac:dyDescent="0.2">
      <c r="A602" s="5">
        <v>803</v>
      </c>
      <c r="B602" s="5">
        <v>1</v>
      </c>
      <c r="C602" s="6" t="s">
        <v>372</v>
      </c>
      <c r="D602" s="25">
        <f>'FY07 PU'!D252</f>
        <v>0</v>
      </c>
      <c r="E602" s="17">
        <v>297.83</v>
      </c>
      <c r="F602" s="32">
        <v>274.57</v>
      </c>
      <c r="G602" s="32">
        <v>229.33</v>
      </c>
      <c r="H602" s="17">
        <v>226.45</v>
      </c>
      <c r="I602" s="17">
        <v>205.38</v>
      </c>
      <c r="J602" s="17">
        <f t="shared" si="15"/>
        <v>0</v>
      </c>
      <c r="K602" s="17">
        <f t="shared" si="16"/>
        <v>0</v>
      </c>
      <c r="L602" s="17">
        <f t="shared" si="17"/>
        <v>0</v>
      </c>
      <c r="M602" s="17">
        <f t="shared" si="18"/>
        <v>0</v>
      </c>
      <c r="N602" s="17">
        <f t="shared" si="19"/>
        <v>0</v>
      </c>
      <c r="O602" s="32"/>
    </row>
    <row r="603" spans="1:15" x14ac:dyDescent="0.2">
      <c r="A603" s="5">
        <v>811</v>
      </c>
      <c r="B603" s="5">
        <v>1</v>
      </c>
      <c r="C603" s="6" t="s">
        <v>373</v>
      </c>
      <c r="D603" s="25">
        <f>'FY07 PU'!D253</f>
        <v>0</v>
      </c>
      <c r="E603" s="17">
        <v>145.78</v>
      </c>
      <c r="F603" s="32">
        <v>105.05</v>
      </c>
      <c r="G603" s="32">
        <v>14.15</v>
      </c>
      <c r="H603" s="17">
        <v>0</v>
      </c>
      <c r="I603" s="17">
        <v>0</v>
      </c>
      <c r="J603" s="17">
        <f t="shared" si="15"/>
        <v>0</v>
      </c>
      <c r="K603" s="17">
        <f t="shared" si="16"/>
        <v>0</v>
      </c>
      <c r="L603" s="17">
        <f t="shared" si="17"/>
        <v>0</v>
      </c>
      <c r="M603" s="17">
        <f t="shared" si="18"/>
        <v>0</v>
      </c>
      <c r="N603" s="17">
        <f t="shared" si="19"/>
        <v>0</v>
      </c>
      <c r="O603" s="32"/>
    </row>
    <row r="604" spans="1:15" x14ac:dyDescent="0.2">
      <c r="A604" s="5">
        <v>813</v>
      </c>
      <c r="B604" s="5">
        <v>1</v>
      </c>
      <c r="C604" s="6" t="s">
        <v>374</v>
      </c>
      <c r="D604" s="25">
        <f>'FY07 PU'!D254</f>
        <v>0</v>
      </c>
      <c r="E604" s="17">
        <v>192.9</v>
      </c>
      <c r="F604" s="32">
        <v>132.41999999999999</v>
      </c>
      <c r="G604" s="32">
        <v>81.05</v>
      </c>
      <c r="H604" s="17">
        <v>28.67</v>
      </c>
      <c r="I604" s="17">
        <v>0</v>
      </c>
      <c r="J604" s="17">
        <f t="shared" si="15"/>
        <v>0</v>
      </c>
      <c r="K604" s="17">
        <f t="shared" si="16"/>
        <v>0</v>
      </c>
      <c r="L604" s="17">
        <f t="shared" si="17"/>
        <v>0</v>
      </c>
      <c r="M604" s="17">
        <f t="shared" si="18"/>
        <v>0</v>
      </c>
      <c r="N604" s="17">
        <f t="shared" si="19"/>
        <v>0</v>
      </c>
      <c r="O604" s="32"/>
    </row>
    <row r="605" spans="1:15" x14ac:dyDescent="0.2">
      <c r="A605" s="5">
        <v>815</v>
      </c>
      <c r="B605" s="5">
        <v>2</v>
      </c>
      <c r="C605" s="6" t="s">
        <v>375</v>
      </c>
      <c r="D605" s="25">
        <f>'FY07 PU'!D255</f>
        <v>0</v>
      </c>
      <c r="E605" s="17">
        <v>0</v>
      </c>
      <c r="F605" s="32">
        <v>0</v>
      </c>
      <c r="G605" s="32">
        <v>0</v>
      </c>
      <c r="H605" s="17">
        <v>0</v>
      </c>
      <c r="I605" s="17">
        <v>0</v>
      </c>
      <c r="J605" s="17">
        <f t="shared" si="15"/>
        <v>0</v>
      </c>
      <c r="K605" s="17">
        <f t="shared" si="16"/>
        <v>0</v>
      </c>
      <c r="L605" s="17">
        <f t="shared" si="17"/>
        <v>0</v>
      </c>
      <c r="M605" s="17">
        <f t="shared" si="18"/>
        <v>0</v>
      </c>
      <c r="N605" s="17">
        <f t="shared" si="19"/>
        <v>0</v>
      </c>
      <c r="O605" s="32"/>
    </row>
    <row r="606" spans="1:15" x14ac:dyDescent="0.2">
      <c r="A606" s="5">
        <v>818</v>
      </c>
      <c r="B606" s="5">
        <v>1</v>
      </c>
      <c r="C606" s="6" t="s">
        <v>376</v>
      </c>
      <c r="D606" s="25">
        <f>'FY07 PU'!D256</f>
        <v>0</v>
      </c>
      <c r="E606" s="17">
        <v>0</v>
      </c>
      <c r="F606" s="32">
        <v>0</v>
      </c>
      <c r="G606" s="32">
        <v>0</v>
      </c>
      <c r="H606" s="17">
        <v>0</v>
      </c>
      <c r="I606" s="17">
        <v>0</v>
      </c>
      <c r="J606" s="17">
        <f t="shared" si="15"/>
        <v>0</v>
      </c>
      <c r="K606" s="17">
        <f t="shared" si="16"/>
        <v>0</v>
      </c>
      <c r="L606" s="17">
        <f t="shared" si="17"/>
        <v>0</v>
      </c>
      <c r="M606" s="17">
        <f t="shared" si="18"/>
        <v>0</v>
      </c>
      <c r="N606" s="17">
        <f t="shared" si="19"/>
        <v>0</v>
      </c>
      <c r="O606" s="32"/>
    </row>
    <row r="607" spans="1:15" x14ac:dyDescent="0.2">
      <c r="A607" s="5">
        <v>820</v>
      </c>
      <c r="B607" s="5">
        <v>1</v>
      </c>
      <c r="C607" s="6" t="s">
        <v>377</v>
      </c>
      <c r="D607" s="25">
        <f>'FY07 PU'!D257</f>
        <v>0</v>
      </c>
      <c r="E607" s="17">
        <v>554.16999999999996</v>
      </c>
      <c r="F607" s="32">
        <v>530.21</v>
      </c>
      <c r="G607" s="32">
        <v>486.09</v>
      </c>
      <c r="H607" s="17">
        <v>461.99</v>
      </c>
      <c r="I607" s="17">
        <v>443.18</v>
      </c>
      <c r="J607" s="17">
        <f t="shared" si="15"/>
        <v>0</v>
      </c>
      <c r="K607" s="17">
        <f t="shared" si="16"/>
        <v>0</v>
      </c>
      <c r="L607" s="17">
        <f t="shared" si="17"/>
        <v>0</v>
      </c>
      <c r="M607" s="17">
        <f t="shared" si="18"/>
        <v>0</v>
      </c>
      <c r="N607" s="17">
        <f t="shared" si="19"/>
        <v>0</v>
      </c>
      <c r="O607" s="32"/>
    </row>
    <row r="608" spans="1:15" x14ac:dyDescent="0.2">
      <c r="A608" s="5">
        <v>821</v>
      </c>
      <c r="B608" s="5">
        <v>1</v>
      </c>
      <c r="C608" s="6" t="s">
        <v>378</v>
      </c>
      <c r="D608" s="25">
        <f>'FY07 PU'!D258</f>
        <v>0</v>
      </c>
      <c r="E608" s="17">
        <v>0</v>
      </c>
      <c r="F608" s="32">
        <v>0</v>
      </c>
      <c r="G608" s="32">
        <v>0</v>
      </c>
      <c r="H608" s="17">
        <v>0</v>
      </c>
      <c r="I608" s="17">
        <v>0</v>
      </c>
      <c r="J608" s="17">
        <f t="shared" si="15"/>
        <v>0</v>
      </c>
      <c r="K608" s="17">
        <f t="shared" si="16"/>
        <v>0</v>
      </c>
      <c r="L608" s="17">
        <f t="shared" si="17"/>
        <v>0</v>
      </c>
      <c r="M608" s="17">
        <f t="shared" si="18"/>
        <v>0</v>
      </c>
      <c r="N608" s="17">
        <f t="shared" si="19"/>
        <v>0</v>
      </c>
      <c r="O608" s="32"/>
    </row>
    <row r="609" spans="1:15" x14ac:dyDescent="0.2">
      <c r="A609" s="5">
        <v>829</v>
      </c>
      <c r="B609" s="5">
        <v>1</v>
      </c>
      <c r="C609" s="6" t="s">
        <v>379</v>
      </c>
      <c r="D609" s="25">
        <f>'FY07 PU'!D259</f>
        <v>0</v>
      </c>
      <c r="E609" s="17">
        <v>291.43</v>
      </c>
      <c r="F609" s="32">
        <v>261.73</v>
      </c>
      <c r="G609" s="32">
        <v>211.72</v>
      </c>
      <c r="H609" s="17">
        <v>194.19</v>
      </c>
      <c r="I609" s="17">
        <v>0</v>
      </c>
      <c r="J609" s="17">
        <f t="shared" si="15"/>
        <v>0</v>
      </c>
      <c r="K609" s="17">
        <f t="shared" si="16"/>
        <v>0</v>
      </c>
      <c r="L609" s="17">
        <f t="shared" si="17"/>
        <v>0</v>
      </c>
      <c r="M609" s="17">
        <f t="shared" si="18"/>
        <v>0</v>
      </c>
      <c r="N609" s="17">
        <f t="shared" si="19"/>
        <v>0</v>
      </c>
      <c r="O609" s="32"/>
    </row>
    <row r="610" spans="1:15" x14ac:dyDescent="0.2">
      <c r="A610" s="5">
        <v>831</v>
      </c>
      <c r="B610" s="5">
        <v>1</v>
      </c>
      <c r="C610" s="6" t="s">
        <v>380</v>
      </c>
      <c r="D610" s="25">
        <f>'FY07 PU'!D260</f>
        <v>0</v>
      </c>
      <c r="E610" s="17">
        <v>92.15</v>
      </c>
      <c r="F610" s="32">
        <v>15.62</v>
      </c>
      <c r="G610" s="32">
        <v>0</v>
      </c>
      <c r="H610" s="17">
        <v>0</v>
      </c>
      <c r="I610" s="17">
        <v>0</v>
      </c>
      <c r="J610" s="17">
        <f t="shared" si="15"/>
        <v>0</v>
      </c>
      <c r="K610" s="17">
        <f t="shared" si="16"/>
        <v>0</v>
      </c>
      <c r="L610" s="17">
        <f t="shared" si="17"/>
        <v>0</v>
      </c>
      <c r="M610" s="17">
        <f t="shared" si="18"/>
        <v>0</v>
      </c>
      <c r="N610" s="17">
        <f t="shared" si="19"/>
        <v>0</v>
      </c>
      <c r="O610" s="32"/>
    </row>
    <row r="611" spans="1:15" x14ac:dyDescent="0.2">
      <c r="A611" s="5">
        <v>832</v>
      </c>
      <c r="B611" s="5">
        <v>1</v>
      </c>
      <c r="C611" s="6" t="s">
        <v>381</v>
      </c>
      <c r="D611" s="25">
        <f>'FY07 PU'!D261</f>
        <v>0</v>
      </c>
      <c r="E611" s="17">
        <v>0</v>
      </c>
      <c r="F611" s="32">
        <v>0</v>
      </c>
      <c r="G611" s="32">
        <v>0</v>
      </c>
      <c r="H611" s="17">
        <v>0</v>
      </c>
      <c r="I611" s="17">
        <v>0</v>
      </c>
      <c r="J611" s="17">
        <f t="shared" si="15"/>
        <v>0</v>
      </c>
      <c r="K611" s="17">
        <f t="shared" si="16"/>
        <v>0</v>
      </c>
      <c r="L611" s="17">
        <f t="shared" si="17"/>
        <v>0</v>
      </c>
      <c r="M611" s="17">
        <f t="shared" si="18"/>
        <v>0</v>
      </c>
      <c r="N611" s="17">
        <f t="shared" si="19"/>
        <v>0</v>
      </c>
      <c r="O611" s="32"/>
    </row>
    <row r="612" spans="1:15" x14ac:dyDescent="0.2">
      <c r="A612" s="5">
        <v>833</v>
      </c>
      <c r="B612" s="5">
        <v>1</v>
      </c>
      <c r="C612" s="6" t="s">
        <v>382</v>
      </c>
      <c r="D612" s="25">
        <f>'FY07 PU'!D262</f>
        <v>0</v>
      </c>
      <c r="E612" s="17">
        <v>147.03</v>
      </c>
      <c r="F612" s="32">
        <v>101.21</v>
      </c>
      <c r="G612" s="32">
        <v>46.82</v>
      </c>
      <c r="H612" s="17">
        <v>41.97</v>
      </c>
      <c r="I612" s="17">
        <v>21.4</v>
      </c>
      <c r="J612" s="17">
        <f t="shared" si="15"/>
        <v>0</v>
      </c>
      <c r="K612" s="17">
        <f t="shared" si="16"/>
        <v>0</v>
      </c>
      <c r="L612" s="17">
        <f t="shared" si="17"/>
        <v>0</v>
      </c>
      <c r="M612" s="17">
        <f t="shared" si="18"/>
        <v>0</v>
      </c>
      <c r="N612" s="17">
        <f t="shared" si="19"/>
        <v>0</v>
      </c>
      <c r="O612" s="32"/>
    </row>
    <row r="613" spans="1:15" x14ac:dyDescent="0.2">
      <c r="A613" s="5">
        <v>834</v>
      </c>
      <c r="B613" s="5">
        <v>1</v>
      </c>
      <c r="C613" s="6" t="s">
        <v>383</v>
      </c>
      <c r="D613" s="25">
        <f>'FY07 PU'!D263</f>
        <v>0</v>
      </c>
      <c r="E613" s="17">
        <v>0</v>
      </c>
      <c r="F613" s="32">
        <v>0</v>
      </c>
      <c r="G613" s="32">
        <v>0</v>
      </c>
      <c r="H613" s="17">
        <v>0</v>
      </c>
      <c r="I613" s="17">
        <v>0</v>
      </c>
      <c r="J613" s="17">
        <f t="shared" si="15"/>
        <v>0</v>
      </c>
      <c r="K613" s="17">
        <f t="shared" si="16"/>
        <v>0</v>
      </c>
      <c r="L613" s="17">
        <f t="shared" si="17"/>
        <v>0</v>
      </c>
      <c r="M613" s="17">
        <f t="shared" si="18"/>
        <v>0</v>
      </c>
      <c r="N613" s="17">
        <f t="shared" si="19"/>
        <v>0</v>
      </c>
      <c r="O613" s="32"/>
    </row>
    <row r="614" spans="1:15" x14ac:dyDescent="0.2">
      <c r="A614" s="5">
        <v>836</v>
      </c>
      <c r="B614" s="5">
        <v>1</v>
      </c>
      <c r="C614" s="6" t="s">
        <v>384</v>
      </c>
      <c r="D614" s="25">
        <f>'FY07 PU'!D264</f>
        <v>0</v>
      </c>
      <c r="E614" s="17">
        <v>396.74</v>
      </c>
      <c r="F614" s="32">
        <v>340.84</v>
      </c>
      <c r="G614" s="32">
        <v>254.07</v>
      </c>
      <c r="H614" s="17">
        <v>233.92</v>
      </c>
      <c r="I614" s="17">
        <v>229.32</v>
      </c>
      <c r="J614" s="17">
        <f t="shared" si="15"/>
        <v>0</v>
      </c>
      <c r="K614" s="17">
        <f t="shared" si="16"/>
        <v>0</v>
      </c>
      <c r="L614" s="17">
        <f t="shared" si="17"/>
        <v>0</v>
      </c>
      <c r="M614" s="17">
        <f t="shared" si="18"/>
        <v>0</v>
      </c>
      <c r="N614" s="17">
        <f t="shared" si="19"/>
        <v>0</v>
      </c>
      <c r="O614" s="32"/>
    </row>
    <row r="615" spans="1:15" x14ac:dyDescent="0.2">
      <c r="A615" s="5">
        <v>837</v>
      </c>
      <c r="B615" s="5">
        <v>1</v>
      </c>
      <c r="C615" s="6" t="s">
        <v>385</v>
      </c>
      <c r="D615" s="25">
        <f>'FY07 PU'!D265</f>
        <v>0</v>
      </c>
      <c r="E615" s="17">
        <v>356.19</v>
      </c>
      <c r="F615" s="32">
        <v>333.88</v>
      </c>
      <c r="G615" s="32">
        <v>297.7</v>
      </c>
      <c r="H615" s="17">
        <v>290.24</v>
      </c>
      <c r="I615" s="17">
        <v>269.97000000000003</v>
      </c>
      <c r="J615" s="17">
        <f t="shared" si="15"/>
        <v>0</v>
      </c>
      <c r="K615" s="17">
        <f t="shared" si="16"/>
        <v>0</v>
      </c>
      <c r="L615" s="17">
        <f t="shared" si="17"/>
        <v>0</v>
      </c>
      <c r="M615" s="17">
        <f t="shared" si="18"/>
        <v>0</v>
      </c>
      <c r="N615" s="17">
        <f t="shared" si="19"/>
        <v>0</v>
      </c>
      <c r="O615" s="32"/>
    </row>
    <row r="616" spans="1:15" x14ac:dyDescent="0.2">
      <c r="A616" s="5">
        <v>840</v>
      </c>
      <c r="B616" s="5">
        <v>1</v>
      </c>
      <c r="C616" s="6" t="s">
        <v>386</v>
      </c>
      <c r="D616" s="25">
        <f>'FY07 PU'!D266</f>
        <v>0</v>
      </c>
      <c r="E616" s="17">
        <v>405.03</v>
      </c>
      <c r="F616" s="32">
        <v>386.29</v>
      </c>
      <c r="G616" s="32">
        <v>371.21</v>
      </c>
      <c r="H616" s="17">
        <v>363.39</v>
      </c>
      <c r="I616" s="17">
        <v>349.29</v>
      </c>
      <c r="J616" s="17">
        <f t="shared" si="15"/>
        <v>0</v>
      </c>
      <c r="K616" s="17">
        <f t="shared" si="16"/>
        <v>0</v>
      </c>
      <c r="L616" s="17">
        <f t="shared" si="17"/>
        <v>0</v>
      </c>
      <c r="M616" s="17">
        <f t="shared" si="18"/>
        <v>0</v>
      </c>
      <c r="N616" s="17">
        <f t="shared" si="19"/>
        <v>0</v>
      </c>
      <c r="O616" s="32"/>
    </row>
    <row r="617" spans="1:15" x14ac:dyDescent="0.2">
      <c r="A617" s="5">
        <v>846</v>
      </c>
      <c r="B617" s="5">
        <v>1</v>
      </c>
      <c r="C617" s="6" t="s">
        <v>387</v>
      </c>
      <c r="D617" s="25">
        <f>'FY07 PU'!D267</f>
        <v>0</v>
      </c>
      <c r="E617" s="17">
        <v>0</v>
      </c>
      <c r="F617" s="32">
        <v>0</v>
      </c>
      <c r="G617" s="32">
        <v>423.78</v>
      </c>
      <c r="H617" s="17">
        <v>408.03</v>
      </c>
      <c r="I617" s="17">
        <v>385.37</v>
      </c>
      <c r="J617" s="17">
        <f t="shared" si="15"/>
        <v>0</v>
      </c>
      <c r="K617" s="17">
        <f t="shared" si="16"/>
        <v>0</v>
      </c>
      <c r="L617" s="17">
        <f t="shared" si="17"/>
        <v>0</v>
      </c>
      <c r="M617" s="17">
        <f t="shared" si="18"/>
        <v>0</v>
      </c>
      <c r="N617" s="17">
        <f t="shared" si="19"/>
        <v>0</v>
      </c>
      <c r="O617" s="32"/>
    </row>
    <row r="618" spans="1:15" x14ac:dyDescent="0.2">
      <c r="A618" s="5">
        <v>850</v>
      </c>
      <c r="B618" s="5">
        <v>1</v>
      </c>
      <c r="C618" s="6" t="s">
        <v>388</v>
      </c>
      <c r="D618" s="25">
        <f>'FY07 PU'!D268</f>
        <v>0</v>
      </c>
      <c r="E618" s="17">
        <v>685.2</v>
      </c>
      <c r="F618" s="32">
        <v>338.66</v>
      </c>
      <c r="G618" s="32">
        <v>63.46</v>
      </c>
      <c r="H618" s="17">
        <v>0</v>
      </c>
      <c r="I618" s="17">
        <v>0</v>
      </c>
      <c r="J618" s="17">
        <f t="shared" ref="J618:J681" si="20">$D618*E618</f>
        <v>0</v>
      </c>
      <c r="K618" s="17">
        <f t="shared" ref="K618:K681" si="21">$D618*F618</f>
        <v>0</v>
      </c>
      <c r="L618" s="17">
        <f t="shared" ref="L618:L681" si="22">$D618*G618</f>
        <v>0</v>
      </c>
      <c r="M618" s="17">
        <f t="shared" ref="M618:M681" si="23">$D618*H618</f>
        <v>0</v>
      </c>
      <c r="N618" s="17">
        <f t="shared" ref="N618:N681" si="24">$D618*I618</f>
        <v>0</v>
      </c>
      <c r="O618" s="32"/>
    </row>
    <row r="619" spans="1:15" x14ac:dyDescent="0.2">
      <c r="A619" s="5">
        <v>852</v>
      </c>
      <c r="B619" s="5">
        <v>1</v>
      </c>
      <c r="C619" s="6" t="s">
        <v>389</v>
      </c>
      <c r="D619" s="25">
        <f>'FY07 PU'!D269</f>
        <v>0</v>
      </c>
      <c r="E619" s="17">
        <v>296.42</v>
      </c>
      <c r="F619" s="32">
        <v>309.83</v>
      </c>
      <c r="G619" s="32">
        <v>218.01</v>
      </c>
      <c r="H619" s="17">
        <v>0</v>
      </c>
      <c r="I619" s="17">
        <v>0</v>
      </c>
      <c r="J619" s="17">
        <f t="shared" si="20"/>
        <v>0</v>
      </c>
      <c r="K619" s="17">
        <f t="shared" si="21"/>
        <v>0</v>
      </c>
      <c r="L619" s="17">
        <f t="shared" si="22"/>
        <v>0</v>
      </c>
      <c r="M619" s="17">
        <f t="shared" si="23"/>
        <v>0</v>
      </c>
      <c r="N619" s="17">
        <f t="shared" si="24"/>
        <v>0</v>
      </c>
      <c r="O619" s="32"/>
    </row>
    <row r="620" spans="1:15" x14ac:dyDescent="0.2">
      <c r="A620" s="5">
        <v>857</v>
      </c>
      <c r="B620" s="5">
        <v>1</v>
      </c>
      <c r="C620" s="6" t="s">
        <v>390</v>
      </c>
      <c r="D620" s="25">
        <f>'FY07 PU'!D270</f>
        <v>0</v>
      </c>
      <c r="E620" s="17">
        <v>346.55</v>
      </c>
      <c r="F620" s="32">
        <v>300.58999999999997</v>
      </c>
      <c r="G620" s="32">
        <v>275.14999999999998</v>
      </c>
      <c r="H620" s="17">
        <v>255.55</v>
      </c>
      <c r="I620" s="17">
        <v>239.82</v>
      </c>
      <c r="J620" s="17">
        <f t="shared" si="20"/>
        <v>0</v>
      </c>
      <c r="K620" s="17">
        <f t="shared" si="21"/>
        <v>0</v>
      </c>
      <c r="L620" s="17">
        <f t="shared" si="22"/>
        <v>0</v>
      </c>
      <c r="M620" s="17">
        <f t="shared" si="23"/>
        <v>0</v>
      </c>
      <c r="N620" s="17">
        <f t="shared" si="24"/>
        <v>0</v>
      </c>
      <c r="O620" s="32"/>
    </row>
    <row r="621" spans="1:15" x14ac:dyDescent="0.2">
      <c r="A621" s="5">
        <v>858</v>
      </c>
      <c r="B621" s="5">
        <v>1</v>
      </c>
      <c r="C621" s="6" t="s">
        <v>391</v>
      </c>
      <c r="D621" s="25">
        <f>'FY07 PU'!D271</f>
        <v>0</v>
      </c>
      <c r="E621" s="17">
        <v>0</v>
      </c>
      <c r="F621" s="32">
        <v>0</v>
      </c>
      <c r="G621" s="32">
        <v>0</v>
      </c>
      <c r="H621" s="17">
        <v>0</v>
      </c>
      <c r="I621" s="17">
        <v>0</v>
      </c>
      <c r="J621" s="17">
        <f t="shared" si="20"/>
        <v>0</v>
      </c>
      <c r="K621" s="17">
        <f t="shared" si="21"/>
        <v>0</v>
      </c>
      <c r="L621" s="17">
        <f t="shared" si="22"/>
        <v>0</v>
      </c>
      <c r="M621" s="17">
        <f t="shared" si="23"/>
        <v>0</v>
      </c>
      <c r="N621" s="17">
        <f t="shared" si="24"/>
        <v>0</v>
      </c>
      <c r="O621" s="32"/>
    </row>
    <row r="622" spans="1:15" x14ac:dyDescent="0.2">
      <c r="A622" s="5">
        <v>861</v>
      </c>
      <c r="B622" s="5">
        <v>1</v>
      </c>
      <c r="C622" s="6" t="s">
        <v>392</v>
      </c>
      <c r="D622" s="25">
        <f>'FY07 PU'!D272</f>
        <v>0</v>
      </c>
      <c r="E622" s="17">
        <v>103.52</v>
      </c>
      <c r="F622" s="32">
        <v>39.5</v>
      </c>
      <c r="G622" s="32">
        <v>0</v>
      </c>
      <c r="H622" s="17">
        <v>0</v>
      </c>
      <c r="I622" s="17">
        <v>0</v>
      </c>
      <c r="J622" s="17">
        <f t="shared" si="20"/>
        <v>0</v>
      </c>
      <c r="K622" s="17">
        <f t="shared" si="21"/>
        <v>0</v>
      </c>
      <c r="L622" s="17">
        <f t="shared" si="22"/>
        <v>0</v>
      </c>
      <c r="M622" s="17">
        <f t="shared" si="23"/>
        <v>0</v>
      </c>
      <c r="N622" s="17">
        <f t="shared" si="24"/>
        <v>0</v>
      </c>
      <c r="O622" s="32"/>
    </row>
    <row r="623" spans="1:15" x14ac:dyDescent="0.2">
      <c r="A623" s="5">
        <v>876</v>
      </c>
      <c r="B623" s="5">
        <v>1</v>
      </c>
      <c r="C623" s="6" t="s">
        <v>393</v>
      </c>
      <c r="D623" s="25">
        <f>'FY07 PU'!D273</f>
        <v>0</v>
      </c>
      <c r="E623" s="17">
        <v>90.59</v>
      </c>
      <c r="F623" s="32">
        <v>38.92</v>
      </c>
      <c r="G623" s="32">
        <v>0</v>
      </c>
      <c r="H623" s="17">
        <v>0</v>
      </c>
      <c r="I623" s="17">
        <v>0</v>
      </c>
      <c r="J623" s="17">
        <f t="shared" si="20"/>
        <v>0</v>
      </c>
      <c r="K623" s="17">
        <f t="shared" si="21"/>
        <v>0</v>
      </c>
      <c r="L623" s="17">
        <f t="shared" si="22"/>
        <v>0</v>
      </c>
      <c r="M623" s="17">
        <f t="shared" si="23"/>
        <v>0</v>
      </c>
      <c r="N623" s="17">
        <f t="shared" si="24"/>
        <v>0</v>
      </c>
      <c r="O623" s="32"/>
    </row>
    <row r="624" spans="1:15" x14ac:dyDescent="0.2">
      <c r="A624" s="5">
        <v>877</v>
      </c>
      <c r="B624" s="5">
        <v>1</v>
      </c>
      <c r="C624" s="6" t="s">
        <v>394</v>
      </c>
      <c r="D624" s="25">
        <f>'FY07 PU'!D274</f>
        <v>0</v>
      </c>
      <c r="E624" s="17">
        <v>169.24</v>
      </c>
      <c r="F624" s="32">
        <v>122.66</v>
      </c>
      <c r="G624" s="32">
        <v>79.900000000000006</v>
      </c>
      <c r="H624" s="17">
        <v>70.959999999999994</v>
      </c>
      <c r="I624" s="17">
        <v>65.55</v>
      </c>
      <c r="J624" s="17">
        <f t="shared" si="20"/>
        <v>0</v>
      </c>
      <c r="K624" s="17">
        <f t="shared" si="21"/>
        <v>0</v>
      </c>
      <c r="L624" s="17">
        <f t="shared" si="22"/>
        <v>0</v>
      </c>
      <c r="M624" s="17">
        <f t="shared" si="23"/>
        <v>0</v>
      </c>
      <c r="N624" s="17">
        <f t="shared" si="24"/>
        <v>0</v>
      </c>
      <c r="O624" s="32"/>
    </row>
    <row r="625" spans="1:15" x14ac:dyDescent="0.2">
      <c r="A625" s="5">
        <v>879</v>
      </c>
      <c r="B625" s="5">
        <v>1</v>
      </c>
      <c r="C625" s="6" t="s">
        <v>395</v>
      </c>
      <c r="D625" s="25">
        <f>'FY07 PU'!D275</f>
        <v>0</v>
      </c>
      <c r="E625" s="17">
        <v>99.64</v>
      </c>
      <c r="F625" s="32">
        <v>64.5</v>
      </c>
      <c r="G625" s="32">
        <v>28.88</v>
      </c>
      <c r="H625" s="17">
        <v>0</v>
      </c>
      <c r="I625" s="17">
        <v>0</v>
      </c>
      <c r="J625" s="17">
        <f t="shared" si="20"/>
        <v>0</v>
      </c>
      <c r="K625" s="17">
        <f t="shared" si="21"/>
        <v>0</v>
      </c>
      <c r="L625" s="17">
        <f t="shared" si="22"/>
        <v>0</v>
      </c>
      <c r="M625" s="17">
        <f t="shared" si="23"/>
        <v>0</v>
      </c>
      <c r="N625" s="17">
        <f t="shared" si="24"/>
        <v>0</v>
      </c>
      <c r="O625" s="32"/>
    </row>
    <row r="626" spans="1:15" x14ac:dyDescent="0.2">
      <c r="A626" s="5">
        <v>881</v>
      </c>
      <c r="B626" s="5">
        <v>1</v>
      </c>
      <c r="C626" s="6" t="s">
        <v>396</v>
      </c>
      <c r="D626" s="25">
        <f>'FY07 PU'!D276</f>
        <v>0</v>
      </c>
      <c r="E626" s="17">
        <v>164.25</v>
      </c>
      <c r="F626" s="32">
        <v>101.5</v>
      </c>
      <c r="G626" s="32">
        <v>19.66</v>
      </c>
      <c r="H626" s="17">
        <v>9.32</v>
      </c>
      <c r="I626" s="17">
        <v>0</v>
      </c>
      <c r="J626" s="17">
        <f t="shared" si="20"/>
        <v>0</v>
      </c>
      <c r="K626" s="17">
        <f t="shared" si="21"/>
        <v>0</v>
      </c>
      <c r="L626" s="17">
        <f t="shared" si="22"/>
        <v>0</v>
      </c>
      <c r="M626" s="17">
        <f t="shared" si="23"/>
        <v>0</v>
      </c>
      <c r="N626" s="17">
        <f t="shared" si="24"/>
        <v>0</v>
      </c>
      <c r="O626" s="32"/>
    </row>
    <row r="627" spans="1:15" x14ac:dyDescent="0.2">
      <c r="A627" s="5">
        <v>882</v>
      </c>
      <c r="B627" s="5">
        <v>1</v>
      </c>
      <c r="C627" s="6" t="s">
        <v>397</v>
      </c>
      <c r="D627" s="25">
        <f>'FY07 PU'!D277</f>
        <v>0</v>
      </c>
      <c r="E627" s="17">
        <v>61.79</v>
      </c>
      <c r="F627" s="32">
        <v>44.18</v>
      </c>
      <c r="G627" s="32">
        <v>87.42</v>
      </c>
      <c r="H627" s="17">
        <v>60.72</v>
      </c>
      <c r="I627" s="17">
        <v>22.93</v>
      </c>
      <c r="J627" s="17">
        <f t="shared" si="20"/>
        <v>0</v>
      </c>
      <c r="K627" s="17">
        <f t="shared" si="21"/>
        <v>0</v>
      </c>
      <c r="L627" s="17">
        <f t="shared" si="22"/>
        <v>0</v>
      </c>
      <c r="M627" s="17">
        <f t="shared" si="23"/>
        <v>0</v>
      </c>
      <c r="N627" s="17">
        <f t="shared" si="24"/>
        <v>0</v>
      </c>
      <c r="O627" s="32"/>
    </row>
    <row r="628" spans="1:15" x14ac:dyDescent="0.2">
      <c r="A628" s="5">
        <v>883</v>
      </c>
      <c r="B628" s="5">
        <v>1</v>
      </c>
      <c r="C628" s="6" t="s">
        <v>398</v>
      </c>
      <c r="D628" s="25">
        <f>'FY07 PU'!D278</f>
        <v>0</v>
      </c>
      <c r="E628" s="17">
        <v>2.41</v>
      </c>
      <c r="F628" s="32">
        <v>0.65</v>
      </c>
      <c r="G628" s="32">
        <v>0</v>
      </c>
      <c r="H628" s="17">
        <v>0</v>
      </c>
      <c r="I628" s="17">
        <v>0</v>
      </c>
      <c r="J628" s="17">
        <f t="shared" si="20"/>
        <v>0</v>
      </c>
      <c r="K628" s="17">
        <f t="shared" si="21"/>
        <v>0</v>
      </c>
      <c r="L628" s="17">
        <f t="shared" si="22"/>
        <v>0</v>
      </c>
      <c r="M628" s="17">
        <f t="shared" si="23"/>
        <v>0</v>
      </c>
      <c r="N628" s="17">
        <f t="shared" si="24"/>
        <v>0</v>
      </c>
      <c r="O628" s="32"/>
    </row>
    <row r="629" spans="1:15" x14ac:dyDescent="0.2">
      <c r="A629" s="5">
        <v>885</v>
      </c>
      <c r="B629" s="5">
        <v>1</v>
      </c>
      <c r="C629" s="6" t="s">
        <v>399</v>
      </c>
      <c r="D629" s="25">
        <f>'FY07 PU'!D279</f>
        <v>0</v>
      </c>
      <c r="E629" s="17">
        <v>213.44</v>
      </c>
      <c r="F629" s="32">
        <v>177.86</v>
      </c>
      <c r="G629" s="32">
        <v>149.25</v>
      </c>
      <c r="H629" s="17">
        <v>144.77000000000001</v>
      </c>
      <c r="I629" s="17">
        <v>143.81</v>
      </c>
      <c r="J629" s="17">
        <f t="shared" si="20"/>
        <v>0</v>
      </c>
      <c r="K629" s="17">
        <f t="shared" si="21"/>
        <v>0</v>
      </c>
      <c r="L629" s="17">
        <f t="shared" si="22"/>
        <v>0</v>
      </c>
      <c r="M629" s="17">
        <f t="shared" si="23"/>
        <v>0</v>
      </c>
      <c r="N629" s="17">
        <f t="shared" si="24"/>
        <v>0</v>
      </c>
      <c r="O629" s="32"/>
    </row>
    <row r="630" spans="1:15" x14ac:dyDescent="0.2">
      <c r="A630" s="5">
        <v>891</v>
      </c>
      <c r="B630" s="5">
        <v>1</v>
      </c>
      <c r="C630" s="6" t="s">
        <v>400</v>
      </c>
      <c r="D630" s="25">
        <f>'FY07 PU'!D280</f>
        <v>0</v>
      </c>
      <c r="E630" s="17">
        <v>357.06</v>
      </c>
      <c r="F630" s="32">
        <v>347.86</v>
      </c>
      <c r="G630" s="32">
        <v>464.89</v>
      </c>
      <c r="H630" s="17">
        <v>441.78</v>
      </c>
      <c r="I630" s="17">
        <v>421.79</v>
      </c>
      <c r="J630" s="17">
        <f t="shared" si="20"/>
        <v>0</v>
      </c>
      <c r="K630" s="17">
        <f t="shared" si="21"/>
        <v>0</v>
      </c>
      <c r="L630" s="17">
        <f t="shared" si="22"/>
        <v>0</v>
      </c>
      <c r="M630" s="17">
        <f t="shared" si="23"/>
        <v>0</v>
      </c>
      <c r="N630" s="17">
        <f t="shared" si="24"/>
        <v>0</v>
      </c>
      <c r="O630" s="32"/>
    </row>
    <row r="631" spans="1:15" x14ac:dyDescent="0.2">
      <c r="A631" s="5">
        <v>911</v>
      </c>
      <c r="B631" s="5">
        <v>1</v>
      </c>
      <c r="C631" s="6" t="s">
        <v>401</v>
      </c>
      <c r="D631" s="25">
        <f>'FY07 PU'!D281</f>
        <v>0</v>
      </c>
      <c r="E631" s="17">
        <v>46.87</v>
      </c>
      <c r="F631" s="32">
        <v>37.299999999999997</v>
      </c>
      <c r="G631" s="32">
        <v>27.53</v>
      </c>
      <c r="H631" s="17">
        <v>23.81</v>
      </c>
      <c r="I631" s="17">
        <v>0</v>
      </c>
      <c r="J631" s="17">
        <f t="shared" si="20"/>
        <v>0</v>
      </c>
      <c r="K631" s="17">
        <f t="shared" si="21"/>
        <v>0</v>
      </c>
      <c r="L631" s="17">
        <f t="shared" si="22"/>
        <v>0</v>
      </c>
      <c r="M631" s="17">
        <f t="shared" si="23"/>
        <v>0</v>
      </c>
      <c r="N631" s="17">
        <f t="shared" si="24"/>
        <v>0</v>
      </c>
      <c r="O631" s="32"/>
    </row>
    <row r="632" spans="1:15" x14ac:dyDescent="0.2">
      <c r="A632" s="5">
        <v>912</v>
      </c>
      <c r="B632" s="5">
        <v>1</v>
      </c>
      <c r="C632" s="6" t="s">
        <v>402</v>
      </c>
      <c r="D632" s="25">
        <f>'FY07 PU'!D282</f>
        <v>0</v>
      </c>
      <c r="E632" s="17">
        <v>0.56999999999999995</v>
      </c>
      <c r="F632" s="32">
        <v>0.5</v>
      </c>
      <c r="G632" s="32">
        <v>0.43</v>
      </c>
      <c r="H632" s="17">
        <v>0.38</v>
      </c>
      <c r="I632" s="17">
        <v>0.35</v>
      </c>
      <c r="J632" s="17">
        <f t="shared" si="20"/>
        <v>0</v>
      </c>
      <c r="K632" s="17">
        <f t="shared" si="21"/>
        <v>0</v>
      </c>
      <c r="L632" s="17">
        <f t="shared" si="22"/>
        <v>0</v>
      </c>
      <c r="M632" s="17">
        <f t="shared" si="23"/>
        <v>0</v>
      </c>
      <c r="N632" s="17">
        <f t="shared" si="24"/>
        <v>0</v>
      </c>
      <c r="O632" s="32"/>
    </row>
    <row r="633" spans="1:15" x14ac:dyDescent="0.2">
      <c r="A633" s="5">
        <v>914</v>
      </c>
      <c r="B633" s="5">
        <v>1</v>
      </c>
      <c r="C633" s="6" t="s">
        <v>403</v>
      </c>
      <c r="D633" s="25">
        <f>'FY07 PU'!D283</f>
        <v>0</v>
      </c>
      <c r="E633" s="17">
        <v>604.51</v>
      </c>
      <c r="F633" s="32">
        <v>353.33</v>
      </c>
      <c r="G633" s="32">
        <v>343.51</v>
      </c>
      <c r="H633" s="17">
        <v>248.23</v>
      </c>
      <c r="I633" s="17">
        <v>145.41999999999999</v>
      </c>
      <c r="J633" s="17">
        <f t="shared" si="20"/>
        <v>0</v>
      </c>
      <c r="K633" s="17">
        <f t="shared" si="21"/>
        <v>0</v>
      </c>
      <c r="L633" s="17">
        <f t="shared" si="22"/>
        <v>0</v>
      </c>
      <c r="M633" s="17">
        <f t="shared" si="23"/>
        <v>0</v>
      </c>
      <c r="N633" s="17">
        <f t="shared" si="24"/>
        <v>0</v>
      </c>
      <c r="O633" s="32"/>
    </row>
    <row r="634" spans="1:15" x14ac:dyDescent="0.2">
      <c r="A634" s="5">
        <v>2071</v>
      </c>
      <c r="B634" s="5">
        <v>1</v>
      </c>
      <c r="C634" s="6" t="s">
        <v>404</v>
      </c>
      <c r="D634" s="25">
        <f>'FY07 PU'!D284</f>
        <v>0</v>
      </c>
      <c r="E634" s="17">
        <v>101.25</v>
      </c>
      <c r="F634" s="32">
        <v>93.35</v>
      </c>
      <c r="G634" s="32">
        <v>36.6</v>
      </c>
      <c r="H634" s="17">
        <v>32.44</v>
      </c>
      <c r="I634" s="17">
        <v>21.84</v>
      </c>
      <c r="J634" s="17">
        <f t="shared" si="20"/>
        <v>0</v>
      </c>
      <c r="K634" s="17">
        <f t="shared" si="21"/>
        <v>0</v>
      </c>
      <c r="L634" s="17">
        <f t="shared" si="22"/>
        <v>0</v>
      </c>
      <c r="M634" s="17">
        <f t="shared" si="23"/>
        <v>0</v>
      </c>
      <c r="N634" s="17">
        <f t="shared" si="24"/>
        <v>0</v>
      </c>
      <c r="O634" s="32"/>
    </row>
    <row r="635" spans="1:15" x14ac:dyDescent="0.2">
      <c r="A635" s="5">
        <v>2125</v>
      </c>
      <c r="B635" s="5">
        <v>1</v>
      </c>
      <c r="C635" s="6" t="s">
        <v>405</v>
      </c>
      <c r="D635" s="25">
        <f>'FY07 PU'!D285</f>
        <v>0</v>
      </c>
      <c r="E635" s="17">
        <v>197.27</v>
      </c>
      <c r="F635" s="32">
        <v>176.64</v>
      </c>
      <c r="G635" s="32">
        <v>299.32</v>
      </c>
      <c r="H635" s="17">
        <v>278.38</v>
      </c>
      <c r="I635" s="17">
        <v>270.14</v>
      </c>
      <c r="J635" s="17">
        <f t="shared" si="20"/>
        <v>0</v>
      </c>
      <c r="K635" s="17">
        <f t="shared" si="21"/>
        <v>0</v>
      </c>
      <c r="L635" s="17">
        <f t="shared" si="22"/>
        <v>0</v>
      </c>
      <c r="M635" s="17">
        <f t="shared" si="23"/>
        <v>0</v>
      </c>
      <c r="N635" s="17">
        <f t="shared" si="24"/>
        <v>0</v>
      </c>
      <c r="O635" s="32"/>
    </row>
    <row r="636" spans="1:15" x14ac:dyDescent="0.2">
      <c r="A636" s="5">
        <v>2134</v>
      </c>
      <c r="B636" s="5">
        <v>1</v>
      </c>
      <c r="C636" s="6" t="s">
        <v>406</v>
      </c>
      <c r="D636" s="25">
        <f>'FY07 PU'!D286</f>
        <v>0</v>
      </c>
      <c r="E636" s="17">
        <v>154.41</v>
      </c>
      <c r="F636" s="32">
        <v>84.01</v>
      </c>
      <c r="G636" s="32">
        <v>196.99</v>
      </c>
      <c r="H636" s="17">
        <v>158.19999999999999</v>
      </c>
      <c r="I636" s="17">
        <v>80.569999999999993</v>
      </c>
      <c r="J636" s="17">
        <f t="shared" si="20"/>
        <v>0</v>
      </c>
      <c r="K636" s="17">
        <f t="shared" si="21"/>
        <v>0</v>
      </c>
      <c r="L636" s="17">
        <f t="shared" si="22"/>
        <v>0</v>
      </c>
      <c r="M636" s="17">
        <f t="shared" si="23"/>
        <v>0</v>
      </c>
      <c r="N636" s="17">
        <f t="shared" si="24"/>
        <v>0</v>
      </c>
      <c r="O636" s="32"/>
    </row>
    <row r="637" spans="1:15" x14ac:dyDescent="0.2">
      <c r="A637" s="5">
        <v>2135</v>
      </c>
      <c r="B637" s="5">
        <v>1</v>
      </c>
      <c r="C637" s="6" t="s">
        <v>407</v>
      </c>
      <c r="D637" s="25">
        <f>'FY07 PU'!D287</f>
        <v>0</v>
      </c>
      <c r="E637" s="17">
        <v>325.66000000000003</v>
      </c>
      <c r="F637" s="32">
        <v>305.48</v>
      </c>
      <c r="G637" s="32">
        <v>237.44</v>
      </c>
      <c r="H637" s="17">
        <v>212.02</v>
      </c>
      <c r="I637" s="17">
        <v>0</v>
      </c>
      <c r="J637" s="17">
        <f t="shared" si="20"/>
        <v>0</v>
      </c>
      <c r="K637" s="17">
        <f t="shared" si="21"/>
        <v>0</v>
      </c>
      <c r="L637" s="17">
        <f t="shared" si="22"/>
        <v>0</v>
      </c>
      <c r="M637" s="17">
        <f t="shared" si="23"/>
        <v>0</v>
      </c>
      <c r="N637" s="17">
        <f t="shared" si="24"/>
        <v>0</v>
      </c>
      <c r="O637" s="32"/>
    </row>
    <row r="638" spans="1:15" x14ac:dyDescent="0.2">
      <c r="A638" s="5">
        <v>2137</v>
      </c>
      <c r="B638" s="5">
        <v>1</v>
      </c>
      <c r="C638" s="6" t="s">
        <v>408</v>
      </c>
      <c r="D638" s="25">
        <f>'FY07 PU'!D288</f>
        <v>0</v>
      </c>
      <c r="E638" s="17">
        <v>153.83000000000001</v>
      </c>
      <c r="F638" s="32">
        <v>128.66</v>
      </c>
      <c r="G638" s="32">
        <v>111.84</v>
      </c>
      <c r="H638" s="17">
        <v>103.52</v>
      </c>
      <c r="I638" s="17">
        <v>90.5</v>
      </c>
      <c r="J638" s="17">
        <f t="shared" si="20"/>
        <v>0</v>
      </c>
      <c r="K638" s="17">
        <f t="shared" si="21"/>
        <v>0</v>
      </c>
      <c r="L638" s="17">
        <f t="shared" si="22"/>
        <v>0</v>
      </c>
      <c r="M638" s="17">
        <f t="shared" si="23"/>
        <v>0</v>
      </c>
      <c r="N638" s="17">
        <f t="shared" si="24"/>
        <v>0</v>
      </c>
      <c r="O638" s="32"/>
    </row>
    <row r="639" spans="1:15" x14ac:dyDescent="0.2">
      <c r="A639" s="5">
        <v>2142</v>
      </c>
      <c r="B639" s="5">
        <v>1</v>
      </c>
      <c r="C639" s="6" t="s">
        <v>409</v>
      </c>
      <c r="D639" s="25">
        <f>'FY07 PU'!D289</f>
        <v>0</v>
      </c>
      <c r="E639" s="17">
        <v>39.94</v>
      </c>
      <c r="F639" s="32">
        <v>25.92</v>
      </c>
      <c r="G639" s="32">
        <v>7.78</v>
      </c>
      <c r="H639" s="17">
        <v>0</v>
      </c>
      <c r="I639" s="17">
        <v>0</v>
      </c>
      <c r="J639" s="17">
        <f t="shared" si="20"/>
        <v>0</v>
      </c>
      <c r="K639" s="17">
        <f t="shared" si="21"/>
        <v>0</v>
      </c>
      <c r="L639" s="17">
        <f t="shared" si="22"/>
        <v>0</v>
      </c>
      <c r="M639" s="17">
        <f t="shared" si="23"/>
        <v>0</v>
      </c>
      <c r="N639" s="17">
        <f t="shared" si="24"/>
        <v>0</v>
      </c>
      <c r="O639" s="32"/>
    </row>
    <row r="640" spans="1:15" x14ac:dyDescent="0.2">
      <c r="A640" s="5">
        <v>2143</v>
      </c>
      <c r="B640" s="5">
        <v>1</v>
      </c>
      <c r="C640" s="6" t="s">
        <v>410</v>
      </c>
      <c r="D640" s="25">
        <f>'FY07 PU'!D290</f>
        <v>0</v>
      </c>
      <c r="E640" s="17">
        <v>163.72999999999999</v>
      </c>
      <c r="F640" s="32">
        <v>111.93</v>
      </c>
      <c r="G640" s="32">
        <v>61.07</v>
      </c>
      <c r="H640" s="17">
        <v>30.04</v>
      </c>
      <c r="I640" s="17">
        <v>0</v>
      </c>
      <c r="J640" s="17">
        <f t="shared" si="20"/>
        <v>0</v>
      </c>
      <c r="K640" s="17">
        <f t="shared" si="21"/>
        <v>0</v>
      </c>
      <c r="L640" s="17">
        <f t="shared" si="22"/>
        <v>0</v>
      </c>
      <c r="M640" s="17">
        <f t="shared" si="23"/>
        <v>0</v>
      </c>
      <c r="N640" s="17">
        <f t="shared" si="24"/>
        <v>0</v>
      </c>
      <c r="O640" s="32"/>
    </row>
    <row r="641" spans="1:15" x14ac:dyDescent="0.2">
      <c r="A641" s="5">
        <v>2144</v>
      </c>
      <c r="B641" s="5">
        <v>1</v>
      </c>
      <c r="C641" s="6" t="s">
        <v>411</v>
      </c>
      <c r="D641" s="25">
        <f>'FY07 PU'!D291</f>
        <v>0</v>
      </c>
      <c r="E641" s="17">
        <v>117.41</v>
      </c>
      <c r="F641" s="32">
        <v>56.75</v>
      </c>
      <c r="G641" s="32">
        <v>2.56</v>
      </c>
      <c r="H641" s="17">
        <v>0</v>
      </c>
      <c r="I641" s="17">
        <v>0</v>
      </c>
      <c r="J641" s="17">
        <f t="shared" si="20"/>
        <v>0</v>
      </c>
      <c r="K641" s="17">
        <f t="shared" si="21"/>
        <v>0</v>
      </c>
      <c r="L641" s="17">
        <f t="shared" si="22"/>
        <v>0</v>
      </c>
      <c r="M641" s="17">
        <f t="shared" si="23"/>
        <v>0</v>
      </c>
      <c r="N641" s="17">
        <f t="shared" si="24"/>
        <v>0</v>
      </c>
      <c r="O641" s="32"/>
    </row>
    <row r="642" spans="1:15" x14ac:dyDescent="0.2">
      <c r="A642" s="5">
        <v>2149</v>
      </c>
      <c r="B642" s="5">
        <v>1</v>
      </c>
      <c r="C642" s="6" t="s">
        <v>412</v>
      </c>
      <c r="D642" s="25">
        <f>'FY07 PU'!D292</f>
        <v>0</v>
      </c>
      <c r="E642" s="17">
        <v>0.18</v>
      </c>
      <c r="F642" s="32">
        <v>219.07</v>
      </c>
      <c r="G642" s="32">
        <v>142.62</v>
      </c>
      <c r="H642" s="17">
        <v>88.94</v>
      </c>
      <c r="I642" s="17">
        <v>40.590000000000003</v>
      </c>
      <c r="J642" s="17">
        <f t="shared" si="20"/>
        <v>0</v>
      </c>
      <c r="K642" s="17">
        <f t="shared" si="21"/>
        <v>0</v>
      </c>
      <c r="L642" s="17">
        <f t="shared" si="22"/>
        <v>0</v>
      </c>
      <c r="M642" s="17">
        <f t="shared" si="23"/>
        <v>0</v>
      </c>
      <c r="N642" s="17">
        <f t="shared" si="24"/>
        <v>0</v>
      </c>
      <c r="O642" s="32"/>
    </row>
    <row r="643" spans="1:15" x14ac:dyDescent="0.2">
      <c r="A643" s="5">
        <v>2154</v>
      </c>
      <c r="B643" s="5">
        <v>1</v>
      </c>
      <c r="C643" s="6" t="s">
        <v>413</v>
      </c>
      <c r="D643" s="25">
        <f>'FY07 PU'!D293</f>
        <v>0</v>
      </c>
      <c r="E643" s="17">
        <v>220.2</v>
      </c>
      <c r="F643" s="32">
        <v>213.42</v>
      </c>
      <c r="G643" s="32">
        <v>194.66</v>
      </c>
      <c r="H643" s="17">
        <v>165.52</v>
      </c>
      <c r="I643" s="17">
        <v>153.19999999999999</v>
      </c>
      <c r="J643" s="17">
        <f t="shared" si="20"/>
        <v>0</v>
      </c>
      <c r="K643" s="17">
        <f t="shared" si="21"/>
        <v>0</v>
      </c>
      <c r="L643" s="17">
        <f t="shared" si="22"/>
        <v>0</v>
      </c>
      <c r="M643" s="17">
        <f t="shared" si="23"/>
        <v>0</v>
      </c>
      <c r="N643" s="17">
        <f t="shared" si="24"/>
        <v>0</v>
      </c>
      <c r="O643" s="32"/>
    </row>
    <row r="644" spans="1:15" x14ac:dyDescent="0.2">
      <c r="A644" s="5">
        <v>2155</v>
      </c>
      <c r="B644" s="5">
        <v>1</v>
      </c>
      <c r="C644" s="6" t="s">
        <v>414</v>
      </c>
      <c r="D644" s="25">
        <f>'FY07 PU'!D294</f>
        <v>0</v>
      </c>
      <c r="E644" s="17">
        <v>65.489999999999995</v>
      </c>
      <c r="F644" s="32">
        <v>58.86</v>
      </c>
      <c r="G644" s="32">
        <v>51.17</v>
      </c>
      <c r="H644" s="17">
        <v>46.06</v>
      </c>
      <c r="I644" s="17">
        <v>42.84</v>
      </c>
      <c r="J644" s="17">
        <f t="shared" si="20"/>
        <v>0</v>
      </c>
      <c r="K644" s="17">
        <f t="shared" si="21"/>
        <v>0</v>
      </c>
      <c r="L644" s="17">
        <f t="shared" si="22"/>
        <v>0</v>
      </c>
      <c r="M644" s="17">
        <f t="shared" si="23"/>
        <v>0</v>
      </c>
      <c r="N644" s="17">
        <f t="shared" si="24"/>
        <v>0</v>
      </c>
      <c r="O644" s="32"/>
    </row>
    <row r="645" spans="1:15" x14ac:dyDescent="0.2">
      <c r="A645" s="5">
        <v>2159</v>
      </c>
      <c r="B645" s="5">
        <v>1</v>
      </c>
      <c r="C645" s="6" t="s">
        <v>415</v>
      </c>
      <c r="D645" s="25">
        <f>'FY07 PU'!D295</f>
        <v>0</v>
      </c>
      <c r="E645" s="17">
        <v>339.25</v>
      </c>
      <c r="F645" s="32">
        <v>350.89</v>
      </c>
      <c r="G645" s="32">
        <v>289.51</v>
      </c>
      <c r="H645" s="17">
        <v>271.76</v>
      </c>
      <c r="I645" s="17">
        <v>256.49</v>
      </c>
      <c r="J645" s="17">
        <f t="shared" si="20"/>
        <v>0</v>
      </c>
      <c r="K645" s="17">
        <f t="shared" si="21"/>
        <v>0</v>
      </c>
      <c r="L645" s="17">
        <f t="shared" si="22"/>
        <v>0</v>
      </c>
      <c r="M645" s="17">
        <f t="shared" si="23"/>
        <v>0</v>
      </c>
      <c r="N645" s="17">
        <f t="shared" si="24"/>
        <v>0</v>
      </c>
      <c r="O645" s="32"/>
    </row>
    <row r="646" spans="1:15" x14ac:dyDescent="0.2">
      <c r="A646" s="5">
        <v>2164</v>
      </c>
      <c r="B646" s="5">
        <v>1</v>
      </c>
      <c r="C646" s="6" t="s">
        <v>416</v>
      </c>
      <c r="D646" s="25">
        <f>'FY07 PU'!D296</f>
        <v>0</v>
      </c>
      <c r="E646" s="17">
        <v>0</v>
      </c>
      <c r="F646" s="32">
        <v>0</v>
      </c>
      <c r="G646" s="32">
        <v>278.7</v>
      </c>
      <c r="H646" s="17">
        <v>270.66000000000003</v>
      </c>
      <c r="I646" s="17">
        <v>262.14</v>
      </c>
      <c r="J646" s="17">
        <f t="shared" si="20"/>
        <v>0</v>
      </c>
      <c r="K646" s="17">
        <f t="shared" si="21"/>
        <v>0</v>
      </c>
      <c r="L646" s="17">
        <f t="shared" si="22"/>
        <v>0</v>
      </c>
      <c r="M646" s="17">
        <f t="shared" si="23"/>
        <v>0</v>
      </c>
      <c r="N646" s="17">
        <f t="shared" si="24"/>
        <v>0</v>
      </c>
      <c r="O646" s="32"/>
    </row>
    <row r="647" spans="1:15" x14ac:dyDescent="0.2">
      <c r="A647" s="5">
        <v>2165</v>
      </c>
      <c r="B647" s="5">
        <v>1</v>
      </c>
      <c r="C647" s="6" t="s">
        <v>417</v>
      </c>
      <c r="D647" s="25">
        <f>'FY07 PU'!D297</f>
        <v>0</v>
      </c>
      <c r="E647" s="17">
        <v>58.63</v>
      </c>
      <c r="F647" s="32">
        <v>43.11</v>
      </c>
      <c r="G647" s="32">
        <v>30.99</v>
      </c>
      <c r="H647" s="17">
        <v>55.57</v>
      </c>
      <c r="I647" s="17">
        <v>45.15</v>
      </c>
      <c r="J647" s="17">
        <f t="shared" si="20"/>
        <v>0</v>
      </c>
      <c r="K647" s="17">
        <f t="shared" si="21"/>
        <v>0</v>
      </c>
      <c r="L647" s="17">
        <f t="shared" si="22"/>
        <v>0</v>
      </c>
      <c r="M647" s="17">
        <f t="shared" si="23"/>
        <v>0</v>
      </c>
      <c r="N647" s="17">
        <f t="shared" si="24"/>
        <v>0</v>
      </c>
      <c r="O647" s="32"/>
    </row>
    <row r="648" spans="1:15" x14ac:dyDescent="0.2">
      <c r="A648" s="5">
        <v>2167</v>
      </c>
      <c r="B648" s="5">
        <v>1</v>
      </c>
      <c r="C648" s="6" t="s">
        <v>418</v>
      </c>
      <c r="D648" s="25">
        <f>'FY07 PU'!D298</f>
        <v>0</v>
      </c>
      <c r="E648" s="17">
        <v>338.06</v>
      </c>
      <c r="F648" s="32">
        <v>340.01</v>
      </c>
      <c r="G648" s="32">
        <v>327.04000000000002</v>
      </c>
      <c r="H648" s="17">
        <v>324.68</v>
      </c>
      <c r="I648" s="17">
        <v>321.89</v>
      </c>
      <c r="J648" s="17">
        <f t="shared" si="20"/>
        <v>0</v>
      </c>
      <c r="K648" s="17">
        <f t="shared" si="21"/>
        <v>0</v>
      </c>
      <c r="L648" s="17">
        <f t="shared" si="22"/>
        <v>0</v>
      </c>
      <c r="M648" s="17">
        <f t="shared" si="23"/>
        <v>0</v>
      </c>
      <c r="N648" s="17">
        <f t="shared" si="24"/>
        <v>0</v>
      </c>
      <c r="O648" s="32"/>
    </row>
    <row r="649" spans="1:15" x14ac:dyDescent="0.2">
      <c r="A649" s="5">
        <v>2168</v>
      </c>
      <c r="B649" s="5">
        <v>1</v>
      </c>
      <c r="C649" s="6" t="s">
        <v>419</v>
      </c>
      <c r="D649" s="25">
        <f>'FY07 PU'!D299</f>
        <v>0</v>
      </c>
      <c r="E649" s="17">
        <v>0</v>
      </c>
      <c r="F649" s="32">
        <v>0</v>
      </c>
      <c r="G649" s="32">
        <v>0</v>
      </c>
      <c r="H649" s="17">
        <v>0</v>
      </c>
      <c r="I649" s="17">
        <v>0</v>
      </c>
      <c r="J649" s="17">
        <f t="shared" si="20"/>
        <v>0</v>
      </c>
      <c r="K649" s="17">
        <f t="shared" si="21"/>
        <v>0</v>
      </c>
      <c r="L649" s="17">
        <f t="shared" si="22"/>
        <v>0</v>
      </c>
      <c r="M649" s="17">
        <f t="shared" si="23"/>
        <v>0</v>
      </c>
      <c r="N649" s="17">
        <f t="shared" si="24"/>
        <v>0</v>
      </c>
      <c r="O649" s="32"/>
    </row>
    <row r="650" spans="1:15" x14ac:dyDescent="0.2">
      <c r="A650" s="5">
        <v>2169</v>
      </c>
      <c r="B650" s="5">
        <v>1</v>
      </c>
      <c r="C650" s="6" t="s">
        <v>420</v>
      </c>
      <c r="D650" s="25">
        <f>'FY07 PU'!D300</f>
        <v>0</v>
      </c>
      <c r="E650" s="17">
        <v>509.61</v>
      </c>
      <c r="F650" s="32">
        <v>685.04</v>
      </c>
      <c r="G650" s="32">
        <v>633.54999999999995</v>
      </c>
      <c r="H650" s="17">
        <v>586.66999999999996</v>
      </c>
      <c r="I650" s="17">
        <v>540.67999999999995</v>
      </c>
      <c r="J650" s="17">
        <f t="shared" si="20"/>
        <v>0</v>
      </c>
      <c r="K650" s="17">
        <f t="shared" si="21"/>
        <v>0</v>
      </c>
      <c r="L650" s="17">
        <f t="shared" si="22"/>
        <v>0</v>
      </c>
      <c r="M650" s="17">
        <f t="shared" si="23"/>
        <v>0</v>
      </c>
      <c r="N650" s="17">
        <f t="shared" si="24"/>
        <v>0</v>
      </c>
      <c r="O650" s="32"/>
    </row>
    <row r="651" spans="1:15" x14ac:dyDescent="0.2">
      <c r="A651" s="5">
        <v>2170</v>
      </c>
      <c r="B651" s="5">
        <v>1</v>
      </c>
      <c r="C651" s="6" t="s">
        <v>421</v>
      </c>
      <c r="D651" s="25">
        <f>'FY07 PU'!D301</f>
        <v>0</v>
      </c>
      <c r="E651" s="17">
        <v>0</v>
      </c>
      <c r="F651" s="32">
        <v>254.38</v>
      </c>
      <c r="G651" s="32">
        <v>231.66</v>
      </c>
      <c r="H651" s="17">
        <v>215.66</v>
      </c>
      <c r="I651" s="17">
        <v>203.88</v>
      </c>
      <c r="J651" s="17">
        <f t="shared" si="20"/>
        <v>0</v>
      </c>
      <c r="K651" s="17">
        <f t="shared" si="21"/>
        <v>0</v>
      </c>
      <c r="L651" s="17">
        <f t="shared" si="22"/>
        <v>0</v>
      </c>
      <c r="M651" s="17">
        <f t="shared" si="23"/>
        <v>0</v>
      </c>
      <c r="N651" s="17">
        <f t="shared" si="24"/>
        <v>0</v>
      </c>
      <c r="O651" s="32"/>
    </row>
    <row r="652" spans="1:15" x14ac:dyDescent="0.2">
      <c r="A652" s="5">
        <v>2171</v>
      </c>
      <c r="B652" s="5">
        <v>1</v>
      </c>
      <c r="C652" s="6" t="s">
        <v>422</v>
      </c>
      <c r="D652" s="25">
        <f>'FY07 PU'!D302</f>
        <v>0</v>
      </c>
      <c r="E652" s="17">
        <v>0</v>
      </c>
      <c r="F652" s="32">
        <v>0</v>
      </c>
      <c r="G652" s="32">
        <v>0</v>
      </c>
      <c r="H652" s="17">
        <v>0</v>
      </c>
      <c r="I652" s="17">
        <v>0</v>
      </c>
      <c r="J652" s="17">
        <f t="shared" si="20"/>
        <v>0</v>
      </c>
      <c r="K652" s="17">
        <f t="shared" si="21"/>
        <v>0</v>
      </c>
      <c r="L652" s="17">
        <f t="shared" si="22"/>
        <v>0</v>
      </c>
      <c r="M652" s="17">
        <f t="shared" si="23"/>
        <v>0</v>
      </c>
      <c r="N652" s="17">
        <f t="shared" si="24"/>
        <v>0</v>
      </c>
      <c r="O652" s="32"/>
    </row>
    <row r="653" spans="1:15" x14ac:dyDescent="0.2">
      <c r="A653" s="5">
        <v>2172</v>
      </c>
      <c r="B653" s="5">
        <v>1</v>
      </c>
      <c r="C653" s="6" t="s">
        <v>423</v>
      </c>
      <c r="D653" s="25">
        <f>'FY07 PU'!D303</f>
        <v>0</v>
      </c>
      <c r="E653" s="17">
        <v>191.55</v>
      </c>
      <c r="F653" s="32">
        <v>154.11000000000001</v>
      </c>
      <c r="G653" s="32">
        <v>241.46</v>
      </c>
      <c r="H653" s="17">
        <v>226.34</v>
      </c>
      <c r="I653" s="17">
        <v>206.21</v>
      </c>
      <c r="J653" s="17">
        <f t="shared" si="20"/>
        <v>0</v>
      </c>
      <c r="K653" s="17">
        <f t="shared" si="21"/>
        <v>0</v>
      </c>
      <c r="L653" s="17">
        <f t="shared" si="22"/>
        <v>0</v>
      </c>
      <c r="M653" s="17">
        <f t="shared" si="23"/>
        <v>0</v>
      </c>
      <c r="N653" s="17">
        <f t="shared" si="24"/>
        <v>0</v>
      </c>
      <c r="O653" s="32"/>
    </row>
    <row r="654" spans="1:15" x14ac:dyDescent="0.2">
      <c r="A654" s="5">
        <v>2174</v>
      </c>
      <c r="B654" s="5">
        <v>1</v>
      </c>
      <c r="C654" s="6" t="s">
        <v>424</v>
      </c>
      <c r="D654" s="25">
        <f>'FY07 PU'!D304</f>
        <v>0</v>
      </c>
      <c r="E654" s="17">
        <v>0.28999999999999998</v>
      </c>
      <c r="F654" s="32">
        <v>0.17</v>
      </c>
      <c r="G654" s="32">
        <v>0.04</v>
      </c>
      <c r="H654" s="17">
        <v>0</v>
      </c>
      <c r="I654" s="17">
        <v>0</v>
      </c>
      <c r="J654" s="17">
        <f t="shared" si="20"/>
        <v>0</v>
      </c>
      <c r="K654" s="17">
        <f t="shared" si="21"/>
        <v>0</v>
      </c>
      <c r="L654" s="17">
        <f t="shared" si="22"/>
        <v>0</v>
      </c>
      <c r="M654" s="17">
        <f t="shared" si="23"/>
        <v>0</v>
      </c>
      <c r="N654" s="17">
        <f t="shared" si="24"/>
        <v>0</v>
      </c>
      <c r="O654" s="32"/>
    </row>
    <row r="655" spans="1:15" x14ac:dyDescent="0.2">
      <c r="A655" s="5">
        <v>2176</v>
      </c>
      <c r="B655" s="5">
        <v>1</v>
      </c>
      <c r="C655" s="6" t="s">
        <v>425</v>
      </c>
      <c r="D655" s="25">
        <f>'FY07 PU'!D305</f>
        <v>0</v>
      </c>
      <c r="E655" s="17">
        <v>365.46</v>
      </c>
      <c r="F655" s="32">
        <v>323.95999999999998</v>
      </c>
      <c r="G655" s="32">
        <v>226.1</v>
      </c>
      <c r="H655" s="17">
        <v>190.56</v>
      </c>
      <c r="I655" s="17">
        <v>141.09</v>
      </c>
      <c r="J655" s="17">
        <f t="shared" si="20"/>
        <v>0</v>
      </c>
      <c r="K655" s="17">
        <f t="shared" si="21"/>
        <v>0</v>
      </c>
      <c r="L655" s="17">
        <f t="shared" si="22"/>
        <v>0</v>
      </c>
      <c r="M655" s="17">
        <f t="shared" si="23"/>
        <v>0</v>
      </c>
      <c r="N655" s="17">
        <f t="shared" si="24"/>
        <v>0</v>
      </c>
      <c r="O655" s="32"/>
    </row>
    <row r="656" spans="1:15" x14ac:dyDescent="0.2">
      <c r="A656" s="5">
        <v>2180</v>
      </c>
      <c r="B656" s="5">
        <v>1</v>
      </c>
      <c r="C656" s="6" t="s">
        <v>426</v>
      </c>
      <c r="D656" s="25">
        <f>'FY07 PU'!D306</f>
        <v>0</v>
      </c>
      <c r="E656" s="17">
        <v>215.21</v>
      </c>
      <c r="F656" s="32">
        <v>183.87</v>
      </c>
      <c r="G656" s="32">
        <v>169.21</v>
      </c>
      <c r="H656" s="17">
        <v>131.1</v>
      </c>
      <c r="I656" s="17">
        <v>56.11</v>
      </c>
      <c r="J656" s="17">
        <f t="shared" si="20"/>
        <v>0</v>
      </c>
      <c r="K656" s="17">
        <f t="shared" si="21"/>
        <v>0</v>
      </c>
      <c r="L656" s="17">
        <f t="shared" si="22"/>
        <v>0</v>
      </c>
      <c r="M656" s="17">
        <f t="shared" si="23"/>
        <v>0</v>
      </c>
      <c r="N656" s="17">
        <f t="shared" si="24"/>
        <v>0</v>
      </c>
      <c r="O656" s="32"/>
    </row>
    <row r="657" spans="1:15" x14ac:dyDescent="0.2">
      <c r="A657" s="5">
        <v>2184</v>
      </c>
      <c r="B657" s="5">
        <v>1</v>
      </c>
      <c r="C657" s="6" t="s">
        <v>427</v>
      </c>
      <c r="D657" s="25">
        <f>'FY07 PU'!D307</f>
        <v>0</v>
      </c>
      <c r="E657" s="17">
        <v>588.15</v>
      </c>
      <c r="F657" s="32">
        <v>582.98</v>
      </c>
      <c r="G657" s="32">
        <v>541.59</v>
      </c>
      <c r="H657" s="17">
        <v>523.62</v>
      </c>
      <c r="I657" s="17">
        <v>484.24</v>
      </c>
      <c r="J657" s="17">
        <f t="shared" si="20"/>
        <v>0</v>
      </c>
      <c r="K657" s="17">
        <f t="shared" si="21"/>
        <v>0</v>
      </c>
      <c r="L657" s="17">
        <f t="shared" si="22"/>
        <v>0</v>
      </c>
      <c r="M657" s="17">
        <f t="shared" si="23"/>
        <v>0</v>
      </c>
      <c r="N657" s="17">
        <f t="shared" si="24"/>
        <v>0</v>
      </c>
      <c r="O657" s="32"/>
    </row>
    <row r="658" spans="1:15" x14ac:dyDescent="0.2">
      <c r="A658" s="5">
        <v>2190</v>
      </c>
      <c r="B658" s="5">
        <v>1</v>
      </c>
      <c r="C658" s="6" t="s">
        <v>428</v>
      </c>
      <c r="D658" s="25">
        <f>'FY07 PU'!D308</f>
        <v>0</v>
      </c>
      <c r="E658" s="17">
        <v>275.43</v>
      </c>
      <c r="F658" s="32">
        <v>559.35</v>
      </c>
      <c r="G658" s="32">
        <v>504.8</v>
      </c>
      <c r="H658" s="17">
        <v>511.98</v>
      </c>
      <c r="I658" s="17">
        <v>485.41</v>
      </c>
      <c r="J658" s="17">
        <f t="shared" si="20"/>
        <v>0</v>
      </c>
      <c r="K658" s="17">
        <f t="shared" si="21"/>
        <v>0</v>
      </c>
      <c r="L658" s="17">
        <f t="shared" si="22"/>
        <v>0</v>
      </c>
      <c r="M658" s="17">
        <f t="shared" si="23"/>
        <v>0</v>
      </c>
      <c r="N658" s="17">
        <f t="shared" si="24"/>
        <v>0</v>
      </c>
      <c r="O658" s="32"/>
    </row>
    <row r="659" spans="1:15" x14ac:dyDescent="0.2">
      <c r="A659" s="5">
        <v>2198</v>
      </c>
      <c r="B659" s="5">
        <v>1</v>
      </c>
      <c r="C659" s="6" t="s">
        <v>429</v>
      </c>
      <c r="D659" s="25">
        <f>'FY07 PU'!D309</f>
        <v>0</v>
      </c>
      <c r="E659" s="17">
        <v>349.28</v>
      </c>
      <c r="F659" s="32">
        <v>333.14</v>
      </c>
      <c r="G659" s="32">
        <v>266.82</v>
      </c>
      <c r="H659" s="17">
        <v>234.45</v>
      </c>
      <c r="I659" s="17">
        <v>210.65</v>
      </c>
      <c r="J659" s="17">
        <f t="shared" si="20"/>
        <v>0</v>
      </c>
      <c r="K659" s="17">
        <f t="shared" si="21"/>
        <v>0</v>
      </c>
      <c r="L659" s="17">
        <f t="shared" si="22"/>
        <v>0</v>
      </c>
      <c r="M659" s="17">
        <f t="shared" si="23"/>
        <v>0</v>
      </c>
      <c r="N659" s="17">
        <f t="shared" si="24"/>
        <v>0</v>
      </c>
      <c r="O659" s="32"/>
    </row>
    <row r="660" spans="1:15" x14ac:dyDescent="0.2">
      <c r="A660" s="5">
        <v>2215</v>
      </c>
      <c r="B660" s="5">
        <v>1</v>
      </c>
      <c r="C660" s="6" t="s">
        <v>430</v>
      </c>
      <c r="D660" s="25">
        <f>'FY07 PU'!D310</f>
        <v>0</v>
      </c>
      <c r="E660" s="17">
        <v>466.28</v>
      </c>
      <c r="F660" s="32">
        <v>458.39</v>
      </c>
      <c r="G660" s="32">
        <v>1078.22</v>
      </c>
      <c r="H660" s="17">
        <v>1008.16</v>
      </c>
      <c r="I660" s="17">
        <v>963.41</v>
      </c>
      <c r="J660" s="17">
        <f t="shared" si="20"/>
        <v>0</v>
      </c>
      <c r="K660" s="17">
        <f t="shared" si="21"/>
        <v>0</v>
      </c>
      <c r="L660" s="17">
        <f t="shared" si="22"/>
        <v>0</v>
      </c>
      <c r="M660" s="17">
        <f t="shared" si="23"/>
        <v>0</v>
      </c>
      <c r="N660" s="17">
        <f t="shared" si="24"/>
        <v>0</v>
      </c>
      <c r="O660" s="32"/>
    </row>
    <row r="661" spans="1:15" x14ac:dyDescent="0.2">
      <c r="A661" s="5">
        <v>2310</v>
      </c>
      <c r="B661" s="5">
        <v>1</v>
      </c>
      <c r="C661" s="6" t="s">
        <v>431</v>
      </c>
      <c r="D661" s="25">
        <f>'FY07 PU'!D311</f>
        <v>0</v>
      </c>
      <c r="E661" s="17">
        <v>352.65</v>
      </c>
      <c r="F661" s="32">
        <v>290.61</v>
      </c>
      <c r="G661" s="32">
        <v>247.92</v>
      </c>
      <c r="H661" s="17">
        <v>225.54</v>
      </c>
      <c r="I661" s="17">
        <v>204.87</v>
      </c>
      <c r="J661" s="17">
        <f t="shared" si="20"/>
        <v>0</v>
      </c>
      <c r="K661" s="17">
        <f t="shared" si="21"/>
        <v>0</v>
      </c>
      <c r="L661" s="17">
        <f t="shared" si="22"/>
        <v>0</v>
      </c>
      <c r="M661" s="17">
        <f t="shared" si="23"/>
        <v>0</v>
      </c>
      <c r="N661" s="17">
        <f t="shared" si="24"/>
        <v>0</v>
      </c>
      <c r="O661" s="32"/>
    </row>
    <row r="662" spans="1:15" x14ac:dyDescent="0.2">
      <c r="A662" s="5">
        <v>2311</v>
      </c>
      <c r="B662" s="5">
        <v>1</v>
      </c>
      <c r="C662" s="6" t="s">
        <v>432</v>
      </c>
      <c r="D662" s="25">
        <f>'FY07 PU'!D312</f>
        <v>0</v>
      </c>
      <c r="E662" s="17">
        <v>172.01</v>
      </c>
      <c r="F662" s="32">
        <v>179.19</v>
      </c>
      <c r="G662" s="32">
        <v>241.67</v>
      </c>
      <c r="H662" s="17">
        <v>200.41</v>
      </c>
      <c r="I662" s="17">
        <v>179.12</v>
      </c>
      <c r="J662" s="17">
        <f t="shared" si="20"/>
        <v>0</v>
      </c>
      <c r="K662" s="17">
        <f t="shared" si="21"/>
        <v>0</v>
      </c>
      <c r="L662" s="17">
        <f t="shared" si="22"/>
        <v>0</v>
      </c>
      <c r="M662" s="17">
        <f t="shared" si="23"/>
        <v>0</v>
      </c>
      <c r="N662" s="17">
        <f t="shared" si="24"/>
        <v>0</v>
      </c>
      <c r="O662" s="32"/>
    </row>
    <row r="663" spans="1:15" x14ac:dyDescent="0.2">
      <c r="A663" s="5">
        <v>2342</v>
      </c>
      <c r="B663" s="5">
        <v>1</v>
      </c>
      <c r="C663" s="6" t="s">
        <v>433</v>
      </c>
      <c r="D663" s="25">
        <f>'FY07 PU'!D313</f>
        <v>0</v>
      </c>
      <c r="E663" s="17">
        <v>251</v>
      </c>
      <c r="F663" s="32">
        <v>438.08</v>
      </c>
      <c r="G663" s="32">
        <v>382.7</v>
      </c>
      <c r="H663" s="17">
        <v>316.47000000000003</v>
      </c>
      <c r="I663" s="17">
        <v>287.58</v>
      </c>
      <c r="J663" s="17">
        <f t="shared" si="20"/>
        <v>0</v>
      </c>
      <c r="K663" s="17">
        <f t="shared" si="21"/>
        <v>0</v>
      </c>
      <c r="L663" s="17">
        <f t="shared" si="22"/>
        <v>0</v>
      </c>
      <c r="M663" s="17">
        <f t="shared" si="23"/>
        <v>0</v>
      </c>
      <c r="N663" s="17">
        <f t="shared" si="24"/>
        <v>0</v>
      </c>
      <c r="O663" s="32"/>
    </row>
    <row r="664" spans="1:15" x14ac:dyDescent="0.2">
      <c r="A664" s="5">
        <v>2358</v>
      </c>
      <c r="B664" s="5">
        <v>1</v>
      </c>
      <c r="C664" s="6" t="s">
        <v>434</v>
      </c>
      <c r="D664" s="25">
        <f>'FY07 PU'!D314</f>
        <v>0</v>
      </c>
      <c r="E664" s="17">
        <v>527.19000000000005</v>
      </c>
      <c r="F664" s="32">
        <v>413.58</v>
      </c>
      <c r="G664" s="32">
        <v>407.08</v>
      </c>
      <c r="H664" s="17">
        <v>400.64</v>
      </c>
      <c r="I664" s="17">
        <v>387.58</v>
      </c>
      <c r="J664" s="17">
        <f t="shared" si="20"/>
        <v>0</v>
      </c>
      <c r="K664" s="17">
        <f t="shared" si="21"/>
        <v>0</v>
      </c>
      <c r="L664" s="17">
        <f t="shared" si="22"/>
        <v>0</v>
      </c>
      <c r="M664" s="17">
        <f t="shared" si="23"/>
        <v>0</v>
      </c>
      <c r="N664" s="17">
        <f t="shared" si="24"/>
        <v>0</v>
      </c>
      <c r="O664" s="32"/>
    </row>
    <row r="665" spans="1:15" x14ac:dyDescent="0.2">
      <c r="A665" s="5">
        <v>2364</v>
      </c>
      <c r="B665" s="5">
        <v>1</v>
      </c>
      <c r="C665" s="6" t="s">
        <v>435</v>
      </c>
      <c r="D665" s="25">
        <f>'FY07 PU'!D315</f>
        <v>0</v>
      </c>
      <c r="E665" s="17">
        <v>503.68</v>
      </c>
      <c r="F665" s="32">
        <v>483.85</v>
      </c>
      <c r="G665" s="32">
        <v>416.04</v>
      </c>
      <c r="H665" s="17">
        <v>363.42</v>
      </c>
      <c r="I665" s="17">
        <v>314.52999999999997</v>
      </c>
      <c r="J665" s="17">
        <f t="shared" si="20"/>
        <v>0</v>
      </c>
      <c r="K665" s="17">
        <f t="shared" si="21"/>
        <v>0</v>
      </c>
      <c r="L665" s="17">
        <f t="shared" si="22"/>
        <v>0</v>
      </c>
      <c r="M665" s="17">
        <f t="shared" si="23"/>
        <v>0</v>
      </c>
      <c r="N665" s="17">
        <f t="shared" si="24"/>
        <v>0</v>
      </c>
      <c r="O665" s="32"/>
    </row>
    <row r="666" spans="1:15" x14ac:dyDescent="0.2">
      <c r="A666" s="5">
        <v>2365</v>
      </c>
      <c r="B666" s="5">
        <v>1</v>
      </c>
      <c r="C666" s="6" t="s">
        <v>436</v>
      </c>
      <c r="D666" s="25">
        <f>'FY07 PU'!D316</f>
        <v>0</v>
      </c>
      <c r="E666" s="17">
        <v>185.07</v>
      </c>
      <c r="F666" s="32">
        <v>161.47999999999999</v>
      </c>
      <c r="G666" s="32">
        <v>132.55000000000001</v>
      </c>
      <c r="H666" s="17">
        <v>105.21</v>
      </c>
      <c r="I666" s="17">
        <v>84.4</v>
      </c>
      <c r="J666" s="17">
        <f t="shared" si="20"/>
        <v>0</v>
      </c>
      <c r="K666" s="17">
        <f t="shared" si="21"/>
        <v>0</v>
      </c>
      <c r="L666" s="17">
        <f t="shared" si="22"/>
        <v>0</v>
      </c>
      <c r="M666" s="17">
        <f t="shared" si="23"/>
        <v>0</v>
      </c>
      <c r="N666" s="17">
        <f t="shared" si="24"/>
        <v>0</v>
      </c>
      <c r="O666" s="32"/>
    </row>
    <row r="667" spans="1:15" x14ac:dyDescent="0.2">
      <c r="A667" s="5">
        <v>2396</v>
      </c>
      <c r="B667" s="5">
        <v>1</v>
      </c>
      <c r="C667" s="6" t="s">
        <v>437</v>
      </c>
      <c r="D667" s="25">
        <f>'FY07 PU'!D317</f>
        <v>0</v>
      </c>
      <c r="E667" s="17">
        <v>316.25</v>
      </c>
      <c r="F667" s="32">
        <v>301.06</v>
      </c>
      <c r="G667" s="32">
        <v>255.07</v>
      </c>
      <c r="H667" s="17">
        <v>252.46</v>
      </c>
      <c r="I667" s="17">
        <v>233.77</v>
      </c>
      <c r="J667" s="17">
        <f t="shared" si="20"/>
        <v>0</v>
      </c>
      <c r="K667" s="17">
        <f t="shared" si="21"/>
        <v>0</v>
      </c>
      <c r="L667" s="17">
        <f t="shared" si="22"/>
        <v>0</v>
      </c>
      <c r="M667" s="17">
        <f t="shared" si="23"/>
        <v>0</v>
      </c>
      <c r="N667" s="17">
        <f t="shared" si="24"/>
        <v>0</v>
      </c>
      <c r="O667" s="32"/>
    </row>
    <row r="668" spans="1:15" x14ac:dyDescent="0.2">
      <c r="A668" s="5">
        <v>2397</v>
      </c>
      <c r="B668" s="5">
        <v>1</v>
      </c>
      <c r="C668" s="6" t="s">
        <v>438</v>
      </c>
      <c r="D668" s="25">
        <f>'FY07 PU'!D318</f>
        <v>0</v>
      </c>
      <c r="E668" s="17">
        <v>138.80000000000001</v>
      </c>
      <c r="F668" s="32">
        <v>121.97</v>
      </c>
      <c r="G668" s="32">
        <v>102.67</v>
      </c>
      <c r="H668" s="17">
        <v>0</v>
      </c>
      <c r="I668" s="17">
        <v>0</v>
      </c>
      <c r="J668" s="17">
        <f t="shared" si="20"/>
        <v>0</v>
      </c>
      <c r="K668" s="17">
        <f t="shared" si="21"/>
        <v>0</v>
      </c>
      <c r="L668" s="17">
        <f t="shared" si="22"/>
        <v>0</v>
      </c>
      <c r="M668" s="17">
        <f t="shared" si="23"/>
        <v>0</v>
      </c>
      <c r="N668" s="17">
        <f t="shared" si="24"/>
        <v>0</v>
      </c>
      <c r="O668" s="32"/>
    </row>
    <row r="669" spans="1:15" x14ac:dyDescent="0.2">
      <c r="A669" s="5">
        <v>2448</v>
      </c>
      <c r="B669" s="5">
        <v>1</v>
      </c>
      <c r="C669" s="7" t="s">
        <v>439</v>
      </c>
      <c r="D669" s="25">
        <f>'FY07 PU'!D319</f>
        <v>0</v>
      </c>
      <c r="E669" s="17">
        <v>110.58</v>
      </c>
      <c r="F669" s="32">
        <v>114.66</v>
      </c>
      <c r="G669" s="32">
        <v>70.69</v>
      </c>
      <c r="H669" s="17">
        <v>52.25</v>
      </c>
      <c r="I669" s="17">
        <v>10.68</v>
      </c>
      <c r="J669" s="17">
        <f t="shared" si="20"/>
        <v>0</v>
      </c>
      <c r="K669" s="17">
        <f t="shared" si="21"/>
        <v>0</v>
      </c>
      <c r="L669" s="17">
        <f t="shared" si="22"/>
        <v>0</v>
      </c>
      <c r="M669" s="17">
        <f t="shared" si="23"/>
        <v>0</v>
      </c>
      <c r="N669" s="17">
        <f t="shared" si="24"/>
        <v>0</v>
      </c>
      <c r="O669" s="32"/>
    </row>
    <row r="670" spans="1:15" x14ac:dyDescent="0.2">
      <c r="A670" s="5">
        <v>2527</v>
      </c>
      <c r="B670" s="5">
        <v>1</v>
      </c>
      <c r="C670" s="6" t="s">
        <v>440</v>
      </c>
      <c r="D670" s="25">
        <f>'FY07 PU'!D320</f>
        <v>0</v>
      </c>
      <c r="E670" s="17">
        <v>856.02</v>
      </c>
      <c r="F670" s="32">
        <v>768.12</v>
      </c>
      <c r="G670" s="32">
        <v>653.80999999999995</v>
      </c>
      <c r="H670" s="17">
        <v>533.41</v>
      </c>
      <c r="I670" s="17">
        <v>493.5</v>
      </c>
      <c r="J670" s="17">
        <f t="shared" si="20"/>
        <v>0</v>
      </c>
      <c r="K670" s="17">
        <f t="shared" si="21"/>
        <v>0</v>
      </c>
      <c r="L670" s="17">
        <f t="shared" si="22"/>
        <v>0</v>
      </c>
      <c r="M670" s="17">
        <f t="shared" si="23"/>
        <v>0</v>
      </c>
      <c r="N670" s="17">
        <f t="shared" si="24"/>
        <v>0</v>
      </c>
      <c r="O670" s="32"/>
    </row>
    <row r="671" spans="1:15" x14ac:dyDescent="0.2">
      <c r="A671" s="5">
        <v>2534</v>
      </c>
      <c r="B671" s="5">
        <v>1</v>
      </c>
      <c r="C671" s="6" t="s">
        <v>441</v>
      </c>
      <c r="D671" s="25">
        <f>'FY07 PU'!D321</f>
        <v>0</v>
      </c>
      <c r="E671" s="17">
        <v>233.01</v>
      </c>
      <c r="F671" s="32">
        <v>344.35</v>
      </c>
      <c r="G671" s="32">
        <v>284.58999999999997</v>
      </c>
      <c r="H671" s="17">
        <v>268.95999999999998</v>
      </c>
      <c r="I671" s="17">
        <v>234.71</v>
      </c>
      <c r="J671" s="17">
        <f t="shared" si="20"/>
        <v>0</v>
      </c>
      <c r="K671" s="17">
        <f t="shared" si="21"/>
        <v>0</v>
      </c>
      <c r="L671" s="17">
        <f t="shared" si="22"/>
        <v>0</v>
      </c>
      <c r="M671" s="17">
        <f t="shared" si="23"/>
        <v>0</v>
      </c>
      <c r="N671" s="17">
        <f t="shared" si="24"/>
        <v>0</v>
      </c>
      <c r="O671" s="32"/>
    </row>
    <row r="672" spans="1:15" x14ac:dyDescent="0.2">
      <c r="A672" s="5">
        <v>2536</v>
      </c>
      <c r="B672" s="5">
        <v>1</v>
      </c>
      <c r="C672" s="6" t="s">
        <v>442</v>
      </c>
      <c r="D672" s="25">
        <f>'FY07 PU'!D322</f>
        <v>0</v>
      </c>
      <c r="E672" s="17">
        <v>22.97</v>
      </c>
      <c r="F672" s="32">
        <v>0</v>
      </c>
      <c r="G672" s="32">
        <v>18.62</v>
      </c>
      <c r="H672" s="17">
        <v>0</v>
      </c>
      <c r="I672" s="17">
        <v>0</v>
      </c>
      <c r="J672" s="17">
        <f t="shared" si="20"/>
        <v>0</v>
      </c>
      <c r="K672" s="17">
        <f t="shared" si="21"/>
        <v>0</v>
      </c>
      <c r="L672" s="17">
        <f t="shared" si="22"/>
        <v>0</v>
      </c>
      <c r="M672" s="17">
        <f t="shared" si="23"/>
        <v>0</v>
      </c>
      <c r="N672" s="17">
        <f t="shared" si="24"/>
        <v>0</v>
      </c>
      <c r="O672" s="32"/>
    </row>
    <row r="673" spans="1:15" x14ac:dyDescent="0.2">
      <c r="A673" s="5">
        <v>2580</v>
      </c>
      <c r="B673" s="5">
        <v>1</v>
      </c>
      <c r="C673" s="6" t="s">
        <v>443</v>
      </c>
      <c r="D673" s="25">
        <f>'FY07 PU'!D323</f>
        <v>0</v>
      </c>
      <c r="E673" s="17">
        <v>67.55</v>
      </c>
      <c r="F673" s="32">
        <v>58.25</v>
      </c>
      <c r="G673" s="32">
        <v>47.6</v>
      </c>
      <c r="H673" s="17">
        <v>39.99</v>
      </c>
      <c r="I673" s="17">
        <v>34.19</v>
      </c>
      <c r="J673" s="17">
        <f t="shared" si="20"/>
        <v>0</v>
      </c>
      <c r="K673" s="17">
        <f t="shared" si="21"/>
        <v>0</v>
      </c>
      <c r="L673" s="17">
        <f t="shared" si="22"/>
        <v>0</v>
      </c>
      <c r="M673" s="17">
        <f t="shared" si="23"/>
        <v>0</v>
      </c>
      <c r="N673" s="17">
        <f t="shared" si="24"/>
        <v>0</v>
      </c>
      <c r="O673" s="32"/>
    </row>
    <row r="674" spans="1:15" x14ac:dyDescent="0.2">
      <c r="A674" s="5">
        <v>2609</v>
      </c>
      <c r="B674" s="5">
        <v>1</v>
      </c>
      <c r="C674" s="6" t="s">
        <v>444</v>
      </c>
      <c r="D674" s="25">
        <f>'FY07 PU'!D324</f>
        <v>0</v>
      </c>
      <c r="E674" s="17">
        <v>0</v>
      </c>
      <c r="F674" s="32">
        <v>463.09</v>
      </c>
      <c r="G674" s="32">
        <v>388.41</v>
      </c>
      <c r="H674" s="17">
        <v>308.12</v>
      </c>
      <c r="I674" s="17">
        <v>276.42</v>
      </c>
      <c r="J674" s="17">
        <f t="shared" si="20"/>
        <v>0</v>
      </c>
      <c r="K674" s="17">
        <f t="shared" si="21"/>
        <v>0</v>
      </c>
      <c r="L674" s="17">
        <f t="shared" si="22"/>
        <v>0</v>
      </c>
      <c r="M674" s="17">
        <f t="shared" si="23"/>
        <v>0</v>
      </c>
      <c r="N674" s="17">
        <f t="shared" si="24"/>
        <v>0</v>
      </c>
      <c r="O674" s="32"/>
    </row>
    <row r="675" spans="1:15" x14ac:dyDescent="0.2">
      <c r="A675" s="5">
        <v>2683</v>
      </c>
      <c r="B675" s="5">
        <v>1</v>
      </c>
      <c r="C675" s="6" t="s">
        <v>445</v>
      </c>
      <c r="D675" s="25">
        <f>'FY07 PU'!D325</f>
        <v>0</v>
      </c>
      <c r="E675" s="17">
        <v>398.16</v>
      </c>
      <c r="F675" s="32">
        <v>388.04</v>
      </c>
      <c r="G675" s="32">
        <v>367.74</v>
      </c>
      <c r="H675" s="17">
        <v>375.98</v>
      </c>
      <c r="I675" s="17">
        <v>365.41</v>
      </c>
      <c r="J675" s="17">
        <f t="shared" si="20"/>
        <v>0</v>
      </c>
      <c r="K675" s="17">
        <f t="shared" si="21"/>
        <v>0</v>
      </c>
      <c r="L675" s="17">
        <f t="shared" si="22"/>
        <v>0</v>
      </c>
      <c r="M675" s="17">
        <f t="shared" si="23"/>
        <v>0</v>
      </c>
      <c r="N675" s="17">
        <f t="shared" si="24"/>
        <v>0</v>
      </c>
      <c r="O675" s="32"/>
    </row>
    <row r="676" spans="1:15" x14ac:dyDescent="0.2">
      <c r="A676" s="5">
        <v>2687</v>
      </c>
      <c r="B676" s="5">
        <v>1</v>
      </c>
      <c r="C676" s="6" t="s">
        <v>446</v>
      </c>
      <c r="D676" s="25">
        <f>'FY07 PU'!D326</f>
        <v>0</v>
      </c>
      <c r="E676" s="17">
        <v>197.68</v>
      </c>
      <c r="F676" s="32">
        <v>143.31</v>
      </c>
      <c r="G676" s="32">
        <v>51.52</v>
      </c>
      <c r="H676" s="17">
        <v>5.84</v>
      </c>
      <c r="I676" s="17">
        <v>0</v>
      </c>
      <c r="J676" s="17">
        <f t="shared" si="20"/>
        <v>0</v>
      </c>
      <c r="K676" s="17">
        <f t="shared" si="21"/>
        <v>0</v>
      </c>
      <c r="L676" s="17">
        <f t="shared" si="22"/>
        <v>0</v>
      </c>
      <c r="M676" s="17">
        <f t="shared" si="23"/>
        <v>0</v>
      </c>
      <c r="N676" s="17">
        <f t="shared" si="24"/>
        <v>0</v>
      </c>
      <c r="O676" s="32"/>
    </row>
    <row r="677" spans="1:15" x14ac:dyDescent="0.2">
      <c r="A677" s="5">
        <v>2689</v>
      </c>
      <c r="B677" s="5">
        <v>1</v>
      </c>
      <c r="C677" s="6" t="s">
        <v>447</v>
      </c>
      <c r="D677" s="25">
        <f>'FY07 PU'!D327</f>
        <v>0</v>
      </c>
      <c r="E677" s="17">
        <v>288.61</v>
      </c>
      <c r="F677" s="32">
        <v>279.52</v>
      </c>
      <c r="G677" s="32">
        <v>630.6</v>
      </c>
      <c r="H677" s="17">
        <v>621.5</v>
      </c>
      <c r="I677" s="17">
        <v>589.76</v>
      </c>
      <c r="J677" s="17">
        <f t="shared" si="20"/>
        <v>0</v>
      </c>
      <c r="K677" s="17">
        <f t="shared" si="21"/>
        <v>0</v>
      </c>
      <c r="L677" s="17">
        <f t="shared" si="22"/>
        <v>0</v>
      </c>
      <c r="M677" s="17">
        <f t="shared" si="23"/>
        <v>0</v>
      </c>
      <c r="N677" s="17">
        <f t="shared" si="24"/>
        <v>0</v>
      </c>
      <c r="O677" s="32"/>
    </row>
    <row r="678" spans="1:15" x14ac:dyDescent="0.2">
      <c r="A678" s="5">
        <v>2711</v>
      </c>
      <c r="B678" s="5">
        <v>1</v>
      </c>
      <c r="C678" s="6" t="s">
        <v>448</v>
      </c>
      <c r="D678" s="25">
        <f>'FY07 PU'!D328</f>
        <v>0</v>
      </c>
      <c r="E678" s="17">
        <v>67.53</v>
      </c>
      <c r="F678" s="32">
        <v>60.56</v>
      </c>
      <c r="G678" s="32">
        <v>0</v>
      </c>
      <c r="H678" s="17">
        <v>0</v>
      </c>
      <c r="I678" s="17">
        <v>0</v>
      </c>
      <c r="J678" s="17">
        <f t="shared" si="20"/>
        <v>0</v>
      </c>
      <c r="K678" s="17">
        <f t="shared" si="21"/>
        <v>0</v>
      </c>
      <c r="L678" s="17">
        <f t="shared" si="22"/>
        <v>0</v>
      </c>
      <c r="M678" s="17">
        <f t="shared" si="23"/>
        <v>0</v>
      </c>
      <c r="N678" s="17">
        <f t="shared" si="24"/>
        <v>0</v>
      </c>
      <c r="O678" s="32"/>
    </row>
    <row r="679" spans="1:15" x14ac:dyDescent="0.2">
      <c r="A679" s="5">
        <v>2752</v>
      </c>
      <c r="B679" s="5">
        <v>1</v>
      </c>
      <c r="C679" s="6" t="s">
        <v>449</v>
      </c>
      <c r="D679" s="25">
        <f>'FY07 PU'!D329</f>
        <v>0</v>
      </c>
      <c r="E679" s="17">
        <v>252.04</v>
      </c>
      <c r="F679" s="32">
        <v>234.77</v>
      </c>
      <c r="G679" s="32">
        <v>206.49</v>
      </c>
      <c r="H679" s="17">
        <v>188.44</v>
      </c>
      <c r="I679" s="17">
        <v>174.16</v>
      </c>
      <c r="J679" s="17">
        <f t="shared" si="20"/>
        <v>0</v>
      </c>
      <c r="K679" s="17">
        <f t="shared" si="21"/>
        <v>0</v>
      </c>
      <c r="L679" s="17">
        <f t="shared" si="22"/>
        <v>0</v>
      </c>
      <c r="M679" s="17">
        <f t="shared" si="23"/>
        <v>0</v>
      </c>
      <c r="N679" s="17">
        <f t="shared" si="24"/>
        <v>0</v>
      </c>
      <c r="O679" s="32"/>
    </row>
    <row r="680" spans="1:15" x14ac:dyDescent="0.2">
      <c r="A680" s="5">
        <v>2753</v>
      </c>
      <c r="B680" s="5">
        <v>1</v>
      </c>
      <c r="C680" s="6" t="s">
        <v>450</v>
      </c>
      <c r="D680" s="25">
        <f>'FY07 PU'!D330</f>
        <v>0</v>
      </c>
      <c r="E680" s="17">
        <v>246.34</v>
      </c>
      <c r="F680" s="32">
        <v>190.26</v>
      </c>
      <c r="G680" s="32">
        <v>245.62</v>
      </c>
      <c r="H680" s="17">
        <v>220.04</v>
      </c>
      <c r="I680" s="17">
        <v>187.05</v>
      </c>
      <c r="J680" s="17">
        <f t="shared" si="20"/>
        <v>0</v>
      </c>
      <c r="K680" s="17">
        <f t="shared" si="21"/>
        <v>0</v>
      </c>
      <c r="L680" s="17">
        <f t="shared" si="22"/>
        <v>0</v>
      </c>
      <c r="M680" s="17">
        <f t="shared" si="23"/>
        <v>0</v>
      </c>
      <c r="N680" s="17">
        <f t="shared" si="24"/>
        <v>0</v>
      </c>
      <c r="O680" s="32"/>
    </row>
    <row r="681" spans="1:15" x14ac:dyDescent="0.2">
      <c r="A681" s="5">
        <v>2754</v>
      </c>
      <c r="B681" s="5">
        <v>1</v>
      </c>
      <c r="C681" s="6" t="s">
        <v>451</v>
      </c>
      <c r="D681" s="25">
        <f>'FY07 PU'!D331</f>
        <v>0</v>
      </c>
      <c r="E681" s="17">
        <v>188.74</v>
      </c>
      <c r="F681" s="32">
        <v>194.91</v>
      </c>
      <c r="G681" s="32">
        <v>297.16000000000003</v>
      </c>
      <c r="H681" s="17">
        <v>289.3</v>
      </c>
      <c r="I681" s="17">
        <v>282.79000000000002</v>
      </c>
      <c r="J681" s="17">
        <f t="shared" si="20"/>
        <v>0</v>
      </c>
      <c r="K681" s="17">
        <f t="shared" si="21"/>
        <v>0</v>
      </c>
      <c r="L681" s="17">
        <f t="shared" si="22"/>
        <v>0</v>
      </c>
      <c r="M681" s="17">
        <f t="shared" si="23"/>
        <v>0</v>
      </c>
      <c r="N681" s="17">
        <f t="shared" si="24"/>
        <v>0</v>
      </c>
      <c r="O681" s="32"/>
    </row>
    <row r="682" spans="1:15" x14ac:dyDescent="0.2">
      <c r="A682" s="5">
        <v>2759</v>
      </c>
      <c r="B682" s="5">
        <v>1</v>
      </c>
      <c r="C682" s="6" t="s">
        <v>452</v>
      </c>
      <c r="D682" s="25">
        <f>'FY07 PU'!D332</f>
        <v>0</v>
      </c>
      <c r="E682" s="17">
        <v>517.87</v>
      </c>
      <c r="F682" s="32">
        <v>502.44</v>
      </c>
      <c r="G682" s="32">
        <v>467.02</v>
      </c>
      <c r="H682" s="17">
        <v>461.51</v>
      </c>
      <c r="I682" s="17">
        <v>442.38</v>
      </c>
      <c r="J682" s="17">
        <f t="shared" ref="J682:J700" si="25">$D682*E682</f>
        <v>0</v>
      </c>
      <c r="K682" s="17">
        <f t="shared" ref="K682:K700" si="26">$D682*F682</f>
        <v>0</v>
      </c>
      <c r="L682" s="17">
        <f t="shared" ref="L682:L700" si="27">$D682*G682</f>
        <v>0</v>
      </c>
      <c r="M682" s="17">
        <f t="shared" ref="M682:M700" si="28">$D682*H682</f>
        <v>0</v>
      </c>
      <c r="N682" s="17">
        <f t="shared" ref="N682:N700" si="29">$D682*I682</f>
        <v>0</v>
      </c>
      <c r="O682" s="32"/>
    </row>
    <row r="683" spans="1:15" x14ac:dyDescent="0.2">
      <c r="A683" s="5">
        <v>2805</v>
      </c>
      <c r="B683" s="5">
        <v>1</v>
      </c>
      <c r="C683" s="6" t="s">
        <v>453</v>
      </c>
      <c r="D683" s="25">
        <f>'FY07 PU'!D333</f>
        <v>0</v>
      </c>
      <c r="E683" s="17">
        <v>206.61</v>
      </c>
      <c r="F683" s="32">
        <v>187.84</v>
      </c>
      <c r="G683" s="32">
        <v>115.65</v>
      </c>
      <c r="H683" s="17">
        <v>83.4</v>
      </c>
      <c r="I683" s="17">
        <v>0</v>
      </c>
      <c r="J683" s="17">
        <f t="shared" si="25"/>
        <v>0</v>
      </c>
      <c r="K683" s="17">
        <f t="shared" si="26"/>
        <v>0</v>
      </c>
      <c r="L683" s="17">
        <f t="shared" si="27"/>
        <v>0</v>
      </c>
      <c r="M683" s="17">
        <f t="shared" si="28"/>
        <v>0</v>
      </c>
      <c r="N683" s="17">
        <f t="shared" si="29"/>
        <v>0</v>
      </c>
      <c r="O683" s="32"/>
    </row>
    <row r="684" spans="1:15" x14ac:dyDescent="0.2">
      <c r="A684" s="5">
        <v>2835</v>
      </c>
      <c r="B684" s="5">
        <v>1</v>
      </c>
      <c r="C684" s="6" t="s">
        <v>454</v>
      </c>
      <c r="D684" s="25">
        <f>'FY07 PU'!D334</f>
        <v>0</v>
      </c>
      <c r="E684" s="17">
        <v>114.74</v>
      </c>
      <c r="F684" s="32">
        <v>103.21</v>
      </c>
      <c r="G684" s="32">
        <v>63.98</v>
      </c>
      <c r="H684" s="17">
        <v>54.37</v>
      </c>
      <c r="I684" s="17">
        <v>47.05</v>
      </c>
      <c r="J684" s="17">
        <f t="shared" si="25"/>
        <v>0</v>
      </c>
      <c r="K684" s="17">
        <f t="shared" si="26"/>
        <v>0</v>
      </c>
      <c r="L684" s="17">
        <f t="shared" si="27"/>
        <v>0</v>
      </c>
      <c r="M684" s="17">
        <f t="shared" si="28"/>
        <v>0</v>
      </c>
      <c r="N684" s="17">
        <f t="shared" si="29"/>
        <v>0</v>
      </c>
      <c r="O684" s="32"/>
    </row>
    <row r="685" spans="1:15" x14ac:dyDescent="0.2">
      <c r="A685" s="5">
        <v>2853</v>
      </c>
      <c r="B685" s="5">
        <v>1</v>
      </c>
      <c r="C685" s="6" t="s">
        <v>455</v>
      </c>
      <c r="D685" s="25">
        <f>'FY07 PU'!D335</f>
        <v>0</v>
      </c>
      <c r="E685" s="17">
        <v>670.46</v>
      </c>
      <c r="F685" s="32">
        <v>661.19</v>
      </c>
      <c r="G685" s="32">
        <v>569.49</v>
      </c>
      <c r="H685" s="17">
        <v>506.41</v>
      </c>
      <c r="I685" s="17">
        <v>451.85</v>
      </c>
      <c r="J685" s="17">
        <f t="shared" si="25"/>
        <v>0</v>
      </c>
      <c r="K685" s="17">
        <f t="shared" si="26"/>
        <v>0</v>
      </c>
      <c r="L685" s="17">
        <f t="shared" si="27"/>
        <v>0</v>
      </c>
      <c r="M685" s="17">
        <f t="shared" si="28"/>
        <v>0</v>
      </c>
      <c r="N685" s="17">
        <f t="shared" si="29"/>
        <v>0</v>
      </c>
      <c r="O685" s="32"/>
    </row>
    <row r="686" spans="1:15" x14ac:dyDescent="0.2">
      <c r="A686" s="5">
        <v>2854</v>
      </c>
      <c r="B686" s="5">
        <v>1</v>
      </c>
      <c r="C686" s="6" t="s">
        <v>456</v>
      </c>
      <c r="D686" s="25">
        <f>'FY07 PU'!D336</f>
        <v>0</v>
      </c>
      <c r="E686" s="17">
        <v>569.30999999999995</v>
      </c>
      <c r="F686" s="32">
        <v>532.72</v>
      </c>
      <c r="G686" s="32">
        <v>570.91</v>
      </c>
      <c r="H686" s="17">
        <v>556.15</v>
      </c>
      <c r="I686" s="17">
        <v>539.48</v>
      </c>
      <c r="J686" s="17">
        <f t="shared" si="25"/>
        <v>0</v>
      </c>
      <c r="K686" s="17">
        <f t="shared" si="26"/>
        <v>0</v>
      </c>
      <c r="L686" s="17">
        <f t="shared" si="27"/>
        <v>0</v>
      </c>
      <c r="M686" s="17">
        <f t="shared" si="28"/>
        <v>0</v>
      </c>
      <c r="N686" s="17">
        <f t="shared" si="29"/>
        <v>0</v>
      </c>
      <c r="O686" s="32"/>
    </row>
    <row r="687" spans="1:15" x14ac:dyDescent="0.2">
      <c r="A687" s="5">
        <v>2856</v>
      </c>
      <c r="B687" s="5">
        <v>1</v>
      </c>
      <c r="C687" s="6" t="s">
        <v>457</v>
      </c>
      <c r="D687" s="25">
        <f>'FY07 PU'!D337</f>
        <v>0</v>
      </c>
      <c r="E687" s="17">
        <v>340.13</v>
      </c>
      <c r="F687" s="32">
        <v>352.65</v>
      </c>
      <c r="G687" s="32">
        <v>203.9</v>
      </c>
      <c r="H687" s="17">
        <v>173.19</v>
      </c>
      <c r="I687" s="17">
        <v>169.89</v>
      </c>
      <c r="J687" s="17">
        <f t="shared" si="25"/>
        <v>0</v>
      </c>
      <c r="K687" s="17">
        <f t="shared" si="26"/>
        <v>0</v>
      </c>
      <c r="L687" s="17">
        <f t="shared" si="27"/>
        <v>0</v>
      </c>
      <c r="M687" s="17">
        <f t="shared" si="28"/>
        <v>0</v>
      </c>
      <c r="N687" s="17">
        <f t="shared" si="29"/>
        <v>0</v>
      </c>
      <c r="O687" s="32"/>
    </row>
    <row r="688" spans="1:15" x14ac:dyDescent="0.2">
      <c r="A688" s="5">
        <v>2859</v>
      </c>
      <c r="B688" s="5">
        <v>1</v>
      </c>
      <c r="C688" s="6" t="s">
        <v>458</v>
      </c>
      <c r="D688" s="25">
        <f>'FY07 PU'!D338</f>
        <v>0</v>
      </c>
      <c r="E688" s="17">
        <v>265.72000000000003</v>
      </c>
      <c r="F688" s="32">
        <v>256.94</v>
      </c>
      <c r="G688" s="32">
        <v>215.28</v>
      </c>
      <c r="H688" s="17">
        <v>199.53</v>
      </c>
      <c r="I688" s="17">
        <v>180.95</v>
      </c>
      <c r="J688" s="17">
        <f t="shared" si="25"/>
        <v>0</v>
      </c>
      <c r="K688" s="17">
        <f t="shared" si="26"/>
        <v>0</v>
      </c>
      <c r="L688" s="17">
        <f t="shared" si="27"/>
        <v>0</v>
      </c>
      <c r="M688" s="17">
        <f t="shared" si="28"/>
        <v>0</v>
      </c>
      <c r="N688" s="17">
        <f t="shared" si="29"/>
        <v>0</v>
      </c>
      <c r="O688" s="32"/>
    </row>
    <row r="689" spans="1:15" x14ac:dyDescent="0.2">
      <c r="A689" s="5">
        <v>2860</v>
      </c>
      <c r="B689" s="5">
        <v>1</v>
      </c>
      <c r="C689" s="6" t="s">
        <v>459</v>
      </c>
      <c r="D689" s="25">
        <f>'FY07 PU'!D339</f>
        <v>0</v>
      </c>
      <c r="E689" s="17">
        <v>366.31</v>
      </c>
      <c r="F689" s="32">
        <v>356.35</v>
      </c>
      <c r="G689" s="32">
        <v>325.2</v>
      </c>
      <c r="H689" s="17">
        <v>312.43</v>
      </c>
      <c r="I689" s="17">
        <v>0</v>
      </c>
      <c r="J689" s="17">
        <f t="shared" si="25"/>
        <v>0</v>
      </c>
      <c r="K689" s="17">
        <f t="shared" si="26"/>
        <v>0</v>
      </c>
      <c r="L689" s="17">
        <f t="shared" si="27"/>
        <v>0</v>
      </c>
      <c r="M689" s="17">
        <f t="shared" si="28"/>
        <v>0</v>
      </c>
      <c r="N689" s="17">
        <f t="shared" si="29"/>
        <v>0</v>
      </c>
      <c r="O689" s="32"/>
    </row>
    <row r="690" spans="1:15" x14ac:dyDescent="0.2">
      <c r="A690" s="5">
        <v>2884</v>
      </c>
      <c r="B690" s="5">
        <v>1</v>
      </c>
      <c r="C690" s="6" t="s">
        <v>460</v>
      </c>
      <c r="D690" s="25">
        <f>'FY07 PU'!D340</f>
        <v>0</v>
      </c>
      <c r="E690" s="17">
        <v>638.63</v>
      </c>
      <c r="F690" s="32">
        <v>587.75</v>
      </c>
      <c r="G690" s="32">
        <v>516.69000000000005</v>
      </c>
      <c r="H690" s="17">
        <v>470.84</v>
      </c>
      <c r="I690" s="17">
        <v>433.75</v>
      </c>
      <c r="J690" s="17">
        <f t="shared" si="25"/>
        <v>0</v>
      </c>
      <c r="K690" s="17">
        <f t="shared" si="26"/>
        <v>0</v>
      </c>
      <c r="L690" s="17">
        <f t="shared" si="27"/>
        <v>0</v>
      </c>
      <c r="M690" s="17">
        <f t="shared" si="28"/>
        <v>0</v>
      </c>
      <c r="N690" s="17">
        <f t="shared" si="29"/>
        <v>0</v>
      </c>
      <c r="O690" s="32"/>
    </row>
    <row r="691" spans="1:15" x14ac:dyDescent="0.2">
      <c r="A691" s="5">
        <v>2886</v>
      </c>
      <c r="B691" s="5">
        <v>1</v>
      </c>
      <c r="C691" s="6" t="s">
        <v>461</v>
      </c>
      <c r="D691" s="25">
        <f>'FY07 PU'!D341</f>
        <v>0</v>
      </c>
      <c r="E691" s="17">
        <v>109.56</v>
      </c>
      <c r="F691" s="32">
        <v>80.41</v>
      </c>
      <c r="G691" s="32">
        <v>23.35</v>
      </c>
      <c r="H691" s="17">
        <v>0</v>
      </c>
      <c r="I691" s="17">
        <v>0</v>
      </c>
      <c r="J691" s="17">
        <f t="shared" si="25"/>
        <v>0</v>
      </c>
      <c r="K691" s="17">
        <f t="shared" si="26"/>
        <v>0</v>
      </c>
      <c r="L691" s="17">
        <f t="shared" si="27"/>
        <v>0</v>
      </c>
      <c r="M691" s="17">
        <f t="shared" si="28"/>
        <v>0</v>
      </c>
      <c r="N691" s="17">
        <f t="shared" si="29"/>
        <v>0</v>
      </c>
      <c r="O691" s="32"/>
    </row>
    <row r="692" spans="1:15" x14ac:dyDescent="0.2">
      <c r="A692" s="5">
        <v>2887</v>
      </c>
      <c r="B692" s="5">
        <v>1</v>
      </c>
      <c r="C692" s="6" t="s">
        <v>462</v>
      </c>
      <c r="D692" s="25">
        <f>'FY07 PU'!D342</f>
        <v>0</v>
      </c>
      <c r="E692" s="17">
        <v>360.15</v>
      </c>
      <c r="F692" s="32">
        <v>357.79</v>
      </c>
      <c r="G692" s="32">
        <v>289.06</v>
      </c>
      <c r="H692" s="17">
        <v>243.86</v>
      </c>
      <c r="I692" s="17">
        <v>188.21</v>
      </c>
      <c r="J692" s="17">
        <f t="shared" si="25"/>
        <v>0</v>
      </c>
      <c r="K692" s="17">
        <f t="shared" si="26"/>
        <v>0</v>
      </c>
      <c r="L692" s="17">
        <f t="shared" si="27"/>
        <v>0</v>
      </c>
      <c r="M692" s="17">
        <f t="shared" si="28"/>
        <v>0</v>
      </c>
      <c r="N692" s="17">
        <f t="shared" si="29"/>
        <v>0</v>
      </c>
      <c r="O692" s="32"/>
    </row>
    <row r="693" spans="1:15" x14ac:dyDescent="0.2">
      <c r="A693" s="5">
        <v>2888</v>
      </c>
      <c r="B693" s="5">
        <v>1</v>
      </c>
      <c r="C693" s="6" t="s">
        <v>463</v>
      </c>
      <c r="D693" s="25">
        <f>'FY07 PU'!D343</f>
        <v>0</v>
      </c>
      <c r="E693" s="17">
        <v>100.8</v>
      </c>
      <c r="F693" s="32">
        <v>750.78</v>
      </c>
      <c r="G693" s="32">
        <v>695.28</v>
      </c>
      <c r="H693" s="17">
        <v>664.56</v>
      </c>
      <c r="I693" s="17">
        <v>624.94000000000005</v>
      </c>
      <c r="J693" s="17">
        <f t="shared" si="25"/>
        <v>0</v>
      </c>
      <c r="K693" s="17">
        <f t="shared" si="26"/>
        <v>0</v>
      </c>
      <c r="L693" s="17">
        <f t="shared" si="27"/>
        <v>0</v>
      </c>
      <c r="M693" s="17">
        <f t="shared" si="28"/>
        <v>0</v>
      </c>
      <c r="N693" s="17">
        <f t="shared" si="29"/>
        <v>0</v>
      </c>
      <c r="O693" s="32"/>
    </row>
    <row r="694" spans="1:15" x14ac:dyDescent="0.2">
      <c r="A694" s="5">
        <v>2889</v>
      </c>
      <c r="B694" s="5">
        <v>1</v>
      </c>
      <c r="C694" s="6" t="s">
        <v>464</v>
      </c>
      <c r="D694" s="25">
        <f>'FY07 PU'!D344</f>
        <v>0</v>
      </c>
      <c r="E694" s="17">
        <v>188.55</v>
      </c>
      <c r="F694" s="32">
        <v>62.46</v>
      </c>
      <c r="G694" s="32">
        <v>0</v>
      </c>
      <c r="H694" s="17">
        <v>0</v>
      </c>
      <c r="I694" s="17">
        <v>0</v>
      </c>
      <c r="J694" s="17">
        <f t="shared" si="25"/>
        <v>0</v>
      </c>
      <c r="K694" s="17">
        <f t="shared" si="26"/>
        <v>0</v>
      </c>
      <c r="L694" s="17">
        <f t="shared" si="27"/>
        <v>0</v>
      </c>
      <c r="M694" s="17">
        <f t="shared" si="28"/>
        <v>0</v>
      </c>
      <c r="N694" s="17">
        <f t="shared" si="29"/>
        <v>0</v>
      </c>
      <c r="O694" s="32"/>
    </row>
    <row r="695" spans="1:15" x14ac:dyDescent="0.2">
      <c r="A695" s="5">
        <v>2890</v>
      </c>
      <c r="B695" s="5">
        <v>1</v>
      </c>
      <c r="C695" s="6" t="s">
        <v>465</v>
      </c>
      <c r="D695" s="25">
        <f>'FY07 PU'!D345</f>
        <v>0</v>
      </c>
      <c r="E695" s="17">
        <v>205.54</v>
      </c>
      <c r="F695" s="32">
        <v>337.26</v>
      </c>
      <c r="G695" s="32">
        <v>188.17</v>
      </c>
      <c r="H695" s="17">
        <v>126.41</v>
      </c>
      <c r="I695" s="17">
        <v>49.96</v>
      </c>
      <c r="J695" s="17">
        <f t="shared" si="25"/>
        <v>0</v>
      </c>
      <c r="K695" s="17">
        <f t="shared" si="26"/>
        <v>0</v>
      </c>
      <c r="L695" s="17">
        <f t="shared" si="27"/>
        <v>0</v>
      </c>
      <c r="M695" s="17">
        <f t="shared" si="28"/>
        <v>0</v>
      </c>
      <c r="N695" s="17">
        <f t="shared" si="29"/>
        <v>0</v>
      </c>
      <c r="O695" s="32"/>
    </row>
    <row r="696" spans="1:15" x14ac:dyDescent="0.2">
      <c r="A696" s="5">
        <v>2895</v>
      </c>
      <c r="B696" s="5">
        <v>1</v>
      </c>
      <c r="C696" s="6" t="s">
        <v>466</v>
      </c>
      <c r="D696" s="25">
        <f>'FY07 PU'!D346</f>
        <v>0</v>
      </c>
      <c r="E696" s="17">
        <v>31.77</v>
      </c>
      <c r="F696" s="32">
        <v>29.66</v>
      </c>
      <c r="G696" s="32">
        <v>442.02</v>
      </c>
      <c r="H696" s="17">
        <v>401.98</v>
      </c>
      <c r="I696" s="17">
        <v>362.81</v>
      </c>
      <c r="J696" s="17">
        <f t="shared" si="25"/>
        <v>0</v>
      </c>
      <c r="K696" s="17">
        <f t="shared" si="26"/>
        <v>0</v>
      </c>
      <c r="L696" s="17">
        <f t="shared" si="27"/>
        <v>0</v>
      </c>
      <c r="M696" s="17">
        <f t="shared" si="28"/>
        <v>0</v>
      </c>
      <c r="N696" s="17">
        <f t="shared" si="29"/>
        <v>0</v>
      </c>
      <c r="O696" s="32"/>
    </row>
    <row r="697" spans="1:15" x14ac:dyDescent="0.2">
      <c r="A697" s="5">
        <v>2897</v>
      </c>
      <c r="B697" s="5">
        <v>1</v>
      </c>
      <c r="C697" s="6" t="s">
        <v>467</v>
      </c>
      <c r="D697" s="25">
        <f>'FY07 PU'!D347</f>
        <v>0</v>
      </c>
      <c r="E697" s="17">
        <v>314.94</v>
      </c>
      <c r="F697" s="32">
        <v>299.22000000000003</v>
      </c>
      <c r="G697" s="32">
        <v>280.04000000000002</v>
      </c>
      <c r="H697" s="17">
        <v>274.7</v>
      </c>
      <c r="I697" s="17">
        <v>262.66000000000003</v>
      </c>
      <c r="J697" s="17">
        <f t="shared" si="25"/>
        <v>0</v>
      </c>
      <c r="K697" s="17">
        <f t="shared" si="26"/>
        <v>0</v>
      </c>
      <c r="L697" s="17">
        <f t="shared" si="27"/>
        <v>0</v>
      </c>
      <c r="M697" s="17">
        <f t="shared" si="28"/>
        <v>0</v>
      </c>
      <c r="N697" s="17">
        <f t="shared" si="29"/>
        <v>0</v>
      </c>
      <c r="O697" s="32"/>
    </row>
    <row r="698" spans="1:15" x14ac:dyDescent="0.2">
      <c r="A698" s="5">
        <v>2898</v>
      </c>
      <c r="B698" s="5">
        <v>1</v>
      </c>
      <c r="C698" s="6" t="s">
        <v>468</v>
      </c>
      <c r="D698" s="25">
        <f>'FY07 PU'!D348</f>
        <v>0</v>
      </c>
      <c r="E698" s="17">
        <v>196.68</v>
      </c>
      <c r="F698" s="32">
        <v>179.32</v>
      </c>
      <c r="G698" s="32">
        <v>157.46</v>
      </c>
      <c r="H698" s="17">
        <v>131.38999999999999</v>
      </c>
      <c r="I698" s="17">
        <v>102.92</v>
      </c>
      <c r="J698" s="17">
        <f t="shared" si="25"/>
        <v>0</v>
      </c>
      <c r="K698" s="17">
        <f t="shared" si="26"/>
        <v>0</v>
      </c>
      <c r="L698" s="17">
        <f t="shared" si="27"/>
        <v>0</v>
      </c>
      <c r="M698" s="17">
        <f t="shared" si="28"/>
        <v>0</v>
      </c>
      <c r="N698" s="17">
        <f t="shared" si="29"/>
        <v>0</v>
      </c>
      <c r="O698" s="32"/>
    </row>
    <row r="699" spans="1:15" x14ac:dyDescent="0.2">
      <c r="A699" s="5">
        <v>2899</v>
      </c>
      <c r="B699" s="5">
        <v>1</v>
      </c>
      <c r="C699" s="6" t="s">
        <v>469</v>
      </c>
      <c r="D699" s="25">
        <f>'FY07 PU'!D349</f>
        <v>0</v>
      </c>
      <c r="E699" s="17">
        <v>169.14</v>
      </c>
      <c r="F699" s="32">
        <v>149.87</v>
      </c>
      <c r="G699" s="32">
        <v>132.6</v>
      </c>
      <c r="H699" s="17">
        <v>116.75</v>
      </c>
      <c r="I699" s="17">
        <v>101.57</v>
      </c>
      <c r="J699" s="17">
        <f t="shared" si="25"/>
        <v>0</v>
      </c>
      <c r="K699" s="17">
        <f t="shared" si="26"/>
        <v>0</v>
      </c>
      <c r="L699" s="17">
        <f t="shared" si="27"/>
        <v>0</v>
      </c>
      <c r="M699" s="17">
        <f t="shared" si="28"/>
        <v>0</v>
      </c>
      <c r="N699" s="17">
        <f t="shared" si="29"/>
        <v>0</v>
      </c>
      <c r="O699" s="32"/>
    </row>
    <row r="700" spans="1:15" x14ac:dyDescent="0.2">
      <c r="A700" s="5">
        <v>2902</v>
      </c>
      <c r="B700" s="5">
        <v>1</v>
      </c>
      <c r="C700" s="6" t="s">
        <v>470</v>
      </c>
      <c r="D700" s="25">
        <f>'FY07 PU'!D350</f>
        <v>0</v>
      </c>
      <c r="E700" s="17">
        <v>434.73</v>
      </c>
      <c r="F700" s="32">
        <v>435.52</v>
      </c>
      <c r="G700" s="32">
        <v>404.09</v>
      </c>
      <c r="H700" s="17">
        <v>380.59</v>
      </c>
      <c r="I700" s="17">
        <v>349.74</v>
      </c>
      <c r="J700" s="17">
        <f t="shared" si="25"/>
        <v>0</v>
      </c>
      <c r="K700" s="17">
        <f t="shared" si="26"/>
        <v>0</v>
      </c>
      <c r="L700" s="17">
        <f t="shared" si="27"/>
        <v>0</v>
      </c>
      <c r="M700" s="17">
        <f t="shared" si="28"/>
        <v>0</v>
      </c>
      <c r="N700" s="17">
        <f t="shared" si="29"/>
        <v>0</v>
      </c>
      <c r="O700" s="32"/>
    </row>
    <row r="701" spans="1:15" x14ac:dyDescent="0.2"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</row>
    <row r="702" spans="1:15" x14ac:dyDescent="0.2"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</row>
    <row r="703" spans="1:15" x14ac:dyDescent="0.2"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</row>
    <row r="704" spans="1:15" x14ac:dyDescent="0.2"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</row>
    <row r="705" spans="1:15" x14ac:dyDescent="0.2">
      <c r="A705" s="5"/>
      <c r="B705" s="5"/>
      <c r="C705" s="6"/>
      <c r="D705" s="25"/>
      <c r="E705" s="26"/>
      <c r="F705" s="26"/>
      <c r="G705" s="26"/>
      <c r="H705" s="26"/>
      <c r="I705" s="26"/>
      <c r="J705" s="17"/>
      <c r="K705" s="17"/>
      <c r="L705" s="17"/>
      <c r="M705" s="17"/>
      <c r="N705" s="17"/>
      <c r="O705" s="17"/>
    </row>
    <row r="706" spans="1:15" x14ac:dyDescent="0.2">
      <c r="A706" s="5"/>
      <c r="B706" s="5"/>
      <c r="C706" s="6"/>
      <c r="D706" s="25"/>
      <c r="E706" s="26"/>
      <c r="F706" s="26"/>
      <c r="G706" s="26"/>
      <c r="H706" s="26"/>
      <c r="I706" s="26"/>
      <c r="J706" s="17"/>
      <c r="K706" s="17"/>
      <c r="L706" s="17"/>
      <c r="M706" s="17"/>
      <c r="N706" s="17"/>
      <c r="O706" s="17"/>
    </row>
    <row r="707" spans="1:15" x14ac:dyDescent="0.2">
      <c r="A707" s="5"/>
      <c r="B707" s="5"/>
      <c r="C707" s="6"/>
      <c r="D707" s="25"/>
      <c r="E707" s="26"/>
      <c r="F707" s="26"/>
      <c r="G707" s="26"/>
      <c r="H707" s="26"/>
      <c r="I707" s="26"/>
      <c r="J707" s="17"/>
      <c r="K707" s="17"/>
      <c r="L707" s="17"/>
      <c r="M707" s="17"/>
      <c r="N707" s="17"/>
      <c r="O707" s="17"/>
    </row>
    <row r="708" spans="1:15" x14ac:dyDescent="0.2">
      <c r="A708" s="5"/>
      <c r="B708" s="5"/>
      <c r="C708" s="6"/>
      <c r="D708" s="25"/>
      <c r="E708" s="26"/>
      <c r="F708" s="26"/>
      <c r="G708" s="26"/>
      <c r="H708" s="26"/>
      <c r="I708" s="26"/>
      <c r="J708" s="17"/>
      <c r="K708" s="17"/>
      <c r="L708" s="17"/>
      <c r="M708" s="17"/>
      <c r="N708" s="17"/>
      <c r="O708" s="17"/>
    </row>
    <row r="709" spans="1:15" x14ac:dyDescent="0.2">
      <c r="A709" s="5"/>
      <c r="B709" s="5"/>
      <c r="C709" s="6"/>
      <c r="D709" s="25"/>
      <c r="E709" s="26"/>
      <c r="F709" s="26"/>
      <c r="G709" s="26"/>
      <c r="H709" s="26"/>
      <c r="I709" s="26"/>
      <c r="J709" s="17"/>
      <c r="K709" s="17"/>
      <c r="L709" s="17"/>
      <c r="M709" s="17"/>
      <c r="N709" s="17"/>
      <c r="O709" s="17"/>
    </row>
    <row r="710" spans="1:15" x14ac:dyDescent="0.2">
      <c r="A710" s="5"/>
      <c r="B710" s="5"/>
      <c r="C710" s="6"/>
      <c r="D710" s="25"/>
      <c r="E710" s="26"/>
      <c r="F710" s="26"/>
      <c r="G710" s="26"/>
      <c r="H710" s="26"/>
      <c r="I710" s="26"/>
      <c r="J710" s="17"/>
      <c r="K710" s="17"/>
      <c r="L710" s="17"/>
      <c r="M710" s="17"/>
      <c r="N710" s="17"/>
      <c r="O710" s="17"/>
    </row>
    <row r="711" spans="1:15" x14ac:dyDescent="0.2">
      <c r="A711" s="5"/>
      <c r="B711" s="5"/>
      <c r="C711" s="6"/>
      <c r="D711" s="25"/>
      <c r="E711" s="26"/>
      <c r="F711" s="26"/>
      <c r="G711" s="26"/>
      <c r="H711" s="26"/>
      <c r="I711" s="26"/>
      <c r="J711" s="17"/>
      <c r="K711" s="17"/>
      <c r="L711" s="17"/>
      <c r="M711" s="17"/>
      <c r="N711" s="17"/>
      <c r="O711" s="17"/>
    </row>
    <row r="712" spans="1:15" x14ac:dyDescent="0.2">
      <c r="A712" s="5"/>
      <c r="B712" s="5"/>
      <c r="C712" s="6"/>
      <c r="D712" s="25"/>
      <c r="E712" s="26"/>
      <c r="F712" s="26"/>
      <c r="G712" s="26"/>
      <c r="H712" s="26"/>
      <c r="I712" s="26"/>
      <c r="J712" s="17"/>
      <c r="K712" s="17"/>
      <c r="L712" s="17"/>
      <c r="M712" s="17"/>
      <c r="N712" s="17"/>
      <c r="O712" s="17"/>
    </row>
    <row r="713" spans="1:15" x14ac:dyDescent="0.2">
      <c r="A713" s="5"/>
      <c r="B713" s="5"/>
      <c r="C713" s="6"/>
      <c r="D713" s="25"/>
      <c r="E713" s="26"/>
      <c r="F713" s="26"/>
      <c r="G713" s="26"/>
      <c r="H713" s="26"/>
      <c r="I713" s="26"/>
      <c r="J713" s="17"/>
      <c r="K713" s="17"/>
      <c r="L713" s="17"/>
      <c r="M713" s="17"/>
      <c r="N713" s="17"/>
      <c r="O713" s="17"/>
    </row>
    <row r="714" spans="1:15" x14ac:dyDescent="0.2">
      <c r="A714" s="5"/>
      <c r="B714" s="5"/>
      <c r="C714" s="6"/>
      <c r="D714" s="25"/>
      <c r="E714" s="26"/>
      <c r="F714" s="26"/>
      <c r="G714" s="26"/>
      <c r="H714" s="26"/>
      <c r="I714" s="26"/>
      <c r="J714" s="17"/>
      <c r="K714" s="17"/>
      <c r="L714" s="17"/>
      <c r="M714" s="17"/>
      <c r="N714" s="17"/>
      <c r="O714" s="17"/>
    </row>
    <row r="715" spans="1:15" x14ac:dyDescent="0.2">
      <c r="A715" s="5"/>
      <c r="B715" s="5"/>
      <c r="C715" s="6"/>
      <c r="D715" s="25"/>
      <c r="E715" s="26"/>
      <c r="F715" s="26"/>
      <c r="G715" s="26"/>
      <c r="H715" s="26"/>
      <c r="I715" s="26"/>
      <c r="J715" s="17"/>
      <c r="K715" s="17"/>
      <c r="L715" s="17"/>
      <c r="M715" s="17"/>
      <c r="N715" s="17"/>
      <c r="O715" s="17"/>
    </row>
    <row r="716" spans="1:15" x14ac:dyDescent="0.2">
      <c r="A716" s="5"/>
      <c r="B716" s="5"/>
      <c r="C716" s="6"/>
      <c r="D716" s="25"/>
      <c r="E716" s="26"/>
      <c r="F716" s="26"/>
      <c r="G716" s="26"/>
      <c r="H716" s="26"/>
      <c r="I716" s="26"/>
      <c r="J716" s="17"/>
      <c r="K716" s="17"/>
      <c r="L716" s="17"/>
      <c r="M716" s="17"/>
      <c r="N716" s="17"/>
      <c r="O716" s="17"/>
    </row>
    <row r="717" spans="1:15" x14ac:dyDescent="0.2">
      <c r="A717" s="5"/>
      <c r="B717" s="5"/>
      <c r="C717" s="6"/>
      <c r="D717" s="25"/>
      <c r="E717" s="26"/>
      <c r="F717" s="26"/>
      <c r="G717" s="26"/>
      <c r="H717" s="26"/>
      <c r="I717" s="26"/>
      <c r="J717" s="17"/>
      <c r="K717" s="17"/>
      <c r="L717" s="17"/>
      <c r="M717" s="17"/>
      <c r="N717" s="17"/>
      <c r="O717" s="17"/>
    </row>
    <row r="718" spans="1:15" x14ac:dyDescent="0.2">
      <c r="A718" s="5"/>
      <c r="B718" s="5"/>
      <c r="C718" s="6"/>
      <c r="D718" s="25"/>
      <c r="E718" s="26"/>
      <c r="F718" s="26"/>
      <c r="G718" s="26"/>
      <c r="H718" s="26"/>
      <c r="I718" s="26"/>
      <c r="J718" s="17"/>
      <c r="K718" s="17"/>
      <c r="L718" s="17"/>
      <c r="M718" s="17"/>
      <c r="N718" s="17"/>
      <c r="O718" s="17"/>
    </row>
    <row r="719" spans="1:15" x14ac:dyDescent="0.2">
      <c r="A719" s="5"/>
      <c r="B719" s="5"/>
      <c r="C719" s="6"/>
      <c r="D719" s="25"/>
      <c r="E719" s="26"/>
      <c r="F719" s="26"/>
      <c r="G719" s="26"/>
      <c r="H719" s="26"/>
      <c r="I719" s="26"/>
      <c r="J719" s="17"/>
      <c r="K719" s="17"/>
      <c r="L719" s="17"/>
      <c r="M719" s="17"/>
      <c r="N719" s="17"/>
      <c r="O719" s="17"/>
    </row>
    <row r="720" spans="1:15" x14ac:dyDescent="0.2">
      <c r="A720" s="5"/>
      <c r="B720" s="5"/>
      <c r="C720" s="6"/>
      <c r="D720" s="25"/>
      <c r="E720" s="26"/>
      <c r="F720" s="26"/>
      <c r="G720" s="26"/>
      <c r="H720" s="26"/>
      <c r="I720" s="26"/>
      <c r="J720" s="17"/>
      <c r="K720" s="17"/>
      <c r="L720" s="17"/>
      <c r="M720" s="17"/>
      <c r="N720" s="17"/>
      <c r="O720" s="17"/>
    </row>
    <row r="721" spans="1:15" x14ac:dyDescent="0.2">
      <c r="A721" s="5"/>
      <c r="B721" s="5"/>
      <c r="C721" s="6"/>
      <c r="D721" s="25"/>
      <c r="E721" s="26"/>
      <c r="F721" s="26"/>
      <c r="G721" s="26"/>
      <c r="H721" s="26"/>
      <c r="I721" s="26"/>
      <c r="J721" s="17"/>
      <c r="K721" s="17"/>
      <c r="L721" s="17"/>
      <c r="M721" s="17"/>
      <c r="N721" s="17"/>
      <c r="O721" s="17"/>
    </row>
    <row r="722" spans="1:15" x14ac:dyDescent="0.2">
      <c r="A722" s="5"/>
      <c r="B722" s="5"/>
      <c r="C722" s="6"/>
      <c r="D722" s="25"/>
      <c r="E722" s="26"/>
      <c r="F722" s="26"/>
      <c r="G722" s="26"/>
      <c r="H722" s="26"/>
      <c r="I722" s="26"/>
      <c r="J722" s="17"/>
      <c r="K722" s="17"/>
      <c r="L722" s="17"/>
      <c r="M722" s="17"/>
      <c r="N722" s="17"/>
      <c r="O722" s="17"/>
    </row>
    <row r="723" spans="1:15" x14ac:dyDescent="0.2">
      <c r="A723" s="5"/>
      <c r="B723" s="5"/>
      <c r="C723" s="6"/>
      <c r="D723" s="25"/>
      <c r="E723" s="26"/>
      <c r="F723" s="26"/>
      <c r="G723" s="26"/>
      <c r="H723" s="26"/>
      <c r="I723" s="26"/>
      <c r="J723" s="17"/>
      <c r="K723" s="17"/>
      <c r="L723" s="17"/>
      <c r="M723" s="17"/>
      <c r="N723" s="17"/>
      <c r="O723" s="17"/>
    </row>
    <row r="724" spans="1:15" x14ac:dyDescent="0.2">
      <c r="A724" s="5"/>
      <c r="B724" s="5"/>
      <c r="C724" s="6"/>
      <c r="D724" s="25"/>
      <c r="E724" s="26"/>
      <c r="F724" s="26"/>
      <c r="G724" s="26"/>
      <c r="H724" s="26"/>
      <c r="I724" s="26"/>
      <c r="J724" s="17"/>
      <c r="K724" s="17"/>
      <c r="L724" s="17"/>
      <c r="M724" s="17"/>
      <c r="N724" s="17"/>
      <c r="O724" s="17"/>
    </row>
    <row r="725" spans="1:15" x14ac:dyDescent="0.2">
      <c r="A725" s="5"/>
      <c r="B725" s="5"/>
      <c r="C725" s="6"/>
      <c r="D725" s="25"/>
      <c r="E725" s="26"/>
      <c r="F725" s="26"/>
      <c r="G725" s="26"/>
      <c r="H725" s="26"/>
      <c r="I725" s="26"/>
      <c r="J725" s="17"/>
      <c r="K725" s="17"/>
      <c r="L725" s="17"/>
      <c r="M725" s="17"/>
      <c r="N725" s="17"/>
      <c r="O725" s="17"/>
    </row>
    <row r="726" spans="1:15" x14ac:dyDescent="0.2">
      <c r="A726" s="5"/>
      <c r="B726" s="5"/>
      <c r="C726" s="6"/>
      <c r="D726" s="25"/>
      <c r="E726" s="26"/>
      <c r="F726" s="26"/>
      <c r="G726" s="26"/>
      <c r="H726" s="26"/>
      <c r="I726" s="26"/>
      <c r="J726" s="17"/>
      <c r="K726" s="17"/>
      <c r="L726" s="17"/>
      <c r="M726" s="17"/>
      <c r="N726" s="17"/>
      <c r="O726" s="17"/>
    </row>
    <row r="727" spans="1:15" x14ac:dyDescent="0.2">
      <c r="A727" s="5"/>
      <c r="B727" s="5"/>
      <c r="C727" s="6"/>
      <c r="D727" s="25"/>
      <c r="E727" s="26"/>
      <c r="F727" s="26"/>
      <c r="G727" s="26"/>
      <c r="H727" s="26"/>
      <c r="I727" s="26"/>
      <c r="J727" s="17"/>
      <c r="K727" s="17"/>
      <c r="L727" s="17"/>
      <c r="M727" s="17"/>
      <c r="N727" s="17"/>
      <c r="O727" s="17"/>
    </row>
    <row r="728" spans="1:15" x14ac:dyDescent="0.2">
      <c r="A728" s="5"/>
      <c r="B728" s="5"/>
      <c r="C728" s="6"/>
      <c r="D728" s="25"/>
      <c r="E728" s="26"/>
      <c r="F728" s="26"/>
      <c r="G728" s="26"/>
      <c r="H728" s="26"/>
      <c r="I728" s="26"/>
      <c r="J728" s="17"/>
      <c r="K728" s="17"/>
      <c r="L728" s="17"/>
      <c r="M728" s="17"/>
      <c r="N728" s="17"/>
      <c r="O728" s="17"/>
    </row>
    <row r="729" spans="1:15" x14ac:dyDescent="0.2">
      <c r="A729" s="5"/>
      <c r="B729" s="5"/>
      <c r="C729" s="6"/>
      <c r="D729" s="25"/>
      <c r="E729" s="26"/>
      <c r="F729" s="26"/>
      <c r="G729" s="26"/>
      <c r="H729" s="26"/>
      <c r="I729" s="26"/>
      <c r="J729" s="17"/>
      <c r="K729" s="17"/>
      <c r="L729" s="17"/>
      <c r="M729" s="17"/>
      <c r="N729" s="17"/>
      <c r="O729" s="17"/>
    </row>
    <row r="730" spans="1:15" x14ac:dyDescent="0.2">
      <c r="A730" s="5"/>
      <c r="B730" s="5"/>
      <c r="C730" s="6"/>
      <c r="D730" s="25"/>
      <c r="E730" s="26"/>
      <c r="F730" s="26"/>
      <c r="G730" s="26"/>
      <c r="H730" s="26"/>
      <c r="I730" s="26"/>
      <c r="J730" s="17"/>
      <c r="K730" s="17"/>
      <c r="L730" s="17"/>
      <c r="M730" s="17"/>
      <c r="N730" s="17"/>
      <c r="O730" s="17"/>
    </row>
    <row r="731" spans="1:15" x14ac:dyDescent="0.2">
      <c r="A731" s="5"/>
      <c r="B731" s="5"/>
      <c r="C731" s="6"/>
      <c r="D731" s="25"/>
      <c r="E731" s="26"/>
      <c r="F731" s="26"/>
      <c r="G731" s="26"/>
      <c r="H731" s="26"/>
      <c r="I731" s="26"/>
      <c r="J731" s="17"/>
      <c r="K731" s="17"/>
      <c r="L731" s="17"/>
      <c r="M731" s="17"/>
      <c r="N731" s="17"/>
      <c r="O731" s="17"/>
    </row>
    <row r="732" spans="1:15" x14ac:dyDescent="0.2">
      <c r="A732" s="5"/>
      <c r="B732" s="5"/>
      <c r="C732" s="6"/>
      <c r="D732" s="25"/>
      <c r="E732" s="26"/>
      <c r="F732" s="26"/>
      <c r="G732" s="26"/>
      <c r="H732" s="26"/>
      <c r="I732" s="26"/>
      <c r="J732" s="17"/>
      <c r="K732" s="17"/>
      <c r="L732" s="17"/>
      <c r="M732" s="17"/>
      <c r="N732" s="17"/>
      <c r="O732" s="17"/>
    </row>
    <row r="733" spans="1:15" x14ac:dyDescent="0.2">
      <c r="A733" s="5"/>
      <c r="B733" s="5"/>
      <c r="C733" s="6"/>
      <c r="D733" s="25"/>
      <c r="E733" s="26"/>
      <c r="F733" s="26"/>
      <c r="G733" s="26"/>
      <c r="H733" s="26"/>
      <c r="I733" s="26"/>
      <c r="J733" s="17"/>
      <c r="K733" s="17"/>
      <c r="L733" s="17"/>
      <c r="M733" s="17"/>
      <c r="N733" s="17"/>
      <c r="O733" s="17"/>
    </row>
    <row r="734" spans="1:15" x14ac:dyDescent="0.2">
      <c r="A734" s="5"/>
      <c r="B734" s="5"/>
      <c r="C734" s="6"/>
      <c r="D734" s="25"/>
      <c r="E734" s="26"/>
      <c r="F734" s="26"/>
      <c r="G734" s="26"/>
      <c r="H734" s="26"/>
      <c r="I734" s="26"/>
      <c r="J734" s="17"/>
      <c r="K734" s="17"/>
      <c r="L734" s="17"/>
      <c r="M734" s="17"/>
      <c r="N734" s="17"/>
      <c r="O734" s="17"/>
    </row>
    <row r="735" spans="1:15" x14ac:dyDescent="0.2">
      <c r="A735" s="5"/>
      <c r="B735" s="5"/>
      <c r="C735" s="6"/>
      <c r="D735" s="25"/>
      <c r="E735" s="26"/>
      <c r="F735" s="26"/>
      <c r="G735" s="26"/>
      <c r="H735" s="26"/>
      <c r="I735" s="26"/>
      <c r="J735" s="17"/>
      <c r="K735" s="17"/>
      <c r="L735" s="17"/>
      <c r="M735" s="17"/>
      <c r="N735" s="17"/>
      <c r="O735" s="17"/>
    </row>
    <row r="736" spans="1:15" x14ac:dyDescent="0.2">
      <c r="A736" s="5"/>
      <c r="B736" s="5"/>
      <c r="C736" s="6"/>
      <c r="D736" s="25"/>
      <c r="E736" s="26"/>
      <c r="F736" s="26"/>
      <c r="G736" s="26"/>
      <c r="H736" s="26"/>
      <c r="I736" s="26"/>
      <c r="J736" s="17"/>
      <c r="K736" s="17"/>
      <c r="L736" s="17"/>
      <c r="M736" s="17"/>
      <c r="N736" s="17"/>
      <c r="O736" s="17"/>
    </row>
    <row r="737" spans="1:15" x14ac:dyDescent="0.2">
      <c r="A737" s="5"/>
      <c r="B737" s="5"/>
      <c r="C737" s="6"/>
      <c r="D737" s="25"/>
      <c r="E737" s="26"/>
      <c r="F737" s="26"/>
      <c r="G737" s="26"/>
      <c r="H737" s="26"/>
      <c r="I737" s="26"/>
      <c r="J737" s="17"/>
      <c r="K737" s="17"/>
      <c r="L737" s="17"/>
      <c r="M737" s="17"/>
      <c r="N737" s="17"/>
      <c r="O737" s="17"/>
    </row>
    <row r="738" spans="1:15" x14ac:dyDescent="0.2">
      <c r="A738" s="5"/>
      <c r="B738" s="5"/>
      <c r="C738" s="6"/>
      <c r="D738" s="25"/>
      <c r="E738" s="26"/>
      <c r="F738" s="26"/>
      <c r="G738" s="26"/>
      <c r="H738" s="26"/>
      <c r="I738" s="26"/>
      <c r="J738" s="17"/>
      <c r="K738" s="17"/>
      <c r="L738" s="17"/>
      <c r="M738" s="17"/>
      <c r="N738" s="17"/>
      <c r="O738" s="17"/>
    </row>
    <row r="739" spans="1:15" x14ac:dyDescent="0.2">
      <c r="A739" s="5"/>
      <c r="B739" s="5"/>
      <c r="C739" s="6"/>
      <c r="D739" s="25"/>
      <c r="E739" s="26"/>
      <c r="F739" s="26"/>
      <c r="G739" s="26"/>
      <c r="H739" s="26"/>
      <c r="I739" s="26"/>
      <c r="J739" s="17"/>
      <c r="K739" s="17"/>
      <c r="L739" s="17"/>
      <c r="M739" s="17"/>
      <c r="N739" s="17"/>
      <c r="O739" s="17"/>
    </row>
    <row r="740" spans="1:15" x14ac:dyDescent="0.2">
      <c r="A740" s="5"/>
      <c r="B740" s="5"/>
      <c r="C740" s="6"/>
      <c r="D740" s="25"/>
      <c r="E740" s="26"/>
      <c r="F740" s="26"/>
      <c r="G740" s="26"/>
      <c r="H740" s="26"/>
      <c r="I740" s="26"/>
      <c r="J740" s="17"/>
      <c r="K740" s="17"/>
      <c r="L740" s="17"/>
      <c r="M740" s="17"/>
      <c r="N740" s="17"/>
      <c r="O740" s="17"/>
    </row>
    <row r="741" spans="1:15" x14ac:dyDescent="0.2">
      <c r="A741" s="5"/>
      <c r="B741" s="5"/>
      <c r="C741" s="6"/>
      <c r="D741" s="25"/>
      <c r="E741" s="26"/>
      <c r="F741" s="26"/>
      <c r="G741" s="26"/>
      <c r="H741" s="26"/>
      <c r="I741" s="26"/>
      <c r="J741" s="17"/>
      <c r="K741" s="17"/>
      <c r="L741" s="17"/>
      <c r="M741" s="17"/>
      <c r="N741" s="17"/>
      <c r="O741" s="17"/>
    </row>
    <row r="742" spans="1:15" x14ac:dyDescent="0.2">
      <c r="A742" s="5"/>
      <c r="B742" s="5"/>
      <c r="C742" s="6"/>
      <c r="D742" s="25"/>
      <c r="E742" s="26"/>
      <c r="F742" s="26"/>
      <c r="G742" s="26"/>
      <c r="H742" s="26"/>
      <c r="I742" s="26"/>
      <c r="J742" s="17"/>
      <c r="K742" s="17"/>
      <c r="L742" s="17"/>
      <c r="M742" s="17"/>
      <c r="N742" s="17"/>
      <c r="O742" s="17"/>
    </row>
    <row r="743" spans="1:15" x14ac:dyDescent="0.2">
      <c r="A743" s="5"/>
      <c r="B743" s="5"/>
      <c r="C743" s="6"/>
      <c r="D743" s="25"/>
      <c r="E743" s="26"/>
      <c r="F743" s="26"/>
      <c r="G743" s="26"/>
      <c r="H743" s="26"/>
      <c r="I743" s="26"/>
      <c r="J743" s="17"/>
      <c r="K743" s="17"/>
      <c r="L743" s="17"/>
      <c r="M743" s="17"/>
      <c r="N743" s="17"/>
      <c r="O743" s="17"/>
    </row>
    <row r="744" spans="1:15" x14ac:dyDescent="0.2">
      <c r="A744" s="5"/>
      <c r="B744" s="5"/>
      <c r="C744" s="6"/>
      <c r="D744" s="25"/>
      <c r="E744" s="26"/>
      <c r="F744" s="26"/>
      <c r="G744" s="26"/>
      <c r="H744" s="26"/>
      <c r="I744" s="26"/>
      <c r="J744" s="17"/>
      <c r="K744" s="17"/>
      <c r="L744" s="17"/>
      <c r="M744" s="17"/>
      <c r="N744" s="17"/>
      <c r="O744" s="17"/>
    </row>
    <row r="745" spans="1:15" x14ac:dyDescent="0.2">
      <c r="A745" s="5"/>
      <c r="B745" s="5"/>
      <c r="C745" s="6"/>
      <c r="D745" s="25"/>
      <c r="E745" s="26"/>
      <c r="F745" s="26"/>
      <c r="G745" s="26"/>
      <c r="H745" s="26"/>
      <c r="I745" s="26"/>
      <c r="J745" s="17"/>
      <c r="K745" s="17"/>
      <c r="L745" s="17"/>
      <c r="M745" s="17"/>
      <c r="N745" s="17"/>
      <c r="O745" s="17"/>
    </row>
    <row r="746" spans="1:15" x14ac:dyDescent="0.2">
      <c r="A746" s="5"/>
      <c r="B746" s="5"/>
      <c r="C746" s="6"/>
      <c r="D746" s="25"/>
      <c r="E746" s="26"/>
      <c r="F746" s="26"/>
      <c r="G746" s="26"/>
      <c r="H746" s="26"/>
      <c r="I746" s="26"/>
      <c r="J746" s="17"/>
      <c r="K746" s="17"/>
      <c r="L746" s="17"/>
      <c r="M746" s="17"/>
      <c r="N746" s="17"/>
      <c r="O746" s="17"/>
    </row>
    <row r="747" spans="1:15" x14ac:dyDescent="0.2">
      <c r="A747" s="5"/>
      <c r="B747" s="5"/>
      <c r="C747" s="6"/>
      <c r="D747" s="25"/>
      <c r="E747" s="26"/>
      <c r="F747" s="26"/>
      <c r="G747" s="26"/>
      <c r="H747" s="26"/>
      <c r="I747" s="26"/>
      <c r="J747" s="17"/>
      <c r="K747" s="17"/>
      <c r="L747" s="17"/>
      <c r="M747" s="17"/>
      <c r="N747" s="17"/>
      <c r="O747" s="17"/>
    </row>
    <row r="748" spans="1:15" x14ac:dyDescent="0.2">
      <c r="A748" s="5"/>
      <c r="B748" s="5"/>
      <c r="C748" s="6"/>
      <c r="D748" s="25"/>
      <c r="E748" s="26"/>
      <c r="F748" s="26"/>
      <c r="G748" s="26"/>
      <c r="H748" s="26"/>
      <c r="I748" s="26"/>
      <c r="J748" s="17"/>
      <c r="K748" s="17"/>
      <c r="L748" s="17"/>
      <c r="M748" s="17"/>
      <c r="N748" s="17"/>
      <c r="O748" s="17"/>
    </row>
    <row r="749" spans="1:15" x14ac:dyDescent="0.2">
      <c r="A749" s="5"/>
      <c r="B749" s="5"/>
      <c r="C749" s="6"/>
      <c r="D749" s="25"/>
      <c r="E749" s="26"/>
      <c r="F749" s="26"/>
      <c r="G749" s="26"/>
      <c r="H749" s="26"/>
      <c r="I749" s="26"/>
      <c r="J749" s="17"/>
      <c r="K749" s="17"/>
      <c r="L749" s="17"/>
      <c r="M749" s="17"/>
      <c r="N749" s="17"/>
      <c r="O749" s="17"/>
    </row>
    <row r="750" spans="1:15" x14ac:dyDescent="0.2">
      <c r="A750" s="5"/>
      <c r="B750" s="5"/>
      <c r="C750" s="6"/>
      <c r="D750" s="25"/>
      <c r="E750" s="26"/>
      <c r="F750" s="26"/>
      <c r="G750" s="26"/>
      <c r="H750" s="26"/>
      <c r="I750" s="26"/>
      <c r="J750" s="17"/>
      <c r="K750" s="17"/>
      <c r="L750" s="17"/>
      <c r="M750" s="17"/>
      <c r="N750" s="17"/>
      <c r="O750" s="17"/>
    </row>
    <row r="751" spans="1:15" x14ac:dyDescent="0.2">
      <c r="A751" s="5"/>
      <c r="B751" s="5"/>
      <c r="C751" s="6"/>
      <c r="D751" s="25"/>
      <c r="E751" s="26"/>
      <c r="F751" s="26"/>
      <c r="G751" s="26"/>
      <c r="H751" s="26"/>
      <c r="I751" s="26"/>
      <c r="J751" s="17"/>
      <c r="K751" s="17"/>
      <c r="L751" s="17"/>
      <c r="M751" s="17"/>
      <c r="N751" s="17"/>
      <c r="O751" s="17"/>
    </row>
    <row r="752" spans="1:15" x14ac:dyDescent="0.2">
      <c r="A752" s="5"/>
      <c r="B752" s="5"/>
      <c r="C752" s="6"/>
      <c r="D752" s="25"/>
      <c r="E752" s="26"/>
      <c r="F752" s="26"/>
      <c r="G752" s="26"/>
      <c r="H752" s="26"/>
      <c r="I752" s="26"/>
      <c r="J752" s="17"/>
      <c r="K752" s="17"/>
      <c r="L752" s="17"/>
      <c r="M752" s="17"/>
      <c r="N752" s="17"/>
      <c r="O752" s="17"/>
    </row>
    <row r="753" spans="1:15" x14ac:dyDescent="0.2">
      <c r="A753" s="5"/>
      <c r="B753" s="5"/>
      <c r="C753" s="6"/>
      <c r="D753" s="25"/>
      <c r="E753" s="26"/>
      <c r="F753" s="26"/>
      <c r="G753" s="26"/>
      <c r="H753" s="26"/>
      <c r="I753" s="26"/>
      <c r="J753" s="17"/>
      <c r="K753" s="17"/>
      <c r="L753" s="17"/>
      <c r="M753" s="17"/>
      <c r="N753" s="17"/>
      <c r="O753" s="17"/>
    </row>
    <row r="754" spans="1:15" x14ac:dyDescent="0.2">
      <c r="A754" s="5"/>
      <c r="B754" s="5"/>
      <c r="C754" s="6"/>
      <c r="D754" s="25"/>
      <c r="E754" s="26"/>
      <c r="F754" s="26"/>
      <c r="G754" s="26"/>
      <c r="H754" s="26"/>
      <c r="I754" s="26"/>
      <c r="J754" s="17"/>
      <c r="K754" s="17"/>
      <c r="L754" s="17"/>
      <c r="M754" s="17"/>
      <c r="N754" s="17"/>
      <c r="O754" s="17"/>
    </row>
    <row r="755" spans="1:15" x14ac:dyDescent="0.2">
      <c r="A755" s="5"/>
      <c r="B755" s="5"/>
      <c r="C755" s="6"/>
      <c r="D755" s="25"/>
      <c r="E755" s="26"/>
      <c r="F755" s="26"/>
      <c r="G755" s="26"/>
      <c r="H755" s="26"/>
      <c r="I755" s="26"/>
      <c r="J755" s="17"/>
      <c r="K755" s="17"/>
      <c r="L755" s="17"/>
      <c r="M755" s="17"/>
      <c r="N755" s="17"/>
      <c r="O755" s="17"/>
    </row>
    <row r="756" spans="1:15" x14ac:dyDescent="0.2">
      <c r="A756" s="5"/>
      <c r="B756" s="5"/>
      <c r="C756" s="6"/>
      <c r="D756" s="25"/>
      <c r="E756" s="26"/>
      <c r="F756" s="26"/>
      <c r="G756" s="26"/>
      <c r="H756" s="26"/>
      <c r="I756" s="26"/>
      <c r="J756" s="17"/>
      <c r="K756" s="17"/>
      <c r="L756" s="17"/>
      <c r="M756" s="17"/>
      <c r="N756" s="17"/>
      <c r="O756" s="17"/>
    </row>
    <row r="757" spans="1:15" x14ac:dyDescent="0.2">
      <c r="A757" s="5"/>
      <c r="B757" s="5"/>
      <c r="C757" s="6"/>
      <c r="D757" s="25"/>
      <c r="E757" s="26"/>
      <c r="F757" s="26"/>
      <c r="G757" s="26"/>
      <c r="H757" s="26"/>
      <c r="I757" s="26"/>
      <c r="J757" s="17"/>
      <c r="K757" s="17"/>
      <c r="L757" s="17"/>
      <c r="M757" s="17"/>
      <c r="N757" s="17"/>
      <c r="O757" s="17"/>
    </row>
    <row r="758" spans="1:15" x14ac:dyDescent="0.2">
      <c r="A758" s="5"/>
      <c r="B758" s="5"/>
      <c r="C758" s="6"/>
      <c r="D758" s="25"/>
      <c r="E758" s="26"/>
      <c r="F758" s="26"/>
      <c r="G758" s="26"/>
      <c r="H758" s="26"/>
      <c r="I758" s="26"/>
      <c r="J758" s="17"/>
      <c r="K758" s="17"/>
      <c r="L758" s="17"/>
      <c r="M758" s="17"/>
      <c r="N758" s="17"/>
      <c r="O758" s="17"/>
    </row>
    <row r="759" spans="1:15" x14ac:dyDescent="0.2">
      <c r="A759" s="5"/>
      <c r="B759" s="5"/>
      <c r="C759" s="6"/>
      <c r="D759" s="25"/>
      <c r="E759" s="26"/>
      <c r="F759" s="26"/>
      <c r="G759" s="26"/>
      <c r="H759" s="26"/>
      <c r="I759" s="26"/>
      <c r="J759" s="17"/>
      <c r="K759" s="17"/>
      <c r="L759" s="17"/>
      <c r="M759" s="17"/>
      <c r="N759" s="17"/>
      <c r="O759" s="17"/>
    </row>
    <row r="760" spans="1:15" x14ac:dyDescent="0.2">
      <c r="A760" s="5"/>
      <c r="B760" s="5"/>
      <c r="C760" s="6"/>
      <c r="D760" s="25"/>
      <c r="E760" s="26"/>
      <c r="F760" s="26"/>
      <c r="G760" s="26"/>
      <c r="H760" s="26"/>
      <c r="I760" s="26"/>
      <c r="J760" s="17"/>
      <c r="K760" s="17"/>
      <c r="L760" s="17"/>
      <c r="M760" s="17"/>
      <c r="N760" s="17"/>
      <c r="O760" s="17"/>
    </row>
    <row r="761" spans="1:15" x14ac:dyDescent="0.2">
      <c r="A761" s="5"/>
      <c r="B761" s="5"/>
      <c r="C761" s="6"/>
      <c r="D761" s="25"/>
      <c r="E761" s="26"/>
      <c r="F761" s="26"/>
      <c r="G761" s="26"/>
      <c r="H761" s="26"/>
      <c r="I761" s="26"/>
      <c r="J761" s="17"/>
      <c r="K761" s="17"/>
      <c r="L761" s="17"/>
      <c r="M761" s="17"/>
      <c r="N761" s="17"/>
      <c r="O761" s="17"/>
    </row>
    <row r="762" spans="1:15" x14ac:dyDescent="0.2">
      <c r="A762" s="5"/>
      <c r="B762" s="5"/>
      <c r="C762" s="6"/>
      <c r="D762" s="25"/>
      <c r="E762" s="26"/>
      <c r="F762" s="26"/>
      <c r="G762" s="26"/>
      <c r="H762" s="26"/>
      <c r="I762" s="26"/>
      <c r="J762" s="17"/>
      <c r="K762" s="17"/>
      <c r="L762" s="17"/>
      <c r="M762" s="17"/>
      <c r="N762" s="17"/>
      <c r="O762" s="17"/>
    </row>
    <row r="763" spans="1:15" x14ac:dyDescent="0.2">
      <c r="A763" s="5"/>
      <c r="B763" s="5"/>
      <c r="C763" s="6"/>
      <c r="D763" s="25"/>
      <c r="E763" s="26"/>
      <c r="F763" s="26"/>
      <c r="G763" s="26"/>
      <c r="H763" s="26"/>
      <c r="I763" s="26"/>
      <c r="J763" s="17"/>
      <c r="K763" s="17"/>
      <c r="L763" s="17"/>
      <c r="M763" s="17"/>
      <c r="N763" s="17"/>
      <c r="O763" s="17"/>
    </row>
    <row r="764" spans="1:15" x14ac:dyDescent="0.2">
      <c r="A764" s="5"/>
      <c r="B764" s="5"/>
      <c r="C764" s="6"/>
      <c r="D764" s="25"/>
      <c r="E764" s="26"/>
      <c r="F764" s="26"/>
      <c r="G764" s="26"/>
      <c r="H764" s="26"/>
      <c r="I764" s="26"/>
      <c r="J764" s="17"/>
      <c r="K764" s="17"/>
      <c r="L764" s="17"/>
      <c r="M764" s="17"/>
      <c r="N764" s="17"/>
      <c r="O764" s="17"/>
    </row>
    <row r="765" spans="1:15" x14ac:dyDescent="0.2">
      <c r="A765" s="5"/>
      <c r="B765" s="5"/>
      <c r="C765" s="6"/>
      <c r="D765" s="25"/>
      <c r="E765" s="26"/>
      <c r="F765" s="26"/>
      <c r="G765" s="26"/>
      <c r="H765" s="26"/>
      <c r="I765" s="26"/>
      <c r="J765" s="17"/>
      <c r="K765" s="17"/>
      <c r="L765" s="17"/>
      <c r="M765" s="17"/>
      <c r="N765" s="17"/>
      <c r="O765" s="17"/>
    </row>
    <row r="766" spans="1:15" x14ac:dyDescent="0.2">
      <c r="A766" s="5"/>
      <c r="B766" s="5"/>
      <c r="C766" s="6"/>
      <c r="D766" s="25"/>
      <c r="E766" s="26"/>
      <c r="F766" s="26"/>
      <c r="G766" s="26"/>
      <c r="H766" s="26"/>
      <c r="I766" s="26"/>
      <c r="J766" s="17"/>
      <c r="K766" s="17"/>
      <c r="L766" s="17"/>
      <c r="M766" s="17"/>
      <c r="N766" s="17"/>
      <c r="O766" s="17"/>
    </row>
    <row r="767" spans="1:15" x14ac:dyDescent="0.2">
      <c r="A767" s="5"/>
      <c r="B767" s="5"/>
      <c r="C767" s="6"/>
      <c r="D767" s="25"/>
      <c r="E767" s="26"/>
      <c r="F767" s="26"/>
      <c r="G767" s="26"/>
      <c r="H767" s="26"/>
      <c r="I767" s="26"/>
      <c r="J767" s="17"/>
      <c r="K767" s="17"/>
      <c r="L767" s="17"/>
      <c r="M767" s="17"/>
      <c r="N767" s="17"/>
      <c r="O767" s="17"/>
    </row>
    <row r="768" spans="1:15" x14ac:dyDescent="0.2">
      <c r="A768" s="5"/>
      <c r="B768" s="5"/>
      <c r="C768" s="6"/>
      <c r="D768" s="25"/>
      <c r="E768" s="26"/>
      <c r="F768" s="26"/>
      <c r="G768" s="26"/>
      <c r="H768" s="26"/>
      <c r="I768" s="26"/>
      <c r="J768" s="17"/>
      <c r="K768" s="17"/>
      <c r="L768" s="17"/>
      <c r="M768" s="17"/>
      <c r="N768" s="17"/>
      <c r="O768" s="17"/>
    </row>
    <row r="769" spans="1:15" x14ac:dyDescent="0.2">
      <c r="A769" s="5"/>
      <c r="B769" s="5"/>
      <c r="C769" s="6"/>
      <c r="D769" s="25"/>
      <c r="E769" s="26"/>
      <c r="F769" s="26"/>
      <c r="G769" s="26"/>
      <c r="H769" s="26"/>
      <c r="I769" s="26"/>
      <c r="J769" s="17"/>
      <c r="K769" s="17"/>
      <c r="L769" s="17"/>
      <c r="M769" s="17"/>
      <c r="N769" s="17"/>
      <c r="O769" s="17"/>
    </row>
    <row r="770" spans="1:15" x14ac:dyDescent="0.2">
      <c r="A770" s="5"/>
      <c r="B770" s="5"/>
      <c r="C770" s="6"/>
      <c r="D770" s="25"/>
      <c r="E770" s="26"/>
      <c r="F770" s="26"/>
      <c r="G770" s="26"/>
      <c r="H770" s="26"/>
      <c r="I770" s="26"/>
      <c r="J770" s="17"/>
      <c r="K770" s="17"/>
      <c r="L770" s="17"/>
      <c r="M770" s="17"/>
      <c r="N770" s="17"/>
      <c r="O770" s="17"/>
    </row>
    <row r="771" spans="1:15" x14ac:dyDescent="0.2">
      <c r="A771" s="5"/>
      <c r="B771" s="5"/>
      <c r="C771" s="6"/>
      <c r="D771" s="25"/>
      <c r="E771" s="26"/>
      <c r="F771" s="26"/>
      <c r="G771" s="26"/>
      <c r="H771" s="26"/>
      <c r="I771" s="26"/>
      <c r="J771" s="17"/>
      <c r="K771" s="17"/>
      <c r="L771" s="17"/>
      <c r="M771" s="17"/>
      <c r="N771" s="17"/>
      <c r="O771" s="17"/>
    </row>
    <row r="772" spans="1:15" x14ac:dyDescent="0.2">
      <c r="A772" s="5"/>
      <c r="B772" s="5"/>
      <c r="C772" s="6"/>
      <c r="D772" s="25"/>
      <c r="E772" s="26"/>
      <c r="F772" s="26"/>
      <c r="G772" s="26"/>
      <c r="H772" s="26"/>
      <c r="I772" s="26"/>
      <c r="J772" s="17"/>
      <c r="K772" s="17"/>
      <c r="L772" s="17"/>
      <c r="M772" s="17"/>
      <c r="N772" s="17"/>
      <c r="O772" s="17"/>
    </row>
    <row r="773" spans="1:15" x14ac:dyDescent="0.2">
      <c r="A773" s="5"/>
      <c r="B773" s="5"/>
      <c r="C773" s="6"/>
      <c r="D773" s="25"/>
      <c r="E773" s="26"/>
      <c r="F773" s="26"/>
      <c r="G773" s="26"/>
      <c r="H773" s="26"/>
      <c r="I773" s="26"/>
      <c r="J773" s="17"/>
      <c r="K773" s="17"/>
      <c r="L773" s="17"/>
      <c r="M773" s="17"/>
      <c r="N773" s="17"/>
      <c r="O773" s="17"/>
    </row>
    <row r="774" spans="1:15" x14ac:dyDescent="0.2">
      <c r="A774" s="5"/>
      <c r="B774" s="5"/>
      <c r="C774" s="6"/>
      <c r="D774" s="25"/>
      <c r="E774" s="26"/>
      <c r="F774" s="26"/>
      <c r="G774" s="26"/>
      <c r="H774" s="26"/>
      <c r="I774" s="26"/>
      <c r="J774" s="17"/>
      <c r="K774" s="17"/>
      <c r="L774" s="17"/>
      <c r="M774" s="17"/>
      <c r="N774" s="17"/>
      <c r="O774" s="17"/>
    </row>
    <row r="775" spans="1:15" x14ac:dyDescent="0.2">
      <c r="A775" s="5"/>
      <c r="B775" s="5"/>
      <c r="C775" s="6"/>
      <c r="D775" s="25"/>
      <c r="E775" s="26"/>
      <c r="F775" s="26"/>
      <c r="G775" s="26"/>
      <c r="H775" s="26"/>
      <c r="I775" s="26"/>
      <c r="J775" s="17"/>
      <c r="K775" s="17"/>
      <c r="L775" s="17"/>
      <c r="M775" s="17"/>
      <c r="N775" s="17"/>
      <c r="O775" s="17"/>
    </row>
    <row r="776" spans="1:15" x14ac:dyDescent="0.2">
      <c r="A776" s="5"/>
      <c r="B776" s="5"/>
      <c r="C776" s="6"/>
      <c r="D776" s="25"/>
      <c r="E776" s="26"/>
      <c r="F776" s="26"/>
      <c r="G776" s="26"/>
      <c r="H776" s="26"/>
      <c r="I776" s="26"/>
      <c r="J776" s="17"/>
      <c r="K776" s="17"/>
      <c r="L776" s="17"/>
      <c r="M776" s="17"/>
      <c r="N776" s="17"/>
      <c r="O776" s="17"/>
    </row>
    <row r="777" spans="1:15" x14ac:dyDescent="0.2">
      <c r="A777" s="5"/>
      <c r="B777" s="5"/>
      <c r="C777" s="6"/>
      <c r="D777" s="25"/>
      <c r="E777" s="26"/>
      <c r="F777" s="26"/>
      <c r="G777" s="26"/>
      <c r="H777" s="26"/>
      <c r="I777" s="26"/>
      <c r="J777" s="17"/>
      <c r="K777" s="17"/>
      <c r="L777" s="17"/>
      <c r="M777" s="17"/>
      <c r="N777" s="17"/>
      <c r="O777" s="17"/>
    </row>
    <row r="778" spans="1:15" x14ac:dyDescent="0.2">
      <c r="A778" s="5"/>
      <c r="B778" s="5"/>
      <c r="C778" s="6"/>
      <c r="D778" s="25"/>
      <c r="E778" s="26"/>
      <c r="F778" s="26"/>
      <c r="G778" s="26"/>
      <c r="H778" s="26"/>
      <c r="I778" s="26"/>
      <c r="J778" s="17"/>
      <c r="K778" s="17"/>
      <c r="L778" s="17"/>
      <c r="M778" s="17"/>
      <c r="N778" s="17"/>
      <c r="O778" s="17"/>
    </row>
    <row r="779" spans="1:15" x14ac:dyDescent="0.2">
      <c r="A779" s="5"/>
      <c r="B779" s="5"/>
      <c r="C779" s="6"/>
      <c r="D779" s="25"/>
      <c r="E779" s="26"/>
      <c r="F779" s="26"/>
      <c r="G779" s="26"/>
      <c r="H779" s="26"/>
      <c r="I779" s="26"/>
      <c r="J779" s="17"/>
      <c r="K779" s="17"/>
      <c r="L779" s="17"/>
      <c r="M779" s="17"/>
      <c r="N779" s="17"/>
      <c r="O779" s="17"/>
    </row>
    <row r="780" spans="1:15" x14ac:dyDescent="0.2">
      <c r="A780" s="5"/>
      <c r="B780" s="5"/>
      <c r="C780" s="6"/>
      <c r="D780" s="25"/>
      <c r="E780" s="26"/>
      <c r="F780" s="26"/>
      <c r="G780" s="26"/>
      <c r="H780" s="26"/>
      <c r="I780" s="26"/>
      <c r="J780" s="17"/>
      <c r="K780" s="17"/>
      <c r="L780" s="17"/>
      <c r="M780" s="17"/>
      <c r="N780" s="17"/>
      <c r="O780" s="17"/>
    </row>
    <row r="781" spans="1:15" x14ac:dyDescent="0.2">
      <c r="A781" s="5"/>
      <c r="B781" s="5"/>
      <c r="C781" s="6"/>
      <c r="D781" s="25"/>
      <c r="E781" s="26"/>
      <c r="F781" s="26"/>
      <c r="G781" s="26"/>
      <c r="H781" s="26"/>
      <c r="I781" s="26"/>
      <c r="J781" s="17"/>
      <c r="K781" s="17"/>
      <c r="L781" s="17"/>
      <c r="M781" s="17"/>
      <c r="N781" s="17"/>
      <c r="O781" s="17"/>
    </row>
    <row r="782" spans="1:15" x14ac:dyDescent="0.2">
      <c r="A782" s="5"/>
      <c r="B782" s="5"/>
      <c r="C782" s="6"/>
      <c r="D782" s="25"/>
      <c r="E782" s="26"/>
      <c r="F782" s="26"/>
      <c r="G782" s="26"/>
      <c r="H782" s="26"/>
      <c r="I782" s="26"/>
      <c r="J782" s="17"/>
      <c r="K782" s="17"/>
      <c r="L782" s="17"/>
      <c r="M782" s="17"/>
      <c r="N782" s="17"/>
      <c r="O782" s="17"/>
    </row>
    <row r="783" spans="1:15" x14ac:dyDescent="0.2">
      <c r="A783" s="5"/>
      <c r="B783" s="5"/>
      <c r="C783" s="6"/>
      <c r="D783" s="25"/>
      <c r="E783" s="26"/>
      <c r="F783" s="26"/>
      <c r="G783" s="26"/>
      <c r="H783" s="26"/>
      <c r="I783" s="26"/>
      <c r="J783" s="17"/>
      <c r="K783" s="17"/>
      <c r="L783" s="17"/>
      <c r="M783" s="17"/>
      <c r="N783" s="17"/>
      <c r="O783" s="17"/>
    </row>
    <row r="784" spans="1:15" x14ac:dyDescent="0.2">
      <c r="A784" s="5"/>
      <c r="B784" s="5"/>
      <c r="C784" s="6"/>
      <c r="D784" s="25"/>
      <c r="E784" s="26"/>
      <c r="F784" s="26"/>
      <c r="G784" s="26"/>
      <c r="H784" s="26"/>
      <c r="I784" s="26"/>
      <c r="J784" s="17"/>
      <c r="K784" s="17"/>
      <c r="L784" s="17"/>
      <c r="M784" s="17"/>
      <c r="N784" s="17"/>
      <c r="O784" s="17"/>
    </row>
    <row r="785" spans="1:15" x14ac:dyDescent="0.2">
      <c r="A785" s="5"/>
      <c r="B785" s="5"/>
      <c r="C785" s="6"/>
      <c r="D785" s="25"/>
      <c r="E785" s="26"/>
      <c r="F785" s="26"/>
      <c r="G785" s="26"/>
      <c r="H785" s="26"/>
      <c r="I785" s="26"/>
      <c r="J785" s="17"/>
      <c r="K785" s="17"/>
      <c r="L785" s="17"/>
      <c r="M785" s="17"/>
      <c r="N785" s="17"/>
      <c r="O785" s="17"/>
    </row>
    <row r="786" spans="1:15" x14ac:dyDescent="0.2">
      <c r="A786" s="5"/>
      <c r="B786" s="5"/>
      <c r="C786" s="6"/>
      <c r="D786" s="25"/>
      <c r="E786" s="26"/>
      <c r="F786" s="26"/>
      <c r="G786" s="26"/>
      <c r="H786" s="26"/>
      <c r="I786" s="26"/>
      <c r="J786" s="17"/>
      <c r="K786" s="17"/>
      <c r="L786" s="17"/>
      <c r="M786" s="17"/>
      <c r="N786" s="17"/>
      <c r="O786" s="17"/>
    </row>
    <row r="787" spans="1:15" x14ac:dyDescent="0.2">
      <c r="A787" s="5"/>
      <c r="B787" s="5"/>
      <c r="C787" s="6"/>
      <c r="D787" s="25"/>
      <c r="E787" s="26"/>
      <c r="F787" s="26"/>
      <c r="G787" s="26"/>
      <c r="H787" s="26"/>
      <c r="I787" s="26"/>
      <c r="J787" s="17"/>
      <c r="K787" s="17"/>
      <c r="L787" s="17"/>
      <c r="M787" s="17"/>
      <c r="N787" s="17"/>
      <c r="O787" s="17"/>
    </row>
    <row r="788" spans="1:15" x14ac:dyDescent="0.2">
      <c r="A788" s="5"/>
      <c r="B788" s="5"/>
      <c r="C788" s="6"/>
      <c r="D788" s="25"/>
      <c r="E788" s="26"/>
      <c r="F788" s="26"/>
      <c r="G788" s="26"/>
      <c r="H788" s="26"/>
      <c r="I788" s="26"/>
      <c r="J788" s="17"/>
      <c r="K788" s="17"/>
      <c r="L788" s="17"/>
      <c r="M788" s="17"/>
      <c r="N788" s="17"/>
      <c r="O788" s="17"/>
    </row>
    <row r="789" spans="1:15" x14ac:dyDescent="0.2">
      <c r="A789" s="5"/>
      <c r="B789" s="5"/>
      <c r="C789" s="6"/>
      <c r="D789" s="25"/>
      <c r="E789" s="26"/>
      <c r="F789" s="26"/>
      <c r="G789" s="26"/>
      <c r="H789" s="26"/>
      <c r="I789" s="26"/>
      <c r="J789" s="17"/>
      <c r="K789" s="17"/>
      <c r="L789" s="17"/>
      <c r="M789" s="17"/>
      <c r="N789" s="17"/>
      <c r="O789" s="17"/>
    </row>
    <row r="790" spans="1:15" x14ac:dyDescent="0.2">
      <c r="A790" s="5"/>
      <c r="B790" s="5"/>
      <c r="C790" s="6"/>
      <c r="D790" s="25"/>
      <c r="E790" s="26"/>
      <c r="F790" s="26"/>
      <c r="G790" s="26"/>
      <c r="H790" s="26"/>
      <c r="I790" s="26"/>
      <c r="J790" s="17"/>
      <c r="K790" s="17"/>
      <c r="L790" s="17"/>
      <c r="M790" s="17"/>
      <c r="N790" s="17"/>
      <c r="O790" s="17"/>
    </row>
    <row r="791" spans="1:15" x14ac:dyDescent="0.2">
      <c r="A791" s="5"/>
      <c r="B791" s="5"/>
      <c r="C791" s="6"/>
      <c r="D791" s="25"/>
      <c r="E791" s="26"/>
      <c r="F791" s="26"/>
      <c r="G791" s="26"/>
      <c r="H791" s="26"/>
      <c r="I791" s="26"/>
      <c r="J791" s="17"/>
      <c r="K791" s="17"/>
      <c r="L791" s="17"/>
      <c r="M791" s="17"/>
      <c r="N791" s="17"/>
      <c r="O791" s="17"/>
    </row>
    <row r="792" spans="1:15" x14ac:dyDescent="0.2">
      <c r="A792" s="5"/>
      <c r="B792" s="5"/>
      <c r="C792" s="6"/>
      <c r="D792" s="25"/>
      <c r="E792" s="26"/>
      <c r="F792" s="26"/>
      <c r="G792" s="26"/>
      <c r="H792" s="26"/>
      <c r="I792" s="26"/>
      <c r="J792" s="17"/>
      <c r="K792" s="17"/>
      <c r="L792" s="17"/>
      <c r="M792" s="17"/>
      <c r="N792" s="17"/>
      <c r="O792" s="17"/>
    </row>
    <row r="793" spans="1:15" x14ac:dyDescent="0.2">
      <c r="A793" s="5"/>
      <c r="B793" s="5"/>
      <c r="C793" s="6"/>
      <c r="D793" s="25"/>
      <c r="E793" s="26"/>
      <c r="F793" s="26"/>
      <c r="G793" s="26"/>
      <c r="H793" s="26"/>
      <c r="I793" s="26"/>
      <c r="J793" s="17"/>
      <c r="K793" s="17"/>
      <c r="L793" s="17"/>
      <c r="M793" s="17"/>
      <c r="N793" s="17"/>
      <c r="O793" s="17"/>
    </row>
    <row r="794" spans="1:15" x14ac:dyDescent="0.2">
      <c r="A794" s="5"/>
      <c r="B794" s="5"/>
      <c r="C794" s="6"/>
      <c r="D794" s="25"/>
      <c r="E794" s="26"/>
      <c r="F794" s="26"/>
      <c r="G794" s="26"/>
      <c r="H794" s="26"/>
      <c r="I794" s="26"/>
      <c r="J794" s="17"/>
      <c r="K794" s="17"/>
      <c r="L794" s="17"/>
      <c r="M794" s="17"/>
      <c r="N794" s="17"/>
      <c r="O794" s="17"/>
    </row>
    <row r="795" spans="1:15" x14ac:dyDescent="0.2">
      <c r="A795" s="5"/>
      <c r="B795" s="5"/>
      <c r="C795" s="6"/>
      <c r="D795" s="25"/>
      <c r="E795" s="26"/>
      <c r="F795" s="26"/>
      <c r="G795" s="26"/>
      <c r="H795" s="26"/>
      <c r="I795" s="26"/>
      <c r="J795" s="17"/>
      <c r="K795" s="17"/>
      <c r="L795" s="17"/>
      <c r="M795" s="17"/>
      <c r="N795" s="17"/>
      <c r="O795" s="17"/>
    </row>
    <row r="796" spans="1:15" x14ac:dyDescent="0.2">
      <c r="A796" s="5"/>
      <c r="B796" s="5"/>
      <c r="C796" s="6"/>
      <c r="D796" s="25"/>
      <c r="E796" s="26"/>
      <c r="F796" s="26"/>
      <c r="G796" s="26"/>
      <c r="H796" s="26"/>
      <c r="I796" s="26"/>
      <c r="J796" s="17"/>
      <c r="K796" s="17"/>
      <c r="L796" s="17"/>
      <c r="M796" s="17"/>
      <c r="N796" s="17"/>
      <c r="O796" s="17"/>
    </row>
    <row r="797" spans="1:15" x14ac:dyDescent="0.2">
      <c r="A797" s="5"/>
      <c r="B797" s="5"/>
      <c r="C797" s="6"/>
      <c r="D797" s="25"/>
      <c r="E797" s="26"/>
      <c r="F797" s="26"/>
      <c r="G797" s="26"/>
      <c r="H797" s="26"/>
      <c r="I797" s="26"/>
      <c r="J797" s="17"/>
      <c r="K797" s="17"/>
      <c r="L797" s="17"/>
      <c r="M797" s="17"/>
      <c r="N797" s="17"/>
      <c r="O797" s="17"/>
    </row>
    <row r="798" spans="1:15" x14ac:dyDescent="0.2">
      <c r="A798" s="5"/>
      <c r="B798" s="5"/>
      <c r="C798" s="6"/>
      <c r="D798" s="25"/>
      <c r="E798" s="26"/>
      <c r="F798" s="26"/>
      <c r="G798" s="26"/>
      <c r="H798" s="26"/>
      <c r="I798" s="26"/>
      <c r="J798" s="17"/>
      <c r="K798" s="17"/>
      <c r="L798" s="17"/>
      <c r="M798" s="17"/>
      <c r="N798" s="17"/>
      <c r="O798" s="17"/>
    </row>
    <row r="799" spans="1:15" x14ac:dyDescent="0.2">
      <c r="A799" s="5"/>
      <c r="B799" s="5"/>
      <c r="C799" s="6"/>
      <c r="D799" s="25"/>
      <c r="E799" s="26"/>
      <c r="F799" s="26"/>
      <c r="G799" s="26"/>
      <c r="H799" s="26"/>
      <c r="I799" s="26"/>
      <c r="J799" s="17"/>
      <c r="K799" s="17"/>
      <c r="L799" s="17"/>
      <c r="M799" s="17"/>
      <c r="N799" s="17"/>
      <c r="O799" s="17"/>
    </row>
    <row r="800" spans="1:15" x14ac:dyDescent="0.2">
      <c r="A800" s="5"/>
      <c r="B800" s="5"/>
      <c r="C800" s="6"/>
      <c r="D800" s="25"/>
      <c r="E800" s="26"/>
      <c r="F800" s="26"/>
      <c r="G800" s="26"/>
      <c r="H800" s="26"/>
      <c r="I800" s="26"/>
      <c r="J800" s="17"/>
      <c r="K800" s="17"/>
      <c r="L800" s="17"/>
      <c r="M800" s="17"/>
      <c r="N800" s="17"/>
      <c r="O800" s="17"/>
    </row>
    <row r="801" spans="1:15" x14ac:dyDescent="0.2">
      <c r="A801" s="5"/>
      <c r="B801" s="5"/>
      <c r="C801" s="6"/>
      <c r="D801" s="25"/>
      <c r="E801" s="26"/>
      <c r="F801" s="26"/>
      <c r="G801" s="26"/>
      <c r="H801" s="26"/>
      <c r="I801" s="26"/>
      <c r="J801" s="17"/>
      <c r="K801" s="17"/>
      <c r="L801" s="17"/>
      <c r="M801" s="17"/>
      <c r="N801" s="17"/>
      <c r="O801" s="17"/>
    </row>
    <row r="802" spans="1:15" x14ac:dyDescent="0.2">
      <c r="A802" s="5"/>
      <c r="B802" s="5"/>
      <c r="C802" s="6"/>
      <c r="D802" s="25"/>
      <c r="E802" s="26"/>
      <c r="F802" s="26"/>
      <c r="G802" s="26"/>
      <c r="H802" s="26"/>
      <c r="I802" s="26"/>
      <c r="J802" s="17"/>
      <c r="K802" s="17"/>
      <c r="L802" s="17"/>
      <c r="M802" s="17"/>
      <c r="N802" s="17"/>
      <c r="O802" s="17"/>
    </row>
    <row r="803" spans="1:15" x14ac:dyDescent="0.2">
      <c r="A803" s="5"/>
      <c r="B803" s="5"/>
      <c r="C803" s="6"/>
      <c r="D803" s="25"/>
      <c r="E803" s="26"/>
      <c r="F803" s="26"/>
      <c r="G803" s="26"/>
      <c r="H803" s="26"/>
      <c r="I803" s="26"/>
      <c r="J803" s="17"/>
      <c r="K803" s="17"/>
      <c r="L803" s="17"/>
      <c r="M803" s="17"/>
      <c r="N803" s="17"/>
      <c r="O803" s="17"/>
    </row>
    <row r="804" spans="1:15" x14ac:dyDescent="0.2">
      <c r="A804" s="5"/>
      <c r="B804" s="5"/>
      <c r="C804" s="6"/>
      <c r="D804" s="25"/>
      <c r="E804" s="26"/>
      <c r="F804" s="26"/>
      <c r="G804" s="26"/>
      <c r="H804" s="26"/>
      <c r="I804" s="26"/>
      <c r="J804" s="17"/>
      <c r="K804" s="17"/>
      <c r="L804" s="17"/>
      <c r="M804" s="17"/>
      <c r="N804" s="17"/>
      <c r="O804" s="17"/>
    </row>
    <row r="805" spans="1:15" x14ac:dyDescent="0.2">
      <c r="A805" s="5"/>
      <c r="B805" s="5"/>
      <c r="C805" s="6"/>
      <c r="D805" s="25"/>
      <c r="E805" s="26"/>
      <c r="F805" s="26"/>
      <c r="G805" s="26"/>
      <c r="H805" s="26"/>
      <c r="I805" s="26"/>
      <c r="J805" s="17"/>
      <c r="K805" s="17"/>
      <c r="L805" s="17"/>
      <c r="M805" s="17"/>
      <c r="N805" s="17"/>
      <c r="O805" s="17"/>
    </row>
    <row r="806" spans="1:15" x14ac:dyDescent="0.2">
      <c r="A806" s="5"/>
      <c r="B806" s="5"/>
      <c r="C806" s="6"/>
      <c r="D806" s="25"/>
      <c r="E806" s="26"/>
      <c r="F806" s="26"/>
      <c r="G806" s="26"/>
      <c r="H806" s="26"/>
      <c r="I806" s="26"/>
      <c r="J806" s="17"/>
      <c r="K806" s="17"/>
      <c r="L806" s="17"/>
      <c r="M806" s="17"/>
      <c r="N806" s="17"/>
      <c r="O806" s="17"/>
    </row>
    <row r="807" spans="1:15" x14ac:dyDescent="0.2">
      <c r="A807" s="5"/>
      <c r="B807" s="5"/>
      <c r="C807" s="6"/>
      <c r="D807" s="25"/>
      <c r="E807" s="26"/>
      <c r="F807" s="26"/>
      <c r="G807" s="26"/>
      <c r="H807" s="26"/>
      <c r="I807" s="26"/>
      <c r="J807" s="17"/>
      <c r="K807" s="17"/>
      <c r="L807" s="17"/>
      <c r="M807" s="17"/>
      <c r="N807" s="17"/>
      <c r="O807" s="17"/>
    </row>
    <row r="808" spans="1:15" x14ac:dyDescent="0.2">
      <c r="A808" s="5"/>
      <c r="B808" s="5"/>
      <c r="C808" s="6"/>
      <c r="D808" s="25"/>
      <c r="E808" s="26"/>
      <c r="F808" s="26"/>
      <c r="G808" s="26"/>
      <c r="H808" s="26"/>
      <c r="I808" s="26"/>
      <c r="J808" s="17"/>
      <c r="K808" s="17"/>
      <c r="L808" s="17"/>
      <c r="M808" s="17"/>
      <c r="N808" s="17"/>
      <c r="O808" s="17"/>
    </row>
    <row r="809" spans="1:15" x14ac:dyDescent="0.2">
      <c r="A809" s="5"/>
      <c r="B809" s="5"/>
      <c r="C809" s="6"/>
      <c r="D809" s="25"/>
      <c r="E809" s="26"/>
      <c r="F809" s="26"/>
      <c r="G809" s="26"/>
      <c r="H809" s="26"/>
      <c r="I809" s="26"/>
      <c r="J809" s="17"/>
      <c r="K809" s="17"/>
      <c r="L809" s="17"/>
      <c r="M809" s="17"/>
      <c r="N809" s="17"/>
      <c r="O809" s="17"/>
    </row>
    <row r="810" spans="1:15" x14ac:dyDescent="0.2">
      <c r="A810" s="5"/>
      <c r="B810" s="5"/>
      <c r="C810" s="6"/>
      <c r="D810" s="25"/>
      <c r="E810" s="26"/>
      <c r="F810" s="26"/>
      <c r="G810" s="26"/>
      <c r="H810" s="26"/>
      <c r="I810" s="26"/>
      <c r="J810" s="17"/>
      <c r="K810" s="17"/>
      <c r="L810" s="17"/>
      <c r="M810" s="17"/>
      <c r="N810" s="17"/>
      <c r="O810" s="17"/>
    </row>
    <row r="811" spans="1:15" x14ac:dyDescent="0.2">
      <c r="A811" s="5"/>
      <c r="B811" s="5"/>
      <c r="C811" s="6"/>
      <c r="D811" s="25"/>
      <c r="E811" s="26"/>
      <c r="F811" s="26"/>
      <c r="G811" s="26"/>
      <c r="H811" s="26"/>
      <c r="I811" s="26"/>
      <c r="J811" s="17"/>
      <c r="K811" s="17"/>
      <c r="L811" s="17"/>
      <c r="M811" s="17"/>
      <c r="N811" s="17"/>
      <c r="O811" s="17"/>
    </row>
    <row r="812" spans="1:15" x14ac:dyDescent="0.2">
      <c r="A812" s="5"/>
      <c r="B812" s="5"/>
      <c r="C812" s="6"/>
      <c r="D812" s="25"/>
      <c r="E812" s="26"/>
      <c r="F812" s="26"/>
      <c r="G812" s="26"/>
      <c r="H812" s="26"/>
      <c r="I812" s="26"/>
      <c r="J812" s="17"/>
      <c r="K812" s="17"/>
      <c r="L812" s="17"/>
      <c r="M812" s="17"/>
      <c r="N812" s="17"/>
      <c r="O812" s="17"/>
    </row>
    <row r="813" spans="1:15" x14ac:dyDescent="0.2">
      <c r="A813" s="5"/>
      <c r="B813" s="5"/>
      <c r="C813" s="6"/>
      <c r="D813" s="25"/>
      <c r="E813" s="26"/>
      <c r="F813" s="26"/>
      <c r="G813" s="26"/>
      <c r="H813" s="26"/>
      <c r="I813" s="26"/>
      <c r="J813" s="17"/>
      <c r="K813" s="17"/>
      <c r="L813" s="17"/>
      <c r="M813" s="17"/>
      <c r="N813" s="17"/>
      <c r="O813" s="17"/>
    </row>
    <row r="814" spans="1:15" x14ac:dyDescent="0.2">
      <c r="A814" s="5"/>
      <c r="B814" s="5"/>
      <c r="C814" s="6"/>
      <c r="D814" s="25"/>
      <c r="E814" s="26"/>
      <c r="F814" s="26"/>
      <c r="G814" s="26"/>
      <c r="H814" s="26"/>
      <c r="I814" s="26"/>
      <c r="J814" s="17"/>
      <c r="K814" s="17"/>
      <c r="L814" s="17"/>
      <c r="M814" s="17"/>
      <c r="N814" s="17"/>
      <c r="O814" s="17"/>
    </row>
    <row r="815" spans="1:15" x14ac:dyDescent="0.2">
      <c r="A815" s="5"/>
      <c r="B815" s="5"/>
      <c r="C815" s="6"/>
      <c r="D815" s="25"/>
      <c r="E815" s="26"/>
      <c r="F815" s="26"/>
      <c r="G815" s="26"/>
      <c r="H815" s="26"/>
      <c r="I815" s="26"/>
      <c r="J815" s="17"/>
      <c r="K815" s="17"/>
      <c r="L815" s="17"/>
      <c r="M815" s="17"/>
      <c r="N815" s="17"/>
      <c r="O815" s="17"/>
    </row>
    <row r="816" spans="1:15" x14ac:dyDescent="0.2">
      <c r="A816" s="5"/>
      <c r="B816" s="5"/>
      <c r="C816" s="6"/>
      <c r="D816" s="25"/>
      <c r="E816" s="26"/>
      <c r="F816" s="26"/>
      <c r="G816" s="26"/>
      <c r="H816" s="26"/>
      <c r="I816" s="26"/>
      <c r="J816" s="17"/>
      <c r="K816" s="17"/>
      <c r="L816" s="17"/>
      <c r="M816" s="17"/>
      <c r="N816" s="17"/>
      <c r="O816" s="17"/>
    </row>
    <row r="817" spans="1:15" x14ac:dyDescent="0.2">
      <c r="A817" s="5"/>
      <c r="B817" s="5"/>
      <c r="C817" s="6"/>
      <c r="D817" s="25"/>
      <c r="E817" s="26"/>
      <c r="F817" s="26"/>
      <c r="G817" s="26"/>
      <c r="H817" s="26"/>
      <c r="I817" s="26"/>
      <c r="J817" s="17"/>
      <c r="K817" s="17"/>
      <c r="L817" s="17"/>
      <c r="M817" s="17"/>
      <c r="N817" s="17"/>
      <c r="O817" s="17"/>
    </row>
    <row r="818" spans="1:15" x14ac:dyDescent="0.2">
      <c r="A818" s="5"/>
      <c r="B818" s="5"/>
      <c r="C818" s="6"/>
      <c r="D818" s="25"/>
      <c r="E818" s="26"/>
      <c r="F818" s="26"/>
      <c r="G818" s="26"/>
      <c r="H818" s="26"/>
      <c r="I818" s="26"/>
      <c r="J818" s="17"/>
      <c r="K818" s="17"/>
      <c r="L818" s="17"/>
      <c r="M818" s="17"/>
      <c r="N818" s="17"/>
      <c r="O818" s="17"/>
    </row>
    <row r="819" spans="1:15" x14ac:dyDescent="0.2">
      <c r="A819" s="5"/>
      <c r="B819" s="5"/>
      <c r="C819" s="6"/>
      <c r="D819" s="25"/>
      <c r="E819" s="26"/>
      <c r="F819" s="26"/>
      <c r="G819" s="26"/>
      <c r="H819" s="26"/>
      <c r="I819" s="26"/>
      <c r="J819" s="17"/>
      <c r="K819" s="17"/>
      <c r="L819" s="17"/>
      <c r="M819" s="17"/>
      <c r="N819" s="17"/>
      <c r="O819" s="17"/>
    </row>
    <row r="820" spans="1:15" x14ac:dyDescent="0.2">
      <c r="A820" s="5"/>
      <c r="B820" s="5"/>
      <c r="C820" s="6"/>
      <c r="D820" s="25"/>
      <c r="E820" s="26"/>
      <c r="F820" s="26"/>
      <c r="G820" s="26"/>
      <c r="H820" s="26"/>
      <c r="I820" s="26"/>
      <c r="J820" s="17"/>
      <c r="K820" s="17"/>
      <c r="L820" s="17"/>
      <c r="M820" s="17"/>
      <c r="N820" s="17"/>
      <c r="O820" s="17"/>
    </row>
    <row r="821" spans="1:15" x14ac:dyDescent="0.2">
      <c r="A821" s="5"/>
      <c r="B821" s="5"/>
      <c r="C821" s="6"/>
      <c r="D821" s="25"/>
      <c r="E821" s="26"/>
      <c r="F821" s="26"/>
      <c r="G821" s="26"/>
      <c r="H821" s="26"/>
      <c r="I821" s="26"/>
      <c r="J821" s="17"/>
      <c r="K821" s="17"/>
      <c r="L821" s="17"/>
      <c r="M821" s="17"/>
      <c r="N821" s="17"/>
      <c r="O821" s="17"/>
    </row>
    <row r="822" spans="1:15" x14ac:dyDescent="0.2">
      <c r="A822" s="5"/>
      <c r="B822" s="5"/>
      <c r="C822" s="6"/>
      <c r="D822" s="25"/>
      <c r="E822" s="26"/>
      <c r="F822" s="26"/>
      <c r="G822" s="26"/>
      <c r="H822" s="26"/>
      <c r="I822" s="26"/>
      <c r="J822" s="17"/>
      <c r="K822" s="17"/>
      <c r="L822" s="17"/>
      <c r="M822" s="17"/>
      <c r="N822" s="17"/>
      <c r="O822" s="17"/>
    </row>
    <row r="823" spans="1:15" x14ac:dyDescent="0.2">
      <c r="A823" s="5"/>
      <c r="B823" s="5"/>
      <c r="C823" s="6"/>
      <c r="D823" s="25"/>
      <c r="E823" s="26"/>
      <c r="F823" s="26"/>
      <c r="G823" s="26"/>
      <c r="H823" s="26"/>
      <c r="I823" s="26"/>
      <c r="J823" s="17"/>
      <c r="K823" s="17"/>
      <c r="L823" s="17"/>
      <c r="M823" s="17"/>
      <c r="N823" s="17"/>
      <c r="O823" s="17"/>
    </row>
    <row r="824" spans="1:15" x14ac:dyDescent="0.2">
      <c r="A824" s="5"/>
      <c r="B824" s="5"/>
      <c r="C824" s="6"/>
      <c r="D824" s="25"/>
      <c r="E824" s="26"/>
      <c r="F824" s="26"/>
      <c r="G824" s="26"/>
      <c r="H824" s="26"/>
      <c r="I824" s="26"/>
      <c r="J824" s="17"/>
      <c r="K824" s="17"/>
      <c r="L824" s="17"/>
      <c r="M824" s="17"/>
      <c r="N824" s="17"/>
      <c r="O824" s="17"/>
    </row>
    <row r="825" spans="1:15" x14ac:dyDescent="0.2">
      <c r="A825" s="5"/>
      <c r="B825" s="5"/>
      <c r="C825" s="6"/>
      <c r="D825" s="25"/>
      <c r="E825" s="26"/>
      <c r="F825" s="26"/>
      <c r="G825" s="26"/>
      <c r="H825" s="26"/>
      <c r="I825" s="26"/>
      <c r="J825" s="17"/>
      <c r="K825" s="17"/>
      <c r="L825" s="17"/>
      <c r="M825" s="17"/>
      <c r="N825" s="17"/>
      <c r="O825" s="17"/>
    </row>
    <row r="826" spans="1:15" x14ac:dyDescent="0.2">
      <c r="A826" s="5"/>
      <c r="B826" s="5"/>
      <c r="C826" s="6"/>
      <c r="D826" s="25"/>
      <c r="E826" s="26"/>
      <c r="F826" s="26"/>
      <c r="G826" s="26"/>
      <c r="H826" s="26"/>
      <c r="I826" s="26"/>
      <c r="J826" s="17"/>
      <c r="K826" s="17"/>
      <c r="L826" s="17"/>
      <c r="M826" s="17"/>
      <c r="N826" s="17"/>
      <c r="O826" s="17"/>
    </row>
    <row r="827" spans="1:15" x14ac:dyDescent="0.2">
      <c r="A827" s="5"/>
      <c r="B827" s="5"/>
      <c r="C827" s="6"/>
      <c r="D827" s="25"/>
      <c r="E827" s="26"/>
      <c r="F827" s="26"/>
      <c r="G827" s="26"/>
      <c r="H827" s="26"/>
      <c r="I827" s="26"/>
      <c r="J827" s="17"/>
      <c r="K827" s="17"/>
      <c r="L827" s="17"/>
      <c r="M827" s="17"/>
      <c r="N827" s="17"/>
      <c r="O827" s="17"/>
    </row>
    <row r="828" spans="1:15" x14ac:dyDescent="0.2">
      <c r="A828" s="5"/>
      <c r="B828" s="5"/>
      <c r="C828" s="6"/>
      <c r="D828" s="25"/>
      <c r="E828" s="26"/>
      <c r="F828" s="26"/>
      <c r="G828" s="26"/>
      <c r="H828" s="26"/>
      <c r="I828" s="26"/>
      <c r="J828" s="17"/>
      <c r="K828" s="17"/>
      <c r="L828" s="17"/>
      <c r="M828" s="17"/>
      <c r="N828" s="17"/>
      <c r="O828" s="17"/>
    </row>
    <row r="829" spans="1:15" x14ac:dyDescent="0.2">
      <c r="A829" s="5"/>
      <c r="B829" s="5"/>
      <c r="C829" s="6"/>
      <c r="D829" s="25"/>
      <c r="E829" s="26"/>
      <c r="F829" s="26"/>
      <c r="G829" s="26"/>
      <c r="H829" s="26"/>
      <c r="I829" s="26"/>
      <c r="J829" s="17"/>
      <c r="K829" s="17"/>
      <c r="L829" s="17"/>
      <c r="M829" s="17"/>
      <c r="N829" s="17"/>
      <c r="O829" s="17"/>
    </row>
    <row r="830" spans="1:15" x14ac:dyDescent="0.2">
      <c r="A830" s="5"/>
      <c r="B830" s="5"/>
      <c r="C830" s="6"/>
      <c r="D830" s="25"/>
      <c r="E830" s="26"/>
      <c r="F830" s="26"/>
      <c r="G830" s="26"/>
      <c r="H830" s="26"/>
      <c r="I830" s="26"/>
      <c r="J830" s="17"/>
      <c r="K830" s="17"/>
      <c r="L830" s="17"/>
      <c r="M830" s="17"/>
      <c r="N830" s="17"/>
      <c r="O830" s="17"/>
    </row>
    <row r="831" spans="1:15" x14ac:dyDescent="0.2">
      <c r="A831" s="5"/>
      <c r="B831" s="5"/>
      <c r="C831" s="6"/>
      <c r="D831" s="25"/>
      <c r="E831" s="26"/>
      <c r="F831" s="26"/>
      <c r="G831" s="26"/>
      <c r="H831" s="26"/>
      <c r="I831" s="26"/>
      <c r="J831" s="17"/>
      <c r="K831" s="17"/>
      <c r="L831" s="17"/>
      <c r="M831" s="17"/>
      <c r="N831" s="17"/>
      <c r="O831" s="17"/>
    </row>
    <row r="832" spans="1:15" x14ac:dyDescent="0.2">
      <c r="A832" s="5"/>
      <c r="B832" s="5"/>
      <c r="C832" s="6"/>
      <c r="D832" s="25"/>
      <c r="E832" s="26"/>
      <c r="F832" s="26"/>
      <c r="G832" s="26"/>
      <c r="H832" s="26"/>
      <c r="I832" s="26"/>
      <c r="J832" s="17"/>
      <c r="K832" s="17"/>
      <c r="L832" s="17"/>
      <c r="M832" s="17"/>
      <c r="N832" s="17"/>
      <c r="O832" s="17"/>
    </row>
    <row r="833" spans="1:15" x14ac:dyDescent="0.2">
      <c r="A833" s="5"/>
      <c r="B833" s="5"/>
      <c r="C833" s="6"/>
      <c r="D833" s="25"/>
      <c r="E833" s="26"/>
      <c r="F833" s="26"/>
      <c r="G833" s="26"/>
      <c r="H833" s="26"/>
      <c r="I833" s="26"/>
      <c r="J833" s="17"/>
      <c r="K833" s="17"/>
      <c r="L833" s="17"/>
      <c r="M833" s="17"/>
      <c r="N833" s="17"/>
      <c r="O833" s="17"/>
    </row>
    <row r="834" spans="1:15" x14ac:dyDescent="0.2">
      <c r="A834" s="5"/>
      <c r="B834" s="5"/>
      <c r="C834" s="6"/>
      <c r="D834" s="25"/>
      <c r="E834" s="26"/>
      <c r="F834" s="26"/>
      <c r="G834" s="26"/>
      <c r="H834" s="26"/>
      <c r="I834" s="26"/>
      <c r="J834" s="17"/>
      <c r="K834" s="17"/>
      <c r="L834" s="17"/>
      <c r="M834" s="17"/>
      <c r="N834" s="17"/>
      <c r="O834" s="17"/>
    </row>
    <row r="835" spans="1:15" x14ac:dyDescent="0.2">
      <c r="A835" s="5"/>
      <c r="B835" s="5"/>
      <c r="C835" s="6"/>
      <c r="D835" s="25"/>
      <c r="E835" s="26"/>
      <c r="F835" s="26"/>
      <c r="G835" s="26"/>
      <c r="H835" s="26"/>
      <c r="I835" s="26"/>
      <c r="J835" s="17"/>
      <c r="K835" s="17"/>
      <c r="L835" s="17"/>
      <c r="M835" s="17"/>
      <c r="N835" s="17"/>
      <c r="O835" s="17"/>
    </row>
    <row r="836" spans="1:15" x14ac:dyDescent="0.2">
      <c r="A836" s="5"/>
      <c r="B836" s="5"/>
      <c r="C836" s="6"/>
      <c r="D836" s="25"/>
      <c r="E836" s="26"/>
      <c r="F836" s="26"/>
      <c r="G836" s="26"/>
      <c r="H836" s="26"/>
      <c r="I836" s="26"/>
      <c r="J836" s="17"/>
      <c r="K836" s="17"/>
      <c r="L836" s="17"/>
      <c r="M836" s="17"/>
      <c r="N836" s="17"/>
      <c r="O836" s="17"/>
    </row>
    <row r="837" spans="1:15" x14ac:dyDescent="0.2">
      <c r="A837" s="5"/>
      <c r="B837" s="5"/>
      <c r="C837" s="6"/>
      <c r="D837" s="25"/>
      <c r="E837" s="26"/>
      <c r="F837" s="26"/>
      <c r="G837" s="26"/>
      <c r="H837" s="26"/>
      <c r="I837" s="26"/>
      <c r="J837" s="17"/>
      <c r="K837" s="17"/>
      <c r="L837" s="17"/>
      <c r="M837" s="17"/>
      <c r="N837" s="17"/>
      <c r="O837" s="17"/>
    </row>
    <row r="838" spans="1:15" x14ac:dyDescent="0.2">
      <c r="A838" s="5"/>
      <c r="B838" s="5"/>
      <c r="C838" s="6"/>
      <c r="D838" s="25"/>
      <c r="E838" s="26"/>
      <c r="F838" s="26"/>
      <c r="G838" s="26"/>
      <c r="H838" s="26"/>
      <c r="I838" s="26"/>
      <c r="J838" s="17"/>
      <c r="K838" s="17"/>
      <c r="L838" s="17"/>
      <c r="M838" s="17"/>
      <c r="N838" s="17"/>
      <c r="O838" s="17"/>
    </row>
    <row r="839" spans="1:15" x14ac:dyDescent="0.2">
      <c r="A839" s="5"/>
      <c r="B839" s="5"/>
      <c r="C839" s="6"/>
      <c r="D839" s="25"/>
      <c r="E839" s="26"/>
      <c r="F839" s="26"/>
      <c r="G839" s="26"/>
      <c r="H839" s="26"/>
      <c r="I839" s="26"/>
      <c r="J839" s="17"/>
      <c r="K839" s="17"/>
      <c r="L839" s="17"/>
      <c r="M839" s="17"/>
      <c r="N839" s="17"/>
      <c r="O839" s="17"/>
    </row>
    <row r="840" spans="1:15" x14ac:dyDescent="0.2">
      <c r="A840" s="5"/>
      <c r="B840" s="5"/>
      <c r="C840" s="6"/>
      <c r="D840" s="25"/>
      <c r="E840" s="26"/>
      <c r="F840" s="26"/>
      <c r="G840" s="26"/>
      <c r="H840" s="26"/>
      <c r="I840" s="26"/>
      <c r="J840" s="17"/>
      <c r="K840" s="17"/>
      <c r="L840" s="17"/>
      <c r="M840" s="17"/>
      <c r="N840" s="17"/>
      <c r="O840" s="17"/>
    </row>
    <row r="841" spans="1:15" x14ac:dyDescent="0.2">
      <c r="A841" s="5"/>
      <c r="B841" s="5"/>
      <c r="C841" s="6"/>
      <c r="D841" s="25"/>
      <c r="E841" s="26"/>
      <c r="F841" s="26"/>
      <c r="G841" s="26"/>
      <c r="H841" s="26"/>
      <c r="I841" s="26"/>
      <c r="J841" s="17"/>
      <c r="K841" s="17"/>
      <c r="L841" s="17"/>
      <c r="M841" s="17"/>
      <c r="N841" s="17"/>
      <c r="O841" s="17"/>
    </row>
    <row r="842" spans="1:15" x14ac:dyDescent="0.2">
      <c r="A842" s="5"/>
      <c r="B842" s="5"/>
      <c r="C842" s="6"/>
      <c r="D842" s="25"/>
      <c r="E842" s="26"/>
      <c r="F842" s="26"/>
      <c r="G842" s="26"/>
      <c r="H842" s="26"/>
      <c r="I842" s="26"/>
      <c r="J842" s="17"/>
      <c r="K842" s="17"/>
      <c r="L842" s="17"/>
      <c r="M842" s="17"/>
      <c r="N842" s="17"/>
      <c r="O842" s="17"/>
    </row>
    <row r="843" spans="1:15" x14ac:dyDescent="0.2">
      <c r="A843" s="5"/>
      <c r="B843" s="5"/>
      <c r="C843" s="6"/>
      <c r="D843" s="25"/>
      <c r="E843" s="26"/>
      <c r="F843" s="26"/>
      <c r="G843" s="26"/>
      <c r="H843" s="26"/>
      <c r="I843" s="26"/>
      <c r="J843" s="17"/>
      <c r="K843" s="17"/>
      <c r="L843" s="17"/>
      <c r="M843" s="17"/>
      <c r="N843" s="17"/>
      <c r="O843" s="17"/>
    </row>
    <row r="844" spans="1:15" x14ac:dyDescent="0.2">
      <c r="A844" s="5"/>
      <c r="B844" s="5"/>
      <c r="C844" s="6"/>
      <c r="D844" s="25"/>
      <c r="E844" s="26"/>
      <c r="F844" s="26"/>
      <c r="G844" s="26"/>
      <c r="H844" s="26"/>
      <c r="I844" s="26"/>
      <c r="J844" s="17"/>
      <c r="K844" s="17"/>
      <c r="L844" s="17"/>
      <c r="M844" s="17"/>
      <c r="N844" s="17"/>
      <c r="O844" s="17"/>
    </row>
    <row r="845" spans="1:15" x14ac:dyDescent="0.2">
      <c r="A845" s="5"/>
      <c r="B845" s="5"/>
      <c r="C845" s="6"/>
      <c r="D845" s="25"/>
      <c r="E845" s="26"/>
      <c r="F845" s="26"/>
      <c r="G845" s="26"/>
      <c r="H845" s="26"/>
      <c r="I845" s="26"/>
      <c r="J845" s="17"/>
      <c r="K845" s="17"/>
      <c r="L845" s="17"/>
      <c r="M845" s="17"/>
      <c r="N845" s="17"/>
      <c r="O845" s="17"/>
    </row>
    <row r="846" spans="1:15" x14ac:dyDescent="0.2">
      <c r="A846" s="5"/>
      <c r="B846" s="5"/>
      <c r="C846" s="6"/>
      <c r="D846" s="25"/>
      <c r="E846" s="26"/>
      <c r="F846" s="26"/>
      <c r="G846" s="26"/>
      <c r="H846" s="26"/>
      <c r="I846" s="26"/>
      <c r="J846" s="17"/>
      <c r="K846" s="17"/>
      <c r="L846" s="17"/>
      <c r="M846" s="17"/>
      <c r="N846" s="17"/>
      <c r="O846" s="17"/>
    </row>
    <row r="847" spans="1:15" x14ac:dyDescent="0.2">
      <c r="A847" s="5"/>
      <c r="B847" s="5"/>
      <c r="C847" s="6"/>
      <c r="D847" s="25"/>
      <c r="E847" s="26"/>
      <c r="F847" s="26"/>
      <c r="G847" s="26"/>
      <c r="H847" s="26"/>
      <c r="I847" s="26"/>
      <c r="J847" s="17"/>
      <c r="K847" s="17"/>
      <c r="L847" s="17"/>
      <c r="M847" s="17"/>
      <c r="N847" s="17"/>
      <c r="O847" s="17"/>
    </row>
    <row r="848" spans="1:15" x14ac:dyDescent="0.2">
      <c r="A848" s="5"/>
      <c r="B848" s="5"/>
      <c r="C848" s="6"/>
      <c r="D848" s="25"/>
      <c r="E848" s="26"/>
      <c r="F848" s="26"/>
      <c r="G848" s="26"/>
      <c r="H848" s="26"/>
      <c r="I848" s="26"/>
      <c r="J848" s="17"/>
      <c r="K848" s="17"/>
      <c r="L848" s="17"/>
      <c r="M848" s="17"/>
      <c r="N848" s="17"/>
      <c r="O848" s="17"/>
    </row>
    <row r="849" spans="1:15" x14ac:dyDescent="0.2">
      <c r="A849" s="5"/>
      <c r="B849" s="5"/>
      <c r="C849" s="6"/>
      <c r="D849" s="25"/>
      <c r="E849" s="26"/>
      <c r="F849" s="26"/>
      <c r="G849" s="26"/>
      <c r="H849" s="26"/>
      <c r="I849" s="26"/>
      <c r="J849" s="17"/>
      <c r="K849" s="17"/>
      <c r="L849" s="17"/>
      <c r="M849" s="17"/>
      <c r="N849" s="17"/>
      <c r="O849" s="17"/>
    </row>
    <row r="850" spans="1:15" x14ac:dyDescent="0.2">
      <c r="A850" s="5"/>
      <c r="B850" s="5"/>
      <c r="C850" s="6"/>
      <c r="D850" s="25"/>
      <c r="E850" s="26"/>
      <c r="F850" s="26"/>
      <c r="G850" s="26"/>
      <c r="H850" s="26"/>
      <c r="I850" s="26"/>
      <c r="J850" s="17"/>
      <c r="K850" s="17"/>
      <c r="L850" s="17"/>
      <c r="M850" s="17"/>
      <c r="N850" s="17"/>
      <c r="O850" s="17"/>
    </row>
    <row r="851" spans="1:15" x14ac:dyDescent="0.2">
      <c r="A851" s="5"/>
      <c r="B851" s="5"/>
      <c r="C851" s="6"/>
      <c r="D851" s="25"/>
      <c r="E851" s="26"/>
      <c r="F851" s="26"/>
      <c r="G851" s="26"/>
      <c r="H851" s="26"/>
      <c r="I851" s="26"/>
      <c r="J851" s="17"/>
      <c r="K851" s="17"/>
      <c r="L851" s="17"/>
      <c r="M851" s="17"/>
      <c r="N851" s="17"/>
      <c r="O851" s="17"/>
    </row>
    <row r="852" spans="1:15" x14ac:dyDescent="0.2">
      <c r="A852" s="5"/>
      <c r="B852" s="5"/>
      <c r="C852" s="6"/>
      <c r="D852" s="25"/>
      <c r="E852" s="26"/>
      <c r="F852" s="26"/>
      <c r="G852" s="26"/>
      <c r="H852" s="26"/>
      <c r="I852" s="26"/>
      <c r="J852" s="17"/>
      <c r="K852" s="17"/>
      <c r="L852" s="17"/>
      <c r="M852" s="17"/>
      <c r="N852" s="17"/>
      <c r="O852" s="17"/>
    </row>
    <row r="853" spans="1:15" x14ac:dyDescent="0.2">
      <c r="A853" s="5"/>
      <c r="B853" s="5"/>
      <c r="C853" s="6"/>
      <c r="D853" s="25"/>
      <c r="E853" s="26"/>
      <c r="F853" s="26"/>
      <c r="G853" s="26"/>
      <c r="H853" s="26"/>
      <c r="I853" s="26"/>
      <c r="J853" s="17"/>
      <c r="K853" s="17"/>
      <c r="L853" s="17"/>
      <c r="M853" s="17"/>
      <c r="N853" s="17"/>
      <c r="O853" s="17"/>
    </row>
    <row r="854" spans="1:15" x14ac:dyDescent="0.2">
      <c r="A854" s="5"/>
      <c r="B854" s="5"/>
      <c r="C854" s="6"/>
      <c r="D854" s="25"/>
      <c r="E854" s="26"/>
      <c r="F854" s="26"/>
      <c r="G854" s="26"/>
      <c r="H854" s="26"/>
      <c r="I854" s="26"/>
      <c r="J854" s="17"/>
      <c r="K854" s="17"/>
      <c r="L854" s="17"/>
      <c r="M854" s="17"/>
      <c r="N854" s="17"/>
      <c r="O854" s="17"/>
    </row>
    <row r="855" spans="1:15" x14ac:dyDescent="0.2">
      <c r="A855" s="5"/>
      <c r="B855" s="5"/>
      <c r="C855" s="6"/>
      <c r="D855" s="25"/>
      <c r="E855" s="26"/>
      <c r="F855" s="26"/>
      <c r="G855" s="26"/>
      <c r="H855" s="26"/>
      <c r="I855" s="26"/>
      <c r="J855" s="17"/>
      <c r="K855" s="17"/>
      <c r="L855" s="17"/>
      <c r="M855" s="17"/>
      <c r="N855" s="17"/>
      <c r="O855" s="17"/>
    </row>
    <row r="856" spans="1:15" x14ac:dyDescent="0.2">
      <c r="A856" s="5"/>
      <c r="B856" s="5"/>
      <c r="C856" s="6"/>
      <c r="D856" s="25"/>
      <c r="E856" s="26"/>
      <c r="F856" s="26"/>
      <c r="G856" s="26"/>
      <c r="H856" s="26"/>
      <c r="I856" s="26"/>
      <c r="J856" s="17"/>
      <c r="K856" s="17"/>
      <c r="L856" s="17"/>
      <c r="M856" s="17"/>
      <c r="N856" s="17"/>
      <c r="O856" s="17"/>
    </row>
    <row r="857" spans="1:15" x14ac:dyDescent="0.2">
      <c r="A857" s="5"/>
      <c r="B857" s="5"/>
      <c r="C857" s="6"/>
      <c r="D857" s="25"/>
      <c r="E857" s="26"/>
      <c r="F857" s="26"/>
      <c r="G857" s="26"/>
      <c r="H857" s="26"/>
      <c r="I857" s="26"/>
      <c r="J857" s="17"/>
      <c r="K857" s="17"/>
      <c r="L857" s="17"/>
      <c r="M857" s="17"/>
      <c r="N857" s="17"/>
      <c r="O857" s="17"/>
    </row>
    <row r="858" spans="1:15" x14ac:dyDescent="0.2">
      <c r="A858" s="5"/>
      <c r="B858" s="5"/>
      <c r="C858" s="6"/>
      <c r="D858" s="25"/>
      <c r="E858" s="26"/>
      <c r="F858" s="26"/>
      <c r="G858" s="26"/>
      <c r="H858" s="26"/>
      <c r="I858" s="26"/>
      <c r="J858" s="17"/>
      <c r="K858" s="17"/>
      <c r="L858" s="17"/>
      <c r="M858" s="17"/>
      <c r="N858" s="17"/>
      <c r="O858" s="17"/>
    </row>
    <row r="859" spans="1:15" x14ac:dyDescent="0.2">
      <c r="A859" s="5"/>
      <c r="B859" s="5"/>
      <c r="C859" s="6"/>
      <c r="D859" s="25"/>
      <c r="E859" s="26"/>
      <c r="F859" s="26"/>
      <c r="G859" s="26"/>
      <c r="H859" s="26"/>
      <c r="I859" s="26"/>
      <c r="J859" s="17"/>
      <c r="K859" s="17"/>
      <c r="L859" s="17"/>
      <c r="M859" s="17"/>
      <c r="N859" s="17"/>
      <c r="O859" s="17"/>
    </row>
    <row r="860" spans="1:15" x14ac:dyDescent="0.2">
      <c r="A860" s="5"/>
      <c r="B860" s="5"/>
      <c r="C860" s="6"/>
      <c r="D860" s="25"/>
      <c r="E860" s="26"/>
      <c r="F860" s="26"/>
      <c r="G860" s="26"/>
      <c r="H860" s="26"/>
      <c r="I860" s="26"/>
      <c r="J860" s="17"/>
      <c r="K860" s="17"/>
      <c r="L860" s="17"/>
      <c r="M860" s="17"/>
      <c r="N860" s="17"/>
      <c r="O860" s="17"/>
    </row>
    <row r="861" spans="1:15" x14ac:dyDescent="0.2">
      <c r="A861" s="5"/>
      <c r="B861" s="5"/>
      <c r="C861" s="6"/>
      <c r="D861" s="25"/>
      <c r="E861" s="26"/>
      <c r="F861" s="26"/>
      <c r="G861" s="26"/>
      <c r="H861" s="26"/>
      <c r="I861" s="26"/>
      <c r="J861" s="17"/>
      <c r="K861" s="17"/>
      <c r="L861" s="17"/>
      <c r="M861" s="17"/>
      <c r="N861" s="17"/>
      <c r="O861" s="17"/>
    </row>
    <row r="862" spans="1:15" x14ac:dyDescent="0.2">
      <c r="A862" s="5"/>
      <c r="B862" s="5"/>
      <c r="C862" s="6"/>
      <c r="D862" s="25"/>
      <c r="E862" s="26"/>
      <c r="F862" s="26"/>
      <c r="G862" s="26"/>
      <c r="H862" s="26"/>
      <c r="I862" s="26"/>
      <c r="J862" s="17"/>
      <c r="K862" s="17"/>
      <c r="L862" s="17"/>
      <c r="M862" s="17"/>
      <c r="N862" s="17"/>
      <c r="O862" s="17"/>
    </row>
    <row r="863" spans="1:15" x14ac:dyDescent="0.2">
      <c r="A863" s="5"/>
      <c r="B863" s="5"/>
      <c r="C863" s="6"/>
      <c r="D863" s="25"/>
      <c r="E863" s="26"/>
      <c r="F863" s="26"/>
      <c r="G863" s="26"/>
      <c r="H863" s="26"/>
      <c r="I863" s="26"/>
      <c r="J863" s="17"/>
      <c r="K863" s="17"/>
      <c r="L863" s="17"/>
      <c r="M863" s="17"/>
      <c r="N863" s="17"/>
      <c r="O863" s="17"/>
    </row>
    <row r="864" spans="1:15" x14ac:dyDescent="0.2">
      <c r="A864" s="5"/>
      <c r="B864" s="5"/>
      <c r="C864" s="6"/>
      <c r="D864" s="25"/>
      <c r="E864" s="26"/>
      <c r="F864" s="26"/>
      <c r="G864" s="26"/>
      <c r="H864" s="26"/>
      <c r="I864" s="26"/>
      <c r="J864" s="17"/>
      <c r="K864" s="17"/>
      <c r="L864" s="17"/>
      <c r="M864" s="17"/>
      <c r="N864" s="17"/>
      <c r="O864" s="17"/>
    </row>
    <row r="865" spans="1:15" x14ac:dyDescent="0.2">
      <c r="A865" s="5"/>
      <c r="B865" s="5"/>
      <c r="C865" s="6"/>
      <c r="D865" s="25"/>
      <c r="E865" s="26"/>
      <c r="F865" s="26"/>
      <c r="G865" s="26"/>
      <c r="H865" s="26"/>
      <c r="I865" s="26"/>
      <c r="J865" s="17"/>
      <c r="K865" s="17"/>
      <c r="L865" s="17"/>
      <c r="M865" s="17"/>
      <c r="N865" s="17"/>
      <c r="O865" s="17"/>
    </row>
    <row r="866" spans="1:15" x14ac:dyDescent="0.2">
      <c r="A866" s="5"/>
      <c r="B866" s="5"/>
      <c r="C866" s="6"/>
      <c r="D866" s="25"/>
      <c r="E866" s="26"/>
      <c r="F866" s="26"/>
      <c r="G866" s="26"/>
      <c r="H866" s="26"/>
      <c r="I866" s="26"/>
      <c r="J866" s="17"/>
      <c r="K866" s="17"/>
      <c r="L866" s="17"/>
      <c r="M866" s="17"/>
      <c r="N866" s="17"/>
      <c r="O866" s="17"/>
    </row>
    <row r="867" spans="1:15" x14ac:dyDescent="0.2">
      <c r="A867" s="5"/>
      <c r="B867" s="5"/>
      <c r="C867" s="6"/>
      <c r="D867" s="25"/>
      <c r="E867" s="26"/>
      <c r="F867" s="26"/>
      <c r="G867" s="26"/>
      <c r="H867" s="26"/>
      <c r="I867" s="26"/>
      <c r="J867" s="17"/>
      <c r="K867" s="17"/>
      <c r="L867" s="17"/>
      <c r="M867" s="17"/>
      <c r="N867" s="17"/>
      <c r="O867" s="17"/>
    </row>
    <row r="868" spans="1:15" x14ac:dyDescent="0.2">
      <c r="A868" s="5"/>
      <c r="B868" s="5"/>
      <c r="C868" s="6"/>
      <c r="D868" s="25"/>
      <c r="E868" s="26"/>
      <c r="F868" s="26"/>
      <c r="G868" s="26"/>
      <c r="H868" s="26"/>
      <c r="I868" s="26"/>
      <c r="J868" s="17"/>
      <c r="K868" s="17"/>
      <c r="L868" s="17"/>
      <c r="M868" s="17"/>
      <c r="N868" s="17"/>
      <c r="O868" s="17"/>
    </row>
    <row r="869" spans="1:15" x14ac:dyDescent="0.2">
      <c r="A869" s="5"/>
      <c r="B869" s="5"/>
      <c r="C869" s="6"/>
      <c r="D869" s="25"/>
      <c r="E869" s="26"/>
      <c r="F869" s="26"/>
      <c r="G869" s="26"/>
      <c r="H869" s="26"/>
      <c r="I869" s="26"/>
      <c r="J869" s="17"/>
      <c r="K869" s="17"/>
      <c r="L869" s="17"/>
      <c r="M869" s="17"/>
      <c r="N869" s="17"/>
      <c r="O869" s="17"/>
    </row>
    <row r="870" spans="1:15" x14ac:dyDescent="0.2">
      <c r="A870" s="5"/>
      <c r="B870" s="5"/>
      <c r="C870" s="6"/>
      <c r="D870" s="25"/>
      <c r="E870" s="26"/>
      <c r="F870" s="26"/>
      <c r="G870" s="26"/>
      <c r="H870" s="26"/>
      <c r="I870" s="26"/>
      <c r="J870" s="17"/>
      <c r="K870" s="17"/>
      <c r="L870" s="17"/>
      <c r="M870" s="17"/>
      <c r="N870" s="17"/>
      <c r="O870" s="17"/>
    </row>
    <row r="871" spans="1:15" x14ac:dyDescent="0.2">
      <c r="A871" s="5"/>
      <c r="B871" s="5"/>
      <c r="C871" s="6"/>
      <c r="D871" s="25"/>
      <c r="E871" s="26"/>
      <c r="F871" s="26"/>
      <c r="G871" s="26"/>
      <c r="H871" s="26"/>
      <c r="I871" s="26"/>
      <c r="J871" s="17"/>
      <c r="K871" s="17"/>
      <c r="L871" s="17"/>
      <c r="M871" s="17"/>
      <c r="N871" s="17"/>
      <c r="O871" s="17"/>
    </row>
    <row r="872" spans="1:15" x14ac:dyDescent="0.2">
      <c r="A872" s="5"/>
      <c r="B872" s="5"/>
      <c r="C872" s="6"/>
      <c r="D872" s="25"/>
      <c r="E872" s="26"/>
      <c r="F872" s="26"/>
      <c r="G872" s="26"/>
      <c r="H872" s="26"/>
      <c r="I872" s="26"/>
      <c r="J872" s="17"/>
      <c r="K872" s="17"/>
      <c r="L872" s="17"/>
      <c r="M872" s="17"/>
      <c r="N872" s="17"/>
      <c r="O872" s="17"/>
    </row>
    <row r="873" spans="1:15" x14ac:dyDescent="0.2">
      <c r="A873" s="5"/>
      <c r="B873" s="5"/>
      <c r="C873" s="6"/>
      <c r="D873" s="25"/>
      <c r="E873" s="26"/>
      <c r="F873" s="26"/>
      <c r="G873" s="26"/>
      <c r="H873" s="26"/>
      <c r="I873" s="26"/>
      <c r="J873" s="17"/>
      <c r="K873" s="17"/>
      <c r="L873" s="17"/>
      <c r="M873" s="17"/>
      <c r="N873" s="17"/>
      <c r="O873" s="17"/>
    </row>
    <row r="874" spans="1:15" x14ac:dyDescent="0.2">
      <c r="A874" s="5"/>
      <c r="B874" s="5"/>
      <c r="C874" s="6"/>
      <c r="D874" s="25"/>
      <c r="E874" s="26"/>
      <c r="F874" s="26"/>
      <c r="G874" s="26"/>
      <c r="H874" s="26"/>
      <c r="I874" s="26"/>
      <c r="J874" s="17"/>
      <c r="K874" s="17"/>
      <c r="L874" s="17"/>
      <c r="M874" s="17"/>
      <c r="N874" s="17"/>
      <c r="O874" s="17"/>
    </row>
    <row r="875" spans="1:15" x14ac:dyDescent="0.2">
      <c r="A875" s="5"/>
      <c r="B875" s="5"/>
      <c r="C875" s="6"/>
      <c r="D875" s="25"/>
      <c r="E875" s="26"/>
      <c r="F875" s="26"/>
      <c r="G875" s="26"/>
      <c r="H875" s="26"/>
      <c r="I875" s="26"/>
      <c r="J875" s="17"/>
      <c r="K875" s="17"/>
      <c r="L875" s="17"/>
      <c r="M875" s="17"/>
      <c r="N875" s="17"/>
      <c r="O875" s="17"/>
    </row>
    <row r="876" spans="1:15" x14ac:dyDescent="0.2">
      <c r="A876" s="5"/>
      <c r="B876" s="5"/>
      <c r="C876" s="6"/>
      <c r="D876" s="25"/>
      <c r="E876" s="26"/>
      <c r="F876" s="26"/>
      <c r="G876" s="26"/>
      <c r="H876" s="26"/>
      <c r="I876" s="26"/>
      <c r="J876" s="17"/>
      <c r="K876" s="17"/>
      <c r="L876" s="17"/>
      <c r="M876" s="17"/>
      <c r="N876" s="17"/>
      <c r="O876" s="17"/>
    </row>
    <row r="877" spans="1:15" x14ac:dyDescent="0.2">
      <c r="A877" s="5"/>
      <c r="B877" s="5"/>
      <c r="C877" s="6"/>
      <c r="D877" s="25"/>
      <c r="E877" s="26"/>
      <c r="F877" s="26"/>
      <c r="G877" s="26"/>
      <c r="H877" s="26"/>
      <c r="I877" s="26"/>
      <c r="J877" s="17"/>
      <c r="K877" s="17"/>
      <c r="L877" s="17"/>
      <c r="M877" s="17"/>
      <c r="N877" s="17"/>
      <c r="O877" s="17"/>
    </row>
    <row r="878" spans="1:15" x14ac:dyDescent="0.2">
      <c r="A878" s="5"/>
      <c r="B878" s="5"/>
      <c r="C878" s="6"/>
      <c r="D878" s="25"/>
      <c r="E878" s="26"/>
      <c r="F878" s="26"/>
      <c r="G878" s="26"/>
      <c r="H878" s="26"/>
      <c r="I878" s="26"/>
      <c r="J878" s="17"/>
      <c r="K878" s="17"/>
      <c r="L878" s="17"/>
      <c r="M878" s="17"/>
      <c r="N878" s="17"/>
      <c r="O878" s="17"/>
    </row>
    <row r="879" spans="1:15" x14ac:dyDescent="0.2">
      <c r="A879" s="5"/>
      <c r="B879" s="5"/>
      <c r="C879" s="6"/>
      <c r="D879" s="25"/>
      <c r="E879" s="26"/>
      <c r="F879" s="26"/>
      <c r="G879" s="26"/>
      <c r="H879" s="26"/>
      <c r="I879" s="26"/>
      <c r="J879" s="17"/>
      <c r="K879" s="17"/>
      <c r="L879" s="17"/>
      <c r="M879" s="17"/>
      <c r="N879" s="17"/>
      <c r="O879" s="17"/>
    </row>
    <row r="880" spans="1:15" x14ac:dyDescent="0.2">
      <c r="A880" s="5"/>
      <c r="B880" s="5"/>
      <c r="C880" s="6"/>
      <c r="D880" s="25"/>
      <c r="E880" s="26"/>
      <c r="F880" s="26"/>
      <c r="G880" s="26"/>
      <c r="H880" s="26"/>
      <c r="I880" s="26"/>
      <c r="J880" s="17"/>
      <c r="K880" s="17"/>
      <c r="L880" s="17"/>
      <c r="M880" s="17"/>
      <c r="N880" s="17"/>
      <c r="O880" s="17"/>
    </row>
    <row r="881" spans="1:15" x14ac:dyDescent="0.2">
      <c r="A881" s="5"/>
      <c r="B881" s="5"/>
      <c r="C881" s="6"/>
      <c r="D881" s="25"/>
      <c r="E881" s="26"/>
      <c r="F881" s="26"/>
      <c r="G881" s="26"/>
      <c r="H881" s="26"/>
      <c r="I881" s="26"/>
      <c r="J881" s="17"/>
      <c r="K881" s="17"/>
      <c r="L881" s="17"/>
      <c r="M881" s="17"/>
      <c r="N881" s="17"/>
      <c r="O881" s="17"/>
    </row>
    <row r="882" spans="1:15" x14ac:dyDescent="0.2">
      <c r="A882" s="5"/>
      <c r="B882" s="5"/>
      <c r="C882" s="6"/>
      <c r="D882" s="25"/>
      <c r="E882" s="26"/>
      <c r="F882" s="26"/>
      <c r="G882" s="26"/>
      <c r="H882" s="26"/>
      <c r="I882" s="26"/>
      <c r="J882" s="17"/>
      <c r="K882" s="17"/>
      <c r="L882" s="17"/>
      <c r="M882" s="17"/>
      <c r="N882" s="17"/>
      <c r="O882" s="17"/>
    </row>
    <row r="883" spans="1:15" x14ac:dyDescent="0.2">
      <c r="A883" s="5"/>
      <c r="B883" s="5"/>
      <c r="C883" s="6"/>
      <c r="D883" s="25"/>
      <c r="E883" s="26"/>
      <c r="F883" s="26"/>
      <c r="G883" s="26"/>
      <c r="H883" s="26"/>
      <c r="I883" s="26"/>
      <c r="J883" s="17"/>
      <c r="K883" s="17"/>
      <c r="L883" s="17"/>
      <c r="M883" s="17"/>
      <c r="N883" s="17"/>
      <c r="O883" s="17"/>
    </row>
    <row r="884" spans="1:15" x14ac:dyDescent="0.2">
      <c r="A884" s="5"/>
      <c r="B884" s="5"/>
      <c r="C884" s="6"/>
      <c r="D884" s="25"/>
      <c r="E884" s="26"/>
      <c r="F884" s="26"/>
      <c r="G884" s="26"/>
      <c r="H884" s="26"/>
      <c r="I884" s="26"/>
      <c r="J884" s="17"/>
      <c r="K884" s="17"/>
      <c r="L884" s="17"/>
      <c r="M884" s="17"/>
      <c r="N884" s="17"/>
      <c r="O884" s="17"/>
    </row>
    <row r="885" spans="1:15" x14ac:dyDescent="0.2">
      <c r="A885" s="5"/>
      <c r="B885" s="5"/>
      <c r="C885" s="6"/>
      <c r="D885" s="25"/>
      <c r="E885" s="26"/>
      <c r="F885" s="26"/>
      <c r="G885" s="26"/>
      <c r="H885" s="26"/>
      <c r="I885" s="26"/>
      <c r="J885" s="17"/>
      <c r="K885" s="17"/>
      <c r="L885" s="17"/>
      <c r="M885" s="17"/>
      <c r="N885" s="17"/>
      <c r="O885" s="17"/>
    </row>
    <row r="886" spans="1:15" x14ac:dyDescent="0.2">
      <c r="A886" s="5"/>
      <c r="B886" s="5"/>
      <c r="C886" s="6"/>
      <c r="D886" s="25"/>
      <c r="E886" s="26"/>
      <c r="F886" s="26"/>
      <c r="G886" s="26"/>
      <c r="H886" s="26"/>
      <c r="I886" s="26"/>
      <c r="J886" s="17"/>
      <c r="K886" s="17"/>
      <c r="L886" s="17"/>
      <c r="M886" s="17"/>
      <c r="N886" s="17"/>
      <c r="O886" s="17"/>
    </row>
    <row r="887" spans="1:15" x14ac:dyDescent="0.2">
      <c r="A887" s="5"/>
      <c r="B887" s="5"/>
      <c r="C887" s="6"/>
      <c r="D887" s="25"/>
      <c r="E887" s="26"/>
      <c r="F887" s="26"/>
      <c r="G887" s="26"/>
      <c r="H887" s="26"/>
      <c r="I887" s="26"/>
      <c r="J887" s="17"/>
      <c r="K887" s="17"/>
      <c r="L887" s="17"/>
      <c r="M887" s="17"/>
      <c r="N887" s="17"/>
      <c r="O887" s="17"/>
    </row>
    <row r="888" spans="1:15" x14ac:dyDescent="0.2">
      <c r="A888" s="5"/>
      <c r="B888" s="5"/>
      <c r="C888" s="6"/>
      <c r="D888" s="25"/>
      <c r="E888" s="26"/>
      <c r="F888" s="26"/>
      <c r="G888" s="26"/>
      <c r="H888" s="26"/>
      <c r="I888" s="26"/>
      <c r="J888" s="17"/>
      <c r="K888" s="17"/>
      <c r="L888" s="17"/>
      <c r="M888" s="17"/>
      <c r="N888" s="17"/>
      <c r="O888" s="17"/>
    </row>
    <row r="889" spans="1:15" x14ac:dyDescent="0.2">
      <c r="A889" s="5"/>
      <c r="B889" s="5"/>
      <c r="C889" s="6"/>
      <c r="D889" s="25"/>
      <c r="E889" s="26"/>
      <c r="F889" s="26"/>
      <c r="G889" s="26"/>
      <c r="H889" s="26"/>
      <c r="I889" s="26"/>
      <c r="J889" s="17"/>
      <c r="K889" s="17"/>
      <c r="L889" s="17"/>
      <c r="M889" s="17"/>
      <c r="N889" s="17"/>
      <c r="O889" s="17"/>
    </row>
    <row r="890" spans="1:15" x14ac:dyDescent="0.2">
      <c r="A890" s="5"/>
      <c r="B890" s="5"/>
      <c r="C890" s="6"/>
      <c r="D890" s="25"/>
      <c r="E890" s="26"/>
      <c r="F890" s="26"/>
      <c r="G890" s="26"/>
      <c r="H890" s="26"/>
      <c r="I890" s="26"/>
      <c r="J890" s="17"/>
      <c r="K890" s="17"/>
      <c r="L890" s="17"/>
      <c r="M890" s="17"/>
      <c r="N890" s="17"/>
      <c r="O890" s="17"/>
    </row>
    <row r="891" spans="1:15" x14ac:dyDescent="0.2">
      <c r="A891" s="5"/>
      <c r="B891" s="5"/>
      <c r="C891" s="6"/>
      <c r="D891" s="25"/>
      <c r="E891" s="26"/>
      <c r="F891" s="26"/>
      <c r="G891" s="26"/>
      <c r="H891" s="26"/>
      <c r="I891" s="26"/>
      <c r="J891" s="17"/>
      <c r="K891" s="17"/>
      <c r="L891" s="17"/>
      <c r="M891" s="17"/>
      <c r="N891" s="17"/>
      <c r="O891" s="17"/>
    </row>
    <row r="892" spans="1:15" x14ac:dyDescent="0.2">
      <c r="A892" s="5"/>
      <c r="B892" s="5"/>
      <c r="C892" s="6"/>
      <c r="D892" s="25"/>
      <c r="E892" s="26"/>
      <c r="F892" s="26"/>
      <c r="G892" s="26"/>
      <c r="H892" s="26"/>
      <c r="I892" s="26"/>
      <c r="J892" s="17"/>
      <c r="K892" s="17"/>
      <c r="L892" s="17"/>
      <c r="M892" s="17"/>
      <c r="N892" s="17"/>
      <c r="O892" s="17"/>
    </row>
    <row r="893" spans="1:15" x14ac:dyDescent="0.2">
      <c r="A893" s="5"/>
      <c r="B893" s="5"/>
      <c r="C893" s="6"/>
      <c r="D893" s="25"/>
      <c r="E893" s="26"/>
      <c r="F893" s="26"/>
      <c r="G893" s="26"/>
      <c r="H893" s="26"/>
      <c r="I893" s="26"/>
      <c r="J893" s="17"/>
      <c r="K893" s="17"/>
      <c r="L893" s="17"/>
      <c r="M893" s="17"/>
      <c r="N893" s="17"/>
      <c r="O893" s="17"/>
    </row>
    <row r="894" spans="1:15" x14ac:dyDescent="0.2">
      <c r="A894" s="5"/>
      <c r="B894" s="5"/>
      <c r="C894" s="6"/>
      <c r="D894" s="25"/>
      <c r="E894" s="26"/>
      <c r="F894" s="26"/>
      <c r="G894" s="26"/>
      <c r="H894" s="26"/>
      <c r="I894" s="26"/>
      <c r="J894" s="17"/>
      <c r="K894" s="17"/>
      <c r="L894" s="17"/>
      <c r="M894" s="17"/>
      <c r="N894" s="17"/>
      <c r="O894" s="17"/>
    </row>
    <row r="895" spans="1:15" x14ac:dyDescent="0.2">
      <c r="A895" s="5"/>
      <c r="B895" s="5"/>
      <c r="C895" s="6"/>
      <c r="D895" s="25"/>
      <c r="E895" s="26"/>
      <c r="F895" s="26"/>
      <c r="G895" s="26"/>
      <c r="H895" s="26"/>
      <c r="I895" s="26"/>
      <c r="J895" s="17"/>
      <c r="K895" s="17"/>
      <c r="L895" s="17"/>
      <c r="M895" s="17"/>
      <c r="N895" s="17"/>
      <c r="O895" s="17"/>
    </row>
    <row r="896" spans="1:15" x14ac:dyDescent="0.2">
      <c r="A896" s="5"/>
      <c r="B896" s="5"/>
      <c r="C896" s="6"/>
      <c r="D896" s="25"/>
      <c r="E896" s="26"/>
      <c r="F896" s="26"/>
      <c r="G896" s="26"/>
      <c r="H896" s="26"/>
      <c r="I896" s="26"/>
      <c r="J896" s="17"/>
      <c r="K896" s="17"/>
      <c r="L896" s="17"/>
      <c r="M896" s="17"/>
      <c r="N896" s="17"/>
      <c r="O896" s="17"/>
    </row>
    <row r="897" spans="1:15" x14ac:dyDescent="0.2">
      <c r="A897" s="5"/>
      <c r="B897" s="5"/>
      <c r="C897" s="6"/>
      <c r="D897" s="25"/>
      <c r="E897" s="26"/>
      <c r="F897" s="26"/>
      <c r="G897" s="26"/>
      <c r="H897" s="26"/>
      <c r="I897" s="26"/>
      <c r="J897" s="17"/>
      <c r="K897" s="17"/>
      <c r="L897" s="17"/>
      <c r="M897" s="17"/>
      <c r="N897" s="17"/>
      <c r="O897" s="17"/>
    </row>
    <row r="898" spans="1:15" x14ac:dyDescent="0.2">
      <c r="A898" s="5"/>
      <c r="B898" s="5"/>
      <c r="C898" s="6"/>
      <c r="D898" s="25"/>
      <c r="E898" s="26"/>
      <c r="F898" s="26"/>
      <c r="G898" s="26"/>
      <c r="H898" s="26"/>
      <c r="I898" s="26"/>
      <c r="J898" s="17"/>
      <c r="K898" s="17"/>
      <c r="L898" s="17"/>
      <c r="M898" s="17"/>
      <c r="N898" s="17"/>
      <c r="O898" s="17"/>
    </row>
    <row r="899" spans="1:15" x14ac:dyDescent="0.2">
      <c r="A899" s="5"/>
      <c r="B899" s="5"/>
      <c r="C899" s="6"/>
      <c r="D899" s="25"/>
      <c r="E899" s="26"/>
      <c r="F899" s="26"/>
      <c r="G899" s="26"/>
      <c r="H899" s="26"/>
      <c r="I899" s="26"/>
      <c r="J899" s="17"/>
      <c r="K899" s="17"/>
      <c r="L899" s="17"/>
      <c r="M899" s="17"/>
      <c r="N899" s="17"/>
      <c r="O899" s="17"/>
    </row>
    <row r="900" spans="1:15" x14ac:dyDescent="0.2">
      <c r="A900" s="5"/>
      <c r="B900" s="5"/>
      <c r="C900" s="6"/>
      <c r="D900" s="25"/>
      <c r="E900" s="26"/>
      <c r="F900" s="26"/>
      <c r="G900" s="26"/>
      <c r="H900" s="26"/>
      <c r="I900" s="26"/>
      <c r="J900" s="17"/>
      <c r="K900" s="17"/>
      <c r="L900" s="17"/>
      <c r="M900" s="17"/>
      <c r="N900" s="17"/>
      <c r="O900" s="17"/>
    </row>
    <row r="901" spans="1:15" x14ac:dyDescent="0.2">
      <c r="A901" s="5"/>
      <c r="B901" s="5"/>
      <c r="C901" s="6"/>
      <c r="D901" s="25"/>
      <c r="E901" s="26"/>
      <c r="F901" s="26"/>
      <c r="G901" s="26"/>
      <c r="H901" s="26"/>
      <c r="I901" s="26"/>
      <c r="J901" s="17"/>
      <c r="K901" s="17"/>
      <c r="L901" s="17"/>
      <c r="M901" s="17"/>
      <c r="N901" s="17"/>
      <c r="O901" s="17"/>
    </row>
    <row r="902" spans="1:15" x14ac:dyDescent="0.2">
      <c r="A902" s="5"/>
      <c r="B902" s="5"/>
      <c r="C902" s="6"/>
      <c r="D902" s="25"/>
      <c r="E902" s="26"/>
      <c r="F902" s="26"/>
      <c r="G902" s="26"/>
      <c r="H902" s="26"/>
      <c r="I902" s="26"/>
      <c r="J902" s="17"/>
      <c r="K902" s="17"/>
      <c r="L902" s="17"/>
      <c r="M902" s="17"/>
      <c r="N902" s="17"/>
      <c r="O902" s="17"/>
    </row>
    <row r="903" spans="1:15" x14ac:dyDescent="0.2">
      <c r="A903" s="5"/>
      <c r="B903" s="5"/>
      <c r="C903" s="6"/>
      <c r="D903" s="25"/>
      <c r="E903" s="26"/>
      <c r="F903" s="26"/>
      <c r="G903" s="26"/>
      <c r="H903" s="26"/>
      <c r="I903" s="26"/>
      <c r="J903" s="17"/>
      <c r="K903" s="17"/>
      <c r="L903" s="17"/>
      <c r="M903" s="17"/>
      <c r="N903" s="17"/>
      <c r="O903" s="17"/>
    </row>
    <row r="904" spans="1:15" x14ac:dyDescent="0.2">
      <c r="A904" s="5"/>
      <c r="B904" s="5"/>
      <c r="C904" s="6"/>
      <c r="D904" s="25"/>
      <c r="E904" s="26"/>
      <c r="F904" s="26"/>
      <c r="G904" s="26"/>
      <c r="H904" s="26"/>
      <c r="I904" s="26"/>
      <c r="J904" s="17"/>
      <c r="K904" s="17"/>
      <c r="L904" s="17"/>
      <c r="M904" s="17"/>
      <c r="N904" s="17"/>
      <c r="O904" s="17"/>
    </row>
    <row r="905" spans="1:15" x14ac:dyDescent="0.2">
      <c r="A905" s="5"/>
      <c r="B905" s="5"/>
      <c r="C905" s="6"/>
      <c r="D905" s="25"/>
      <c r="E905" s="26"/>
      <c r="F905" s="26"/>
      <c r="G905" s="26"/>
      <c r="H905" s="26"/>
      <c r="I905" s="26"/>
      <c r="J905" s="17"/>
      <c r="K905" s="17"/>
      <c r="L905" s="17"/>
      <c r="M905" s="17"/>
      <c r="N905" s="17"/>
      <c r="O905" s="17"/>
    </row>
    <row r="906" spans="1:15" x14ac:dyDescent="0.2">
      <c r="A906" s="5"/>
      <c r="B906" s="5"/>
      <c r="C906" s="6"/>
      <c r="D906" s="25"/>
      <c r="E906" s="26"/>
      <c r="F906" s="26"/>
      <c r="G906" s="26"/>
      <c r="H906" s="26"/>
      <c r="I906" s="26"/>
      <c r="J906" s="17"/>
      <c r="K906" s="17"/>
      <c r="L906" s="17"/>
      <c r="M906" s="17"/>
      <c r="N906" s="17"/>
      <c r="O906" s="17"/>
    </row>
    <row r="907" spans="1:15" x14ac:dyDescent="0.2">
      <c r="A907" s="5"/>
      <c r="B907" s="5"/>
      <c r="C907" s="6"/>
      <c r="D907" s="25"/>
      <c r="E907" s="26"/>
      <c r="F907" s="26"/>
      <c r="G907" s="26"/>
      <c r="H907" s="26"/>
      <c r="I907" s="26"/>
      <c r="J907" s="17"/>
      <c r="K907" s="17"/>
      <c r="L907" s="17"/>
      <c r="M907" s="17"/>
      <c r="N907" s="17"/>
      <c r="O907" s="17"/>
    </row>
    <row r="908" spans="1:15" x14ac:dyDescent="0.2">
      <c r="A908" s="5"/>
      <c r="B908" s="5"/>
      <c r="C908" s="6"/>
      <c r="D908" s="25"/>
      <c r="E908" s="26"/>
      <c r="F908" s="26"/>
      <c r="G908" s="26"/>
      <c r="H908" s="26"/>
      <c r="I908" s="26"/>
      <c r="J908" s="17"/>
      <c r="K908" s="17"/>
      <c r="L908" s="17"/>
      <c r="M908" s="17"/>
      <c r="N908" s="17"/>
      <c r="O908" s="17"/>
    </row>
    <row r="909" spans="1:15" x14ac:dyDescent="0.2">
      <c r="A909" s="5"/>
      <c r="B909" s="5"/>
      <c r="C909" s="6"/>
      <c r="D909" s="25"/>
      <c r="E909" s="26"/>
      <c r="F909" s="26"/>
      <c r="G909" s="26"/>
      <c r="H909" s="26"/>
      <c r="I909" s="26"/>
      <c r="J909" s="17"/>
      <c r="K909" s="17"/>
      <c r="L909" s="17"/>
      <c r="M909" s="17"/>
      <c r="N909" s="17"/>
      <c r="O909" s="17"/>
    </row>
    <row r="910" spans="1:15" x14ac:dyDescent="0.2">
      <c r="A910" s="5"/>
      <c r="B910" s="5"/>
      <c r="C910" s="6"/>
      <c r="D910" s="25"/>
      <c r="E910" s="26"/>
      <c r="F910" s="26"/>
      <c r="G910" s="26"/>
      <c r="H910" s="26"/>
      <c r="I910" s="26"/>
      <c r="J910" s="17"/>
      <c r="K910" s="17"/>
      <c r="L910" s="17"/>
      <c r="M910" s="17"/>
      <c r="N910" s="17"/>
      <c r="O910" s="17"/>
    </row>
    <row r="911" spans="1:15" x14ac:dyDescent="0.2">
      <c r="A911" s="5"/>
      <c r="B911" s="5"/>
      <c r="C911" s="6"/>
      <c r="D911" s="25"/>
      <c r="E911" s="26"/>
      <c r="F911" s="26"/>
      <c r="G911" s="26"/>
      <c r="H911" s="26"/>
      <c r="I911" s="26"/>
      <c r="J911" s="17"/>
      <c r="K911" s="17"/>
      <c r="L911" s="17"/>
      <c r="M911" s="17"/>
      <c r="N911" s="17"/>
      <c r="O911" s="17"/>
    </row>
    <row r="912" spans="1:15" x14ac:dyDescent="0.2">
      <c r="A912" s="5"/>
      <c r="B912" s="5"/>
      <c r="C912" s="6"/>
      <c r="D912" s="25"/>
      <c r="E912" s="26"/>
      <c r="F912" s="26"/>
      <c r="G912" s="26"/>
      <c r="H912" s="26"/>
      <c r="I912" s="26"/>
      <c r="J912" s="17"/>
      <c r="K912" s="17"/>
      <c r="L912" s="17"/>
      <c r="M912" s="17"/>
      <c r="N912" s="17"/>
      <c r="O912" s="17"/>
    </row>
    <row r="913" spans="1:15" x14ac:dyDescent="0.2">
      <c r="A913" s="5"/>
      <c r="B913" s="5"/>
      <c r="C913" s="6"/>
      <c r="D913" s="25"/>
      <c r="E913" s="26"/>
      <c r="F913" s="26"/>
      <c r="G913" s="26"/>
      <c r="H913" s="26"/>
      <c r="I913" s="26"/>
      <c r="J913" s="17"/>
      <c r="K913" s="17"/>
      <c r="L913" s="17"/>
      <c r="M913" s="17"/>
      <c r="N913" s="17"/>
      <c r="O913" s="17"/>
    </row>
    <row r="914" spans="1:15" x14ac:dyDescent="0.2">
      <c r="A914" s="5"/>
      <c r="B914" s="5"/>
      <c r="C914" s="6"/>
      <c r="D914" s="25"/>
      <c r="E914" s="26"/>
      <c r="F914" s="26"/>
      <c r="G914" s="26"/>
      <c r="H914" s="26"/>
      <c r="I914" s="26"/>
      <c r="J914" s="17"/>
      <c r="K914" s="17"/>
      <c r="L914" s="17"/>
      <c r="M914" s="17"/>
      <c r="N914" s="17"/>
      <c r="O914" s="17"/>
    </row>
    <row r="915" spans="1:15" x14ac:dyDescent="0.2">
      <c r="A915" s="5"/>
      <c r="B915" s="5"/>
      <c r="C915" s="6"/>
      <c r="D915" s="25"/>
      <c r="E915" s="26"/>
      <c r="F915" s="26"/>
      <c r="G915" s="26"/>
      <c r="H915" s="26"/>
      <c r="I915" s="26"/>
      <c r="J915" s="17"/>
      <c r="K915" s="17"/>
      <c r="L915" s="17"/>
      <c r="M915" s="17"/>
      <c r="N915" s="17"/>
      <c r="O915" s="17"/>
    </row>
    <row r="916" spans="1:15" x14ac:dyDescent="0.2">
      <c r="A916" s="5"/>
      <c r="B916" s="5"/>
      <c r="C916" s="6"/>
      <c r="D916" s="25"/>
      <c r="E916" s="26"/>
      <c r="F916" s="26"/>
      <c r="G916" s="26"/>
      <c r="H916" s="26"/>
      <c r="I916" s="26"/>
      <c r="J916" s="17"/>
      <c r="K916" s="17"/>
      <c r="L916" s="17"/>
      <c r="M916" s="17"/>
      <c r="N916" s="17"/>
      <c r="O916" s="17"/>
    </row>
    <row r="917" spans="1:15" x14ac:dyDescent="0.2">
      <c r="A917" s="5"/>
      <c r="B917" s="5"/>
      <c r="C917" s="6"/>
      <c r="D917" s="25"/>
      <c r="E917" s="26"/>
      <c r="F917" s="26"/>
      <c r="G917" s="26"/>
      <c r="H917" s="26"/>
      <c r="I917" s="26"/>
      <c r="J917" s="17"/>
      <c r="K917" s="17"/>
      <c r="L917" s="17"/>
      <c r="M917" s="17"/>
      <c r="N917" s="17"/>
      <c r="O917" s="17"/>
    </row>
    <row r="918" spans="1:15" x14ac:dyDescent="0.2">
      <c r="A918" s="5"/>
      <c r="B918" s="5"/>
      <c r="C918" s="6"/>
      <c r="D918" s="25"/>
      <c r="E918" s="26"/>
      <c r="F918" s="26"/>
      <c r="G918" s="26"/>
      <c r="H918" s="26"/>
      <c r="I918" s="26"/>
      <c r="J918" s="17"/>
      <c r="K918" s="17"/>
      <c r="L918" s="17"/>
      <c r="M918" s="17"/>
      <c r="N918" s="17"/>
      <c r="O918" s="17"/>
    </row>
    <row r="919" spans="1:15" x14ac:dyDescent="0.2">
      <c r="A919" s="5"/>
      <c r="B919" s="5"/>
      <c r="C919" s="6"/>
      <c r="D919" s="25"/>
      <c r="E919" s="26"/>
      <c r="F919" s="26"/>
      <c r="G919" s="26"/>
      <c r="H919" s="26"/>
      <c r="I919" s="26"/>
      <c r="J919" s="17"/>
      <c r="K919" s="17"/>
      <c r="L919" s="17"/>
      <c r="M919" s="17"/>
      <c r="N919" s="17"/>
      <c r="O919" s="17"/>
    </row>
    <row r="920" spans="1:15" x14ac:dyDescent="0.2">
      <c r="A920" s="5"/>
      <c r="B920" s="5"/>
      <c r="C920" s="6"/>
      <c r="D920" s="25"/>
      <c r="E920" s="26"/>
      <c r="F920" s="26"/>
      <c r="G920" s="26"/>
      <c r="H920" s="26"/>
      <c r="I920" s="26"/>
      <c r="J920" s="17"/>
      <c r="K920" s="17"/>
      <c r="L920" s="17"/>
      <c r="M920" s="17"/>
      <c r="N920" s="17"/>
      <c r="O920" s="17"/>
    </row>
    <row r="921" spans="1:15" x14ac:dyDescent="0.2">
      <c r="A921" s="5"/>
      <c r="B921" s="5"/>
      <c r="C921" s="6"/>
      <c r="D921" s="25"/>
      <c r="E921" s="26"/>
      <c r="F921" s="26"/>
      <c r="G921" s="26"/>
      <c r="H921" s="26"/>
      <c r="I921" s="26"/>
      <c r="J921" s="17"/>
      <c r="K921" s="17"/>
      <c r="L921" s="17"/>
      <c r="M921" s="17"/>
      <c r="N921" s="17"/>
      <c r="O921" s="17"/>
    </row>
    <row r="922" spans="1:15" x14ac:dyDescent="0.2">
      <c r="A922" s="5"/>
      <c r="B922" s="5"/>
      <c r="C922" s="6"/>
      <c r="D922" s="25"/>
      <c r="E922" s="26"/>
      <c r="F922" s="26"/>
      <c r="G922" s="26"/>
      <c r="H922" s="26"/>
      <c r="I922" s="26"/>
      <c r="J922" s="17"/>
      <c r="K922" s="17"/>
      <c r="L922" s="17"/>
      <c r="M922" s="17"/>
      <c r="N922" s="17"/>
      <c r="O922" s="17"/>
    </row>
    <row r="923" spans="1:15" x14ac:dyDescent="0.2">
      <c r="A923" s="5"/>
      <c r="B923" s="5"/>
      <c r="C923" s="6"/>
      <c r="D923" s="25"/>
      <c r="E923" s="26"/>
      <c r="F923" s="26"/>
      <c r="G923" s="26"/>
      <c r="H923" s="26"/>
      <c r="I923" s="26"/>
      <c r="J923" s="17"/>
      <c r="K923" s="17"/>
      <c r="L923" s="17"/>
      <c r="M923" s="17"/>
      <c r="N923" s="17"/>
      <c r="O923" s="17"/>
    </row>
    <row r="924" spans="1:15" x14ac:dyDescent="0.2">
      <c r="A924" s="5"/>
      <c r="B924" s="5"/>
      <c r="C924" s="6"/>
      <c r="D924" s="25"/>
      <c r="E924" s="26"/>
      <c r="F924" s="26"/>
      <c r="G924" s="26"/>
      <c r="H924" s="26"/>
      <c r="I924" s="26"/>
      <c r="J924" s="17"/>
      <c r="K924" s="17"/>
      <c r="L924" s="17"/>
      <c r="M924" s="17"/>
      <c r="N924" s="17"/>
      <c r="O924" s="17"/>
    </row>
    <row r="925" spans="1:15" x14ac:dyDescent="0.2">
      <c r="A925" s="5"/>
      <c r="B925" s="5"/>
      <c r="C925" s="6"/>
      <c r="D925" s="25"/>
      <c r="E925" s="26"/>
      <c r="F925" s="26"/>
      <c r="G925" s="26"/>
      <c r="H925" s="26"/>
      <c r="I925" s="26"/>
      <c r="J925" s="17"/>
      <c r="K925" s="17"/>
      <c r="L925" s="17"/>
      <c r="M925" s="17"/>
      <c r="N925" s="17"/>
      <c r="O925" s="17"/>
    </row>
    <row r="926" spans="1:15" x14ac:dyDescent="0.2">
      <c r="A926" s="5"/>
      <c r="B926" s="5"/>
      <c r="C926" s="6"/>
      <c r="D926" s="25"/>
      <c r="E926" s="26"/>
      <c r="F926" s="26"/>
      <c r="G926" s="26"/>
      <c r="H926" s="26"/>
      <c r="I926" s="26"/>
      <c r="J926" s="17"/>
      <c r="K926" s="17"/>
      <c r="L926" s="17"/>
      <c r="M926" s="17"/>
      <c r="N926" s="17"/>
      <c r="O926" s="17"/>
    </row>
    <row r="927" spans="1:15" x14ac:dyDescent="0.2">
      <c r="A927" s="5"/>
      <c r="B927" s="5"/>
      <c r="C927" s="6"/>
      <c r="D927" s="25"/>
      <c r="E927" s="26"/>
      <c r="F927" s="26"/>
      <c r="G927" s="26"/>
      <c r="H927" s="26"/>
      <c r="I927" s="26"/>
      <c r="J927" s="17"/>
      <c r="K927" s="17"/>
      <c r="L927" s="17"/>
      <c r="M927" s="17"/>
      <c r="N927" s="17"/>
      <c r="O927" s="17"/>
    </row>
    <row r="928" spans="1:15" x14ac:dyDescent="0.2">
      <c r="A928" s="5"/>
      <c r="B928" s="5"/>
      <c r="C928" s="6"/>
      <c r="D928" s="25"/>
      <c r="E928" s="26"/>
      <c r="F928" s="26"/>
      <c r="G928" s="26"/>
      <c r="H928" s="26"/>
      <c r="I928" s="26"/>
      <c r="J928" s="17"/>
      <c r="K928" s="17"/>
      <c r="L928" s="17"/>
      <c r="M928" s="17"/>
      <c r="N928" s="17"/>
      <c r="O928" s="17"/>
    </row>
    <row r="929" spans="1:15" x14ac:dyDescent="0.2">
      <c r="A929" s="5"/>
      <c r="B929" s="5"/>
      <c r="C929" s="6"/>
      <c r="D929" s="25"/>
      <c r="E929" s="26"/>
      <c r="F929" s="26"/>
      <c r="G929" s="26"/>
      <c r="H929" s="26"/>
      <c r="I929" s="26"/>
      <c r="J929" s="17"/>
      <c r="K929" s="17"/>
      <c r="L929" s="17"/>
      <c r="M929" s="17"/>
      <c r="N929" s="17"/>
      <c r="O929" s="17"/>
    </row>
    <row r="930" spans="1:15" x14ac:dyDescent="0.2">
      <c r="A930" s="5"/>
      <c r="B930" s="5"/>
      <c r="C930" s="6"/>
      <c r="D930" s="25"/>
      <c r="E930" s="26"/>
      <c r="F930" s="26"/>
      <c r="G930" s="26"/>
      <c r="H930" s="26"/>
      <c r="I930" s="26"/>
      <c r="J930" s="17"/>
      <c r="K930" s="17"/>
      <c r="L930" s="17"/>
      <c r="M930" s="17"/>
      <c r="N930" s="17"/>
      <c r="O930" s="17"/>
    </row>
    <row r="931" spans="1:15" x14ac:dyDescent="0.2">
      <c r="A931" s="5"/>
      <c r="B931" s="5"/>
      <c r="C931" s="6"/>
      <c r="D931" s="25"/>
      <c r="E931" s="26"/>
      <c r="F931" s="26"/>
      <c r="G931" s="26"/>
      <c r="H931" s="26"/>
      <c r="I931" s="26"/>
      <c r="J931" s="17"/>
      <c r="K931" s="17"/>
      <c r="L931" s="17"/>
      <c r="M931" s="17"/>
      <c r="N931" s="17"/>
      <c r="O931" s="17"/>
    </row>
    <row r="932" spans="1:15" x14ac:dyDescent="0.2">
      <c r="A932" s="5"/>
      <c r="B932" s="5"/>
      <c r="C932" s="6"/>
      <c r="D932" s="25"/>
      <c r="E932" s="26"/>
      <c r="F932" s="26"/>
      <c r="G932" s="26"/>
      <c r="H932" s="26"/>
      <c r="I932" s="26"/>
      <c r="J932" s="17"/>
      <c r="K932" s="17"/>
      <c r="L932" s="17"/>
      <c r="M932" s="17"/>
      <c r="N932" s="17"/>
      <c r="O932" s="17"/>
    </row>
    <row r="933" spans="1:15" x14ac:dyDescent="0.2">
      <c r="A933" s="5"/>
      <c r="B933" s="5"/>
      <c r="C933" s="6"/>
      <c r="D933" s="25"/>
      <c r="E933" s="26"/>
      <c r="F933" s="26"/>
      <c r="G933" s="26"/>
      <c r="H933" s="26"/>
      <c r="I933" s="26"/>
      <c r="J933" s="17"/>
      <c r="K933" s="17"/>
      <c r="L933" s="17"/>
      <c r="M933" s="17"/>
      <c r="N933" s="17"/>
      <c r="O933" s="17"/>
    </row>
    <row r="934" spans="1:15" x14ac:dyDescent="0.2">
      <c r="A934" s="5"/>
      <c r="B934" s="5"/>
      <c r="C934" s="6"/>
      <c r="D934" s="25"/>
      <c r="E934" s="26"/>
      <c r="F934" s="26"/>
      <c r="G934" s="26"/>
      <c r="H934" s="26"/>
      <c r="I934" s="26"/>
      <c r="J934" s="17"/>
      <c r="K934" s="17"/>
      <c r="L934" s="17"/>
      <c r="M934" s="17"/>
      <c r="N934" s="17"/>
      <c r="O934" s="17"/>
    </row>
    <row r="935" spans="1:15" x14ac:dyDescent="0.2">
      <c r="A935" s="5"/>
      <c r="B935" s="5"/>
      <c r="C935" s="6"/>
      <c r="D935" s="25"/>
      <c r="E935" s="26"/>
      <c r="F935" s="26"/>
      <c r="G935" s="26"/>
      <c r="H935" s="26"/>
      <c r="I935" s="26"/>
      <c r="J935" s="17"/>
      <c r="K935" s="17"/>
      <c r="L935" s="17"/>
      <c r="M935" s="17"/>
      <c r="N935" s="17"/>
      <c r="O935" s="17"/>
    </row>
    <row r="936" spans="1:15" x14ac:dyDescent="0.2">
      <c r="A936" s="5"/>
      <c r="B936" s="5"/>
      <c r="C936" s="6"/>
      <c r="D936" s="25"/>
      <c r="E936" s="26"/>
      <c r="F936" s="26"/>
      <c r="G936" s="26"/>
      <c r="H936" s="26"/>
      <c r="I936" s="26"/>
      <c r="J936" s="17"/>
      <c r="K936" s="17"/>
      <c r="L936" s="17"/>
      <c r="M936" s="17"/>
      <c r="N936" s="17"/>
      <c r="O936" s="17"/>
    </row>
    <row r="937" spans="1:15" x14ac:dyDescent="0.2">
      <c r="A937" s="5"/>
      <c r="B937" s="5"/>
      <c r="C937" s="6"/>
      <c r="D937" s="25"/>
      <c r="E937" s="26"/>
      <c r="F937" s="26"/>
      <c r="G937" s="26"/>
      <c r="H937" s="26"/>
      <c r="I937" s="26"/>
      <c r="J937" s="17"/>
      <c r="K937" s="17"/>
      <c r="L937" s="17"/>
      <c r="M937" s="17"/>
      <c r="N937" s="17"/>
      <c r="O937" s="17"/>
    </row>
    <row r="938" spans="1:15" x14ac:dyDescent="0.2">
      <c r="A938" s="5"/>
      <c r="B938" s="5"/>
      <c r="C938" s="6"/>
      <c r="D938" s="25"/>
      <c r="E938" s="26"/>
      <c r="F938" s="26"/>
      <c r="G938" s="26"/>
      <c r="H938" s="26"/>
      <c r="I938" s="26"/>
      <c r="J938" s="17"/>
      <c r="K938" s="17"/>
      <c r="L938" s="17"/>
      <c r="M938" s="17"/>
      <c r="N938" s="17"/>
      <c r="O938" s="17"/>
    </row>
    <row r="939" spans="1:15" x14ac:dyDescent="0.2">
      <c r="A939" s="5"/>
      <c r="B939" s="5"/>
      <c r="C939" s="6"/>
      <c r="D939" s="25"/>
      <c r="E939" s="26"/>
      <c r="F939" s="26"/>
      <c r="G939" s="26"/>
      <c r="H939" s="26"/>
      <c r="I939" s="26"/>
      <c r="J939" s="17"/>
      <c r="K939" s="17"/>
      <c r="L939" s="17"/>
      <c r="M939" s="17"/>
      <c r="N939" s="17"/>
      <c r="O939" s="17"/>
    </row>
    <row r="940" spans="1:15" x14ac:dyDescent="0.2">
      <c r="A940" s="5"/>
      <c r="B940" s="5"/>
      <c r="C940" s="6"/>
      <c r="D940" s="25"/>
      <c r="E940" s="26"/>
      <c r="F940" s="26"/>
      <c r="G940" s="26"/>
      <c r="H940" s="26"/>
      <c r="I940" s="26"/>
      <c r="J940" s="17"/>
      <c r="K940" s="17"/>
      <c r="L940" s="17"/>
      <c r="M940" s="17"/>
      <c r="N940" s="17"/>
      <c r="O940" s="17"/>
    </row>
    <row r="941" spans="1:15" x14ac:dyDescent="0.2">
      <c r="A941" s="5"/>
      <c r="B941" s="5"/>
      <c r="C941" s="6"/>
      <c r="D941" s="25"/>
      <c r="E941" s="26"/>
      <c r="F941" s="26"/>
      <c r="G941" s="26"/>
      <c r="H941" s="26"/>
      <c r="I941" s="26"/>
      <c r="J941" s="17"/>
      <c r="K941" s="17"/>
      <c r="L941" s="17"/>
      <c r="M941" s="17"/>
      <c r="N941" s="17"/>
      <c r="O941" s="17"/>
    </row>
    <row r="942" spans="1:15" x14ac:dyDescent="0.2">
      <c r="A942" s="5"/>
      <c r="B942" s="5"/>
      <c r="C942" s="6"/>
      <c r="D942" s="25"/>
      <c r="E942" s="26"/>
      <c r="F942" s="26"/>
      <c r="G942" s="26"/>
      <c r="H942" s="26"/>
      <c r="I942" s="26"/>
      <c r="J942" s="17"/>
      <c r="K942" s="17"/>
      <c r="L942" s="17"/>
      <c r="M942" s="17"/>
      <c r="N942" s="17"/>
      <c r="O942" s="17"/>
    </row>
    <row r="943" spans="1:15" x14ac:dyDescent="0.2">
      <c r="A943" s="5"/>
      <c r="B943" s="5"/>
      <c r="C943" s="6"/>
      <c r="D943" s="25"/>
      <c r="E943" s="26"/>
      <c r="F943" s="26"/>
      <c r="G943" s="26"/>
      <c r="H943" s="26"/>
      <c r="I943" s="26"/>
      <c r="J943" s="17"/>
      <c r="K943" s="17"/>
      <c r="L943" s="17"/>
      <c r="M943" s="17"/>
      <c r="N943" s="17"/>
      <c r="O943" s="17"/>
    </row>
    <row r="944" spans="1:15" x14ac:dyDescent="0.2">
      <c r="A944" s="5"/>
      <c r="B944" s="5"/>
      <c r="C944" s="6"/>
      <c r="D944" s="25"/>
      <c r="E944" s="26"/>
      <c r="F944" s="26"/>
      <c r="G944" s="26"/>
      <c r="H944" s="26"/>
      <c r="I944" s="26"/>
      <c r="J944" s="17"/>
      <c r="K944" s="17"/>
      <c r="L944" s="17"/>
      <c r="M944" s="17"/>
      <c r="N944" s="17"/>
      <c r="O944" s="17"/>
    </row>
    <row r="945" spans="1:15" x14ac:dyDescent="0.2">
      <c r="A945" s="5"/>
      <c r="B945" s="5"/>
      <c r="C945" s="6"/>
      <c r="D945" s="25"/>
      <c r="E945" s="26"/>
      <c r="F945" s="26"/>
      <c r="G945" s="26"/>
      <c r="H945" s="26"/>
      <c r="I945" s="26"/>
      <c r="J945" s="17"/>
      <c r="K945" s="17"/>
      <c r="L945" s="17"/>
      <c r="M945" s="17"/>
      <c r="N945" s="17"/>
      <c r="O945" s="17"/>
    </row>
    <row r="946" spans="1:15" x14ac:dyDescent="0.2">
      <c r="A946" s="5"/>
      <c r="B946" s="5"/>
      <c r="C946" s="6"/>
      <c r="D946" s="25"/>
      <c r="E946" s="26"/>
      <c r="F946" s="26"/>
      <c r="G946" s="26"/>
      <c r="H946" s="26"/>
      <c r="I946" s="26"/>
      <c r="J946" s="17"/>
      <c r="K946" s="17"/>
      <c r="L946" s="17"/>
      <c r="M946" s="17"/>
      <c r="N946" s="17"/>
      <c r="O946" s="17"/>
    </row>
    <row r="947" spans="1:15" x14ac:dyDescent="0.2">
      <c r="A947" s="5"/>
      <c r="B947" s="5"/>
      <c r="C947" s="6"/>
      <c r="D947" s="25"/>
      <c r="E947" s="26"/>
      <c r="F947" s="26"/>
      <c r="G947" s="26"/>
      <c r="H947" s="26"/>
      <c r="I947" s="26"/>
      <c r="J947" s="17"/>
      <c r="K947" s="17"/>
      <c r="L947" s="17"/>
      <c r="M947" s="17"/>
      <c r="N947" s="17"/>
      <c r="O947" s="17"/>
    </row>
    <row r="948" spans="1:15" x14ac:dyDescent="0.2">
      <c r="A948" s="5"/>
      <c r="B948" s="5"/>
      <c r="C948" s="6"/>
      <c r="D948" s="25"/>
      <c r="E948" s="26"/>
      <c r="F948" s="26"/>
      <c r="G948" s="26"/>
      <c r="H948" s="26"/>
      <c r="I948" s="26"/>
      <c r="J948" s="17"/>
      <c r="K948" s="17"/>
      <c r="L948" s="17"/>
      <c r="M948" s="17"/>
      <c r="N948" s="17"/>
      <c r="O948" s="17"/>
    </row>
    <row r="949" spans="1:15" x14ac:dyDescent="0.2">
      <c r="A949" s="5"/>
      <c r="B949" s="5"/>
      <c r="C949" s="6"/>
      <c r="D949" s="25"/>
      <c r="E949" s="26"/>
      <c r="F949" s="26"/>
      <c r="G949" s="26"/>
      <c r="H949" s="26"/>
      <c r="I949" s="26"/>
      <c r="J949" s="17"/>
      <c r="K949" s="17"/>
      <c r="L949" s="17"/>
      <c r="M949" s="17"/>
      <c r="N949" s="17"/>
      <c r="O949" s="17"/>
    </row>
    <row r="950" spans="1:15" x14ac:dyDescent="0.2">
      <c r="A950" s="5"/>
      <c r="B950" s="5"/>
      <c r="C950" s="6"/>
      <c r="D950" s="25"/>
      <c r="E950" s="26"/>
      <c r="F950" s="26"/>
      <c r="G950" s="26"/>
      <c r="H950" s="26"/>
      <c r="I950" s="26"/>
      <c r="J950" s="17"/>
      <c r="K950" s="17"/>
      <c r="L950" s="17"/>
      <c r="M950" s="17"/>
      <c r="N950" s="17"/>
      <c r="O950" s="17"/>
    </row>
    <row r="951" spans="1:15" x14ac:dyDescent="0.2">
      <c r="A951" s="5"/>
      <c r="B951" s="5"/>
      <c r="C951" s="6"/>
      <c r="D951" s="25"/>
      <c r="E951" s="26"/>
      <c r="F951" s="26"/>
      <c r="G951" s="26"/>
      <c r="H951" s="26"/>
      <c r="I951" s="26"/>
      <c r="J951" s="17"/>
      <c r="K951" s="17"/>
      <c r="L951" s="17"/>
      <c r="M951" s="17"/>
      <c r="N951" s="17"/>
      <c r="O951" s="17"/>
    </row>
    <row r="952" spans="1:15" x14ac:dyDescent="0.2">
      <c r="A952" s="5"/>
      <c r="B952" s="5"/>
      <c r="C952" s="6"/>
      <c r="D952" s="25"/>
      <c r="E952" s="26"/>
      <c r="F952" s="26"/>
      <c r="G952" s="26"/>
      <c r="H952" s="26"/>
      <c r="I952" s="26"/>
      <c r="J952" s="17"/>
      <c r="K952" s="17"/>
      <c r="L952" s="17"/>
      <c r="M952" s="17"/>
      <c r="N952" s="17"/>
      <c r="O952" s="17"/>
    </row>
    <row r="953" spans="1:15" x14ac:dyDescent="0.2">
      <c r="A953" s="5"/>
      <c r="B953" s="5"/>
      <c r="C953" s="6"/>
      <c r="D953" s="25"/>
      <c r="E953" s="26"/>
      <c r="F953" s="26"/>
      <c r="G953" s="26"/>
      <c r="H953" s="26"/>
      <c r="I953" s="26"/>
      <c r="J953" s="17"/>
      <c r="K953" s="17"/>
      <c r="L953" s="17"/>
      <c r="M953" s="17"/>
      <c r="N953" s="17"/>
      <c r="O953" s="17"/>
    </row>
    <row r="954" spans="1:15" x14ac:dyDescent="0.2">
      <c r="A954" s="5"/>
      <c r="B954" s="5"/>
      <c r="C954" s="6"/>
      <c r="D954" s="25"/>
      <c r="E954" s="26"/>
      <c r="F954" s="26"/>
      <c r="G954" s="26"/>
      <c r="H954" s="26"/>
      <c r="I954" s="26"/>
      <c r="J954" s="17"/>
      <c r="K954" s="17"/>
      <c r="L954" s="17"/>
      <c r="M954" s="17"/>
      <c r="N954" s="17"/>
      <c r="O954" s="17"/>
    </row>
    <row r="955" spans="1:15" x14ac:dyDescent="0.2">
      <c r="A955" s="5"/>
      <c r="B955" s="5"/>
      <c r="C955" s="6"/>
      <c r="D955" s="25"/>
      <c r="E955" s="26"/>
      <c r="F955" s="26"/>
      <c r="G955" s="26"/>
      <c r="H955" s="26"/>
      <c r="I955" s="26"/>
      <c r="J955" s="17"/>
      <c r="K955" s="17"/>
      <c r="L955" s="17"/>
      <c r="M955" s="17"/>
      <c r="N955" s="17"/>
      <c r="O955" s="17"/>
    </row>
    <row r="956" spans="1:15" x14ac:dyDescent="0.2">
      <c r="A956" s="5"/>
      <c r="B956" s="5"/>
      <c r="C956" s="6"/>
      <c r="D956" s="25"/>
      <c r="E956" s="26"/>
      <c r="F956" s="26"/>
      <c r="G956" s="26"/>
      <c r="H956" s="26"/>
      <c r="I956" s="26"/>
      <c r="J956" s="17"/>
      <c r="K956" s="17"/>
      <c r="L956" s="17"/>
      <c r="M956" s="17"/>
      <c r="N956" s="17"/>
      <c r="O956" s="17"/>
    </row>
    <row r="957" spans="1:15" x14ac:dyDescent="0.2">
      <c r="A957" s="5"/>
      <c r="B957" s="5"/>
      <c r="C957" s="6"/>
      <c r="D957" s="25"/>
      <c r="E957" s="26"/>
      <c r="F957" s="26"/>
      <c r="G957" s="26"/>
      <c r="H957" s="26"/>
      <c r="I957" s="26"/>
      <c r="J957" s="17"/>
      <c r="K957" s="17"/>
      <c r="L957" s="17"/>
      <c r="M957" s="17"/>
      <c r="N957" s="17"/>
      <c r="O957" s="17"/>
    </row>
    <row r="958" spans="1:15" x14ac:dyDescent="0.2">
      <c r="A958" s="5"/>
      <c r="B958" s="5"/>
      <c r="C958" s="6"/>
      <c r="D958" s="25"/>
      <c r="E958" s="26"/>
      <c r="F958" s="26"/>
      <c r="G958" s="26"/>
      <c r="H958" s="26"/>
      <c r="I958" s="26"/>
      <c r="J958" s="17"/>
      <c r="K958" s="17"/>
      <c r="L958" s="17"/>
      <c r="M958" s="17"/>
      <c r="N958" s="17"/>
      <c r="O958" s="17"/>
    </row>
    <row r="959" spans="1:15" x14ac:dyDescent="0.2">
      <c r="A959" s="5"/>
      <c r="B959" s="5"/>
      <c r="C959" s="6"/>
      <c r="D959" s="25"/>
      <c r="E959" s="26"/>
      <c r="F959" s="26"/>
      <c r="G959" s="26"/>
      <c r="H959" s="26"/>
      <c r="I959" s="26"/>
      <c r="J959" s="17"/>
      <c r="K959" s="17"/>
      <c r="L959" s="17"/>
      <c r="M959" s="17"/>
      <c r="N959" s="17"/>
      <c r="O959" s="17"/>
    </row>
    <row r="960" spans="1:15" x14ac:dyDescent="0.2">
      <c r="A960" s="5"/>
      <c r="B960" s="5"/>
      <c r="C960" s="6"/>
      <c r="D960" s="25"/>
      <c r="E960" s="26"/>
      <c r="F960" s="26"/>
      <c r="G960" s="26"/>
      <c r="H960" s="26"/>
      <c r="I960" s="26"/>
      <c r="J960" s="17"/>
      <c r="K960" s="17"/>
      <c r="L960" s="17"/>
      <c r="M960" s="17"/>
      <c r="N960" s="17"/>
      <c r="O960" s="17"/>
    </row>
    <row r="961" spans="1:15" x14ac:dyDescent="0.2">
      <c r="A961" s="5"/>
      <c r="B961" s="5"/>
      <c r="C961" s="6"/>
      <c r="D961" s="25"/>
      <c r="E961" s="26"/>
      <c r="F961" s="26"/>
      <c r="G961" s="26"/>
      <c r="H961" s="26"/>
      <c r="I961" s="26"/>
      <c r="J961" s="17"/>
      <c r="K961" s="17"/>
      <c r="L961" s="17"/>
      <c r="M961" s="17"/>
      <c r="N961" s="17"/>
      <c r="O961" s="17"/>
    </row>
    <row r="962" spans="1:15" x14ac:dyDescent="0.2">
      <c r="A962" s="5"/>
      <c r="B962" s="5"/>
      <c r="C962" s="6"/>
      <c r="D962" s="25"/>
      <c r="E962" s="26"/>
      <c r="F962" s="26"/>
      <c r="G962" s="26"/>
      <c r="H962" s="26"/>
      <c r="I962" s="26"/>
      <c r="J962" s="17"/>
      <c r="K962" s="17"/>
      <c r="L962" s="17"/>
      <c r="M962" s="17"/>
      <c r="N962" s="17"/>
      <c r="O962" s="17"/>
    </row>
    <row r="963" spans="1:15" x14ac:dyDescent="0.2">
      <c r="A963" s="5"/>
      <c r="B963" s="5"/>
      <c r="C963" s="6"/>
      <c r="D963" s="25"/>
      <c r="E963" s="26"/>
      <c r="F963" s="26"/>
      <c r="G963" s="26"/>
      <c r="H963" s="26"/>
      <c r="I963" s="26"/>
      <c r="J963" s="17"/>
      <c r="K963" s="17"/>
      <c r="L963" s="17"/>
      <c r="M963" s="17"/>
      <c r="N963" s="17"/>
      <c r="O963" s="17"/>
    </row>
    <row r="964" spans="1:15" x14ac:dyDescent="0.2">
      <c r="A964" s="5"/>
      <c r="B964" s="5"/>
      <c r="C964" s="6"/>
      <c r="D964" s="25"/>
      <c r="E964" s="26"/>
      <c r="F964" s="26"/>
      <c r="G964" s="26"/>
      <c r="H964" s="26"/>
      <c r="I964" s="26"/>
      <c r="J964" s="17"/>
      <c r="K964" s="17"/>
      <c r="L964" s="17"/>
      <c r="M964" s="17"/>
      <c r="N964" s="17"/>
      <c r="O964" s="17"/>
    </row>
    <row r="965" spans="1:15" x14ac:dyDescent="0.2">
      <c r="A965" s="5"/>
      <c r="B965" s="5"/>
      <c r="C965" s="6"/>
      <c r="D965" s="25"/>
      <c r="E965" s="26"/>
      <c r="F965" s="26"/>
      <c r="G965" s="26"/>
      <c r="H965" s="26"/>
      <c r="I965" s="26"/>
      <c r="J965" s="17"/>
      <c r="K965" s="17"/>
      <c r="L965" s="17"/>
      <c r="M965" s="17"/>
      <c r="N965" s="17"/>
      <c r="O965" s="17"/>
    </row>
    <row r="966" spans="1:15" x14ac:dyDescent="0.2">
      <c r="A966" s="5"/>
      <c r="B966" s="5"/>
      <c r="C966" s="6"/>
      <c r="D966" s="25"/>
      <c r="E966" s="26"/>
      <c r="F966" s="26"/>
      <c r="G966" s="26"/>
      <c r="H966" s="26"/>
      <c r="I966" s="26"/>
      <c r="J966" s="17"/>
      <c r="K966" s="17"/>
      <c r="L966" s="17"/>
      <c r="M966" s="17"/>
      <c r="N966" s="17"/>
      <c r="O966" s="17"/>
    </row>
    <row r="967" spans="1:15" x14ac:dyDescent="0.2">
      <c r="A967" s="5"/>
      <c r="B967" s="5"/>
      <c r="C967" s="6"/>
      <c r="D967" s="25"/>
      <c r="E967" s="26"/>
      <c r="F967" s="26"/>
      <c r="G967" s="26"/>
      <c r="H967" s="26"/>
      <c r="I967" s="26"/>
      <c r="J967" s="17"/>
      <c r="K967" s="17"/>
      <c r="L967" s="17"/>
      <c r="M967" s="17"/>
      <c r="N967" s="17"/>
      <c r="O967" s="17"/>
    </row>
    <row r="968" spans="1:15" x14ac:dyDescent="0.2">
      <c r="A968" s="5"/>
      <c r="B968" s="5"/>
      <c r="C968" s="6"/>
      <c r="D968" s="25"/>
      <c r="E968" s="26"/>
      <c r="F968" s="26"/>
      <c r="G968" s="26"/>
      <c r="H968" s="26"/>
      <c r="I968" s="26"/>
      <c r="J968" s="17"/>
      <c r="K968" s="17"/>
      <c r="L968" s="17"/>
      <c r="M968" s="17"/>
      <c r="N968" s="17"/>
      <c r="O968" s="17"/>
    </row>
    <row r="969" spans="1:15" x14ac:dyDescent="0.2">
      <c r="A969" s="5"/>
      <c r="B969" s="5"/>
      <c r="C969" s="6"/>
      <c r="D969" s="25"/>
      <c r="E969" s="26"/>
      <c r="F969" s="26"/>
      <c r="G969" s="26"/>
      <c r="H969" s="26"/>
      <c r="I969" s="26"/>
      <c r="J969" s="17"/>
      <c r="K969" s="17"/>
      <c r="L969" s="17"/>
      <c r="M969" s="17"/>
      <c r="N969" s="17"/>
      <c r="O969" s="17"/>
    </row>
    <row r="970" spans="1:15" x14ac:dyDescent="0.2">
      <c r="A970" s="5"/>
      <c r="B970" s="5"/>
      <c r="C970" s="6"/>
      <c r="D970" s="25"/>
      <c r="E970" s="26"/>
      <c r="F970" s="26"/>
      <c r="G970" s="26"/>
      <c r="H970" s="26"/>
      <c r="I970" s="26"/>
      <c r="J970" s="17"/>
      <c r="K970" s="17"/>
      <c r="L970" s="17"/>
      <c r="M970" s="17"/>
      <c r="N970" s="17"/>
      <c r="O970" s="17"/>
    </row>
    <row r="971" spans="1:15" x14ac:dyDescent="0.2">
      <c r="A971" s="5"/>
      <c r="B971" s="5"/>
      <c r="C971" s="6"/>
      <c r="D971" s="25"/>
      <c r="E971" s="26"/>
      <c r="F971" s="26"/>
      <c r="G971" s="26"/>
      <c r="H971" s="26"/>
      <c r="I971" s="26"/>
      <c r="J971" s="17"/>
      <c r="K971" s="17"/>
      <c r="L971" s="17"/>
      <c r="M971" s="17"/>
      <c r="N971" s="17"/>
      <c r="O971" s="17"/>
    </row>
    <row r="972" spans="1:15" x14ac:dyDescent="0.2">
      <c r="A972" s="5"/>
      <c r="B972" s="5"/>
      <c r="C972" s="6"/>
      <c r="D972" s="25"/>
      <c r="E972" s="26"/>
      <c r="F972" s="26"/>
      <c r="G972" s="26"/>
      <c r="H972" s="26"/>
      <c r="I972" s="26"/>
      <c r="J972" s="17"/>
      <c r="K972" s="17"/>
      <c r="L972" s="17"/>
      <c r="M972" s="17"/>
      <c r="N972" s="17"/>
      <c r="O972" s="17"/>
    </row>
    <row r="973" spans="1:15" x14ac:dyDescent="0.2">
      <c r="A973" s="5"/>
      <c r="B973" s="5"/>
      <c r="C973" s="6"/>
      <c r="D973" s="25"/>
      <c r="E973" s="26"/>
      <c r="F973" s="26"/>
      <c r="G973" s="26"/>
      <c r="H973" s="26"/>
      <c r="I973" s="26"/>
      <c r="J973" s="17"/>
      <c r="K973" s="17"/>
      <c r="L973" s="17"/>
      <c r="M973" s="17"/>
      <c r="N973" s="17"/>
      <c r="O973" s="17"/>
    </row>
    <row r="974" spans="1:15" x14ac:dyDescent="0.2">
      <c r="A974" s="5"/>
      <c r="B974" s="5"/>
      <c r="C974" s="6"/>
      <c r="D974" s="25"/>
      <c r="E974" s="26"/>
      <c r="F974" s="26"/>
      <c r="G974" s="26"/>
      <c r="H974" s="26"/>
      <c r="I974" s="26"/>
      <c r="J974" s="17"/>
      <c r="K974" s="17"/>
      <c r="L974" s="17"/>
      <c r="M974" s="17"/>
      <c r="N974" s="17"/>
      <c r="O974" s="17"/>
    </row>
    <row r="975" spans="1:15" x14ac:dyDescent="0.2">
      <c r="A975" s="5"/>
      <c r="B975" s="5"/>
      <c r="C975" s="6"/>
      <c r="D975" s="25"/>
      <c r="E975" s="26"/>
      <c r="F975" s="26"/>
      <c r="G975" s="26"/>
      <c r="H975" s="26"/>
      <c r="I975" s="26"/>
      <c r="J975" s="17"/>
      <c r="K975" s="17"/>
      <c r="L975" s="17"/>
      <c r="M975" s="17"/>
      <c r="N975" s="17"/>
      <c r="O975" s="17"/>
    </row>
    <row r="976" spans="1:15" x14ac:dyDescent="0.2">
      <c r="A976" s="5"/>
      <c r="B976" s="5"/>
      <c r="C976" s="6"/>
      <c r="D976" s="25"/>
      <c r="E976" s="26"/>
      <c r="F976" s="26"/>
      <c r="G976" s="26"/>
      <c r="H976" s="26"/>
      <c r="I976" s="26"/>
      <c r="J976" s="17"/>
      <c r="K976" s="17"/>
      <c r="L976" s="17"/>
      <c r="M976" s="17"/>
      <c r="N976" s="17"/>
      <c r="O976" s="17"/>
    </row>
    <row r="977" spans="1:15" x14ac:dyDescent="0.2">
      <c r="A977" s="5"/>
      <c r="B977" s="5"/>
      <c r="C977" s="6"/>
      <c r="D977" s="25"/>
      <c r="E977" s="26"/>
      <c r="F977" s="26"/>
      <c r="G977" s="26"/>
      <c r="H977" s="26"/>
      <c r="I977" s="26"/>
      <c r="J977" s="17"/>
      <c r="K977" s="17"/>
      <c r="L977" s="17"/>
      <c r="M977" s="17"/>
      <c r="N977" s="17"/>
      <c r="O977" s="17"/>
    </row>
    <row r="978" spans="1:15" x14ac:dyDescent="0.2">
      <c r="A978" s="5"/>
      <c r="B978" s="5"/>
      <c r="C978" s="6"/>
      <c r="D978" s="25"/>
      <c r="E978" s="26"/>
      <c r="F978" s="26"/>
      <c r="G978" s="26"/>
      <c r="H978" s="26"/>
      <c r="I978" s="26"/>
      <c r="J978" s="17"/>
      <c r="K978" s="17"/>
      <c r="L978" s="17"/>
      <c r="M978" s="17"/>
      <c r="N978" s="17"/>
      <c r="O978" s="17"/>
    </row>
    <row r="979" spans="1:15" x14ac:dyDescent="0.2">
      <c r="A979" s="5"/>
      <c r="B979" s="5"/>
      <c r="C979" s="6"/>
      <c r="D979" s="25"/>
      <c r="E979" s="26"/>
      <c r="F979" s="26"/>
      <c r="G979" s="26"/>
      <c r="H979" s="26"/>
      <c r="I979" s="26"/>
      <c r="J979" s="17"/>
      <c r="K979" s="17"/>
      <c r="L979" s="17"/>
      <c r="M979" s="17"/>
      <c r="N979" s="17"/>
      <c r="O979" s="17"/>
    </row>
    <row r="980" spans="1:15" x14ac:dyDescent="0.2">
      <c r="A980" s="5"/>
      <c r="B980" s="5"/>
      <c r="C980" s="6"/>
      <c r="D980" s="25"/>
      <c r="E980" s="26"/>
      <c r="F980" s="26"/>
      <c r="G980" s="26"/>
      <c r="H980" s="26"/>
      <c r="I980" s="26"/>
      <c r="J980" s="17"/>
      <c r="K980" s="17"/>
      <c r="L980" s="17"/>
      <c r="M980" s="17"/>
      <c r="N980" s="17"/>
      <c r="O980" s="17"/>
    </row>
    <row r="981" spans="1:15" x14ac:dyDescent="0.2">
      <c r="A981" s="5"/>
      <c r="B981" s="5"/>
      <c r="C981" s="6"/>
      <c r="D981" s="25"/>
      <c r="E981" s="26"/>
      <c r="F981" s="26"/>
      <c r="G981" s="26"/>
      <c r="H981" s="26"/>
      <c r="I981" s="26"/>
      <c r="J981" s="17"/>
      <c r="K981" s="17"/>
      <c r="L981" s="17"/>
      <c r="M981" s="17"/>
      <c r="N981" s="17"/>
      <c r="O981" s="17"/>
    </row>
    <row r="982" spans="1:15" x14ac:dyDescent="0.2">
      <c r="A982" s="5"/>
      <c r="B982" s="5"/>
      <c r="C982" s="6"/>
      <c r="D982" s="25"/>
      <c r="E982" s="26"/>
      <c r="F982" s="26"/>
      <c r="G982" s="26"/>
      <c r="H982" s="26"/>
      <c r="I982" s="26"/>
      <c r="J982" s="17"/>
      <c r="K982" s="17"/>
      <c r="L982" s="17"/>
      <c r="M982" s="17"/>
      <c r="N982" s="17"/>
      <c r="O982" s="17"/>
    </row>
    <row r="983" spans="1:15" x14ac:dyDescent="0.2">
      <c r="A983" s="5"/>
      <c r="B983" s="5"/>
      <c r="C983" s="6"/>
      <c r="D983" s="25"/>
      <c r="E983" s="26"/>
      <c r="F983" s="26"/>
      <c r="G983" s="26"/>
      <c r="H983" s="26"/>
      <c r="I983" s="26"/>
      <c r="J983" s="17"/>
      <c r="K983" s="17"/>
      <c r="L983" s="17"/>
      <c r="M983" s="17"/>
      <c r="N983" s="17"/>
      <c r="O983" s="17"/>
    </row>
    <row r="984" spans="1:15" x14ac:dyDescent="0.2">
      <c r="A984" s="5"/>
      <c r="B984" s="5"/>
      <c r="C984" s="6"/>
      <c r="D984" s="25"/>
      <c r="E984" s="26"/>
      <c r="F984" s="26"/>
      <c r="G984" s="26"/>
      <c r="H984" s="26"/>
      <c r="I984" s="26"/>
      <c r="J984" s="17"/>
      <c r="K984" s="17"/>
      <c r="L984" s="17"/>
      <c r="M984" s="17"/>
      <c r="N984" s="17"/>
      <c r="O984" s="17"/>
    </row>
    <row r="985" spans="1:15" x14ac:dyDescent="0.2">
      <c r="A985" s="5"/>
      <c r="B985" s="5"/>
      <c r="C985" s="6"/>
      <c r="D985" s="25"/>
      <c r="E985" s="26"/>
      <c r="F985" s="26"/>
      <c r="G985" s="26"/>
      <c r="H985" s="26"/>
      <c r="I985" s="26"/>
      <c r="J985" s="17"/>
      <c r="K985" s="17"/>
      <c r="L985" s="17"/>
      <c r="M985" s="17"/>
      <c r="N985" s="17"/>
      <c r="O985" s="17"/>
    </row>
    <row r="986" spans="1:15" x14ac:dyDescent="0.2">
      <c r="A986" s="5"/>
      <c r="B986" s="5"/>
      <c r="C986" s="6"/>
      <c r="D986" s="25"/>
      <c r="E986" s="26"/>
      <c r="F986" s="26"/>
      <c r="G986" s="26"/>
      <c r="H986" s="26"/>
      <c r="I986" s="26"/>
      <c r="J986" s="17"/>
      <c r="K986" s="17"/>
      <c r="L986" s="17"/>
      <c r="M986" s="17"/>
      <c r="N986" s="17"/>
      <c r="O986" s="17"/>
    </row>
    <row r="987" spans="1:15" x14ac:dyDescent="0.2">
      <c r="A987" s="5"/>
      <c r="B987" s="5"/>
      <c r="C987" s="6"/>
      <c r="D987" s="25"/>
      <c r="E987" s="26"/>
      <c r="F987" s="26"/>
      <c r="G987" s="26"/>
      <c r="H987" s="26"/>
      <c r="I987" s="26"/>
      <c r="J987" s="17"/>
      <c r="K987" s="17"/>
      <c r="L987" s="17"/>
      <c r="M987" s="17"/>
      <c r="N987" s="17"/>
      <c r="O987" s="17"/>
    </row>
    <row r="988" spans="1:15" x14ac:dyDescent="0.2">
      <c r="A988" s="5"/>
      <c r="B988" s="5"/>
      <c r="C988" s="6"/>
      <c r="D988" s="25"/>
      <c r="E988" s="26"/>
      <c r="F988" s="26"/>
      <c r="G988" s="26"/>
      <c r="H988" s="26"/>
      <c r="I988" s="26"/>
      <c r="J988" s="17"/>
      <c r="K988" s="17"/>
      <c r="L988" s="17"/>
      <c r="M988" s="17"/>
      <c r="N988" s="17"/>
      <c r="O988" s="17"/>
    </row>
    <row r="989" spans="1:15" x14ac:dyDescent="0.2">
      <c r="A989" s="5"/>
      <c r="B989" s="5"/>
      <c r="C989" s="6"/>
      <c r="D989" s="25"/>
      <c r="E989" s="26"/>
      <c r="F989" s="26"/>
      <c r="G989" s="26"/>
      <c r="H989" s="26"/>
      <c r="I989" s="26"/>
      <c r="J989" s="17"/>
      <c r="K989" s="17"/>
      <c r="L989" s="17"/>
      <c r="M989" s="17"/>
      <c r="N989" s="17"/>
      <c r="O989" s="17"/>
    </row>
    <row r="990" spans="1:15" x14ac:dyDescent="0.2">
      <c r="A990" s="5"/>
      <c r="B990" s="5"/>
      <c r="C990" s="6"/>
      <c r="D990" s="25"/>
      <c r="E990" s="26"/>
      <c r="F990" s="26"/>
      <c r="G990" s="26"/>
      <c r="H990" s="26"/>
      <c r="I990" s="26"/>
      <c r="J990" s="17"/>
      <c r="K990" s="17"/>
      <c r="L990" s="17"/>
      <c r="M990" s="17"/>
      <c r="N990" s="17"/>
      <c r="O990" s="17"/>
    </row>
    <row r="991" spans="1:15" x14ac:dyDescent="0.2">
      <c r="A991" s="5"/>
      <c r="B991" s="5"/>
      <c r="C991" s="6"/>
      <c r="D991" s="25"/>
      <c r="E991" s="26"/>
      <c r="F991" s="26"/>
      <c r="G991" s="26"/>
      <c r="H991" s="26"/>
      <c r="I991" s="26"/>
      <c r="J991" s="17"/>
      <c r="K991" s="17"/>
      <c r="L991" s="17"/>
      <c r="M991" s="17"/>
      <c r="N991" s="17"/>
      <c r="O991" s="17"/>
    </row>
    <row r="992" spans="1:15" x14ac:dyDescent="0.2">
      <c r="A992" s="5"/>
      <c r="B992" s="5"/>
      <c r="C992" s="6"/>
      <c r="D992" s="25"/>
      <c r="E992" s="26"/>
      <c r="F992" s="26"/>
      <c r="G992" s="26"/>
      <c r="H992" s="26"/>
      <c r="I992" s="26"/>
      <c r="J992" s="17"/>
      <c r="K992" s="17"/>
      <c r="L992" s="17"/>
      <c r="M992" s="17"/>
      <c r="N992" s="17"/>
      <c r="O992" s="17"/>
    </row>
    <row r="993" spans="1:15" x14ac:dyDescent="0.2">
      <c r="A993" s="5"/>
      <c r="B993" s="5"/>
      <c r="C993" s="6"/>
      <c r="D993" s="25"/>
      <c r="E993" s="26"/>
      <c r="F993" s="26"/>
      <c r="G993" s="26"/>
      <c r="H993" s="26"/>
      <c r="I993" s="26"/>
      <c r="J993" s="17"/>
      <c r="K993" s="17"/>
      <c r="L993" s="17"/>
      <c r="M993" s="17"/>
      <c r="N993" s="17"/>
      <c r="O993" s="17"/>
    </row>
    <row r="994" spans="1:15" x14ac:dyDescent="0.2">
      <c r="A994" s="5"/>
      <c r="B994" s="5"/>
      <c r="C994" s="6"/>
      <c r="D994" s="25"/>
      <c r="E994" s="26"/>
      <c r="F994" s="26"/>
      <c r="G994" s="26"/>
      <c r="H994" s="26"/>
      <c r="I994" s="26"/>
      <c r="J994" s="17"/>
      <c r="K994" s="17"/>
      <c r="L994" s="17"/>
      <c r="M994" s="17"/>
      <c r="N994" s="17"/>
      <c r="O994" s="17"/>
    </row>
    <row r="995" spans="1:15" x14ac:dyDescent="0.2">
      <c r="A995" s="5"/>
      <c r="B995" s="5"/>
      <c r="C995" s="6"/>
      <c r="D995" s="25"/>
      <c r="E995" s="26"/>
      <c r="F995" s="26"/>
      <c r="G995" s="26"/>
      <c r="H995" s="26"/>
      <c r="I995" s="26"/>
      <c r="J995" s="17"/>
      <c r="K995" s="17"/>
      <c r="L995" s="17"/>
      <c r="M995" s="17"/>
      <c r="N995" s="17"/>
      <c r="O995" s="17"/>
    </row>
    <row r="996" spans="1:15" x14ac:dyDescent="0.2">
      <c r="A996" s="5"/>
      <c r="B996" s="5"/>
      <c r="C996" s="6"/>
      <c r="D996" s="25"/>
      <c r="E996" s="26"/>
      <c r="F996" s="26"/>
      <c r="G996" s="26"/>
      <c r="H996" s="26"/>
      <c r="I996" s="26"/>
      <c r="J996" s="17"/>
      <c r="K996" s="17"/>
      <c r="L996" s="17"/>
      <c r="M996" s="17"/>
      <c r="N996" s="17"/>
      <c r="O996" s="17"/>
    </row>
    <row r="997" spans="1:15" x14ac:dyDescent="0.2">
      <c r="A997" s="5"/>
      <c r="B997" s="5"/>
      <c r="C997" s="6"/>
      <c r="D997" s="25"/>
      <c r="E997" s="26"/>
      <c r="F997" s="26"/>
      <c r="G997" s="26"/>
      <c r="H997" s="26"/>
      <c r="I997" s="26"/>
      <c r="J997" s="17"/>
      <c r="K997" s="17"/>
      <c r="L997" s="17"/>
      <c r="M997" s="17"/>
      <c r="N997" s="17"/>
      <c r="O997" s="17"/>
    </row>
    <row r="998" spans="1:15" x14ac:dyDescent="0.2">
      <c r="A998" s="5"/>
      <c r="B998" s="5"/>
      <c r="C998" s="6"/>
      <c r="D998" s="25"/>
      <c r="E998" s="26"/>
      <c r="F998" s="26"/>
      <c r="G998" s="26"/>
      <c r="H998" s="26"/>
      <c r="I998" s="26"/>
      <c r="J998" s="17"/>
      <c r="K998" s="17"/>
      <c r="L998" s="17"/>
      <c r="M998" s="17"/>
      <c r="N998" s="17"/>
      <c r="O998" s="17"/>
    </row>
    <row r="999" spans="1:15" x14ac:dyDescent="0.2">
      <c r="A999" s="5"/>
      <c r="B999" s="5"/>
      <c r="C999" s="6"/>
      <c r="D999" s="25"/>
      <c r="E999" s="26"/>
      <c r="F999" s="26"/>
      <c r="G999" s="26"/>
      <c r="H999" s="26"/>
      <c r="I999" s="26"/>
      <c r="J999" s="17"/>
      <c r="K999" s="17"/>
      <c r="L999" s="17"/>
      <c r="M999" s="17"/>
      <c r="N999" s="17"/>
      <c r="O999" s="17"/>
    </row>
    <row r="1000" spans="1:15" x14ac:dyDescent="0.2">
      <c r="A1000" s="5"/>
      <c r="B1000" s="5"/>
      <c r="C1000" s="6"/>
      <c r="D1000" s="25"/>
      <c r="E1000" s="26"/>
      <c r="F1000" s="26"/>
      <c r="G1000" s="26"/>
      <c r="H1000" s="26"/>
      <c r="I1000" s="26"/>
      <c r="J1000" s="17"/>
      <c r="K1000" s="17"/>
      <c r="L1000" s="17"/>
      <c r="M1000" s="17"/>
      <c r="N1000" s="17"/>
      <c r="O1000" s="17"/>
    </row>
    <row r="1001" spans="1:15" x14ac:dyDescent="0.2">
      <c r="A1001" s="5"/>
      <c r="B1001" s="5"/>
      <c r="C1001" s="6"/>
      <c r="D1001" s="25"/>
      <c r="E1001" s="26"/>
      <c r="F1001" s="26"/>
      <c r="G1001" s="26"/>
      <c r="H1001" s="26"/>
      <c r="I1001" s="26"/>
      <c r="J1001" s="17"/>
      <c r="K1001" s="17"/>
      <c r="L1001" s="17"/>
      <c r="M1001" s="17"/>
      <c r="N1001" s="17"/>
      <c r="O1001" s="17"/>
    </row>
    <row r="1002" spans="1:15" x14ac:dyDescent="0.2">
      <c r="A1002" s="5"/>
      <c r="B1002" s="5"/>
      <c r="C1002" s="6"/>
      <c r="D1002" s="25"/>
      <c r="E1002" s="26"/>
      <c r="F1002" s="26"/>
      <c r="G1002" s="26"/>
      <c r="H1002" s="26"/>
      <c r="I1002" s="26"/>
      <c r="J1002" s="17"/>
      <c r="K1002" s="17"/>
      <c r="L1002" s="17"/>
      <c r="M1002" s="17"/>
      <c r="N1002" s="17"/>
      <c r="O1002" s="17"/>
    </row>
    <row r="1003" spans="1:15" x14ac:dyDescent="0.2">
      <c r="A1003" s="5"/>
      <c r="B1003" s="5"/>
      <c r="C1003" s="6"/>
      <c r="D1003" s="25"/>
      <c r="E1003" s="26"/>
      <c r="F1003" s="26"/>
      <c r="G1003" s="26"/>
      <c r="H1003" s="26"/>
      <c r="I1003" s="26"/>
      <c r="J1003" s="17"/>
      <c r="K1003" s="17"/>
      <c r="L1003" s="17"/>
      <c r="M1003" s="17"/>
      <c r="N1003" s="17"/>
      <c r="O1003" s="17"/>
    </row>
    <row r="1004" spans="1:15" x14ac:dyDescent="0.2">
      <c r="A1004" s="5"/>
      <c r="B1004" s="5"/>
      <c r="C1004" s="6"/>
      <c r="D1004" s="25"/>
      <c r="E1004" s="26"/>
      <c r="F1004" s="26"/>
      <c r="G1004" s="26"/>
      <c r="H1004" s="26"/>
      <c r="I1004" s="26"/>
      <c r="J1004" s="17"/>
      <c r="K1004" s="17"/>
      <c r="L1004" s="17"/>
      <c r="M1004" s="17"/>
      <c r="N1004" s="17"/>
      <c r="O1004" s="17"/>
    </row>
    <row r="1005" spans="1:15" x14ac:dyDescent="0.2">
      <c r="A1005" s="5"/>
      <c r="B1005" s="5"/>
      <c r="C1005" s="6"/>
      <c r="D1005" s="25"/>
      <c r="E1005" s="26"/>
      <c r="F1005" s="26"/>
      <c r="G1005" s="26"/>
      <c r="H1005" s="26"/>
      <c r="I1005" s="26"/>
      <c r="J1005" s="17"/>
      <c r="K1005" s="17"/>
      <c r="L1005" s="17"/>
      <c r="M1005" s="17"/>
      <c r="N1005" s="17"/>
      <c r="O1005" s="17"/>
    </row>
    <row r="1006" spans="1:15" x14ac:dyDescent="0.2">
      <c r="A1006" s="5"/>
      <c r="B1006" s="5"/>
      <c r="C1006" s="6"/>
      <c r="D1006" s="25"/>
      <c r="E1006" s="26"/>
      <c r="F1006" s="26"/>
      <c r="G1006" s="26"/>
      <c r="H1006" s="26"/>
      <c r="I1006" s="26"/>
      <c r="J1006" s="17"/>
      <c r="K1006" s="17"/>
      <c r="L1006" s="17"/>
      <c r="M1006" s="17"/>
      <c r="N1006" s="17"/>
      <c r="O1006" s="17"/>
    </row>
    <row r="1007" spans="1:15" x14ac:dyDescent="0.2">
      <c r="A1007" s="5"/>
      <c r="B1007" s="5"/>
      <c r="C1007" s="6"/>
      <c r="D1007" s="25"/>
      <c r="E1007" s="26"/>
      <c r="F1007" s="26"/>
      <c r="G1007" s="26"/>
      <c r="H1007" s="26"/>
      <c r="I1007" s="26"/>
      <c r="J1007" s="17"/>
      <c r="K1007" s="17"/>
      <c r="L1007" s="17"/>
      <c r="M1007" s="17"/>
      <c r="N1007" s="17"/>
      <c r="O1007" s="17"/>
    </row>
    <row r="1008" spans="1:15" x14ac:dyDescent="0.2">
      <c r="A1008" s="5"/>
      <c r="B1008" s="5"/>
      <c r="C1008" s="7"/>
      <c r="D1008" s="25"/>
      <c r="E1008" s="26"/>
      <c r="F1008" s="26"/>
      <c r="G1008" s="26"/>
      <c r="H1008" s="26"/>
      <c r="I1008" s="26"/>
      <c r="J1008" s="17"/>
      <c r="K1008" s="17"/>
      <c r="L1008" s="17"/>
      <c r="M1008" s="17"/>
      <c r="N1008" s="17"/>
      <c r="O1008" s="17"/>
    </row>
    <row r="1009" spans="1:15" x14ac:dyDescent="0.2">
      <c r="A1009" s="5"/>
      <c r="B1009" s="5"/>
      <c r="C1009" s="7"/>
      <c r="D1009" s="25"/>
      <c r="E1009" s="26"/>
      <c r="F1009" s="26"/>
      <c r="G1009" s="26"/>
      <c r="H1009" s="26"/>
      <c r="I1009" s="26"/>
      <c r="J1009" s="17"/>
      <c r="K1009" s="17"/>
      <c r="L1009" s="17"/>
      <c r="M1009" s="17"/>
      <c r="N1009" s="17"/>
      <c r="O1009" s="17"/>
    </row>
    <row r="1010" spans="1:15" x14ac:dyDescent="0.2">
      <c r="A1010" s="5"/>
      <c r="B1010" s="5"/>
      <c r="C1010" s="7"/>
      <c r="D1010" s="25"/>
      <c r="E1010" s="26"/>
      <c r="F1010" s="26"/>
      <c r="G1010" s="26"/>
      <c r="H1010" s="26"/>
      <c r="I1010" s="26"/>
      <c r="J1010" s="17"/>
      <c r="K1010" s="17"/>
      <c r="L1010" s="17"/>
      <c r="M1010" s="17"/>
      <c r="N1010" s="17"/>
      <c r="O1010" s="17"/>
    </row>
    <row r="1011" spans="1:15" x14ac:dyDescent="0.2">
      <c r="A1011" s="5"/>
      <c r="B1011" s="5"/>
      <c r="C1011" s="6"/>
      <c r="D1011" s="25"/>
      <c r="E1011" s="26"/>
      <c r="F1011" s="26"/>
      <c r="G1011" s="26"/>
      <c r="H1011" s="26"/>
      <c r="I1011" s="26"/>
      <c r="J1011" s="17"/>
      <c r="K1011" s="17"/>
      <c r="L1011" s="17"/>
      <c r="M1011" s="17"/>
      <c r="N1011" s="17"/>
      <c r="O1011" s="17"/>
    </row>
    <row r="1012" spans="1:15" x14ac:dyDescent="0.2">
      <c r="A1012" s="5"/>
      <c r="B1012" s="5"/>
      <c r="C1012" s="6"/>
      <c r="D1012" s="25"/>
      <c r="E1012" s="26"/>
      <c r="F1012" s="26"/>
      <c r="G1012" s="26"/>
      <c r="H1012" s="26"/>
      <c r="I1012" s="26"/>
      <c r="J1012" s="17"/>
      <c r="K1012" s="17"/>
      <c r="L1012" s="17"/>
      <c r="M1012" s="17"/>
      <c r="N1012" s="17"/>
      <c r="O1012" s="17"/>
    </row>
    <row r="1013" spans="1:15" x14ac:dyDescent="0.2">
      <c r="A1013" s="5"/>
      <c r="B1013" s="5"/>
      <c r="C1013" s="6"/>
      <c r="D1013" s="25"/>
      <c r="E1013" s="26"/>
      <c r="F1013" s="26"/>
      <c r="G1013" s="26"/>
      <c r="H1013" s="26"/>
      <c r="I1013" s="26"/>
      <c r="J1013" s="17"/>
      <c r="K1013" s="17"/>
      <c r="L1013" s="17"/>
      <c r="M1013" s="17"/>
      <c r="N1013" s="17"/>
      <c r="O1013" s="17"/>
    </row>
    <row r="1014" spans="1:15" x14ac:dyDescent="0.2">
      <c r="A1014" s="5"/>
      <c r="B1014" s="5"/>
      <c r="C1014" s="6"/>
      <c r="D1014" s="25"/>
      <c r="E1014" s="26"/>
      <c r="F1014" s="26"/>
      <c r="G1014" s="26"/>
      <c r="H1014" s="26"/>
      <c r="I1014" s="26"/>
      <c r="J1014" s="17"/>
      <c r="K1014" s="17"/>
      <c r="L1014" s="17"/>
      <c r="M1014" s="17"/>
      <c r="N1014" s="17"/>
      <c r="O1014" s="17"/>
    </row>
    <row r="1015" spans="1:15" x14ac:dyDescent="0.2">
      <c r="A1015" s="5"/>
      <c r="B1015" s="5"/>
      <c r="C1015" s="6"/>
      <c r="D1015" s="25"/>
      <c r="E1015" s="26"/>
      <c r="F1015" s="26"/>
      <c r="G1015" s="26"/>
      <c r="H1015" s="26"/>
      <c r="I1015" s="26"/>
      <c r="J1015" s="17"/>
      <c r="K1015" s="17"/>
      <c r="L1015" s="17"/>
      <c r="M1015" s="17"/>
      <c r="N1015" s="17"/>
      <c r="O1015" s="17"/>
    </row>
    <row r="1016" spans="1:15" x14ac:dyDescent="0.2">
      <c r="A1016" s="5"/>
      <c r="B1016" s="5"/>
      <c r="C1016" s="6"/>
      <c r="D1016" s="25"/>
      <c r="E1016" s="26"/>
      <c r="F1016" s="26"/>
      <c r="G1016" s="26"/>
      <c r="H1016" s="26"/>
      <c r="I1016" s="26"/>
      <c r="J1016" s="17"/>
      <c r="K1016" s="17"/>
      <c r="L1016" s="17"/>
      <c r="M1016" s="17"/>
      <c r="N1016" s="17"/>
      <c r="O1016" s="17"/>
    </row>
    <row r="1017" spans="1:15" x14ac:dyDescent="0.2">
      <c r="A1017" s="5"/>
      <c r="B1017" s="5"/>
      <c r="C1017" s="6"/>
      <c r="D1017" s="25"/>
      <c r="E1017" s="26"/>
      <c r="F1017" s="26"/>
      <c r="G1017" s="26"/>
      <c r="H1017" s="26"/>
      <c r="I1017" s="26"/>
      <c r="J1017" s="17"/>
      <c r="K1017" s="17"/>
      <c r="L1017" s="17"/>
      <c r="M1017" s="17"/>
      <c r="N1017" s="17"/>
      <c r="O1017" s="17"/>
    </row>
    <row r="1018" spans="1:15" x14ac:dyDescent="0.2">
      <c r="A1018" s="5"/>
      <c r="B1018" s="5"/>
      <c r="C1018" s="6"/>
      <c r="D1018" s="25"/>
      <c r="E1018" s="26"/>
      <c r="F1018" s="26"/>
      <c r="G1018" s="26"/>
      <c r="H1018" s="26"/>
      <c r="I1018" s="26"/>
      <c r="J1018" s="17"/>
      <c r="K1018" s="17"/>
      <c r="L1018" s="17"/>
      <c r="M1018" s="17"/>
      <c r="N1018" s="17"/>
      <c r="O1018" s="17"/>
    </row>
    <row r="1019" spans="1:15" x14ac:dyDescent="0.2">
      <c r="A1019" s="5"/>
      <c r="B1019" s="5"/>
      <c r="C1019" s="6"/>
      <c r="D1019" s="25"/>
      <c r="E1019" s="26"/>
      <c r="F1019" s="26"/>
      <c r="G1019" s="26"/>
      <c r="H1019" s="26"/>
      <c r="I1019" s="26"/>
      <c r="J1019" s="17"/>
      <c r="K1019" s="17"/>
      <c r="L1019" s="17"/>
      <c r="M1019" s="17"/>
      <c r="N1019" s="17"/>
      <c r="O1019" s="17"/>
    </row>
    <row r="1020" spans="1:15" x14ac:dyDescent="0.2">
      <c r="A1020" s="5"/>
      <c r="B1020" s="5"/>
      <c r="C1020" s="6"/>
      <c r="D1020" s="25"/>
      <c r="E1020" s="26"/>
      <c r="F1020" s="26"/>
      <c r="G1020" s="26"/>
      <c r="H1020" s="26"/>
      <c r="I1020" s="26"/>
      <c r="J1020" s="17"/>
      <c r="K1020" s="17"/>
      <c r="L1020" s="17"/>
      <c r="M1020" s="17"/>
      <c r="N1020" s="17"/>
      <c r="O1020" s="17"/>
    </row>
    <row r="1021" spans="1:15" x14ac:dyDescent="0.2">
      <c r="A1021" s="5"/>
      <c r="B1021" s="5"/>
      <c r="C1021" s="6"/>
      <c r="D1021" s="25"/>
      <c r="E1021" s="26"/>
      <c r="F1021" s="26"/>
      <c r="G1021" s="26"/>
      <c r="H1021" s="26"/>
      <c r="I1021" s="26"/>
      <c r="J1021" s="17"/>
      <c r="K1021" s="17"/>
      <c r="L1021" s="17"/>
      <c r="M1021" s="17"/>
      <c r="N1021" s="17"/>
      <c r="O1021" s="17"/>
    </row>
    <row r="1022" spans="1:15" x14ac:dyDescent="0.2">
      <c r="A1022" s="5"/>
      <c r="B1022" s="5"/>
      <c r="C1022" s="6"/>
      <c r="D1022" s="25"/>
      <c r="E1022" s="26"/>
      <c r="F1022" s="26"/>
      <c r="G1022" s="26"/>
      <c r="H1022" s="26"/>
      <c r="I1022" s="26"/>
      <c r="J1022" s="17"/>
      <c r="K1022" s="17"/>
      <c r="L1022" s="17"/>
      <c r="M1022" s="17"/>
      <c r="N1022" s="17"/>
      <c r="O1022" s="17"/>
    </row>
    <row r="1023" spans="1:15" x14ac:dyDescent="0.2">
      <c r="A1023" s="5"/>
      <c r="B1023" s="5"/>
      <c r="C1023" s="6"/>
      <c r="D1023" s="25"/>
      <c r="E1023" s="26"/>
      <c r="F1023" s="26"/>
      <c r="G1023" s="26"/>
      <c r="H1023" s="26"/>
      <c r="I1023" s="26"/>
      <c r="J1023" s="17"/>
      <c r="K1023" s="17"/>
      <c r="L1023" s="17"/>
      <c r="M1023" s="17"/>
      <c r="N1023" s="17"/>
      <c r="O1023" s="17"/>
    </row>
    <row r="1024" spans="1:15" x14ac:dyDescent="0.2">
      <c r="A1024" s="5"/>
      <c r="B1024" s="5"/>
      <c r="C1024" s="6"/>
      <c r="D1024" s="25"/>
      <c r="E1024" s="26"/>
      <c r="F1024" s="26"/>
      <c r="G1024" s="26"/>
      <c r="H1024" s="26"/>
      <c r="I1024" s="26"/>
      <c r="J1024" s="17"/>
      <c r="K1024" s="17"/>
      <c r="L1024" s="17"/>
      <c r="M1024" s="17"/>
      <c r="N1024" s="17"/>
      <c r="O1024" s="17"/>
    </row>
    <row r="1025" spans="1:15" x14ac:dyDescent="0.2">
      <c r="A1025" s="5"/>
      <c r="B1025" s="5"/>
      <c r="C1025" s="6"/>
      <c r="D1025" s="25"/>
      <c r="E1025" s="26"/>
      <c r="F1025" s="26"/>
      <c r="G1025" s="26"/>
      <c r="H1025" s="26"/>
      <c r="I1025" s="26"/>
      <c r="J1025" s="17"/>
      <c r="K1025" s="17"/>
      <c r="L1025" s="17"/>
      <c r="M1025" s="17"/>
      <c r="N1025" s="17"/>
      <c r="O1025" s="17"/>
    </row>
    <row r="1026" spans="1:15" x14ac:dyDescent="0.2">
      <c r="A1026" s="5"/>
      <c r="B1026" s="5"/>
      <c r="C1026" s="6"/>
      <c r="D1026" s="25"/>
      <c r="E1026" s="26"/>
      <c r="F1026" s="26"/>
      <c r="G1026" s="26"/>
      <c r="H1026" s="26"/>
      <c r="I1026" s="26"/>
      <c r="J1026" s="17"/>
      <c r="K1026" s="17"/>
      <c r="L1026" s="17"/>
      <c r="M1026" s="17"/>
      <c r="N1026" s="17"/>
      <c r="O1026" s="17"/>
    </row>
    <row r="1027" spans="1:15" x14ac:dyDescent="0.2">
      <c r="A1027" s="5"/>
      <c r="B1027" s="5"/>
      <c r="C1027" s="6"/>
      <c r="D1027" s="25"/>
      <c r="E1027" s="26"/>
      <c r="F1027" s="26"/>
      <c r="G1027" s="26"/>
      <c r="H1027" s="26"/>
      <c r="I1027" s="26"/>
      <c r="J1027" s="17"/>
      <c r="K1027" s="17"/>
      <c r="L1027" s="17"/>
      <c r="M1027" s="17"/>
      <c r="N1027" s="17"/>
      <c r="O1027" s="17"/>
    </row>
    <row r="1028" spans="1:15" x14ac:dyDescent="0.2">
      <c r="A1028" s="5"/>
      <c r="B1028" s="5"/>
      <c r="C1028" s="6"/>
      <c r="D1028" s="25"/>
      <c r="E1028" s="26"/>
      <c r="F1028" s="26"/>
      <c r="G1028" s="26"/>
      <c r="H1028" s="26"/>
      <c r="I1028" s="26"/>
      <c r="J1028" s="17"/>
      <c r="K1028" s="17"/>
      <c r="L1028" s="17"/>
      <c r="M1028" s="17"/>
      <c r="N1028" s="17"/>
      <c r="O1028" s="17"/>
    </row>
    <row r="1029" spans="1:15" x14ac:dyDescent="0.2">
      <c r="A1029" s="5"/>
      <c r="B1029" s="5"/>
      <c r="C1029" s="6"/>
      <c r="D1029" s="25"/>
      <c r="E1029" s="26"/>
      <c r="F1029" s="26"/>
      <c r="G1029" s="26"/>
      <c r="H1029" s="26"/>
      <c r="I1029" s="26"/>
      <c r="J1029" s="17"/>
      <c r="K1029" s="17"/>
      <c r="L1029" s="17"/>
      <c r="M1029" s="17"/>
      <c r="N1029" s="17"/>
      <c r="O1029" s="17"/>
    </row>
    <row r="1030" spans="1:15" x14ac:dyDescent="0.2">
      <c r="A1030" s="5"/>
      <c r="B1030" s="5"/>
      <c r="C1030" s="6"/>
      <c r="D1030" s="25"/>
      <c r="E1030" s="26"/>
      <c r="F1030" s="26"/>
      <c r="G1030" s="26"/>
      <c r="H1030" s="26"/>
      <c r="I1030" s="26"/>
      <c r="J1030" s="17"/>
      <c r="K1030" s="17"/>
      <c r="L1030" s="17"/>
      <c r="M1030" s="17"/>
      <c r="N1030" s="17"/>
      <c r="O1030" s="17"/>
    </row>
    <row r="1031" spans="1:15" x14ac:dyDescent="0.2">
      <c r="A1031" s="5"/>
      <c r="B1031" s="5"/>
      <c r="C1031" s="6"/>
      <c r="D1031" s="25"/>
      <c r="E1031" s="26"/>
      <c r="F1031" s="26"/>
      <c r="G1031" s="26"/>
      <c r="H1031" s="26"/>
      <c r="I1031" s="26"/>
      <c r="J1031" s="17"/>
      <c r="K1031" s="17"/>
      <c r="L1031" s="17"/>
      <c r="M1031" s="17"/>
      <c r="N1031" s="17"/>
      <c r="O1031" s="17"/>
    </row>
    <row r="1032" spans="1:15" x14ac:dyDescent="0.2">
      <c r="A1032" s="5"/>
      <c r="B1032" s="5"/>
      <c r="C1032" s="6"/>
      <c r="D1032" s="25"/>
      <c r="E1032" s="26"/>
      <c r="F1032" s="26"/>
      <c r="G1032" s="26"/>
      <c r="H1032" s="26"/>
      <c r="I1032" s="26"/>
      <c r="J1032" s="17"/>
      <c r="K1032" s="17"/>
      <c r="L1032" s="17"/>
      <c r="M1032" s="17"/>
      <c r="N1032" s="17"/>
      <c r="O1032" s="17"/>
    </row>
    <row r="1033" spans="1:15" x14ac:dyDescent="0.2">
      <c r="A1033" s="5"/>
      <c r="B1033" s="5"/>
      <c r="C1033" s="7"/>
      <c r="D1033" s="25"/>
      <c r="E1033" s="26"/>
      <c r="F1033" s="26"/>
      <c r="G1033" s="26"/>
      <c r="H1033" s="26"/>
      <c r="I1033" s="26"/>
      <c r="J1033" s="17"/>
      <c r="K1033" s="17"/>
      <c r="L1033" s="17"/>
      <c r="M1033" s="17"/>
      <c r="N1033" s="17"/>
      <c r="O1033" s="17"/>
    </row>
    <row r="1034" spans="1:15" x14ac:dyDescent="0.2">
      <c r="A1034" s="5"/>
      <c r="B1034" s="5"/>
      <c r="C1034" s="6"/>
      <c r="D1034" s="25"/>
      <c r="E1034" s="26"/>
      <c r="F1034" s="26"/>
      <c r="G1034" s="26"/>
      <c r="H1034" s="26"/>
      <c r="I1034" s="26"/>
      <c r="J1034" s="17"/>
      <c r="K1034" s="17"/>
      <c r="L1034" s="17"/>
      <c r="M1034" s="17"/>
      <c r="N1034" s="17"/>
      <c r="O1034" s="17"/>
    </row>
    <row r="1035" spans="1:15" x14ac:dyDescent="0.2">
      <c r="A1035" s="5"/>
      <c r="B1035" s="5"/>
      <c r="C1035" s="6"/>
      <c r="D1035" s="25"/>
      <c r="E1035" s="26"/>
      <c r="F1035" s="26"/>
      <c r="G1035" s="26"/>
      <c r="H1035" s="26"/>
      <c r="I1035" s="26"/>
      <c r="J1035" s="17"/>
      <c r="K1035" s="17"/>
      <c r="L1035" s="17"/>
      <c r="M1035" s="17"/>
      <c r="N1035" s="17"/>
      <c r="O1035" s="17"/>
    </row>
    <row r="1036" spans="1:15" x14ac:dyDescent="0.2">
      <c r="A1036" s="5"/>
      <c r="B1036" s="5"/>
      <c r="C1036" s="6"/>
      <c r="D1036" s="25"/>
      <c r="E1036" s="26"/>
      <c r="F1036" s="26"/>
      <c r="G1036" s="26"/>
      <c r="H1036" s="26"/>
      <c r="I1036" s="26"/>
      <c r="J1036" s="17"/>
      <c r="K1036" s="17"/>
      <c r="L1036" s="17"/>
      <c r="M1036" s="17"/>
      <c r="N1036" s="17"/>
      <c r="O1036" s="17"/>
    </row>
    <row r="1037" spans="1:15" x14ac:dyDescent="0.2">
      <c r="A1037" s="5"/>
      <c r="B1037" s="5"/>
      <c r="C1037" s="6"/>
      <c r="D1037" s="25"/>
      <c r="E1037" s="26"/>
      <c r="F1037" s="26"/>
      <c r="G1037" s="26"/>
      <c r="H1037" s="26"/>
      <c r="I1037" s="26"/>
      <c r="J1037" s="17"/>
      <c r="K1037" s="17"/>
      <c r="L1037" s="17"/>
      <c r="M1037" s="17"/>
      <c r="N1037" s="17"/>
      <c r="O1037" s="17"/>
    </row>
    <row r="1038" spans="1:15" x14ac:dyDescent="0.2">
      <c r="A1038" s="5"/>
      <c r="B1038" s="5"/>
      <c r="C1038" s="6"/>
      <c r="D1038" s="25"/>
      <c r="E1038" s="26"/>
      <c r="F1038" s="26"/>
      <c r="G1038" s="26"/>
      <c r="H1038" s="26"/>
      <c r="I1038" s="26"/>
      <c r="J1038" s="17"/>
      <c r="K1038" s="17"/>
      <c r="L1038" s="17"/>
      <c r="M1038" s="17"/>
      <c r="N1038" s="17"/>
      <c r="O1038" s="17"/>
    </row>
    <row r="1039" spans="1:15" x14ac:dyDescent="0.2">
      <c r="A1039" s="5"/>
      <c r="B1039" s="5"/>
      <c r="C1039" s="6"/>
      <c r="D1039" s="25"/>
      <c r="E1039" s="26"/>
      <c r="F1039" s="26"/>
      <c r="G1039" s="26"/>
      <c r="H1039" s="26"/>
      <c r="I1039" s="26"/>
      <c r="J1039" s="17"/>
      <c r="K1039" s="17"/>
      <c r="L1039" s="17"/>
      <c r="M1039" s="17"/>
      <c r="N1039" s="17"/>
      <c r="O1039" s="17"/>
    </row>
    <row r="1040" spans="1:15" x14ac:dyDescent="0.2">
      <c r="A1040" s="5"/>
      <c r="B1040" s="5"/>
      <c r="C1040" s="6"/>
      <c r="D1040" s="25"/>
      <c r="E1040" s="26"/>
      <c r="F1040" s="26"/>
      <c r="G1040" s="26"/>
      <c r="H1040" s="26"/>
      <c r="I1040" s="26"/>
      <c r="J1040" s="17"/>
      <c r="K1040" s="17"/>
      <c r="L1040" s="17"/>
      <c r="M1040" s="17"/>
      <c r="N1040" s="17"/>
      <c r="O1040" s="17"/>
    </row>
    <row r="1041" spans="1:15" x14ac:dyDescent="0.2">
      <c r="A1041" s="5"/>
      <c r="B1041" s="5"/>
      <c r="C1041" s="6"/>
      <c r="D1041" s="25"/>
      <c r="E1041" s="26"/>
      <c r="F1041" s="26"/>
      <c r="G1041" s="26"/>
      <c r="H1041" s="26"/>
      <c r="I1041" s="26"/>
      <c r="J1041" s="17"/>
      <c r="K1041" s="17"/>
      <c r="L1041" s="17"/>
      <c r="M1041" s="17"/>
      <c r="N1041" s="17"/>
      <c r="O1041" s="17"/>
    </row>
    <row r="1042" spans="1:15" x14ac:dyDescent="0.2">
      <c r="A1042" s="5"/>
      <c r="B1042" s="5"/>
      <c r="C1042" s="6"/>
      <c r="D1042" s="25"/>
      <c r="E1042" s="26"/>
      <c r="F1042" s="26"/>
      <c r="G1042" s="26"/>
      <c r="H1042" s="26"/>
      <c r="I1042" s="26"/>
      <c r="J1042" s="17"/>
      <c r="K1042" s="17"/>
      <c r="L1042" s="17"/>
      <c r="M1042" s="17"/>
      <c r="N1042" s="17"/>
      <c r="O1042" s="17"/>
    </row>
    <row r="1043" spans="1:15" x14ac:dyDescent="0.2">
      <c r="A1043" s="5"/>
      <c r="B1043" s="5"/>
      <c r="C1043" s="6"/>
      <c r="D1043" s="25"/>
      <c r="E1043" s="26"/>
      <c r="F1043" s="26"/>
      <c r="G1043" s="26"/>
      <c r="H1043" s="26"/>
      <c r="I1043" s="26"/>
      <c r="J1043" s="17"/>
      <c r="K1043" s="17"/>
      <c r="L1043" s="17"/>
      <c r="M1043" s="17"/>
      <c r="N1043" s="17"/>
      <c r="O1043" s="17"/>
    </row>
    <row r="1044" spans="1:15" x14ac:dyDescent="0.2">
      <c r="A1044" s="5"/>
      <c r="B1044" s="5"/>
      <c r="C1044" s="6"/>
      <c r="D1044" s="25"/>
      <c r="E1044" s="26"/>
      <c r="F1044" s="26"/>
      <c r="G1044" s="26"/>
      <c r="H1044" s="26"/>
      <c r="I1044" s="26"/>
      <c r="J1044" s="17"/>
      <c r="K1044" s="17"/>
      <c r="L1044" s="17"/>
      <c r="M1044" s="17"/>
      <c r="N1044" s="17"/>
      <c r="O1044" s="17"/>
    </row>
  </sheetData>
  <phoneticPr fontId="2" type="noConversion"/>
  <printOptions gridLines="1"/>
  <pageMargins left="0.75" right="0.5" top="0.75" bottom="0.75" header="0.5" footer="0.5"/>
  <pageSetup scale="6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C61"/>
  <sheetViews>
    <sheetView workbookViewId="0"/>
  </sheetViews>
  <sheetFormatPr defaultRowHeight="12.75" x14ac:dyDescent="0.2"/>
  <cols>
    <col min="1" max="1" width="4.7109375" customWidth="1"/>
    <col min="2" max="2" width="72.7109375" customWidth="1"/>
    <col min="3" max="3" width="49.28515625" customWidth="1"/>
  </cols>
  <sheetData>
    <row r="1" spans="1:2" x14ac:dyDescent="0.2">
      <c r="A1" t="s">
        <v>499</v>
      </c>
    </row>
    <row r="3" spans="1:2" x14ac:dyDescent="0.2">
      <c r="A3" s="11" t="s">
        <v>500</v>
      </c>
      <c r="B3" t="s">
        <v>506</v>
      </c>
    </row>
    <row r="4" spans="1:2" x14ac:dyDescent="0.2">
      <c r="B4" t="s">
        <v>507</v>
      </c>
    </row>
    <row r="5" spans="1:2" x14ac:dyDescent="0.2">
      <c r="B5" t="s">
        <v>508</v>
      </c>
    </row>
    <row r="7" spans="1:2" x14ac:dyDescent="0.2">
      <c r="A7" s="11" t="s">
        <v>501</v>
      </c>
      <c r="B7" s="10" t="s">
        <v>509</v>
      </c>
    </row>
    <row r="8" spans="1:2" x14ac:dyDescent="0.2">
      <c r="B8" s="10" t="s">
        <v>563</v>
      </c>
    </row>
    <row r="9" spans="1:2" x14ac:dyDescent="0.2">
      <c r="B9" s="10" t="s">
        <v>564</v>
      </c>
    </row>
    <row r="10" spans="1:2" x14ac:dyDescent="0.2">
      <c r="B10" t="s">
        <v>510</v>
      </c>
    </row>
    <row r="11" spans="1:2" x14ac:dyDescent="0.2">
      <c r="B11" t="s">
        <v>511</v>
      </c>
    </row>
    <row r="13" spans="1:2" x14ac:dyDescent="0.2">
      <c r="A13" s="11" t="s">
        <v>502</v>
      </c>
      <c r="B13" t="s">
        <v>504</v>
      </c>
    </row>
    <row r="15" spans="1:2" x14ac:dyDescent="0.2">
      <c r="B15" s="8" t="s">
        <v>512</v>
      </c>
    </row>
    <row r="16" spans="1:2" x14ac:dyDescent="0.2">
      <c r="B16" s="8" t="s">
        <v>513</v>
      </c>
    </row>
    <row r="17" spans="1:3" x14ac:dyDescent="0.2">
      <c r="B17" s="3" t="s">
        <v>514</v>
      </c>
    </row>
    <row r="19" spans="1:3" x14ac:dyDescent="0.2">
      <c r="B19" t="s">
        <v>503</v>
      </c>
    </row>
    <row r="21" spans="1:3" x14ac:dyDescent="0.2">
      <c r="B21" t="s">
        <v>505</v>
      </c>
    </row>
    <row r="22" spans="1:3" x14ac:dyDescent="0.2">
      <c r="B22" t="s">
        <v>565</v>
      </c>
    </row>
    <row r="24" spans="1:3" x14ac:dyDescent="0.2">
      <c r="A24" s="11" t="s">
        <v>515</v>
      </c>
      <c r="B24" t="s">
        <v>566</v>
      </c>
    </row>
    <row r="25" spans="1:3" x14ac:dyDescent="0.2">
      <c r="B25" t="s">
        <v>516</v>
      </c>
    </row>
    <row r="26" spans="1:3" x14ac:dyDescent="0.2">
      <c r="B26" t="s">
        <v>517</v>
      </c>
    </row>
    <row r="27" spans="1:3" x14ac:dyDescent="0.2">
      <c r="B27" t="s">
        <v>518</v>
      </c>
      <c r="C27" s="4"/>
    </row>
    <row r="28" spans="1:3" x14ac:dyDescent="0.2">
      <c r="C28" s="4"/>
    </row>
    <row r="29" spans="1:3" x14ac:dyDescent="0.2">
      <c r="B29" t="s">
        <v>567</v>
      </c>
    </row>
    <row r="30" spans="1:3" x14ac:dyDescent="0.2">
      <c r="B30" t="s">
        <v>568</v>
      </c>
    </row>
    <row r="31" spans="1:3" x14ac:dyDescent="0.2">
      <c r="B31" t="s">
        <v>537</v>
      </c>
    </row>
    <row r="32" spans="1:3" x14ac:dyDescent="0.2">
      <c r="B32" t="s">
        <v>569</v>
      </c>
    </row>
    <row r="33" spans="1:2" x14ac:dyDescent="0.2">
      <c r="B33" s="11" t="s">
        <v>574</v>
      </c>
    </row>
    <row r="34" spans="1:2" x14ac:dyDescent="0.2">
      <c r="B34" t="s">
        <v>538</v>
      </c>
    </row>
    <row r="36" spans="1:2" x14ac:dyDescent="0.2">
      <c r="A36" s="11" t="s">
        <v>523</v>
      </c>
      <c r="B36" t="s">
        <v>519</v>
      </c>
    </row>
    <row r="37" spans="1:2" x14ac:dyDescent="0.2">
      <c r="B37" t="s">
        <v>520</v>
      </c>
    </row>
    <row r="39" spans="1:2" x14ac:dyDescent="0.2">
      <c r="B39" t="s">
        <v>521</v>
      </c>
    </row>
    <row r="40" spans="1:2" x14ac:dyDescent="0.2">
      <c r="B40" t="s">
        <v>522</v>
      </c>
    </row>
    <row r="42" spans="1:2" x14ac:dyDescent="0.2">
      <c r="B42" t="s">
        <v>570</v>
      </c>
    </row>
    <row r="43" spans="1:2" x14ac:dyDescent="0.2">
      <c r="B43" t="s">
        <v>571</v>
      </c>
    </row>
    <row r="44" spans="1:2" x14ac:dyDescent="0.2">
      <c r="B44" t="s">
        <v>572</v>
      </c>
    </row>
    <row r="46" spans="1:2" x14ac:dyDescent="0.2">
      <c r="B46" t="s">
        <v>524</v>
      </c>
    </row>
    <row r="47" spans="1:2" x14ac:dyDescent="0.2">
      <c r="B47" t="s">
        <v>525</v>
      </c>
    </row>
    <row r="48" spans="1:2" x14ac:dyDescent="0.2">
      <c r="B48" t="s">
        <v>526</v>
      </c>
    </row>
    <row r="50" spans="1:2" x14ac:dyDescent="0.2">
      <c r="A50" s="11" t="s">
        <v>528</v>
      </c>
      <c r="B50" t="s">
        <v>573</v>
      </c>
    </row>
    <row r="51" spans="1:2" x14ac:dyDescent="0.2">
      <c r="B51" t="s">
        <v>527</v>
      </c>
    </row>
    <row r="53" spans="1:2" x14ac:dyDescent="0.2">
      <c r="A53" s="11" t="s">
        <v>529</v>
      </c>
      <c r="B53" t="s">
        <v>535</v>
      </c>
    </row>
    <row r="55" spans="1:2" x14ac:dyDescent="0.2">
      <c r="B55" t="s">
        <v>530</v>
      </c>
    </row>
    <row r="56" spans="1:2" x14ac:dyDescent="0.2">
      <c r="B56" t="s">
        <v>536</v>
      </c>
    </row>
    <row r="58" spans="1:2" x14ac:dyDescent="0.2">
      <c r="B58" t="s">
        <v>531</v>
      </c>
    </row>
    <row r="59" spans="1:2" x14ac:dyDescent="0.2">
      <c r="B59" t="s">
        <v>532</v>
      </c>
    </row>
    <row r="60" spans="1:2" x14ac:dyDescent="0.2">
      <c r="B60" t="s">
        <v>533</v>
      </c>
    </row>
    <row r="61" spans="1:2" x14ac:dyDescent="0.2">
      <c r="B61" t="s">
        <v>534</v>
      </c>
    </row>
  </sheetData>
  <phoneticPr fontId="2" type="noConversion"/>
  <pageMargins left="1.25" right="0.75" top="0.75" bottom="0.75" header="0.5" footer="0.5"/>
  <pageSetup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EY350"/>
  <sheetViews>
    <sheetView zoomScale="75" workbookViewId="0">
      <selection activeCell="I5" sqref="I5:EX7"/>
    </sheetView>
  </sheetViews>
  <sheetFormatPr defaultRowHeight="12.75" x14ac:dyDescent="0.2"/>
  <cols>
    <col min="1" max="1" width="6.7109375" customWidth="1"/>
    <col min="2" max="2" width="3.28515625" customWidth="1"/>
    <col min="3" max="3" width="16.7109375" customWidth="1"/>
    <col min="4" max="4" width="10.7109375" customWidth="1"/>
    <col min="6" max="6" width="6.7109375" customWidth="1"/>
    <col min="7" max="7" width="2.7109375" customWidth="1"/>
    <col min="8" max="8" width="16.7109375" customWidth="1"/>
    <col min="9" max="9" width="9.85546875" bestFit="1" customWidth="1"/>
  </cols>
  <sheetData>
    <row r="3" spans="1:155" x14ac:dyDescent="0.2">
      <c r="F3" t="s">
        <v>539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</row>
    <row r="5" spans="1:155" x14ac:dyDescent="0.2">
      <c r="I5">
        <v>4000</v>
      </c>
      <c r="J5">
        <v>4001</v>
      </c>
      <c r="K5">
        <v>4003</v>
      </c>
      <c r="L5">
        <v>4004</v>
      </c>
      <c r="M5">
        <v>4005</v>
      </c>
      <c r="N5">
        <v>4006</v>
      </c>
      <c r="O5">
        <v>4007</v>
      </c>
      <c r="P5">
        <v>4008</v>
      </c>
      <c r="Q5">
        <v>4011</v>
      </c>
      <c r="R5">
        <v>4012</v>
      </c>
      <c r="S5">
        <v>4015</v>
      </c>
      <c r="T5">
        <v>4016</v>
      </c>
      <c r="U5">
        <v>4017</v>
      </c>
      <c r="V5">
        <v>4018</v>
      </c>
      <c r="W5">
        <v>4020</v>
      </c>
      <c r="X5">
        <v>4025</v>
      </c>
      <c r="Y5">
        <v>4026</v>
      </c>
      <c r="Z5">
        <v>4027</v>
      </c>
      <c r="AA5">
        <v>4028</v>
      </c>
      <c r="AB5">
        <v>4029</v>
      </c>
      <c r="AC5">
        <v>4030</v>
      </c>
      <c r="AD5">
        <v>4031</v>
      </c>
      <c r="AE5">
        <v>4032</v>
      </c>
      <c r="AF5">
        <v>4035</v>
      </c>
      <c r="AG5">
        <v>4036</v>
      </c>
      <c r="AH5">
        <v>4038</v>
      </c>
      <c r="AI5">
        <v>4039</v>
      </c>
      <c r="AJ5">
        <v>4042</v>
      </c>
      <c r="AK5">
        <v>4043</v>
      </c>
      <c r="AL5">
        <v>4044</v>
      </c>
      <c r="AM5">
        <v>4045</v>
      </c>
      <c r="AN5">
        <v>4046</v>
      </c>
      <c r="AO5">
        <v>4048</v>
      </c>
      <c r="AP5">
        <v>4049</v>
      </c>
      <c r="AQ5">
        <v>4050</v>
      </c>
      <c r="AR5">
        <v>4052</v>
      </c>
      <c r="AS5">
        <v>4053</v>
      </c>
      <c r="AT5">
        <v>4054</v>
      </c>
      <c r="AU5">
        <v>4055</v>
      </c>
      <c r="AV5">
        <v>4056</v>
      </c>
      <c r="AW5">
        <v>4057</v>
      </c>
      <c r="AX5">
        <v>4058</v>
      </c>
      <c r="AY5">
        <v>4059</v>
      </c>
      <c r="AZ5">
        <v>4061</v>
      </c>
      <c r="BA5">
        <v>4064</v>
      </c>
      <c r="BB5">
        <v>4066</v>
      </c>
      <c r="BC5">
        <v>4067</v>
      </c>
      <c r="BD5">
        <v>4068</v>
      </c>
      <c r="BE5">
        <v>4070</v>
      </c>
      <c r="BF5">
        <v>4072</v>
      </c>
      <c r="BG5">
        <v>4073</v>
      </c>
      <c r="BH5">
        <v>4074</v>
      </c>
      <c r="BI5">
        <v>4075</v>
      </c>
      <c r="BJ5">
        <v>4077</v>
      </c>
      <c r="BK5">
        <v>4078</v>
      </c>
      <c r="BL5">
        <v>4079</v>
      </c>
      <c r="BM5">
        <v>4080</v>
      </c>
      <c r="BN5">
        <v>4081</v>
      </c>
      <c r="BO5">
        <v>4082</v>
      </c>
      <c r="BP5">
        <v>4083</v>
      </c>
      <c r="BQ5">
        <v>4084</v>
      </c>
      <c r="BR5">
        <v>4085</v>
      </c>
      <c r="BS5">
        <v>4086</v>
      </c>
      <c r="BT5">
        <v>4087</v>
      </c>
      <c r="BU5">
        <v>4088</v>
      </c>
      <c r="BV5">
        <v>4089</v>
      </c>
      <c r="BW5">
        <v>4090</v>
      </c>
      <c r="BX5">
        <v>4091</v>
      </c>
      <c r="BY5">
        <v>4092</v>
      </c>
      <c r="BZ5">
        <v>4093</v>
      </c>
      <c r="CA5">
        <v>4095</v>
      </c>
      <c r="CB5">
        <v>4097</v>
      </c>
      <c r="CC5">
        <v>4098</v>
      </c>
      <c r="CD5">
        <v>4099</v>
      </c>
      <c r="CE5">
        <v>4100</v>
      </c>
      <c r="CF5">
        <v>4101</v>
      </c>
      <c r="CG5">
        <v>4102</v>
      </c>
      <c r="CH5">
        <v>4103</v>
      </c>
      <c r="CI5">
        <v>4104</v>
      </c>
      <c r="CJ5">
        <v>4105</v>
      </c>
      <c r="CK5">
        <v>4106</v>
      </c>
      <c r="CL5">
        <v>4107</v>
      </c>
      <c r="CM5">
        <v>4108</v>
      </c>
      <c r="CN5">
        <v>4109</v>
      </c>
      <c r="CO5">
        <v>4110</v>
      </c>
      <c r="CP5">
        <v>4111</v>
      </c>
      <c r="CQ5">
        <v>4112</v>
      </c>
      <c r="CR5">
        <v>4113</v>
      </c>
      <c r="CS5">
        <v>4114</v>
      </c>
      <c r="CT5">
        <v>4115</v>
      </c>
      <c r="CU5">
        <v>4116</v>
      </c>
      <c r="CV5">
        <v>4118</v>
      </c>
      <c r="CW5">
        <v>4119</v>
      </c>
      <c r="CX5">
        <v>4120</v>
      </c>
      <c r="CY5">
        <v>4121</v>
      </c>
      <c r="CZ5">
        <v>4122</v>
      </c>
      <c r="DA5">
        <v>4123</v>
      </c>
      <c r="DB5">
        <v>4124</v>
      </c>
      <c r="DC5">
        <v>4125</v>
      </c>
      <c r="DD5">
        <v>4126</v>
      </c>
      <c r="DE5">
        <v>4127</v>
      </c>
      <c r="DF5">
        <v>4131</v>
      </c>
      <c r="DG5">
        <v>4132</v>
      </c>
      <c r="DH5">
        <v>4133</v>
      </c>
      <c r="DI5">
        <v>4135</v>
      </c>
      <c r="DJ5">
        <v>4136</v>
      </c>
      <c r="DK5">
        <v>4137</v>
      </c>
      <c r="DL5">
        <v>4138</v>
      </c>
      <c r="DM5">
        <v>4139</v>
      </c>
      <c r="DN5">
        <v>4140</v>
      </c>
      <c r="DO5">
        <v>4141</v>
      </c>
      <c r="DP5">
        <v>4142</v>
      </c>
      <c r="DQ5">
        <v>4143</v>
      </c>
      <c r="DR5">
        <v>4144</v>
      </c>
      <c r="DS5">
        <v>4145</v>
      </c>
      <c r="DT5">
        <v>4146</v>
      </c>
      <c r="DU5">
        <v>4148</v>
      </c>
      <c r="DV5">
        <v>4149</v>
      </c>
      <c r="DW5">
        <v>4150</v>
      </c>
      <c r="DX5">
        <v>4151</v>
      </c>
      <c r="DY5">
        <v>4152</v>
      </c>
      <c r="DZ5">
        <v>4153</v>
      </c>
      <c r="EA5">
        <v>4154</v>
      </c>
      <c r="EB5">
        <v>4155</v>
      </c>
      <c r="EC5">
        <v>4157</v>
      </c>
      <c r="ED5">
        <v>4158</v>
      </c>
      <c r="EE5">
        <v>4159</v>
      </c>
      <c r="EF5">
        <v>4160</v>
      </c>
      <c r="EG5">
        <v>4161</v>
      </c>
      <c r="EH5">
        <v>4162</v>
      </c>
      <c r="EI5">
        <v>4163</v>
      </c>
      <c r="EJ5">
        <v>4165</v>
      </c>
      <c r="EK5">
        <v>4166</v>
      </c>
      <c r="EL5">
        <v>4167</v>
      </c>
      <c r="EM5">
        <v>4168</v>
      </c>
      <c r="EN5">
        <v>4169</v>
      </c>
      <c r="EO5">
        <v>4170</v>
      </c>
      <c r="EP5">
        <v>4171</v>
      </c>
      <c r="EQ5">
        <v>4172</v>
      </c>
      <c r="ER5">
        <v>4173</v>
      </c>
      <c r="ES5">
        <v>4174</v>
      </c>
      <c r="ET5">
        <v>4175</v>
      </c>
      <c r="EU5">
        <v>4177</v>
      </c>
      <c r="EV5">
        <v>4178</v>
      </c>
      <c r="EW5">
        <v>4180</v>
      </c>
      <c r="EX5">
        <v>4181</v>
      </c>
    </row>
    <row r="6" spans="1:155" x14ac:dyDescent="0.2">
      <c r="D6" s="2" t="s">
        <v>540</v>
      </c>
      <c r="I6">
        <v>7</v>
      </c>
      <c r="J6">
        <v>7</v>
      </c>
      <c r="K6">
        <v>7</v>
      </c>
      <c r="L6">
        <v>7</v>
      </c>
      <c r="M6">
        <v>7</v>
      </c>
      <c r="N6">
        <v>7</v>
      </c>
      <c r="O6">
        <v>7</v>
      </c>
      <c r="P6">
        <v>7</v>
      </c>
      <c r="Q6">
        <v>7</v>
      </c>
      <c r="R6">
        <v>7</v>
      </c>
      <c r="S6">
        <v>7</v>
      </c>
      <c r="T6">
        <v>7</v>
      </c>
      <c r="U6">
        <v>7</v>
      </c>
      <c r="V6">
        <v>7</v>
      </c>
      <c r="W6">
        <v>7</v>
      </c>
      <c r="X6">
        <v>7</v>
      </c>
      <c r="Y6">
        <v>7</v>
      </c>
      <c r="Z6">
        <v>7</v>
      </c>
      <c r="AA6">
        <v>7</v>
      </c>
      <c r="AB6">
        <v>7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>
        <v>7</v>
      </c>
      <c r="AK6">
        <v>7</v>
      </c>
      <c r="AL6">
        <v>7</v>
      </c>
      <c r="AM6">
        <v>7</v>
      </c>
      <c r="AN6">
        <v>7</v>
      </c>
      <c r="AO6">
        <v>7</v>
      </c>
      <c r="AP6">
        <v>7</v>
      </c>
      <c r="AQ6">
        <v>7</v>
      </c>
      <c r="AR6">
        <v>7</v>
      </c>
      <c r="AS6">
        <v>7</v>
      </c>
      <c r="AT6">
        <v>7</v>
      </c>
      <c r="AU6">
        <v>7</v>
      </c>
      <c r="AV6">
        <v>7</v>
      </c>
      <c r="AW6">
        <v>7</v>
      </c>
      <c r="AX6">
        <v>7</v>
      </c>
      <c r="AY6">
        <v>7</v>
      </c>
      <c r="AZ6">
        <v>7</v>
      </c>
      <c r="BA6">
        <v>7</v>
      </c>
      <c r="BB6">
        <v>7</v>
      </c>
      <c r="BC6">
        <v>7</v>
      </c>
      <c r="BD6">
        <v>7</v>
      </c>
      <c r="BE6">
        <v>7</v>
      </c>
      <c r="BF6">
        <v>7</v>
      </c>
      <c r="BG6">
        <v>7</v>
      </c>
      <c r="BH6">
        <v>7</v>
      </c>
      <c r="BI6">
        <v>7</v>
      </c>
      <c r="BJ6">
        <v>7</v>
      </c>
      <c r="BK6">
        <v>7</v>
      </c>
      <c r="BL6">
        <v>7</v>
      </c>
      <c r="BM6">
        <v>7</v>
      </c>
      <c r="BN6">
        <v>7</v>
      </c>
      <c r="BO6">
        <v>7</v>
      </c>
      <c r="BP6">
        <v>7</v>
      </c>
      <c r="BQ6">
        <v>7</v>
      </c>
      <c r="BR6">
        <v>7</v>
      </c>
      <c r="BS6">
        <v>7</v>
      </c>
      <c r="BT6">
        <v>7</v>
      </c>
      <c r="BU6">
        <v>7</v>
      </c>
      <c r="BV6">
        <v>7</v>
      </c>
      <c r="BW6">
        <v>7</v>
      </c>
      <c r="BX6">
        <v>7</v>
      </c>
      <c r="BY6">
        <v>7</v>
      </c>
      <c r="BZ6">
        <v>7</v>
      </c>
      <c r="CA6">
        <v>7</v>
      </c>
      <c r="CB6">
        <v>7</v>
      </c>
      <c r="CC6">
        <v>7</v>
      </c>
      <c r="CD6">
        <v>7</v>
      </c>
      <c r="CE6">
        <v>7</v>
      </c>
      <c r="CF6">
        <v>7</v>
      </c>
      <c r="CG6">
        <v>7</v>
      </c>
      <c r="CH6">
        <v>7</v>
      </c>
      <c r="CI6">
        <v>7</v>
      </c>
      <c r="CJ6">
        <v>7</v>
      </c>
      <c r="CK6">
        <v>7</v>
      </c>
      <c r="CL6">
        <v>7</v>
      </c>
      <c r="CM6">
        <v>7</v>
      </c>
      <c r="CN6">
        <v>7</v>
      </c>
      <c r="CO6">
        <v>7</v>
      </c>
      <c r="CP6">
        <v>7</v>
      </c>
      <c r="CQ6">
        <v>7</v>
      </c>
      <c r="CR6">
        <v>7</v>
      </c>
      <c r="CS6">
        <v>7</v>
      </c>
      <c r="CT6">
        <v>7</v>
      </c>
      <c r="CU6">
        <v>7</v>
      </c>
      <c r="CV6">
        <v>7</v>
      </c>
      <c r="CW6">
        <v>7</v>
      </c>
      <c r="CX6">
        <v>7</v>
      </c>
      <c r="CY6">
        <v>7</v>
      </c>
      <c r="CZ6">
        <v>7</v>
      </c>
      <c r="DA6">
        <v>7</v>
      </c>
      <c r="DB6">
        <v>7</v>
      </c>
      <c r="DC6">
        <v>7</v>
      </c>
      <c r="DD6">
        <v>7</v>
      </c>
      <c r="DE6">
        <v>7</v>
      </c>
      <c r="DF6">
        <v>7</v>
      </c>
      <c r="DG6">
        <v>7</v>
      </c>
      <c r="DH6">
        <v>7</v>
      </c>
      <c r="DI6">
        <v>7</v>
      </c>
      <c r="DJ6">
        <v>7</v>
      </c>
      <c r="DK6">
        <v>7</v>
      </c>
      <c r="DL6">
        <v>7</v>
      </c>
      <c r="DM6">
        <v>7</v>
      </c>
      <c r="DN6">
        <v>7</v>
      </c>
      <c r="DO6">
        <v>7</v>
      </c>
      <c r="DP6">
        <v>7</v>
      </c>
      <c r="DQ6">
        <v>7</v>
      </c>
      <c r="DR6">
        <v>7</v>
      </c>
      <c r="DS6">
        <v>7</v>
      </c>
      <c r="DT6">
        <v>7</v>
      </c>
      <c r="DU6">
        <v>7</v>
      </c>
      <c r="DV6">
        <v>7</v>
      </c>
      <c r="DW6">
        <v>7</v>
      </c>
      <c r="DX6">
        <v>7</v>
      </c>
      <c r="DY6">
        <v>7</v>
      </c>
      <c r="DZ6">
        <v>7</v>
      </c>
      <c r="EA6">
        <v>7</v>
      </c>
      <c r="EB6">
        <v>7</v>
      </c>
      <c r="EC6">
        <v>7</v>
      </c>
      <c r="ED6">
        <v>7</v>
      </c>
      <c r="EE6">
        <v>7</v>
      </c>
      <c r="EF6">
        <v>7</v>
      </c>
      <c r="EG6">
        <v>7</v>
      </c>
      <c r="EH6">
        <v>7</v>
      </c>
      <c r="EI6">
        <v>7</v>
      </c>
      <c r="EJ6">
        <v>7</v>
      </c>
      <c r="EK6">
        <v>7</v>
      </c>
      <c r="EL6">
        <v>7</v>
      </c>
      <c r="EM6">
        <v>7</v>
      </c>
      <c r="EN6">
        <v>7</v>
      </c>
      <c r="EO6">
        <v>7</v>
      </c>
      <c r="EP6">
        <v>7</v>
      </c>
      <c r="EQ6">
        <v>7</v>
      </c>
      <c r="ER6">
        <v>7</v>
      </c>
      <c r="ES6">
        <v>7</v>
      </c>
      <c r="ET6">
        <v>7</v>
      </c>
      <c r="EU6">
        <v>7</v>
      </c>
      <c r="EV6">
        <v>7</v>
      </c>
      <c r="EW6">
        <v>7</v>
      </c>
      <c r="EX6">
        <v>7</v>
      </c>
    </row>
    <row r="7" spans="1:155" x14ac:dyDescent="0.2">
      <c r="D7" s="2" t="s">
        <v>541</v>
      </c>
      <c r="I7" t="s">
        <v>0</v>
      </c>
      <c r="J7" t="s">
        <v>1</v>
      </c>
      <c r="K7" t="s">
        <v>2</v>
      </c>
      <c r="L7" t="s">
        <v>3</v>
      </c>
      <c r="M7" t="s">
        <v>4</v>
      </c>
      <c r="N7" t="s">
        <v>5</v>
      </c>
      <c r="O7" t="s">
        <v>6</v>
      </c>
      <c r="P7" t="s">
        <v>7</v>
      </c>
      <c r="Q7" t="s">
        <v>8</v>
      </c>
      <c r="R7" t="s">
        <v>9</v>
      </c>
      <c r="S7" t="s">
        <v>10</v>
      </c>
      <c r="T7" t="s">
        <v>11</v>
      </c>
      <c r="U7" t="s">
        <v>12</v>
      </c>
      <c r="V7" t="s">
        <v>13</v>
      </c>
      <c r="W7" t="s">
        <v>14</v>
      </c>
      <c r="X7" t="s">
        <v>15</v>
      </c>
      <c r="Y7" t="s">
        <v>16</v>
      </c>
      <c r="Z7" t="s">
        <v>17</v>
      </c>
      <c r="AA7" t="s">
        <v>18</v>
      </c>
      <c r="AB7" t="s">
        <v>19</v>
      </c>
      <c r="AC7" t="s">
        <v>20</v>
      </c>
      <c r="AD7" t="s">
        <v>21</v>
      </c>
      <c r="AE7" t="s">
        <v>22</v>
      </c>
      <c r="AF7" t="s">
        <v>23</v>
      </c>
      <c r="AG7" t="s">
        <v>24</v>
      </c>
      <c r="AH7" t="s">
        <v>25</v>
      </c>
      <c r="AI7" t="s">
        <v>26</v>
      </c>
      <c r="AJ7" t="s">
        <v>27</v>
      </c>
      <c r="AK7" t="s">
        <v>28</v>
      </c>
      <c r="AL7" t="s">
        <v>29</v>
      </c>
      <c r="AM7" t="s">
        <v>30</v>
      </c>
      <c r="AN7" t="s">
        <v>31</v>
      </c>
      <c r="AO7" t="s">
        <v>32</v>
      </c>
      <c r="AP7" t="s">
        <v>33</v>
      </c>
      <c r="AQ7" t="s">
        <v>34</v>
      </c>
      <c r="AR7" t="s">
        <v>35</v>
      </c>
      <c r="AS7" t="s">
        <v>36</v>
      </c>
      <c r="AT7" t="s">
        <v>37</v>
      </c>
      <c r="AU7" t="s">
        <v>38</v>
      </c>
      <c r="AV7" t="s">
        <v>39</v>
      </c>
      <c r="AW7" t="s">
        <v>40</v>
      </c>
      <c r="AX7" t="s">
        <v>41</v>
      </c>
      <c r="AY7" t="s">
        <v>42</v>
      </c>
      <c r="AZ7" t="s">
        <v>43</v>
      </c>
      <c r="BA7" t="s">
        <v>44</v>
      </c>
      <c r="BB7" t="s">
        <v>45</v>
      </c>
      <c r="BC7" t="s">
        <v>46</v>
      </c>
      <c r="BD7" t="s">
        <v>47</v>
      </c>
      <c r="BE7" t="s">
        <v>48</v>
      </c>
      <c r="BF7" t="s">
        <v>49</v>
      </c>
      <c r="BG7" t="s">
        <v>50</v>
      </c>
      <c r="BH7" t="s">
        <v>51</v>
      </c>
      <c r="BI7" t="s">
        <v>52</v>
      </c>
      <c r="BJ7" t="s">
        <v>53</v>
      </c>
      <c r="BK7" t="s">
        <v>54</v>
      </c>
      <c r="BL7" t="s">
        <v>55</v>
      </c>
      <c r="BM7" t="s">
        <v>56</v>
      </c>
      <c r="BN7" t="s">
        <v>57</v>
      </c>
      <c r="BO7" t="s">
        <v>58</v>
      </c>
      <c r="BP7" t="s">
        <v>59</v>
      </c>
      <c r="BQ7" t="s">
        <v>60</v>
      </c>
      <c r="BR7" t="s">
        <v>61</v>
      </c>
      <c r="BS7" t="s">
        <v>62</v>
      </c>
      <c r="BT7" t="s">
        <v>63</v>
      </c>
      <c r="BU7" t="s">
        <v>64</v>
      </c>
      <c r="BV7" t="s">
        <v>65</v>
      </c>
      <c r="BW7" t="s">
        <v>66</v>
      </c>
      <c r="BX7" t="s">
        <v>67</v>
      </c>
      <c r="BY7" t="s">
        <v>68</v>
      </c>
      <c r="BZ7" t="s">
        <v>69</v>
      </c>
      <c r="CA7" t="s">
        <v>70</v>
      </c>
      <c r="CB7" t="s">
        <v>71</v>
      </c>
      <c r="CC7" t="s">
        <v>72</v>
      </c>
      <c r="CD7" t="s">
        <v>73</v>
      </c>
      <c r="CE7" t="s">
        <v>74</v>
      </c>
      <c r="CF7" t="s">
        <v>75</v>
      </c>
      <c r="CG7" t="s">
        <v>76</v>
      </c>
      <c r="CH7" t="s">
        <v>77</v>
      </c>
      <c r="CI7" t="s">
        <v>78</v>
      </c>
      <c r="CJ7" t="s">
        <v>79</v>
      </c>
      <c r="CK7" t="s">
        <v>80</v>
      </c>
      <c r="CL7" t="s">
        <v>81</v>
      </c>
      <c r="CM7" t="s">
        <v>82</v>
      </c>
      <c r="CN7" t="s">
        <v>83</v>
      </c>
      <c r="CO7" t="s">
        <v>84</v>
      </c>
      <c r="CP7" t="s">
        <v>85</v>
      </c>
      <c r="CQ7" t="s">
        <v>86</v>
      </c>
      <c r="CR7" t="s">
        <v>87</v>
      </c>
      <c r="CS7" t="s">
        <v>88</v>
      </c>
      <c r="CT7" t="s">
        <v>89</v>
      </c>
      <c r="CU7" t="s">
        <v>90</v>
      </c>
      <c r="CV7" t="s">
        <v>91</v>
      </c>
      <c r="CW7" t="s">
        <v>92</v>
      </c>
      <c r="CX7" t="s">
        <v>93</v>
      </c>
      <c r="CY7" t="s">
        <v>94</v>
      </c>
      <c r="CZ7" t="s">
        <v>95</v>
      </c>
      <c r="DA7" t="s">
        <v>96</v>
      </c>
      <c r="DB7" t="s">
        <v>97</v>
      </c>
      <c r="DC7" t="s">
        <v>98</v>
      </c>
      <c r="DD7" t="s">
        <v>99</v>
      </c>
      <c r="DE7" t="s">
        <v>100</v>
      </c>
      <c r="DF7" t="s">
        <v>101</v>
      </c>
      <c r="DG7" t="s">
        <v>102</v>
      </c>
      <c r="DH7" t="s">
        <v>103</v>
      </c>
      <c r="DI7" t="s">
        <v>104</v>
      </c>
      <c r="DJ7" t="s">
        <v>105</v>
      </c>
      <c r="DK7" t="s">
        <v>106</v>
      </c>
      <c r="DL7" t="s">
        <v>107</v>
      </c>
      <c r="DM7" t="s">
        <v>108</v>
      </c>
      <c r="DN7" t="s">
        <v>109</v>
      </c>
      <c r="DO7" t="s">
        <v>110</v>
      </c>
      <c r="DP7" t="s">
        <v>111</v>
      </c>
      <c r="DQ7" t="s">
        <v>112</v>
      </c>
      <c r="DR7" t="s">
        <v>113</v>
      </c>
      <c r="DS7" t="s">
        <v>114</v>
      </c>
      <c r="DT7" t="s">
        <v>115</v>
      </c>
      <c r="DU7" t="s">
        <v>116</v>
      </c>
      <c r="DV7" t="s">
        <v>117</v>
      </c>
      <c r="DW7" t="s">
        <v>118</v>
      </c>
      <c r="DX7" t="s">
        <v>119</v>
      </c>
      <c r="DY7" t="s">
        <v>120</v>
      </c>
      <c r="DZ7" t="s">
        <v>121</v>
      </c>
      <c r="EA7" t="s">
        <v>122</v>
      </c>
      <c r="EB7" t="s">
        <v>123</v>
      </c>
      <c r="EC7" t="s">
        <v>124</v>
      </c>
      <c r="ED7" t="s">
        <v>125</v>
      </c>
      <c r="EE7" t="s">
        <v>126</v>
      </c>
      <c r="EF7" t="s">
        <v>127</v>
      </c>
      <c r="EG7" t="s">
        <v>128</v>
      </c>
      <c r="EH7" t="s">
        <v>129</v>
      </c>
      <c r="EI7" t="s">
        <v>130</v>
      </c>
      <c r="EJ7" t="s">
        <v>542</v>
      </c>
      <c r="EK7" t="s">
        <v>543</v>
      </c>
      <c r="EL7" t="s">
        <v>544</v>
      </c>
      <c r="EM7" t="s">
        <v>545</v>
      </c>
      <c r="EN7" t="s">
        <v>546</v>
      </c>
      <c r="EO7" t="s">
        <v>547</v>
      </c>
      <c r="EP7" t="s">
        <v>548</v>
      </c>
      <c r="EQ7" t="s">
        <v>549</v>
      </c>
      <c r="ER7" t="s">
        <v>550</v>
      </c>
      <c r="ES7" t="s">
        <v>551</v>
      </c>
      <c r="ET7" t="s">
        <v>552</v>
      </c>
      <c r="EU7" t="s">
        <v>553</v>
      </c>
      <c r="EV7" t="s">
        <v>554</v>
      </c>
      <c r="EW7" t="s">
        <v>555</v>
      </c>
      <c r="EX7" t="s">
        <v>556</v>
      </c>
    </row>
    <row r="9" spans="1:155" x14ac:dyDescent="0.2">
      <c r="D9" s="1">
        <f>SUM(D11:D352)</f>
        <v>1</v>
      </c>
      <c r="I9" s="1">
        <f>SUM(I11:I350)</f>
        <v>149.38999999999999</v>
      </c>
      <c r="J9" s="1">
        <f t="shared" ref="J9:BU9" si="0">SUM(J11:J350)</f>
        <v>210.20999999999998</v>
      </c>
      <c r="K9" s="1">
        <f t="shared" si="0"/>
        <v>145.99</v>
      </c>
      <c r="L9" s="1">
        <f t="shared" si="0"/>
        <v>111.52</v>
      </c>
      <c r="M9" s="1">
        <f t="shared" si="0"/>
        <v>8.7099999999999991</v>
      </c>
      <c r="N9" s="1">
        <f t="shared" si="0"/>
        <v>104.78999999999999</v>
      </c>
      <c r="O9" s="1">
        <f t="shared" si="0"/>
        <v>133</v>
      </c>
      <c r="P9" s="1">
        <f t="shared" si="0"/>
        <v>624.51</v>
      </c>
      <c r="Q9" s="1">
        <f t="shared" si="0"/>
        <v>247.42</v>
      </c>
      <c r="R9" s="1">
        <f t="shared" si="0"/>
        <v>60.39</v>
      </c>
      <c r="S9" s="1">
        <f t="shared" si="0"/>
        <v>677.14999999999986</v>
      </c>
      <c r="T9" s="1">
        <f t="shared" si="0"/>
        <v>168.15000000000003</v>
      </c>
      <c r="U9" s="1">
        <f t="shared" si="0"/>
        <v>1529.9199999999983</v>
      </c>
      <c r="V9" s="1">
        <f t="shared" si="0"/>
        <v>417.9</v>
      </c>
      <c r="W9" s="1">
        <f t="shared" si="0"/>
        <v>829.59</v>
      </c>
      <c r="X9" s="1">
        <f t="shared" si="0"/>
        <v>140.28</v>
      </c>
      <c r="Y9" s="1">
        <f t="shared" si="0"/>
        <v>197.15</v>
      </c>
      <c r="Z9" s="1">
        <f t="shared" si="0"/>
        <v>517.19000000000005</v>
      </c>
      <c r="AA9" s="1">
        <f t="shared" si="0"/>
        <v>34.67</v>
      </c>
      <c r="AB9" s="1">
        <f t="shared" si="0"/>
        <v>365.31</v>
      </c>
      <c r="AC9" s="1">
        <f t="shared" si="0"/>
        <v>201.78000000000003</v>
      </c>
      <c r="AD9" s="1">
        <f t="shared" si="0"/>
        <v>82.46</v>
      </c>
      <c r="AE9" s="1">
        <f t="shared" si="0"/>
        <v>479.63</v>
      </c>
      <c r="AF9" s="1">
        <f t="shared" si="0"/>
        <v>158.61000000000001</v>
      </c>
      <c r="AG9" s="1">
        <f t="shared" si="0"/>
        <v>80.08</v>
      </c>
      <c r="AH9" s="1">
        <f t="shared" si="0"/>
        <v>261.56</v>
      </c>
      <c r="AI9" s="1">
        <f t="shared" si="0"/>
        <v>261.67000000000007</v>
      </c>
      <c r="AJ9" s="1">
        <f t="shared" si="0"/>
        <v>223.62999999999997</v>
      </c>
      <c r="AK9" s="1">
        <f t="shared" si="0"/>
        <v>350.33</v>
      </c>
      <c r="AL9" s="1">
        <f t="shared" si="0"/>
        <v>255.89999999999998</v>
      </c>
      <c r="AM9" s="1">
        <f t="shared" si="0"/>
        <v>83.44</v>
      </c>
      <c r="AN9" s="1">
        <f t="shared" si="0"/>
        <v>97.68</v>
      </c>
      <c r="AO9" s="1">
        <f t="shared" si="0"/>
        <v>37.900000000000006</v>
      </c>
      <c r="AP9" s="1">
        <f t="shared" si="0"/>
        <v>199.88000000000005</v>
      </c>
      <c r="AQ9" s="1">
        <f t="shared" si="0"/>
        <v>86.460000000000008</v>
      </c>
      <c r="AR9" s="1">
        <f t="shared" si="0"/>
        <v>128.40000000000003</v>
      </c>
      <c r="AS9" s="1">
        <f t="shared" si="0"/>
        <v>224.25</v>
      </c>
      <c r="AT9" s="1">
        <f t="shared" si="0"/>
        <v>57.269999999999996</v>
      </c>
      <c r="AU9" s="1">
        <f t="shared" si="0"/>
        <v>156.74</v>
      </c>
      <c r="AV9" s="1">
        <f t="shared" si="0"/>
        <v>143.5</v>
      </c>
      <c r="AW9" s="1">
        <f t="shared" si="0"/>
        <v>118.82000000000001</v>
      </c>
      <c r="AX9" s="1">
        <f t="shared" si="0"/>
        <v>171.98000000000002</v>
      </c>
      <c r="AY9" s="1">
        <f t="shared" si="0"/>
        <v>117.62</v>
      </c>
      <c r="AZ9" s="1">
        <f t="shared" si="0"/>
        <v>154.80000000000001</v>
      </c>
      <c r="BA9" s="1">
        <f t="shared" si="0"/>
        <v>90.600000000000009</v>
      </c>
      <c r="BB9" s="1">
        <f t="shared" si="0"/>
        <v>126.66</v>
      </c>
      <c r="BC9" s="1">
        <f t="shared" si="0"/>
        <v>236.75000000000003</v>
      </c>
      <c r="BD9" s="1">
        <f t="shared" si="0"/>
        <v>282.23</v>
      </c>
      <c r="BE9" s="1">
        <f t="shared" si="0"/>
        <v>544.26999999999987</v>
      </c>
      <c r="BF9" s="1">
        <f t="shared" si="0"/>
        <v>37.590000000000003</v>
      </c>
      <c r="BG9" s="1">
        <f t="shared" si="0"/>
        <v>264.03000000000003</v>
      </c>
      <c r="BH9" s="1">
        <f t="shared" si="0"/>
        <v>265.07</v>
      </c>
      <c r="BI9" s="1">
        <f t="shared" si="0"/>
        <v>200.80999999999997</v>
      </c>
      <c r="BJ9" s="1">
        <f t="shared" si="0"/>
        <v>517.57999999999993</v>
      </c>
      <c r="BK9" s="1">
        <f t="shared" si="0"/>
        <v>339.44</v>
      </c>
      <c r="BL9" s="1">
        <f t="shared" si="0"/>
        <v>89.43</v>
      </c>
      <c r="BM9" s="1">
        <f t="shared" si="0"/>
        <v>54.86</v>
      </c>
      <c r="BN9" s="1">
        <f t="shared" si="0"/>
        <v>67.94</v>
      </c>
      <c r="BO9" s="1">
        <f t="shared" si="0"/>
        <v>505.01</v>
      </c>
      <c r="BP9" s="1">
        <f t="shared" si="0"/>
        <v>78.169999999999987</v>
      </c>
      <c r="BQ9" s="1">
        <f t="shared" si="0"/>
        <v>263.90000000000003</v>
      </c>
      <c r="BR9" s="1">
        <f t="shared" si="0"/>
        <v>259.77000000000004</v>
      </c>
      <c r="BS9" s="1">
        <f t="shared" si="0"/>
        <v>245.04999999999998</v>
      </c>
      <c r="BT9" s="1">
        <f t="shared" si="0"/>
        <v>105.99999999999999</v>
      </c>
      <c r="BU9" s="1">
        <f t="shared" si="0"/>
        <v>204.57</v>
      </c>
      <c r="BV9" s="1">
        <f t="shared" ref="BV9:EG9" si="1">SUM(BV11:BV350)</f>
        <v>131.22999999999999</v>
      </c>
      <c r="BW9" s="1">
        <f t="shared" si="1"/>
        <v>119.06</v>
      </c>
      <c r="BX9" s="1">
        <f t="shared" si="1"/>
        <v>155.12000000000006</v>
      </c>
      <c r="BY9" s="1">
        <f t="shared" si="1"/>
        <v>141.85999999999999</v>
      </c>
      <c r="BZ9" s="1">
        <f t="shared" si="1"/>
        <v>188.79</v>
      </c>
      <c r="CA9" s="1">
        <f t="shared" si="1"/>
        <v>140.69</v>
      </c>
      <c r="CB9" s="1">
        <f t="shared" si="1"/>
        <v>194.46</v>
      </c>
      <c r="CC9" s="1">
        <f t="shared" si="1"/>
        <v>328.15000000000003</v>
      </c>
      <c r="CD9" s="1">
        <f t="shared" si="1"/>
        <v>332.87</v>
      </c>
      <c r="CE9" s="1">
        <f t="shared" si="1"/>
        <v>42.54</v>
      </c>
      <c r="CF9" s="1">
        <f t="shared" si="1"/>
        <v>5.24</v>
      </c>
      <c r="CG9" s="1">
        <f t="shared" si="1"/>
        <v>550.87</v>
      </c>
      <c r="CH9" s="1">
        <f t="shared" si="1"/>
        <v>492.90000000000003</v>
      </c>
      <c r="CI9" s="1">
        <f t="shared" si="1"/>
        <v>215.29000000000008</v>
      </c>
      <c r="CJ9" s="1">
        <f t="shared" si="1"/>
        <v>226.82000000000002</v>
      </c>
      <c r="CK9" s="1">
        <f t="shared" si="1"/>
        <v>209.04000000000005</v>
      </c>
      <c r="CL9" s="1">
        <f t="shared" si="1"/>
        <v>93.52</v>
      </c>
      <c r="CM9" s="1">
        <f t="shared" si="1"/>
        <v>140.15</v>
      </c>
      <c r="CN9" s="1">
        <f t="shared" si="1"/>
        <v>242.56</v>
      </c>
      <c r="CO9" s="1">
        <f t="shared" si="1"/>
        <v>248.98</v>
      </c>
      <c r="CP9" s="1">
        <f t="shared" si="1"/>
        <v>91.929999999999993</v>
      </c>
      <c r="CQ9" s="1">
        <f t="shared" si="1"/>
        <v>373.92000000000007</v>
      </c>
      <c r="CR9" s="1">
        <f t="shared" si="1"/>
        <v>75.649999999999977</v>
      </c>
      <c r="CS9" s="1">
        <f t="shared" si="1"/>
        <v>113.31000000000002</v>
      </c>
      <c r="CT9" s="1">
        <f t="shared" si="1"/>
        <v>135.31</v>
      </c>
      <c r="CU9" s="1">
        <f t="shared" si="1"/>
        <v>345.90999999999997</v>
      </c>
      <c r="CV9" s="1">
        <f t="shared" si="1"/>
        <v>244.62</v>
      </c>
      <c r="CW9" s="1">
        <f t="shared" si="1"/>
        <v>63.330000000000005</v>
      </c>
      <c r="CX9" s="1">
        <f t="shared" si="1"/>
        <v>368.43</v>
      </c>
      <c r="CY9" s="1">
        <f t="shared" si="1"/>
        <v>280.69000000000005</v>
      </c>
      <c r="CZ9" s="1">
        <f t="shared" si="1"/>
        <v>246.89000000000001</v>
      </c>
      <c r="DA9" s="1">
        <f t="shared" si="1"/>
        <v>54.1</v>
      </c>
      <c r="DB9" s="1">
        <f t="shared" si="1"/>
        <v>256.55</v>
      </c>
      <c r="DC9" s="1">
        <f t="shared" si="1"/>
        <v>109.37</v>
      </c>
      <c r="DD9" s="1">
        <f t="shared" si="1"/>
        <v>272.51</v>
      </c>
      <c r="DE9" s="1">
        <f t="shared" si="1"/>
        <v>118.67</v>
      </c>
      <c r="DF9" s="1">
        <f t="shared" si="1"/>
        <v>170.21999999999997</v>
      </c>
      <c r="DG9" s="1">
        <f t="shared" si="1"/>
        <v>78.5</v>
      </c>
      <c r="DH9" s="1">
        <f t="shared" si="1"/>
        <v>31.77</v>
      </c>
      <c r="DI9" s="1">
        <f t="shared" si="1"/>
        <v>113.14</v>
      </c>
      <c r="DJ9" s="1">
        <f t="shared" si="1"/>
        <v>66.61</v>
      </c>
      <c r="DK9" s="1">
        <f t="shared" si="1"/>
        <v>108.41</v>
      </c>
      <c r="DL9" s="1">
        <f t="shared" si="1"/>
        <v>42.7</v>
      </c>
      <c r="DM9" s="1">
        <f t="shared" si="1"/>
        <v>262.27</v>
      </c>
      <c r="DN9" s="1">
        <f t="shared" si="1"/>
        <v>71.650000000000006</v>
      </c>
      <c r="DO9" s="1">
        <f t="shared" si="1"/>
        <v>299.58000000000004</v>
      </c>
      <c r="DP9" s="1">
        <f t="shared" si="1"/>
        <v>227.89000000000001</v>
      </c>
      <c r="DQ9" s="1">
        <f t="shared" si="1"/>
        <v>296.42</v>
      </c>
      <c r="DR9" s="1">
        <f t="shared" si="1"/>
        <v>68.23</v>
      </c>
      <c r="DS9" s="1">
        <f t="shared" si="1"/>
        <v>44.22</v>
      </c>
      <c r="DT9" s="1">
        <f t="shared" si="1"/>
        <v>138.19999999999999</v>
      </c>
      <c r="DU9" s="1">
        <f t="shared" si="1"/>
        <v>188.86</v>
      </c>
      <c r="DV9" s="1">
        <f t="shared" si="1"/>
        <v>102.76</v>
      </c>
      <c r="DW9" s="1">
        <f t="shared" si="1"/>
        <v>122.04999999999997</v>
      </c>
      <c r="DX9" s="1">
        <f t="shared" si="1"/>
        <v>84.94</v>
      </c>
      <c r="DY9" s="1">
        <f t="shared" si="1"/>
        <v>73.170000000000016</v>
      </c>
      <c r="DZ9" s="1">
        <f t="shared" si="1"/>
        <v>183.71</v>
      </c>
      <c r="EA9" s="1">
        <f t="shared" si="1"/>
        <v>41.260000000000005</v>
      </c>
      <c r="EB9" s="1">
        <f t="shared" si="1"/>
        <v>90.9</v>
      </c>
      <c r="EC9" s="1">
        <f t="shared" si="1"/>
        <v>63.09</v>
      </c>
      <c r="ED9" s="1">
        <f t="shared" si="1"/>
        <v>121.32000000000001</v>
      </c>
      <c r="EE9" s="1">
        <f t="shared" si="1"/>
        <v>234.00000000000003</v>
      </c>
      <c r="EF9" s="1">
        <f t="shared" si="1"/>
        <v>82.440000000000012</v>
      </c>
      <c r="EG9" s="1">
        <f t="shared" si="1"/>
        <v>76.02</v>
      </c>
      <c r="EH9" s="1">
        <f t="shared" ref="EH9:EX9" si="2">SUM(EH11:EH350)</f>
        <v>95</v>
      </c>
      <c r="EI9" s="1">
        <f t="shared" si="2"/>
        <v>166.34</v>
      </c>
      <c r="EJ9" s="1">
        <f t="shared" si="2"/>
        <v>1</v>
      </c>
      <c r="EK9" s="1">
        <f t="shared" si="2"/>
        <v>1</v>
      </c>
      <c r="EL9" s="1">
        <f t="shared" si="2"/>
        <v>1</v>
      </c>
      <c r="EM9" s="1">
        <f t="shared" si="2"/>
        <v>1</v>
      </c>
      <c r="EN9" s="1">
        <f t="shared" si="2"/>
        <v>1</v>
      </c>
      <c r="EO9" s="1">
        <f t="shared" si="2"/>
        <v>1</v>
      </c>
      <c r="EP9" s="1">
        <f t="shared" si="2"/>
        <v>1</v>
      </c>
      <c r="EQ9" s="1">
        <f t="shared" si="2"/>
        <v>1</v>
      </c>
      <c r="ER9" s="1">
        <f t="shared" si="2"/>
        <v>1</v>
      </c>
      <c r="ES9" s="1">
        <f t="shared" si="2"/>
        <v>1</v>
      </c>
      <c r="ET9" s="1">
        <f t="shared" si="2"/>
        <v>1</v>
      </c>
      <c r="EU9" s="1">
        <f t="shared" si="2"/>
        <v>1</v>
      </c>
      <c r="EV9" s="1">
        <f t="shared" si="2"/>
        <v>1</v>
      </c>
      <c r="EW9" s="1">
        <f t="shared" si="2"/>
        <v>1</v>
      </c>
      <c r="EX9" s="1">
        <f t="shared" si="2"/>
        <v>1</v>
      </c>
      <c r="EY9" s="1"/>
    </row>
    <row r="10" spans="1:155" x14ac:dyDescent="0.2">
      <c r="I10" s="1"/>
      <c r="DG10" s="1"/>
      <c r="DH10" s="1"/>
      <c r="DI10" s="1"/>
    </row>
    <row r="11" spans="1:155" x14ac:dyDescent="0.2">
      <c r="A11" s="12">
        <v>1</v>
      </c>
      <c r="B11" s="12">
        <v>1</v>
      </c>
      <c r="C11" s="13" t="s">
        <v>131</v>
      </c>
      <c r="D11" s="1">
        <f t="shared" ref="D11:D74" si="3">SUMIF(I$5:EX$5,Snumber,I11:EX11)</f>
        <v>0</v>
      </c>
      <c r="E11" s="1"/>
      <c r="F11">
        <v>1</v>
      </c>
      <c r="G11">
        <v>1</v>
      </c>
      <c r="H11" t="s">
        <v>131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1.3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</row>
    <row r="12" spans="1:155" x14ac:dyDescent="0.2">
      <c r="A12" s="12">
        <v>1.2</v>
      </c>
      <c r="B12" s="12">
        <v>3</v>
      </c>
      <c r="C12" s="13" t="s">
        <v>132</v>
      </c>
      <c r="D12" s="1">
        <f t="shared" si="3"/>
        <v>0</v>
      </c>
      <c r="E12" s="1"/>
      <c r="F12">
        <v>1.2</v>
      </c>
      <c r="G12">
        <v>3</v>
      </c>
      <c r="H12" t="s">
        <v>132</v>
      </c>
      <c r="I12" s="1">
        <v>0</v>
      </c>
      <c r="J12" s="1">
        <v>0</v>
      </c>
      <c r="K12" s="1">
        <v>0.33</v>
      </c>
      <c r="L12" s="1">
        <v>111.52</v>
      </c>
      <c r="M12" s="1">
        <v>0</v>
      </c>
      <c r="N12" s="1">
        <v>22.38</v>
      </c>
      <c r="O12" s="1">
        <v>0</v>
      </c>
      <c r="P12" s="1">
        <v>0</v>
      </c>
      <c r="Q12" s="1">
        <v>213.26</v>
      </c>
      <c r="R12" s="1">
        <v>0</v>
      </c>
      <c r="S12" s="1">
        <v>0.04</v>
      </c>
      <c r="T12" s="1">
        <v>0</v>
      </c>
      <c r="U12" s="1">
        <v>772.87</v>
      </c>
      <c r="V12" s="1">
        <v>0</v>
      </c>
      <c r="W12" s="1">
        <v>0</v>
      </c>
      <c r="X12" s="1">
        <v>24.43</v>
      </c>
      <c r="Y12" s="1">
        <v>0</v>
      </c>
      <c r="Z12" s="1">
        <v>207.77</v>
      </c>
      <c r="AA12" s="1">
        <v>0</v>
      </c>
      <c r="AB12" s="1">
        <v>0</v>
      </c>
      <c r="AC12" s="1">
        <v>21.34</v>
      </c>
      <c r="AD12" s="1">
        <v>2.11</v>
      </c>
      <c r="AE12" s="1">
        <v>477.45</v>
      </c>
      <c r="AF12" s="1">
        <v>0</v>
      </c>
      <c r="AG12" s="1">
        <v>0</v>
      </c>
      <c r="AH12" s="1">
        <v>243.57</v>
      </c>
      <c r="AI12" s="1">
        <v>64.900000000000006</v>
      </c>
      <c r="AJ12" s="1">
        <v>30.48</v>
      </c>
      <c r="AK12" s="1">
        <v>0</v>
      </c>
      <c r="AL12" s="1">
        <v>223.14</v>
      </c>
      <c r="AM12" s="1">
        <v>0</v>
      </c>
      <c r="AN12" s="1">
        <v>0</v>
      </c>
      <c r="AO12" s="1">
        <v>0</v>
      </c>
      <c r="AP12" s="1">
        <v>1.83</v>
      </c>
      <c r="AQ12" s="1">
        <v>0</v>
      </c>
      <c r="AR12" s="1">
        <v>109.56</v>
      </c>
      <c r="AS12" s="1">
        <v>0</v>
      </c>
      <c r="AT12" s="1">
        <v>0</v>
      </c>
      <c r="AU12" s="1">
        <v>0</v>
      </c>
      <c r="AV12" s="1">
        <v>0</v>
      </c>
      <c r="AW12" s="1">
        <v>103.82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212.48</v>
      </c>
      <c r="BD12" s="1">
        <v>79.28</v>
      </c>
      <c r="BE12" s="1">
        <v>0</v>
      </c>
      <c r="BF12" s="1">
        <v>0</v>
      </c>
      <c r="BG12" s="1">
        <v>0</v>
      </c>
      <c r="BH12" s="1">
        <v>29.21</v>
      </c>
      <c r="BI12" s="1">
        <v>29.31</v>
      </c>
      <c r="BJ12" s="1">
        <v>426.33</v>
      </c>
      <c r="BK12" s="1">
        <v>269.89999999999998</v>
      </c>
      <c r="BL12" s="1">
        <v>89.43</v>
      </c>
      <c r="BM12" s="1">
        <v>0</v>
      </c>
      <c r="BN12" s="1">
        <v>0</v>
      </c>
      <c r="BO12" s="1">
        <v>20.67</v>
      </c>
      <c r="BP12" s="1">
        <v>0</v>
      </c>
      <c r="BQ12" s="1">
        <v>0</v>
      </c>
      <c r="BR12" s="1">
        <v>0</v>
      </c>
      <c r="BS12" s="1">
        <v>186.43</v>
      </c>
      <c r="BT12" s="1">
        <v>3.94</v>
      </c>
      <c r="BU12" s="1">
        <v>0.41</v>
      </c>
      <c r="BV12" s="1">
        <v>123.27</v>
      </c>
      <c r="BW12" s="1">
        <v>0</v>
      </c>
      <c r="BX12" s="1">
        <v>0</v>
      </c>
      <c r="BY12" s="1">
        <v>94.42</v>
      </c>
      <c r="BZ12" s="1">
        <v>0</v>
      </c>
      <c r="CA12" s="1">
        <v>0.1</v>
      </c>
      <c r="CB12" s="1">
        <v>26.88</v>
      </c>
      <c r="CC12" s="1">
        <v>29.56</v>
      </c>
      <c r="CD12" s="1">
        <v>92.2</v>
      </c>
      <c r="CE12" s="1">
        <v>0</v>
      </c>
      <c r="CF12" s="1">
        <v>2.6</v>
      </c>
      <c r="CG12" s="1">
        <v>460.09</v>
      </c>
      <c r="CH12" s="1">
        <v>276.3</v>
      </c>
      <c r="CI12" s="1">
        <v>7.58</v>
      </c>
      <c r="CJ12" s="1">
        <v>45</v>
      </c>
      <c r="CK12" s="1">
        <v>0</v>
      </c>
      <c r="CL12" s="1">
        <v>0</v>
      </c>
      <c r="CM12" s="1">
        <v>0</v>
      </c>
      <c r="CN12" s="1">
        <v>8.75</v>
      </c>
      <c r="CO12" s="1">
        <v>39.26</v>
      </c>
      <c r="CP12" s="1">
        <v>46.45</v>
      </c>
      <c r="CQ12" s="1">
        <v>31.56</v>
      </c>
      <c r="CR12" s="1">
        <v>31.67</v>
      </c>
      <c r="CS12" s="1">
        <v>86.08</v>
      </c>
      <c r="CT12" s="1">
        <v>133.81</v>
      </c>
      <c r="CU12" s="1">
        <v>0</v>
      </c>
      <c r="CV12" s="1">
        <v>0</v>
      </c>
      <c r="CW12" s="1">
        <v>0</v>
      </c>
      <c r="CX12" s="1">
        <v>0</v>
      </c>
      <c r="CY12" s="1">
        <v>226.78</v>
      </c>
      <c r="CZ12" s="1">
        <v>16.95</v>
      </c>
      <c r="DA12" s="1">
        <v>0</v>
      </c>
      <c r="DB12" s="1">
        <v>11.55</v>
      </c>
      <c r="DC12" s="1">
        <v>0</v>
      </c>
      <c r="DD12" s="1">
        <v>272.51</v>
      </c>
      <c r="DE12" s="1">
        <v>0</v>
      </c>
      <c r="DF12" s="1">
        <v>124.58</v>
      </c>
      <c r="DG12" s="1">
        <v>7.27</v>
      </c>
      <c r="DH12" s="1">
        <v>1.06</v>
      </c>
      <c r="DI12" s="1">
        <v>0</v>
      </c>
      <c r="DJ12" s="1">
        <v>64.31</v>
      </c>
      <c r="DK12" s="1">
        <v>0</v>
      </c>
      <c r="DL12" s="1">
        <v>0</v>
      </c>
      <c r="DM12" s="1">
        <v>262.27</v>
      </c>
      <c r="DN12" s="1">
        <v>8.23</v>
      </c>
      <c r="DO12" s="1">
        <v>0</v>
      </c>
      <c r="DP12" s="1">
        <v>0</v>
      </c>
      <c r="DQ12" s="1">
        <v>221.31</v>
      </c>
      <c r="DR12" s="1">
        <v>0</v>
      </c>
      <c r="DS12" s="1">
        <v>0</v>
      </c>
      <c r="DT12" s="1">
        <v>0</v>
      </c>
      <c r="DU12" s="1">
        <v>65.14</v>
      </c>
      <c r="DV12" s="1">
        <v>4.7300000000000004</v>
      </c>
      <c r="DW12" s="1">
        <v>1.21</v>
      </c>
      <c r="DX12" s="1">
        <v>7.66</v>
      </c>
      <c r="DY12" s="1">
        <v>20.02</v>
      </c>
      <c r="DZ12" s="1">
        <v>115.26</v>
      </c>
      <c r="EA12" s="1">
        <v>0</v>
      </c>
      <c r="EB12" s="1">
        <v>0</v>
      </c>
      <c r="EC12" s="1">
        <v>57.85</v>
      </c>
      <c r="ED12" s="1">
        <v>0</v>
      </c>
      <c r="EE12" s="1">
        <v>14.65</v>
      </c>
      <c r="EF12" s="1">
        <v>0</v>
      </c>
      <c r="EG12" s="1">
        <v>0</v>
      </c>
      <c r="EH12" s="1">
        <v>94.83</v>
      </c>
      <c r="EI12" s="1">
        <v>156.66</v>
      </c>
      <c r="EJ12" s="1">
        <v>0</v>
      </c>
      <c r="EK12" s="1">
        <v>0</v>
      </c>
      <c r="EL12" s="1">
        <v>0</v>
      </c>
      <c r="EM12" s="1">
        <v>0</v>
      </c>
      <c r="EN12" s="1">
        <v>1</v>
      </c>
      <c r="EO12" s="1">
        <v>1</v>
      </c>
      <c r="EP12" s="1">
        <v>0</v>
      </c>
      <c r="EQ12" s="1">
        <v>0</v>
      </c>
      <c r="ER12" s="1">
        <v>1</v>
      </c>
      <c r="ES12" s="1">
        <v>0</v>
      </c>
      <c r="ET12" s="1">
        <v>1</v>
      </c>
      <c r="EU12" s="1">
        <v>0</v>
      </c>
      <c r="EV12" s="1">
        <v>1</v>
      </c>
      <c r="EW12" s="1">
        <v>1</v>
      </c>
      <c r="EX12" s="1">
        <v>0</v>
      </c>
    </row>
    <row r="13" spans="1:155" x14ac:dyDescent="0.2">
      <c r="A13" s="12">
        <v>2</v>
      </c>
      <c r="B13" s="12">
        <v>1</v>
      </c>
      <c r="C13" s="13" t="s">
        <v>133</v>
      </c>
      <c r="D13" s="1">
        <f t="shared" si="3"/>
        <v>0</v>
      </c>
      <c r="E13" s="1"/>
      <c r="F13">
        <v>2</v>
      </c>
      <c r="G13">
        <v>1</v>
      </c>
      <c r="H13" t="s">
        <v>133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</row>
    <row r="14" spans="1:155" x14ac:dyDescent="0.2">
      <c r="A14" s="12">
        <v>4</v>
      </c>
      <c r="B14" s="12">
        <v>1</v>
      </c>
      <c r="C14" s="13" t="s">
        <v>134</v>
      </c>
      <c r="D14" s="1">
        <f t="shared" si="3"/>
        <v>0</v>
      </c>
      <c r="E14" s="1"/>
      <c r="F14">
        <v>4</v>
      </c>
      <c r="G14">
        <v>1</v>
      </c>
      <c r="H14" t="s">
        <v>134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2.8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1.3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1</v>
      </c>
      <c r="EV14" s="1">
        <v>0</v>
      </c>
      <c r="EW14" s="1">
        <v>0</v>
      </c>
      <c r="EX14" s="1">
        <v>0</v>
      </c>
    </row>
    <row r="15" spans="1:155" x14ac:dyDescent="0.2">
      <c r="A15" s="12">
        <v>6</v>
      </c>
      <c r="B15" s="12">
        <v>3</v>
      </c>
      <c r="C15" s="13" t="s">
        <v>135</v>
      </c>
      <c r="D15" s="1">
        <f t="shared" si="3"/>
        <v>0</v>
      </c>
      <c r="E15" s="1"/>
      <c r="F15">
        <v>6</v>
      </c>
      <c r="G15">
        <v>3</v>
      </c>
      <c r="H15" t="s">
        <v>135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1.66</v>
      </c>
      <c r="V15" s="1">
        <v>0.12</v>
      </c>
      <c r="W15" s="1">
        <v>0</v>
      </c>
      <c r="X15" s="1">
        <v>2.12</v>
      </c>
      <c r="Y15" s="1">
        <v>0</v>
      </c>
      <c r="Z15" s="1">
        <v>2.4700000000000002</v>
      </c>
      <c r="AA15" s="1">
        <v>0</v>
      </c>
      <c r="AB15" s="1">
        <v>0</v>
      </c>
      <c r="AC15" s="1">
        <v>0</v>
      </c>
      <c r="AD15" s="1">
        <v>1.38</v>
      </c>
      <c r="AE15" s="1">
        <v>0</v>
      </c>
      <c r="AF15" s="1">
        <v>0</v>
      </c>
      <c r="AG15" s="1">
        <v>0</v>
      </c>
      <c r="AH15" s="1">
        <v>0</v>
      </c>
      <c r="AI15" s="1">
        <v>0.12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3.36</v>
      </c>
      <c r="BH15" s="1">
        <v>0</v>
      </c>
      <c r="BI15" s="1">
        <v>0.75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4.6900000000000004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1.3</v>
      </c>
      <c r="CD15" s="1">
        <v>2.38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3.43</v>
      </c>
      <c r="CO15" s="1">
        <v>0</v>
      </c>
      <c r="CP15" s="1">
        <v>0</v>
      </c>
      <c r="CQ15" s="1">
        <v>2.59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17.010000000000002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1.1200000000000001</v>
      </c>
      <c r="DO15" s="1">
        <v>0.25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1.83</v>
      </c>
      <c r="DX15" s="1">
        <v>0.7</v>
      </c>
      <c r="DY15" s="1">
        <v>1.1200000000000001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</row>
    <row r="16" spans="1:155" x14ac:dyDescent="0.2">
      <c r="A16" s="12">
        <v>11</v>
      </c>
      <c r="B16" s="12">
        <v>1</v>
      </c>
      <c r="C16" s="13" t="s">
        <v>136</v>
      </c>
      <c r="D16" s="1">
        <f t="shared" si="3"/>
        <v>0</v>
      </c>
      <c r="E16" s="1"/>
      <c r="F16">
        <v>11</v>
      </c>
      <c r="G16">
        <v>1</v>
      </c>
      <c r="H16" t="s">
        <v>136</v>
      </c>
      <c r="I16" s="1">
        <v>0</v>
      </c>
      <c r="J16" s="1">
        <v>0</v>
      </c>
      <c r="K16" s="1">
        <v>0</v>
      </c>
      <c r="L16" s="1">
        <v>0</v>
      </c>
      <c r="M16" s="1">
        <v>1.01</v>
      </c>
      <c r="N16" s="1">
        <v>0</v>
      </c>
      <c r="O16" s="1">
        <v>0</v>
      </c>
      <c r="P16" s="1">
        <v>477.24</v>
      </c>
      <c r="Q16" s="1">
        <v>2.36</v>
      </c>
      <c r="R16" s="1">
        <v>0</v>
      </c>
      <c r="S16" s="1">
        <v>2.42</v>
      </c>
      <c r="T16" s="1">
        <v>0</v>
      </c>
      <c r="U16" s="1">
        <v>40.69</v>
      </c>
      <c r="V16" s="1">
        <v>0</v>
      </c>
      <c r="W16" s="1">
        <v>0</v>
      </c>
      <c r="X16" s="1">
        <v>5.61</v>
      </c>
      <c r="Y16" s="1">
        <v>0</v>
      </c>
      <c r="Z16" s="1">
        <v>0</v>
      </c>
      <c r="AA16" s="1">
        <v>0</v>
      </c>
      <c r="AB16" s="1">
        <v>1.68</v>
      </c>
      <c r="AC16" s="1">
        <v>29.39</v>
      </c>
      <c r="AD16" s="1">
        <v>0</v>
      </c>
      <c r="AE16" s="1">
        <v>2.1800000000000002</v>
      </c>
      <c r="AF16" s="1">
        <v>0</v>
      </c>
      <c r="AG16" s="1">
        <v>0</v>
      </c>
      <c r="AH16" s="1">
        <v>0.17</v>
      </c>
      <c r="AI16" s="1">
        <v>2.62</v>
      </c>
      <c r="AJ16" s="1">
        <v>0</v>
      </c>
      <c r="AK16" s="1">
        <v>0</v>
      </c>
      <c r="AL16" s="1">
        <v>0.31</v>
      </c>
      <c r="AM16" s="1">
        <v>0</v>
      </c>
      <c r="AN16" s="1">
        <v>0</v>
      </c>
      <c r="AO16" s="1">
        <v>0</v>
      </c>
      <c r="AP16" s="1">
        <v>165.05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2.1800000000000002</v>
      </c>
      <c r="BD16" s="1">
        <v>23.79</v>
      </c>
      <c r="BE16" s="1">
        <v>0</v>
      </c>
      <c r="BF16" s="1">
        <v>0</v>
      </c>
      <c r="BG16" s="1">
        <v>0</v>
      </c>
      <c r="BH16" s="1">
        <v>3.9</v>
      </c>
      <c r="BI16" s="1">
        <v>0</v>
      </c>
      <c r="BJ16" s="1">
        <v>5.38</v>
      </c>
      <c r="BK16" s="1">
        <v>2.0099999999999998</v>
      </c>
      <c r="BL16" s="1">
        <v>0</v>
      </c>
      <c r="BM16" s="1">
        <v>0</v>
      </c>
      <c r="BN16" s="1">
        <v>0</v>
      </c>
      <c r="BO16" s="1">
        <v>13.55</v>
      </c>
      <c r="BP16" s="1">
        <v>0</v>
      </c>
      <c r="BQ16" s="1">
        <v>0</v>
      </c>
      <c r="BR16" s="1">
        <v>0</v>
      </c>
      <c r="BS16" s="1">
        <v>8.43</v>
      </c>
      <c r="BT16" s="1">
        <v>19.59</v>
      </c>
      <c r="BU16" s="1">
        <v>0</v>
      </c>
      <c r="BV16" s="1">
        <v>3.53</v>
      </c>
      <c r="BW16" s="1">
        <v>0</v>
      </c>
      <c r="BX16" s="1">
        <v>0</v>
      </c>
      <c r="BY16" s="1">
        <v>0</v>
      </c>
      <c r="BZ16" s="1">
        <v>0</v>
      </c>
      <c r="CA16" s="1">
        <v>1.05</v>
      </c>
      <c r="CB16" s="1">
        <v>0</v>
      </c>
      <c r="CC16" s="1">
        <v>0.05</v>
      </c>
      <c r="CD16" s="1">
        <v>0</v>
      </c>
      <c r="CE16" s="1">
        <v>0</v>
      </c>
      <c r="CF16" s="1">
        <v>0</v>
      </c>
      <c r="CG16" s="1">
        <v>5.2</v>
      </c>
      <c r="CH16" s="1">
        <v>11.48</v>
      </c>
      <c r="CI16" s="1">
        <v>169.28</v>
      </c>
      <c r="CJ16" s="1">
        <v>0</v>
      </c>
      <c r="CK16" s="1">
        <v>0</v>
      </c>
      <c r="CL16" s="1">
        <v>0</v>
      </c>
      <c r="CM16" s="1">
        <v>0</v>
      </c>
      <c r="CN16" s="1">
        <v>35.72</v>
      </c>
      <c r="CO16" s="1">
        <v>0.16</v>
      </c>
      <c r="CP16" s="1">
        <v>6.11</v>
      </c>
      <c r="CQ16" s="1">
        <v>15.41</v>
      </c>
      <c r="CR16" s="1">
        <v>1.37</v>
      </c>
      <c r="CS16" s="1">
        <v>0</v>
      </c>
      <c r="CT16" s="1">
        <v>0</v>
      </c>
      <c r="CU16" s="1">
        <v>14.33</v>
      </c>
      <c r="CV16" s="1">
        <v>0</v>
      </c>
      <c r="CW16" s="1">
        <v>0</v>
      </c>
      <c r="CX16" s="1">
        <v>0</v>
      </c>
      <c r="CY16" s="1">
        <v>2.1</v>
      </c>
      <c r="CZ16" s="1">
        <v>0</v>
      </c>
      <c r="DA16" s="1">
        <v>0</v>
      </c>
      <c r="DB16" s="1">
        <v>7.17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1.04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2.2400000000000002</v>
      </c>
      <c r="DO16" s="1">
        <v>0</v>
      </c>
      <c r="DP16" s="1">
        <v>0</v>
      </c>
      <c r="DQ16" s="1">
        <v>13.15</v>
      </c>
      <c r="DR16" s="1">
        <v>0</v>
      </c>
      <c r="DS16" s="1">
        <v>0</v>
      </c>
      <c r="DT16" s="1">
        <v>0</v>
      </c>
      <c r="DU16" s="1">
        <v>4.58</v>
      </c>
      <c r="DV16" s="1">
        <v>91.38</v>
      </c>
      <c r="DW16" s="1">
        <v>9.5500000000000007</v>
      </c>
      <c r="DX16" s="1">
        <v>0</v>
      </c>
      <c r="DY16" s="1">
        <v>1.1200000000000001</v>
      </c>
      <c r="DZ16" s="1">
        <v>1.1200000000000001</v>
      </c>
      <c r="EA16" s="1">
        <v>0</v>
      </c>
      <c r="EB16" s="1">
        <v>0</v>
      </c>
      <c r="EC16" s="1">
        <v>0.39</v>
      </c>
      <c r="ED16" s="1">
        <v>0</v>
      </c>
      <c r="EE16" s="1">
        <v>0</v>
      </c>
      <c r="EF16" s="1">
        <v>9.1</v>
      </c>
      <c r="EG16" s="1">
        <v>0</v>
      </c>
      <c r="EH16" s="1">
        <v>0</v>
      </c>
      <c r="EI16" s="1">
        <v>0.01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</row>
    <row r="17" spans="1:154" x14ac:dyDescent="0.2">
      <c r="A17" s="12">
        <v>12</v>
      </c>
      <c r="B17" s="12">
        <v>1</v>
      </c>
      <c r="C17" s="13" t="s">
        <v>137</v>
      </c>
      <c r="D17" s="1">
        <f t="shared" si="3"/>
        <v>0</v>
      </c>
      <c r="E17" s="1"/>
      <c r="F17">
        <v>12</v>
      </c>
      <c r="G17">
        <v>1</v>
      </c>
      <c r="H17" t="s">
        <v>137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2.86</v>
      </c>
      <c r="Q17" s="1">
        <v>2.1800000000000002</v>
      </c>
      <c r="R17" s="1">
        <v>0</v>
      </c>
      <c r="S17" s="1">
        <v>1.47</v>
      </c>
      <c r="T17" s="1">
        <v>0</v>
      </c>
      <c r="U17" s="1">
        <v>1.3</v>
      </c>
      <c r="V17" s="1">
        <v>0</v>
      </c>
      <c r="W17" s="1">
        <v>0</v>
      </c>
      <c r="X17" s="1">
        <v>4.72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2.1800000000000002</v>
      </c>
      <c r="AG17" s="1">
        <v>0</v>
      </c>
      <c r="AH17" s="1">
        <v>0</v>
      </c>
      <c r="AI17" s="1">
        <v>1.2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2.1800000000000002</v>
      </c>
      <c r="BE17" s="1">
        <v>1.1200000000000001</v>
      </c>
      <c r="BF17" s="1">
        <v>0</v>
      </c>
      <c r="BG17" s="1">
        <v>0</v>
      </c>
      <c r="BH17" s="1">
        <v>6.79</v>
      </c>
      <c r="BI17" s="1">
        <v>1.3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1.17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0.61</v>
      </c>
      <c r="CB17" s="1">
        <v>0</v>
      </c>
      <c r="CC17" s="1">
        <v>1.1200000000000001</v>
      </c>
      <c r="CD17" s="1">
        <v>0.53</v>
      </c>
      <c r="CE17" s="1">
        <v>0</v>
      </c>
      <c r="CF17" s="1">
        <v>0</v>
      </c>
      <c r="CG17" s="1">
        <v>0</v>
      </c>
      <c r="CH17" s="1">
        <v>0</v>
      </c>
      <c r="CI17" s="1">
        <v>1.3</v>
      </c>
      <c r="CJ17" s="1">
        <v>3.59</v>
      </c>
      <c r="CK17" s="1">
        <v>0</v>
      </c>
      <c r="CL17" s="1">
        <v>0</v>
      </c>
      <c r="CM17" s="1">
        <v>0</v>
      </c>
      <c r="CN17" s="1">
        <v>1.3</v>
      </c>
      <c r="CO17" s="1">
        <v>0</v>
      </c>
      <c r="CP17" s="1">
        <v>0</v>
      </c>
      <c r="CQ17" s="1">
        <v>1.3</v>
      </c>
      <c r="CR17" s="1">
        <v>0</v>
      </c>
      <c r="CS17" s="1">
        <v>0</v>
      </c>
      <c r="CT17" s="1">
        <v>0</v>
      </c>
      <c r="CU17" s="1">
        <v>15.34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0.27</v>
      </c>
      <c r="DO17" s="1">
        <v>0</v>
      </c>
      <c r="DP17" s="1">
        <v>0</v>
      </c>
      <c r="DQ17" s="1">
        <v>0.06</v>
      </c>
      <c r="DR17" s="1">
        <v>0</v>
      </c>
      <c r="DS17" s="1">
        <v>0</v>
      </c>
      <c r="DT17" s="1">
        <v>0</v>
      </c>
      <c r="DU17" s="1">
        <v>1.3</v>
      </c>
      <c r="DV17" s="1">
        <v>1.06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</row>
    <row r="18" spans="1:154" x14ac:dyDescent="0.2">
      <c r="A18" s="12">
        <v>13</v>
      </c>
      <c r="B18" s="12">
        <v>1</v>
      </c>
      <c r="C18" s="13" t="s">
        <v>138</v>
      </c>
      <c r="D18" s="1">
        <f t="shared" si="3"/>
        <v>0</v>
      </c>
      <c r="E18" s="1"/>
      <c r="F18">
        <v>13</v>
      </c>
      <c r="G18">
        <v>1</v>
      </c>
      <c r="H18" t="s">
        <v>138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6.73</v>
      </c>
      <c r="R18" s="1">
        <v>0</v>
      </c>
      <c r="S18" s="1">
        <v>0</v>
      </c>
      <c r="T18" s="1">
        <v>0</v>
      </c>
      <c r="U18" s="1">
        <v>6.28</v>
      </c>
      <c r="V18" s="1">
        <v>0</v>
      </c>
      <c r="W18" s="1">
        <v>0</v>
      </c>
      <c r="X18" s="1">
        <v>0</v>
      </c>
      <c r="Y18" s="1">
        <v>0</v>
      </c>
      <c r="Z18" s="1">
        <v>0.93</v>
      </c>
      <c r="AA18" s="1">
        <v>0</v>
      </c>
      <c r="AB18" s="1">
        <v>0</v>
      </c>
      <c r="AC18" s="1">
        <v>1.62</v>
      </c>
      <c r="AD18" s="1">
        <v>0.51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4.43</v>
      </c>
      <c r="AM18" s="1">
        <v>0</v>
      </c>
      <c r="AN18" s="1">
        <v>0</v>
      </c>
      <c r="AO18" s="1">
        <v>0</v>
      </c>
      <c r="AP18" s="1">
        <v>0.39</v>
      </c>
      <c r="AQ18" s="1">
        <v>0</v>
      </c>
      <c r="AR18" s="1">
        <v>5.92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1.06</v>
      </c>
      <c r="BD18" s="1">
        <v>2.1800000000000002</v>
      </c>
      <c r="BE18" s="1">
        <v>0</v>
      </c>
      <c r="BF18" s="1">
        <v>0</v>
      </c>
      <c r="BG18" s="1">
        <v>0</v>
      </c>
      <c r="BH18" s="1">
        <v>6.5</v>
      </c>
      <c r="BI18" s="1">
        <v>0.59</v>
      </c>
      <c r="BJ18" s="1">
        <v>7.69</v>
      </c>
      <c r="BK18" s="1">
        <v>10.28</v>
      </c>
      <c r="BL18" s="1">
        <v>0</v>
      </c>
      <c r="BM18" s="1">
        <v>0</v>
      </c>
      <c r="BN18" s="1">
        <v>0</v>
      </c>
      <c r="BO18" s="1">
        <v>6.08</v>
      </c>
      <c r="BP18" s="1">
        <v>0</v>
      </c>
      <c r="BQ18" s="1">
        <v>0</v>
      </c>
      <c r="BR18" s="1">
        <v>0</v>
      </c>
      <c r="BS18" s="1">
        <v>2.1800000000000002</v>
      </c>
      <c r="BT18" s="1">
        <v>0</v>
      </c>
      <c r="BU18" s="1">
        <v>0</v>
      </c>
      <c r="BV18" s="1">
        <v>1.68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0.4</v>
      </c>
      <c r="CC18" s="1">
        <v>4.41</v>
      </c>
      <c r="CD18" s="1">
        <v>0</v>
      </c>
      <c r="CE18" s="1">
        <v>0</v>
      </c>
      <c r="CF18" s="1">
        <v>0</v>
      </c>
      <c r="CG18" s="1">
        <v>2.78</v>
      </c>
      <c r="CH18" s="1">
        <v>5.4</v>
      </c>
      <c r="CI18" s="1">
        <v>1.82</v>
      </c>
      <c r="CJ18" s="1">
        <v>0</v>
      </c>
      <c r="CK18" s="1">
        <v>0</v>
      </c>
      <c r="CL18" s="1">
        <v>0</v>
      </c>
      <c r="CM18" s="1">
        <v>0</v>
      </c>
      <c r="CN18" s="1">
        <v>1.48</v>
      </c>
      <c r="CO18" s="1">
        <v>0</v>
      </c>
      <c r="CP18" s="1">
        <v>7.48</v>
      </c>
      <c r="CQ18" s="1">
        <v>1.3</v>
      </c>
      <c r="CR18" s="1">
        <v>1.1200000000000001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9.01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1.46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39.99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6.96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</row>
    <row r="19" spans="1:154" x14ac:dyDescent="0.2">
      <c r="A19" s="12">
        <v>14</v>
      </c>
      <c r="B19" s="12">
        <v>1</v>
      </c>
      <c r="C19" s="13" t="s">
        <v>139</v>
      </c>
      <c r="D19" s="1">
        <f t="shared" si="3"/>
        <v>0</v>
      </c>
      <c r="E19" s="1"/>
      <c r="F19">
        <v>14</v>
      </c>
      <c r="G19">
        <v>1</v>
      </c>
      <c r="H19" t="s">
        <v>139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4.08</v>
      </c>
      <c r="V19" s="1">
        <v>0</v>
      </c>
      <c r="W19" s="1">
        <v>0</v>
      </c>
      <c r="X19" s="1">
        <v>3.66</v>
      </c>
      <c r="Y19" s="1">
        <v>0</v>
      </c>
      <c r="Z19" s="1">
        <v>0.81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  <c r="AR19" s="1">
        <v>0.17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3.9</v>
      </c>
      <c r="BI19" s="1">
        <v>0</v>
      </c>
      <c r="BJ19" s="1">
        <v>3.93</v>
      </c>
      <c r="BK19" s="1">
        <v>2.37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1.1200000000000001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1.27</v>
      </c>
      <c r="CH19" s="1">
        <v>2.77</v>
      </c>
      <c r="CI19" s="1">
        <v>5.69</v>
      </c>
      <c r="CJ19" s="1">
        <v>0</v>
      </c>
      <c r="CK19" s="1">
        <v>0</v>
      </c>
      <c r="CL19" s="1">
        <v>0</v>
      </c>
      <c r="CM19" s="1">
        <v>0</v>
      </c>
      <c r="CN19" s="1">
        <v>0.8</v>
      </c>
      <c r="CO19" s="1">
        <v>0</v>
      </c>
      <c r="CP19" s="1">
        <v>1.3</v>
      </c>
      <c r="CQ19" s="1">
        <v>1.3</v>
      </c>
      <c r="CR19" s="1">
        <v>0.48</v>
      </c>
      <c r="CS19" s="1">
        <v>3.04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1.51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0.82</v>
      </c>
      <c r="DK19" s="1">
        <v>0</v>
      </c>
      <c r="DL19" s="1">
        <v>0</v>
      </c>
      <c r="DM19" s="1">
        <v>0</v>
      </c>
      <c r="DN19" s="1">
        <v>1.1200000000000001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21.48</v>
      </c>
      <c r="DV19" s="1">
        <v>0</v>
      </c>
      <c r="DW19" s="1">
        <v>0</v>
      </c>
      <c r="DX19" s="1">
        <v>0</v>
      </c>
      <c r="DY19" s="1">
        <v>1.68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2.36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</row>
    <row r="20" spans="1:154" x14ac:dyDescent="0.2">
      <c r="A20" s="12">
        <v>15</v>
      </c>
      <c r="B20" s="12">
        <v>1</v>
      </c>
      <c r="C20" s="13" t="s">
        <v>140</v>
      </c>
      <c r="D20" s="1">
        <f t="shared" si="3"/>
        <v>0</v>
      </c>
      <c r="E20" s="1"/>
      <c r="F20">
        <v>15</v>
      </c>
      <c r="G20">
        <v>1</v>
      </c>
      <c r="H20" t="s">
        <v>140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56.13</v>
      </c>
      <c r="Q20" s="1">
        <v>0</v>
      </c>
      <c r="R20" s="1">
        <v>0</v>
      </c>
      <c r="S20" s="1">
        <v>0</v>
      </c>
      <c r="T20" s="1">
        <v>0</v>
      </c>
      <c r="U20" s="1">
        <v>2.11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2.73</v>
      </c>
      <c r="AQ20" s="1">
        <v>0</v>
      </c>
      <c r="AR20" s="1">
        <v>0</v>
      </c>
      <c r="AS20" s="1">
        <v>2.36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2.6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13.76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2.6</v>
      </c>
      <c r="CB20" s="1">
        <v>0</v>
      </c>
      <c r="CC20" s="1">
        <v>0.56000000000000005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2.81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1.3</v>
      </c>
      <c r="CR20" s="1">
        <v>0</v>
      </c>
      <c r="CS20" s="1">
        <v>0</v>
      </c>
      <c r="CT20" s="1">
        <v>0</v>
      </c>
      <c r="CU20" s="1">
        <v>12.58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2.36</v>
      </c>
      <c r="DV20" s="1">
        <v>2.36</v>
      </c>
      <c r="DW20" s="1">
        <v>1.92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</row>
    <row r="21" spans="1:154" x14ac:dyDescent="0.2">
      <c r="A21" s="12">
        <v>16</v>
      </c>
      <c r="B21" s="12">
        <v>1</v>
      </c>
      <c r="C21" s="13" t="s">
        <v>141</v>
      </c>
      <c r="D21" s="1">
        <f t="shared" si="3"/>
        <v>0</v>
      </c>
      <c r="E21" s="1"/>
      <c r="F21">
        <v>16</v>
      </c>
      <c r="G21">
        <v>1</v>
      </c>
      <c r="H21" t="s">
        <v>141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2.19</v>
      </c>
      <c r="Q21" s="1">
        <v>0.45</v>
      </c>
      <c r="R21" s="1">
        <v>0</v>
      </c>
      <c r="S21" s="1">
        <v>0</v>
      </c>
      <c r="T21" s="1">
        <v>0</v>
      </c>
      <c r="U21" s="1">
        <v>0.53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0.92</v>
      </c>
      <c r="AI21" s="1">
        <v>1.18</v>
      </c>
      <c r="AJ21" s="1">
        <v>0</v>
      </c>
      <c r="AK21" s="1">
        <v>0</v>
      </c>
      <c r="AL21" s="1">
        <v>9.14</v>
      </c>
      <c r="AM21" s="1">
        <v>0</v>
      </c>
      <c r="AN21" s="1">
        <v>0</v>
      </c>
      <c r="AO21" s="1">
        <v>0</v>
      </c>
      <c r="AP21" s="1">
        <v>1.4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1.3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0.77</v>
      </c>
      <c r="BP21" s="1">
        <v>0</v>
      </c>
      <c r="BQ21" s="1">
        <v>0</v>
      </c>
      <c r="BR21" s="1">
        <v>0</v>
      </c>
      <c r="BS21" s="1">
        <v>0</v>
      </c>
      <c r="BT21" s="1">
        <v>1.1399999999999999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5.51</v>
      </c>
      <c r="CJ21" s="1">
        <v>0</v>
      </c>
      <c r="CK21" s="1">
        <v>0</v>
      </c>
      <c r="CL21" s="1">
        <v>0</v>
      </c>
      <c r="CM21" s="1">
        <v>0</v>
      </c>
      <c r="CN21" s="1">
        <v>3.65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1.62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0.56000000000000005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5.15</v>
      </c>
      <c r="DV21" s="1">
        <v>0</v>
      </c>
      <c r="DW21" s="1">
        <v>0</v>
      </c>
      <c r="DX21" s="1">
        <v>0</v>
      </c>
      <c r="DY21" s="1">
        <v>1.1200000000000001</v>
      </c>
      <c r="DZ21" s="1">
        <v>0.5</v>
      </c>
      <c r="EA21" s="1">
        <v>0</v>
      </c>
      <c r="EB21" s="1">
        <v>0</v>
      </c>
      <c r="EC21" s="1">
        <v>0.86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</row>
    <row r="22" spans="1:154" x14ac:dyDescent="0.2">
      <c r="A22" s="12">
        <v>22</v>
      </c>
      <c r="B22" s="12">
        <v>1</v>
      </c>
      <c r="C22" s="13" t="s">
        <v>142</v>
      </c>
      <c r="D22" s="1">
        <f t="shared" si="3"/>
        <v>0</v>
      </c>
      <c r="E22" s="1"/>
      <c r="F22">
        <v>22</v>
      </c>
      <c r="G22">
        <v>1</v>
      </c>
      <c r="H22" t="s">
        <v>142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1.34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0.35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</row>
    <row r="23" spans="1:154" x14ac:dyDescent="0.2">
      <c r="A23" s="12">
        <v>23</v>
      </c>
      <c r="B23" s="12">
        <v>1</v>
      </c>
      <c r="C23" s="13" t="s">
        <v>143</v>
      </c>
      <c r="D23" s="1">
        <f t="shared" si="3"/>
        <v>0</v>
      </c>
      <c r="E23" s="1"/>
      <c r="F23">
        <v>23</v>
      </c>
      <c r="G23">
        <v>1</v>
      </c>
      <c r="H23" t="s">
        <v>143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1.0900000000000001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2.04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0.56000000000000005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</row>
    <row r="24" spans="1:154" x14ac:dyDescent="0.2">
      <c r="A24" s="12">
        <v>25</v>
      </c>
      <c r="B24" s="12">
        <v>1</v>
      </c>
      <c r="C24" s="13" t="s">
        <v>144</v>
      </c>
      <c r="D24" s="1">
        <f t="shared" si="3"/>
        <v>0</v>
      </c>
      <c r="E24" s="1"/>
      <c r="F24">
        <v>25</v>
      </c>
      <c r="G24">
        <v>1</v>
      </c>
      <c r="H24" t="s">
        <v>144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1.1200000000000001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</row>
    <row r="25" spans="1:154" x14ac:dyDescent="0.2">
      <c r="A25" s="12">
        <v>31</v>
      </c>
      <c r="B25" s="12">
        <v>1</v>
      </c>
      <c r="C25" s="13" t="s">
        <v>145</v>
      </c>
      <c r="D25" s="1">
        <f t="shared" si="3"/>
        <v>0</v>
      </c>
      <c r="E25" s="1"/>
      <c r="F25">
        <v>31</v>
      </c>
      <c r="G25">
        <v>1</v>
      </c>
      <c r="H25" t="s">
        <v>145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10.71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170.68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164.86</v>
      </c>
      <c r="CL25" s="1">
        <v>86.1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0.8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</row>
    <row r="26" spans="1:154" x14ac:dyDescent="0.2">
      <c r="A26" s="12">
        <v>32</v>
      </c>
      <c r="B26" s="12">
        <v>1</v>
      </c>
      <c r="C26" s="13" t="s">
        <v>146</v>
      </c>
      <c r="D26" s="1">
        <f t="shared" si="3"/>
        <v>0</v>
      </c>
      <c r="E26" s="1"/>
      <c r="F26">
        <v>32</v>
      </c>
      <c r="G26">
        <v>1</v>
      </c>
      <c r="H26" t="s">
        <v>146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1.64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12.52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</row>
    <row r="27" spans="1:154" x14ac:dyDescent="0.2">
      <c r="A27" s="12">
        <v>36</v>
      </c>
      <c r="B27" s="12">
        <v>1</v>
      </c>
      <c r="C27" s="13" t="s">
        <v>147</v>
      </c>
      <c r="D27" s="1">
        <f t="shared" si="3"/>
        <v>0</v>
      </c>
      <c r="E27" s="1"/>
      <c r="F27">
        <v>36</v>
      </c>
      <c r="G27">
        <v>1</v>
      </c>
      <c r="H27" t="s">
        <v>147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</row>
    <row r="28" spans="1:154" x14ac:dyDescent="0.2">
      <c r="A28" s="12">
        <v>38</v>
      </c>
      <c r="B28" s="12">
        <v>1</v>
      </c>
      <c r="C28" s="13" t="s">
        <v>148</v>
      </c>
      <c r="D28" s="1">
        <f t="shared" si="3"/>
        <v>0</v>
      </c>
      <c r="E28" s="1"/>
      <c r="F28">
        <v>38</v>
      </c>
      <c r="G28">
        <v>1</v>
      </c>
      <c r="H28" t="s">
        <v>148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0.12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1.3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18.059999999999999</v>
      </c>
      <c r="CL28" s="1">
        <v>0.79</v>
      </c>
      <c r="CM28" s="1">
        <v>0</v>
      </c>
      <c r="CN28" s="1">
        <v>0.27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</row>
    <row r="29" spans="1:154" x14ac:dyDescent="0.2">
      <c r="A29" s="12">
        <v>47</v>
      </c>
      <c r="B29" s="12">
        <v>1</v>
      </c>
      <c r="C29" s="13" t="s">
        <v>149</v>
      </c>
      <c r="D29" s="1">
        <f t="shared" si="3"/>
        <v>0</v>
      </c>
      <c r="E29" s="1"/>
      <c r="F29">
        <v>47</v>
      </c>
      <c r="G29">
        <v>1</v>
      </c>
      <c r="H29" t="s">
        <v>149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0.75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2.75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2.96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7.0000000000000007E-2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21.67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0.39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</row>
    <row r="30" spans="1:154" x14ac:dyDescent="0.2">
      <c r="A30" s="12">
        <v>51</v>
      </c>
      <c r="B30" s="12">
        <v>1</v>
      </c>
      <c r="C30" s="13" t="s">
        <v>150</v>
      </c>
      <c r="D30" s="1">
        <f t="shared" si="3"/>
        <v>0</v>
      </c>
      <c r="E30" s="1"/>
      <c r="F30">
        <v>51</v>
      </c>
      <c r="G30">
        <v>1</v>
      </c>
      <c r="H30" t="s">
        <v>150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4.9800000000000004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0.13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</row>
    <row r="31" spans="1:154" x14ac:dyDescent="0.2">
      <c r="A31" s="12">
        <v>62</v>
      </c>
      <c r="B31" s="12">
        <v>1</v>
      </c>
      <c r="C31" s="13" t="s">
        <v>151</v>
      </c>
      <c r="D31" s="1">
        <f t="shared" si="3"/>
        <v>0</v>
      </c>
      <c r="E31" s="1"/>
      <c r="F31">
        <v>62</v>
      </c>
      <c r="G31">
        <v>1</v>
      </c>
      <c r="H31" t="s">
        <v>151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0.21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</row>
    <row r="32" spans="1:154" x14ac:dyDescent="0.2">
      <c r="A32" s="12">
        <v>75</v>
      </c>
      <c r="B32" s="12">
        <v>1</v>
      </c>
      <c r="C32" s="13" t="s">
        <v>152</v>
      </c>
      <c r="D32" s="1">
        <f t="shared" si="3"/>
        <v>0</v>
      </c>
      <c r="E32" s="1"/>
      <c r="F32">
        <v>75</v>
      </c>
      <c r="G32">
        <v>1</v>
      </c>
      <c r="H32" t="s">
        <v>152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0.85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2.66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1.3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</row>
    <row r="33" spans="1:154" x14ac:dyDescent="0.2">
      <c r="A33" s="12">
        <v>77</v>
      </c>
      <c r="B33" s="12">
        <v>1</v>
      </c>
      <c r="C33" s="13" t="s">
        <v>153</v>
      </c>
      <c r="D33" s="1">
        <f t="shared" si="3"/>
        <v>0</v>
      </c>
      <c r="E33" s="1"/>
      <c r="F33">
        <v>77</v>
      </c>
      <c r="G33">
        <v>1</v>
      </c>
      <c r="H33" t="s">
        <v>153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4.57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13.55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114.04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4.6900000000000004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4.1399999999999997</v>
      </c>
      <c r="DX33" s="1">
        <v>6.71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</row>
    <row r="34" spans="1:154" x14ac:dyDescent="0.2">
      <c r="A34" s="12">
        <v>81</v>
      </c>
      <c r="B34" s="12">
        <v>1</v>
      </c>
      <c r="C34" s="13" t="s">
        <v>154</v>
      </c>
      <c r="D34" s="1">
        <f t="shared" si="3"/>
        <v>0</v>
      </c>
      <c r="E34" s="1"/>
      <c r="F34">
        <v>81</v>
      </c>
      <c r="G34">
        <v>1</v>
      </c>
      <c r="H34" t="s">
        <v>154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</row>
    <row r="35" spans="1:154" x14ac:dyDescent="0.2">
      <c r="A35" s="12">
        <v>84</v>
      </c>
      <c r="B35" s="12">
        <v>1</v>
      </c>
      <c r="C35" s="13" t="s">
        <v>155</v>
      </c>
      <c r="D35" s="1">
        <f t="shared" si="3"/>
        <v>0</v>
      </c>
      <c r="E35" s="1"/>
      <c r="F35">
        <v>84</v>
      </c>
      <c r="G35">
        <v>1</v>
      </c>
      <c r="H35" t="s">
        <v>155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0.17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0.16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</row>
    <row r="36" spans="1:154" x14ac:dyDescent="0.2">
      <c r="A36" s="12">
        <v>85</v>
      </c>
      <c r="B36" s="12">
        <v>1</v>
      </c>
      <c r="C36" s="13" t="s">
        <v>156</v>
      </c>
      <c r="D36" s="1">
        <f t="shared" si="3"/>
        <v>0</v>
      </c>
      <c r="E36" s="1"/>
      <c r="F36">
        <v>85</v>
      </c>
      <c r="G36">
        <v>1</v>
      </c>
      <c r="H36" t="s">
        <v>156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2.6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</row>
    <row r="37" spans="1:154" x14ac:dyDescent="0.2">
      <c r="A37" s="12">
        <v>88</v>
      </c>
      <c r="B37" s="12">
        <v>1</v>
      </c>
      <c r="C37" s="13" t="s">
        <v>157</v>
      </c>
      <c r="D37" s="1">
        <f t="shared" si="3"/>
        <v>0</v>
      </c>
      <c r="E37" s="1"/>
      <c r="F37">
        <v>88</v>
      </c>
      <c r="G37">
        <v>1</v>
      </c>
      <c r="H37" t="s">
        <v>157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1.81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6.5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50.02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0.64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0.48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</row>
    <row r="38" spans="1:154" x14ac:dyDescent="0.2">
      <c r="A38" s="12">
        <v>91</v>
      </c>
      <c r="B38" s="12">
        <v>1</v>
      </c>
      <c r="C38" s="13" t="s">
        <v>158</v>
      </c>
      <c r="D38" s="1">
        <f t="shared" si="3"/>
        <v>0</v>
      </c>
      <c r="E38" s="1"/>
      <c r="F38">
        <v>91</v>
      </c>
      <c r="G38">
        <v>1</v>
      </c>
      <c r="H38" t="s">
        <v>158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1.92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1.3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</row>
    <row r="39" spans="1:154" x14ac:dyDescent="0.2">
      <c r="A39" s="12">
        <v>93</v>
      </c>
      <c r="B39" s="12">
        <v>1</v>
      </c>
      <c r="C39" s="13" t="s">
        <v>159</v>
      </c>
      <c r="D39" s="1">
        <f t="shared" si="3"/>
        <v>0</v>
      </c>
      <c r="E39" s="1"/>
      <c r="F39">
        <v>93</v>
      </c>
      <c r="G39">
        <v>1</v>
      </c>
      <c r="H39" t="s">
        <v>159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0.49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0.88</v>
      </c>
      <c r="BP39" s="1">
        <v>0</v>
      </c>
      <c r="BQ39" s="1">
        <v>0</v>
      </c>
      <c r="BR39" s="1">
        <v>0.48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</row>
    <row r="40" spans="1:154" x14ac:dyDescent="0.2">
      <c r="A40" s="12">
        <v>94</v>
      </c>
      <c r="B40" s="12">
        <v>1</v>
      </c>
      <c r="C40" s="13" t="s">
        <v>160</v>
      </c>
      <c r="D40" s="1">
        <f t="shared" si="3"/>
        <v>0</v>
      </c>
      <c r="E40" s="1"/>
      <c r="F40">
        <v>94</v>
      </c>
      <c r="G40">
        <v>1</v>
      </c>
      <c r="H40" t="s">
        <v>160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1.06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11.04</v>
      </c>
      <c r="BP40" s="1">
        <v>0</v>
      </c>
      <c r="BQ40" s="1">
        <v>0</v>
      </c>
      <c r="BR40" s="1">
        <v>2.76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0.46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</row>
    <row r="41" spans="1:154" x14ac:dyDescent="0.2">
      <c r="A41" s="12">
        <v>95</v>
      </c>
      <c r="B41" s="12">
        <v>1</v>
      </c>
      <c r="C41" s="13" t="s">
        <v>161</v>
      </c>
      <c r="D41" s="1">
        <f t="shared" si="3"/>
        <v>0</v>
      </c>
      <c r="E41" s="1"/>
      <c r="F41">
        <v>95</v>
      </c>
      <c r="G41">
        <v>1</v>
      </c>
      <c r="H41" t="s">
        <v>161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</row>
    <row r="42" spans="1:154" x14ac:dyDescent="0.2">
      <c r="A42" s="12">
        <v>97</v>
      </c>
      <c r="B42" s="12">
        <v>1</v>
      </c>
      <c r="C42" s="13" t="s">
        <v>162</v>
      </c>
      <c r="D42" s="1">
        <f t="shared" si="3"/>
        <v>0</v>
      </c>
      <c r="E42" s="1"/>
      <c r="F42">
        <v>97</v>
      </c>
      <c r="G42">
        <v>1</v>
      </c>
      <c r="H42" t="s">
        <v>162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0.59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</row>
    <row r="43" spans="1:154" x14ac:dyDescent="0.2">
      <c r="A43" s="12">
        <v>99</v>
      </c>
      <c r="B43" s="12">
        <v>1</v>
      </c>
      <c r="C43" s="13" t="s">
        <v>163</v>
      </c>
      <c r="D43" s="1">
        <f t="shared" si="3"/>
        <v>0</v>
      </c>
      <c r="E43" s="1"/>
      <c r="F43">
        <v>99</v>
      </c>
      <c r="G43">
        <v>1</v>
      </c>
      <c r="H43" t="s">
        <v>163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1.3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0.14000000000000001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0.34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0.12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1.0900000000000001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</row>
    <row r="44" spans="1:154" x14ac:dyDescent="0.2">
      <c r="A44" s="12">
        <v>100</v>
      </c>
      <c r="B44" s="12">
        <v>1</v>
      </c>
      <c r="C44" s="13" t="s">
        <v>164</v>
      </c>
      <c r="D44" s="1">
        <f t="shared" si="3"/>
        <v>0</v>
      </c>
      <c r="E44" s="1"/>
      <c r="F44">
        <v>100</v>
      </c>
      <c r="G44">
        <v>1</v>
      </c>
      <c r="H44" t="s">
        <v>164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1.06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</row>
    <row r="45" spans="1:154" x14ac:dyDescent="0.2">
      <c r="A45" s="12">
        <v>108</v>
      </c>
      <c r="B45" s="12">
        <v>1</v>
      </c>
      <c r="C45" s="13" t="s">
        <v>165</v>
      </c>
      <c r="D45" s="1">
        <f t="shared" si="3"/>
        <v>0</v>
      </c>
      <c r="E45" s="1"/>
      <c r="F45">
        <v>108</v>
      </c>
      <c r="G45">
        <v>1</v>
      </c>
      <c r="H45" t="s">
        <v>165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7.0000000000000007E-2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0.59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1.05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2.23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</row>
    <row r="46" spans="1:154" x14ac:dyDescent="0.2">
      <c r="A46" s="12">
        <v>110</v>
      </c>
      <c r="B46" s="12">
        <v>1</v>
      </c>
      <c r="C46" s="13" t="s">
        <v>166</v>
      </c>
      <c r="D46" s="1">
        <f t="shared" si="3"/>
        <v>0</v>
      </c>
      <c r="E46" s="1"/>
      <c r="F46">
        <v>110</v>
      </c>
      <c r="G46">
        <v>1</v>
      </c>
      <c r="H46" t="s">
        <v>166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6.86</v>
      </c>
      <c r="U46" s="1">
        <v>2.6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3.86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</row>
    <row r="47" spans="1:154" x14ac:dyDescent="0.2">
      <c r="A47" s="12">
        <v>111</v>
      </c>
      <c r="B47" s="12">
        <v>1</v>
      </c>
      <c r="C47" s="13" t="s">
        <v>167</v>
      </c>
      <c r="D47" s="1">
        <f t="shared" si="3"/>
        <v>0</v>
      </c>
      <c r="E47" s="1"/>
      <c r="F47">
        <v>111</v>
      </c>
      <c r="G47">
        <v>1</v>
      </c>
      <c r="H47" t="s">
        <v>167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1.3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0.12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2.77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</row>
    <row r="48" spans="1:154" x14ac:dyDescent="0.2">
      <c r="A48" s="12">
        <v>112</v>
      </c>
      <c r="B48" s="12">
        <v>1</v>
      </c>
      <c r="C48" s="13" t="s">
        <v>168</v>
      </c>
      <c r="D48" s="1">
        <f t="shared" si="3"/>
        <v>0</v>
      </c>
      <c r="E48" s="1"/>
      <c r="F48">
        <v>112</v>
      </c>
      <c r="G48">
        <v>1</v>
      </c>
      <c r="H48" t="s">
        <v>168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2.11</v>
      </c>
      <c r="P48" s="1">
        <v>0</v>
      </c>
      <c r="Q48" s="1">
        <v>0</v>
      </c>
      <c r="R48" s="1">
        <v>0</v>
      </c>
      <c r="S48" s="1">
        <v>0</v>
      </c>
      <c r="T48" s="1">
        <v>143.79</v>
      </c>
      <c r="U48" s="1">
        <v>3.39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1.06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2.2599999999999998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0.1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2.6</v>
      </c>
      <c r="CO48" s="1">
        <v>6.48</v>
      </c>
      <c r="CP48" s="1">
        <v>0</v>
      </c>
      <c r="CQ48" s="1">
        <v>0.25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20.53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</row>
    <row r="49" spans="1:154" x14ac:dyDescent="0.2">
      <c r="A49" s="12">
        <v>113</v>
      </c>
      <c r="B49" s="12">
        <v>1</v>
      </c>
      <c r="C49" s="13" t="s">
        <v>169</v>
      </c>
      <c r="D49" s="1">
        <f t="shared" si="3"/>
        <v>0</v>
      </c>
      <c r="E49" s="1"/>
      <c r="F49">
        <v>113</v>
      </c>
      <c r="G49">
        <v>1</v>
      </c>
      <c r="H49" t="s">
        <v>169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0.39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1.3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1.3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</row>
    <row r="50" spans="1:154" x14ac:dyDescent="0.2">
      <c r="A50" s="12">
        <v>115</v>
      </c>
      <c r="B50" s="12">
        <v>1</v>
      </c>
      <c r="C50" s="13" t="s">
        <v>170</v>
      </c>
      <c r="D50" s="1">
        <f t="shared" si="3"/>
        <v>0</v>
      </c>
      <c r="E50" s="1"/>
      <c r="F50">
        <v>115</v>
      </c>
      <c r="G50">
        <v>1</v>
      </c>
      <c r="H50" t="s">
        <v>170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1.82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0.35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8.84</v>
      </c>
      <c r="CL50" s="1">
        <v>0.22</v>
      </c>
      <c r="CM50" s="1">
        <v>0</v>
      </c>
      <c r="CN50" s="1">
        <v>7.0000000000000007E-2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</row>
    <row r="51" spans="1:154" x14ac:dyDescent="0.2">
      <c r="A51" s="12">
        <v>116</v>
      </c>
      <c r="B51" s="12">
        <v>1</v>
      </c>
      <c r="C51" s="13" t="s">
        <v>171</v>
      </c>
      <c r="D51" s="1">
        <f t="shared" si="3"/>
        <v>0</v>
      </c>
      <c r="E51" s="1"/>
      <c r="F51">
        <v>116</v>
      </c>
      <c r="G51">
        <v>1</v>
      </c>
      <c r="H51" t="s">
        <v>171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0.51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22.74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</row>
    <row r="52" spans="1:154" x14ac:dyDescent="0.2">
      <c r="A52" s="12">
        <v>118</v>
      </c>
      <c r="B52" s="12">
        <v>1</v>
      </c>
      <c r="C52" s="13" t="s">
        <v>172</v>
      </c>
      <c r="D52" s="1">
        <f t="shared" si="3"/>
        <v>0</v>
      </c>
      <c r="E52" s="1"/>
      <c r="F52">
        <v>118</v>
      </c>
      <c r="G52">
        <v>1</v>
      </c>
      <c r="H52" t="s">
        <v>172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1.1200000000000001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</row>
    <row r="53" spans="1:154" x14ac:dyDescent="0.2">
      <c r="A53" s="12">
        <v>129</v>
      </c>
      <c r="B53" s="12">
        <v>1</v>
      </c>
      <c r="C53" s="13" t="s">
        <v>173</v>
      </c>
      <c r="D53" s="1">
        <f t="shared" si="3"/>
        <v>0</v>
      </c>
      <c r="E53" s="1"/>
      <c r="F53">
        <v>129</v>
      </c>
      <c r="G53">
        <v>1</v>
      </c>
      <c r="H53" t="s">
        <v>173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</row>
    <row r="54" spans="1:154" x14ac:dyDescent="0.2">
      <c r="A54" s="12">
        <v>138</v>
      </c>
      <c r="B54" s="12">
        <v>1</v>
      </c>
      <c r="C54" s="13" t="s">
        <v>174</v>
      </c>
      <c r="D54" s="1">
        <f t="shared" si="3"/>
        <v>0</v>
      </c>
      <c r="E54" s="1"/>
      <c r="F54">
        <v>138</v>
      </c>
      <c r="G54">
        <v>1</v>
      </c>
      <c r="H54" t="s">
        <v>174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1.3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3.65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0.12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9.3699999999999992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0.56000000000000005</v>
      </c>
      <c r="CO54" s="1">
        <v>0</v>
      </c>
      <c r="CP54" s="1">
        <v>0</v>
      </c>
      <c r="CQ54" s="1">
        <v>1.3</v>
      </c>
      <c r="CR54" s="1">
        <v>0</v>
      </c>
      <c r="CS54" s="1">
        <v>0</v>
      </c>
      <c r="CT54" s="1">
        <v>0</v>
      </c>
      <c r="CU54" s="1">
        <v>10.8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</row>
    <row r="55" spans="1:154" x14ac:dyDescent="0.2">
      <c r="A55" s="12">
        <v>139</v>
      </c>
      <c r="B55" s="12">
        <v>1</v>
      </c>
      <c r="C55" s="13" t="s">
        <v>175</v>
      </c>
      <c r="D55" s="1">
        <f t="shared" si="3"/>
        <v>0</v>
      </c>
      <c r="E55" s="1"/>
      <c r="F55">
        <v>139</v>
      </c>
      <c r="G55">
        <v>1</v>
      </c>
      <c r="H55" t="s">
        <v>175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1.06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0.62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</row>
    <row r="56" spans="1:154" x14ac:dyDescent="0.2">
      <c r="A56" s="12">
        <v>146</v>
      </c>
      <c r="B56" s="12">
        <v>1</v>
      </c>
      <c r="C56" s="13" t="s">
        <v>176</v>
      </c>
      <c r="D56" s="1">
        <f t="shared" si="3"/>
        <v>0</v>
      </c>
      <c r="E56" s="1"/>
      <c r="F56">
        <v>146</v>
      </c>
      <c r="G56">
        <v>1</v>
      </c>
      <c r="H56" t="s">
        <v>176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2.92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</row>
    <row r="57" spans="1:154" x14ac:dyDescent="0.2">
      <c r="A57" s="12">
        <v>150</v>
      </c>
      <c r="B57" s="12">
        <v>1</v>
      </c>
      <c r="C57" s="13" t="s">
        <v>177</v>
      </c>
      <c r="D57" s="1">
        <f t="shared" si="3"/>
        <v>0</v>
      </c>
      <c r="E57" s="1"/>
      <c r="F57">
        <v>150</v>
      </c>
      <c r="G57">
        <v>1</v>
      </c>
      <c r="H57" t="s">
        <v>177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</row>
    <row r="58" spans="1:154" x14ac:dyDescent="0.2">
      <c r="A58" s="12">
        <v>152</v>
      </c>
      <c r="B58" s="12">
        <v>1</v>
      </c>
      <c r="C58" s="13" t="s">
        <v>178</v>
      </c>
      <c r="D58" s="1">
        <f t="shared" si="3"/>
        <v>0</v>
      </c>
      <c r="E58" s="1"/>
      <c r="F58">
        <v>152</v>
      </c>
      <c r="G58">
        <v>1</v>
      </c>
      <c r="H58" t="s">
        <v>178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7.93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</row>
    <row r="59" spans="1:154" x14ac:dyDescent="0.2">
      <c r="A59" s="12">
        <v>162</v>
      </c>
      <c r="B59" s="12">
        <v>1</v>
      </c>
      <c r="C59" s="13" t="s">
        <v>179</v>
      </c>
      <c r="D59" s="1">
        <f t="shared" si="3"/>
        <v>0</v>
      </c>
      <c r="E59" s="1"/>
      <c r="F59">
        <v>162</v>
      </c>
      <c r="G59">
        <v>1</v>
      </c>
      <c r="H59" t="s">
        <v>179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1.48</v>
      </c>
      <c r="CL59" s="1">
        <v>5.1100000000000003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</row>
    <row r="60" spans="1:154" x14ac:dyDescent="0.2">
      <c r="A60" s="12">
        <v>166</v>
      </c>
      <c r="B60" s="12">
        <v>1</v>
      </c>
      <c r="C60" s="13" t="s">
        <v>180</v>
      </c>
      <c r="D60" s="1">
        <f t="shared" si="3"/>
        <v>0</v>
      </c>
      <c r="E60" s="1"/>
      <c r="F60">
        <v>166</v>
      </c>
      <c r="G60">
        <v>1</v>
      </c>
      <c r="H60" t="s">
        <v>180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7.56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42.54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22.3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</row>
    <row r="61" spans="1:154" x14ac:dyDescent="0.2">
      <c r="A61" s="12">
        <v>173</v>
      </c>
      <c r="B61" s="12">
        <v>1</v>
      </c>
      <c r="C61" s="13" t="s">
        <v>181</v>
      </c>
      <c r="D61" s="1">
        <f t="shared" si="3"/>
        <v>0</v>
      </c>
      <c r="E61" s="1"/>
      <c r="F61">
        <v>173</v>
      </c>
      <c r="G61">
        <v>1</v>
      </c>
      <c r="H61" t="s">
        <v>181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</row>
    <row r="62" spans="1:154" x14ac:dyDescent="0.2">
      <c r="A62" s="12">
        <v>177</v>
      </c>
      <c r="B62" s="12">
        <v>1</v>
      </c>
      <c r="C62" s="13" t="s">
        <v>182</v>
      </c>
      <c r="D62" s="1">
        <f t="shared" si="3"/>
        <v>0</v>
      </c>
      <c r="E62" s="1"/>
      <c r="F62">
        <v>177</v>
      </c>
      <c r="G62">
        <v>1</v>
      </c>
      <c r="H62" t="s">
        <v>182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</row>
    <row r="63" spans="1:154" x14ac:dyDescent="0.2">
      <c r="A63" s="12">
        <v>181</v>
      </c>
      <c r="B63" s="12">
        <v>1</v>
      </c>
      <c r="C63" s="13" t="s">
        <v>183</v>
      </c>
      <c r="D63" s="1">
        <f t="shared" si="3"/>
        <v>0</v>
      </c>
      <c r="E63" s="1"/>
      <c r="F63">
        <v>181</v>
      </c>
      <c r="G63">
        <v>1</v>
      </c>
      <c r="H63" t="s">
        <v>183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3.3</v>
      </c>
      <c r="S63" s="1">
        <v>0</v>
      </c>
      <c r="T63" s="1">
        <v>0</v>
      </c>
      <c r="U63" s="1">
        <v>2.4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0.93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16.48</v>
      </c>
      <c r="BN63" s="1">
        <v>0</v>
      </c>
      <c r="BO63" s="1">
        <v>0.77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0.52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1.1299999999999999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</row>
    <row r="64" spans="1:154" x14ac:dyDescent="0.2">
      <c r="A64" s="12">
        <v>182</v>
      </c>
      <c r="B64" s="12">
        <v>1</v>
      </c>
      <c r="C64" s="13" t="s">
        <v>184</v>
      </c>
      <c r="D64" s="1">
        <f t="shared" si="3"/>
        <v>0</v>
      </c>
      <c r="E64" s="1"/>
      <c r="F64">
        <v>182</v>
      </c>
      <c r="G64">
        <v>1</v>
      </c>
      <c r="H64" t="s">
        <v>184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48.81</v>
      </c>
      <c r="S64" s="1">
        <v>0</v>
      </c>
      <c r="T64" s="1">
        <v>0</v>
      </c>
      <c r="U64" s="1">
        <v>0.5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14.28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1.3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0.6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</row>
    <row r="65" spans="1:154" x14ac:dyDescent="0.2">
      <c r="A65" s="12">
        <v>186</v>
      </c>
      <c r="B65" s="12">
        <v>1</v>
      </c>
      <c r="C65" s="13" t="s">
        <v>185</v>
      </c>
      <c r="D65" s="1">
        <f t="shared" si="3"/>
        <v>0</v>
      </c>
      <c r="E65" s="1"/>
      <c r="F65">
        <v>186</v>
      </c>
      <c r="G65">
        <v>1</v>
      </c>
      <c r="H65" t="s">
        <v>185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5.69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77.7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2.4500000000000002</v>
      </c>
      <c r="BN65" s="1">
        <v>0</v>
      </c>
      <c r="BO65" s="1">
        <v>1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</row>
    <row r="66" spans="1:154" x14ac:dyDescent="0.2">
      <c r="A66" s="12">
        <v>191</v>
      </c>
      <c r="B66" s="12">
        <v>1</v>
      </c>
      <c r="C66" s="13" t="s">
        <v>186</v>
      </c>
      <c r="D66" s="1">
        <f t="shared" si="3"/>
        <v>0</v>
      </c>
      <c r="E66" s="1"/>
      <c r="F66">
        <v>191</v>
      </c>
      <c r="G66">
        <v>1</v>
      </c>
      <c r="H66" t="s">
        <v>186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1.06</v>
      </c>
      <c r="U66" s="1">
        <v>2.23</v>
      </c>
      <c r="V66" s="1">
        <v>0</v>
      </c>
      <c r="W66" s="1">
        <v>0</v>
      </c>
      <c r="X66" s="1">
        <v>1.3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1.1200000000000001</v>
      </c>
      <c r="AI66" s="1">
        <v>1.3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0.34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1.06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7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7.98</v>
      </c>
      <c r="BZ66" s="1">
        <v>0</v>
      </c>
      <c r="CA66" s="1">
        <v>0</v>
      </c>
      <c r="CB66" s="1">
        <v>0</v>
      </c>
      <c r="CC66" s="1">
        <v>1.39</v>
      </c>
      <c r="CD66" s="1">
        <v>22.11</v>
      </c>
      <c r="CE66" s="1">
        <v>0</v>
      </c>
      <c r="CF66" s="1">
        <v>0</v>
      </c>
      <c r="CG66" s="1">
        <v>0.87</v>
      </c>
      <c r="CH66" s="1">
        <v>0</v>
      </c>
      <c r="CI66" s="1">
        <v>0</v>
      </c>
      <c r="CJ66" s="1">
        <v>1.29</v>
      </c>
      <c r="CK66" s="1">
        <v>0</v>
      </c>
      <c r="CL66" s="1">
        <v>0</v>
      </c>
      <c r="CM66" s="1">
        <v>0</v>
      </c>
      <c r="CN66" s="1">
        <v>10.56</v>
      </c>
      <c r="CO66" s="1">
        <v>2.61</v>
      </c>
      <c r="CP66" s="1">
        <v>0</v>
      </c>
      <c r="CQ66" s="1">
        <v>5.2</v>
      </c>
      <c r="CR66" s="1">
        <v>1.1200000000000001</v>
      </c>
      <c r="CS66" s="1">
        <v>1.3</v>
      </c>
      <c r="CT66" s="1">
        <v>0.44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1.3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0.08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1.01</v>
      </c>
      <c r="DO66" s="1">
        <v>46.75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4.29</v>
      </c>
      <c r="DX66" s="1">
        <v>3.2</v>
      </c>
      <c r="DY66" s="1">
        <v>0</v>
      </c>
      <c r="DZ66" s="1">
        <v>0.68</v>
      </c>
      <c r="EA66" s="1">
        <v>0</v>
      </c>
      <c r="EB66" s="1">
        <v>0</v>
      </c>
      <c r="EC66" s="1">
        <v>0</v>
      </c>
      <c r="ED66" s="1">
        <v>40.130000000000003</v>
      </c>
      <c r="EE66" s="1">
        <v>32.24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</row>
    <row r="67" spans="1:154" x14ac:dyDescent="0.2">
      <c r="A67" s="12">
        <v>192</v>
      </c>
      <c r="B67" s="12">
        <v>1</v>
      </c>
      <c r="C67" s="13" t="s">
        <v>187</v>
      </c>
      <c r="D67" s="1">
        <f t="shared" si="3"/>
        <v>0</v>
      </c>
      <c r="E67" s="1"/>
      <c r="F67">
        <v>192</v>
      </c>
      <c r="G67">
        <v>1</v>
      </c>
      <c r="H67" t="s">
        <v>187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0.22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1.3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0.02</v>
      </c>
      <c r="BF67" s="1">
        <v>0</v>
      </c>
      <c r="BG67" s="1">
        <v>0</v>
      </c>
      <c r="BH67" s="1">
        <v>0</v>
      </c>
      <c r="BI67" s="1">
        <v>0.53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6.41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8.17</v>
      </c>
      <c r="BX67" s="1">
        <v>6.56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1.1200000000000001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3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0.64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16.28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1.08</v>
      </c>
      <c r="DX67" s="1">
        <v>0</v>
      </c>
      <c r="DY67" s="1">
        <v>1.1200000000000001</v>
      </c>
      <c r="DZ67" s="1">
        <v>0</v>
      </c>
      <c r="EA67" s="1">
        <v>0</v>
      </c>
      <c r="EB67" s="1">
        <v>0</v>
      </c>
      <c r="EC67" s="1">
        <v>0</v>
      </c>
      <c r="ED67" s="1">
        <v>14.3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</row>
    <row r="68" spans="1:154" x14ac:dyDescent="0.2">
      <c r="A68" s="12">
        <v>194</v>
      </c>
      <c r="B68" s="12">
        <v>1</v>
      </c>
      <c r="C68" s="13" t="s">
        <v>188</v>
      </c>
      <c r="D68" s="1">
        <f t="shared" si="3"/>
        <v>0</v>
      </c>
      <c r="E68" s="1"/>
      <c r="F68">
        <v>194</v>
      </c>
      <c r="G68">
        <v>1</v>
      </c>
      <c r="H68" t="s">
        <v>188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5.44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0.46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10.86</v>
      </c>
      <c r="BP68" s="1">
        <v>0</v>
      </c>
      <c r="BQ68" s="1">
        <v>0</v>
      </c>
      <c r="BR68" s="1">
        <v>0</v>
      </c>
      <c r="BS68" s="1">
        <v>1.1200000000000001</v>
      </c>
      <c r="BT68" s="1">
        <v>0</v>
      </c>
      <c r="BU68" s="1">
        <v>0</v>
      </c>
      <c r="BV68" s="1">
        <v>0</v>
      </c>
      <c r="BW68" s="1">
        <v>9.2100000000000009</v>
      </c>
      <c r="BX68" s="1">
        <v>6.44</v>
      </c>
      <c r="BY68" s="1">
        <v>0</v>
      </c>
      <c r="BZ68" s="1">
        <v>0</v>
      </c>
      <c r="CA68" s="1">
        <v>0</v>
      </c>
      <c r="CB68" s="1">
        <v>0</v>
      </c>
      <c r="CC68" s="1">
        <v>3.72</v>
      </c>
      <c r="CD68" s="1">
        <v>0.16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8.31</v>
      </c>
      <c r="CO68" s="1">
        <v>0</v>
      </c>
      <c r="CP68" s="1">
        <v>0</v>
      </c>
      <c r="CQ68" s="1">
        <v>3.9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0.3</v>
      </c>
      <c r="DO68" s="1">
        <v>45.98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0.65</v>
      </c>
      <c r="DX68" s="1">
        <v>4.91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10.76</v>
      </c>
      <c r="EE68" s="1">
        <v>0.27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</row>
    <row r="69" spans="1:154" x14ac:dyDescent="0.2">
      <c r="A69" s="12">
        <v>195</v>
      </c>
      <c r="B69" s="12">
        <v>1</v>
      </c>
      <c r="C69" s="13" t="s">
        <v>189</v>
      </c>
      <c r="D69" s="1">
        <f t="shared" si="3"/>
        <v>0</v>
      </c>
      <c r="E69" s="1"/>
      <c r="F69">
        <v>195</v>
      </c>
      <c r="G69">
        <v>1</v>
      </c>
      <c r="H69" t="s">
        <v>189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4.42</v>
      </c>
      <c r="BX69" s="1">
        <v>0.46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</row>
    <row r="70" spans="1:154" x14ac:dyDescent="0.2">
      <c r="A70" s="12">
        <v>196</v>
      </c>
      <c r="B70" s="12">
        <v>1</v>
      </c>
      <c r="C70" s="13" t="s">
        <v>190</v>
      </c>
      <c r="D70" s="1">
        <f t="shared" si="3"/>
        <v>0</v>
      </c>
      <c r="E70" s="1"/>
      <c r="F70">
        <v>196</v>
      </c>
      <c r="G70">
        <v>1</v>
      </c>
      <c r="H70" t="s">
        <v>190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0.43</v>
      </c>
      <c r="O70" s="1">
        <v>0</v>
      </c>
      <c r="P70" s="1">
        <v>0</v>
      </c>
      <c r="Q70" s="1">
        <v>2.23</v>
      </c>
      <c r="R70" s="1">
        <v>0</v>
      </c>
      <c r="S70" s="1">
        <v>0</v>
      </c>
      <c r="T70" s="1">
        <v>0</v>
      </c>
      <c r="U70" s="1">
        <v>15.18</v>
      </c>
      <c r="V70" s="1">
        <v>0</v>
      </c>
      <c r="W70" s="1">
        <v>0</v>
      </c>
      <c r="X70" s="1">
        <v>7.42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4.84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1.08</v>
      </c>
      <c r="AQ70" s="1">
        <v>0</v>
      </c>
      <c r="AR70" s="1">
        <v>0.55000000000000004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1.3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17.329999999999998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1.81</v>
      </c>
      <c r="BV70" s="1">
        <v>0</v>
      </c>
      <c r="BW70" s="1">
        <v>2.12</v>
      </c>
      <c r="BX70" s="1">
        <v>0</v>
      </c>
      <c r="BY70" s="1">
        <v>0</v>
      </c>
      <c r="BZ70" s="1">
        <v>0</v>
      </c>
      <c r="CA70" s="1">
        <v>0</v>
      </c>
      <c r="CB70" s="1">
        <v>1.1200000000000001</v>
      </c>
      <c r="CC70" s="1">
        <v>8.26</v>
      </c>
      <c r="CD70" s="1">
        <v>37.75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29.9</v>
      </c>
      <c r="CO70" s="1">
        <v>0</v>
      </c>
      <c r="CP70" s="1">
        <v>1.3</v>
      </c>
      <c r="CQ70" s="1">
        <v>9.49</v>
      </c>
      <c r="CR70" s="1">
        <v>4.5999999999999996</v>
      </c>
      <c r="CS70" s="1">
        <v>0</v>
      </c>
      <c r="CT70" s="1">
        <v>0</v>
      </c>
      <c r="CU70" s="1">
        <v>0</v>
      </c>
      <c r="CV70" s="1">
        <v>0</v>
      </c>
      <c r="CW70" s="1">
        <v>0.52</v>
      </c>
      <c r="CX70" s="1">
        <v>0</v>
      </c>
      <c r="CY70" s="1">
        <v>0</v>
      </c>
      <c r="CZ70" s="1">
        <v>0.3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1.3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3.92</v>
      </c>
      <c r="DO70" s="1">
        <v>172.48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8.93</v>
      </c>
      <c r="DX70" s="1">
        <v>2.93</v>
      </c>
      <c r="DY70" s="1">
        <v>1.1200000000000001</v>
      </c>
      <c r="DZ70" s="1">
        <v>0</v>
      </c>
      <c r="EA70" s="1">
        <v>0</v>
      </c>
      <c r="EB70" s="1">
        <v>0</v>
      </c>
      <c r="EC70" s="1">
        <v>0</v>
      </c>
      <c r="ED70" s="1">
        <v>49.99</v>
      </c>
      <c r="EE70" s="1">
        <v>9.59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</row>
    <row r="71" spans="1:154" x14ac:dyDescent="0.2">
      <c r="A71" s="12">
        <v>197</v>
      </c>
      <c r="B71" s="12">
        <v>1</v>
      </c>
      <c r="C71" s="13" t="s">
        <v>191</v>
      </c>
      <c r="D71" s="1">
        <f t="shared" si="3"/>
        <v>0</v>
      </c>
      <c r="E71" s="1"/>
      <c r="F71">
        <v>197</v>
      </c>
      <c r="G71">
        <v>1</v>
      </c>
      <c r="H71" t="s">
        <v>191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1.1200000000000001</v>
      </c>
      <c r="T71" s="1">
        <v>0</v>
      </c>
      <c r="U71" s="1">
        <v>14.99</v>
      </c>
      <c r="V71" s="1">
        <v>0</v>
      </c>
      <c r="W71" s="1">
        <v>0</v>
      </c>
      <c r="X71" s="1">
        <v>0.61</v>
      </c>
      <c r="Y71" s="1">
        <v>0</v>
      </c>
      <c r="Z71" s="1">
        <v>4.51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3.66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4.78</v>
      </c>
      <c r="BF71" s="1">
        <v>0</v>
      </c>
      <c r="BG71" s="1">
        <v>1.06</v>
      </c>
      <c r="BH71" s="1">
        <v>2.6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4.22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0.56000000000000005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47.48</v>
      </c>
      <c r="CD71" s="1">
        <v>12.26</v>
      </c>
      <c r="CE71" s="1">
        <v>0</v>
      </c>
      <c r="CF71" s="1">
        <v>0</v>
      </c>
      <c r="CG71" s="1">
        <v>0.14000000000000001</v>
      </c>
      <c r="CH71" s="1">
        <v>0</v>
      </c>
      <c r="CI71" s="1">
        <v>0</v>
      </c>
      <c r="CJ71" s="1">
        <v>1.3</v>
      </c>
      <c r="CK71" s="1">
        <v>0</v>
      </c>
      <c r="CL71" s="1">
        <v>0</v>
      </c>
      <c r="CM71" s="1">
        <v>0.81</v>
      </c>
      <c r="CN71" s="1">
        <v>1.48</v>
      </c>
      <c r="CO71" s="1">
        <v>0</v>
      </c>
      <c r="CP71" s="1">
        <v>0</v>
      </c>
      <c r="CQ71" s="1">
        <v>15.56</v>
      </c>
      <c r="CR71" s="1">
        <v>2.2400000000000002</v>
      </c>
      <c r="CS71" s="1">
        <v>0</v>
      </c>
      <c r="CT71" s="1">
        <v>0</v>
      </c>
      <c r="CU71" s="1">
        <v>0</v>
      </c>
      <c r="CV71" s="1">
        <v>0</v>
      </c>
      <c r="CW71" s="1">
        <v>23.12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2.8</v>
      </c>
      <c r="DO71" s="1">
        <v>9.24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0.53</v>
      </c>
      <c r="DV71" s="1">
        <v>0</v>
      </c>
      <c r="DW71" s="1">
        <v>0.28999999999999998</v>
      </c>
      <c r="DX71" s="1">
        <v>0</v>
      </c>
      <c r="DY71" s="1">
        <v>1.1200000000000001</v>
      </c>
      <c r="DZ71" s="1">
        <v>0</v>
      </c>
      <c r="EA71" s="1">
        <v>0</v>
      </c>
      <c r="EB71" s="1">
        <v>0</v>
      </c>
      <c r="EC71" s="1">
        <v>0</v>
      </c>
      <c r="ED71" s="1">
        <v>2.6</v>
      </c>
      <c r="EE71" s="1">
        <v>3.29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</row>
    <row r="72" spans="1:154" x14ac:dyDescent="0.2">
      <c r="A72" s="12">
        <v>199</v>
      </c>
      <c r="B72" s="12">
        <v>1</v>
      </c>
      <c r="C72" s="13" t="s">
        <v>192</v>
      </c>
      <c r="D72" s="1">
        <f t="shared" si="3"/>
        <v>0</v>
      </c>
      <c r="E72" s="1"/>
      <c r="F72">
        <v>199</v>
      </c>
      <c r="G72">
        <v>1</v>
      </c>
      <c r="H72" t="s">
        <v>192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1.4</v>
      </c>
      <c r="T72" s="1">
        <v>0</v>
      </c>
      <c r="U72" s="1">
        <v>4.9800000000000004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0.63</v>
      </c>
      <c r="AG72" s="1">
        <v>0</v>
      </c>
      <c r="AH72" s="1">
        <v>0</v>
      </c>
      <c r="AI72" s="1">
        <v>0</v>
      </c>
      <c r="AJ72" s="1">
        <v>0</v>
      </c>
      <c r="AK72" s="1">
        <v>1.1599999999999999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0.79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0.56000000000000005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0.91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1.38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1.68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1.4</v>
      </c>
      <c r="CD72" s="1">
        <v>20.41</v>
      </c>
      <c r="CE72" s="1">
        <v>0</v>
      </c>
      <c r="CF72" s="1">
        <v>0</v>
      </c>
      <c r="CG72" s="1">
        <v>1.29</v>
      </c>
      <c r="CH72" s="1">
        <v>0</v>
      </c>
      <c r="CI72" s="1">
        <v>0</v>
      </c>
      <c r="CJ72" s="1">
        <v>1.63</v>
      </c>
      <c r="CK72" s="1">
        <v>0</v>
      </c>
      <c r="CL72" s="1">
        <v>0</v>
      </c>
      <c r="CM72" s="1">
        <v>0</v>
      </c>
      <c r="CN72" s="1">
        <v>1.21</v>
      </c>
      <c r="CO72" s="1">
        <v>0</v>
      </c>
      <c r="CP72" s="1">
        <v>7.0000000000000007E-2</v>
      </c>
      <c r="CQ72" s="1">
        <v>0</v>
      </c>
      <c r="CR72" s="1">
        <v>1.68</v>
      </c>
      <c r="CS72" s="1">
        <v>0</v>
      </c>
      <c r="CT72" s="1">
        <v>0</v>
      </c>
      <c r="CU72" s="1">
        <v>0</v>
      </c>
      <c r="CV72" s="1">
        <v>0</v>
      </c>
      <c r="CW72" s="1">
        <v>4.3600000000000003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2.21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0.65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</row>
    <row r="73" spans="1:154" x14ac:dyDescent="0.2">
      <c r="A73" s="12">
        <v>200</v>
      </c>
      <c r="B73" s="12">
        <v>1</v>
      </c>
      <c r="C73" s="13" t="s">
        <v>193</v>
      </c>
      <c r="D73" s="1">
        <f t="shared" si="3"/>
        <v>0</v>
      </c>
      <c r="E73" s="1"/>
      <c r="F73">
        <v>200</v>
      </c>
      <c r="G73">
        <v>1</v>
      </c>
      <c r="H73" t="s">
        <v>193</v>
      </c>
      <c r="I73" s="1">
        <v>0</v>
      </c>
      <c r="J73" s="1">
        <v>0</v>
      </c>
      <c r="K73" s="1">
        <v>0.22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3.38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7.0000000000000007E-2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6.02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3.61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1.62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1.81</v>
      </c>
      <c r="CO73" s="1">
        <v>0</v>
      </c>
      <c r="CP73" s="1">
        <v>0</v>
      </c>
      <c r="CQ73" s="1">
        <v>2.6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1.1200000000000001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2.2999999999999998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</row>
    <row r="74" spans="1:154" x14ac:dyDescent="0.2">
      <c r="A74" s="12">
        <v>203</v>
      </c>
      <c r="B74" s="12">
        <v>1</v>
      </c>
      <c r="C74" s="13" t="s">
        <v>194</v>
      </c>
      <c r="D74" s="1">
        <f t="shared" si="3"/>
        <v>0</v>
      </c>
      <c r="E74" s="1"/>
      <c r="F74">
        <v>203</v>
      </c>
      <c r="G74">
        <v>1</v>
      </c>
      <c r="H74" t="s">
        <v>194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0.65</v>
      </c>
      <c r="AW74" s="1">
        <v>0</v>
      </c>
      <c r="AX74" s="1">
        <v>0</v>
      </c>
      <c r="AY74" s="1">
        <v>0</v>
      </c>
      <c r="AZ74" s="1">
        <v>1.3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0.22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</row>
    <row r="75" spans="1:154" x14ac:dyDescent="0.2">
      <c r="A75" s="12">
        <v>204</v>
      </c>
      <c r="B75" s="12">
        <v>1</v>
      </c>
      <c r="C75" s="13" t="s">
        <v>195</v>
      </c>
      <c r="D75" s="1">
        <f t="shared" ref="D75:D138" si="4">SUMIF(I$5:EX$5,Snumber,I75:EX75)</f>
        <v>0</v>
      </c>
      <c r="E75" s="1"/>
      <c r="F75">
        <v>204</v>
      </c>
      <c r="G75">
        <v>1</v>
      </c>
      <c r="H75" t="s">
        <v>195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1.63</v>
      </c>
      <c r="AW75" s="1">
        <v>0</v>
      </c>
      <c r="AX75" s="1">
        <v>0</v>
      </c>
      <c r="AY75" s="1">
        <v>0</v>
      </c>
      <c r="AZ75" s="1">
        <v>4.0199999999999996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0.33</v>
      </c>
      <c r="DY75" s="1">
        <v>0</v>
      </c>
      <c r="DZ75" s="1">
        <v>0</v>
      </c>
      <c r="EA75" s="1">
        <v>0.59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</row>
    <row r="76" spans="1:154" x14ac:dyDescent="0.2">
      <c r="A76" s="12">
        <v>206</v>
      </c>
      <c r="B76" s="12">
        <v>1</v>
      </c>
      <c r="C76" s="13" t="s">
        <v>196</v>
      </c>
      <c r="D76" s="1">
        <f t="shared" si="4"/>
        <v>0</v>
      </c>
      <c r="E76" s="1"/>
      <c r="F76">
        <v>206</v>
      </c>
      <c r="G76">
        <v>1</v>
      </c>
      <c r="H76" t="s">
        <v>196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2.63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39.130000000000003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</row>
    <row r="77" spans="1:154" x14ac:dyDescent="0.2">
      <c r="A77" s="12">
        <v>207</v>
      </c>
      <c r="B77" s="12">
        <v>1</v>
      </c>
      <c r="C77" s="13" t="s">
        <v>197</v>
      </c>
      <c r="D77" s="1">
        <f t="shared" si="4"/>
        <v>0</v>
      </c>
      <c r="E77" s="1"/>
      <c r="F77">
        <v>207</v>
      </c>
      <c r="G77">
        <v>1</v>
      </c>
      <c r="H77" t="s">
        <v>197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2.6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</row>
    <row r="78" spans="1:154" x14ac:dyDescent="0.2">
      <c r="A78" s="12">
        <v>208</v>
      </c>
      <c r="B78" s="12">
        <v>1</v>
      </c>
      <c r="C78" s="13" t="s">
        <v>198</v>
      </c>
      <c r="D78" s="1">
        <f t="shared" si="4"/>
        <v>0</v>
      </c>
      <c r="E78" s="1"/>
      <c r="F78">
        <v>208</v>
      </c>
      <c r="G78">
        <v>1</v>
      </c>
      <c r="H78" t="s">
        <v>198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</row>
    <row r="79" spans="1:154" x14ac:dyDescent="0.2">
      <c r="A79" s="12">
        <v>213</v>
      </c>
      <c r="B79" s="12">
        <v>1</v>
      </c>
      <c r="C79" s="13" t="s">
        <v>199</v>
      </c>
      <c r="D79" s="1">
        <f t="shared" si="4"/>
        <v>0</v>
      </c>
      <c r="E79" s="1"/>
      <c r="F79">
        <v>213</v>
      </c>
      <c r="G79">
        <v>1</v>
      </c>
      <c r="H79" t="s">
        <v>199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11.71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</row>
    <row r="80" spans="1:154" x14ac:dyDescent="0.2">
      <c r="A80" s="12">
        <v>227</v>
      </c>
      <c r="B80" s="12">
        <v>1</v>
      </c>
      <c r="C80" s="13" t="s">
        <v>200</v>
      </c>
      <c r="D80" s="1">
        <f t="shared" si="4"/>
        <v>0</v>
      </c>
      <c r="E80" s="1"/>
      <c r="F80">
        <v>227</v>
      </c>
      <c r="G80">
        <v>1</v>
      </c>
      <c r="H80" t="s">
        <v>200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1.56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2.36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</row>
    <row r="81" spans="1:154" x14ac:dyDescent="0.2">
      <c r="A81" s="12">
        <v>229</v>
      </c>
      <c r="B81" s="12">
        <v>1</v>
      </c>
      <c r="C81" s="13" t="s">
        <v>201</v>
      </c>
      <c r="D81" s="1">
        <f t="shared" si="4"/>
        <v>0</v>
      </c>
      <c r="E81" s="1"/>
      <c r="F81">
        <v>229</v>
      </c>
      <c r="G81">
        <v>1</v>
      </c>
      <c r="H81" t="s">
        <v>201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</row>
    <row r="82" spans="1:154" x14ac:dyDescent="0.2">
      <c r="A82" s="12">
        <v>238</v>
      </c>
      <c r="B82" s="12">
        <v>1</v>
      </c>
      <c r="C82" s="13" t="s">
        <v>202</v>
      </c>
      <c r="D82" s="1">
        <f t="shared" si="4"/>
        <v>0</v>
      </c>
      <c r="E82" s="1"/>
      <c r="F82">
        <v>238</v>
      </c>
      <c r="G82">
        <v>1</v>
      </c>
      <c r="H82" t="s">
        <v>202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</row>
    <row r="83" spans="1:154" x14ac:dyDescent="0.2">
      <c r="A83" s="12">
        <v>239</v>
      </c>
      <c r="B83" s="12">
        <v>1</v>
      </c>
      <c r="C83" s="13" t="s">
        <v>203</v>
      </c>
      <c r="D83" s="1">
        <f t="shared" si="4"/>
        <v>0</v>
      </c>
      <c r="E83" s="1"/>
      <c r="F83">
        <v>239</v>
      </c>
      <c r="G83">
        <v>1</v>
      </c>
      <c r="H83" t="s">
        <v>203</v>
      </c>
      <c r="I83" s="1">
        <v>0</v>
      </c>
      <c r="J83" s="1">
        <v>4.41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3.35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</row>
    <row r="84" spans="1:154" x14ac:dyDescent="0.2">
      <c r="A84" s="12">
        <v>241</v>
      </c>
      <c r="B84" s="12">
        <v>1</v>
      </c>
      <c r="C84" s="13" t="s">
        <v>204</v>
      </c>
      <c r="D84" s="1">
        <f t="shared" si="4"/>
        <v>0</v>
      </c>
      <c r="E84" s="1"/>
      <c r="F84">
        <v>241</v>
      </c>
      <c r="G84">
        <v>1</v>
      </c>
      <c r="H84" t="s">
        <v>204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0.35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0.53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</row>
    <row r="85" spans="1:154" x14ac:dyDescent="0.2">
      <c r="A85" s="12">
        <v>242</v>
      </c>
      <c r="B85" s="12">
        <v>1</v>
      </c>
      <c r="C85" s="13" t="s">
        <v>205</v>
      </c>
      <c r="D85" s="1">
        <f t="shared" si="4"/>
        <v>0</v>
      </c>
      <c r="E85" s="1"/>
      <c r="F85">
        <v>242</v>
      </c>
      <c r="G85">
        <v>1</v>
      </c>
      <c r="H85" t="s">
        <v>205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</row>
    <row r="86" spans="1:154" x14ac:dyDescent="0.2">
      <c r="A86" s="12">
        <v>252</v>
      </c>
      <c r="B86" s="12">
        <v>1</v>
      </c>
      <c r="C86" s="13" t="s">
        <v>206</v>
      </c>
      <c r="D86" s="1">
        <f t="shared" si="4"/>
        <v>0</v>
      </c>
      <c r="E86" s="1"/>
      <c r="F86">
        <v>252</v>
      </c>
      <c r="G86">
        <v>1</v>
      </c>
      <c r="H86" t="s">
        <v>206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1.68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1.27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5.72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2.08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</row>
    <row r="87" spans="1:154" x14ac:dyDescent="0.2">
      <c r="A87" s="12">
        <v>253</v>
      </c>
      <c r="B87" s="12">
        <v>1</v>
      </c>
      <c r="C87" s="13" t="s">
        <v>207</v>
      </c>
      <c r="D87" s="1">
        <f t="shared" si="4"/>
        <v>0</v>
      </c>
      <c r="E87" s="1"/>
      <c r="F87">
        <v>253</v>
      </c>
      <c r="G87">
        <v>1</v>
      </c>
      <c r="H87" t="s">
        <v>207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</row>
    <row r="88" spans="1:154" x14ac:dyDescent="0.2">
      <c r="A88" s="12">
        <v>255</v>
      </c>
      <c r="B88" s="12">
        <v>1</v>
      </c>
      <c r="C88" s="13" t="s">
        <v>208</v>
      </c>
      <c r="D88" s="1">
        <f t="shared" si="4"/>
        <v>0</v>
      </c>
      <c r="E88" s="1"/>
      <c r="F88">
        <v>255</v>
      </c>
      <c r="G88">
        <v>1</v>
      </c>
      <c r="H88" t="s">
        <v>208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3.06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2.72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</row>
    <row r="89" spans="1:154" x14ac:dyDescent="0.2">
      <c r="A89" s="12">
        <v>256</v>
      </c>
      <c r="B89" s="12">
        <v>1</v>
      </c>
      <c r="C89" s="13" t="s">
        <v>209</v>
      </c>
      <c r="D89" s="1">
        <f t="shared" si="4"/>
        <v>0</v>
      </c>
      <c r="E89" s="1"/>
      <c r="F89">
        <v>256</v>
      </c>
      <c r="G89">
        <v>1</v>
      </c>
      <c r="H89" t="s">
        <v>209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3.48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0.77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0.74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1.3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</row>
    <row r="90" spans="1:154" x14ac:dyDescent="0.2">
      <c r="A90" s="12">
        <v>261</v>
      </c>
      <c r="B90" s="12">
        <v>1</v>
      </c>
      <c r="C90" s="13" t="s">
        <v>210</v>
      </c>
      <c r="D90" s="1">
        <f t="shared" si="4"/>
        <v>0</v>
      </c>
      <c r="E90" s="1"/>
      <c r="F90">
        <v>261</v>
      </c>
      <c r="G90">
        <v>1</v>
      </c>
      <c r="H90" t="s">
        <v>210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</row>
    <row r="91" spans="1:154" x14ac:dyDescent="0.2">
      <c r="A91" s="12">
        <v>264</v>
      </c>
      <c r="B91" s="12">
        <v>1</v>
      </c>
      <c r="C91" s="13" t="s">
        <v>211</v>
      </c>
      <c r="D91" s="1">
        <f t="shared" si="4"/>
        <v>0</v>
      </c>
      <c r="E91" s="1"/>
      <c r="F91">
        <v>264</v>
      </c>
      <c r="G91">
        <v>1</v>
      </c>
      <c r="H91" t="s">
        <v>211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</row>
    <row r="92" spans="1:154" x14ac:dyDescent="0.2">
      <c r="A92" s="12">
        <v>270</v>
      </c>
      <c r="B92" s="12">
        <v>1</v>
      </c>
      <c r="C92" s="13" t="s">
        <v>212</v>
      </c>
      <c r="D92" s="1">
        <f t="shared" si="4"/>
        <v>0</v>
      </c>
      <c r="E92" s="1"/>
      <c r="F92">
        <v>270</v>
      </c>
      <c r="G92">
        <v>1</v>
      </c>
      <c r="H92" t="s">
        <v>212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2.6</v>
      </c>
      <c r="O92" s="1">
        <v>0</v>
      </c>
      <c r="P92" s="1">
        <v>0</v>
      </c>
      <c r="Q92" s="1">
        <v>0.38</v>
      </c>
      <c r="R92" s="1">
        <v>0</v>
      </c>
      <c r="S92" s="1">
        <v>0</v>
      </c>
      <c r="T92" s="1">
        <v>1.3</v>
      </c>
      <c r="U92" s="1">
        <v>4.97</v>
      </c>
      <c r="V92" s="1">
        <v>0</v>
      </c>
      <c r="W92" s="1">
        <v>0</v>
      </c>
      <c r="X92" s="1">
        <v>0.65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1.3</v>
      </c>
      <c r="AE92" s="1">
        <v>0</v>
      </c>
      <c r="AF92" s="1">
        <v>0</v>
      </c>
      <c r="AG92" s="1">
        <v>0</v>
      </c>
      <c r="AH92" s="1">
        <v>0</v>
      </c>
      <c r="AI92" s="1">
        <v>1.29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5.57</v>
      </c>
      <c r="BK92" s="1">
        <v>1.3</v>
      </c>
      <c r="BL92" s="1">
        <v>0</v>
      </c>
      <c r="BM92" s="1">
        <v>0</v>
      </c>
      <c r="BN92" s="1">
        <v>0</v>
      </c>
      <c r="BO92" s="1">
        <v>4.3899999999999997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0.51</v>
      </c>
      <c r="BW92" s="1">
        <v>0</v>
      </c>
      <c r="BX92" s="1">
        <v>0</v>
      </c>
      <c r="BY92" s="1">
        <v>1.82</v>
      </c>
      <c r="BZ92" s="1">
        <v>0</v>
      </c>
      <c r="CA92" s="1">
        <v>0</v>
      </c>
      <c r="CB92" s="1">
        <v>0</v>
      </c>
      <c r="CC92" s="1">
        <v>0</v>
      </c>
      <c r="CD92" s="1">
        <v>0.56000000000000005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5.21</v>
      </c>
      <c r="CO92" s="1">
        <v>52.5</v>
      </c>
      <c r="CP92" s="1">
        <v>0</v>
      </c>
      <c r="CQ92" s="1">
        <v>1.29</v>
      </c>
      <c r="CR92" s="1">
        <v>1.1200000000000001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1.3</v>
      </c>
      <c r="CZ92" s="1">
        <v>32.04</v>
      </c>
      <c r="DA92" s="1">
        <v>0</v>
      </c>
      <c r="DB92" s="1">
        <v>9.1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2.12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1.3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1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</row>
    <row r="93" spans="1:154" x14ac:dyDescent="0.2">
      <c r="A93" s="12">
        <v>271</v>
      </c>
      <c r="B93" s="12">
        <v>1</v>
      </c>
      <c r="C93" s="13" t="s">
        <v>213</v>
      </c>
      <c r="D93" s="1">
        <f t="shared" si="4"/>
        <v>0</v>
      </c>
      <c r="E93" s="1"/>
      <c r="F93">
        <v>271</v>
      </c>
      <c r="G93">
        <v>1</v>
      </c>
      <c r="H93" t="s">
        <v>213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0.61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8.18</v>
      </c>
      <c r="V93" s="1">
        <v>0</v>
      </c>
      <c r="W93" s="1">
        <v>0</v>
      </c>
      <c r="X93" s="1">
        <v>2.36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2.92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2.8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6.35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6.97</v>
      </c>
      <c r="BZ93" s="1">
        <v>0</v>
      </c>
      <c r="CA93" s="1">
        <v>0</v>
      </c>
      <c r="CB93" s="1">
        <v>27.98</v>
      </c>
      <c r="CC93" s="1">
        <v>6.6</v>
      </c>
      <c r="CD93" s="1">
        <v>14.11</v>
      </c>
      <c r="CE93" s="1">
        <v>0</v>
      </c>
      <c r="CF93" s="1">
        <v>0</v>
      </c>
      <c r="CG93" s="1">
        <v>5.0599999999999996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8.8699999999999992</v>
      </c>
      <c r="CO93" s="1">
        <v>2.41</v>
      </c>
      <c r="CP93" s="1">
        <v>1.3</v>
      </c>
      <c r="CQ93" s="1">
        <v>2.37</v>
      </c>
      <c r="CR93" s="1">
        <v>2.36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39.700000000000003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0.23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0.55000000000000004</v>
      </c>
      <c r="DO93" s="1">
        <v>0.11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1.31</v>
      </c>
      <c r="DX93" s="1">
        <v>1.3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2.61</v>
      </c>
      <c r="EE93" s="1">
        <v>78.64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</row>
    <row r="94" spans="1:154" x14ac:dyDescent="0.2">
      <c r="A94" s="12">
        <v>272</v>
      </c>
      <c r="B94" s="12">
        <v>1</v>
      </c>
      <c r="C94" s="13" t="s">
        <v>214</v>
      </c>
      <c r="D94" s="1">
        <f t="shared" si="4"/>
        <v>0</v>
      </c>
      <c r="E94" s="1"/>
      <c r="F94">
        <v>272</v>
      </c>
      <c r="G94">
        <v>1</v>
      </c>
      <c r="H94" t="s">
        <v>214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4.3600000000000003</v>
      </c>
      <c r="U94" s="1">
        <v>4.2300000000000004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1.3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1.64</v>
      </c>
      <c r="BI94" s="1">
        <v>0</v>
      </c>
      <c r="BJ94" s="1">
        <v>1.06</v>
      </c>
      <c r="BK94" s="1">
        <v>3.9</v>
      </c>
      <c r="BL94" s="1">
        <v>0</v>
      </c>
      <c r="BM94" s="1">
        <v>0</v>
      </c>
      <c r="BN94" s="1">
        <v>0</v>
      </c>
      <c r="BO94" s="1">
        <v>5.52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1.1000000000000001</v>
      </c>
      <c r="BZ94" s="1">
        <v>0</v>
      </c>
      <c r="CA94" s="1">
        <v>0</v>
      </c>
      <c r="CB94" s="1">
        <v>1.06</v>
      </c>
      <c r="CC94" s="1">
        <v>0</v>
      </c>
      <c r="CD94" s="1">
        <v>13.67</v>
      </c>
      <c r="CE94" s="1">
        <v>0</v>
      </c>
      <c r="CF94" s="1">
        <v>0</v>
      </c>
      <c r="CG94" s="1">
        <v>0</v>
      </c>
      <c r="CH94" s="1">
        <v>0</v>
      </c>
      <c r="CI94" s="1">
        <v>0.21</v>
      </c>
      <c r="CJ94" s="1">
        <v>0</v>
      </c>
      <c r="CK94" s="1">
        <v>0</v>
      </c>
      <c r="CL94" s="1">
        <v>0</v>
      </c>
      <c r="CM94" s="1">
        <v>0</v>
      </c>
      <c r="CN94" s="1">
        <v>8.15</v>
      </c>
      <c r="CO94" s="1">
        <v>9.4499999999999993</v>
      </c>
      <c r="CP94" s="1">
        <v>0</v>
      </c>
      <c r="CQ94" s="1">
        <v>1.63</v>
      </c>
      <c r="CR94" s="1">
        <v>1.1200000000000001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2.59</v>
      </c>
      <c r="CZ94" s="1">
        <v>50.7</v>
      </c>
      <c r="DA94" s="1">
        <v>0</v>
      </c>
      <c r="DB94" s="1">
        <v>1.69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0.73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1.28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</row>
    <row r="95" spans="1:154" x14ac:dyDescent="0.2">
      <c r="A95" s="12">
        <v>273</v>
      </c>
      <c r="B95" s="12">
        <v>1</v>
      </c>
      <c r="C95" s="13" t="s">
        <v>215</v>
      </c>
      <c r="D95" s="1">
        <f t="shared" si="4"/>
        <v>0</v>
      </c>
      <c r="E95" s="1"/>
      <c r="F95">
        <v>273</v>
      </c>
      <c r="G95">
        <v>1</v>
      </c>
      <c r="H95" t="s">
        <v>215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1.1200000000000001</v>
      </c>
      <c r="U95" s="1">
        <v>1.96</v>
      </c>
      <c r="V95" s="1">
        <v>0</v>
      </c>
      <c r="W95" s="1">
        <v>0</v>
      </c>
      <c r="X95" s="1">
        <v>2.36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2.09</v>
      </c>
      <c r="BK95" s="1">
        <v>2.6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4.28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11.12</v>
      </c>
      <c r="CO95" s="1">
        <v>3.44</v>
      </c>
      <c r="CP95" s="1">
        <v>0.14000000000000001</v>
      </c>
      <c r="CQ95" s="1">
        <v>4.78</v>
      </c>
      <c r="CR95" s="1">
        <v>1.1200000000000001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1.56</v>
      </c>
      <c r="CZ95" s="1">
        <v>20.76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</row>
    <row r="96" spans="1:154" x14ac:dyDescent="0.2">
      <c r="A96" s="12">
        <v>276</v>
      </c>
      <c r="B96" s="12">
        <v>1</v>
      </c>
      <c r="C96" s="13" t="s">
        <v>216</v>
      </c>
      <c r="D96" s="1">
        <f t="shared" si="4"/>
        <v>0</v>
      </c>
      <c r="E96" s="1"/>
      <c r="F96">
        <v>276</v>
      </c>
      <c r="G96">
        <v>1</v>
      </c>
      <c r="H96" t="s">
        <v>216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5.89</v>
      </c>
      <c r="U96" s="1">
        <v>8.92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0.56000000000000005</v>
      </c>
      <c r="AI96" s="1">
        <v>1.24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0.76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2.31</v>
      </c>
      <c r="BZ96" s="1">
        <v>0</v>
      </c>
      <c r="CA96" s="1">
        <v>0</v>
      </c>
      <c r="CB96" s="1">
        <v>0</v>
      </c>
      <c r="CC96" s="1">
        <v>1.2</v>
      </c>
      <c r="CD96" s="1">
        <v>0</v>
      </c>
      <c r="CE96" s="1">
        <v>0</v>
      </c>
      <c r="CF96" s="1">
        <v>0</v>
      </c>
      <c r="CG96" s="1">
        <v>0.05</v>
      </c>
      <c r="CH96" s="1">
        <v>0</v>
      </c>
      <c r="CI96" s="1">
        <v>0</v>
      </c>
      <c r="CJ96" s="1">
        <v>1.3</v>
      </c>
      <c r="CK96" s="1">
        <v>0</v>
      </c>
      <c r="CL96" s="1">
        <v>0</v>
      </c>
      <c r="CM96" s="1">
        <v>0</v>
      </c>
      <c r="CN96" s="1">
        <v>3.5</v>
      </c>
      <c r="CO96" s="1">
        <v>32.090000000000003</v>
      </c>
      <c r="CP96" s="1">
        <v>0</v>
      </c>
      <c r="CQ96" s="1">
        <v>1.81</v>
      </c>
      <c r="CR96" s="1">
        <v>0.52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0.52</v>
      </c>
      <c r="CZ96" s="1">
        <v>13.72</v>
      </c>
      <c r="DA96" s="1">
        <v>0</v>
      </c>
      <c r="DB96" s="1">
        <v>1.62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0.56000000000000005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</row>
    <row r="97" spans="1:154" x14ac:dyDescent="0.2">
      <c r="A97" s="12">
        <v>277</v>
      </c>
      <c r="B97" s="12">
        <v>1</v>
      </c>
      <c r="C97" s="13" t="s">
        <v>217</v>
      </c>
      <c r="D97" s="1">
        <f t="shared" si="4"/>
        <v>0</v>
      </c>
      <c r="E97" s="1"/>
      <c r="F97">
        <v>277</v>
      </c>
      <c r="G97">
        <v>1</v>
      </c>
      <c r="H97" t="s">
        <v>217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3.46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0.56000000000000005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2.6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2.0699999999999998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0.92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0.42</v>
      </c>
      <c r="CO97" s="1">
        <v>1.29</v>
      </c>
      <c r="CP97" s="1">
        <v>0</v>
      </c>
      <c r="CQ97" s="1">
        <v>1.3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0.79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</row>
    <row r="98" spans="1:154" x14ac:dyDescent="0.2">
      <c r="A98" s="12">
        <v>278</v>
      </c>
      <c r="B98" s="12">
        <v>1</v>
      </c>
      <c r="C98" s="13" t="s">
        <v>218</v>
      </c>
      <c r="D98" s="1">
        <f t="shared" si="4"/>
        <v>0</v>
      </c>
      <c r="E98" s="1"/>
      <c r="F98">
        <v>278</v>
      </c>
      <c r="G98">
        <v>1</v>
      </c>
      <c r="H98" t="s">
        <v>218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2.87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0.88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1.31</v>
      </c>
      <c r="CO98" s="1">
        <v>1.3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1.06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1.1200000000000001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</row>
    <row r="99" spans="1:154" x14ac:dyDescent="0.2">
      <c r="A99" s="12">
        <v>279</v>
      </c>
      <c r="B99" s="12">
        <v>1</v>
      </c>
      <c r="C99" s="13" t="s">
        <v>219</v>
      </c>
      <c r="D99" s="1">
        <f t="shared" si="4"/>
        <v>0</v>
      </c>
      <c r="E99" s="1"/>
      <c r="F99">
        <v>279</v>
      </c>
      <c r="G99">
        <v>1</v>
      </c>
      <c r="H99" t="s">
        <v>219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15.84</v>
      </c>
      <c r="Q99" s="1">
        <v>2.13</v>
      </c>
      <c r="R99" s="1">
        <v>0</v>
      </c>
      <c r="S99" s="1">
        <v>2.98</v>
      </c>
      <c r="T99" s="1">
        <v>0</v>
      </c>
      <c r="U99" s="1">
        <v>29.17</v>
      </c>
      <c r="V99" s="1">
        <v>1.06</v>
      </c>
      <c r="W99" s="1">
        <v>0</v>
      </c>
      <c r="X99" s="1">
        <v>6.02</v>
      </c>
      <c r="Y99" s="1">
        <v>0</v>
      </c>
      <c r="Z99" s="1">
        <v>0</v>
      </c>
      <c r="AA99" s="1">
        <v>0</v>
      </c>
      <c r="AB99" s="1">
        <v>1.1200000000000001</v>
      </c>
      <c r="AC99" s="1">
        <v>126</v>
      </c>
      <c r="AD99" s="1">
        <v>0</v>
      </c>
      <c r="AE99" s="1">
        <v>0</v>
      </c>
      <c r="AF99" s="1">
        <v>0</v>
      </c>
      <c r="AG99" s="1">
        <v>0</v>
      </c>
      <c r="AH99" s="1">
        <v>6.88</v>
      </c>
      <c r="AI99" s="1">
        <v>6.17</v>
      </c>
      <c r="AJ99" s="1">
        <v>0</v>
      </c>
      <c r="AK99" s="1">
        <v>0</v>
      </c>
      <c r="AL99" s="1">
        <v>1.04</v>
      </c>
      <c r="AM99" s="1">
        <v>0</v>
      </c>
      <c r="AN99" s="1">
        <v>0</v>
      </c>
      <c r="AO99" s="1">
        <v>0</v>
      </c>
      <c r="AP99" s="1">
        <v>14.97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3.3</v>
      </c>
      <c r="BD99" s="1">
        <v>143.47999999999999</v>
      </c>
      <c r="BE99" s="1">
        <v>0</v>
      </c>
      <c r="BF99" s="1">
        <v>0</v>
      </c>
      <c r="BG99" s="1">
        <v>0</v>
      </c>
      <c r="BH99" s="1">
        <v>13</v>
      </c>
      <c r="BI99" s="1">
        <v>0</v>
      </c>
      <c r="BJ99" s="1">
        <v>17.36</v>
      </c>
      <c r="BK99" s="1">
        <v>6.81</v>
      </c>
      <c r="BL99" s="1">
        <v>0</v>
      </c>
      <c r="BM99" s="1">
        <v>0</v>
      </c>
      <c r="BN99" s="1">
        <v>0</v>
      </c>
      <c r="BO99" s="1">
        <v>4.66</v>
      </c>
      <c r="BP99" s="1">
        <v>0</v>
      </c>
      <c r="BQ99" s="1">
        <v>0</v>
      </c>
      <c r="BR99" s="1">
        <v>0</v>
      </c>
      <c r="BS99" s="1">
        <v>13.57</v>
      </c>
      <c r="BT99" s="1">
        <v>70.55</v>
      </c>
      <c r="BU99" s="1">
        <v>0</v>
      </c>
      <c r="BV99" s="1">
        <v>0</v>
      </c>
      <c r="BW99" s="1">
        <v>0</v>
      </c>
      <c r="BX99" s="1">
        <v>0</v>
      </c>
      <c r="BY99" s="1">
        <v>1.3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7.49</v>
      </c>
      <c r="CH99" s="1">
        <v>51.67</v>
      </c>
      <c r="CI99" s="1">
        <v>4.37</v>
      </c>
      <c r="CJ99" s="1">
        <v>0</v>
      </c>
      <c r="CK99" s="1">
        <v>0</v>
      </c>
      <c r="CL99" s="1">
        <v>0</v>
      </c>
      <c r="CM99" s="1">
        <v>0</v>
      </c>
      <c r="CN99" s="1">
        <v>3.5</v>
      </c>
      <c r="CO99" s="1">
        <v>3.9</v>
      </c>
      <c r="CP99" s="1">
        <v>3.11</v>
      </c>
      <c r="CQ99" s="1">
        <v>4.38</v>
      </c>
      <c r="CR99" s="1">
        <v>0.61</v>
      </c>
      <c r="CS99" s="1">
        <v>13.17</v>
      </c>
      <c r="CT99" s="1">
        <v>0</v>
      </c>
      <c r="CU99" s="1">
        <v>0</v>
      </c>
      <c r="CV99" s="1">
        <v>1.3</v>
      </c>
      <c r="CW99" s="1">
        <v>0</v>
      </c>
      <c r="CX99" s="1">
        <v>0</v>
      </c>
      <c r="CY99" s="1">
        <v>6.12</v>
      </c>
      <c r="CZ99" s="1">
        <v>0</v>
      </c>
      <c r="DA99" s="1">
        <v>0</v>
      </c>
      <c r="DB99" s="1">
        <v>56.34</v>
      </c>
      <c r="DC99" s="1">
        <v>0</v>
      </c>
      <c r="DD99" s="1">
        <v>0</v>
      </c>
      <c r="DE99" s="1">
        <v>0</v>
      </c>
      <c r="DF99" s="1">
        <v>1.35</v>
      </c>
      <c r="DG99" s="1">
        <v>1.21</v>
      </c>
      <c r="DH99" s="1">
        <v>5.79</v>
      </c>
      <c r="DI99" s="1">
        <v>0</v>
      </c>
      <c r="DJ99" s="1">
        <v>0.4</v>
      </c>
      <c r="DK99" s="1">
        <v>1.1200000000000001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49.78</v>
      </c>
      <c r="DR99" s="1">
        <v>0</v>
      </c>
      <c r="DS99" s="1">
        <v>0</v>
      </c>
      <c r="DT99" s="1">
        <v>0</v>
      </c>
      <c r="DU99" s="1">
        <v>13.49</v>
      </c>
      <c r="DV99" s="1">
        <v>0</v>
      </c>
      <c r="DW99" s="1">
        <v>2.2400000000000002</v>
      </c>
      <c r="DX99" s="1">
        <v>0</v>
      </c>
      <c r="DY99" s="1">
        <v>3.35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0.34</v>
      </c>
      <c r="EJ99" s="1">
        <v>1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1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</row>
    <row r="100" spans="1:154" x14ac:dyDescent="0.2">
      <c r="A100" s="12">
        <v>280</v>
      </c>
      <c r="B100" s="12">
        <v>1</v>
      </c>
      <c r="C100" s="13" t="s">
        <v>220</v>
      </c>
      <c r="D100" s="1">
        <f t="shared" si="4"/>
        <v>0</v>
      </c>
      <c r="E100" s="1"/>
      <c r="F100">
        <v>280</v>
      </c>
      <c r="G100">
        <v>1</v>
      </c>
      <c r="H100" t="s">
        <v>220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1.2</v>
      </c>
      <c r="O100" s="1">
        <v>0</v>
      </c>
      <c r="P100" s="1">
        <v>0</v>
      </c>
      <c r="Q100" s="1">
        <v>1.06</v>
      </c>
      <c r="R100" s="1">
        <v>0</v>
      </c>
      <c r="S100" s="1">
        <v>0</v>
      </c>
      <c r="T100" s="1">
        <v>0</v>
      </c>
      <c r="U100" s="1">
        <v>6.86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0.96</v>
      </c>
      <c r="AJ100" s="1">
        <v>0</v>
      </c>
      <c r="AK100" s="1">
        <v>0</v>
      </c>
      <c r="AL100" s="1">
        <v>4.78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1.2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4.91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4.8499999999999996</v>
      </c>
      <c r="BP100" s="1">
        <v>0</v>
      </c>
      <c r="BQ100" s="1">
        <v>0</v>
      </c>
      <c r="BR100" s="1">
        <v>0</v>
      </c>
      <c r="BS100" s="1">
        <v>2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2.6</v>
      </c>
      <c r="BZ100" s="1">
        <v>0</v>
      </c>
      <c r="CA100" s="1">
        <v>0</v>
      </c>
      <c r="CB100" s="1">
        <v>134.84</v>
      </c>
      <c r="CC100" s="1">
        <v>11.81</v>
      </c>
      <c r="CD100" s="1">
        <v>0</v>
      </c>
      <c r="CE100" s="1">
        <v>0</v>
      </c>
      <c r="CF100" s="1">
        <v>0</v>
      </c>
      <c r="CG100" s="1">
        <v>5.0999999999999996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3.9</v>
      </c>
      <c r="CO100" s="1">
        <v>3.43</v>
      </c>
      <c r="CP100" s="1">
        <v>1.3</v>
      </c>
      <c r="CQ100" s="1">
        <v>0</v>
      </c>
      <c r="CR100" s="1">
        <v>4.47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7.0000000000000007E-2</v>
      </c>
      <c r="CZ100" s="1">
        <v>25.52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0.31</v>
      </c>
      <c r="EE100" s="1">
        <v>84.35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</row>
    <row r="101" spans="1:154" x14ac:dyDescent="0.2">
      <c r="A101" s="12">
        <v>281</v>
      </c>
      <c r="B101" s="12">
        <v>1</v>
      </c>
      <c r="C101" s="13" t="s">
        <v>221</v>
      </c>
      <c r="D101" s="1">
        <f t="shared" si="4"/>
        <v>0</v>
      </c>
      <c r="E101" s="1"/>
      <c r="F101">
        <v>281</v>
      </c>
      <c r="G101">
        <v>1</v>
      </c>
      <c r="H101" t="s">
        <v>221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2.52</v>
      </c>
      <c r="O101" s="1">
        <v>0</v>
      </c>
      <c r="P101" s="1">
        <v>0</v>
      </c>
      <c r="Q101" s="1">
        <v>4.34</v>
      </c>
      <c r="R101" s="1">
        <v>0</v>
      </c>
      <c r="S101" s="1">
        <v>0</v>
      </c>
      <c r="T101" s="1">
        <v>0</v>
      </c>
      <c r="U101" s="1">
        <v>21.78</v>
      </c>
      <c r="V101" s="1">
        <v>0</v>
      </c>
      <c r="W101" s="1">
        <v>0</v>
      </c>
      <c r="X101" s="1">
        <v>2.6</v>
      </c>
      <c r="Y101" s="1">
        <v>0</v>
      </c>
      <c r="Z101" s="1">
        <v>1.1000000000000001</v>
      </c>
      <c r="AA101" s="1">
        <v>0</v>
      </c>
      <c r="AB101" s="1">
        <v>0</v>
      </c>
      <c r="AC101" s="1">
        <v>15.64</v>
      </c>
      <c r="AD101" s="1">
        <v>0</v>
      </c>
      <c r="AE101" s="1">
        <v>0</v>
      </c>
      <c r="AF101" s="1">
        <v>0</v>
      </c>
      <c r="AG101" s="1">
        <v>0</v>
      </c>
      <c r="AH101" s="1">
        <v>5.81</v>
      </c>
      <c r="AI101" s="1">
        <v>6.76</v>
      </c>
      <c r="AJ101" s="1">
        <v>0</v>
      </c>
      <c r="AK101" s="1">
        <v>0</v>
      </c>
      <c r="AL101" s="1">
        <v>0.39</v>
      </c>
      <c r="AM101" s="1">
        <v>0</v>
      </c>
      <c r="AN101" s="1">
        <v>0</v>
      </c>
      <c r="AO101" s="1">
        <v>0</v>
      </c>
      <c r="AP101" s="1">
        <v>0.49</v>
      </c>
      <c r="AQ101" s="1">
        <v>0</v>
      </c>
      <c r="AR101" s="1">
        <v>1.51</v>
      </c>
      <c r="AS101" s="1">
        <v>0</v>
      </c>
      <c r="AT101" s="1">
        <v>0</v>
      </c>
      <c r="AU101" s="1">
        <v>0</v>
      </c>
      <c r="AV101" s="1">
        <v>0</v>
      </c>
      <c r="AW101" s="1">
        <v>2.87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23.21</v>
      </c>
      <c r="BE101" s="1">
        <v>0</v>
      </c>
      <c r="BF101" s="1">
        <v>0</v>
      </c>
      <c r="BG101" s="1">
        <v>0</v>
      </c>
      <c r="BH101" s="1">
        <v>0</v>
      </c>
      <c r="BI101" s="1">
        <v>1.57</v>
      </c>
      <c r="BJ101" s="1">
        <v>4.46</v>
      </c>
      <c r="BK101" s="1">
        <v>4.72</v>
      </c>
      <c r="BL101" s="1">
        <v>0</v>
      </c>
      <c r="BM101" s="1">
        <v>0</v>
      </c>
      <c r="BN101" s="1">
        <v>0</v>
      </c>
      <c r="BO101" s="1">
        <v>9.5299999999999994</v>
      </c>
      <c r="BP101" s="1">
        <v>0</v>
      </c>
      <c r="BQ101" s="1">
        <v>0</v>
      </c>
      <c r="BR101" s="1">
        <v>0</v>
      </c>
      <c r="BS101" s="1">
        <v>25.45</v>
      </c>
      <c r="BT101" s="1">
        <v>4.0199999999999996</v>
      </c>
      <c r="BU101" s="1">
        <v>0</v>
      </c>
      <c r="BV101" s="1">
        <v>0</v>
      </c>
      <c r="BW101" s="1">
        <v>0</v>
      </c>
      <c r="BX101" s="1">
        <v>0</v>
      </c>
      <c r="BY101" s="1">
        <v>4.41</v>
      </c>
      <c r="BZ101" s="1">
        <v>0</v>
      </c>
      <c r="CA101" s="1">
        <v>1.08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10.47</v>
      </c>
      <c r="CH101" s="1">
        <v>13</v>
      </c>
      <c r="CI101" s="1">
        <v>1.3</v>
      </c>
      <c r="CJ101" s="1">
        <v>0</v>
      </c>
      <c r="CK101" s="1">
        <v>0</v>
      </c>
      <c r="CL101" s="1">
        <v>0</v>
      </c>
      <c r="CM101" s="1">
        <v>0</v>
      </c>
      <c r="CN101" s="1">
        <v>8.64</v>
      </c>
      <c r="CO101" s="1">
        <v>26.71</v>
      </c>
      <c r="CP101" s="1">
        <v>0</v>
      </c>
      <c r="CQ101" s="1">
        <v>7.67</v>
      </c>
      <c r="CR101" s="1">
        <v>4.41</v>
      </c>
      <c r="CS101" s="1">
        <v>4.8899999999999997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1.1399999999999999</v>
      </c>
      <c r="CZ101" s="1">
        <v>6.26</v>
      </c>
      <c r="DA101" s="1">
        <v>0</v>
      </c>
      <c r="DB101" s="1">
        <v>106.39</v>
      </c>
      <c r="DC101" s="1">
        <v>0</v>
      </c>
      <c r="DD101" s="1">
        <v>0</v>
      </c>
      <c r="DE101" s="1">
        <v>0</v>
      </c>
      <c r="DF101" s="1">
        <v>0.52</v>
      </c>
      <c r="DG101" s="1">
        <v>0</v>
      </c>
      <c r="DH101" s="1">
        <v>8.98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5.52</v>
      </c>
      <c r="DR101" s="1">
        <v>0</v>
      </c>
      <c r="DS101" s="1">
        <v>0</v>
      </c>
      <c r="DT101" s="1">
        <v>0</v>
      </c>
      <c r="DU101" s="1">
        <v>0.56999999999999995</v>
      </c>
      <c r="DV101" s="1">
        <v>0</v>
      </c>
      <c r="DW101" s="1">
        <v>1.95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0.42</v>
      </c>
      <c r="ED101" s="1">
        <v>0</v>
      </c>
      <c r="EE101" s="1">
        <v>3.3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</row>
    <row r="102" spans="1:154" x14ac:dyDescent="0.2">
      <c r="A102" s="12">
        <v>282</v>
      </c>
      <c r="B102" s="12">
        <v>1</v>
      </c>
      <c r="C102" s="13" t="s">
        <v>222</v>
      </c>
      <c r="D102" s="1">
        <f t="shared" si="4"/>
        <v>0</v>
      </c>
      <c r="E102" s="1"/>
      <c r="F102">
        <v>282</v>
      </c>
      <c r="G102">
        <v>1</v>
      </c>
      <c r="H102" t="s">
        <v>222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1.3</v>
      </c>
      <c r="V102" s="1">
        <v>0</v>
      </c>
      <c r="W102" s="1">
        <v>0</v>
      </c>
      <c r="X102" s="1">
        <v>0</v>
      </c>
      <c r="Y102" s="1">
        <v>0</v>
      </c>
      <c r="Z102" s="1">
        <v>1.3</v>
      </c>
      <c r="AA102" s="1">
        <v>0</v>
      </c>
      <c r="AB102" s="1">
        <v>0</v>
      </c>
      <c r="AC102" s="1">
        <v>1.68</v>
      </c>
      <c r="AD102" s="1">
        <v>0</v>
      </c>
      <c r="AE102" s="1">
        <v>0</v>
      </c>
      <c r="AF102" s="1">
        <v>0</v>
      </c>
      <c r="AG102" s="1">
        <v>0</v>
      </c>
      <c r="AH102" s="1">
        <v>0.91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6.5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1.35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0.14000000000000001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3.71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1.3</v>
      </c>
      <c r="CQ102" s="1">
        <v>0</v>
      </c>
      <c r="CR102" s="1">
        <v>0</v>
      </c>
      <c r="CS102" s="1">
        <v>0.28999999999999998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4.4800000000000004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</row>
    <row r="103" spans="1:154" x14ac:dyDescent="0.2">
      <c r="A103" s="12">
        <v>283</v>
      </c>
      <c r="B103" s="12">
        <v>1</v>
      </c>
      <c r="C103" s="13" t="s">
        <v>223</v>
      </c>
      <c r="D103" s="1">
        <f t="shared" si="4"/>
        <v>0</v>
      </c>
      <c r="E103" s="1"/>
      <c r="F103">
        <v>283</v>
      </c>
      <c r="G103">
        <v>1</v>
      </c>
      <c r="H103" t="s">
        <v>223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2.04</v>
      </c>
      <c r="R103" s="1">
        <v>0</v>
      </c>
      <c r="S103" s="1">
        <v>0</v>
      </c>
      <c r="T103" s="1">
        <v>0</v>
      </c>
      <c r="U103" s="1">
        <v>7.6</v>
      </c>
      <c r="V103" s="1">
        <v>0</v>
      </c>
      <c r="W103" s="1">
        <v>0</v>
      </c>
      <c r="X103" s="1">
        <v>1.3</v>
      </c>
      <c r="Y103" s="1">
        <v>0</v>
      </c>
      <c r="Z103" s="1">
        <v>0.26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1.62</v>
      </c>
      <c r="AI103" s="1">
        <v>0</v>
      </c>
      <c r="AJ103" s="1">
        <v>0</v>
      </c>
      <c r="AK103" s="1">
        <v>0</v>
      </c>
      <c r="AL103" s="1">
        <v>0.31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3.09</v>
      </c>
      <c r="AS103" s="1">
        <v>0</v>
      </c>
      <c r="AT103" s="1">
        <v>0</v>
      </c>
      <c r="AU103" s="1">
        <v>0</v>
      </c>
      <c r="AV103" s="1">
        <v>0</v>
      </c>
      <c r="AW103" s="1">
        <v>2.4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1.06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9.8699999999999992</v>
      </c>
      <c r="BK103" s="1">
        <v>10.75</v>
      </c>
      <c r="BL103" s="1">
        <v>0</v>
      </c>
      <c r="BM103" s="1">
        <v>0</v>
      </c>
      <c r="BN103" s="1">
        <v>0</v>
      </c>
      <c r="BO103" s="1">
        <v>5.28</v>
      </c>
      <c r="BP103" s="1">
        <v>0</v>
      </c>
      <c r="BQ103" s="1">
        <v>0</v>
      </c>
      <c r="BR103" s="1">
        <v>0</v>
      </c>
      <c r="BS103" s="1">
        <v>0.56000000000000005</v>
      </c>
      <c r="BT103" s="1">
        <v>0</v>
      </c>
      <c r="BU103" s="1">
        <v>0.42</v>
      </c>
      <c r="BV103" s="1">
        <v>0</v>
      </c>
      <c r="BW103" s="1">
        <v>0</v>
      </c>
      <c r="BX103" s="1">
        <v>0</v>
      </c>
      <c r="BY103" s="1">
        <v>5.2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0.95</v>
      </c>
      <c r="CH103" s="1">
        <v>0</v>
      </c>
      <c r="CI103" s="1">
        <v>1.74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18.59</v>
      </c>
      <c r="CP103" s="1">
        <v>0</v>
      </c>
      <c r="CQ103" s="1">
        <v>0</v>
      </c>
      <c r="CR103" s="1">
        <v>1.19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4.68</v>
      </c>
      <c r="CZ103" s="1">
        <v>3.9</v>
      </c>
      <c r="DA103" s="1">
        <v>0</v>
      </c>
      <c r="DB103" s="1">
        <v>1.68</v>
      </c>
      <c r="DC103" s="1">
        <v>0</v>
      </c>
      <c r="DD103" s="1">
        <v>0</v>
      </c>
      <c r="DE103" s="1">
        <v>0</v>
      </c>
      <c r="DF103" s="1">
        <v>0.43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0.65</v>
      </c>
      <c r="DV103" s="1">
        <v>0</v>
      </c>
      <c r="DW103" s="1">
        <v>0</v>
      </c>
      <c r="DX103" s="1">
        <v>0</v>
      </c>
      <c r="DY103" s="1">
        <v>1.71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0.17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</row>
    <row r="104" spans="1:154" x14ac:dyDescent="0.2">
      <c r="A104" s="12">
        <v>284</v>
      </c>
      <c r="B104" s="12">
        <v>1</v>
      </c>
      <c r="C104" s="13" t="s">
        <v>224</v>
      </c>
      <c r="D104" s="1">
        <f t="shared" si="4"/>
        <v>0</v>
      </c>
      <c r="E104" s="1"/>
      <c r="F104">
        <v>284</v>
      </c>
      <c r="G104">
        <v>1</v>
      </c>
      <c r="H104" t="s">
        <v>224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1.3</v>
      </c>
      <c r="R104" s="1">
        <v>0</v>
      </c>
      <c r="S104" s="1">
        <v>0</v>
      </c>
      <c r="T104" s="1">
        <v>0</v>
      </c>
      <c r="U104" s="1">
        <v>2.04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1.3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1.3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0.2</v>
      </c>
      <c r="BU104" s="1">
        <v>0</v>
      </c>
      <c r="BV104" s="1">
        <v>0</v>
      </c>
      <c r="BW104" s="1">
        <v>0</v>
      </c>
      <c r="BX104" s="1">
        <v>0</v>
      </c>
      <c r="BY104" s="1">
        <v>1.3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2.76</v>
      </c>
      <c r="CO104" s="1">
        <v>24.89</v>
      </c>
      <c r="CP104" s="1">
        <v>0</v>
      </c>
      <c r="CQ104" s="1">
        <v>1.3</v>
      </c>
      <c r="CR104" s="1">
        <v>1.1200000000000001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1.3</v>
      </c>
      <c r="DA104" s="1">
        <v>0</v>
      </c>
      <c r="DB104" s="1">
        <v>55.03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12.58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1.1100000000000001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</row>
    <row r="105" spans="1:154" x14ac:dyDescent="0.2">
      <c r="A105" s="12">
        <v>286</v>
      </c>
      <c r="B105" s="12">
        <v>1</v>
      </c>
      <c r="C105" s="13" t="s">
        <v>225</v>
      </c>
      <c r="D105" s="1">
        <f t="shared" si="4"/>
        <v>0</v>
      </c>
      <c r="E105" s="1"/>
      <c r="F105">
        <v>286</v>
      </c>
      <c r="G105">
        <v>1</v>
      </c>
      <c r="H105" t="s">
        <v>225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4.3</v>
      </c>
      <c r="R105" s="1">
        <v>0</v>
      </c>
      <c r="S105" s="1">
        <v>0</v>
      </c>
      <c r="T105" s="1">
        <v>0</v>
      </c>
      <c r="U105" s="1">
        <v>25.61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4.49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1.86</v>
      </c>
      <c r="AJ105" s="1">
        <v>0</v>
      </c>
      <c r="AK105" s="1">
        <v>0</v>
      </c>
      <c r="AL105" s="1">
        <v>1.3</v>
      </c>
      <c r="AM105" s="1">
        <v>0</v>
      </c>
      <c r="AN105" s="1">
        <v>0</v>
      </c>
      <c r="AO105" s="1">
        <v>0</v>
      </c>
      <c r="AP105" s="1">
        <v>1.3</v>
      </c>
      <c r="AQ105" s="1">
        <v>0</v>
      </c>
      <c r="AR105" s="1">
        <v>0.79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6.22</v>
      </c>
      <c r="BD105" s="1">
        <v>2.59</v>
      </c>
      <c r="BE105" s="1">
        <v>0</v>
      </c>
      <c r="BF105" s="1">
        <v>0</v>
      </c>
      <c r="BG105" s="1">
        <v>0</v>
      </c>
      <c r="BH105" s="1">
        <v>0</v>
      </c>
      <c r="BI105" s="1">
        <v>2.6</v>
      </c>
      <c r="BJ105" s="1">
        <v>2.95</v>
      </c>
      <c r="BK105" s="1">
        <v>2.36</v>
      </c>
      <c r="BL105" s="1">
        <v>0</v>
      </c>
      <c r="BM105" s="1">
        <v>0</v>
      </c>
      <c r="BN105" s="1">
        <v>0</v>
      </c>
      <c r="BO105" s="1">
        <v>1.68</v>
      </c>
      <c r="BP105" s="1">
        <v>0</v>
      </c>
      <c r="BQ105" s="1">
        <v>0</v>
      </c>
      <c r="BR105" s="1">
        <v>0</v>
      </c>
      <c r="BS105" s="1">
        <v>0</v>
      </c>
      <c r="BT105" s="1">
        <v>5.21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7.47</v>
      </c>
      <c r="CH105" s="1">
        <v>3.05</v>
      </c>
      <c r="CI105" s="1">
        <v>1.21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11.19</v>
      </c>
      <c r="CP105" s="1">
        <v>0</v>
      </c>
      <c r="CQ105" s="1">
        <v>0</v>
      </c>
      <c r="CR105" s="1">
        <v>0</v>
      </c>
      <c r="CS105" s="1">
        <v>4.54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2.6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4.9400000000000004</v>
      </c>
      <c r="DR105" s="1">
        <v>0</v>
      </c>
      <c r="DS105" s="1">
        <v>0</v>
      </c>
      <c r="DT105" s="1">
        <v>0</v>
      </c>
      <c r="DU105" s="1">
        <v>17.350000000000001</v>
      </c>
      <c r="DV105" s="1">
        <v>0</v>
      </c>
      <c r="DW105" s="1">
        <v>1.61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1.68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</row>
    <row r="106" spans="1:154" x14ac:dyDescent="0.2">
      <c r="A106" s="12">
        <v>294</v>
      </c>
      <c r="B106" s="12">
        <v>1</v>
      </c>
      <c r="C106" s="13" t="s">
        <v>226</v>
      </c>
      <c r="D106" s="1">
        <f t="shared" si="4"/>
        <v>0</v>
      </c>
      <c r="E106" s="1"/>
      <c r="F106">
        <v>294</v>
      </c>
      <c r="G106">
        <v>1</v>
      </c>
      <c r="H106" t="s">
        <v>226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3.29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</row>
    <row r="107" spans="1:154" x14ac:dyDescent="0.2">
      <c r="A107" s="12">
        <v>297</v>
      </c>
      <c r="B107" s="12">
        <v>1</v>
      </c>
      <c r="C107" s="13" t="s">
        <v>227</v>
      </c>
      <c r="D107" s="1">
        <f t="shared" si="4"/>
        <v>0</v>
      </c>
      <c r="E107" s="1"/>
      <c r="F107">
        <v>297</v>
      </c>
      <c r="G107">
        <v>1</v>
      </c>
      <c r="H107" t="s">
        <v>227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</row>
    <row r="108" spans="1:154" x14ac:dyDescent="0.2">
      <c r="A108" s="12">
        <v>299</v>
      </c>
      <c r="B108" s="12">
        <v>1</v>
      </c>
      <c r="C108" s="13" t="s">
        <v>228</v>
      </c>
      <c r="D108" s="1">
        <f t="shared" si="4"/>
        <v>0</v>
      </c>
      <c r="E108" s="1"/>
      <c r="F108">
        <v>299</v>
      </c>
      <c r="G108">
        <v>1</v>
      </c>
      <c r="H108" t="s">
        <v>228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</row>
    <row r="109" spans="1:154" x14ac:dyDescent="0.2">
      <c r="A109" s="12">
        <v>300</v>
      </c>
      <c r="B109" s="12">
        <v>1</v>
      </c>
      <c r="C109" s="13" t="s">
        <v>229</v>
      </c>
      <c r="D109" s="1">
        <f t="shared" si="4"/>
        <v>0</v>
      </c>
      <c r="E109" s="1"/>
      <c r="F109">
        <v>300</v>
      </c>
      <c r="G109">
        <v>1</v>
      </c>
      <c r="H109" t="s">
        <v>229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53.41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4.43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3.91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</row>
    <row r="110" spans="1:154" x14ac:dyDescent="0.2">
      <c r="A110" s="12">
        <v>306</v>
      </c>
      <c r="B110" s="12">
        <v>1</v>
      </c>
      <c r="C110" s="13" t="s">
        <v>230</v>
      </c>
      <c r="D110" s="1">
        <f t="shared" si="4"/>
        <v>0</v>
      </c>
      <c r="E110" s="1"/>
      <c r="F110">
        <v>306</v>
      </c>
      <c r="G110">
        <v>1</v>
      </c>
      <c r="H110" t="s">
        <v>230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0.12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</row>
    <row r="111" spans="1:154" x14ac:dyDescent="0.2">
      <c r="A111" s="12">
        <v>308</v>
      </c>
      <c r="B111" s="12">
        <v>1</v>
      </c>
      <c r="C111" s="13" t="s">
        <v>231</v>
      </c>
      <c r="D111" s="1">
        <f t="shared" si="4"/>
        <v>0</v>
      </c>
      <c r="E111" s="1"/>
      <c r="F111">
        <v>308</v>
      </c>
      <c r="G111">
        <v>1</v>
      </c>
      <c r="H111" t="s">
        <v>231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</row>
    <row r="112" spans="1:154" x14ac:dyDescent="0.2">
      <c r="A112" s="12">
        <v>309</v>
      </c>
      <c r="B112" s="12">
        <v>1</v>
      </c>
      <c r="C112" s="13" t="s">
        <v>232</v>
      </c>
      <c r="D112" s="1">
        <f t="shared" si="4"/>
        <v>0</v>
      </c>
      <c r="E112" s="1"/>
      <c r="F112">
        <v>309</v>
      </c>
      <c r="G112">
        <v>1</v>
      </c>
      <c r="H112" t="s">
        <v>232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0.12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3.46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0.55000000000000004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0.65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</row>
    <row r="113" spans="1:154" x14ac:dyDescent="0.2">
      <c r="A113" s="12">
        <v>314</v>
      </c>
      <c r="B113" s="12">
        <v>1</v>
      </c>
      <c r="C113" s="13" t="s">
        <v>233</v>
      </c>
      <c r="D113" s="1">
        <f t="shared" si="4"/>
        <v>0</v>
      </c>
      <c r="E113" s="1"/>
      <c r="F113">
        <v>314</v>
      </c>
      <c r="G113">
        <v>1</v>
      </c>
      <c r="H113" t="s">
        <v>233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2.6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</row>
    <row r="114" spans="1:154" x14ac:dyDescent="0.2">
      <c r="A114" s="12">
        <v>316</v>
      </c>
      <c r="B114" s="12">
        <v>1</v>
      </c>
      <c r="C114" s="13" t="s">
        <v>234</v>
      </c>
      <c r="D114" s="1">
        <f t="shared" si="4"/>
        <v>0</v>
      </c>
      <c r="E114" s="1"/>
      <c r="F114">
        <v>316</v>
      </c>
      <c r="G114">
        <v>1</v>
      </c>
      <c r="H114" t="s">
        <v>234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0.2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0.96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32.479999999999997</v>
      </c>
      <c r="DU114" s="1">
        <v>0</v>
      </c>
      <c r="DV114" s="1">
        <v>0</v>
      </c>
      <c r="DW114" s="1">
        <v>0.85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</row>
    <row r="115" spans="1:154" x14ac:dyDescent="0.2">
      <c r="A115" s="12">
        <v>317</v>
      </c>
      <c r="B115" s="12">
        <v>1</v>
      </c>
      <c r="C115" s="13" t="s">
        <v>235</v>
      </c>
      <c r="D115" s="1">
        <f t="shared" si="4"/>
        <v>0</v>
      </c>
      <c r="E115" s="1"/>
      <c r="F115">
        <v>317</v>
      </c>
      <c r="G115">
        <v>1</v>
      </c>
      <c r="H115" t="s">
        <v>235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5.09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</row>
    <row r="116" spans="1:154" x14ac:dyDescent="0.2">
      <c r="A116" s="12">
        <v>318</v>
      </c>
      <c r="B116" s="12">
        <v>1</v>
      </c>
      <c r="C116" s="13" t="s">
        <v>236</v>
      </c>
      <c r="D116" s="1">
        <f t="shared" si="4"/>
        <v>0</v>
      </c>
      <c r="E116" s="1"/>
      <c r="F116">
        <v>318</v>
      </c>
      <c r="G116">
        <v>1</v>
      </c>
      <c r="H116" t="s">
        <v>236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10.45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7.19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80.5</v>
      </c>
      <c r="DU116" s="1">
        <v>0</v>
      </c>
      <c r="DV116" s="1">
        <v>0</v>
      </c>
      <c r="DW116" s="1">
        <v>0.65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</row>
    <row r="117" spans="1:154" x14ac:dyDescent="0.2">
      <c r="A117" s="12">
        <v>319</v>
      </c>
      <c r="B117" s="12">
        <v>1</v>
      </c>
      <c r="C117" s="13" t="s">
        <v>237</v>
      </c>
      <c r="D117" s="1">
        <f t="shared" si="4"/>
        <v>0</v>
      </c>
      <c r="E117" s="1"/>
      <c r="F117">
        <v>319</v>
      </c>
      <c r="G117">
        <v>1</v>
      </c>
      <c r="H117" t="s">
        <v>237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0.87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18.22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</row>
    <row r="118" spans="1:154" x14ac:dyDescent="0.2">
      <c r="A118" s="12">
        <v>323</v>
      </c>
      <c r="B118" s="12">
        <v>2</v>
      </c>
      <c r="C118" s="13" t="s">
        <v>238</v>
      </c>
      <c r="D118" s="1">
        <f t="shared" si="4"/>
        <v>0</v>
      </c>
      <c r="E118" s="1"/>
      <c r="F118">
        <v>323</v>
      </c>
      <c r="G118">
        <v>2</v>
      </c>
      <c r="H118" t="s">
        <v>238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</row>
    <row r="119" spans="1:154" x14ac:dyDescent="0.2">
      <c r="A119" s="12">
        <v>330</v>
      </c>
      <c r="B119" s="12">
        <v>1</v>
      </c>
      <c r="C119" s="13" t="s">
        <v>239</v>
      </c>
      <c r="D119" s="1">
        <f t="shared" si="4"/>
        <v>0</v>
      </c>
      <c r="E119" s="1"/>
      <c r="F119">
        <v>330</v>
      </c>
      <c r="G119">
        <v>1</v>
      </c>
      <c r="H119" t="s">
        <v>239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</row>
    <row r="120" spans="1:154" x14ac:dyDescent="0.2">
      <c r="A120" s="12">
        <v>332</v>
      </c>
      <c r="B120" s="12">
        <v>1</v>
      </c>
      <c r="C120" s="13" t="s">
        <v>240</v>
      </c>
      <c r="D120" s="1">
        <f t="shared" si="4"/>
        <v>0</v>
      </c>
      <c r="E120" s="1"/>
      <c r="F120">
        <v>332</v>
      </c>
      <c r="G120">
        <v>1</v>
      </c>
      <c r="H120" t="s">
        <v>240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1.1599999999999999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0.04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</row>
    <row r="121" spans="1:154" x14ac:dyDescent="0.2">
      <c r="A121" s="12">
        <v>333</v>
      </c>
      <c r="B121" s="12">
        <v>1</v>
      </c>
      <c r="C121" s="13" t="s">
        <v>241</v>
      </c>
      <c r="D121" s="1">
        <f t="shared" si="4"/>
        <v>0</v>
      </c>
      <c r="E121" s="1"/>
      <c r="F121">
        <v>333</v>
      </c>
      <c r="G121">
        <v>1</v>
      </c>
      <c r="H121" t="s">
        <v>241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</row>
    <row r="122" spans="1:154" x14ac:dyDescent="0.2">
      <c r="A122" s="12">
        <v>345</v>
      </c>
      <c r="B122" s="12">
        <v>1</v>
      </c>
      <c r="C122" s="13" t="s">
        <v>242</v>
      </c>
      <c r="D122" s="1">
        <f t="shared" si="4"/>
        <v>0</v>
      </c>
      <c r="E122" s="1"/>
      <c r="F122">
        <v>345</v>
      </c>
      <c r="G122">
        <v>1</v>
      </c>
      <c r="H122" t="s">
        <v>242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0.56000000000000005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0.87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</row>
    <row r="123" spans="1:154" x14ac:dyDescent="0.2">
      <c r="A123" s="12">
        <v>347</v>
      </c>
      <c r="B123" s="12">
        <v>1</v>
      </c>
      <c r="C123" s="13" t="s">
        <v>243</v>
      </c>
      <c r="D123" s="1">
        <f t="shared" si="4"/>
        <v>0</v>
      </c>
      <c r="E123" s="1"/>
      <c r="F123">
        <v>347</v>
      </c>
      <c r="G123">
        <v>1</v>
      </c>
      <c r="H123" t="s">
        <v>243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0.39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</row>
    <row r="124" spans="1:154" x14ac:dyDescent="0.2">
      <c r="A124" s="12">
        <v>356</v>
      </c>
      <c r="B124" s="12">
        <v>1</v>
      </c>
      <c r="C124" s="13" t="s">
        <v>244</v>
      </c>
      <c r="D124" s="1">
        <f t="shared" si="4"/>
        <v>0</v>
      </c>
      <c r="E124" s="1"/>
      <c r="F124">
        <v>356</v>
      </c>
      <c r="G124">
        <v>1</v>
      </c>
      <c r="H124" t="s">
        <v>244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</row>
    <row r="125" spans="1:154" x14ac:dyDescent="0.2">
      <c r="A125" s="12">
        <v>361</v>
      </c>
      <c r="B125" s="12">
        <v>1</v>
      </c>
      <c r="C125" s="13" t="s">
        <v>245</v>
      </c>
      <c r="D125" s="1">
        <f t="shared" si="4"/>
        <v>0</v>
      </c>
      <c r="E125" s="1"/>
      <c r="F125">
        <v>361</v>
      </c>
      <c r="G125">
        <v>1</v>
      </c>
      <c r="H125" t="s">
        <v>245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3.3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35.78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</row>
    <row r="126" spans="1:154" x14ac:dyDescent="0.2">
      <c r="A126" s="12">
        <v>362</v>
      </c>
      <c r="B126" s="12">
        <v>1</v>
      </c>
      <c r="C126" s="13" t="s">
        <v>246</v>
      </c>
      <c r="D126" s="1">
        <f t="shared" si="4"/>
        <v>0</v>
      </c>
      <c r="E126" s="1"/>
      <c r="F126">
        <v>362</v>
      </c>
      <c r="G126">
        <v>1</v>
      </c>
      <c r="H126" t="s">
        <v>246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1.85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</row>
    <row r="127" spans="1:154" x14ac:dyDescent="0.2">
      <c r="A127" s="12">
        <v>363</v>
      </c>
      <c r="B127" s="12">
        <v>1</v>
      </c>
      <c r="C127" s="13" t="s">
        <v>247</v>
      </c>
      <c r="D127" s="1">
        <f t="shared" si="4"/>
        <v>0</v>
      </c>
      <c r="E127" s="1"/>
      <c r="F127">
        <v>363</v>
      </c>
      <c r="G127">
        <v>1</v>
      </c>
      <c r="H127" t="s">
        <v>247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1.3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</row>
    <row r="128" spans="1:154" x14ac:dyDescent="0.2">
      <c r="A128" s="12">
        <v>371</v>
      </c>
      <c r="B128" s="12">
        <v>1</v>
      </c>
      <c r="C128" s="13" t="s">
        <v>248</v>
      </c>
      <c r="D128" s="1">
        <f t="shared" si="4"/>
        <v>0</v>
      </c>
      <c r="E128" s="1"/>
      <c r="F128">
        <v>371</v>
      </c>
      <c r="G128">
        <v>1</v>
      </c>
      <c r="H128" t="s">
        <v>248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</row>
    <row r="129" spans="1:154" x14ac:dyDescent="0.2">
      <c r="A129" s="12">
        <v>378</v>
      </c>
      <c r="B129" s="12">
        <v>1</v>
      </c>
      <c r="C129" s="13" t="s">
        <v>249</v>
      </c>
      <c r="D129" s="1">
        <f t="shared" si="4"/>
        <v>0</v>
      </c>
      <c r="E129" s="1"/>
      <c r="F129">
        <v>378</v>
      </c>
      <c r="G129">
        <v>1</v>
      </c>
      <c r="H129" t="s">
        <v>249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1.3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</row>
    <row r="130" spans="1:154" x14ac:dyDescent="0.2">
      <c r="A130" s="12">
        <v>381</v>
      </c>
      <c r="B130" s="12">
        <v>1</v>
      </c>
      <c r="C130" s="13" t="s">
        <v>250</v>
      </c>
      <c r="D130" s="1">
        <f t="shared" si="4"/>
        <v>0</v>
      </c>
      <c r="E130" s="1"/>
      <c r="F130">
        <v>381</v>
      </c>
      <c r="G130">
        <v>1</v>
      </c>
      <c r="H130" t="s">
        <v>250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5.33</v>
      </c>
      <c r="V130" s="1">
        <v>0</v>
      </c>
      <c r="W130" s="1">
        <v>1.1200000000000001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1.3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10.029999999999999</v>
      </c>
      <c r="BP130" s="1">
        <v>0</v>
      </c>
      <c r="BQ130" s="1">
        <v>241.36</v>
      </c>
      <c r="BR130" s="1">
        <v>7.14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21.92</v>
      </c>
      <c r="DT130" s="1">
        <v>0</v>
      </c>
      <c r="DU130" s="1">
        <v>0</v>
      </c>
      <c r="DV130" s="1">
        <v>0</v>
      </c>
      <c r="DW130" s="1">
        <v>1.9</v>
      </c>
      <c r="DX130" s="1">
        <v>0.1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</row>
    <row r="131" spans="1:154" x14ac:dyDescent="0.2">
      <c r="A131" s="12">
        <v>390</v>
      </c>
      <c r="B131" s="12">
        <v>1</v>
      </c>
      <c r="C131" s="13" t="s">
        <v>251</v>
      </c>
      <c r="D131" s="1">
        <f t="shared" si="4"/>
        <v>0</v>
      </c>
      <c r="E131" s="1"/>
      <c r="F131">
        <v>390</v>
      </c>
      <c r="G131">
        <v>1</v>
      </c>
      <c r="H131" t="s">
        <v>251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0.08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</row>
    <row r="132" spans="1:154" x14ac:dyDescent="0.2">
      <c r="A132" s="12">
        <v>391</v>
      </c>
      <c r="B132" s="12">
        <v>1</v>
      </c>
      <c r="C132" s="13" t="s">
        <v>252</v>
      </c>
      <c r="D132" s="1">
        <f t="shared" si="4"/>
        <v>0</v>
      </c>
      <c r="E132" s="1"/>
      <c r="F132">
        <v>391</v>
      </c>
      <c r="G132">
        <v>1</v>
      </c>
      <c r="H132" t="s">
        <v>252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</row>
    <row r="133" spans="1:154" x14ac:dyDescent="0.2">
      <c r="A133" s="12">
        <v>392</v>
      </c>
      <c r="B133" s="12">
        <v>1</v>
      </c>
      <c r="C133" s="13" t="s">
        <v>253</v>
      </c>
      <c r="D133" s="1">
        <f t="shared" si="4"/>
        <v>0</v>
      </c>
      <c r="E133" s="1"/>
      <c r="F133">
        <v>392</v>
      </c>
      <c r="G133">
        <v>1</v>
      </c>
      <c r="H133" t="s">
        <v>253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8.76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0.03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2.2599999999999998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</row>
    <row r="134" spans="1:154" x14ac:dyDescent="0.2">
      <c r="A134" s="12">
        <v>394</v>
      </c>
      <c r="B134" s="12">
        <v>1</v>
      </c>
      <c r="C134" s="13" t="s">
        <v>254</v>
      </c>
      <c r="D134" s="1">
        <f t="shared" si="4"/>
        <v>0</v>
      </c>
      <c r="E134" s="1"/>
      <c r="F134">
        <v>394</v>
      </c>
      <c r="G134">
        <v>1</v>
      </c>
      <c r="H134" t="s">
        <v>254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1.39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</row>
    <row r="135" spans="1:154" x14ac:dyDescent="0.2">
      <c r="A135" s="12">
        <v>402</v>
      </c>
      <c r="B135" s="12">
        <v>1</v>
      </c>
      <c r="C135" s="13" t="s">
        <v>255</v>
      </c>
      <c r="D135" s="1">
        <f t="shared" si="4"/>
        <v>0</v>
      </c>
      <c r="E135" s="1"/>
      <c r="F135">
        <v>402</v>
      </c>
      <c r="G135">
        <v>1</v>
      </c>
      <c r="H135" t="s">
        <v>255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</row>
    <row r="136" spans="1:154" x14ac:dyDescent="0.2">
      <c r="A136" s="12">
        <v>403</v>
      </c>
      <c r="B136" s="12">
        <v>1</v>
      </c>
      <c r="C136" s="13" t="s">
        <v>256</v>
      </c>
      <c r="D136" s="1">
        <f t="shared" si="4"/>
        <v>0</v>
      </c>
      <c r="E136" s="1"/>
      <c r="F136">
        <v>403</v>
      </c>
      <c r="G136">
        <v>1</v>
      </c>
      <c r="H136" t="s">
        <v>256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</row>
    <row r="137" spans="1:154" x14ac:dyDescent="0.2">
      <c r="A137" s="12">
        <v>404</v>
      </c>
      <c r="B137" s="12">
        <v>1</v>
      </c>
      <c r="C137" s="13" t="s">
        <v>257</v>
      </c>
      <c r="D137" s="1">
        <f t="shared" si="4"/>
        <v>0</v>
      </c>
      <c r="E137" s="1"/>
      <c r="F137">
        <v>404</v>
      </c>
      <c r="G137">
        <v>1</v>
      </c>
      <c r="H137" t="s">
        <v>257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3.4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</row>
    <row r="138" spans="1:154" x14ac:dyDescent="0.2">
      <c r="A138" s="12">
        <v>411</v>
      </c>
      <c r="B138" s="12">
        <v>1</v>
      </c>
      <c r="C138" s="13" t="s">
        <v>258</v>
      </c>
      <c r="D138" s="1">
        <f t="shared" si="4"/>
        <v>0</v>
      </c>
      <c r="E138" s="1"/>
      <c r="F138">
        <v>411</v>
      </c>
      <c r="G138">
        <v>1</v>
      </c>
      <c r="H138" t="s">
        <v>258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7.53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</row>
    <row r="139" spans="1:154" x14ac:dyDescent="0.2">
      <c r="A139" s="12">
        <v>413</v>
      </c>
      <c r="B139" s="12">
        <v>1</v>
      </c>
      <c r="C139" s="13" t="s">
        <v>259</v>
      </c>
      <c r="D139" s="1">
        <f t="shared" ref="D139:D202" si="5">SUMIF(I$5:EX$5,Snumber,I139:EX139)</f>
        <v>0</v>
      </c>
      <c r="E139" s="1"/>
      <c r="F139">
        <v>413</v>
      </c>
      <c r="G139">
        <v>1</v>
      </c>
      <c r="H139" t="s">
        <v>259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1.51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3.07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3.3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3.25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</row>
    <row r="140" spans="1:154" x14ac:dyDescent="0.2">
      <c r="A140" s="12">
        <v>414</v>
      </c>
      <c r="B140" s="12">
        <v>1</v>
      </c>
      <c r="C140" s="13" t="s">
        <v>260</v>
      </c>
      <c r="D140" s="1">
        <f t="shared" si="5"/>
        <v>0</v>
      </c>
      <c r="E140" s="1"/>
      <c r="F140">
        <v>414</v>
      </c>
      <c r="G140">
        <v>1</v>
      </c>
      <c r="H140" t="s">
        <v>260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0.22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1.3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</row>
    <row r="141" spans="1:154" x14ac:dyDescent="0.2">
      <c r="A141" s="12">
        <v>415</v>
      </c>
      <c r="B141" s="12">
        <v>1</v>
      </c>
      <c r="C141" s="13" t="s">
        <v>261</v>
      </c>
      <c r="D141" s="1">
        <f t="shared" si="5"/>
        <v>0</v>
      </c>
      <c r="E141" s="1"/>
      <c r="F141">
        <v>415</v>
      </c>
      <c r="G141">
        <v>1</v>
      </c>
      <c r="H141" t="s">
        <v>261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</row>
    <row r="142" spans="1:154" x14ac:dyDescent="0.2">
      <c r="A142" s="12">
        <v>417</v>
      </c>
      <c r="B142" s="12">
        <v>1</v>
      </c>
      <c r="C142" s="13" t="s">
        <v>262</v>
      </c>
      <c r="D142" s="1">
        <f t="shared" si="5"/>
        <v>0</v>
      </c>
      <c r="E142" s="1"/>
      <c r="F142">
        <v>417</v>
      </c>
      <c r="G142">
        <v>1</v>
      </c>
      <c r="H142" t="s">
        <v>262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2.35</v>
      </c>
      <c r="V142" s="1">
        <v>0</v>
      </c>
      <c r="W142" s="1">
        <v>0</v>
      </c>
      <c r="X142" s="1">
        <v>0</v>
      </c>
      <c r="Y142" s="1">
        <v>2.2400000000000002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13.86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0.72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4.42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1.5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</row>
    <row r="143" spans="1:154" x14ac:dyDescent="0.2">
      <c r="A143" s="12">
        <v>423</v>
      </c>
      <c r="B143" s="12">
        <v>1</v>
      </c>
      <c r="C143" s="13" t="s">
        <v>263</v>
      </c>
      <c r="D143" s="1">
        <f t="shared" si="5"/>
        <v>0</v>
      </c>
      <c r="E143" s="1"/>
      <c r="F143">
        <v>423</v>
      </c>
      <c r="G143">
        <v>1</v>
      </c>
      <c r="H143" t="s">
        <v>263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0.84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2.92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153.16999999999999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66.55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</row>
    <row r="144" spans="1:154" x14ac:dyDescent="0.2">
      <c r="A144" s="12">
        <v>424</v>
      </c>
      <c r="B144" s="12">
        <v>1</v>
      </c>
      <c r="C144" s="13" t="s">
        <v>264</v>
      </c>
      <c r="D144" s="1">
        <f t="shared" si="5"/>
        <v>0</v>
      </c>
      <c r="E144" s="1"/>
      <c r="F144">
        <v>424</v>
      </c>
      <c r="G144">
        <v>1</v>
      </c>
      <c r="H144" t="s">
        <v>264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1.77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1.21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</row>
    <row r="145" spans="1:154" x14ac:dyDescent="0.2">
      <c r="A145" s="12">
        <v>432</v>
      </c>
      <c r="B145" s="12">
        <v>1</v>
      </c>
      <c r="C145" s="13" t="s">
        <v>265</v>
      </c>
      <c r="D145" s="1">
        <f t="shared" si="5"/>
        <v>0</v>
      </c>
      <c r="E145" s="1"/>
      <c r="F145">
        <v>432</v>
      </c>
      <c r="G145">
        <v>1</v>
      </c>
      <c r="H145" t="s">
        <v>265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90.9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</row>
    <row r="146" spans="1:154" x14ac:dyDescent="0.2">
      <c r="A146" s="12">
        <v>435</v>
      </c>
      <c r="B146" s="12">
        <v>1</v>
      </c>
      <c r="C146" s="13" t="s">
        <v>266</v>
      </c>
      <c r="D146" s="1">
        <f t="shared" si="5"/>
        <v>0</v>
      </c>
      <c r="E146" s="1"/>
      <c r="F146">
        <v>435</v>
      </c>
      <c r="G146">
        <v>1</v>
      </c>
      <c r="H146" t="s">
        <v>266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0.62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</row>
    <row r="147" spans="1:154" x14ac:dyDescent="0.2">
      <c r="A147" s="12">
        <v>441</v>
      </c>
      <c r="B147" s="12">
        <v>1</v>
      </c>
      <c r="C147" s="13" t="s">
        <v>267</v>
      </c>
      <c r="D147" s="1">
        <f t="shared" si="5"/>
        <v>0</v>
      </c>
      <c r="E147" s="1"/>
      <c r="F147">
        <v>441</v>
      </c>
      <c r="G147">
        <v>1</v>
      </c>
      <c r="H147" t="s">
        <v>267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</row>
    <row r="148" spans="1:154" x14ac:dyDescent="0.2">
      <c r="A148" s="12">
        <v>447</v>
      </c>
      <c r="B148" s="12">
        <v>1</v>
      </c>
      <c r="C148" s="13" t="s">
        <v>268</v>
      </c>
      <c r="D148" s="1">
        <f t="shared" si="5"/>
        <v>0</v>
      </c>
      <c r="E148" s="1"/>
      <c r="F148">
        <v>447</v>
      </c>
      <c r="G148">
        <v>1</v>
      </c>
      <c r="H148" t="s">
        <v>268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</row>
    <row r="149" spans="1:154" x14ac:dyDescent="0.2">
      <c r="A149" s="12">
        <v>458</v>
      </c>
      <c r="B149" s="12">
        <v>1</v>
      </c>
      <c r="C149" s="13" t="s">
        <v>269</v>
      </c>
      <c r="D149" s="1">
        <f t="shared" si="5"/>
        <v>0</v>
      </c>
      <c r="E149" s="1"/>
      <c r="F149">
        <v>458</v>
      </c>
      <c r="G149">
        <v>1</v>
      </c>
      <c r="H149" t="s">
        <v>269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1.27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</row>
    <row r="150" spans="1:154" x14ac:dyDescent="0.2">
      <c r="A150" s="12">
        <v>463</v>
      </c>
      <c r="B150" s="12">
        <v>1</v>
      </c>
      <c r="C150" s="13" t="s">
        <v>270</v>
      </c>
      <c r="D150" s="1">
        <f t="shared" si="5"/>
        <v>0</v>
      </c>
      <c r="E150" s="1"/>
      <c r="F150">
        <v>463</v>
      </c>
      <c r="G150">
        <v>1</v>
      </c>
      <c r="H150" t="s">
        <v>270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</row>
    <row r="151" spans="1:154" x14ac:dyDescent="0.2">
      <c r="A151" s="12">
        <v>465</v>
      </c>
      <c r="B151" s="12">
        <v>1</v>
      </c>
      <c r="C151" s="13" t="s">
        <v>271</v>
      </c>
      <c r="D151" s="1">
        <f t="shared" si="5"/>
        <v>0</v>
      </c>
      <c r="E151" s="1"/>
      <c r="F151">
        <v>465</v>
      </c>
      <c r="G151">
        <v>1</v>
      </c>
      <c r="H151" t="s">
        <v>271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2.42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2.2999999999999998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2.6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2.88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</row>
    <row r="152" spans="1:154" x14ac:dyDescent="0.2">
      <c r="A152" s="12">
        <v>466</v>
      </c>
      <c r="B152" s="12">
        <v>1</v>
      </c>
      <c r="C152" s="13" t="s">
        <v>272</v>
      </c>
      <c r="D152" s="1">
        <f t="shared" si="5"/>
        <v>0</v>
      </c>
      <c r="E152" s="1"/>
      <c r="F152">
        <v>466</v>
      </c>
      <c r="G152">
        <v>1</v>
      </c>
      <c r="H152" t="s">
        <v>272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3.54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5.56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3.3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</row>
    <row r="153" spans="1:154" x14ac:dyDescent="0.2">
      <c r="A153" s="12">
        <v>473</v>
      </c>
      <c r="B153" s="12">
        <v>1</v>
      </c>
      <c r="C153" s="13" t="s">
        <v>273</v>
      </c>
      <c r="D153" s="1">
        <f t="shared" si="5"/>
        <v>0</v>
      </c>
      <c r="E153" s="1"/>
      <c r="F153">
        <v>473</v>
      </c>
      <c r="G153">
        <v>1</v>
      </c>
      <c r="H153" t="s">
        <v>273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1.3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1.3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</row>
    <row r="154" spans="1:154" x14ac:dyDescent="0.2">
      <c r="A154" s="12">
        <v>477</v>
      </c>
      <c r="B154" s="12">
        <v>1</v>
      </c>
      <c r="C154" s="13" t="s">
        <v>274</v>
      </c>
      <c r="D154" s="1">
        <f t="shared" si="5"/>
        <v>0</v>
      </c>
      <c r="E154" s="1"/>
      <c r="F154">
        <v>477</v>
      </c>
      <c r="G154">
        <v>1</v>
      </c>
      <c r="H154" t="s">
        <v>274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9.1999999999999993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2.4500000000000002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0.91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1.3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</row>
    <row r="155" spans="1:154" x14ac:dyDescent="0.2">
      <c r="A155" s="12">
        <v>480</v>
      </c>
      <c r="B155" s="12">
        <v>1</v>
      </c>
      <c r="C155" s="13" t="s">
        <v>275</v>
      </c>
      <c r="D155" s="1">
        <f t="shared" si="5"/>
        <v>0</v>
      </c>
      <c r="E155" s="1"/>
      <c r="F155">
        <v>480</v>
      </c>
      <c r="G155">
        <v>1</v>
      </c>
      <c r="H155" t="s">
        <v>275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1.4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</row>
    <row r="156" spans="1:154" x14ac:dyDescent="0.2">
      <c r="A156" s="12">
        <v>482</v>
      </c>
      <c r="B156" s="12">
        <v>1</v>
      </c>
      <c r="C156" s="13" t="s">
        <v>276</v>
      </c>
      <c r="D156" s="1">
        <f t="shared" si="5"/>
        <v>0</v>
      </c>
      <c r="E156" s="1"/>
      <c r="F156">
        <v>482</v>
      </c>
      <c r="G156">
        <v>1</v>
      </c>
      <c r="H156" t="s">
        <v>276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1.07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</row>
    <row r="157" spans="1:154" x14ac:dyDescent="0.2">
      <c r="A157" s="12">
        <v>484</v>
      </c>
      <c r="B157" s="12">
        <v>1</v>
      </c>
      <c r="C157" s="13" t="s">
        <v>277</v>
      </c>
      <c r="D157" s="1">
        <f t="shared" si="5"/>
        <v>0</v>
      </c>
      <c r="E157" s="1"/>
      <c r="F157">
        <v>484</v>
      </c>
      <c r="G157">
        <v>1</v>
      </c>
      <c r="H157" t="s">
        <v>277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</row>
    <row r="158" spans="1:154" x14ac:dyDescent="0.2">
      <c r="A158" s="12">
        <v>485</v>
      </c>
      <c r="B158" s="12">
        <v>1</v>
      </c>
      <c r="C158" s="13" t="s">
        <v>278</v>
      </c>
      <c r="D158" s="1">
        <f t="shared" si="5"/>
        <v>0</v>
      </c>
      <c r="E158" s="1"/>
      <c r="F158">
        <v>485</v>
      </c>
      <c r="G158">
        <v>1</v>
      </c>
      <c r="H158" t="s">
        <v>278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0.77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</row>
    <row r="159" spans="1:154" x14ac:dyDescent="0.2">
      <c r="A159" s="12">
        <v>486</v>
      </c>
      <c r="B159" s="12">
        <v>1</v>
      </c>
      <c r="C159" s="13" t="s">
        <v>279</v>
      </c>
      <c r="D159" s="1">
        <f t="shared" si="5"/>
        <v>0</v>
      </c>
      <c r="E159" s="1"/>
      <c r="F159">
        <v>486</v>
      </c>
      <c r="G159">
        <v>1</v>
      </c>
      <c r="H159" t="s">
        <v>279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2.04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</row>
    <row r="160" spans="1:154" x14ac:dyDescent="0.2">
      <c r="A160" s="12">
        <v>487</v>
      </c>
      <c r="B160" s="12">
        <v>1</v>
      </c>
      <c r="C160" s="13" t="s">
        <v>280</v>
      </c>
      <c r="D160" s="1">
        <f t="shared" si="5"/>
        <v>0</v>
      </c>
      <c r="E160" s="1"/>
      <c r="F160">
        <v>487</v>
      </c>
      <c r="G160">
        <v>1</v>
      </c>
      <c r="H160" t="s">
        <v>280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</row>
    <row r="161" spans="1:154" x14ac:dyDescent="0.2">
      <c r="A161" s="12">
        <v>492</v>
      </c>
      <c r="B161" s="12">
        <v>1</v>
      </c>
      <c r="C161" s="13" t="s">
        <v>281</v>
      </c>
      <c r="D161" s="1">
        <f t="shared" si="5"/>
        <v>0</v>
      </c>
      <c r="E161" s="1"/>
      <c r="F161">
        <v>492</v>
      </c>
      <c r="G161">
        <v>1</v>
      </c>
      <c r="H161" t="s">
        <v>281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0.96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0.13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0.97</v>
      </c>
      <c r="DX161" s="1">
        <v>0</v>
      </c>
      <c r="DY161" s="1">
        <v>0</v>
      </c>
      <c r="DZ161" s="1">
        <v>0</v>
      </c>
      <c r="EA161" s="1">
        <v>1.5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</row>
    <row r="162" spans="1:154" x14ac:dyDescent="0.2">
      <c r="A162" s="12">
        <v>495</v>
      </c>
      <c r="B162" s="12">
        <v>1</v>
      </c>
      <c r="C162" s="13" t="s">
        <v>282</v>
      </c>
      <c r="D162" s="1">
        <f t="shared" si="5"/>
        <v>0</v>
      </c>
      <c r="E162" s="1"/>
      <c r="F162">
        <v>495</v>
      </c>
      <c r="G162">
        <v>1</v>
      </c>
      <c r="H162" t="s">
        <v>282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</row>
    <row r="163" spans="1:154" x14ac:dyDescent="0.2">
      <c r="A163" s="12">
        <v>497</v>
      </c>
      <c r="B163" s="12">
        <v>1</v>
      </c>
      <c r="C163" s="13" t="s">
        <v>283</v>
      </c>
      <c r="D163" s="1">
        <f t="shared" si="5"/>
        <v>0</v>
      </c>
      <c r="E163" s="1"/>
      <c r="F163">
        <v>497</v>
      </c>
      <c r="G163">
        <v>1</v>
      </c>
      <c r="H163" t="s">
        <v>283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</row>
    <row r="164" spans="1:154" x14ac:dyDescent="0.2">
      <c r="A164" s="12">
        <v>499</v>
      </c>
      <c r="B164" s="12">
        <v>1</v>
      </c>
      <c r="C164" s="13" t="s">
        <v>284</v>
      </c>
      <c r="D164" s="1">
        <f t="shared" si="5"/>
        <v>0</v>
      </c>
      <c r="E164" s="1"/>
      <c r="F164">
        <v>499</v>
      </c>
      <c r="G164">
        <v>1</v>
      </c>
      <c r="H164" t="s">
        <v>284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3.58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</row>
    <row r="165" spans="1:154" x14ac:dyDescent="0.2">
      <c r="A165" s="12">
        <v>500</v>
      </c>
      <c r="B165" s="12">
        <v>1</v>
      </c>
      <c r="C165" s="13" t="s">
        <v>285</v>
      </c>
      <c r="D165" s="1">
        <f t="shared" si="5"/>
        <v>0</v>
      </c>
      <c r="E165" s="1"/>
      <c r="F165">
        <v>500</v>
      </c>
      <c r="G165">
        <v>1</v>
      </c>
      <c r="H165" t="s">
        <v>285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</row>
    <row r="166" spans="1:154" x14ac:dyDescent="0.2">
      <c r="A166" s="12">
        <v>505</v>
      </c>
      <c r="B166" s="12">
        <v>1</v>
      </c>
      <c r="C166" s="13" t="s">
        <v>286</v>
      </c>
      <c r="D166" s="1">
        <f t="shared" si="5"/>
        <v>0</v>
      </c>
      <c r="E166" s="1"/>
      <c r="F166">
        <v>505</v>
      </c>
      <c r="G166">
        <v>1</v>
      </c>
      <c r="H166" t="s">
        <v>286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</row>
    <row r="167" spans="1:154" x14ac:dyDescent="0.2">
      <c r="A167" s="12">
        <v>507</v>
      </c>
      <c r="B167" s="12">
        <v>1</v>
      </c>
      <c r="C167" s="13" t="s">
        <v>287</v>
      </c>
      <c r="D167" s="1">
        <f t="shared" si="5"/>
        <v>0</v>
      </c>
      <c r="E167" s="1"/>
      <c r="F167">
        <v>507</v>
      </c>
      <c r="G167">
        <v>1</v>
      </c>
      <c r="H167" t="s">
        <v>287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2.92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</row>
    <row r="168" spans="1:154" x14ac:dyDescent="0.2">
      <c r="A168" s="12">
        <v>508</v>
      </c>
      <c r="B168" s="12">
        <v>1</v>
      </c>
      <c r="C168" s="13" t="s">
        <v>288</v>
      </c>
      <c r="D168" s="1">
        <f t="shared" si="5"/>
        <v>0</v>
      </c>
      <c r="E168" s="1"/>
      <c r="F168">
        <v>508</v>
      </c>
      <c r="G168">
        <v>1</v>
      </c>
      <c r="H168" t="s">
        <v>288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22.14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1.89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3.24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0.09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2.57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</row>
    <row r="169" spans="1:154" x14ac:dyDescent="0.2">
      <c r="A169" s="12">
        <v>511</v>
      </c>
      <c r="B169" s="12">
        <v>1</v>
      </c>
      <c r="C169" s="13" t="s">
        <v>289</v>
      </c>
      <c r="D169" s="1">
        <f t="shared" si="5"/>
        <v>0</v>
      </c>
      <c r="E169" s="1"/>
      <c r="F169">
        <v>511</v>
      </c>
      <c r="G169">
        <v>1</v>
      </c>
      <c r="H169" t="s">
        <v>289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</row>
    <row r="170" spans="1:154" x14ac:dyDescent="0.2">
      <c r="A170" s="12">
        <v>513</v>
      </c>
      <c r="B170" s="12">
        <v>1</v>
      </c>
      <c r="C170" s="13" t="s">
        <v>290</v>
      </c>
      <c r="D170" s="1">
        <f t="shared" si="5"/>
        <v>0</v>
      </c>
      <c r="E170" s="1"/>
      <c r="F170">
        <v>513</v>
      </c>
      <c r="G170">
        <v>1</v>
      </c>
      <c r="H170" t="s">
        <v>290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</row>
    <row r="171" spans="1:154" x14ac:dyDescent="0.2">
      <c r="A171" s="12">
        <v>514</v>
      </c>
      <c r="B171" s="12">
        <v>1</v>
      </c>
      <c r="C171" s="13" t="s">
        <v>291</v>
      </c>
      <c r="D171" s="1">
        <f t="shared" si="5"/>
        <v>0</v>
      </c>
      <c r="E171" s="1"/>
      <c r="F171">
        <v>514</v>
      </c>
      <c r="G171">
        <v>1</v>
      </c>
      <c r="H171" t="s">
        <v>291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1.3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</row>
    <row r="172" spans="1:154" x14ac:dyDescent="0.2">
      <c r="A172" s="12">
        <v>516</v>
      </c>
      <c r="B172" s="12">
        <v>1</v>
      </c>
      <c r="C172" s="13" t="s">
        <v>292</v>
      </c>
      <c r="D172" s="1">
        <f t="shared" si="5"/>
        <v>0</v>
      </c>
      <c r="E172" s="1"/>
      <c r="F172">
        <v>516</v>
      </c>
      <c r="G172">
        <v>1</v>
      </c>
      <c r="H172" t="s">
        <v>292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1.3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0.35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</row>
    <row r="173" spans="1:154" x14ac:dyDescent="0.2">
      <c r="A173" s="12">
        <v>518</v>
      </c>
      <c r="B173" s="12">
        <v>1</v>
      </c>
      <c r="C173" s="13" t="s">
        <v>293</v>
      </c>
      <c r="D173" s="1">
        <f t="shared" si="5"/>
        <v>0</v>
      </c>
      <c r="E173" s="1"/>
      <c r="F173">
        <v>518</v>
      </c>
      <c r="G173">
        <v>1</v>
      </c>
      <c r="H173" t="s">
        <v>293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4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1.25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109.37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</row>
    <row r="174" spans="1:154" x14ac:dyDescent="0.2">
      <c r="A174" s="12">
        <v>531</v>
      </c>
      <c r="B174" s="12">
        <v>1</v>
      </c>
      <c r="C174" s="13" t="s">
        <v>294</v>
      </c>
      <c r="D174" s="1">
        <f t="shared" si="5"/>
        <v>0</v>
      </c>
      <c r="E174" s="1"/>
      <c r="F174">
        <v>531</v>
      </c>
      <c r="G174">
        <v>1</v>
      </c>
      <c r="H174" t="s">
        <v>294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0.28999999999999998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4.45</v>
      </c>
      <c r="AW174" s="1">
        <v>0</v>
      </c>
      <c r="AX174" s="1">
        <v>0</v>
      </c>
      <c r="AY174" s="1">
        <v>0</v>
      </c>
      <c r="AZ174" s="1">
        <v>3.2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0.31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</row>
    <row r="175" spans="1:154" x14ac:dyDescent="0.2">
      <c r="A175" s="12">
        <v>533</v>
      </c>
      <c r="B175" s="12">
        <v>1</v>
      </c>
      <c r="C175" s="13" t="s">
        <v>295</v>
      </c>
      <c r="D175" s="1">
        <f t="shared" si="5"/>
        <v>0</v>
      </c>
      <c r="E175" s="1"/>
      <c r="F175">
        <v>533</v>
      </c>
      <c r="G175">
        <v>1</v>
      </c>
      <c r="H175" t="s">
        <v>295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0.79</v>
      </c>
      <c r="AW175" s="1">
        <v>0</v>
      </c>
      <c r="AX175" s="1">
        <v>0</v>
      </c>
      <c r="AY175" s="1">
        <v>0</v>
      </c>
      <c r="AZ175" s="1">
        <v>2.29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</row>
    <row r="176" spans="1:154" x14ac:dyDescent="0.2">
      <c r="A176" s="12">
        <v>534</v>
      </c>
      <c r="B176" s="12">
        <v>1</v>
      </c>
      <c r="C176" s="13" t="s">
        <v>296</v>
      </c>
      <c r="D176" s="1">
        <f t="shared" si="5"/>
        <v>0</v>
      </c>
      <c r="E176" s="1"/>
      <c r="F176">
        <v>534</v>
      </c>
      <c r="G176">
        <v>1</v>
      </c>
      <c r="H176" t="s">
        <v>296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12.3</v>
      </c>
      <c r="AW176" s="1">
        <v>0</v>
      </c>
      <c r="AX176" s="1">
        <v>0</v>
      </c>
      <c r="AY176" s="1">
        <v>0</v>
      </c>
      <c r="AZ176" s="1">
        <v>3.9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2.46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0.65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</row>
    <row r="177" spans="1:154" x14ac:dyDescent="0.2">
      <c r="A177" s="12">
        <v>535</v>
      </c>
      <c r="B177" s="12">
        <v>1</v>
      </c>
      <c r="C177" s="13" t="s">
        <v>297</v>
      </c>
      <c r="D177" s="1">
        <f t="shared" si="5"/>
        <v>0</v>
      </c>
      <c r="E177" s="1"/>
      <c r="F177">
        <v>535</v>
      </c>
      <c r="G177">
        <v>1</v>
      </c>
      <c r="H177" t="s">
        <v>297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6.89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111.18</v>
      </c>
      <c r="AW177" s="1">
        <v>0</v>
      </c>
      <c r="AX177" s="1">
        <v>0</v>
      </c>
      <c r="AY177" s="1">
        <v>0</v>
      </c>
      <c r="AZ177" s="1">
        <v>133.97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2.78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0.57999999999999996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113.14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1.95</v>
      </c>
      <c r="DX177" s="1">
        <v>0.95</v>
      </c>
      <c r="DY177" s="1">
        <v>0</v>
      </c>
      <c r="DZ177" s="1">
        <v>0</v>
      </c>
      <c r="EA177" s="1">
        <v>3.32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</row>
    <row r="178" spans="1:154" x14ac:dyDescent="0.2">
      <c r="A178" s="12">
        <v>542</v>
      </c>
      <c r="B178" s="12">
        <v>1</v>
      </c>
      <c r="C178" s="13" t="s">
        <v>298</v>
      </c>
      <c r="D178" s="1">
        <f t="shared" si="5"/>
        <v>0</v>
      </c>
      <c r="E178" s="1"/>
      <c r="F178">
        <v>542</v>
      </c>
      <c r="G178">
        <v>1</v>
      </c>
      <c r="H178" t="s">
        <v>298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0.79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</row>
    <row r="179" spans="1:154" x14ac:dyDescent="0.2">
      <c r="A179" s="12">
        <v>544</v>
      </c>
      <c r="B179" s="12">
        <v>1</v>
      </c>
      <c r="C179" s="13" t="s">
        <v>299</v>
      </c>
      <c r="D179" s="1">
        <f t="shared" si="5"/>
        <v>0</v>
      </c>
      <c r="E179" s="1"/>
      <c r="F179">
        <v>544</v>
      </c>
      <c r="G179">
        <v>1</v>
      </c>
      <c r="H179" t="s">
        <v>299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4.7300000000000004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1.3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1.3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</row>
    <row r="180" spans="1:154" x14ac:dyDescent="0.2">
      <c r="A180" s="12">
        <v>545</v>
      </c>
      <c r="B180" s="12">
        <v>1</v>
      </c>
      <c r="C180" s="13" t="s">
        <v>300</v>
      </c>
      <c r="D180" s="1">
        <f t="shared" si="5"/>
        <v>0</v>
      </c>
      <c r="E180" s="1"/>
      <c r="F180">
        <v>545</v>
      </c>
      <c r="G180">
        <v>1</v>
      </c>
      <c r="H180" t="s">
        <v>300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</row>
    <row r="181" spans="1:154" x14ac:dyDescent="0.2">
      <c r="A181" s="12">
        <v>547</v>
      </c>
      <c r="B181" s="12">
        <v>1</v>
      </c>
      <c r="C181" s="13" t="s">
        <v>301</v>
      </c>
      <c r="D181" s="1">
        <f t="shared" si="5"/>
        <v>0</v>
      </c>
      <c r="E181" s="1"/>
      <c r="F181">
        <v>547</v>
      </c>
      <c r="G181">
        <v>1</v>
      </c>
      <c r="H181" t="s">
        <v>301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</row>
    <row r="182" spans="1:154" x14ac:dyDescent="0.2">
      <c r="A182" s="12">
        <v>548</v>
      </c>
      <c r="B182" s="12">
        <v>1</v>
      </c>
      <c r="C182" s="13" t="s">
        <v>302</v>
      </c>
      <c r="D182" s="1">
        <f t="shared" si="5"/>
        <v>0</v>
      </c>
      <c r="E182" s="1"/>
      <c r="F182">
        <v>548</v>
      </c>
      <c r="G182">
        <v>1</v>
      </c>
      <c r="H182" t="s">
        <v>302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</row>
    <row r="183" spans="1:154" x14ac:dyDescent="0.2">
      <c r="A183" s="12">
        <v>549</v>
      </c>
      <c r="B183" s="12">
        <v>1</v>
      </c>
      <c r="C183" s="13" t="s">
        <v>303</v>
      </c>
      <c r="D183" s="1">
        <f t="shared" si="5"/>
        <v>0</v>
      </c>
      <c r="E183" s="1"/>
      <c r="F183">
        <v>549</v>
      </c>
      <c r="G183">
        <v>1</v>
      </c>
      <c r="H183" t="s">
        <v>303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1.64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</row>
    <row r="184" spans="1:154" x14ac:dyDescent="0.2">
      <c r="A184" s="12">
        <v>550</v>
      </c>
      <c r="B184" s="12">
        <v>1</v>
      </c>
      <c r="C184" s="13" t="s">
        <v>304</v>
      </c>
      <c r="D184" s="1">
        <f t="shared" si="5"/>
        <v>0</v>
      </c>
      <c r="E184" s="1"/>
      <c r="F184">
        <v>550</v>
      </c>
      <c r="G184">
        <v>1</v>
      </c>
      <c r="H184" t="s">
        <v>304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</row>
    <row r="185" spans="1:154" x14ac:dyDescent="0.2">
      <c r="A185" s="12">
        <v>553</v>
      </c>
      <c r="B185" s="12">
        <v>1</v>
      </c>
      <c r="C185" s="13" t="s">
        <v>305</v>
      </c>
      <c r="D185" s="1">
        <f t="shared" si="5"/>
        <v>0</v>
      </c>
      <c r="E185" s="1"/>
      <c r="F185">
        <v>553</v>
      </c>
      <c r="G185">
        <v>1</v>
      </c>
      <c r="H185" t="s">
        <v>305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</row>
    <row r="186" spans="1:154" x14ac:dyDescent="0.2">
      <c r="A186" s="12">
        <v>561</v>
      </c>
      <c r="B186" s="12">
        <v>1</v>
      </c>
      <c r="C186" s="13" t="s">
        <v>306</v>
      </c>
      <c r="D186" s="1">
        <f t="shared" si="5"/>
        <v>0</v>
      </c>
      <c r="E186" s="1"/>
      <c r="F186">
        <v>561</v>
      </c>
      <c r="G186">
        <v>1</v>
      </c>
      <c r="H186" t="s">
        <v>306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</row>
    <row r="187" spans="1:154" x14ac:dyDescent="0.2">
      <c r="A187" s="12">
        <v>564</v>
      </c>
      <c r="B187" s="12">
        <v>1</v>
      </c>
      <c r="C187" s="13" t="s">
        <v>307</v>
      </c>
      <c r="D187" s="1">
        <f t="shared" si="5"/>
        <v>0</v>
      </c>
      <c r="E187" s="1"/>
      <c r="F187">
        <v>564</v>
      </c>
      <c r="G187">
        <v>1</v>
      </c>
      <c r="H187" t="s">
        <v>307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0.06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</row>
    <row r="188" spans="1:154" x14ac:dyDescent="0.2">
      <c r="A188" s="12">
        <v>577</v>
      </c>
      <c r="B188" s="12">
        <v>1</v>
      </c>
      <c r="C188" s="13" t="s">
        <v>308</v>
      </c>
      <c r="D188" s="1">
        <f t="shared" si="5"/>
        <v>0</v>
      </c>
      <c r="E188" s="1"/>
      <c r="F188">
        <v>577</v>
      </c>
      <c r="G188">
        <v>1</v>
      </c>
      <c r="H188" t="s">
        <v>308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1.23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1.07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4.2300000000000004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</row>
    <row r="189" spans="1:154" x14ac:dyDescent="0.2">
      <c r="A189" s="12">
        <v>578</v>
      </c>
      <c r="B189" s="12">
        <v>1</v>
      </c>
      <c r="C189" s="13" t="s">
        <v>309</v>
      </c>
      <c r="D189" s="1">
        <f t="shared" si="5"/>
        <v>0</v>
      </c>
      <c r="E189" s="1"/>
      <c r="F189">
        <v>578</v>
      </c>
      <c r="G189">
        <v>1</v>
      </c>
      <c r="H189" t="s">
        <v>309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2.65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0.68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0.75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0.56000000000000005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</row>
    <row r="190" spans="1:154" x14ac:dyDescent="0.2">
      <c r="A190" s="12">
        <v>581</v>
      </c>
      <c r="B190" s="12">
        <v>1</v>
      </c>
      <c r="C190" s="13" t="s">
        <v>310</v>
      </c>
      <c r="D190" s="1">
        <f t="shared" si="5"/>
        <v>0</v>
      </c>
      <c r="E190" s="1"/>
      <c r="F190">
        <v>581</v>
      </c>
      <c r="G190">
        <v>1</v>
      </c>
      <c r="H190" t="s">
        <v>310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</row>
    <row r="191" spans="1:154" x14ac:dyDescent="0.2">
      <c r="A191" s="12">
        <v>592</v>
      </c>
      <c r="B191" s="12">
        <v>1</v>
      </c>
      <c r="C191" s="13" t="s">
        <v>311</v>
      </c>
      <c r="D191" s="1">
        <f t="shared" si="5"/>
        <v>0</v>
      </c>
      <c r="E191" s="1"/>
      <c r="F191">
        <v>592</v>
      </c>
      <c r="G191">
        <v>1</v>
      </c>
      <c r="H191" t="s">
        <v>311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</row>
    <row r="192" spans="1:154" x14ac:dyDescent="0.2">
      <c r="A192" s="12">
        <v>593</v>
      </c>
      <c r="B192" s="12">
        <v>1</v>
      </c>
      <c r="C192" s="13" t="s">
        <v>312</v>
      </c>
      <c r="D192" s="1">
        <f t="shared" si="5"/>
        <v>0</v>
      </c>
      <c r="E192" s="1"/>
      <c r="F192">
        <v>593</v>
      </c>
      <c r="G192">
        <v>1</v>
      </c>
      <c r="H192" t="s">
        <v>312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0.65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</row>
    <row r="193" spans="1:154" x14ac:dyDescent="0.2">
      <c r="A193" s="12">
        <v>595</v>
      </c>
      <c r="B193" s="12">
        <v>1</v>
      </c>
      <c r="C193" s="13" t="s">
        <v>313</v>
      </c>
      <c r="D193" s="1">
        <f t="shared" si="5"/>
        <v>0</v>
      </c>
      <c r="E193" s="1"/>
      <c r="F193">
        <v>595</v>
      </c>
      <c r="G193">
        <v>1</v>
      </c>
      <c r="H193" t="s">
        <v>313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</row>
    <row r="194" spans="1:154" x14ac:dyDescent="0.2">
      <c r="A194" s="12">
        <v>599</v>
      </c>
      <c r="B194" s="12">
        <v>1</v>
      </c>
      <c r="C194" s="13" t="s">
        <v>314</v>
      </c>
      <c r="D194" s="1">
        <f t="shared" si="5"/>
        <v>0</v>
      </c>
      <c r="E194" s="1"/>
      <c r="F194">
        <v>599</v>
      </c>
      <c r="G194">
        <v>1</v>
      </c>
      <c r="H194" t="s">
        <v>314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</row>
    <row r="195" spans="1:154" x14ac:dyDescent="0.2">
      <c r="A195" s="12">
        <v>600</v>
      </c>
      <c r="B195" s="12">
        <v>1</v>
      </c>
      <c r="C195" s="13" t="s">
        <v>315</v>
      </c>
      <c r="D195" s="1">
        <f t="shared" si="5"/>
        <v>0</v>
      </c>
      <c r="E195" s="1"/>
      <c r="F195">
        <v>600</v>
      </c>
      <c r="G195">
        <v>1</v>
      </c>
      <c r="H195" t="s">
        <v>315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</row>
    <row r="196" spans="1:154" x14ac:dyDescent="0.2">
      <c r="A196" s="12">
        <v>601</v>
      </c>
      <c r="B196" s="12">
        <v>1</v>
      </c>
      <c r="C196" s="13" t="s">
        <v>316</v>
      </c>
      <c r="D196" s="1">
        <f t="shared" si="5"/>
        <v>0</v>
      </c>
      <c r="E196" s="1"/>
      <c r="F196">
        <v>601</v>
      </c>
      <c r="G196">
        <v>1</v>
      </c>
      <c r="H196" t="s">
        <v>316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</row>
    <row r="197" spans="1:154" x14ac:dyDescent="0.2">
      <c r="A197" s="12">
        <v>611</v>
      </c>
      <c r="B197" s="12">
        <v>1</v>
      </c>
      <c r="C197" s="13" t="s">
        <v>317</v>
      </c>
      <c r="D197" s="1">
        <f t="shared" si="5"/>
        <v>0</v>
      </c>
      <c r="E197" s="1"/>
      <c r="F197">
        <v>611</v>
      </c>
      <c r="G197">
        <v>1</v>
      </c>
      <c r="H197" t="s">
        <v>317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1.98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</row>
    <row r="198" spans="1:154" x14ac:dyDescent="0.2">
      <c r="A198" s="12">
        <v>621</v>
      </c>
      <c r="B198" s="12">
        <v>1</v>
      </c>
      <c r="C198" s="13" t="s">
        <v>318</v>
      </c>
      <c r="D198" s="1">
        <f t="shared" si="5"/>
        <v>0</v>
      </c>
      <c r="E198" s="1"/>
      <c r="F198">
        <v>621</v>
      </c>
      <c r="G198">
        <v>1</v>
      </c>
      <c r="H198" t="s">
        <v>318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1.3</v>
      </c>
      <c r="O198" s="1">
        <v>0</v>
      </c>
      <c r="P198" s="1">
        <v>0</v>
      </c>
      <c r="Q198" s="1">
        <v>0</v>
      </c>
      <c r="R198" s="1">
        <v>0</v>
      </c>
      <c r="S198" s="1">
        <v>3.48</v>
      </c>
      <c r="T198" s="1">
        <v>0</v>
      </c>
      <c r="U198" s="1">
        <v>7.2</v>
      </c>
      <c r="V198" s="1">
        <v>0</v>
      </c>
      <c r="W198" s="1">
        <v>0</v>
      </c>
      <c r="X198" s="1">
        <v>11.58</v>
      </c>
      <c r="Y198" s="1">
        <v>0</v>
      </c>
      <c r="Z198" s="1">
        <v>5.61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0.81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1.61</v>
      </c>
      <c r="AQ198" s="1">
        <v>0</v>
      </c>
      <c r="AR198" s="1">
        <v>2.02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1.1200000000000001</v>
      </c>
      <c r="BD198" s="1">
        <v>2.17</v>
      </c>
      <c r="BE198" s="1">
        <v>3.35</v>
      </c>
      <c r="BF198" s="1">
        <v>0</v>
      </c>
      <c r="BG198" s="1">
        <v>0</v>
      </c>
      <c r="BH198" s="1">
        <v>21.94</v>
      </c>
      <c r="BI198" s="1">
        <v>7.6</v>
      </c>
      <c r="BJ198" s="1">
        <v>1.1200000000000001</v>
      </c>
      <c r="BK198" s="1">
        <v>0</v>
      </c>
      <c r="BL198" s="1">
        <v>0</v>
      </c>
      <c r="BM198" s="1">
        <v>0</v>
      </c>
      <c r="BN198" s="1">
        <v>0</v>
      </c>
      <c r="BO198" s="1">
        <v>3.02</v>
      </c>
      <c r="BP198" s="1">
        <v>0</v>
      </c>
      <c r="BQ198" s="1">
        <v>0</v>
      </c>
      <c r="BR198" s="1">
        <v>0</v>
      </c>
      <c r="BS198" s="1">
        <v>0.64</v>
      </c>
      <c r="BT198" s="1">
        <v>0</v>
      </c>
      <c r="BU198" s="1">
        <v>0.02</v>
      </c>
      <c r="BV198" s="1">
        <v>1.1200000000000001</v>
      </c>
      <c r="BW198" s="1">
        <v>0</v>
      </c>
      <c r="BX198" s="1">
        <v>0</v>
      </c>
      <c r="BY198" s="1">
        <v>0</v>
      </c>
      <c r="BZ198" s="1">
        <v>1.1599999999999999</v>
      </c>
      <c r="CA198" s="1">
        <v>0</v>
      </c>
      <c r="CB198" s="1">
        <v>0</v>
      </c>
      <c r="CC198" s="1">
        <v>11.12</v>
      </c>
      <c r="CD198" s="1">
        <v>0</v>
      </c>
      <c r="CE198" s="1">
        <v>0</v>
      </c>
      <c r="CF198" s="1">
        <v>0</v>
      </c>
      <c r="CG198" s="1">
        <v>0.37</v>
      </c>
      <c r="CH198" s="1">
        <v>1.06</v>
      </c>
      <c r="CI198" s="1">
        <v>4.88</v>
      </c>
      <c r="CJ198" s="1">
        <v>7.87</v>
      </c>
      <c r="CK198" s="1">
        <v>0</v>
      </c>
      <c r="CL198" s="1">
        <v>0</v>
      </c>
      <c r="CM198" s="1">
        <v>0</v>
      </c>
      <c r="CN198" s="1">
        <v>4.5</v>
      </c>
      <c r="CO198" s="1">
        <v>0</v>
      </c>
      <c r="CP198" s="1">
        <v>1.44</v>
      </c>
      <c r="CQ198" s="1">
        <v>8.0299999999999994</v>
      </c>
      <c r="CR198" s="1">
        <v>3.48</v>
      </c>
      <c r="CS198" s="1">
        <v>0</v>
      </c>
      <c r="CT198" s="1">
        <v>0</v>
      </c>
      <c r="CU198" s="1">
        <v>3.9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1.1200000000000001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2.71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10.029999999999999</v>
      </c>
      <c r="DV198" s="1">
        <v>0</v>
      </c>
      <c r="DW198" s="1">
        <v>0.35</v>
      </c>
      <c r="DX198" s="1">
        <v>0.65</v>
      </c>
      <c r="DY198" s="1">
        <v>5.0599999999999996</v>
      </c>
      <c r="DZ198" s="1">
        <v>0</v>
      </c>
      <c r="EA198" s="1">
        <v>0</v>
      </c>
      <c r="EB198" s="1">
        <v>0</v>
      </c>
      <c r="EC198" s="1">
        <v>0.61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</row>
    <row r="199" spans="1:154" x14ac:dyDescent="0.2">
      <c r="A199" s="12">
        <v>622</v>
      </c>
      <c r="B199" s="12">
        <v>1</v>
      </c>
      <c r="C199" s="13" t="s">
        <v>319</v>
      </c>
      <c r="D199" s="1">
        <f t="shared" si="5"/>
        <v>0</v>
      </c>
      <c r="E199" s="1"/>
      <c r="F199">
        <v>622</v>
      </c>
      <c r="G199">
        <v>1</v>
      </c>
      <c r="H199" t="s">
        <v>319</v>
      </c>
      <c r="I199" s="1">
        <v>0</v>
      </c>
      <c r="J199" s="1">
        <v>0</v>
      </c>
      <c r="K199" s="1">
        <v>4.5599999999999996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1.06</v>
      </c>
      <c r="R199" s="1">
        <v>0</v>
      </c>
      <c r="S199" s="1">
        <v>3.48</v>
      </c>
      <c r="T199" s="1">
        <v>0</v>
      </c>
      <c r="U199" s="1">
        <v>11.1</v>
      </c>
      <c r="V199" s="1">
        <v>38.72</v>
      </c>
      <c r="W199" s="1">
        <v>0</v>
      </c>
      <c r="X199" s="1">
        <v>2.33</v>
      </c>
      <c r="Y199" s="1">
        <v>0</v>
      </c>
      <c r="Z199" s="1">
        <v>2.89</v>
      </c>
      <c r="AA199" s="1">
        <v>0</v>
      </c>
      <c r="AB199" s="1">
        <v>6.59</v>
      </c>
      <c r="AC199" s="1">
        <v>0</v>
      </c>
      <c r="AD199" s="1">
        <v>1.03</v>
      </c>
      <c r="AE199" s="1">
        <v>0</v>
      </c>
      <c r="AF199" s="1">
        <v>3.29</v>
      </c>
      <c r="AG199" s="1">
        <v>0</v>
      </c>
      <c r="AH199" s="1">
        <v>0</v>
      </c>
      <c r="AI199" s="1">
        <v>9.58</v>
      </c>
      <c r="AJ199" s="1">
        <v>0.19</v>
      </c>
      <c r="AK199" s="1">
        <v>47.51</v>
      </c>
      <c r="AL199" s="1">
        <v>0.56999999999999995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8.3000000000000007</v>
      </c>
      <c r="BF199" s="1">
        <v>0</v>
      </c>
      <c r="BG199" s="1">
        <v>7.59</v>
      </c>
      <c r="BH199" s="1">
        <v>21.84</v>
      </c>
      <c r="BI199" s="1">
        <v>3.15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5.07</v>
      </c>
      <c r="BP199" s="1">
        <v>0</v>
      </c>
      <c r="BQ199" s="1">
        <v>0</v>
      </c>
      <c r="BR199" s="1">
        <v>0</v>
      </c>
      <c r="BS199" s="1">
        <v>0.26</v>
      </c>
      <c r="BT199" s="1">
        <v>0</v>
      </c>
      <c r="BU199" s="1">
        <v>4.41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5.71</v>
      </c>
      <c r="CD199" s="1">
        <v>3.31</v>
      </c>
      <c r="CE199" s="1">
        <v>0</v>
      </c>
      <c r="CF199" s="1">
        <v>0</v>
      </c>
      <c r="CG199" s="1">
        <v>0.36</v>
      </c>
      <c r="CH199" s="1">
        <v>14.08</v>
      </c>
      <c r="CI199" s="1">
        <v>0</v>
      </c>
      <c r="CJ199" s="1">
        <v>8.69</v>
      </c>
      <c r="CK199" s="1">
        <v>0</v>
      </c>
      <c r="CL199" s="1">
        <v>0</v>
      </c>
      <c r="CM199" s="1">
        <v>0</v>
      </c>
      <c r="CN199" s="1">
        <v>8.51</v>
      </c>
      <c r="CO199" s="1">
        <v>0</v>
      </c>
      <c r="CP199" s="1">
        <v>0</v>
      </c>
      <c r="CQ199" s="1">
        <v>9.59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1.68</v>
      </c>
      <c r="CX199" s="1">
        <v>1.6</v>
      </c>
      <c r="CY199" s="1">
        <v>0.04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0.23</v>
      </c>
      <c r="DG199" s="1">
        <v>0.23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2.2999999999999998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2.2599999999999998</v>
      </c>
      <c r="DX199" s="1">
        <v>2.6</v>
      </c>
      <c r="DY199" s="1">
        <v>1.68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0.56000000000000005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</row>
    <row r="200" spans="1:154" x14ac:dyDescent="0.2">
      <c r="A200" s="12">
        <v>623</v>
      </c>
      <c r="B200" s="12">
        <v>1</v>
      </c>
      <c r="C200" s="13" t="s">
        <v>320</v>
      </c>
      <c r="D200" s="1">
        <f t="shared" si="5"/>
        <v>0</v>
      </c>
      <c r="E200" s="1"/>
      <c r="F200">
        <v>623</v>
      </c>
      <c r="G200">
        <v>1</v>
      </c>
      <c r="H200" t="s">
        <v>320</v>
      </c>
      <c r="I200" s="1">
        <v>0</v>
      </c>
      <c r="J200" s="1">
        <v>0</v>
      </c>
      <c r="K200" s="1">
        <v>0</v>
      </c>
      <c r="L200" s="1">
        <v>0</v>
      </c>
      <c r="M200" s="1">
        <v>1.3</v>
      </c>
      <c r="N200" s="1">
        <v>0.04</v>
      </c>
      <c r="O200" s="1">
        <v>0</v>
      </c>
      <c r="P200" s="1">
        <v>0</v>
      </c>
      <c r="Q200" s="1">
        <v>0.98</v>
      </c>
      <c r="R200" s="1">
        <v>0</v>
      </c>
      <c r="S200" s="1">
        <v>9.0299999999999994</v>
      </c>
      <c r="T200" s="1">
        <v>0</v>
      </c>
      <c r="U200" s="1">
        <v>7.6</v>
      </c>
      <c r="V200" s="1">
        <v>0</v>
      </c>
      <c r="W200" s="1">
        <v>0</v>
      </c>
      <c r="X200" s="1">
        <v>10.83</v>
      </c>
      <c r="Y200" s="1">
        <v>0</v>
      </c>
      <c r="Z200" s="1">
        <v>3.49</v>
      </c>
      <c r="AA200" s="1">
        <v>0</v>
      </c>
      <c r="AB200" s="1">
        <v>4.9000000000000004</v>
      </c>
      <c r="AC200" s="1">
        <v>0</v>
      </c>
      <c r="AD200" s="1">
        <v>1.3</v>
      </c>
      <c r="AE200" s="1">
        <v>0</v>
      </c>
      <c r="AF200" s="1">
        <v>2.1800000000000002</v>
      </c>
      <c r="AG200" s="1">
        <v>0</v>
      </c>
      <c r="AH200" s="1">
        <v>0</v>
      </c>
      <c r="AI200" s="1">
        <v>2.09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1.29</v>
      </c>
      <c r="AS200" s="1">
        <v>1.3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3.3</v>
      </c>
      <c r="BF200" s="1">
        <v>0</v>
      </c>
      <c r="BG200" s="1">
        <v>0</v>
      </c>
      <c r="BH200" s="1">
        <v>39.72</v>
      </c>
      <c r="BI200" s="1">
        <v>3.72</v>
      </c>
      <c r="BJ200" s="1">
        <v>2.75</v>
      </c>
      <c r="BK200" s="1">
        <v>0</v>
      </c>
      <c r="BL200" s="1">
        <v>0</v>
      </c>
      <c r="BM200" s="1">
        <v>0</v>
      </c>
      <c r="BN200" s="1">
        <v>0</v>
      </c>
      <c r="BO200" s="1">
        <v>3.41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0.1</v>
      </c>
      <c r="BV200" s="1">
        <v>0</v>
      </c>
      <c r="BW200" s="1">
        <v>0</v>
      </c>
      <c r="BX200" s="1">
        <v>0</v>
      </c>
      <c r="BY200" s="1">
        <v>1.1599999999999999</v>
      </c>
      <c r="BZ200" s="1">
        <v>0</v>
      </c>
      <c r="CA200" s="1">
        <v>0</v>
      </c>
      <c r="CB200" s="1">
        <v>0</v>
      </c>
      <c r="CC200" s="1">
        <v>10.46</v>
      </c>
      <c r="CD200" s="1">
        <v>0</v>
      </c>
      <c r="CE200" s="1">
        <v>0</v>
      </c>
      <c r="CF200" s="1">
        <v>0</v>
      </c>
      <c r="CG200" s="1">
        <v>0</v>
      </c>
      <c r="CH200" s="1">
        <v>5.16</v>
      </c>
      <c r="CI200" s="1">
        <v>1.1100000000000001</v>
      </c>
      <c r="CJ200" s="1">
        <v>10.27</v>
      </c>
      <c r="CK200" s="1">
        <v>0</v>
      </c>
      <c r="CL200" s="1">
        <v>0</v>
      </c>
      <c r="CM200" s="1">
        <v>0</v>
      </c>
      <c r="CN200" s="1">
        <v>1.0900000000000001</v>
      </c>
      <c r="CO200" s="1">
        <v>0</v>
      </c>
      <c r="CP200" s="1">
        <v>1.3</v>
      </c>
      <c r="CQ200" s="1">
        <v>19.190000000000001</v>
      </c>
      <c r="CR200" s="1">
        <v>0</v>
      </c>
      <c r="CS200" s="1">
        <v>0</v>
      </c>
      <c r="CT200" s="1">
        <v>0</v>
      </c>
      <c r="CU200" s="1">
        <v>0.56000000000000005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12.03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1.3</v>
      </c>
      <c r="DV200" s="1">
        <v>0</v>
      </c>
      <c r="DW200" s="1">
        <v>0.85</v>
      </c>
      <c r="DX200" s="1">
        <v>1.46</v>
      </c>
      <c r="DY200" s="1">
        <v>2.2400000000000002</v>
      </c>
      <c r="DZ200" s="1">
        <v>2.74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</row>
    <row r="201" spans="1:154" x14ac:dyDescent="0.2">
      <c r="A201" s="12">
        <v>624</v>
      </c>
      <c r="B201" s="12">
        <v>1</v>
      </c>
      <c r="C201" s="13" t="s">
        <v>321</v>
      </c>
      <c r="D201" s="1">
        <f t="shared" si="5"/>
        <v>0</v>
      </c>
      <c r="E201" s="1"/>
      <c r="F201">
        <v>624</v>
      </c>
      <c r="G201">
        <v>1</v>
      </c>
      <c r="H201" t="s">
        <v>321</v>
      </c>
      <c r="I201" s="1">
        <v>0</v>
      </c>
      <c r="J201" s="1">
        <v>0</v>
      </c>
      <c r="K201" s="1">
        <v>1.98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1.01</v>
      </c>
      <c r="R201" s="1">
        <v>0</v>
      </c>
      <c r="S201" s="1">
        <v>3.48</v>
      </c>
      <c r="T201" s="1">
        <v>0</v>
      </c>
      <c r="U201" s="1">
        <v>8.15</v>
      </c>
      <c r="V201" s="1">
        <v>0</v>
      </c>
      <c r="W201" s="1">
        <v>0</v>
      </c>
      <c r="X201" s="1">
        <v>1.3</v>
      </c>
      <c r="Y201" s="1">
        <v>0</v>
      </c>
      <c r="Z201" s="1">
        <v>0</v>
      </c>
      <c r="AA201" s="1">
        <v>0</v>
      </c>
      <c r="AB201" s="1">
        <v>1.29</v>
      </c>
      <c r="AC201" s="1">
        <v>0</v>
      </c>
      <c r="AD201" s="1">
        <v>0.69</v>
      </c>
      <c r="AE201" s="1">
        <v>0</v>
      </c>
      <c r="AF201" s="1">
        <v>0</v>
      </c>
      <c r="AG201" s="1">
        <v>0</v>
      </c>
      <c r="AH201" s="1">
        <v>0</v>
      </c>
      <c r="AI201" s="1">
        <v>0.12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2.6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1.06</v>
      </c>
      <c r="BF201" s="1">
        <v>0</v>
      </c>
      <c r="BG201" s="1">
        <v>0</v>
      </c>
      <c r="BH201" s="1">
        <v>32.36</v>
      </c>
      <c r="BI201" s="1">
        <v>3.9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7.23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3.91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2.83</v>
      </c>
      <c r="CB201" s="1">
        <v>0</v>
      </c>
      <c r="CC201" s="1">
        <v>4.0999999999999996</v>
      </c>
      <c r="CD201" s="1">
        <v>0</v>
      </c>
      <c r="CE201" s="1">
        <v>0</v>
      </c>
      <c r="CF201" s="1">
        <v>0</v>
      </c>
      <c r="CG201" s="1">
        <v>0</v>
      </c>
      <c r="CH201" s="1">
        <v>2.6</v>
      </c>
      <c r="CI201" s="1">
        <v>0</v>
      </c>
      <c r="CJ201" s="1">
        <v>1.3</v>
      </c>
      <c r="CK201" s="1">
        <v>0</v>
      </c>
      <c r="CL201" s="1">
        <v>0</v>
      </c>
      <c r="CM201" s="1">
        <v>0</v>
      </c>
      <c r="CN201" s="1">
        <v>3.82</v>
      </c>
      <c r="CO201" s="1">
        <v>0</v>
      </c>
      <c r="CP201" s="1">
        <v>0</v>
      </c>
      <c r="CQ201" s="1">
        <v>11.11</v>
      </c>
      <c r="CR201" s="1">
        <v>1.41</v>
      </c>
      <c r="CS201" s="1">
        <v>0</v>
      </c>
      <c r="CT201" s="1">
        <v>0</v>
      </c>
      <c r="CU201" s="1">
        <v>10.99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0.3</v>
      </c>
      <c r="DX201" s="1">
        <v>0</v>
      </c>
      <c r="DY201" s="1">
        <v>0</v>
      </c>
      <c r="DZ201" s="1">
        <v>0.56000000000000005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</row>
    <row r="202" spans="1:154" x14ac:dyDescent="0.2">
      <c r="A202" s="12">
        <v>625</v>
      </c>
      <c r="B202" s="12">
        <v>1</v>
      </c>
      <c r="C202" s="13" t="s">
        <v>322</v>
      </c>
      <c r="D202" s="1">
        <f t="shared" si="5"/>
        <v>1</v>
      </c>
      <c r="E202" s="1"/>
      <c r="F202">
        <v>625</v>
      </c>
      <c r="G202">
        <v>1</v>
      </c>
      <c r="H202" t="s">
        <v>322</v>
      </c>
      <c r="I202" s="1">
        <v>149.38999999999999</v>
      </c>
      <c r="J202" s="1">
        <v>0</v>
      </c>
      <c r="K202" s="1">
        <v>4.76</v>
      </c>
      <c r="L202" s="1">
        <v>0</v>
      </c>
      <c r="M202" s="1">
        <v>4.22</v>
      </c>
      <c r="N202" s="1">
        <v>71.66</v>
      </c>
      <c r="O202" s="1">
        <v>0</v>
      </c>
      <c r="P202" s="1">
        <v>0</v>
      </c>
      <c r="Q202" s="1">
        <v>1.1499999999999999</v>
      </c>
      <c r="R202" s="1">
        <v>0</v>
      </c>
      <c r="S202" s="1">
        <v>636.28</v>
      </c>
      <c r="T202" s="1">
        <v>0</v>
      </c>
      <c r="U202" s="1">
        <v>155.53</v>
      </c>
      <c r="V202" s="1">
        <v>370.18</v>
      </c>
      <c r="W202" s="1">
        <v>0</v>
      </c>
      <c r="X202" s="1">
        <v>37.659999999999997</v>
      </c>
      <c r="Y202" s="1">
        <v>0</v>
      </c>
      <c r="Z202" s="1">
        <v>285.05</v>
      </c>
      <c r="AA202" s="1">
        <v>0</v>
      </c>
      <c r="AB202" s="1">
        <v>347.49</v>
      </c>
      <c r="AC202" s="1">
        <v>0</v>
      </c>
      <c r="AD202" s="1">
        <v>70.17</v>
      </c>
      <c r="AE202" s="1">
        <v>0</v>
      </c>
      <c r="AF202" s="1">
        <v>149.27000000000001</v>
      </c>
      <c r="AG202" s="1">
        <v>80.08</v>
      </c>
      <c r="AH202" s="1">
        <v>0</v>
      </c>
      <c r="AI202" s="1">
        <v>148.36000000000001</v>
      </c>
      <c r="AJ202" s="1">
        <v>188.13</v>
      </c>
      <c r="AK202" s="1">
        <v>15.02</v>
      </c>
      <c r="AL202" s="1">
        <v>10.49</v>
      </c>
      <c r="AM202" s="1">
        <v>0</v>
      </c>
      <c r="AN202" s="1">
        <v>0</v>
      </c>
      <c r="AO202" s="1">
        <v>0</v>
      </c>
      <c r="AP202" s="1">
        <v>1.1299999999999999</v>
      </c>
      <c r="AQ202" s="1">
        <v>0</v>
      </c>
      <c r="AR202" s="1">
        <v>3.5</v>
      </c>
      <c r="AS202" s="1">
        <v>0</v>
      </c>
      <c r="AT202" s="1">
        <v>0</v>
      </c>
      <c r="AU202" s="1">
        <v>0</v>
      </c>
      <c r="AV202" s="1">
        <v>0</v>
      </c>
      <c r="AW202" s="1">
        <v>5.0999999999999996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1.1200000000000001</v>
      </c>
      <c r="BE202" s="1">
        <v>521.28</v>
      </c>
      <c r="BF202" s="1">
        <v>0</v>
      </c>
      <c r="BG202" s="1">
        <v>248.78</v>
      </c>
      <c r="BH202" s="1">
        <v>46.36</v>
      </c>
      <c r="BI202" s="1">
        <v>132.88999999999999</v>
      </c>
      <c r="BJ202" s="1">
        <v>25.93</v>
      </c>
      <c r="BK202" s="1">
        <v>22.44</v>
      </c>
      <c r="BL202" s="1">
        <v>0</v>
      </c>
      <c r="BM202" s="1">
        <v>0</v>
      </c>
      <c r="BN202" s="1">
        <v>0</v>
      </c>
      <c r="BO202" s="1">
        <v>50.62</v>
      </c>
      <c r="BP202" s="1">
        <v>0</v>
      </c>
      <c r="BQ202" s="1">
        <v>0</v>
      </c>
      <c r="BR202" s="1">
        <v>0</v>
      </c>
      <c r="BS202" s="1">
        <v>2.23</v>
      </c>
      <c r="BT202" s="1">
        <v>0</v>
      </c>
      <c r="BU202" s="1">
        <v>190.13</v>
      </c>
      <c r="BV202" s="1">
        <v>0</v>
      </c>
      <c r="BW202" s="1">
        <v>0</v>
      </c>
      <c r="BX202" s="1">
        <v>0</v>
      </c>
      <c r="BY202" s="1">
        <v>3.81</v>
      </c>
      <c r="BZ202" s="1">
        <v>0</v>
      </c>
      <c r="CA202" s="1">
        <v>1.64</v>
      </c>
      <c r="CB202" s="1">
        <v>2.1800000000000002</v>
      </c>
      <c r="CC202" s="1">
        <v>163.96</v>
      </c>
      <c r="CD202" s="1">
        <v>83.77</v>
      </c>
      <c r="CE202" s="1">
        <v>0</v>
      </c>
      <c r="CF202" s="1">
        <v>2.64</v>
      </c>
      <c r="CG202" s="1">
        <v>39.29</v>
      </c>
      <c r="CH202" s="1">
        <v>106.33</v>
      </c>
      <c r="CI202" s="1">
        <v>0</v>
      </c>
      <c r="CJ202" s="1">
        <v>137.52000000000001</v>
      </c>
      <c r="CK202" s="1">
        <v>0</v>
      </c>
      <c r="CL202" s="1">
        <v>0</v>
      </c>
      <c r="CM202" s="1">
        <v>139.34</v>
      </c>
      <c r="CN202" s="1">
        <v>13.57</v>
      </c>
      <c r="CO202" s="1">
        <v>0</v>
      </c>
      <c r="CP202" s="1">
        <v>18.03</v>
      </c>
      <c r="CQ202" s="1">
        <v>111.45</v>
      </c>
      <c r="CR202" s="1">
        <v>3.8</v>
      </c>
      <c r="CS202" s="1">
        <v>0</v>
      </c>
      <c r="CT202" s="1">
        <v>1.06</v>
      </c>
      <c r="CU202" s="1">
        <v>0</v>
      </c>
      <c r="CV202" s="1">
        <v>0</v>
      </c>
      <c r="CW202" s="1">
        <v>12.88</v>
      </c>
      <c r="CX202" s="1">
        <v>0</v>
      </c>
      <c r="CY202" s="1">
        <v>19.37</v>
      </c>
      <c r="CZ202" s="1">
        <v>2.6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41.42</v>
      </c>
      <c r="DG202" s="1">
        <v>66.47</v>
      </c>
      <c r="DH202" s="1">
        <v>0</v>
      </c>
      <c r="DI202" s="1">
        <v>0</v>
      </c>
      <c r="DJ202" s="1">
        <v>1.08</v>
      </c>
      <c r="DK202" s="1">
        <v>0</v>
      </c>
      <c r="DL202" s="1">
        <v>0</v>
      </c>
      <c r="DM202" s="1">
        <v>0</v>
      </c>
      <c r="DN202" s="1">
        <v>26.27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3.27</v>
      </c>
      <c r="DX202" s="1">
        <v>1.46</v>
      </c>
      <c r="DY202" s="1">
        <v>27.48</v>
      </c>
      <c r="DZ202" s="1">
        <v>62.85</v>
      </c>
      <c r="EA202" s="1">
        <v>0</v>
      </c>
      <c r="EB202" s="1">
        <v>0</v>
      </c>
      <c r="EC202" s="1">
        <v>0</v>
      </c>
      <c r="ED202" s="1">
        <v>0</v>
      </c>
      <c r="EE202" s="1">
        <v>1.1100000000000001</v>
      </c>
      <c r="EF202" s="1">
        <v>0</v>
      </c>
      <c r="EG202" s="1">
        <v>0</v>
      </c>
      <c r="EH202" s="1">
        <v>0</v>
      </c>
      <c r="EI202" s="1">
        <v>0.01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1</v>
      </c>
    </row>
    <row r="203" spans="1:154" x14ac:dyDescent="0.2">
      <c r="A203" s="12">
        <v>627</v>
      </c>
      <c r="B203" s="12">
        <v>1</v>
      </c>
      <c r="C203" s="13" t="s">
        <v>323</v>
      </c>
      <c r="D203" s="1">
        <f t="shared" ref="D203:D266" si="6">SUMIF(I$5:EX$5,Snumber,I203:EX203)</f>
        <v>0</v>
      </c>
      <c r="E203" s="1"/>
      <c r="F203">
        <v>627</v>
      </c>
      <c r="G203">
        <v>1</v>
      </c>
      <c r="H203" t="s">
        <v>323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</row>
    <row r="204" spans="1:154" x14ac:dyDescent="0.2">
      <c r="A204" s="12">
        <v>628</v>
      </c>
      <c r="B204" s="12">
        <v>1</v>
      </c>
      <c r="C204" s="13" t="s">
        <v>324</v>
      </c>
      <c r="D204" s="1">
        <f t="shared" si="6"/>
        <v>0</v>
      </c>
      <c r="E204" s="1"/>
      <c r="F204">
        <v>628</v>
      </c>
      <c r="G204">
        <v>1</v>
      </c>
      <c r="H204" t="s">
        <v>324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</row>
    <row r="205" spans="1:154" x14ac:dyDescent="0.2">
      <c r="A205" s="12">
        <v>630</v>
      </c>
      <c r="B205" s="12">
        <v>1</v>
      </c>
      <c r="C205" s="13" t="s">
        <v>325</v>
      </c>
      <c r="D205" s="1">
        <f t="shared" si="6"/>
        <v>0</v>
      </c>
      <c r="E205" s="1"/>
      <c r="F205">
        <v>630</v>
      </c>
      <c r="G205">
        <v>1</v>
      </c>
      <c r="H205" t="s">
        <v>325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</row>
    <row r="206" spans="1:154" x14ac:dyDescent="0.2">
      <c r="A206" s="12">
        <v>635</v>
      </c>
      <c r="B206" s="12">
        <v>1</v>
      </c>
      <c r="C206" s="13" t="s">
        <v>326</v>
      </c>
      <c r="D206" s="1">
        <f t="shared" si="6"/>
        <v>0</v>
      </c>
      <c r="E206" s="1"/>
      <c r="F206">
        <v>635</v>
      </c>
      <c r="G206">
        <v>1</v>
      </c>
      <c r="H206" t="s">
        <v>326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29.82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</row>
    <row r="207" spans="1:154" x14ac:dyDescent="0.2">
      <c r="A207" s="12">
        <v>640</v>
      </c>
      <c r="B207" s="12">
        <v>1</v>
      </c>
      <c r="C207" s="13" t="s">
        <v>327</v>
      </c>
      <c r="D207" s="1">
        <f t="shared" si="6"/>
        <v>0</v>
      </c>
      <c r="E207" s="1"/>
      <c r="F207">
        <v>640</v>
      </c>
      <c r="G207">
        <v>1</v>
      </c>
      <c r="H207" t="s">
        <v>327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1.3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3.35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</row>
    <row r="208" spans="1:154" x14ac:dyDescent="0.2">
      <c r="A208" s="12">
        <v>656</v>
      </c>
      <c r="B208" s="12">
        <v>1</v>
      </c>
      <c r="C208" s="13" t="s">
        <v>328</v>
      </c>
      <c r="D208" s="1">
        <f t="shared" si="6"/>
        <v>0</v>
      </c>
      <c r="E208" s="1"/>
      <c r="F208">
        <v>656</v>
      </c>
      <c r="G208">
        <v>1</v>
      </c>
      <c r="H208" t="s">
        <v>328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2.97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135.6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64.040000000000006</v>
      </c>
      <c r="BO208" s="1">
        <v>1.48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4.3600000000000003</v>
      </c>
      <c r="BX208" s="1">
        <v>15.52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1.3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3.22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</row>
    <row r="209" spans="1:154" x14ac:dyDescent="0.2">
      <c r="A209" s="12">
        <v>659</v>
      </c>
      <c r="B209" s="12">
        <v>1</v>
      </c>
      <c r="C209" s="13" t="s">
        <v>329</v>
      </c>
      <c r="D209" s="1">
        <f t="shared" si="6"/>
        <v>0</v>
      </c>
      <c r="E209" s="1"/>
      <c r="F209">
        <v>659</v>
      </c>
      <c r="G209">
        <v>1</v>
      </c>
      <c r="H209" t="s">
        <v>329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3.26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4.1500000000000004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88.45</v>
      </c>
      <c r="BX209" s="1">
        <v>112.89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0.75</v>
      </c>
      <c r="CO209" s="1">
        <v>0</v>
      </c>
      <c r="CP209" s="1">
        <v>1.3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3.25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</row>
    <row r="210" spans="1:154" x14ac:dyDescent="0.2">
      <c r="A210" s="12">
        <v>671</v>
      </c>
      <c r="B210" s="12">
        <v>1</v>
      </c>
      <c r="C210" s="13" t="s">
        <v>330</v>
      </c>
      <c r="D210" s="1">
        <f t="shared" si="6"/>
        <v>0</v>
      </c>
      <c r="E210" s="1"/>
      <c r="F210">
        <v>671</v>
      </c>
      <c r="G210">
        <v>1</v>
      </c>
      <c r="H210" t="s">
        <v>330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</row>
    <row r="211" spans="1:154" x14ac:dyDescent="0.2">
      <c r="A211" s="12">
        <v>676</v>
      </c>
      <c r="B211" s="12">
        <v>1</v>
      </c>
      <c r="C211" s="13" t="s">
        <v>331</v>
      </c>
      <c r="D211" s="1">
        <f t="shared" si="6"/>
        <v>0</v>
      </c>
      <c r="E211" s="1"/>
      <c r="F211">
        <v>676</v>
      </c>
      <c r="G211">
        <v>1</v>
      </c>
      <c r="H211" t="s">
        <v>331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1.89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</row>
    <row r="212" spans="1:154" x14ac:dyDescent="0.2">
      <c r="A212" s="12">
        <v>682</v>
      </c>
      <c r="B212" s="12">
        <v>1</v>
      </c>
      <c r="C212" s="13" t="s">
        <v>332</v>
      </c>
      <c r="D212" s="1">
        <f t="shared" si="6"/>
        <v>0</v>
      </c>
      <c r="E212" s="1"/>
      <c r="F212">
        <v>682</v>
      </c>
      <c r="G212">
        <v>1</v>
      </c>
      <c r="H212" t="s">
        <v>332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2.0099999999999998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4.1399999999999997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</row>
    <row r="213" spans="1:154" x14ac:dyDescent="0.2">
      <c r="A213" s="12">
        <v>690</v>
      </c>
      <c r="B213" s="12">
        <v>1</v>
      </c>
      <c r="C213" s="13" t="s">
        <v>333</v>
      </c>
      <c r="D213" s="1">
        <f t="shared" si="6"/>
        <v>0</v>
      </c>
      <c r="E213" s="1"/>
      <c r="F213">
        <v>690</v>
      </c>
      <c r="G213">
        <v>1</v>
      </c>
      <c r="H213" t="s">
        <v>333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0.53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</row>
    <row r="214" spans="1:154" x14ac:dyDescent="0.2">
      <c r="A214" s="12">
        <v>695</v>
      </c>
      <c r="B214" s="12">
        <v>1</v>
      </c>
      <c r="C214" s="13" t="s">
        <v>334</v>
      </c>
      <c r="D214" s="1">
        <f t="shared" si="6"/>
        <v>0</v>
      </c>
      <c r="E214" s="1"/>
      <c r="F214">
        <v>695</v>
      </c>
      <c r="G214">
        <v>1</v>
      </c>
      <c r="H214" t="s">
        <v>334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1.3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5.0999999999999996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0.51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</row>
    <row r="215" spans="1:154" x14ac:dyDescent="0.2">
      <c r="A215" s="12">
        <v>696</v>
      </c>
      <c r="B215" s="12">
        <v>1</v>
      </c>
      <c r="C215" s="13" t="s">
        <v>335</v>
      </c>
      <c r="D215" s="1">
        <f t="shared" si="6"/>
        <v>0</v>
      </c>
      <c r="E215" s="1"/>
      <c r="F215">
        <v>696</v>
      </c>
      <c r="G215">
        <v>1</v>
      </c>
      <c r="H215" t="s">
        <v>335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2.5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1.25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</row>
    <row r="216" spans="1:154" x14ac:dyDescent="0.2">
      <c r="A216" s="12">
        <v>698</v>
      </c>
      <c r="B216" s="12">
        <v>1</v>
      </c>
      <c r="C216" s="13" t="s">
        <v>336</v>
      </c>
      <c r="D216" s="1">
        <f t="shared" si="6"/>
        <v>0</v>
      </c>
      <c r="E216" s="1"/>
      <c r="F216">
        <v>698</v>
      </c>
      <c r="G216">
        <v>1</v>
      </c>
      <c r="H216" t="s">
        <v>336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</row>
    <row r="217" spans="1:154" x14ac:dyDescent="0.2">
      <c r="A217" s="12">
        <v>700</v>
      </c>
      <c r="B217" s="12">
        <v>1</v>
      </c>
      <c r="C217" s="13" t="s">
        <v>337</v>
      </c>
      <c r="D217" s="1">
        <f t="shared" si="6"/>
        <v>0</v>
      </c>
      <c r="E217" s="1"/>
      <c r="F217">
        <v>700</v>
      </c>
      <c r="G217">
        <v>1</v>
      </c>
      <c r="H217" t="s">
        <v>337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0.26</v>
      </c>
      <c r="V217" s="1">
        <v>0</v>
      </c>
      <c r="W217" s="1">
        <v>10.41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1.66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1.06</v>
      </c>
      <c r="BR217" s="1">
        <v>9.06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</row>
    <row r="218" spans="1:154" x14ac:dyDescent="0.2">
      <c r="A218" s="12">
        <v>701</v>
      </c>
      <c r="B218" s="12">
        <v>1</v>
      </c>
      <c r="C218" s="13" t="s">
        <v>338</v>
      </c>
      <c r="D218" s="1">
        <f t="shared" si="6"/>
        <v>0</v>
      </c>
      <c r="E218" s="1"/>
      <c r="F218">
        <v>701</v>
      </c>
      <c r="G218">
        <v>1</v>
      </c>
      <c r="H218" t="s">
        <v>338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2.4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19.23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1.91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</row>
    <row r="219" spans="1:154" x14ac:dyDescent="0.2">
      <c r="A219" s="12">
        <v>704</v>
      </c>
      <c r="B219" s="12">
        <v>1</v>
      </c>
      <c r="C219" s="13" t="s">
        <v>339</v>
      </c>
      <c r="D219" s="1">
        <f t="shared" si="6"/>
        <v>0</v>
      </c>
      <c r="E219" s="1"/>
      <c r="F219">
        <v>704</v>
      </c>
      <c r="G219">
        <v>1</v>
      </c>
      <c r="H219" t="s">
        <v>339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1.56</v>
      </c>
      <c r="V219" s="1">
        <v>0</v>
      </c>
      <c r="W219" s="1">
        <v>12.23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7.21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2.12</v>
      </c>
      <c r="BP219" s="1">
        <v>0</v>
      </c>
      <c r="BQ219" s="1">
        <v>0</v>
      </c>
      <c r="BR219" s="1">
        <v>9.33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</row>
    <row r="220" spans="1:154" x14ac:dyDescent="0.2">
      <c r="A220" s="12">
        <v>706</v>
      </c>
      <c r="B220" s="12">
        <v>1</v>
      </c>
      <c r="C220" s="13" t="s">
        <v>340</v>
      </c>
      <c r="D220" s="1">
        <f t="shared" si="6"/>
        <v>0</v>
      </c>
      <c r="E220" s="1"/>
      <c r="F220">
        <v>706</v>
      </c>
      <c r="G220">
        <v>1</v>
      </c>
      <c r="H220" t="s">
        <v>340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5.48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5.18</v>
      </c>
      <c r="BP220" s="1">
        <v>0</v>
      </c>
      <c r="BQ220" s="1">
        <v>0</v>
      </c>
      <c r="BR220" s="1">
        <v>0.51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</row>
    <row r="221" spans="1:154" x14ac:dyDescent="0.2">
      <c r="A221" s="12">
        <v>707</v>
      </c>
      <c r="B221" s="12">
        <v>1</v>
      </c>
      <c r="C221" s="13" t="s">
        <v>341</v>
      </c>
      <c r="D221" s="1">
        <f t="shared" si="6"/>
        <v>0</v>
      </c>
      <c r="E221" s="1"/>
      <c r="F221">
        <v>707</v>
      </c>
      <c r="G221">
        <v>1</v>
      </c>
      <c r="H221" t="s">
        <v>341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1.31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</row>
    <row r="222" spans="1:154" x14ac:dyDescent="0.2">
      <c r="A222" s="12">
        <v>709</v>
      </c>
      <c r="B222" s="12">
        <v>1</v>
      </c>
      <c r="C222" s="13" t="s">
        <v>342</v>
      </c>
      <c r="D222" s="1">
        <f t="shared" si="6"/>
        <v>0</v>
      </c>
      <c r="E222" s="1"/>
      <c r="F222">
        <v>709</v>
      </c>
      <c r="G222">
        <v>1</v>
      </c>
      <c r="H222" t="s">
        <v>342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14.27</v>
      </c>
      <c r="V222" s="1">
        <v>0</v>
      </c>
      <c r="W222" s="1">
        <v>799.85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87.37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7.89</v>
      </c>
      <c r="BP222" s="1">
        <v>0</v>
      </c>
      <c r="BQ222" s="1">
        <v>21.48</v>
      </c>
      <c r="BR222" s="1">
        <v>227.55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0.34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0.16</v>
      </c>
      <c r="DX222" s="1">
        <v>7.72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</row>
    <row r="223" spans="1:154" x14ac:dyDescent="0.2">
      <c r="A223" s="12">
        <v>712</v>
      </c>
      <c r="B223" s="12">
        <v>1</v>
      </c>
      <c r="C223" s="13" t="s">
        <v>343</v>
      </c>
      <c r="D223" s="1">
        <f t="shared" si="6"/>
        <v>0</v>
      </c>
      <c r="E223" s="1"/>
      <c r="F223">
        <v>712</v>
      </c>
      <c r="G223">
        <v>1</v>
      </c>
      <c r="H223" t="s">
        <v>343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1.06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1.7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</row>
    <row r="224" spans="1:154" x14ac:dyDescent="0.2">
      <c r="A224" s="12">
        <v>716</v>
      </c>
      <c r="B224" s="12">
        <v>1</v>
      </c>
      <c r="C224" s="13" t="s">
        <v>344</v>
      </c>
      <c r="D224" s="1">
        <f t="shared" si="6"/>
        <v>0</v>
      </c>
      <c r="E224" s="1"/>
      <c r="F224">
        <v>716</v>
      </c>
      <c r="G224">
        <v>1</v>
      </c>
      <c r="H224" t="s">
        <v>344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18.04</v>
      </c>
      <c r="P224" s="1">
        <v>0</v>
      </c>
      <c r="Q224" s="1">
        <v>0</v>
      </c>
      <c r="R224" s="1">
        <v>0</v>
      </c>
      <c r="S224" s="1">
        <v>0</v>
      </c>
      <c r="T224" s="1">
        <v>0.47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0.65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6.14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</row>
    <row r="225" spans="1:154" x14ac:dyDescent="0.2">
      <c r="A225" s="12">
        <v>717</v>
      </c>
      <c r="B225" s="12">
        <v>1</v>
      </c>
      <c r="C225" s="13" t="s">
        <v>345</v>
      </c>
      <c r="D225" s="1">
        <f t="shared" si="6"/>
        <v>0</v>
      </c>
      <c r="E225" s="1"/>
      <c r="F225">
        <v>717</v>
      </c>
      <c r="G225">
        <v>1</v>
      </c>
      <c r="H225" t="s">
        <v>345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1.01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0.16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7.0000000000000007E-2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</row>
    <row r="226" spans="1:154" x14ac:dyDescent="0.2">
      <c r="A226" s="12">
        <v>719</v>
      </c>
      <c r="B226" s="12">
        <v>1</v>
      </c>
      <c r="C226" s="13" t="s">
        <v>346</v>
      </c>
      <c r="D226" s="1">
        <f t="shared" si="6"/>
        <v>0</v>
      </c>
      <c r="E226" s="1"/>
      <c r="F226">
        <v>719</v>
      </c>
      <c r="G226">
        <v>1</v>
      </c>
      <c r="H226" t="s">
        <v>346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1.3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7.0000000000000007E-2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2.73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2.72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1.3</v>
      </c>
      <c r="CK226" s="1">
        <v>0</v>
      </c>
      <c r="CL226" s="1">
        <v>0</v>
      </c>
      <c r="CM226" s="1">
        <v>0</v>
      </c>
      <c r="CN226" s="1">
        <v>7.18</v>
      </c>
      <c r="CO226" s="1">
        <v>0</v>
      </c>
      <c r="CP226" s="1">
        <v>0</v>
      </c>
      <c r="CQ226" s="1">
        <v>3.3</v>
      </c>
      <c r="CR226" s="1">
        <v>2.2400000000000002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2.58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1.75</v>
      </c>
      <c r="DO226" s="1">
        <v>2.48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2.25</v>
      </c>
      <c r="DX226" s="1">
        <v>0.38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0.62</v>
      </c>
      <c r="EE226" s="1">
        <v>5.44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</row>
    <row r="227" spans="1:154" x14ac:dyDescent="0.2">
      <c r="A227" s="12">
        <v>720</v>
      </c>
      <c r="B227" s="12">
        <v>1</v>
      </c>
      <c r="C227" s="13" t="s">
        <v>347</v>
      </c>
      <c r="D227" s="1">
        <f t="shared" si="6"/>
        <v>0</v>
      </c>
      <c r="E227" s="1"/>
      <c r="F227">
        <v>720</v>
      </c>
      <c r="G227">
        <v>1</v>
      </c>
      <c r="H227" t="s">
        <v>347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3.3</v>
      </c>
      <c r="U227" s="1">
        <v>1.74</v>
      </c>
      <c r="V227" s="1">
        <v>0</v>
      </c>
      <c r="W227" s="1">
        <v>0</v>
      </c>
      <c r="X227" s="1">
        <v>2.36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0.28999999999999998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2.2799999999999998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1.1200000000000001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2.64</v>
      </c>
      <c r="CO227" s="1">
        <v>5.42</v>
      </c>
      <c r="CP227" s="1">
        <v>0</v>
      </c>
      <c r="CQ227" s="1">
        <v>0.6</v>
      </c>
      <c r="CR227" s="1">
        <v>0.12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8.73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2.5099999999999998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0.56000000000000005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</row>
    <row r="228" spans="1:154" x14ac:dyDescent="0.2">
      <c r="A228" s="12">
        <v>721</v>
      </c>
      <c r="B228" s="12">
        <v>1</v>
      </c>
      <c r="C228" s="13" t="s">
        <v>348</v>
      </c>
      <c r="D228" s="1">
        <f t="shared" si="6"/>
        <v>0</v>
      </c>
      <c r="E228" s="1"/>
      <c r="F228">
        <v>721</v>
      </c>
      <c r="G228">
        <v>1</v>
      </c>
      <c r="H228" t="s">
        <v>348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1.85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5.16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3.19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1.21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1.1299999999999999</v>
      </c>
      <c r="CO228" s="1">
        <v>0</v>
      </c>
      <c r="CP228" s="1">
        <v>0</v>
      </c>
      <c r="CQ228" s="1">
        <v>1.3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0.65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</row>
    <row r="229" spans="1:154" x14ac:dyDescent="0.2">
      <c r="A229" s="12">
        <v>726</v>
      </c>
      <c r="B229" s="12">
        <v>1</v>
      </c>
      <c r="C229" s="13" t="s">
        <v>349</v>
      </c>
      <c r="D229" s="1">
        <f t="shared" si="6"/>
        <v>0</v>
      </c>
      <c r="E229" s="1"/>
      <c r="F229">
        <v>726</v>
      </c>
      <c r="G229">
        <v>1</v>
      </c>
      <c r="H229" t="s">
        <v>349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0.42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8.19</v>
      </c>
      <c r="DL229" s="1">
        <v>0</v>
      </c>
      <c r="DM229" s="1">
        <v>0</v>
      </c>
      <c r="DN229" s="1">
        <v>0</v>
      </c>
      <c r="DO229" s="1">
        <v>0</v>
      </c>
      <c r="DP229" s="1">
        <v>5.47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2.94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1.3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</row>
    <row r="230" spans="1:154" x14ac:dyDescent="0.2">
      <c r="A230" s="12">
        <v>727</v>
      </c>
      <c r="B230" s="12">
        <v>1</v>
      </c>
      <c r="C230" s="13" t="s">
        <v>350</v>
      </c>
      <c r="D230" s="1">
        <f t="shared" si="6"/>
        <v>0</v>
      </c>
      <c r="E230" s="1"/>
      <c r="F230">
        <v>727</v>
      </c>
      <c r="G230">
        <v>1</v>
      </c>
      <c r="H230" t="s">
        <v>350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9</v>
      </c>
      <c r="Q230" s="1">
        <v>0</v>
      </c>
      <c r="R230" s="1">
        <v>0</v>
      </c>
      <c r="S230" s="1">
        <v>0</v>
      </c>
      <c r="T230" s="1">
        <v>0</v>
      </c>
      <c r="U230" s="1">
        <v>6.36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9.69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0.96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2.36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18.05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0.46</v>
      </c>
      <c r="DV230" s="1">
        <v>1.3</v>
      </c>
      <c r="DW230" s="1">
        <v>1.85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2.77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</row>
    <row r="231" spans="1:154" x14ac:dyDescent="0.2">
      <c r="A231" s="12">
        <v>728</v>
      </c>
      <c r="B231" s="12">
        <v>1</v>
      </c>
      <c r="C231" s="13" t="s">
        <v>351</v>
      </c>
      <c r="D231" s="1">
        <f t="shared" si="6"/>
        <v>0</v>
      </c>
      <c r="E231" s="1"/>
      <c r="F231">
        <v>728</v>
      </c>
      <c r="G231">
        <v>1</v>
      </c>
      <c r="H231" t="s">
        <v>351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54.01</v>
      </c>
      <c r="Q231" s="1">
        <v>0.46</v>
      </c>
      <c r="R231" s="1">
        <v>0</v>
      </c>
      <c r="S231" s="1">
        <v>0</v>
      </c>
      <c r="T231" s="1">
        <v>0</v>
      </c>
      <c r="U231" s="1">
        <v>5.48</v>
      </c>
      <c r="V231" s="1">
        <v>0</v>
      </c>
      <c r="W231" s="1">
        <v>0</v>
      </c>
      <c r="X231" s="1">
        <v>0.51</v>
      </c>
      <c r="Y231" s="1">
        <v>0</v>
      </c>
      <c r="Z231" s="1">
        <v>0</v>
      </c>
      <c r="AA231" s="1">
        <v>0</v>
      </c>
      <c r="AB231" s="1">
        <v>0</v>
      </c>
      <c r="AC231" s="1">
        <v>1.06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2.0299999999999998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2.6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6.01</v>
      </c>
      <c r="BP231" s="1">
        <v>0</v>
      </c>
      <c r="BQ231" s="1">
        <v>0</v>
      </c>
      <c r="BR231" s="1">
        <v>0</v>
      </c>
      <c r="BS231" s="1">
        <v>0</v>
      </c>
      <c r="BT231" s="1">
        <v>0.05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2.5499999999999998</v>
      </c>
      <c r="CO231" s="1">
        <v>0</v>
      </c>
      <c r="CP231" s="1">
        <v>0</v>
      </c>
      <c r="CQ231" s="1">
        <v>0</v>
      </c>
      <c r="CR231" s="1">
        <v>0.04</v>
      </c>
      <c r="CS231" s="1">
        <v>0</v>
      </c>
      <c r="CT231" s="1">
        <v>0</v>
      </c>
      <c r="CU231" s="1">
        <v>0</v>
      </c>
      <c r="CV231" s="1">
        <v>236.18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1.6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1.93</v>
      </c>
      <c r="DW231" s="1">
        <v>2.57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58.31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</row>
    <row r="232" spans="1:154" x14ac:dyDescent="0.2">
      <c r="A232" s="12">
        <v>738</v>
      </c>
      <c r="B232" s="12">
        <v>1</v>
      </c>
      <c r="C232" s="13" t="s">
        <v>352</v>
      </c>
      <c r="D232" s="1">
        <f t="shared" si="6"/>
        <v>0</v>
      </c>
      <c r="E232" s="1"/>
      <c r="F232">
        <v>738</v>
      </c>
      <c r="G232">
        <v>1</v>
      </c>
      <c r="H232" t="s">
        <v>352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</row>
    <row r="233" spans="1:154" x14ac:dyDescent="0.2">
      <c r="A233" s="12">
        <v>739</v>
      </c>
      <c r="B233" s="12">
        <v>1</v>
      </c>
      <c r="C233" s="13" t="s">
        <v>353</v>
      </c>
      <c r="D233" s="1">
        <f t="shared" si="6"/>
        <v>0</v>
      </c>
      <c r="E233" s="1"/>
      <c r="F233">
        <v>739</v>
      </c>
      <c r="G233">
        <v>1</v>
      </c>
      <c r="H233" t="s">
        <v>353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1.87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0.23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</row>
    <row r="234" spans="1:154" x14ac:dyDescent="0.2">
      <c r="A234" s="12">
        <v>740</v>
      </c>
      <c r="B234" s="12">
        <v>1</v>
      </c>
      <c r="C234" s="13" t="s">
        <v>354</v>
      </c>
      <c r="D234" s="1">
        <f t="shared" si="6"/>
        <v>0</v>
      </c>
      <c r="E234" s="1"/>
      <c r="F234">
        <v>740</v>
      </c>
      <c r="G234">
        <v>1</v>
      </c>
      <c r="H234" t="s">
        <v>354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2.08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</row>
    <row r="235" spans="1:154" x14ac:dyDescent="0.2">
      <c r="A235" s="12">
        <v>741</v>
      </c>
      <c r="B235" s="12">
        <v>1</v>
      </c>
      <c r="C235" s="13" t="s">
        <v>355</v>
      </c>
      <c r="D235" s="1">
        <f t="shared" si="6"/>
        <v>0</v>
      </c>
      <c r="E235" s="1"/>
      <c r="F235">
        <v>741</v>
      </c>
      <c r="G235">
        <v>1</v>
      </c>
      <c r="H235" t="s">
        <v>355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</row>
    <row r="236" spans="1:154" x14ac:dyDescent="0.2">
      <c r="A236" s="12">
        <v>742</v>
      </c>
      <c r="B236" s="12">
        <v>1</v>
      </c>
      <c r="C236" s="13" t="s">
        <v>356</v>
      </c>
      <c r="D236" s="1">
        <f t="shared" si="6"/>
        <v>0</v>
      </c>
      <c r="E236" s="1"/>
      <c r="F236">
        <v>742</v>
      </c>
      <c r="G236">
        <v>1</v>
      </c>
      <c r="H236" t="s">
        <v>356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1.29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28.37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2.4300000000000002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0.68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6.64</v>
      </c>
      <c r="DL236" s="1">
        <v>0</v>
      </c>
      <c r="DM236" s="1">
        <v>0</v>
      </c>
      <c r="DN236" s="1">
        <v>0</v>
      </c>
      <c r="DO236" s="1">
        <v>0</v>
      </c>
      <c r="DP236" s="1">
        <v>185.84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1.3</v>
      </c>
      <c r="DX236" s="1">
        <v>1.3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</row>
    <row r="237" spans="1:154" x14ac:dyDescent="0.2">
      <c r="A237" s="12">
        <v>743</v>
      </c>
      <c r="B237" s="12">
        <v>1</v>
      </c>
      <c r="C237" s="13" t="s">
        <v>357</v>
      </c>
      <c r="D237" s="1">
        <f t="shared" si="6"/>
        <v>0</v>
      </c>
      <c r="E237" s="1"/>
      <c r="F237">
        <v>743</v>
      </c>
      <c r="G237">
        <v>1</v>
      </c>
      <c r="H237" t="s">
        <v>357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0.64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4.75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0.85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0.23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</row>
    <row r="238" spans="1:154" x14ac:dyDescent="0.2">
      <c r="A238" s="12">
        <v>745</v>
      </c>
      <c r="B238" s="12">
        <v>1</v>
      </c>
      <c r="C238" s="13" t="s">
        <v>358</v>
      </c>
      <c r="D238" s="1">
        <f t="shared" si="6"/>
        <v>0</v>
      </c>
      <c r="E238" s="1"/>
      <c r="F238">
        <v>745</v>
      </c>
      <c r="G238">
        <v>1</v>
      </c>
      <c r="H238" t="s">
        <v>358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0.05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</row>
    <row r="239" spans="1:154" x14ac:dyDescent="0.2">
      <c r="A239" s="12">
        <v>748</v>
      </c>
      <c r="B239" s="12">
        <v>1</v>
      </c>
      <c r="C239" s="13" t="s">
        <v>359</v>
      </c>
      <c r="D239" s="1">
        <f t="shared" si="6"/>
        <v>0</v>
      </c>
      <c r="E239" s="1"/>
      <c r="F239">
        <v>748</v>
      </c>
      <c r="G239">
        <v>1</v>
      </c>
      <c r="H239" t="s">
        <v>359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2.95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1.3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11.86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</row>
    <row r="240" spans="1:154" x14ac:dyDescent="0.2">
      <c r="A240" s="12">
        <v>750</v>
      </c>
      <c r="B240" s="12">
        <v>1</v>
      </c>
      <c r="C240" s="13" t="s">
        <v>360</v>
      </c>
      <c r="D240" s="1">
        <f t="shared" si="6"/>
        <v>0</v>
      </c>
      <c r="E240" s="1"/>
      <c r="F240">
        <v>750</v>
      </c>
      <c r="G240">
        <v>1</v>
      </c>
      <c r="H240" t="s">
        <v>360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3.78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0.12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2.1800000000000002</v>
      </c>
      <c r="DL240" s="1">
        <v>0</v>
      </c>
      <c r="DM240" s="1">
        <v>0</v>
      </c>
      <c r="DN240" s="1">
        <v>0</v>
      </c>
      <c r="DO240" s="1">
        <v>0</v>
      </c>
      <c r="DP240" s="1">
        <v>2.92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</row>
    <row r="241" spans="1:154" x14ac:dyDescent="0.2">
      <c r="A241" s="12">
        <v>756</v>
      </c>
      <c r="B241" s="12">
        <v>1</v>
      </c>
      <c r="C241" s="13" t="s">
        <v>361</v>
      </c>
      <c r="D241" s="1">
        <f t="shared" si="6"/>
        <v>0</v>
      </c>
      <c r="E241" s="1"/>
      <c r="F241">
        <v>756</v>
      </c>
      <c r="G241">
        <v>1</v>
      </c>
      <c r="H241" t="s">
        <v>361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2.34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0.2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1.88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</row>
    <row r="242" spans="1:154" x14ac:dyDescent="0.2">
      <c r="A242" s="12">
        <v>761</v>
      </c>
      <c r="B242" s="12">
        <v>1</v>
      </c>
      <c r="C242" s="13" t="s">
        <v>362</v>
      </c>
      <c r="D242" s="1">
        <f t="shared" si="6"/>
        <v>0</v>
      </c>
      <c r="E242" s="1"/>
      <c r="F242">
        <v>761</v>
      </c>
      <c r="G242">
        <v>1</v>
      </c>
      <c r="H242" t="s">
        <v>362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4.38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0.31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1.3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1.86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0.52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0.44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6.57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0.55000000000000004</v>
      </c>
      <c r="DX242" s="1">
        <v>0</v>
      </c>
      <c r="DY242" s="1">
        <v>0</v>
      </c>
      <c r="DZ242" s="1">
        <v>0</v>
      </c>
      <c r="EA242" s="1">
        <v>21.01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</row>
    <row r="243" spans="1:154" x14ac:dyDescent="0.2">
      <c r="A243" s="12">
        <v>763</v>
      </c>
      <c r="B243" s="12">
        <v>1</v>
      </c>
      <c r="C243" s="13" t="s">
        <v>363</v>
      </c>
      <c r="D243" s="1">
        <f t="shared" si="6"/>
        <v>0</v>
      </c>
      <c r="E243" s="1"/>
      <c r="F243">
        <v>763</v>
      </c>
      <c r="G243">
        <v>1</v>
      </c>
      <c r="H243" t="s">
        <v>363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</row>
    <row r="244" spans="1:154" x14ac:dyDescent="0.2">
      <c r="A244" s="12">
        <v>768</v>
      </c>
      <c r="B244" s="12">
        <v>1</v>
      </c>
      <c r="C244" s="13" t="s">
        <v>364</v>
      </c>
      <c r="D244" s="1">
        <f t="shared" si="6"/>
        <v>0</v>
      </c>
      <c r="E244" s="1"/>
      <c r="F244">
        <v>768</v>
      </c>
      <c r="G244">
        <v>1</v>
      </c>
      <c r="H244" t="s">
        <v>364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0.81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</row>
    <row r="245" spans="1:154" x14ac:dyDescent="0.2">
      <c r="A245" s="12">
        <v>769</v>
      </c>
      <c r="B245" s="12">
        <v>1</v>
      </c>
      <c r="C245" s="13" t="s">
        <v>365</v>
      </c>
      <c r="D245" s="1">
        <f t="shared" si="6"/>
        <v>0</v>
      </c>
      <c r="E245" s="1"/>
      <c r="F245">
        <v>769</v>
      </c>
      <c r="G245">
        <v>1</v>
      </c>
      <c r="H245" t="s">
        <v>365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2.12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3.25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</row>
    <row r="246" spans="1:154" x14ac:dyDescent="0.2">
      <c r="A246" s="12">
        <v>771</v>
      </c>
      <c r="B246" s="12">
        <v>1</v>
      </c>
      <c r="C246" s="13" t="s">
        <v>366</v>
      </c>
      <c r="D246" s="1">
        <f t="shared" si="6"/>
        <v>0</v>
      </c>
      <c r="E246" s="1"/>
      <c r="F246">
        <v>771</v>
      </c>
      <c r="G246">
        <v>1</v>
      </c>
      <c r="H246" t="s">
        <v>366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</row>
    <row r="247" spans="1:154" x14ac:dyDescent="0.2">
      <c r="A247" s="12">
        <v>775</v>
      </c>
      <c r="B247" s="12">
        <v>1</v>
      </c>
      <c r="C247" s="13" t="s">
        <v>367</v>
      </c>
      <c r="D247" s="1">
        <f t="shared" si="6"/>
        <v>0</v>
      </c>
      <c r="E247" s="1"/>
      <c r="F247">
        <v>775</v>
      </c>
      <c r="G247">
        <v>1</v>
      </c>
      <c r="H247" t="s">
        <v>367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</row>
    <row r="248" spans="1:154" x14ac:dyDescent="0.2">
      <c r="A248" s="12">
        <v>777</v>
      </c>
      <c r="B248" s="12">
        <v>1</v>
      </c>
      <c r="C248" s="13" t="s">
        <v>368</v>
      </c>
      <c r="D248" s="1">
        <f t="shared" si="6"/>
        <v>0</v>
      </c>
      <c r="E248" s="1"/>
      <c r="F248">
        <v>777</v>
      </c>
      <c r="G248">
        <v>1</v>
      </c>
      <c r="H248" t="s">
        <v>368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3.6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</row>
    <row r="249" spans="1:154" x14ac:dyDescent="0.2">
      <c r="A249" s="12">
        <v>786</v>
      </c>
      <c r="B249" s="12">
        <v>1</v>
      </c>
      <c r="C249" s="13" t="s">
        <v>369</v>
      </c>
      <c r="D249" s="1">
        <f t="shared" si="6"/>
        <v>0</v>
      </c>
      <c r="E249" s="1"/>
      <c r="F249">
        <v>786</v>
      </c>
      <c r="G249">
        <v>1</v>
      </c>
      <c r="H249" t="s">
        <v>369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</row>
    <row r="250" spans="1:154" x14ac:dyDescent="0.2">
      <c r="A250" s="12">
        <v>787</v>
      </c>
      <c r="B250" s="12">
        <v>1</v>
      </c>
      <c r="C250" s="13" t="s">
        <v>370</v>
      </c>
      <c r="D250" s="1">
        <f t="shared" si="6"/>
        <v>0</v>
      </c>
      <c r="E250" s="1"/>
      <c r="F250">
        <v>787</v>
      </c>
      <c r="G250">
        <v>1</v>
      </c>
      <c r="H250" t="s">
        <v>370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</row>
    <row r="251" spans="1:154" x14ac:dyDescent="0.2">
      <c r="A251" s="12">
        <v>801</v>
      </c>
      <c r="B251" s="12">
        <v>1</v>
      </c>
      <c r="C251" s="13" t="s">
        <v>371</v>
      </c>
      <c r="D251" s="1">
        <f t="shared" si="6"/>
        <v>0</v>
      </c>
      <c r="E251" s="1"/>
      <c r="F251">
        <v>801</v>
      </c>
      <c r="G251">
        <v>1</v>
      </c>
      <c r="H251" t="s">
        <v>371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0.77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</row>
    <row r="252" spans="1:154" x14ac:dyDescent="0.2">
      <c r="A252" s="12">
        <v>803</v>
      </c>
      <c r="B252" s="12">
        <v>1</v>
      </c>
      <c r="C252" s="13" t="s">
        <v>372</v>
      </c>
      <c r="D252" s="1">
        <f t="shared" si="6"/>
        <v>0</v>
      </c>
      <c r="E252" s="1"/>
      <c r="F252">
        <v>803</v>
      </c>
      <c r="G252">
        <v>1</v>
      </c>
      <c r="H252" t="s">
        <v>372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</row>
    <row r="253" spans="1:154" x14ac:dyDescent="0.2">
      <c r="A253" s="12">
        <v>811</v>
      </c>
      <c r="B253" s="12">
        <v>1</v>
      </c>
      <c r="C253" s="13" t="s">
        <v>373</v>
      </c>
      <c r="D253" s="1">
        <f t="shared" si="6"/>
        <v>0</v>
      </c>
      <c r="E253" s="1"/>
      <c r="F253">
        <v>811</v>
      </c>
      <c r="G253">
        <v>1</v>
      </c>
      <c r="H253" t="s">
        <v>373</v>
      </c>
      <c r="I253" s="1">
        <v>0</v>
      </c>
      <c r="J253" s="1">
        <v>2.12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1.3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2.56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</row>
    <row r="254" spans="1:154" x14ac:dyDescent="0.2">
      <c r="A254" s="12">
        <v>813</v>
      </c>
      <c r="B254" s="12">
        <v>1</v>
      </c>
      <c r="C254" s="13" t="s">
        <v>374</v>
      </c>
      <c r="D254" s="1">
        <f t="shared" si="6"/>
        <v>0</v>
      </c>
      <c r="E254" s="1"/>
      <c r="F254">
        <v>813</v>
      </c>
      <c r="G254">
        <v>1</v>
      </c>
      <c r="H254" t="s">
        <v>374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0.81</v>
      </c>
      <c r="AW254" s="1">
        <v>0</v>
      </c>
      <c r="AX254" s="1">
        <v>0</v>
      </c>
      <c r="AY254" s="1">
        <v>0</v>
      </c>
      <c r="AZ254" s="1">
        <v>0.33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0.68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</row>
    <row r="255" spans="1:154" x14ac:dyDescent="0.2">
      <c r="A255" s="12">
        <v>815</v>
      </c>
      <c r="B255" s="12">
        <v>2</v>
      </c>
      <c r="C255" s="13" t="s">
        <v>375</v>
      </c>
      <c r="D255" s="1">
        <f t="shared" si="6"/>
        <v>0</v>
      </c>
      <c r="E255" s="1"/>
      <c r="F255">
        <v>815</v>
      </c>
      <c r="G255">
        <v>2</v>
      </c>
      <c r="H255" t="s">
        <v>375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</row>
    <row r="256" spans="1:154" x14ac:dyDescent="0.2">
      <c r="A256" s="12">
        <v>818</v>
      </c>
      <c r="B256" s="12">
        <v>1</v>
      </c>
      <c r="C256" s="13" t="s">
        <v>376</v>
      </c>
      <c r="D256" s="1">
        <f t="shared" si="6"/>
        <v>0</v>
      </c>
      <c r="E256" s="1"/>
      <c r="F256">
        <v>818</v>
      </c>
      <c r="G256">
        <v>1</v>
      </c>
      <c r="H256" t="s">
        <v>376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</row>
    <row r="257" spans="1:154" x14ac:dyDescent="0.2">
      <c r="A257" s="12">
        <v>820</v>
      </c>
      <c r="B257" s="12">
        <v>1</v>
      </c>
      <c r="C257" s="13" t="s">
        <v>377</v>
      </c>
      <c r="D257" s="1">
        <f t="shared" si="6"/>
        <v>0</v>
      </c>
      <c r="E257" s="1"/>
      <c r="F257">
        <v>820</v>
      </c>
      <c r="G257">
        <v>1</v>
      </c>
      <c r="H257" t="s">
        <v>377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</row>
    <row r="258" spans="1:154" x14ac:dyDescent="0.2">
      <c r="A258" s="12">
        <v>821</v>
      </c>
      <c r="B258" s="12">
        <v>1</v>
      </c>
      <c r="C258" s="13" t="s">
        <v>378</v>
      </c>
      <c r="D258" s="1">
        <f t="shared" si="6"/>
        <v>0</v>
      </c>
      <c r="E258" s="1"/>
      <c r="F258">
        <v>821</v>
      </c>
      <c r="G258">
        <v>1</v>
      </c>
      <c r="H258" t="s">
        <v>378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1.04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</row>
    <row r="259" spans="1:154" x14ac:dyDescent="0.2">
      <c r="A259" s="12">
        <v>829</v>
      </c>
      <c r="B259" s="12">
        <v>1</v>
      </c>
      <c r="C259" s="13" t="s">
        <v>379</v>
      </c>
      <c r="D259" s="1">
        <f t="shared" si="6"/>
        <v>0</v>
      </c>
      <c r="E259" s="1"/>
      <c r="F259">
        <v>829</v>
      </c>
      <c r="G259">
        <v>1</v>
      </c>
      <c r="H259" t="s">
        <v>379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0.34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0.28999999999999998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1.3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100.93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0.43</v>
      </c>
      <c r="DX259" s="1">
        <v>0</v>
      </c>
      <c r="DY259" s="1">
        <v>0</v>
      </c>
      <c r="DZ259" s="1">
        <v>0</v>
      </c>
      <c r="EA259" s="1">
        <v>1.85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</row>
    <row r="260" spans="1:154" x14ac:dyDescent="0.2">
      <c r="A260" s="12">
        <v>831</v>
      </c>
      <c r="B260" s="12">
        <v>1</v>
      </c>
      <c r="C260" s="13" t="s">
        <v>380</v>
      </c>
      <c r="D260" s="1">
        <f t="shared" si="6"/>
        <v>0</v>
      </c>
      <c r="E260" s="1"/>
      <c r="F260">
        <v>831</v>
      </c>
      <c r="G260">
        <v>1</v>
      </c>
      <c r="H260" t="s">
        <v>380</v>
      </c>
      <c r="I260" s="1">
        <v>0</v>
      </c>
      <c r="J260" s="1">
        <v>0</v>
      </c>
      <c r="K260" s="1">
        <v>0.61</v>
      </c>
      <c r="L260" s="1">
        <v>0</v>
      </c>
      <c r="M260" s="1">
        <v>2.1800000000000002</v>
      </c>
      <c r="N260" s="1">
        <v>0</v>
      </c>
      <c r="O260" s="1">
        <v>0</v>
      </c>
      <c r="P260" s="1">
        <v>0.16</v>
      </c>
      <c r="Q260" s="1">
        <v>0</v>
      </c>
      <c r="R260" s="1">
        <v>0</v>
      </c>
      <c r="S260" s="1">
        <v>7.31</v>
      </c>
      <c r="T260" s="1">
        <v>0</v>
      </c>
      <c r="U260" s="1">
        <v>0.35</v>
      </c>
      <c r="V260" s="1">
        <v>0</v>
      </c>
      <c r="W260" s="1">
        <v>0</v>
      </c>
      <c r="X260" s="1">
        <v>1.46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1.98</v>
      </c>
      <c r="AQ260" s="1">
        <v>0</v>
      </c>
      <c r="AR260" s="1">
        <v>0</v>
      </c>
      <c r="AS260" s="1">
        <v>205.29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6.19</v>
      </c>
      <c r="BI260" s="1">
        <v>2.6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3.09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39.15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1.3</v>
      </c>
      <c r="CK260" s="1">
        <v>0</v>
      </c>
      <c r="CL260" s="1">
        <v>0</v>
      </c>
      <c r="CM260" s="1">
        <v>0</v>
      </c>
      <c r="CN260" s="1">
        <v>4.45</v>
      </c>
      <c r="CO260" s="1">
        <v>0</v>
      </c>
      <c r="CP260" s="1">
        <v>0</v>
      </c>
      <c r="CQ260" s="1">
        <v>7.36</v>
      </c>
      <c r="CR260" s="1">
        <v>0</v>
      </c>
      <c r="CS260" s="1">
        <v>0</v>
      </c>
      <c r="CT260" s="1">
        <v>0</v>
      </c>
      <c r="CU260" s="1">
        <v>224.1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1.1200000000000001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1.84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</row>
    <row r="261" spans="1:154" x14ac:dyDescent="0.2">
      <c r="A261" s="12">
        <v>832</v>
      </c>
      <c r="B261" s="12">
        <v>1</v>
      </c>
      <c r="C261" s="13" t="s">
        <v>381</v>
      </c>
      <c r="D261" s="1">
        <f t="shared" si="6"/>
        <v>0</v>
      </c>
      <c r="E261" s="1"/>
      <c r="F261">
        <v>832</v>
      </c>
      <c r="G261">
        <v>1</v>
      </c>
      <c r="H261" t="s">
        <v>381</v>
      </c>
      <c r="I261" s="1">
        <v>0</v>
      </c>
      <c r="J261" s="1">
        <v>0</v>
      </c>
      <c r="K261" s="1">
        <v>0.3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1.18</v>
      </c>
      <c r="T261" s="1">
        <v>0</v>
      </c>
      <c r="U261" s="1">
        <v>2.34</v>
      </c>
      <c r="V261" s="1">
        <v>0</v>
      </c>
      <c r="W261" s="1">
        <v>0</v>
      </c>
      <c r="X261" s="1">
        <v>3.66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0.75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2.6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0.53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0.18</v>
      </c>
      <c r="CO261" s="1">
        <v>0</v>
      </c>
      <c r="CP261" s="1">
        <v>0</v>
      </c>
      <c r="CQ261" s="1">
        <v>1.3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</row>
    <row r="262" spans="1:154" x14ac:dyDescent="0.2">
      <c r="A262" s="12">
        <v>833</v>
      </c>
      <c r="B262" s="12">
        <v>1</v>
      </c>
      <c r="C262" s="13" t="s">
        <v>382</v>
      </c>
      <c r="D262" s="1">
        <f t="shared" si="6"/>
        <v>0</v>
      </c>
      <c r="E262" s="1"/>
      <c r="F262">
        <v>833</v>
      </c>
      <c r="G262">
        <v>1</v>
      </c>
      <c r="H262" t="s">
        <v>382</v>
      </c>
      <c r="I262" s="1">
        <v>0</v>
      </c>
      <c r="J262" s="1">
        <v>0</v>
      </c>
      <c r="K262" s="1">
        <v>2.6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3.48</v>
      </c>
      <c r="T262" s="1">
        <v>0</v>
      </c>
      <c r="U262" s="1">
        <v>18.95</v>
      </c>
      <c r="V262" s="1">
        <v>6.52</v>
      </c>
      <c r="W262" s="1">
        <v>0</v>
      </c>
      <c r="X262" s="1">
        <v>1.91</v>
      </c>
      <c r="Y262" s="1">
        <v>0</v>
      </c>
      <c r="Z262" s="1">
        <v>0</v>
      </c>
      <c r="AA262" s="1">
        <v>0</v>
      </c>
      <c r="AB262" s="1">
        <v>2.2400000000000002</v>
      </c>
      <c r="AC262" s="1">
        <v>0</v>
      </c>
      <c r="AD262" s="1">
        <v>2.6</v>
      </c>
      <c r="AE262" s="1">
        <v>0</v>
      </c>
      <c r="AF262" s="1">
        <v>0</v>
      </c>
      <c r="AG262" s="1">
        <v>0</v>
      </c>
      <c r="AH262" s="1">
        <v>0</v>
      </c>
      <c r="AI262" s="1">
        <v>1.3</v>
      </c>
      <c r="AJ262" s="1">
        <v>1.17</v>
      </c>
      <c r="AK262" s="1">
        <v>250.75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1.06</v>
      </c>
      <c r="BF262" s="1">
        <v>0</v>
      </c>
      <c r="BG262" s="1">
        <v>3.24</v>
      </c>
      <c r="BH262" s="1">
        <v>4.8</v>
      </c>
      <c r="BI262" s="1">
        <v>2.6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10.96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1.1200000000000001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1.3</v>
      </c>
      <c r="CB262" s="1">
        <v>0</v>
      </c>
      <c r="CC262" s="1">
        <v>9.1</v>
      </c>
      <c r="CD262" s="1">
        <v>20.93</v>
      </c>
      <c r="CE262" s="1">
        <v>0</v>
      </c>
      <c r="CF262" s="1">
        <v>0</v>
      </c>
      <c r="CG262" s="1">
        <v>2.52</v>
      </c>
      <c r="CH262" s="1">
        <v>0</v>
      </c>
      <c r="CI262" s="1">
        <v>0</v>
      </c>
      <c r="CJ262" s="1">
        <v>2.6</v>
      </c>
      <c r="CK262" s="1">
        <v>0</v>
      </c>
      <c r="CL262" s="1">
        <v>0</v>
      </c>
      <c r="CM262" s="1">
        <v>0</v>
      </c>
      <c r="CN262" s="1">
        <v>4.03</v>
      </c>
      <c r="CO262" s="1">
        <v>0</v>
      </c>
      <c r="CP262" s="1">
        <v>0</v>
      </c>
      <c r="CQ262" s="1">
        <v>60.52</v>
      </c>
      <c r="CR262" s="1">
        <v>0</v>
      </c>
      <c r="CS262" s="1">
        <v>0</v>
      </c>
      <c r="CT262" s="1">
        <v>0</v>
      </c>
      <c r="CU262" s="1">
        <v>1.1200000000000001</v>
      </c>
      <c r="CV262" s="1">
        <v>0</v>
      </c>
      <c r="CW262" s="1">
        <v>2.46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1.3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2.68</v>
      </c>
      <c r="DP262" s="1">
        <v>0</v>
      </c>
      <c r="DQ262" s="1">
        <v>1.66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1.63</v>
      </c>
      <c r="DX262" s="1">
        <v>0.66</v>
      </c>
      <c r="DY262" s="1">
        <v>3.23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</row>
    <row r="263" spans="1:154" x14ac:dyDescent="0.2">
      <c r="A263" s="12">
        <v>834</v>
      </c>
      <c r="B263" s="12">
        <v>1</v>
      </c>
      <c r="C263" s="13" t="s">
        <v>383</v>
      </c>
      <c r="D263" s="1">
        <f t="shared" si="6"/>
        <v>0</v>
      </c>
      <c r="E263" s="1"/>
      <c r="F263">
        <v>834</v>
      </c>
      <c r="G263">
        <v>1</v>
      </c>
      <c r="H263" t="s">
        <v>383</v>
      </c>
      <c r="I263" s="1">
        <v>0</v>
      </c>
      <c r="J263" s="1">
        <v>0</v>
      </c>
      <c r="K263" s="1">
        <v>130.63</v>
      </c>
      <c r="L263" s="1">
        <v>0</v>
      </c>
      <c r="M263" s="1">
        <v>0</v>
      </c>
      <c r="N263" s="1">
        <v>1.05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5.28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29.87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6.12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3.27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1.95</v>
      </c>
      <c r="CB263" s="1">
        <v>0</v>
      </c>
      <c r="CC263" s="1">
        <v>4.84</v>
      </c>
      <c r="CD263" s="1">
        <v>2.14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1.3</v>
      </c>
      <c r="CK263" s="1">
        <v>0</v>
      </c>
      <c r="CL263" s="1">
        <v>0</v>
      </c>
      <c r="CM263" s="1">
        <v>0</v>
      </c>
      <c r="CN263" s="1">
        <v>1.86</v>
      </c>
      <c r="CO263" s="1">
        <v>0</v>
      </c>
      <c r="CP263" s="1">
        <v>0</v>
      </c>
      <c r="CQ263" s="1">
        <v>12.74</v>
      </c>
      <c r="CR263" s="1">
        <v>1.1200000000000001</v>
      </c>
      <c r="CS263" s="1">
        <v>0</v>
      </c>
      <c r="CT263" s="1">
        <v>0</v>
      </c>
      <c r="CU263" s="1">
        <v>1.1200000000000001</v>
      </c>
      <c r="CV263" s="1">
        <v>0</v>
      </c>
      <c r="CW263" s="1">
        <v>0</v>
      </c>
      <c r="CX263" s="1">
        <v>366.83</v>
      </c>
      <c r="CY263" s="1">
        <v>1.3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1.3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</row>
    <row r="264" spans="1:154" x14ac:dyDescent="0.2">
      <c r="A264" s="12">
        <v>836</v>
      </c>
      <c r="B264" s="12">
        <v>1</v>
      </c>
      <c r="C264" s="13" t="s">
        <v>384</v>
      </c>
      <c r="D264" s="1">
        <f t="shared" si="6"/>
        <v>0</v>
      </c>
      <c r="E264" s="1"/>
      <c r="F264">
        <v>836</v>
      </c>
      <c r="G264">
        <v>1</v>
      </c>
      <c r="H264" t="s">
        <v>384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</row>
    <row r="265" spans="1:154" x14ac:dyDescent="0.2">
      <c r="A265" s="12">
        <v>837</v>
      </c>
      <c r="B265" s="12">
        <v>1</v>
      </c>
      <c r="C265" s="13" t="s">
        <v>385</v>
      </c>
      <c r="D265" s="1">
        <f t="shared" si="6"/>
        <v>0</v>
      </c>
      <c r="E265" s="1"/>
      <c r="F265">
        <v>837</v>
      </c>
      <c r="G265">
        <v>1</v>
      </c>
      <c r="H265" t="s">
        <v>385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0.65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</row>
    <row r="266" spans="1:154" x14ac:dyDescent="0.2">
      <c r="A266" s="12">
        <v>840</v>
      </c>
      <c r="B266" s="12">
        <v>1</v>
      </c>
      <c r="C266" s="13" t="s">
        <v>386</v>
      </c>
      <c r="D266" s="1">
        <f t="shared" si="6"/>
        <v>0</v>
      </c>
      <c r="E266" s="1"/>
      <c r="F266">
        <v>840</v>
      </c>
      <c r="G266">
        <v>1</v>
      </c>
      <c r="H266" t="s">
        <v>386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0.16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1.18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</row>
    <row r="267" spans="1:154" x14ac:dyDescent="0.2">
      <c r="A267" s="12">
        <v>846</v>
      </c>
      <c r="B267" s="12">
        <v>1</v>
      </c>
      <c r="C267" s="13" t="s">
        <v>387</v>
      </c>
      <c r="D267" s="1">
        <f t="shared" ref="D267:D330" si="7">SUMIF(I$5:EX$5,Snumber,I267:EX267)</f>
        <v>0</v>
      </c>
      <c r="E267" s="1"/>
      <c r="F267">
        <v>846</v>
      </c>
      <c r="G267">
        <v>1</v>
      </c>
      <c r="H267" t="s">
        <v>387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0.21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</row>
    <row r="268" spans="1:154" x14ac:dyDescent="0.2">
      <c r="A268" s="12">
        <v>850</v>
      </c>
      <c r="B268" s="12">
        <v>1</v>
      </c>
      <c r="C268" s="13" t="s">
        <v>388</v>
      </c>
      <c r="D268" s="1">
        <f t="shared" si="7"/>
        <v>0</v>
      </c>
      <c r="E268" s="1"/>
      <c r="F268">
        <v>850</v>
      </c>
      <c r="G268">
        <v>1</v>
      </c>
      <c r="H268" t="s">
        <v>388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</row>
    <row r="269" spans="1:154" x14ac:dyDescent="0.2">
      <c r="A269" s="12">
        <v>852</v>
      </c>
      <c r="B269" s="12">
        <v>1</v>
      </c>
      <c r="C269" s="13" t="s">
        <v>389</v>
      </c>
      <c r="D269" s="1">
        <f t="shared" si="7"/>
        <v>0</v>
      </c>
      <c r="E269" s="1"/>
      <c r="F269">
        <v>852</v>
      </c>
      <c r="G269">
        <v>1</v>
      </c>
      <c r="H269" t="s">
        <v>389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</row>
    <row r="270" spans="1:154" x14ac:dyDescent="0.2">
      <c r="A270" s="12">
        <v>857</v>
      </c>
      <c r="B270" s="12">
        <v>1</v>
      </c>
      <c r="C270" s="13" t="s">
        <v>390</v>
      </c>
      <c r="D270" s="1">
        <f t="shared" si="7"/>
        <v>0</v>
      </c>
      <c r="E270" s="1"/>
      <c r="F270">
        <v>857</v>
      </c>
      <c r="G270">
        <v>1</v>
      </c>
      <c r="H270" t="s">
        <v>390</v>
      </c>
      <c r="I270" s="1">
        <v>0</v>
      </c>
      <c r="J270" s="1">
        <v>3.86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2.6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1.06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</row>
    <row r="271" spans="1:154" x14ac:dyDescent="0.2">
      <c r="A271" s="12">
        <v>858</v>
      </c>
      <c r="B271" s="12">
        <v>1</v>
      </c>
      <c r="C271" s="13" t="s">
        <v>391</v>
      </c>
      <c r="D271" s="1">
        <f t="shared" si="7"/>
        <v>0</v>
      </c>
      <c r="E271" s="1"/>
      <c r="F271">
        <v>858</v>
      </c>
      <c r="G271">
        <v>1</v>
      </c>
      <c r="H271" t="s">
        <v>391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0.39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</row>
    <row r="272" spans="1:154" x14ac:dyDescent="0.2">
      <c r="A272" s="12">
        <v>861</v>
      </c>
      <c r="B272" s="12">
        <v>1</v>
      </c>
      <c r="C272" s="13" t="s">
        <v>392</v>
      </c>
      <c r="D272" s="1">
        <f t="shared" si="7"/>
        <v>0</v>
      </c>
      <c r="E272" s="1"/>
      <c r="F272">
        <v>861</v>
      </c>
      <c r="G272">
        <v>1</v>
      </c>
      <c r="H272" t="s">
        <v>392</v>
      </c>
      <c r="I272" s="1">
        <v>0</v>
      </c>
      <c r="J272" s="1">
        <v>199.82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8.07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3.86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86.7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1.65</v>
      </c>
      <c r="BP272" s="1">
        <v>67.099999999999994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1.3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49.13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1.85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</row>
    <row r="273" spans="1:154" x14ac:dyDescent="0.2">
      <c r="A273" s="12">
        <v>876</v>
      </c>
      <c r="B273" s="12">
        <v>1</v>
      </c>
      <c r="C273" s="13" t="s">
        <v>393</v>
      </c>
      <c r="D273" s="1">
        <f t="shared" si="7"/>
        <v>0</v>
      </c>
      <c r="E273" s="1"/>
      <c r="F273">
        <v>876</v>
      </c>
      <c r="G273">
        <v>1</v>
      </c>
      <c r="H273" t="s">
        <v>393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0.69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</row>
    <row r="274" spans="1:154" x14ac:dyDescent="0.2">
      <c r="A274" s="12">
        <v>877</v>
      </c>
      <c r="B274" s="12">
        <v>1</v>
      </c>
      <c r="C274" s="13" t="s">
        <v>394</v>
      </c>
      <c r="D274" s="1">
        <f t="shared" si="7"/>
        <v>0</v>
      </c>
      <c r="E274" s="1"/>
      <c r="F274">
        <v>877</v>
      </c>
      <c r="G274">
        <v>1</v>
      </c>
      <c r="H274" t="s">
        <v>394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1.56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1.3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0.1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2.6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6.3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3.79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</row>
    <row r="275" spans="1:154" x14ac:dyDescent="0.2">
      <c r="A275" s="12">
        <v>879</v>
      </c>
      <c r="B275" s="12">
        <v>1</v>
      </c>
      <c r="C275" s="13" t="s">
        <v>395</v>
      </c>
      <c r="D275" s="1">
        <f t="shared" si="7"/>
        <v>0</v>
      </c>
      <c r="E275" s="1"/>
      <c r="F275">
        <v>879</v>
      </c>
      <c r="G275">
        <v>1</v>
      </c>
      <c r="H275" t="s">
        <v>395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0.42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1.06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0.55000000000000004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</row>
    <row r="276" spans="1:154" x14ac:dyDescent="0.2">
      <c r="A276" s="12">
        <v>881</v>
      </c>
      <c r="B276" s="12">
        <v>1</v>
      </c>
      <c r="C276" s="13" t="s">
        <v>396</v>
      </c>
      <c r="D276" s="1">
        <f t="shared" si="7"/>
        <v>0</v>
      </c>
      <c r="E276" s="1"/>
      <c r="F276">
        <v>881</v>
      </c>
      <c r="G276">
        <v>1</v>
      </c>
      <c r="H276" t="s">
        <v>396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0.62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</row>
    <row r="277" spans="1:154" x14ac:dyDescent="0.2">
      <c r="A277" s="12">
        <v>882</v>
      </c>
      <c r="B277" s="12">
        <v>1</v>
      </c>
      <c r="C277" s="13" t="s">
        <v>397</v>
      </c>
      <c r="D277" s="1">
        <f t="shared" si="7"/>
        <v>0</v>
      </c>
      <c r="E277" s="1"/>
      <c r="F277">
        <v>882</v>
      </c>
      <c r="G277">
        <v>1</v>
      </c>
      <c r="H277" t="s">
        <v>397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1.3</v>
      </c>
      <c r="Q277" s="1">
        <v>0</v>
      </c>
      <c r="R277" s="1">
        <v>0</v>
      </c>
      <c r="S277" s="1">
        <v>0</v>
      </c>
      <c r="T277" s="1">
        <v>0</v>
      </c>
      <c r="U277" s="1">
        <v>2.08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0.23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1.3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1.3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64.33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5.12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</row>
    <row r="278" spans="1:154" x14ac:dyDescent="0.2">
      <c r="A278" s="12">
        <v>883</v>
      </c>
      <c r="B278" s="12">
        <v>1</v>
      </c>
      <c r="C278" s="13" t="s">
        <v>398</v>
      </c>
      <c r="D278" s="1">
        <f t="shared" si="7"/>
        <v>0</v>
      </c>
      <c r="E278" s="1"/>
      <c r="F278">
        <v>883</v>
      </c>
      <c r="G278">
        <v>1</v>
      </c>
      <c r="H278" t="s">
        <v>398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2.2400000000000002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2.42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</row>
    <row r="279" spans="1:154" x14ac:dyDescent="0.2">
      <c r="A279" s="12">
        <v>885</v>
      </c>
      <c r="B279" s="12">
        <v>1</v>
      </c>
      <c r="C279" s="13" t="s">
        <v>399</v>
      </c>
      <c r="D279" s="1">
        <f t="shared" si="7"/>
        <v>0</v>
      </c>
      <c r="E279" s="1"/>
      <c r="F279">
        <v>885</v>
      </c>
      <c r="G279">
        <v>1</v>
      </c>
      <c r="H279" t="s">
        <v>399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1.83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1.68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1.0900000000000001</v>
      </c>
      <c r="BK279" s="1">
        <v>0</v>
      </c>
      <c r="BL279" s="1">
        <v>0</v>
      </c>
      <c r="BM279" s="1">
        <v>0</v>
      </c>
      <c r="BN279" s="1">
        <v>0</v>
      </c>
      <c r="BO279" s="1">
        <v>3.02</v>
      </c>
      <c r="BP279" s="1">
        <v>0</v>
      </c>
      <c r="BQ279" s="1">
        <v>0</v>
      </c>
      <c r="BR279" s="1">
        <v>0</v>
      </c>
      <c r="BS279" s="1">
        <v>2.1800000000000002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1.06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2.1800000000000002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0.2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0.65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5.84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</row>
    <row r="280" spans="1:154" x14ac:dyDescent="0.2">
      <c r="A280" s="12">
        <v>891</v>
      </c>
      <c r="B280" s="12">
        <v>1</v>
      </c>
      <c r="C280" s="13" t="s">
        <v>400</v>
      </c>
      <c r="D280" s="1">
        <f t="shared" si="7"/>
        <v>0</v>
      </c>
      <c r="E280" s="1"/>
      <c r="F280">
        <v>891</v>
      </c>
      <c r="G280">
        <v>1</v>
      </c>
      <c r="H280" t="s">
        <v>400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</row>
    <row r="281" spans="1:154" x14ac:dyDescent="0.2">
      <c r="A281" s="12">
        <v>911</v>
      </c>
      <c r="B281" s="12">
        <v>1</v>
      </c>
      <c r="C281" s="13" t="s">
        <v>401</v>
      </c>
      <c r="D281" s="1">
        <f t="shared" si="7"/>
        <v>0</v>
      </c>
      <c r="E281" s="1"/>
      <c r="F281">
        <v>911</v>
      </c>
      <c r="G281">
        <v>1</v>
      </c>
      <c r="H281" t="s">
        <v>401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5.78</v>
      </c>
      <c r="Q281" s="1">
        <v>0</v>
      </c>
      <c r="R281" s="1">
        <v>0</v>
      </c>
      <c r="S281" s="1">
        <v>0</v>
      </c>
      <c r="T281" s="1">
        <v>0</v>
      </c>
      <c r="U281" s="1">
        <v>1.1000000000000001</v>
      </c>
      <c r="V281" s="1">
        <v>1.3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0.55000000000000004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0.35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0.66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0.25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</row>
    <row r="282" spans="1:154" x14ac:dyDescent="0.2">
      <c r="A282" s="12">
        <v>912</v>
      </c>
      <c r="B282" s="12">
        <v>1</v>
      </c>
      <c r="C282" s="13" t="s">
        <v>402</v>
      </c>
      <c r="D282" s="1">
        <f t="shared" si="7"/>
        <v>0</v>
      </c>
      <c r="E282" s="1"/>
      <c r="F282">
        <v>912</v>
      </c>
      <c r="G282">
        <v>1</v>
      </c>
      <c r="H282" t="s">
        <v>402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5.63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1.59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0.59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0.13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</row>
    <row r="283" spans="1:154" x14ac:dyDescent="0.2">
      <c r="A283" s="12">
        <v>914</v>
      </c>
      <c r="B283" s="12">
        <v>1</v>
      </c>
      <c r="C283" s="13" t="s">
        <v>403</v>
      </c>
      <c r="D283" s="1">
        <f t="shared" si="7"/>
        <v>0</v>
      </c>
      <c r="E283" s="1"/>
      <c r="F283">
        <v>914</v>
      </c>
      <c r="G283">
        <v>1</v>
      </c>
      <c r="H283" t="s">
        <v>403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</row>
    <row r="284" spans="1:154" x14ac:dyDescent="0.2">
      <c r="A284" s="12">
        <v>2071</v>
      </c>
      <c r="B284" s="12">
        <v>1</v>
      </c>
      <c r="C284" s="13" t="s">
        <v>404</v>
      </c>
      <c r="D284" s="1">
        <f t="shared" si="7"/>
        <v>0</v>
      </c>
      <c r="E284" s="1"/>
      <c r="F284">
        <v>2071</v>
      </c>
      <c r="G284">
        <v>1</v>
      </c>
      <c r="H284" t="s">
        <v>404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1.3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3.74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0.88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</row>
    <row r="285" spans="1:154" x14ac:dyDescent="0.2">
      <c r="A285" s="12">
        <v>2125</v>
      </c>
      <c r="B285" s="12">
        <v>1</v>
      </c>
      <c r="C285" s="13" t="s">
        <v>405</v>
      </c>
      <c r="D285" s="1">
        <f t="shared" si="7"/>
        <v>0</v>
      </c>
      <c r="E285" s="1"/>
      <c r="F285">
        <v>2125</v>
      </c>
      <c r="G285">
        <v>1</v>
      </c>
      <c r="H285" t="s">
        <v>405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1.3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1.74</v>
      </c>
      <c r="AW285" s="1">
        <v>0</v>
      </c>
      <c r="AX285" s="1">
        <v>0</v>
      </c>
      <c r="AY285" s="1">
        <v>0</v>
      </c>
      <c r="AZ285" s="1">
        <v>1.3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0.66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</row>
    <row r="286" spans="1:154" x14ac:dyDescent="0.2">
      <c r="A286" s="12">
        <v>2134</v>
      </c>
      <c r="B286" s="12">
        <v>1</v>
      </c>
      <c r="C286" s="13" t="s">
        <v>406</v>
      </c>
      <c r="D286" s="1">
        <f t="shared" si="7"/>
        <v>0</v>
      </c>
      <c r="E286" s="1"/>
      <c r="F286">
        <v>2134</v>
      </c>
      <c r="G286">
        <v>1</v>
      </c>
      <c r="H286" t="s">
        <v>406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0.13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1.3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</row>
    <row r="287" spans="1:154" x14ac:dyDescent="0.2">
      <c r="A287" s="12">
        <v>2135</v>
      </c>
      <c r="B287" s="12">
        <v>1</v>
      </c>
      <c r="C287" s="13" t="s">
        <v>407</v>
      </c>
      <c r="D287" s="1">
        <f t="shared" si="7"/>
        <v>0</v>
      </c>
      <c r="E287" s="1"/>
      <c r="F287">
        <v>2135</v>
      </c>
      <c r="G287">
        <v>1</v>
      </c>
      <c r="H287" t="s">
        <v>407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1.3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2.41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</row>
    <row r="288" spans="1:154" x14ac:dyDescent="0.2">
      <c r="A288" s="12">
        <v>2137</v>
      </c>
      <c r="B288" s="12">
        <v>1</v>
      </c>
      <c r="C288" s="13" t="s">
        <v>408</v>
      </c>
      <c r="D288" s="1">
        <f t="shared" si="7"/>
        <v>0</v>
      </c>
      <c r="E288" s="1"/>
      <c r="F288">
        <v>2137</v>
      </c>
      <c r="G288">
        <v>1</v>
      </c>
      <c r="H288" t="s">
        <v>408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1.29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</row>
    <row r="289" spans="1:154" x14ac:dyDescent="0.2">
      <c r="A289" s="12">
        <v>2142</v>
      </c>
      <c r="B289" s="12">
        <v>1</v>
      </c>
      <c r="C289" s="13" t="s">
        <v>409</v>
      </c>
      <c r="D289" s="1">
        <f t="shared" si="7"/>
        <v>0</v>
      </c>
      <c r="E289" s="1"/>
      <c r="F289">
        <v>2142</v>
      </c>
      <c r="G289">
        <v>1</v>
      </c>
      <c r="H289" t="s">
        <v>409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0.55000000000000004</v>
      </c>
      <c r="V289" s="1">
        <v>0</v>
      </c>
      <c r="W289" s="1">
        <v>3.62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5.05</v>
      </c>
      <c r="BP289" s="1">
        <v>0</v>
      </c>
      <c r="BQ289" s="1">
        <v>0</v>
      </c>
      <c r="BR289" s="1">
        <v>1.3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1.21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</row>
    <row r="290" spans="1:154" x14ac:dyDescent="0.2">
      <c r="A290" s="12">
        <v>2143</v>
      </c>
      <c r="B290" s="12">
        <v>1</v>
      </c>
      <c r="C290" s="13" t="s">
        <v>410</v>
      </c>
      <c r="D290" s="1">
        <f t="shared" si="7"/>
        <v>0</v>
      </c>
      <c r="E290" s="1"/>
      <c r="F290">
        <v>2143</v>
      </c>
      <c r="G290">
        <v>1</v>
      </c>
      <c r="H290" t="s">
        <v>410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8.82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2.6</v>
      </c>
      <c r="BO290" s="1">
        <v>1.3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0.9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4.8600000000000003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0.68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</row>
    <row r="291" spans="1:154" x14ac:dyDescent="0.2">
      <c r="A291" s="12">
        <v>2144</v>
      </c>
      <c r="B291" s="12">
        <v>1</v>
      </c>
      <c r="C291" s="13" t="s">
        <v>411</v>
      </c>
      <c r="D291" s="1">
        <f t="shared" si="7"/>
        <v>0</v>
      </c>
      <c r="E291" s="1"/>
      <c r="F291">
        <v>2144</v>
      </c>
      <c r="G291">
        <v>1</v>
      </c>
      <c r="H291" t="s">
        <v>411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1.3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1.3</v>
      </c>
      <c r="AQ291" s="1">
        <v>0</v>
      </c>
      <c r="AR291" s="1">
        <v>0</v>
      </c>
      <c r="AS291" s="1">
        <v>9.0500000000000007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4.66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76.459999999999994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0.56000000000000005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2.6</v>
      </c>
      <c r="CR291" s="1">
        <v>0</v>
      </c>
      <c r="CS291" s="1">
        <v>0</v>
      </c>
      <c r="CT291" s="1">
        <v>0</v>
      </c>
      <c r="CU291" s="1">
        <v>48.89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1.3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</row>
    <row r="292" spans="1:154" x14ac:dyDescent="0.2">
      <c r="A292" s="12">
        <v>2149</v>
      </c>
      <c r="B292" s="12">
        <v>1</v>
      </c>
      <c r="C292" s="13" t="s">
        <v>412</v>
      </c>
      <c r="D292" s="1">
        <f t="shared" si="7"/>
        <v>0</v>
      </c>
      <c r="E292" s="1"/>
      <c r="F292">
        <v>2149</v>
      </c>
      <c r="G292">
        <v>1</v>
      </c>
      <c r="H292" t="s">
        <v>412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1.36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13.41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1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</row>
    <row r="293" spans="1:154" x14ac:dyDescent="0.2">
      <c r="A293" s="12">
        <v>2154</v>
      </c>
      <c r="B293" s="12">
        <v>1</v>
      </c>
      <c r="C293" s="13" t="s">
        <v>413</v>
      </c>
      <c r="D293" s="1">
        <f t="shared" si="7"/>
        <v>0</v>
      </c>
      <c r="E293" s="1"/>
      <c r="F293">
        <v>2154</v>
      </c>
      <c r="G293">
        <v>1</v>
      </c>
      <c r="H293" t="s">
        <v>413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2.16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4.08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1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</row>
    <row r="294" spans="1:154" x14ac:dyDescent="0.2">
      <c r="A294" s="12">
        <v>2155</v>
      </c>
      <c r="B294" s="12">
        <v>1</v>
      </c>
      <c r="C294" s="13" t="s">
        <v>414</v>
      </c>
      <c r="D294" s="1">
        <f t="shared" si="7"/>
        <v>0</v>
      </c>
      <c r="E294" s="1"/>
      <c r="F294">
        <v>2155</v>
      </c>
      <c r="G294">
        <v>1</v>
      </c>
      <c r="H294" t="s">
        <v>414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0.57999999999999996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0.23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</row>
    <row r="295" spans="1:154" x14ac:dyDescent="0.2">
      <c r="A295" s="12">
        <v>2159</v>
      </c>
      <c r="B295" s="12">
        <v>1</v>
      </c>
      <c r="C295" s="13" t="s">
        <v>415</v>
      </c>
      <c r="D295" s="1">
        <f t="shared" si="7"/>
        <v>0</v>
      </c>
      <c r="E295" s="1"/>
      <c r="F295">
        <v>2159</v>
      </c>
      <c r="G295">
        <v>1</v>
      </c>
      <c r="H295" t="s">
        <v>415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6.48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</row>
    <row r="296" spans="1:154" x14ac:dyDescent="0.2">
      <c r="A296" s="12">
        <v>2164</v>
      </c>
      <c r="B296" s="12">
        <v>1</v>
      </c>
      <c r="C296" s="13" t="s">
        <v>416</v>
      </c>
      <c r="D296" s="1">
        <f t="shared" si="7"/>
        <v>0</v>
      </c>
      <c r="E296" s="1"/>
      <c r="F296">
        <v>2164</v>
      </c>
      <c r="G296">
        <v>1</v>
      </c>
      <c r="H296" t="s">
        <v>416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</row>
    <row r="297" spans="1:154" x14ac:dyDescent="0.2">
      <c r="A297" s="12">
        <v>2165</v>
      </c>
      <c r="B297" s="12">
        <v>1</v>
      </c>
      <c r="C297" s="13" t="s">
        <v>417</v>
      </c>
      <c r="D297" s="1">
        <f t="shared" si="7"/>
        <v>0</v>
      </c>
      <c r="E297" s="1"/>
      <c r="F297">
        <v>2165</v>
      </c>
      <c r="G297">
        <v>1</v>
      </c>
      <c r="H297" t="s">
        <v>417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1.37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0.72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0.39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1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</row>
    <row r="298" spans="1:154" x14ac:dyDescent="0.2">
      <c r="A298" s="12">
        <v>2167</v>
      </c>
      <c r="B298" s="12">
        <v>1</v>
      </c>
      <c r="C298" s="13" t="s">
        <v>418</v>
      </c>
      <c r="D298" s="1">
        <f t="shared" si="7"/>
        <v>0</v>
      </c>
      <c r="E298" s="1"/>
      <c r="F298">
        <v>2167</v>
      </c>
      <c r="G298">
        <v>1</v>
      </c>
      <c r="H298" t="s">
        <v>418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16.61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1.1200000000000001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</row>
    <row r="299" spans="1:154" x14ac:dyDescent="0.2">
      <c r="A299" s="12">
        <v>2168</v>
      </c>
      <c r="B299" s="12">
        <v>1</v>
      </c>
      <c r="C299" s="13" t="s">
        <v>419</v>
      </c>
      <c r="D299" s="1">
        <f t="shared" si="7"/>
        <v>0</v>
      </c>
      <c r="E299" s="1"/>
      <c r="F299">
        <v>2168</v>
      </c>
      <c r="G299">
        <v>1</v>
      </c>
      <c r="H299" t="s">
        <v>419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0.43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4.13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0.09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</row>
    <row r="300" spans="1:154" x14ac:dyDescent="0.2">
      <c r="A300" s="12">
        <v>2169</v>
      </c>
      <c r="B300" s="12">
        <v>1</v>
      </c>
      <c r="C300" s="13" t="s">
        <v>420</v>
      </c>
      <c r="D300" s="1">
        <f t="shared" si="7"/>
        <v>0</v>
      </c>
      <c r="E300" s="1"/>
      <c r="F300">
        <v>2169</v>
      </c>
      <c r="G300">
        <v>1</v>
      </c>
      <c r="H300" t="s">
        <v>420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9.74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0.74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0.91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</row>
    <row r="301" spans="1:154" x14ac:dyDescent="0.2">
      <c r="A301" s="12">
        <v>2170</v>
      </c>
      <c r="B301" s="12">
        <v>1</v>
      </c>
      <c r="C301" s="13" t="s">
        <v>421</v>
      </c>
      <c r="D301" s="1">
        <f t="shared" si="7"/>
        <v>0</v>
      </c>
      <c r="E301" s="1"/>
      <c r="F301">
        <v>2170</v>
      </c>
      <c r="G301">
        <v>1</v>
      </c>
      <c r="H301" t="s">
        <v>421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2.81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1.1200000000000001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13.19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</row>
    <row r="302" spans="1:154" x14ac:dyDescent="0.2">
      <c r="A302" s="12">
        <v>2171</v>
      </c>
      <c r="B302" s="12">
        <v>1</v>
      </c>
      <c r="C302" s="13" t="s">
        <v>422</v>
      </c>
      <c r="D302" s="1">
        <f t="shared" si="7"/>
        <v>0</v>
      </c>
      <c r="E302" s="1"/>
      <c r="F302">
        <v>2171</v>
      </c>
      <c r="G302">
        <v>1</v>
      </c>
      <c r="H302" t="s">
        <v>422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</row>
    <row r="303" spans="1:154" x14ac:dyDescent="0.2">
      <c r="A303" s="12">
        <v>2172</v>
      </c>
      <c r="B303" s="12">
        <v>1</v>
      </c>
      <c r="C303" s="13" t="s">
        <v>423</v>
      </c>
      <c r="D303" s="1">
        <f t="shared" si="7"/>
        <v>0</v>
      </c>
      <c r="E303" s="1"/>
      <c r="F303">
        <v>2172</v>
      </c>
      <c r="G303">
        <v>1</v>
      </c>
      <c r="H303" t="s">
        <v>423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2.94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16.989999999999998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1.1200000000000001</v>
      </c>
      <c r="BX303" s="1">
        <v>2.36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</row>
    <row r="304" spans="1:154" x14ac:dyDescent="0.2">
      <c r="A304" s="12">
        <v>2174</v>
      </c>
      <c r="B304" s="12">
        <v>1</v>
      </c>
      <c r="C304" s="13" t="s">
        <v>424</v>
      </c>
      <c r="D304" s="1">
        <f t="shared" si="7"/>
        <v>0</v>
      </c>
      <c r="E304" s="1"/>
      <c r="F304">
        <v>2174</v>
      </c>
      <c r="G304">
        <v>1</v>
      </c>
      <c r="H304" t="s">
        <v>424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1.47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23.59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0.72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</row>
    <row r="305" spans="1:154" x14ac:dyDescent="0.2">
      <c r="A305" s="12">
        <v>2176</v>
      </c>
      <c r="B305" s="12">
        <v>1</v>
      </c>
      <c r="C305" s="13" t="s">
        <v>425</v>
      </c>
      <c r="D305" s="1">
        <f t="shared" si="7"/>
        <v>0</v>
      </c>
      <c r="E305" s="1"/>
      <c r="F305">
        <v>2176</v>
      </c>
      <c r="G305">
        <v>1</v>
      </c>
      <c r="H305" t="s">
        <v>425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</row>
    <row r="306" spans="1:154" x14ac:dyDescent="0.2">
      <c r="A306" s="12">
        <v>2180</v>
      </c>
      <c r="B306" s="12">
        <v>1</v>
      </c>
      <c r="C306" s="13" t="s">
        <v>426</v>
      </c>
      <c r="D306" s="1">
        <f t="shared" si="7"/>
        <v>0</v>
      </c>
      <c r="E306" s="1"/>
      <c r="F306">
        <v>2180</v>
      </c>
      <c r="G306">
        <v>1</v>
      </c>
      <c r="H306" t="s">
        <v>426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</row>
    <row r="307" spans="1:154" x14ac:dyDescent="0.2">
      <c r="A307" s="12">
        <v>2184</v>
      </c>
      <c r="B307" s="12">
        <v>1</v>
      </c>
      <c r="C307" s="13" t="s">
        <v>427</v>
      </c>
      <c r="D307" s="1">
        <f t="shared" si="7"/>
        <v>0</v>
      </c>
      <c r="E307" s="1"/>
      <c r="F307">
        <v>2184</v>
      </c>
      <c r="G307">
        <v>1</v>
      </c>
      <c r="H307" t="s">
        <v>427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</row>
    <row r="308" spans="1:154" x14ac:dyDescent="0.2">
      <c r="A308" s="12">
        <v>2190</v>
      </c>
      <c r="B308" s="12">
        <v>1</v>
      </c>
      <c r="C308" s="13" t="s">
        <v>428</v>
      </c>
      <c r="D308" s="1">
        <f t="shared" si="7"/>
        <v>0</v>
      </c>
      <c r="E308" s="1"/>
      <c r="F308">
        <v>2190</v>
      </c>
      <c r="G308">
        <v>1</v>
      </c>
      <c r="H308" t="s">
        <v>428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76.650000000000006</v>
      </c>
      <c r="Z308" s="1">
        <v>0</v>
      </c>
      <c r="AA308" s="1">
        <v>4.07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1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</row>
    <row r="309" spans="1:154" x14ac:dyDescent="0.2">
      <c r="A309" s="12">
        <v>2198</v>
      </c>
      <c r="B309" s="12">
        <v>1</v>
      </c>
      <c r="C309" s="14" t="s">
        <v>429</v>
      </c>
      <c r="D309" s="1">
        <f t="shared" si="7"/>
        <v>0</v>
      </c>
      <c r="E309" s="1"/>
      <c r="F309">
        <v>2198</v>
      </c>
      <c r="G309">
        <v>1</v>
      </c>
      <c r="H309" t="s">
        <v>429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</row>
    <row r="310" spans="1:154" x14ac:dyDescent="0.2">
      <c r="A310" s="12">
        <v>2215</v>
      </c>
      <c r="B310" s="12">
        <v>1</v>
      </c>
      <c r="C310" s="14" t="s">
        <v>430</v>
      </c>
      <c r="D310" s="1">
        <f t="shared" si="7"/>
        <v>0</v>
      </c>
      <c r="E310" s="1"/>
      <c r="F310">
        <v>2215</v>
      </c>
      <c r="G310">
        <v>1</v>
      </c>
      <c r="H310" t="s">
        <v>430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</row>
    <row r="311" spans="1:154" x14ac:dyDescent="0.2">
      <c r="A311" s="12">
        <v>2310</v>
      </c>
      <c r="B311" s="12">
        <v>1</v>
      </c>
      <c r="C311" s="14" t="s">
        <v>431</v>
      </c>
      <c r="D311" s="1">
        <f t="shared" si="7"/>
        <v>0</v>
      </c>
      <c r="E311" s="1"/>
      <c r="F311">
        <v>2310</v>
      </c>
      <c r="G311">
        <v>1</v>
      </c>
      <c r="H311" t="s">
        <v>431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16.760000000000002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57.63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1.3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</row>
    <row r="312" spans="1:154" x14ac:dyDescent="0.2">
      <c r="A312" s="12">
        <v>2311</v>
      </c>
      <c r="B312" s="12">
        <v>1</v>
      </c>
      <c r="C312" s="13" t="s">
        <v>432</v>
      </c>
      <c r="D312" s="1">
        <f t="shared" si="7"/>
        <v>0</v>
      </c>
      <c r="E312" s="1"/>
      <c r="F312">
        <v>2311</v>
      </c>
      <c r="G312">
        <v>1</v>
      </c>
      <c r="H312" t="s">
        <v>432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1.31</v>
      </c>
      <c r="CL312" s="1">
        <v>1.3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</row>
    <row r="313" spans="1:154" x14ac:dyDescent="0.2">
      <c r="A313" s="12">
        <v>2342</v>
      </c>
      <c r="B313" s="12">
        <v>1</v>
      </c>
      <c r="C313" s="13" t="s">
        <v>433</v>
      </c>
      <c r="D313" s="1">
        <f t="shared" si="7"/>
        <v>0</v>
      </c>
      <c r="E313" s="1"/>
      <c r="F313">
        <v>2342</v>
      </c>
      <c r="G313">
        <v>1</v>
      </c>
      <c r="H313" t="s">
        <v>433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0.73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</row>
    <row r="314" spans="1:154" x14ac:dyDescent="0.2">
      <c r="A314" s="12">
        <v>2358</v>
      </c>
      <c r="B314" s="12">
        <v>1</v>
      </c>
      <c r="C314" s="13" t="s">
        <v>434</v>
      </c>
      <c r="D314" s="1">
        <f t="shared" si="7"/>
        <v>0</v>
      </c>
      <c r="E314" s="1"/>
      <c r="F314">
        <v>2358</v>
      </c>
      <c r="G314">
        <v>1</v>
      </c>
      <c r="H314" t="s">
        <v>434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</row>
    <row r="315" spans="1:154" x14ac:dyDescent="0.2">
      <c r="A315" s="12">
        <v>2364</v>
      </c>
      <c r="B315" s="12">
        <v>1</v>
      </c>
      <c r="C315" s="13" t="s">
        <v>435</v>
      </c>
      <c r="D315" s="1">
        <f t="shared" si="7"/>
        <v>0</v>
      </c>
      <c r="E315" s="1"/>
      <c r="F315">
        <v>2364</v>
      </c>
      <c r="G315">
        <v>1</v>
      </c>
      <c r="H315" t="s">
        <v>435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</row>
    <row r="316" spans="1:154" x14ac:dyDescent="0.2">
      <c r="A316" s="12">
        <v>2365</v>
      </c>
      <c r="B316" s="12">
        <v>1</v>
      </c>
      <c r="C316" s="13" t="s">
        <v>436</v>
      </c>
      <c r="D316" s="1">
        <f t="shared" si="7"/>
        <v>0</v>
      </c>
      <c r="E316" s="1"/>
      <c r="F316">
        <v>2365</v>
      </c>
      <c r="G316">
        <v>1</v>
      </c>
      <c r="H316" t="s">
        <v>436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9.58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33.35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3.29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0.54</v>
      </c>
      <c r="DX316" s="1">
        <v>4.37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</row>
    <row r="317" spans="1:154" x14ac:dyDescent="0.2">
      <c r="A317" s="12">
        <v>2396</v>
      </c>
      <c r="B317" s="12">
        <v>1</v>
      </c>
      <c r="C317" s="13" t="s">
        <v>437</v>
      </c>
      <c r="D317" s="1">
        <f t="shared" si="7"/>
        <v>0</v>
      </c>
      <c r="E317" s="1"/>
      <c r="F317">
        <v>2396</v>
      </c>
      <c r="G317">
        <v>1</v>
      </c>
      <c r="H317" t="s">
        <v>437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1.3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1.3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</row>
    <row r="318" spans="1:154" x14ac:dyDescent="0.2">
      <c r="A318" s="12">
        <v>2397</v>
      </c>
      <c r="B318" s="12">
        <v>1</v>
      </c>
      <c r="C318" s="13" t="s">
        <v>438</v>
      </c>
      <c r="D318" s="1">
        <f t="shared" si="7"/>
        <v>0</v>
      </c>
      <c r="E318" s="1"/>
      <c r="F318">
        <v>2397</v>
      </c>
      <c r="G318">
        <v>1</v>
      </c>
      <c r="H318" t="s">
        <v>438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43.77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1.22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2.23</v>
      </c>
      <c r="DS318" s="1">
        <v>0</v>
      </c>
      <c r="DT318" s="1">
        <v>0</v>
      </c>
      <c r="DU318" s="1">
        <v>0</v>
      </c>
      <c r="DV318" s="1">
        <v>0</v>
      </c>
      <c r="DW318" s="1">
        <v>0.36</v>
      </c>
      <c r="DX318" s="1">
        <v>0.51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</row>
    <row r="319" spans="1:154" x14ac:dyDescent="0.2">
      <c r="A319" s="12">
        <v>2448</v>
      </c>
      <c r="B319" s="12">
        <v>1</v>
      </c>
      <c r="C319" s="13" t="s">
        <v>439</v>
      </c>
      <c r="D319" s="1">
        <f t="shared" si="7"/>
        <v>0</v>
      </c>
      <c r="E319" s="1"/>
      <c r="F319">
        <v>2448</v>
      </c>
      <c r="G319">
        <v>1</v>
      </c>
      <c r="H319" t="s">
        <v>439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1.42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2.02</v>
      </c>
      <c r="DX319" s="1">
        <v>7.42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</row>
    <row r="320" spans="1:154" x14ac:dyDescent="0.2">
      <c r="A320" s="12">
        <v>2527</v>
      </c>
      <c r="B320" s="12">
        <v>1</v>
      </c>
      <c r="C320" s="13" t="s">
        <v>440</v>
      </c>
      <c r="D320" s="1">
        <f t="shared" si="7"/>
        <v>0</v>
      </c>
      <c r="E320" s="1"/>
      <c r="F320">
        <v>2527</v>
      </c>
      <c r="G320">
        <v>1</v>
      </c>
      <c r="H320" t="s">
        <v>440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</row>
    <row r="321" spans="1:154" x14ac:dyDescent="0.2">
      <c r="A321" s="12">
        <v>2534</v>
      </c>
      <c r="B321" s="12">
        <v>1</v>
      </c>
      <c r="C321" s="13" t="s">
        <v>441</v>
      </c>
      <c r="D321" s="1">
        <f t="shared" si="7"/>
        <v>0</v>
      </c>
      <c r="E321" s="1"/>
      <c r="F321">
        <v>2534</v>
      </c>
      <c r="G321">
        <v>1</v>
      </c>
      <c r="H321" t="s">
        <v>441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5.62</v>
      </c>
      <c r="Z321" s="1">
        <v>0</v>
      </c>
      <c r="AA321" s="1">
        <v>1.3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</row>
    <row r="322" spans="1:154" x14ac:dyDescent="0.2">
      <c r="A322" s="12">
        <v>2536</v>
      </c>
      <c r="B322" s="12">
        <v>1</v>
      </c>
      <c r="C322" s="13" t="s">
        <v>442</v>
      </c>
      <c r="D322" s="1">
        <f t="shared" si="7"/>
        <v>0</v>
      </c>
      <c r="E322" s="1"/>
      <c r="F322">
        <v>2536</v>
      </c>
      <c r="G322">
        <v>1</v>
      </c>
      <c r="H322" t="s">
        <v>442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</row>
    <row r="323" spans="1:154" x14ac:dyDescent="0.2">
      <c r="A323" s="12">
        <v>2580</v>
      </c>
      <c r="B323" s="12">
        <v>1</v>
      </c>
      <c r="C323" s="13" t="s">
        <v>443</v>
      </c>
      <c r="D323" s="1">
        <f t="shared" si="7"/>
        <v>0</v>
      </c>
      <c r="E323" s="1"/>
      <c r="F323">
        <v>2580</v>
      </c>
      <c r="G323">
        <v>1</v>
      </c>
      <c r="H323" t="s">
        <v>443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7.78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1.29</v>
      </c>
      <c r="DX323" s="1">
        <v>0.3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</row>
    <row r="324" spans="1:154" x14ac:dyDescent="0.2">
      <c r="A324" s="12">
        <v>2609</v>
      </c>
      <c r="B324" s="12">
        <v>1</v>
      </c>
      <c r="C324" s="13" t="s">
        <v>444</v>
      </c>
      <c r="D324" s="1">
        <f t="shared" si="7"/>
        <v>0</v>
      </c>
      <c r="E324" s="1"/>
      <c r="F324">
        <v>2609</v>
      </c>
      <c r="G324">
        <v>1</v>
      </c>
      <c r="H324" t="s">
        <v>444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</row>
    <row r="325" spans="1:154" x14ac:dyDescent="0.2">
      <c r="A325" s="12">
        <v>2683</v>
      </c>
      <c r="B325" s="12">
        <v>1</v>
      </c>
      <c r="C325" s="13" t="s">
        <v>445</v>
      </c>
      <c r="D325" s="1">
        <f t="shared" si="7"/>
        <v>0</v>
      </c>
      <c r="E325" s="1"/>
      <c r="F325">
        <v>2683</v>
      </c>
      <c r="G325">
        <v>1</v>
      </c>
      <c r="H325" t="s">
        <v>445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</row>
    <row r="326" spans="1:154" x14ac:dyDescent="0.2">
      <c r="A326" s="12">
        <v>2687</v>
      </c>
      <c r="B326" s="12">
        <v>1</v>
      </c>
      <c r="C326" s="13" t="s">
        <v>446</v>
      </c>
      <c r="D326" s="1">
        <f t="shared" si="7"/>
        <v>0</v>
      </c>
      <c r="E326" s="1"/>
      <c r="F326">
        <v>2687</v>
      </c>
      <c r="G326">
        <v>1</v>
      </c>
      <c r="H326" t="s">
        <v>446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0.68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</row>
    <row r="327" spans="1:154" x14ac:dyDescent="0.2">
      <c r="A327" s="12">
        <v>2689</v>
      </c>
      <c r="B327" s="12">
        <v>1</v>
      </c>
      <c r="C327" s="13" t="s">
        <v>447</v>
      </c>
      <c r="D327" s="1">
        <f t="shared" si="7"/>
        <v>0</v>
      </c>
      <c r="E327" s="1"/>
      <c r="F327">
        <v>2689</v>
      </c>
      <c r="G327">
        <v>1</v>
      </c>
      <c r="H327" t="s">
        <v>447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2.25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1.44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0.55000000000000004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</row>
    <row r="328" spans="1:154" x14ac:dyDescent="0.2">
      <c r="A328" s="12">
        <v>2711</v>
      </c>
      <c r="B328" s="12">
        <v>1</v>
      </c>
      <c r="C328" s="13" t="s">
        <v>448</v>
      </c>
      <c r="D328" s="1">
        <f t="shared" si="7"/>
        <v>0</v>
      </c>
      <c r="E328" s="1"/>
      <c r="F328">
        <v>2711</v>
      </c>
      <c r="G328">
        <v>1</v>
      </c>
      <c r="H328" t="s">
        <v>448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0.17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9.01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</row>
    <row r="329" spans="1:154" x14ac:dyDescent="0.2">
      <c r="A329" s="12">
        <v>2752</v>
      </c>
      <c r="B329" s="12">
        <v>1</v>
      </c>
      <c r="C329" s="13" t="s">
        <v>449</v>
      </c>
      <c r="D329" s="1">
        <f t="shared" si="7"/>
        <v>0</v>
      </c>
      <c r="E329" s="1"/>
      <c r="F329">
        <v>2752</v>
      </c>
      <c r="G329">
        <v>1</v>
      </c>
      <c r="H329" t="s">
        <v>449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1.3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1.35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7.09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1.56</v>
      </c>
      <c r="DX329" s="1">
        <v>2.54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</row>
    <row r="330" spans="1:154" x14ac:dyDescent="0.2">
      <c r="A330" s="12">
        <v>2753</v>
      </c>
      <c r="B330" s="12">
        <v>1</v>
      </c>
      <c r="C330" s="13" t="s">
        <v>450</v>
      </c>
      <c r="D330" s="1">
        <f t="shared" si="7"/>
        <v>0</v>
      </c>
      <c r="E330" s="1"/>
      <c r="F330">
        <v>2753</v>
      </c>
      <c r="G330">
        <v>1</v>
      </c>
      <c r="H330" t="s">
        <v>450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0.68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7.47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</row>
    <row r="331" spans="1:154" x14ac:dyDescent="0.2">
      <c r="A331" s="12">
        <v>2754</v>
      </c>
      <c r="B331" s="12">
        <v>1</v>
      </c>
      <c r="C331" s="13" t="s">
        <v>451</v>
      </c>
      <c r="D331" s="1">
        <f t="shared" ref="D331:D350" si="8">SUMIF(I$5:EX$5,Snumber,I331:EX331)</f>
        <v>0</v>
      </c>
      <c r="E331" s="1"/>
      <c r="F331">
        <v>2754</v>
      </c>
      <c r="G331">
        <v>1</v>
      </c>
      <c r="H331" t="s">
        <v>451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1.56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</row>
    <row r="332" spans="1:154" x14ac:dyDescent="0.2">
      <c r="A332" s="12">
        <v>2759</v>
      </c>
      <c r="B332" s="12">
        <v>1</v>
      </c>
      <c r="C332" s="13" t="s">
        <v>452</v>
      </c>
      <c r="D332" s="1">
        <f t="shared" si="8"/>
        <v>0</v>
      </c>
      <c r="E332" s="1"/>
      <c r="F332">
        <v>2759</v>
      </c>
      <c r="G332">
        <v>1</v>
      </c>
      <c r="H332" t="s">
        <v>452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0.45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</row>
    <row r="333" spans="1:154" x14ac:dyDescent="0.2">
      <c r="A333" s="12">
        <v>2805</v>
      </c>
      <c r="B333" s="12">
        <v>1</v>
      </c>
      <c r="C333" s="13" t="s">
        <v>453</v>
      </c>
      <c r="D333" s="1">
        <f t="shared" si="8"/>
        <v>0</v>
      </c>
      <c r="E333" s="1"/>
      <c r="F333">
        <v>2805</v>
      </c>
      <c r="G333">
        <v>1</v>
      </c>
      <c r="H333" t="s">
        <v>453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0.51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3.58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1.06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</row>
    <row r="334" spans="1:154" x14ac:dyDescent="0.2">
      <c r="A334" s="12">
        <v>2835</v>
      </c>
      <c r="B334" s="12">
        <v>1</v>
      </c>
      <c r="C334" s="14" t="s">
        <v>454</v>
      </c>
      <c r="D334" s="1">
        <f t="shared" si="8"/>
        <v>0</v>
      </c>
      <c r="E334" s="1"/>
      <c r="F334">
        <v>2835</v>
      </c>
      <c r="G334">
        <v>1</v>
      </c>
      <c r="H334" t="s">
        <v>454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0.28999999999999998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2.1800000000000002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1.3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</row>
    <row r="335" spans="1:154" x14ac:dyDescent="0.2">
      <c r="A335" s="12">
        <v>2853</v>
      </c>
      <c r="B335" s="12">
        <v>1</v>
      </c>
      <c r="C335" s="13" t="s">
        <v>455</v>
      </c>
      <c r="D335" s="1">
        <f t="shared" si="8"/>
        <v>0</v>
      </c>
      <c r="E335" s="1"/>
      <c r="F335">
        <v>2853</v>
      </c>
      <c r="G335">
        <v>1</v>
      </c>
      <c r="H335" t="s">
        <v>455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1.3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0.77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</row>
    <row r="336" spans="1:154" x14ac:dyDescent="0.2">
      <c r="A336" s="12">
        <v>2854</v>
      </c>
      <c r="B336" s="12">
        <v>1</v>
      </c>
      <c r="C336" s="13" t="s">
        <v>456</v>
      </c>
      <c r="D336" s="1">
        <f t="shared" si="8"/>
        <v>0</v>
      </c>
      <c r="E336" s="1"/>
      <c r="F336">
        <v>2854</v>
      </c>
      <c r="G336">
        <v>1</v>
      </c>
      <c r="H336" t="s">
        <v>456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0.21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</row>
    <row r="337" spans="1:154" x14ac:dyDescent="0.2">
      <c r="A337" s="12">
        <v>2856</v>
      </c>
      <c r="B337" s="12">
        <v>1</v>
      </c>
      <c r="C337" s="13" t="s">
        <v>457</v>
      </c>
      <c r="D337" s="1">
        <f t="shared" si="8"/>
        <v>0</v>
      </c>
      <c r="E337" s="1"/>
      <c r="F337">
        <v>2856</v>
      </c>
      <c r="G337">
        <v>1</v>
      </c>
      <c r="H337" t="s">
        <v>457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</row>
    <row r="338" spans="1:154" x14ac:dyDescent="0.2">
      <c r="A338" s="12">
        <v>2859</v>
      </c>
      <c r="B338" s="12">
        <v>1</v>
      </c>
      <c r="C338" s="13" t="s">
        <v>458</v>
      </c>
      <c r="D338" s="1">
        <f t="shared" si="8"/>
        <v>0</v>
      </c>
      <c r="E338" s="1"/>
      <c r="F338">
        <v>2859</v>
      </c>
      <c r="G338">
        <v>1</v>
      </c>
      <c r="H338" t="s">
        <v>458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12.12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0.66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2.6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3.29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</row>
    <row r="339" spans="1:154" x14ac:dyDescent="0.2">
      <c r="A339" s="12">
        <v>2860</v>
      </c>
      <c r="B339" s="12">
        <v>1</v>
      </c>
      <c r="C339" s="13" t="s">
        <v>459</v>
      </c>
      <c r="D339" s="1">
        <f t="shared" si="8"/>
        <v>0</v>
      </c>
      <c r="E339" s="1"/>
      <c r="F339">
        <v>2860</v>
      </c>
      <c r="G339">
        <v>1</v>
      </c>
      <c r="H339" t="s">
        <v>459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2.3199999999999998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0.46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0.89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0.92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</row>
    <row r="340" spans="1:154" x14ac:dyDescent="0.2">
      <c r="A340" s="12">
        <v>2884</v>
      </c>
      <c r="B340" s="12">
        <v>1</v>
      </c>
      <c r="C340" s="13" t="s">
        <v>460</v>
      </c>
      <c r="D340" s="1">
        <f t="shared" si="8"/>
        <v>0</v>
      </c>
      <c r="E340" s="1"/>
      <c r="F340">
        <v>2884</v>
      </c>
      <c r="G340">
        <v>1</v>
      </c>
      <c r="H340" t="s">
        <v>460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2.4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0.74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</row>
    <row r="341" spans="1:154" x14ac:dyDescent="0.2">
      <c r="A341" s="12">
        <v>2886</v>
      </c>
      <c r="B341" s="12">
        <v>1</v>
      </c>
      <c r="C341" s="13" t="s">
        <v>461</v>
      </c>
      <c r="D341" s="1">
        <f t="shared" si="8"/>
        <v>0</v>
      </c>
      <c r="E341" s="1"/>
      <c r="F341">
        <v>2886</v>
      </c>
      <c r="G341">
        <v>1</v>
      </c>
      <c r="H341" t="s">
        <v>461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</row>
    <row r="342" spans="1:154" x14ac:dyDescent="0.2">
      <c r="A342" s="12">
        <v>2887</v>
      </c>
      <c r="B342" s="12">
        <v>1</v>
      </c>
      <c r="C342" s="13" t="s">
        <v>462</v>
      </c>
      <c r="D342" s="1">
        <f t="shared" si="8"/>
        <v>0</v>
      </c>
      <c r="E342" s="1"/>
      <c r="F342">
        <v>2887</v>
      </c>
      <c r="G342">
        <v>1</v>
      </c>
      <c r="H342" t="s">
        <v>462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5.1100000000000003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</row>
    <row r="343" spans="1:154" x14ac:dyDescent="0.2">
      <c r="A343" s="12">
        <v>2888</v>
      </c>
      <c r="B343" s="12">
        <v>1</v>
      </c>
      <c r="C343" s="13" t="s">
        <v>463</v>
      </c>
      <c r="D343" s="1">
        <f t="shared" si="8"/>
        <v>0</v>
      </c>
      <c r="E343" s="1"/>
      <c r="F343">
        <v>2888</v>
      </c>
      <c r="G343">
        <v>1</v>
      </c>
      <c r="H343" t="s">
        <v>463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</row>
    <row r="344" spans="1:154" x14ac:dyDescent="0.2">
      <c r="A344" s="12">
        <v>2889</v>
      </c>
      <c r="B344" s="12">
        <v>1</v>
      </c>
      <c r="C344" s="13" t="s">
        <v>464</v>
      </c>
      <c r="D344" s="1">
        <f t="shared" si="8"/>
        <v>0</v>
      </c>
      <c r="E344" s="1"/>
      <c r="F344">
        <v>2889</v>
      </c>
      <c r="G344">
        <v>1</v>
      </c>
      <c r="H344" t="s">
        <v>464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1.24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</row>
    <row r="345" spans="1:154" x14ac:dyDescent="0.2">
      <c r="A345" s="12">
        <v>2890</v>
      </c>
      <c r="B345" s="12">
        <v>1</v>
      </c>
      <c r="C345" s="13" t="s">
        <v>465</v>
      </c>
      <c r="D345" s="1">
        <f t="shared" si="8"/>
        <v>0</v>
      </c>
      <c r="E345" s="1"/>
      <c r="F345">
        <v>2890</v>
      </c>
      <c r="G345">
        <v>1</v>
      </c>
      <c r="H345" t="s">
        <v>465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2.36</v>
      </c>
      <c r="V345" s="1">
        <v>0</v>
      </c>
      <c r="W345" s="1">
        <v>0</v>
      </c>
      <c r="X345" s="1">
        <v>0</v>
      </c>
      <c r="Y345" s="1">
        <v>28.1</v>
      </c>
      <c r="Z345" s="1">
        <v>0</v>
      </c>
      <c r="AA345" s="1">
        <v>1.5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</row>
    <row r="346" spans="1:154" x14ac:dyDescent="0.2">
      <c r="A346" s="12">
        <v>2895</v>
      </c>
      <c r="B346" s="12">
        <v>1</v>
      </c>
      <c r="C346" s="13" t="s">
        <v>466</v>
      </c>
      <c r="D346" s="1">
        <f t="shared" si="8"/>
        <v>0</v>
      </c>
      <c r="E346" s="1"/>
      <c r="F346">
        <v>2895</v>
      </c>
      <c r="G346">
        <v>1</v>
      </c>
      <c r="H346" t="s">
        <v>466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0.42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</row>
    <row r="347" spans="1:154" x14ac:dyDescent="0.2">
      <c r="A347" s="12">
        <v>2897</v>
      </c>
      <c r="B347" s="12">
        <v>1</v>
      </c>
      <c r="C347" s="13" t="s">
        <v>467</v>
      </c>
      <c r="D347" s="1">
        <f t="shared" si="8"/>
        <v>0</v>
      </c>
      <c r="E347" s="1"/>
      <c r="F347">
        <v>2897</v>
      </c>
      <c r="G347">
        <v>1</v>
      </c>
      <c r="H347" t="s">
        <v>467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0.52</v>
      </c>
      <c r="V347" s="1">
        <v>0</v>
      </c>
      <c r="W347" s="1">
        <v>0</v>
      </c>
      <c r="X347" s="1">
        <v>0</v>
      </c>
      <c r="Y347" s="1">
        <v>64.03</v>
      </c>
      <c r="Z347" s="1">
        <v>0</v>
      </c>
      <c r="AA347" s="1">
        <v>26.24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1.3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0.69</v>
      </c>
      <c r="DX347" s="1">
        <v>0.74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</row>
    <row r="348" spans="1:154" x14ac:dyDescent="0.2">
      <c r="A348" s="12">
        <v>2898</v>
      </c>
      <c r="B348" s="12">
        <v>1</v>
      </c>
      <c r="C348" s="13" t="s">
        <v>468</v>
      </c>
      <c r="D348" s="1">
        <f t="shared" si="8"/>
        <v>0</v>
      </c>
      <c r="E348" s="1"/>
      <c r="F348">
        <v>2898</v>
      </c>
      <c r="G348">
        <v>1</v>
      </c>
      <c r="H348" t="s">
        <v>468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1.65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</row>
    <row r="349" spans="1:154" x14ac:dyDescent="0.2">
      <c r="A349" s="12">
        <v>2899</v>
      </c>
      <c r="B349" s="12">
        <v>1</v>
      </c>
      <c r="C349" s="15" t="s">
        <v>469</v>
      </c>
      <c r="D349" s="1">
        <f t="shared" si="8"/>
        <v>0</v>
      </c>
      <c r="E349" s="1"/>
      <c r="F349">
        <v>2899</v>
      </c>
      <c r="G349">
        <v>1</v>
      </c>
      <c r="H349" t="s">
        <v>469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0.79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</row>
    <row r="350" spans="1:154" x14ac:dyDescent="0.2">
      <c r="A350" s="12">
        <v>2902</v>
      </c>
      <c r="B350" s="12">
        <v>1</v>
      </c>
      <c r="C350" s="15" t="s">
        <v>470</v>
      </c>
      <c r="D350" s="1">
        <f t="shared" si="8"/>
        <v>0</v>
      </c>
      <c r="E350" s="1"/>
      <c r="F350">
        <v>2902</v>
      </c>
      <c r="G350">
        <v>1</v>
      </c>
      <c r="H350" t="s">
        <v>470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1.1399999999999999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4:K151"/>
  <sheetViews>
    <sheetView zoomScale="75" workbookViewId="0"/>
  </sheetViews>
  <sheetFormatPr defaultRowHeight="12.75" x14ac:dyDescent="0.2"/>
  <cols>
    <col min="3" max="3" width="3.7109375" customWidth="1"/>
    <col min="4" max="4" width="16.7109375" customWidth="1"/>
  </cols>
  <sheetData>
    <row r="4" spans="1:11" x14ac:dyDescent="0.2">
      <c r="A4">
        <v>1</v>
      </c>
    </row>
    <row r="5" spans="1:11" x14ac:dyDescent="0.2">
      <c r="A5">
        <v>1</v>
      </c>
    </row>
    <row r="6" spans="1:11" x14ac:dyDescent="0.2">
      <c r="A6">
        <v>1</v>
      </c>
      <c r="B6" s="9">
        <v>4000</v>
      </c>
      <c r="C6">
        <v>7</v>
      </c>
      <c r="D6" t="s">
        <v>0</v>
      </c>
      <c r="E6" s="30">
        <v>114.42</v>
      </c>
      <c r="F6" s="30">
        <v>145.43</v>
      </c>
      <c r="G6" s="30">
        <v>73.45</v>
      </c>
      <c r="H6" s="30">
        <v>29.58</v>
      </c>
      <c r="I6" s="30">
        <v>0</v>
      </c>
      <c r="J6" s="1"/>
      <c r="K6" s="1"/>
    </row>
    <row r="7" spans="1:11" x14ac:dyDescent="0.2">
      <c r="A7">
        <v>1</v>
      </c>
      <c r="B7" s="9">
        <v>4001</v>
      </c>
      <c r="C7">
        <v>7</v>
      </c>
      <c r="D7" t="s">
        <v>1</v>
      </c>
      <c r="E7" s="30">
        <v>114.57</v>
      </c>
      <c r="F7" s="30">
        <v>51.97</v>
      </c>
      <c r="G7" s="30">
        <v>11.8</v>
      </c>
      <c r="H7" s="30">
        <v>10.85</v>
      </c>
      <c r="I7" s="30">
        <v>10.119999999999999</v>
      </c>
      <c r="J7" s="1"/>
      <c r="K7" s="1"/>
    </row>
    <row r="8" spans="1:11" x14ac:dyDescent="0.2">
      <c r="A8">
        <v>1</v>
      </c>
      <c r="B8" s="9">
        <v>4003</v>
      </c>
      <c r="C8">
        <v>7</v>
      </c>
      <c r="D8" t="s">
        <v>2</v>
      </c>
      <c r="E8" s="30">
        <v>7.02</v>
      </c>
      <c r="F8" s="30">
        <v>6.66</v>
      </c>
      <c r="G8" s="30">
        <v>3.23</v>
      </c>
      <c r="H8" s="30">
        <v>1.71</v>
      </c>
      <c r="I8" s="30">
        <v>0.38</v>
      </c>
      <c r="J8" s="1"/>
      <c r="K8" s="1"/>
    </row>
    <row r="9" spans="1:11" x14ac:dyDescent="0.2">
      <c r="A9">
        <v>1</v>
      </c>
      <c r="B9" s="9">
        <v>4004</v>
      </c>
      <c r="C9">
        <v>7</v>
      </c>
      <c r="D9" t="s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1"/>
      <c r="K9" s="1"/>
    </row>
    <row r="10" spans="1:11" x14ac:dyDescent="0.2">
      <c r="A10">
        <v>1</v>
      </c>
      <c r="B10" s="9">
        <v>4005</v>
      </c>
      <c r="C10">
        <v>7</v>
      </c>
      <c r="D10" t="s">
        <v>4</v>
      </c>
      <c r="E10" s="30">
        <v>101.85</v>
      </c>
      <c r="F10" s="30">
        <v>93.01</v>
      </c>
      <c r="G10" s="30">
        <v>46.54</v>
      </c>
      <c r="H10" s="30">
        <v>22.33</v>
      </c>
      <c r="I10" s="30">
        <v>4.09</v>
      </c>
      <c r="J10" s="1"/>
      <c r="K10" s="1"/>
    </row>
    <row r="11" spans="1:11" x14ac:dyDescent="0.2">
      <c r="A11">
        <v>1</v>
      </c>
      <c r="B11" s="9">
        <v>4006</v>
      </c>
      <c r="C11">
        <v>7</v>
      </c>
      <c r="D11" t="s">
        <v>5</v>
      </c>
      <c r="E11" s="30">
        <v>79.44</v>
      </c>
      <c r="F11" s="30">
        <v>99.83</v>
      </c>
      <c r="G11" s="30">
        <v>50.23</v>
      </c>
      <c r="H11" s="30">
        <v>20.23</v>
      </c>
      <c r="I11" s="30">
        <v>0</v>
      </c>
      <c r="J11" s="1"/>
      <c r="K11" s="1"/>
    </row>
    <row r="12" spans="1:11" x14ac:dyDescent="0.2">
      <c r="A12">
        <v>1</v>
      </c>
      <c r="B12" s="9">
        <v>4007</v>
      </c>
      <c r="C12">
        <v>7</v>
      </c>
      <c r="D12" t="s">
        <v>6</v>
      </c>
      <c r="E12" s="30">
        <v>173.86</v>
      </c>
      <c r="F12" s="30">
        <v>154.27000000000001</v>
      </c>
      <c r="G12" s="30">
        <v>135.5</v>
      </c>
      <c r="H12" s="30">
        <v>88.07</v>
      </c>
      <c r="I12" s="30">
        <v>75.680000000000007</v>
      </c>
      <c r="J12" s="1"/>
      <c r="K12" s="1"/>
    </row>
    <row r="13" spans="1:11" x14ac:dyDescent="0.2">
      <c r="A13">
        <v>1</v>
      </c>
      <c r="B13" s="9">
        <v>4008</v>
      </c>
      <c r="C13">
        <v>7</v>
      </c>
      <c r="D13" t="s">
        <v>7</v>
      </c>
      <c r="E13" s="30">
        <v>188</v>
      </c>
      <c r="F13" s="30">
        <v>149.05000000000001</v>
      </c>
      <c r="G13" s="30">
        <v>87.17</v>
      </c>
      <c r="H13" s="30">
        <v>58.79</v>
      </c>
      <c r="I13" s="30">
        <v>31.48</v>
      </c>
      <c r="J13" s="1"/>
      <c r="K13" s="1"/>
    </row>
    <row r="14" spans="1:11" x14ac:dyDescent="0.2">
      <c r="A14">
        <v>1</v>
      </c>
      <c r="B14" s="9">
        <v>4011</v>
      </c>
      <c r="C14">
        <v>7</v>
      </c>
      <c r="D14" t="s">
        <v>8</v>
      </c>
      <c r="E14" s="30">
        <v>10.73</v>
      </c>
      <c r="F14" s="30">
        <v>7.06</v>
      </c>
      <c r="G14" s="30">
        <v>4.03</v>
      </c>
      <c r="H14" s="30">
        <v>3.35</v>
      </c>
      <c r="I14" s="30">
        <v>2.5499999999999998</v>
      </c>
      <c r="J14" s="1"/>
      <c r="K14" s="1"/>
    </row>
    <row r="15" spans="1:11" x14ac:dyDescent="0.2">
      <c r="A15">
        <v>1</v>
      </c>
      <c r="B15" s="9">
        <v>4012</v>
      </c>
      <c r="C15">
        <v>7</v>
      </c>
      <c r="D15" t="s">
        <v>9</v>
      </c>
      <c r="E15" s="30">
        <v>50.9</v>
      </c>
      <c r="F15" s="30">
        <v>13.92</v>
      </c>
      <c r="G15" s="30">
        <v>0.48</v>
      </c>
      <c r="H15" s="30">
        <v>0.2</v>
      </c>
      <c r="I15" s="30">
        <v>0.28000000000000003</v>
      </c>
      <c r="J15" s="1"/>
      <c r="K15" s="1"/>
    </row>
    <row r="16" spans="1:11" x14ac:dyDescent="0.2">
      <c r="A16">
        <v>1</v>
      </c>
      <c r="B16" s="9">
        <v>4015</v>
      </c>
      <c r="C16">
        <v>7</v>
      </c>
      <c r="D16" t="s">
        <v>10</v>
      </c>
      <c r="E16" s="30">
        <v>110.86</v>
      </c>
      <c r="F16" s="30">
        <v>138.46</v>
      </c>
      <c r="G16" s="30">
        <v>69.94</v>
      </c>
      <c r="H16" s="30">
        <v>28.58</v>
      </c>
      <c r="I16" s="30">
        <v>0.51</v>
      </c>
      <c r="J16" s="1"/>
      <c r="K16" s="1"/>
    </row>
    <row r="17" spans="1:11" x14ac:dyDescent="0.2">
      <c r="A17">
        <v>1</v>
      </c>
      <c r="B17" s="9">
        <v>4016</v>
      </c>
      <c r="C17">
        <v>7</v>
      </c>
      <c r="D17" t="s">
        <v>11</v>
      </c>
      <c r="E17" s="30">
        <v>63.75</v>
      </c>
      <c r="F17" s="30">
        <v>20.059999999999999</v>
      </c>
      <c r="G17" s="30">
        <v>0.2</v>
      </c>
      <c r="H17" s="30">
        <v>0.15</v>
      </c>
      <c r="I17" s="30">
        <v>0.12</v>
      </c>
      <c r="J17" s="1"/>
      <c r="K17" s="1"/>
    </row>
    <row r="18" spans="1:11" x14ac:dyDescent="0.2">
      <c r="A18">
        <v>1</v>
      </c>
      <c r="B18" s="9">
        <v>4017</v>
      </c>
      <c r="C18">
        <v>7</v>
      </c>
      <c r="D18" t="s">
        <v>12</v>
      </c>
      <c r="E18" s="30">
        <v>53.94</v>
      </c>
      <c r="F18" s="30">
        <v>49.92</v>
      </c>
      <c r="G18" s="30">
        <v>35.14</v>
      </c>
      <c r="H18" s="30">
        <v>25.82</v>
      </c>
      <c r="I18" s="30">
        <v>18.64</v>
      </c>
      <c r="J18" s="1"/>
      <c r="K18" s="1"/>
    </row>
    <row r="19" spans="1:11" x14ac:dyDescent="0.2">
      <c r="A19">
        <v>1</v>
      </c>
      <c r="B19" s="9">
        <v>4018</v>
      </c>
      <c r="C19">
        <v>7</v>
      </c>
      <c r="D19" t="s">
        <v>13</v>
      </c>
      <c r="E19" s="30">
        <v>104.38</v>
      </c>
      <c r="F19" s="30">
        <v>130.58000000000001</v>
      </c>
      <c r="G19" s="30">
        <v>65.89</v>
      </c>
      <c r="H19" s="30">
        <v>26.94</v>
      </c>
      <c r="I19" s="30">
        <v>0.34</v>
      </c>
      <c r="J19" s="1"/>
      <c r="K19" s="1"/>
    </row>
    <row r="20" spans="1:11" x14ac:dyDescent="0.2">
      <c r="A20">
        <v>1</v>
      </c>
      <c r="B20" s="9">
        <v>4020</v>
      </c>
      <c r="C20">
        <v>7</v>
      </c>
      <c r="D20" t="s">
        <v>14</v>
      </c>
      <c r="E20" s="30">
        <v>92.15</v>
      </c>
      <c r="F20" s="30">
        <v>50.34</v>
      </c>
      <c r="G20" s="30">
        <v>19.059999999999999</v>
      </c>
      <c r="H20" s="30">
        <v>0.14000000000000001</v>
      </c>
      <c r="I20" s="30">
        <v>0.11</v>
      </c>
      <c r="J20" s="1"/>
      <c r="K20" s="1"/>
    </row>
    <row r="21" spans="1:11" x14ac:dyDescent="0.2">
      <c r="A21">
        <v>1</v>
      </c>
      <c r="B21" s="9">
        <v>4025</v>
      </c>
      <c r="C21">
        <v>7</v>
      </c>
      <c r="D21" t="s">
        <v>15</v>
      </c>
      <c r="E21" s="30">
        <v>65.11</v>
      </c>
      <c r="F21" s="30">
        <v>60.69</v>
      </c>
      <c r="G21" s="30">
        <v>30.59</v>
      </c>
      <c r="H21" s="30">
        <v>17.3</v>
      </c>
      <c r="I21" s="30">
        <v>6.63</v>
      </c>
      <c r="J21" s="1"/>
      <c r="K21" s="1"/>
    </row>
    <row r="22" spans="1:11" x14ac:dyDescent="0.2">
      <c r="A22">
        <v>1</v>
      </c>
      <c r="B22" s="9">
        <v>4026</v>
      </c>
      <c r="C22">
        <v>7</v>
      </c>
      <c r="D22" t="s">
        <v>16</v>
      </c>
      <c r="E22" s="30">
        <v>285.06</v>
      </c>
      <c r="F22" s="30">
        <v>411.87</v>
      </c>
      <c r="G22" s="30">
        <v>363.14</v>
      </c>
      <c r="H22" s="30">
        <v>354.07</v>
      </c>
      <c r="I22" s="30">
        <v>327.25</v>
      </c>
      <c r="J22" s="1"/>
      <c r="K22" s="1"/>
    </row>
    <row r="23" spans="1:11" x14ac:dyDescent="0.2">
      <c r="A23">
        <v>1</v>
      </c>
      <c r="B23" s="9">
        <v>4027</v>
      </c>
      <c r="C23">
        <v>7</v>
      </c>
      <c r="D23" t="s">
        <v>17</v>
      </c>
      <c r="E23" s="30">
        <v>64.12</v>
      </c>
      <c r="F23" s="30">
        <v>80.67</v>
      </c>
      <c r="G23" s="30">
        <v>40.64</v>
      </c>
      <c r="H23" s="30">
        <v>16.5</v>
      </c>
      <c r="I23" s="30">
        <v>0.11</v>
      </c>
      <c r="J23" s="1"/>
      <c r="K23" s="1"/>
    </row>
    <row r="24" spans="1:11" x14ac:dyDescent="0.2">
      <c r="A24">
        <v>1</v>
      </c>
      <c r="B24" s="9">
        <v>4028</v>
      </c>
      <c r="C24">
        <v>7</v>
      </c>
      <c r="D24" t="s">
        <v>18</v>
      </c>
      <c r="E24" s="30">
        <v>296.82</v>
      </c>
      <c r="F24" s="30">
        <v>328.4</v>
      </c>
      <c r="G24" s="30">
        <v>303.39</v>
      </c>
      <c r="H24" s="30">
        <v>296.58</v>
      </c>
      <c r="I24" s="30">
        <v>279.45999999999998</v>
      </c>
      <c r="J24" s="1"/>
      <c r="K24" s="1"/>
    </row>
    <row r="25" spans="1:11" x14ac:dyDescent="0.2">
      <c r="A25">
        <v>1</v>
      </c>
      <c r="B25" s="9">
        <v>4029</v>
      </c>
      <c r="C25">
        <v>7</v>
      </c>
      <c r="D25" t="s">
        <v>19</v>
      </c>
      <c r="E25" s="30">
        <v>110.97</v>
      </c>
      <c r="F25" s="30">
        <v>139.74</v>
      </c>
      <c r="G25" s="30">
        <v>70.59</v>
      </c>
      <c r="H25" s="30">
        <v>28.71</v>
      </c>
      <c r="I25" s="30">
        <v>0.28999999999999998</v>
      </c>
      <c r="J25" s="1"/>
      <c r="K25" s="1"/>
    </row>
    <row r="26" spans="1:11" x14ac:dyDescent="0.2">
      <c r="A26">
        <v>1</v>
      </c>
      <c r="B26" s="9">
        <v>4030</v>
      </c>
      <c r="C26">
        <v>7</v>
      </c>
      <c r="D26" t="s">
        <v>20</v>
      </c>
      <c r="E26" s="30">
        <v>80.25</v>
      </c>
      <c r="F26" s="30">
        <v>35.200000000000003</v>
      </c>
      <c r="G26" s="30">
        <v>15.78</v>
      </c>
      <c r="H26" s="30">
        <v>11.81</v>
      </c>
      <c r="I26" s="30">
        <v>6.71</v>
      </c>
      <c r="J26" s="1"/>
      <c r="K26" s="1"/>
    </row>
    <row r="27" spans="1:11" x14ac:dyDescent="0.2">
      <c r="A27">
        <v>1</v>
      </c>
      <c r="B27" s="9">
        <v>4031</v>
      </c>
      <c r="C27">
        <v>7</v>
      </c>
      <c r="D27" t="s">
        <v>21</v>
      </c>
      <c r="E27" s="30">
        <v>106.26</v>
      </c>
      <c r="F27" s="30">
        <v>129.66</v>
      </c>
      <c r="G27" s="30">
        <v>67.069999999999993</v>
      </c>
      <c r="H27" s="30">
        <v>29.68</v>
      </c>
      <c r="I27" s="30">
        <v>3.5</v>
      </c>
      <c r="J27" s="1"/>
      <c r="K27" s="1"/>
    </row>
    <row r="28" spans="1:11" x14ac:dyDescent="0.2">
      <c r="A28">
        <v>1</v>
      </c>
      <c r="B28" s="9">
        <v>4032</v>
      </c>
      <c r="C28">
        <v>7</v>
      </c>
      <c r="D28" t="s">
        <v>22</v>
      </c>
      <c r="E28" s="30">
        <v>0.92</v>
      </c>
      <c r="F28" s="30">
        <v>0.73</v>
      </c>
      <c r="G28" s="30">
        <v>0.43</v>
      </c>
      <c r="H28" s="30">
        <v>0.31</v>
      </c>
      <c r="I28" s="30">
        <v>0.16</v>
      </c>
      <c r="J28" s="1"/>
      <c r="K28" s="1"/>
    </row>
    <row r="29" spans="1:11" x14ac:dyDescent="0.2">
      <c r="A29">
        <v>1</v>
      </c>
      <c r="B29" s="9">
        <v>4035</v>
      </c>
      <c r="C29">
        <v>7</v>
      </c>
      <c r="D29" t="s">
        <v>23</v>
      </c>
      <c r="E29" s="30">
        <v>111.49</v>
      </c>
      <c r="F29" s="30">
        <v>140.03</v>
      </c>
      <c r="G29" s="30">
        <v>71.319999999999993</v>
      </c>
      <c r="H29" s="30">
        <v>29.86</v>
      </c>
      <c r="I29" s="30">
        <v>1.71</v>
      </c>
      <c r="J29" s="1"/>
      <c r="K29" s="1"/>
    </row>
    <row r="30" spans="1:11" x14ac:dyDescent="0.2">
      <c r="A30">
        <v>1</v>
      </c>
      <c r="B30" s="9">
        <v>4036</v>
      </c>
      <c r="C30">
        <v>7</v>
      </c>
      <c r="D30" t="s">
        <v>24</v>
      </c>
      <c r="E30" s="30">
        <v>114.42</v>
      </c>
      <c r="F30" s="30">
        <v>145.43</v>
      </c>
      <c r="G30" s="30">
        <v>73.45</v>
      </c>
      <c r="H30" s="30">
        <v>29.58</v>
      </c>
      <c r="I30" s="30">
        <v>0</v>
      </c>
      <c r="J30" s="1"/>
      <c r="K30" s="1"/>
    </row>
    <row r="31" spans="1:11" x14ac:dyDescent="0.2">
      <c r="A31">
        <v>1</v>
      </c>
      <c r="B31" s="9">
        <v>4038</v>
      </c>
      <c r="C31">
        <v>7</v>
      </c>
      <c r="D31" t="s">
        <v>25</v>
      </c>
      <c r="E31" s="30">
        <v>2.2799999999999998</v>
      </c>
      <c r="F31" s="30">
        <v>0.48</v>
      </c>
      <c r="G31" s="30">
        <v>0.06</v>
      </c>
      <c r="H31" s="30">
        <v>0.04</v>
      </c>
      <c r="I31" s="30">
        <v>0.02</v>
      </c>
      <c r="J31" s="1"/>
      <c r="K31" s="1"/>
    </row>
    <row r="32" spans="1:11" x14ac:dyDescent="0.2">
      <c r="A32">
        <v>1</v>
      </c>
      <c r="B32" s="9">
        <v>4039</v>
      </c>
      <c r="C32">
        <v>7</v>
      </c>
      <c r="D32" t="s">
        <v>26</v>
      </c>
      <c r="E32" s="30">
        <v>73.790000000000006</v>
      </c>
      <c r="F32" s="30">
        <v>87.64</v>
      </c>
      <c r="G32" s="30">
        <v>44.06</v>
      </c>
      <c r="H32" s="30">
        <v>18.829999999999998</v>
      </c>
      <c r="I32" s="30">
        <v>1.46</v>
      </c>
      <c r="J32" s="1"/>
      <c r="K32" s="1"/>
    </row>
    <row r="33" spans="1:11" x14ac:dyDescent="0.2">
      <c r="A33">
        <v>1</v>
      </c>
      <c r="B33" s="9">
        <v>4042</v>
      </c>
      <c r="C33">
        <v>7</v>
      </c>
      <c r="D33" t="s">
        <v>27</v>
      </c>
      <c r="E33" s="30">
        <v>97.03</v>
      </c>
      <c r="F33" s="30">
        <v>122.87</v>
      </c>
      <c r="G33" s="30">
        <v>62.04</v>
      </c>
      <c r="H33" s="30">
        <v>25.1</v>
      </c>
      <c r="I33" s="30">
        <v>0.11</v>
      </c>
      <c r="J33" s="1"/>
      <c r="K33" s="1"/>
    </row>
    <row r="34" spans="1:11" x14ac:dyDescent="0.2">
      <c r="A34">
        <v>1</v>
      </c>
      <c r="B34" s="9">
        <v>4043</v>
      </c>
      <c r="C34">
        <v>7</v>
      </c>
      <c r="D34" t="s">
        <v>28</v>
      </c>
      <c r="E34" s="30">
        <v>112.57</v>
      </c>
      <c r="F34" s="30">
        <v>79.290000000000006</v>
      </c>
      <c r="G34" s="30">
        <v>36.659999999999997</v>
      </c>
      <c r="H34" s="30">
        <v>31.31</v>
      </c>
      <c r="I34" s="30">
        <v>15.32</v>
      </c>
      <c r="J34" s="1"/>
      <c r="K34" s="1"/>
    </row>
    <row r="35" spans="1:11" x14ac:dyDescent="0.2">
      <c r="A35">
        <v>1</v>
      </c>
      <c r="B35" s="9">
        <v>4044</v>
      </c>
      <c r="C35">
        <v>7</v>
      </c>
      <c r="D35" t="s">
        <v>29</v>
      </c>
      <c r="E35" s="30">
        <v>7.25</v>
      </c>
      <c r="F35" s="30">
        <v>6.95</v>
      </c>
      <c r="G35" s="30">
        <v>3.48</v>
      </c>
      <c r="H35" s="30">
        <v>1.63</v>
      </c>
      <c r="I35" s="30">
        <v>0.35</v>
      </c>
      <c r="J35" s="1"/>
      <c r="K35" s="1"/>
    </row>
    <row r="36" spans="1:11" x14ac:dyDescent="0.2">
      <c r="A36">
        <v>1</v>
      </c>
      <c r="B36" s="9">
        <v>4045</v>
      </c>
      <c r="C36">
        <v>7</v>
      </c>
      <c r="D36" t="s">
        <v>30</v>
      </c>
      <c r="E36" s="30">
        <v>84</v>
      </c>
      <c r="F36" s="30">
        <v>90.01</v>
      </c>
      <c r="G36" s="30">
        <v>75.540000000000006</v>
      </c>
      <c r="H36" s="30">
        <v>52.9</v>
      </c>
      <c r="I36" s="30">
        <v>29.96</v>
      </c>
      <c r="J36" s="1"/>
      <c r="K36" s="1"/>
    </row>
    <row r="37" spans="1:11" x14ac:dyDescent="0.2">
      <c r="A37">
        <v>1</v>
      </c>
      <c r="B37" s="9">
        <v>4046</v>
      </c>
      <c r="C37">
        <v>7</v>
      </c>
      <c r="D37" t="s">
        <v>31</v>
      </c>
      <c r="E37" s="30">
        <v>85.35</v>
      </c>
      <c r="F37" s="30">
        <v>46.62</v>
      </c>
      <c r="G37" s="30">
        <v>17.48</v>
      </c>
      <c r="H37" s="30">
        <v>0.01</v>
      </c>
      <c r="I37" s="30">
        <v>0.01</v>
      </c>
      <c r="J37" s="1"/>
      <c r="K37" s="1"/>
    </row>
    <row r="38" spans="1:11" x14ac:dyDescent="0.2">
      <c r="A38">
        <v>1</v>
      </c>
      <c r="B38" s="9">
        <v>4048</v>
      </c>
      <c r="C38">
        <v>7</v>
      </c>
      <c r="D38" t="s">
        <v>32</v>
      </c>
      <c r="E38" s="30">
        <v>64.81</v>
      </c>
      <c r="F38" s="30">
        <v>13.17</v>
      </c>
      <c r="G38" s="30">
        <v>16.82</v>
      </c>
      <c r="H38" s="30">
        <v>13.07</v>
      </c>
      <c r="I38" s="30">
        <v>10.71</v>
      </c>
      <c r="J38" s="1"/>
      <c r="K38" s="1"/>
    </row>
    <row r="39" spans="1:11" x14ac:dyDescent="0.2">
      <c r="A39">
        <v>1</v>
      </c>
      <c r="B39" s="9">
        <v>4049</v>
      </c>
      <c r="C39">
        <v>7</v>
      </c>
      <c r="D39" t="s">
        <v>33</v>
      </c>
      <c r="E39" s="30">
        <v>180.05</v>
      </c>
      <c r="F39" s="30">
        <v>139.24</v>
      </c>
      <c r="G39" s="30">
        <v>80.69</v>
      </c>
      <c r="H39" s="30">
        <v>58.13</v>
      </c>
      <c r="I39" s="30">
        <v>30</v>
      </c>
      <c r="J39" s="1"/>
      <c r="K39" s="1"/>
    </row>
    <row r="40" spans="1:11" x14ac:dyDescent="0.2">
      <c r="A40">
        <v>1</v>
      </c>
      <c r="B40" s="9">
        <v>4050</v>
      </c>
      <c r="C40">
        <v>7</v>
      </c>
      <c r="D40" t="s">
        <v>34</v>
      </c>
      <c r="E40" s="30">
        <v>146.66</v>
      </c>
      <c r="F40" s="30">
        <v>114.76</v>
      </c>
      <c r="G40" s="30">
        <v>102.6</v>
      </c>
      <c r="H40" s="30">
        <v>66.849999999999994</v>
      </c>
      <c r="I40" s="30">
        <v>35.35</v>
      </c>
      <c r="J40" s="1"/>
      <c r="K40" s="1"/>
    </row>
    <row r="41" spans="1:11" x14ac:dyDescent="0.2">
      <c r="A41">
        <v>1</v>
      </c>
      <c r="B41" s="9">
        <v>4052</v>
      </c>
      <c r="C41">
        <v>7</v>
      </c>
      <c r="D41" t="s">
        <v>35</v>
      </c>
      <c r="E41" s="30">
        <v>8.24</v>
      </c>
      <c r="F41" s="30">
        <v>5.58</v>
      </c>
      <c r="G41" s="30">
        <v>2.4300000000000002</v>
      </c>
      <c r="H41" s="30">
        <v>1.21</v>
      </c>
      <c r="I41" s="30">
        <v>0.37</v>
      </c>
      <c r="J41" s="1"/>
      <c r="K41" s="1"/>
    </row>
    <row r="42" spans="1:11" x14ac:dyDescent="0.2">
      <c r="A42">
        <v>1</v>
      </c>
      <c r="B42" s="9">
        <v>4053</v>
      </c>
      <c r="C42">
        <v>7</v>
      </c>
      <c r="D42" t="s">
        <v>36</v>
      </c>
      <c r="E42" s="30">
        <v>90.72</v>
      </c>
      <c r="F42" s="30">
        <v>17.73</v>
      </c>
      <c r="G42" s="30">
        <v>0.79</v>
      </c>
      <c r="H42" s="30">
        <v>0.03</v>
      </c>
      <c r="I42" s="30">
        <v>0</v>
      </c>
      <c r="J42" s="1"/>
      <c r="K42" s="1"/>
    </row>
    <row r="43" spans="1:11" x14ac:dyDescent="0.2">
      <c r="A43">
        <v>1</v>
      </c>
      <c r="B43" s="9">
        <v>4054</v>
      </c>
      <c r="C43">
        <v>7</v>
      </c>
      <c r="D43" t="s">
        <v>37</v>
      </c>
      <c r="E43" s="30">
        <v>7.36</v>
      </c>
      <c r="F43" s="30">
        <v>150.58000000000001</v>
      </c>
      <c r="G43" s="30">
        <v>102.11</v>
      </c>
      <c r="H43" s="30">
        <v>94.09</v>
      </c>
      <c r="I43" s="30">
        <v>76.73</v>
      </c>
      <c r="J43" s="1"/>
      <c r="K43" s="1"/>
    </row>
    <row r="44" spans="1:11" x14ac:dyDescent="0.2">
      <c r="A44">
        <v>1</v>
      </c>
      <c r="B44" s="9">
        <v>4055</v>
      </c>
      <c r="C44">
        <v>7</v>
      </c>
      <c r="D44" t="s">
        <v>38</v>
      </c>
      <c r="E44" s="30">
        <v>130.47</v>
      </c>
      <c r="F44" s="30">
        <v>96.25</v>
      </c>
      <c r="G44" s="30">
        <v>80.81</v>
      </c>
      <c r="H44" s="30">
        <v>56.13</v>
      </c>
      <c r="I44" s="30">
        <v>35.24</v>
      </c>
      <c r="J44" s="1"/>
      <c r="K44" s="1"/>
    </row>
    <row r="45" spans="1:11" x14ac:dyDescent="0.2">
      <c r="A45">
        <v>1</v>
      </c>
      <c r="B45" s="9">
        <v>4056</v>
      </c>
      <c r="C45">
        <v>7</v>
      </c>
      <c r="D45" t="s">
        <v>39</v>
      </c>
      <c r="E45" s="30">
        <v>107.75</v>
      </c>
      <c r="F45" s="30">
        <v>81.86</v>
      </c>
      <c r="G45" s="30">
        <v>54.42</v>
      </c>
      <c r="H45" s="30">
        <v>50.76</v>
      </c>
      <c r="I45" s="30">
        <v>40.19</v>
      </c>
      <c r="J45" s="1"/>
      <c r="K45" s="1"/>
    </row>
    <row r="46" spans="1:11" x14ac:dyDescent="0.2">
      <c r="A46">
        <v>1</v>
      </c>
      <c r="B46" s="9">
        <v>4057</v>
      </c>
      <c r="C46">
        <v>7</v>
      </c>
      <c r="D46" t="s">
        <v>40</v>
      </c>
      <c r="E46" s="30">
        <v>5.0599999999999996</v>
      </c>
      <c r="F46" s="30">
        <v>6.24</v>
      </c>
      <c r="G46" s="30">
        <v>3.15</v>
      </c>
      <c r="H46" s="30">
        <v>1.27</v>
      </c>
      <c r="I46" s="30">
        <v>0</v>
      </c>
      <c r="J46" s="1"/>
      <c r="K46" s="1"/>
    </row>
    <row r="47" spans="1:11" x14ac:dyDescent="0.2">
      <c r="A47">
        <v>1</v>
      </c>
      <c r="B47" s="9">
        <v>4058</v>
      </c>
      <c r="C47">
        <v>7</v>
      </c>
      <c r="D47" t="s">
        <v>41</v>
      </c>
      <c r="E47" s="30">
        <v>255.86</v>
      </c>
      <c r="F47" s="30">
        <v>220.07</v>
      </c>
      <c r="G47" s="30">
        <v>174.46</v>
      </c>
      <c r="H47" s="30">
        <v>9.76</v>
      </c>
      <c r="I47" s="30">
        <v>9.76</v>
      </c>
      <c r="J47" s="1"/>
      <c r="K47" s="1"/>
    </row>
    <row r="48" spans="1:11" x14ac:dyDescent="0.2">
      <c r="A48">
        <v>1</v>
      </c>
      <c r="B48" s="9">
        <v>4059</v>
      </c>
      <c r="C48">
        <v>7</v>
      </c>
      <c r="D48" t="s">
        <v>42</v>
      </c>
      <c r="E48" s="30">
        <v>7.69</v>
      </c>
      <c r="F48" s="30">
        <v>4.54</v>
      </c>
      <c r="G48" s="30">
        <v>2.2799999999999998</v>
      </c>
      <c r="H48" s="30">
        <v>2.08</v>
      </c>
      <c r="I48" s="30">
        <v>1.98</v>
      </c>
      <c r="J48" s="1"/>
      <c r="K48" s="1"/>
    </row>
    <row r="49" spans="1:11" x14ac:dyDescent="0.2">
      <c r="A49">
        <v>1</v>
      </c>
      <c r="B49" s="9">
        <v>4061</v>
      </c>
      <c r="C49">
        <v>7</v>
      </c>
      <c r="D49" t="s">
        <v>43</v>
      </c>
      <c r="E49" s="30">
        <v>87.81</v>
      </c>
      <c r="F49" s="30">
        <v>60.42</v>
      </c>
      <c r="G49" s="30">
        <v>36.61</v>
      </c>
      <c r="H49" s="30">
        <v>34.270000000000003</v>
      </c>
      <c r="I49" s="30">
        <v>26.08</v>
      </c>
      <c r="J49" s="1"/>
      <c r="K49" s="1"/>
    </row>
    <row r="50" spans="1:11" x14ac:dyDescent="0.2">
      <c r="A50">
        <v>1</v>
      </c>
      <c r="B50" s="9">
        <v>4064</v>
      </c>
      <c r="C50">
        <v>7</v>
      </c>
      <c r="D50" t="s">
        <v>44</v>
      </c>
      <c r="E50" s="30">
        <v>111.1</v>
      </c>
      <c r="F50" s="30">
        <v>47.93</v>
      </c>
      <c r="G50" s="30">
        <v>8.1</v>
      </c>
      <c r="H50" s="30">
        <v>7.33</v>
      </c>
      <c r="I50" s="30">
        <v>6.88</v>
      </c>
      <c r="J50" s="1"/>
      <c r="K50" s="1"/>
    </row>
    <row r="51" spans="1:11" x14ac:dyDescent="0.2">
      <c r="A51">
        <v>1</v>
      </c>
      <c r="B51" s="9">
        <v>4066</v>
      </c>
      <c r="C51">
        <v>7</v>
      </c>
      <c r="D51" t="s">
        <v>45</v>
      </c>
      <c r="E51" s="30">
        <v>66.55</v>
      </c>
      <c r="F51" s="30">
        <v>35.68</v>
      </c>
      <c r="G51" s="30">
        <v>10.41</v>
      </c>
      <c r="H51" s="30">
        <v>9.17</v>
      </c>
      <c r="I51" s="30">
        <v>4.0999999999999996</v>
      </c>
      <c r="J51" s="1"/>
      <c r="K51" s="1"/>
    </row>
    <row r="52" spans="1:11" x14ac:dyDescent="0.2">
      <c r="A52">
        <v>1</v>
      </c>
      <c r="B52" s="9">
        <v>4067</v>
      </c>
      <c r="C52">
        <v>7</v>
      </c>
      <c r="D52" t="s">
        <v>46</v>
      </c>
      <c r="E52" s="30">
        <v>6.25</v>
      </c>
      <c r="F52" s="30">
        <v>3.94</v>
      </c>
      <c r="G52" s="30">
        <v>2.69</v>
      </c>
      <c r="H52" s="30">
        <v>2.38</v>
      </c>
      <c r="I52" s="30">
        <v>1.89</v>
      </c>
      <c r="J52" s="1"/>
      <c r="K52" s="1"/>
    </row>
    <row r="53" spans="1:11" x14ac:dyDescent="0.2">
      <c r="A53">
        <v>1</v>
      </c>
      <c r="B53" s="9">
        <v>4068</v>
      </c>
      <c r="C53">
        <v>7</v>
      </c>
      <c r="D53" t="s">
        <v>47</v>
      </c>
      <c r="E53" s="30">
        <v>60.41</v>
      </c>
      <c r="F53" s="30">
        <v>25.11</v>
      </c>
      <c r="G53" s="30">
        <v>11.06</v>
      </c>
      <c r="H53" s="30">
        <v>8.58</v>
      </c>
      <c r="I53" s="30">
        <v>5.34</v>
      </c>
      <c r="J53" s="1"/>
      <c r="K53" s="1"/>
    </row>
    <row r="54" spans="1:11" x14ac:dyDescent="0.2">
      <c r="A54">
        <v>1</v>
      </c>
      <c r="B54" s="9">
        <v>4070</v>
      </c>
      <c r="C54">
        <v>7</v>
      </c>
      <c r="D54" t="s">
        <v>48</v>
      </c>
      <c r="E54" s="30">
        <v>110.42</v>
      </c>
      <c r="F54" s="30">
        <v>139.94</v>
      </c>
      <c r="G54" s="30">
        <v>70.77</v>
      </c>
      <c r="H54" s="30">
        <v>28.72</v>
      </c>
      <c r="I54" s="30">
        <v>0.3</v>
      </c>
      <c r="J54" s="1"/>
      <c r="K54" s="1"/>
    </row>
    <row r="55" spans="1:11" x14ac:dyDescent="0.2">
      <c r="A55">
        <v>1</v>
      </c>
      <c r="B55" s="9">
        <v>4072</v>
      </c>
      <c r="C55">
        <v>7</v>
      </c>
      <c r="D55" t="s">
        <v>49</v>
      </c>
      <c r="E55" s="30">
        <v>317.44</v>
      </c>
      <c r="F55" s="30">
        <v>330.23</v>
      </c>
      <c r="G55" s="30">
        <v>391.14</v>
      </c>
      <c r="H55" s="30">
        <v>358.49</v>
      </c>
      <c r="I55" s="30">
        <v>324.89999999999998</v>
      </c>
      <c r="J55" s="1"/>
      <c r="K55" s="1"/>
    </row>
    <row r="56" spans="1:11" x14ac:dyDescent="0.2">
      <c r="A56">
        <v>1</v>
      </c>
      <c r="B56" s="9">
        <v>4073</v>
      </c>
      <c r="C56">
        <v>7</v>
      </c>
      <c r="D56" t="s">
        <v>50</v>
      </c>
      <c r="E56" s="30">
        <v>111.61</v>
      </c>
      <c r="F56" s="30">
        <v>139.56</v>
      </c>
      <c r="G56" s="30">
        <v>70.209999999999994</v>
      </c>
      <c r="H56" s="30">
        <v>28.92</v>
      </c>
      <c r="I56" s="30">
        <v>0.55000000000000004</v>
      </c>
      <c r="J56" s="1"/>
      <c r="K56" s="1"/>
    </row>
    <row r="57" spans="1:11" x14ac:dyDescent="0.2">
      <c r="A57">
        <v>1</v>
      </c>
      <c r="B57" s="9">
        <v>4074</v>
      </c>
      <c r="C57">
        <v>7</v>
      </c>
      <c r="D57" t="s">
        <v>51</v>
      </c>
      <c r="E57" s="30">
        <v>45.8</v>
      </c>
      <c r="F57" s="30">
        <v>40.82</v>
      </c>
      <c r="G57" s="30">
        <v>22.35</v>
      </c>
      <c r="H57" s="30">
        <v>12.54</v>
      </c>
      <c r="I57" s="30">
        <v>5.49</v>
      </c>
      <c r="J57" s="1"/>
      <c r="K57" s="1"/>
    </row>
    <row r="58" spans="1:11" x14ac:dyDescent="0.2">
      <c r="A58">
        <v>1</v>
      </c>
      <c r="B58" s="9">
        <v>4075</v>
      </c>
      <c r="C58">
        <v>7</v>
      </c>
      <c r="D58" t="s">
        <v>52</v>
      </c>
      <c r="E58" s="30">
        <v>85.39</v>
      </c>
      <c r="F58" s="30">
        <v>102.96</v>
      </c>
      <c r="G58" s="30">
        <v>53.11</v>
      </c>
      <c r="H58" s="30">
        <v>23.87</v>
      </c>
      <c r="I58" s="30">
        <v>3.64</v>
      </c>
      <c r="J58" s="1"/>
      <c r="K58" s="1"/>
    </row>
    <row r="59" spans="1:11" x14ac:dyDescent="0.2">
      <c r="A59">
        <v>1</v>
      </c>
      <c r="B59" s="9">
        <v>4077</v>
      </c>
      <c r="C59">
        <v>7</v>
      </c>
      <c r="D59" t="s">
        <v>53</v>
      </c>
      <c r="E59" s="30">
        <v>13.12</v>
      </c>
      <c r="F59" s="30">
        <v>10.56</v>
      </c>
      <c r="G59" s="30">
        <v>5.37</v>
      </c>
      <c r="H59" s="30">
        <v>2.88</v>
      </c>
      <c r="I59" s="30">
        <v>1.01</v>
      </c>
      <c r="J59" s="1"/>
      <c r="K59" s="1"/>
    </row>
    <row r="60" spans="1:11" x14ac:dyDescent="0.2">
      <c r="A60">
        <v>1</v>
      </c>
      <c r="B60" s="9">
        <v>4078</v>
      </c>
      <c r="C60">
        <v>7</v>
      </c>
      <c r="D60" t="s">
        <v>54</v>
      </c>
      <c r="E60" s="30">
        <v>13.99</v>
      </c>
      <c r="F60" s="30">
        <v>11.99</v>
      </c>
      <c r="G60" s="30">
        <v>5.9</v>
      </c>
      <c r="H60" s="30">
        <v>2.82</v>
      </c>
      <c r="I60" s="30">
        <v>0.62</v>
      </c>
      <c r="J60" s="1"/>
      <c r="K60" s="1"/>
    </row>
    <row r="61" spans="1:11" x14ac:dyDescent="0.2">
      <c r="A61">
        <v>1</v>
      </c>
      <c r="B61" s="9">
        <v>4079</v>
      </c>
      <c r="C61">
        <v>7</v>
      </c>
      <c r="D61" t="s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1"/>
      <c r="K61" s="1"/>
    </row>
    <row r="62" spans="1:11" x14ac:dyDescent="0.2">
      <c r="A62">
        <v>1</v>
      </c>
      <c r="B62" s="9">
        <v>4080</v>
      </c>
      <c r="C62">
        <v>7</v>
      </c>
      <c r="D62" t="s">
        <v>56</v>
      </c>
      <c r="E62" s="30">
        <v>15.28</v>
      </c>
      <c r="F62" s="30">
        <v>72.14</v>
      </c>
      <c r="G62" s="30">
        <v>58.35</v>
      </c>
      <c r="H62" s="30">
        <v>52.96</v>
      </c>
      <c r="I62" s="30">
        <v>50.55</v>
      </c>
      <c r="J62" s="1"/>
      <c r="K62" s="1"/>
    </row>
    <row r="63" spans="1:11" x14ac:dyDescent="0.2">
      <c r="A63">
        <v>1</v>
      </c>
      <c r="B63" s="9">
        <v>4081</v>
      </c>
      <c r="C63">
        <v>7</v>
      </c>
      <c r="D63" t="s">
        <v>57</v>
      </c>
      <c r="E63" s="30">
        <v>127.33</v>
      </c>
      <c r="F63" s="30">
        <v>93.42</v>
      </c>
      <c r="G63" s="30">
        <v>65.239999999999995</v>
      </c>
      <c r="H63" s="30">
        <v>39.29</v>
      </c>
      <c r="I63" s="30">
        <v>14.04</v>
      </c>
      <c r="J63" s="1"/>
      <c r="K63" s="1"/>
    </row>
    <row r="64" spans="1:11" x14ac:dyDescent="0.2">
      <c r="A64">
        <v>1</v>
      </c>
      <c r="B64" s="9">
        <v>4082</v>
      </c>
      <c r="C64">
        <v>7</v>
      </c>
      <c r="D64" t="s">
        <v>58</v>
      </c>
      <c r="E64" s="30">
        <v>124.99</v>
      </c>
      <c r="F64" s="30">
        <v>109.39</v>
      </c>
      <c r="G64" s="30">
        <v>86.34</v>
      </c>
      <c r="H64" s="30">
        <v>70.08</v>
      </c>
      <c r="I64" s="30">
        <v>58.48</v>
      </c>
      <c r="J64" s="1"/>
      <c r="K64" s="1"/>
    </row>
    <row r="65" spans="1:11" x14ac:dyDescent="0.2">
      <c r="A65">
        <v>1</v>
      </c>
      <c r="B65" s="9">
        <v>4083</v>
      </c>
      <c r="C65">
        <v>7</v>
      </c>
      <c r="D65" t="s">
        <v>59</v>
      </c>
      <c r="E65" s="30">
        <v>116.09</v>
      </c>
      <c r="F65" s="30">
        <v>69.069999999999993</v>
      </c>
      <c r="G65" s="30">
        <v>29.28</v>
      </c>
      <c r="H65" s="30">
        <v>25.16</v>
      </c>
      <c r="I65" s="30">
        <v>21.91</v>
      </c>
      <c r="J65" s="1"/>
      <c r="K65" s="1"/>
    </row>
    <row r="66" spans="1:11" x14ac:dyDescent="0.2">
      <c r="A66">
        <v>1</v>
      </c>
      <c r="B66" s="9">
        <v>4084</v>
      </c>
      <c r="C66">
        <v>7</v>
      </c>
      <c r="D66" t="s">
        <v>60</v>
      </c>
      <c r="E66" s="30">
        <v>7.74</v>
      </c>
      <c r="F66" s="30">
        <v>4.24</v>
      </c>
      <c r="G66" s="30">
        <v>1.59</v>
      </c>
      <c r="H66" s="30">
        <v>0</v>
      </c>
      <c r="I66" s="30">
        <v>0</v>
      </c>
      <c r="J66" s="1"/>
      <c r="K66" s="1"/>
    </row>
    <row r="67" spans="1:11" x14ac:dyDescent="0.2">
      <c r="A67">
        <v>1</v>
      </c>
      <c r="B67" s="9">
        <v>4085</v>
      </c>
      <c r="C67">
        <v>7</v>
      </c>
      <c r="D67" t="s">
        <v>61</v>
      </c>
      <c r="E67" s="30">
        <v>86.04</v>
      </c>
      <c r="F67" s="30">
        <v>47.91</v>
      </c>
      <c r="G67" s="30">
        <v>18.989999999999998</v>
      </c>
      <c r="H67" s="30">
        <v>1.62</v>
      </c>
      <c r="I67" s="30">
        <v>1.46</v>
      </c>
      <c r="J67" s="1"/>
      <c r="K67" s="1"/>
    </row>
    <row r="68" spans="1:11" x14ac:dyDescent="0.2">
      <c r="A68">
        <v>1</v>
      </c>
      <c r="B68" s="9">
        <v>4086</v>
      </c>
      <c r="C68">
        <v>7</v>
      </c>
      <c r="D68" t="s">
        <v>62</v>
      </c>
      <c r="E68" s="30">
        <v>15.47</v>
      </c>
      <c r="F68" s="30">
        <v>9.81</v>
      </c>
      <c r="G68" s="30">
        <v>5.33</v>
      </c>
      <c r="H68" s="30">
        <v>3.94</v>
      </c>
      <c r="I68" s="30">
        <v>2.4900000000000002</v>
      </c>
      <c r="J68" s="1"/>
      <c r="K68" s="1"/>
    </row>
    <row r="69" spans="1:11" x14ac:dyDescent="0.2">
      <c r="A69">
        <v>1</v>
      </c>
      <c r="B69" s="9">
        <v>4087</v>
      </c>
      <c r="C69">
        <v>7</v>
      </c>
      <c r="D69" t="s">
        <v>63</v>
      </c>
      <c r="E69" s="30">
        <v>94.55</v>
      </c>
      <c r="F69" s="30">
        <v>44.86</v>
      </c>
      <c r="G69" s="30">
        <v>21.89</v>
      </c>
      <c r="H69" s="30">
        <v>16.899999999999999</v>
      </c>
      <c r="I69" s="30">
        <v>10.28</v>
      </c>
      <c r="J69" s="1"/>
      <c r="K69" s="1"/>
    </row>
    <row r="70" spans="1:11" x14ac:dyDescent="0.2">
      <c r="A70">
        <v>1</v>
      </c>
      <c r="B70" s="9">
        <v>4088</v>
      </c>
      <c r="C70">
        <v>7</v>
      </c>
      <c r="D70" t="s">
        <v>64</v>
      </c>
      <c r="E70" s="30">
        <v>108.3</v>
      </c>
      <c r="F70" s="30">
        <v>136.24</v>
      </c>
      <c r="G70" s="30">
        <v>68.52</v>
      </c>
      <c r="H70" s="30">
        <v>27.72</v>
      </c>
      <c r="I70" s="30">
        <v>0.12</v>
      </c>
      <c r="J70" s="1"/>
      <c r="K70" s="1"/>
    </row>
    <row r="71" spans="1:11" x14ac:dyDescent="0.2">
      <c r="A71">
        <v>1</v>
      </c>
      <c r="B71" s="9">
        <v>4089</v>
      </c>
      <c r="C71">
        <v>7</v>
      </c>
      <c r="D71" t="s">
        <v>65</v>
      </c>
      <c r="E71" s="30">
        <v>7.02</v>
      </c>
      <c r="F71" s="30">
        <v>4.57</v>
      </c>
      <c r="G71" s="30">
        <v>2.54</v>
      </c>
      <c r="H71" s="30">
        <v>1.85</v>
      </c>
      <c r="I71" s="30">
        <v>0.95</v>
      </c>
      <c r="J71" s="1"/>
      <c r="K71" s="1"/>
    </row>
    <row r="72" spans="1:11" x14ac:dyDescent="0.2">
      <c r="A72">
        <v>1</v>
      </c>
      <c r="B72" s="9">
        <v>4090</v>
      </c>
      <c r="C72">
        <v>7</v>
      </c>
      <c r="D72" t="s">
        <v>66</v>
      </c>
      <c r="E72" s="30">
        <v>130.81</v>
      </c>
      <c r="F72" s="30">
        <v>83.5</v>
      </c>
      <c r="G72" s="30">
        <v>35.869999999999997</v>
      </c>
      <c r="H72" s="30">
        <v>15.11</v>
      </c>
      <c r="I72" s="30">
        <v>13.52</v>
      </c>
      <c r="J72" s="1"/>
      <c r="K72" s="1"/>
    </row>
    <row r="73" spans="1:11" x14ac:dyDescent="0.2">
      <c r="A73">
        <v>1</v>
      </c>
      <c r="B73" s="9">
        <v>4091</v>
      </c>
      <c r="C73">
        <v>7</v>
      </c>
      <c r="D73" t="s">
        <v>67</v>
      </c>
      <c r="E73" s="30">
        <v>137.21</v>
      </c>
      <c r="F73" s="30">
        <v>89.16</v>
      </c>
      <c r="G73" s="30">
        <v>38.94</v>
      </c>
      <c r="H73" s="30">
        <v>17.39</v>
      </c>
      <c r="I73" s="30">
        <v>13.83</v>
      </c>
      <c r="J73" s="1"/>
      <c r="K73" s="1"/>
    </row>
    <row r="74" spans="1:11" x14ac:dyDescent="0.2">
      <c r="A74">
        <v>1</v>
      </c>
      <c r="B74" s="9">
        <v>4092</v>
      </c>
      <c r="C74">
        <v>7</v>
      </c>
      <c r="D74" t="s">
        <v>68</v>
      </c>
      <c r="E74" s="30">
        <v>7.09</v>
      </c>
      <c r="F74" s="30">
        <v>4.41</v>
      </c>
      <c r="G74" s="30">
        <v>1.97</v>
      </c>
      <c r="H74" s="30">
        <v>0.79</v>
      </c>
      <c r="I74" s="30">
        <v>0</v>
      </c>
      <c r="J74" s="1"/>
      <c r="K74" s="1"/>
    </row>
    <row r="75" spans="1:11" x14ac:dyDescent="0.2">
      <c r="A75">
        <v>1</v>
      </c>
      <c r="B75" s="9">
        <v>4093</v>
      </c>
      <c r="C75">
        <v>7</v>
      </c>
      <c r="D75" t="s">
        <v>69</v>
      </c>
      <c r="E75" s="30">
        <v>256.97000000000003</v>
      </c>
      <c r="F75" s="30">
        <v>222.74</v>
      </c>
      <c r="G75" s="30">
        <v>176.89</v>
      </c>
      <c r="H75" s="30">
        <v>146.46</v>
      </c>
      <c r="I75" s="30">
        <v>116.75</v>
      </c>
      <c r="J75" s="1"/>
      <c r="K75" s="1"/>
    </row>
    <row r="76" spans="1:11" x14ac:dyDescent="0.2">
      <c r="A76">
        <v>1</v>
      </c>
      <c r="B76" s="9">
        <v>4095</v>
      </c>
      <c r="C76">
        <v>7</v>
      </c>
      <c r="D76" t="s">
        <v>70</v>
      </c>
      <c r="E76" s="30">
        <v>101.03</v>
      </c>
      <c r="F76" s="30">
        <v>47.77</v>
      </c>
      <c r="G76" s="30">
        <v>10.6</v>
      </c>
      <c r="H76" s="30">
        <v>6.9</v>
      </c>
      <c r="I76" s="30">
        <v>5.62</v>
      </c>
      <c r="J76" s="1"/>
      <c r="K76" s="1"/>
    </row>
    <row r="77" spans="1:11" x14ac:dyDescent="0.2">
      <c r="A77">
        <v>1</v>
      </c>
      <c r="B77" s="9">
        <v>4097</v>
      </c>
      <c r="C77">
        <v>7</v>
      </c>
      <c r="D77" t="s">
        <v>71</v>
      </c>
      <c r="E77" s="30">
        <v>2.12</v>
      </c>
      <c r="F77" s="30">
        <v>2.0099999999999998</v>
      </c>
      <c r="G77" s="30">
        <v>0.82</v>
      </c>
      <c r="H77" s="30">
        <v>0.33</v>
      </c>
      <c r="I77" s="30">
        <v>0</v>
      </c>
      <c r="J77" s="1"/>
      <c r="K77" s="1"/>
    </row>
    <row r="78" spans="1:11" x14ac:dyDescent="0.2">
      <c r="A78">
        <v>1</v>
      </c>
      <c r="B78" s="9">
        <v>4098</v>
      </c>
      <c r="C78">
        <v>7</v>
      </c>
      <c r="D78" t="s">
        <v>72</v>
      </c>
      <c r="E78" s="30">
        <v>68.97</v>
      </c>
      <c r="F78" s="30">
        <v>79.61</v>
      </c>
      <c r="G78" s="30">
        <v>39.020000000000003</v>
      </c>
      <c r="H78" s="30">
        <v>16.649999999999999</v>
      </c>
      <c r="I78" s="30">
        <v>1.1100000000000001</v>
      </c>
      <c r="J78" s="1"/>
      <c r="K78" s="1"/>
    </row>
    <row r="79" spans="1:11" x14ac:dyDescent="0.2">
      <c r="A79">
        <v>1</v>
      </c>
      <c r="B79" s="9">
        <v>4099</v>
      </c>
      <c r="C79">
        <v>7</v>
      </c>
      <c r="D79" t="s">
        <v>73</v>
      </c>
      <c r="E79" s="30">
        <v>57.35</v>
      </c>
      <c r="F79" s="30">
        <v>51.43</v>
      </c>
      <c r="G79" s="30">
        <v>22.48</v>
      </c>
      <c r="H79" s="30">
        <v>11.15</v>
      </c>
      <c r="I79" s="30">
        <v>2.23</v>
      </c>
      <c r="J79" s="1"/>
      <c r="K79" s="1"/>
    </row>
    <row r="80" spans="1:11" x14ac:dyDescent="0.2">
      <c r="A80">
        <v>1</v>
      </c>
      <c r="B80" s="9">
        <v>4100</v>
      </c>
      <c r="C80">
        <v>7</v>
      </c>
      <c r="D80" t="s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1"/>
      <c r="K80" s="1"/>
    </row>
    <row r="81" spans="1:11" x14ac:dyDescent="0.2">
      <c r="A81">
        <v>1</v>
      </c>
      <c r="B81" s="9">
        <v>4101</v>
      </c>
      <c r="C81">
        <v>7</v>
      </c>
      <c r="D81" t="s">
        <v>75</v>
      </c>
      <c r="E81" s="30">
        <v>57.65</v>
      </c>
      <c r="F81" s="30">
        <v>73.27</v>
      </c>
      <c r="G81" s="30">
        <v>37.01</v>
      </c>
      <c r="H81" s="30">
        <v>14.9</v>
      </c>
      <c r="I81" s="30">
        <v>0</v>
      </c>
      <c r="J81" s="1"/>
      <c r="K81" s="1"/>
    </row>
    <row r="82" spans="1:11" x14ac:dyDescent="0.2">
      <c r="A82">
        <v>1</v>
      </c>
      <c r="B82" s="9">
        <v>4102</v>
      </c>
      <c r="C82">
        <v>7</v>
      </c>
      <c r="D82" t="s">
        <v>76</v>
      </c>
      <c r="E82" s="30">
        <v>13.87</v>
      </c>
      <c r="F82" s="30">
        <v>13.79</v>
      </c>
      <c r="G82" s="30">
        <v>7.3</v>
      </c>
      <c r="H82" s="30">
        <v>3.86</v>
      </c>
      <c r="I82" s="30">
        <v>1.25</v>
      </c>
      <c r="J82" s="1"/>
      <c r="K82" s="1"/>
    </row>
    <row r="83" spans="1:11" x14ac:dyDescent="0.2">
      <c r="A83">
        <v>1</v>
      </c>
      <c r="B83" s="9">
        <v>4103</v>
      </c>
      <c r="C83">
        <v>7</v>
      </c>
      <c r="D83" t="s">
        <v>77</v>
      </c>
      <c r="E83" s="30">
        <v>39.28</v>
      </c>
      <c r="F83" s="30">
        <v>37.33</v>
      </c>
      <c r="G83" s="30">
        <v>18.47</v>
      </c>
      <c r="H83" s="30">
        <v>8.4</v>
      </c>
      <c r="I83" s="30">
        <v>1.19</v>
      </c>
      <c r="J83" s="1"/>
      <c r="K83" s="1"/>
    </row>
    <row r="84" spans="1:11" x14ac:dyDescent="0.2">
      <c r="A84">
        <v>1</v>
      </c>
      <c r="B84" s="9">
        <v>4104</v>
      </c>
      <c r="C84">
        <v>7</v>
      </c>
      <c r="D84" t="s">
        <v>78</v>
      </c>
      <c r="E84" s="30">
        <v>167.07</v>
      </c>
      <c r="F84" s="30">
        <v>130.75</v>
      </c>
      <c r="G84" s="30">
        <v>76.83</v>
      </c>
      <c r="H84" s="30">
        <v>55.84</v>
      </c>
      <c r="I84" s="30">
        <v>29.2</v>
      </c>
      <c r="J84" s="1"/>
      <c r="K84" s="1"/>
    </row>
    <row r="85" spans="1:11" x14ac:dyDescent="0.2">
      <c r="A85">
        <v>1</v>
      </c>
      <c r="B85" s="9">
        <v>4105</v>
      </c>
      <c r="C85">
        <v>7</v>
      </c>
      <c r="D85" t="s">
        <v>79</v>
      </c>
      <c r="E85" s="30">
        <v>76.45</v>
      </c>
      <c r="F85" s="30">
        <v>93.2</v>
      </c>
      <c r="G85" s="30">
        <v>47.6</v>
      </c>
      <c r="H85" s="30">
        <v>20.74</v>
      </c>
      <c r="I85" s="30">
        <v>2.21</v>
      </c>
      <c r="J85" s="1"/>
      <c r="K85" s="1"/>
    </row>
    <row r="86" spans="1:11" x14ac:dyDescent="0.2">
      <c r="A86">
        <v>1</v>
      </c>
      <c r="B86" s="9">
        <v>4106</v>
      </c>
      <c r="C86">
        <v>7</v>
      </c>
      <c r="D86" t="s">
        <v>80</v>
      </c>
      <c r="E86" s="30">
        <v>308.27</v>
      </c>
      <c r="F86" s="30">
        <v>280.11</v>
      </c>
      <c r="G86" s="30">
        <v>244.01</v>
      </c>
      <c r="H86" s="30">
        <v>112.88</v>
      </c>
      <c r="I86" s="30">
        <v>112.74</v>
      </c>
      <c r="J86" s="1"/>
      <c r="K86" s="1"/>
    </row>
    <row r="87" spans="1:11" x14ac:dyDescent="0.2">
      <c r="A87">
        <v>1</v>
      </c>
      <c r="B87" s="9">
        <v>4107</v>
      </c>
      <c r="C87">
        <v>7</v>
      </c>
      <c r="D87" t="s">
        <v>81</v>
      </c>
      <c r="E87" s="30">
        <v>241.6</v>
      </c>
      <c r="F87" s="30">
        <v>208.5</v>
      </c>
      <c r="G87" s="30">
        <v>167.05</v>
      </c>
      <c r="H87" s="30">
        <v>13.7</v>
      </c>
      <c r="I87" s="30">
        <v>13.4</v>
      </c>
      <c r="J87" s="1"/>
      <c r="K87" s="1"/>
    </row>
    <row r="88" spans="1:11" x14ac:dyDescent="0.2">
      <c r="A88">
        <v>1</v>
      </c>
      <c r="B88" s="9">
        <v>4108</v>
      </c>
      <c r="C88">
        <v>7</v>
      </c>
      <c r="D88" t="s">
        <v>82</v>
      </c>
      <c r="E88" s="30">
        <v>113.76</v>
      </c>
      <c r="F88" s="30">
        <v>144.59</v>
      </c>
      <c r="G88" s="30">
        <v>73.03</v>
      </c>
      <c r="H88" s="30">
        <v>29.41</v>
      </c>
      <c r="I88" s="30">
        <v>0</v>
      </c>
      <c r="J88" s="1"/>
      <c r="K88" s="1"/>
    </row>
    <row r="89" spans="1:11" x14ac:dyDescent="0.2">
      <c r="A89">
        <v>1</v>
      </c>
      <c r="B89" s="9">
        <v>4109</v>
      </c>
      <c r="C89">
        <v>7</v>
      </c>
      <c r="D89" t="s">
        <v>83</v>
      </c>
      <c r="E89" s="30">
        <v>83.68</v>
      </c>
      <c r="F89" s="30">
        <v>59.26</v>
      </c>
      <c r="G89" s="30">
        <v>31.8</v>
      </c>
      <c r="H89" s="30">
        <v>23.5</v>
      </c>
      <c r="I89" s="30">
        <v>14.92</v>
      </c>
      <c r="J89" s="1"/>
      <c r="K89" s="1"/>
    </row>
    <row r="90" spans="1:11" x14ac:dyDescent="0.2">
      <c r="A90">
        <v>1</v>
      </c>
      <c r="B90" s="9">
        <v>4110</v>
      </c>
      <c r="C90">
        <v>7</v>
      </c>
      <c r="D90" t="s">
        <v>84</v>
      </c>
      <c r="E90" s="30">
        <v>10.9</v>
      </c>
      <c r="F90" s="30">
        <v>5.47</v>
      </c>
      <c r="G90" s="30">
        <v>3.18</v>
      </c>
      <c r="H90" s="30">
        <v>3.03</v>
      </c>
      <c r="I90" s="30">
        <v>2.71</v>
      </c>
      <c r="J90" s="1"/>
      <c r="K90" s="1"/>
    </row>
    <row r="91" spans="1:11" x14ac:dyDescent="0.2">
      <c r="A91">
        <v>1</v>
      </c>
      <c r="B91" s="9">
        <v>4111</v>
      </c>
      <c r="C91">
        <v>7</v>
      </c>
      <c r="D91" t="s">
        <v>85</v>
      </c>
      <c r="E91" s="30">
        <v>49.73</v>
      </c>
      <c r="F91" s="30">
        <v>43.28</v>
      </c>
      <c r="G91" s="30">
        <v>21.02</v>
      </c>
      <c r="H91" s="30">
        <v>10.38</v>
      </c>
      <c r="I91" s="30">
        <v>2.35</v>
      </c>
      <c r="J91" s="1"/>
      <c r="K91" s="1"/>
    </row>
    <row r="92" spans="1:11" x14ac:dyDescent="0.2">
      <c r="A92">
        <v>1</v>
      </c>
      <c r="B92" s="9">
        <v>4112</v>
      </c>
      <c r="C92">
        <v>7</v>
      </c>
      <c r="D92" t="s">
        <v>86</v>
      </c>
      <c r="E92" s="30">
        <v>81.599999999999994</v>
      </c>
      <c r="F92" s="30">
        <v>73.739999999999995</v>
      </c>
      <c r="G92" s="30">
        <v>35.82</v>
      </c>
      <c r="H92" s="30">
        <v>20.149999999999999</v>
      </c>
      <c r="I92" s="30">
        <v>6.14</v>
      </c>
      <c r="J92" s="1"/>
      <c r="K92" s="1"/>
    </row>
    <row r="93" spans="1:11" x14ac:dyDescent="0.2">
      <c r="A93">
        <v>1</v>
      </c>
      <c r="B93" s="9">
        <v>4113</v>
      </c>
      <c r="C93">
        <v>7</v>
      </c>
      <c r="D93" t="s">
        <v>87</v>
      </c>
      <c r="E93" s="30">
        <v>23.36</v>
      </c>
      <c r="F93" s="30">
        <v>16.510000000000002</v>
      </c>
      <c r="G93" s="30">
        <v>5.91</v>
      </c>
      <c r="H93" s="30">
        <v>2.76</v>
      </c>
      <c r="I93" s="30">
        <v>0.66</v>
      </c>
      <c r="J93" s="1"/>
      <c r="K93" s="1"/>
    </row>
    <row r="94" spans="1:11" x14ac:dyDescent="0.2">
      <c r="A94">
        <v>1</v>
      </c>
      <c r="B94" s="9">
        <v>4114</v>
      </c>
      <c r="C94">
        <v>7</v>
      </c>
      <c r="D94" t="s">
        <v>88</v>
      </c>
      <c r="E94" s="30">
        <v>15.11</v>
      </c>
      <c r="F94" s="30">
        <v>5.01</v>
      </c>
      <c r="G94" s="30">
        <v>2.78</v>
      </c>
      <c r="H94" s="30">
        <v>2.66</v>
      </c>
      <c r="I94" s="30">
        <v>2.39</v>
      </c>
      <c r="J94" s="1"/>
      <c r="K94" s="1"/>
    </row>
    <row r="95" spans="1:11" x14ac:dyDescent="0.2">
      <c r="A95">
        <v>1</v>
      </c>
      <c r="B95" s="9">
        <v>4115</v>
      </c>
      <c r="C95">
        <v>7</v>
      </c>
      <c r="D95" t="s">
        <v>89</v>
      </c>
      <c r="E95" s="30">
        <v>1.03</v>
      </c>
      <c r="F95" s="30">
        <v>1.1399999999999999</v>
      </c>
      <c r="G95" s="30">
        <v>0.57999999999999996</v>
      </c>
      <c r="H95" s="30">
        <v>0.23</v>
      </c>
      <c r="I95" s="30">
        <v>0</v>
      </c>
      <c r="J95" s="1"/>
      <c r="K95" s="1"/>
    </row>
    <row r="96" spans="1:11" x14ac:dyDescent="0.2">
      <c r="A96">
        <v>1</v>
      </c>
      <c r="B96" s="9">
        <v>4116</v>
      </c>
      <c r="C96">
        <v>7</v>
      </c>
      <c r="D96" t="s">
        <v>90</v>
      </c>
      <c r="E96" s="30">
        <v>101.62</v>
      </c>
      <c r="F96" s="30">
        <v>39.17</v>
      </c>
      <c r="G96" s="30">
        <v>14.11</v>
      </c>
      <c r="H96" s="30">
        <v>9.77</v>
      </c>
      <c r="I96" s="30">
        <v>7.17</v>
      </c>
      <c r="J96" s="1"/>
      <c r="K96" s="1"/>
    </row>
    <row r="97" spans="1:11" x14ac:dyDescent="0.2">
      <c r="A97">
        <v>1</v>
      </c>
      <c r="B97" s="9">
        <v>4118</v>
      </c>
      <c r="C97">
        <v>7</v>
      </c>
      <c r="D97" t="s">
        <v>91</v>
      </c>
      <c r="E97" s="30">
        <v>187.29</v>
      </c>
      <c r="F97" s="30">
        <v>164.29</v>
      </c>
      <c r="G97" s="30">
        <v>89.61</v>
      </c>
      <c r="H97" s="30">
        <v>55.01</v>
      </c>
      <c r="I97" s="30">
        <v>44.16</v>
      </c>
      <c r="J97" s="1"/>
      <c r="K97" s="1"/>
    </row>
    <row r="98" spans="1:11" x14ac:dyDescent="0.2">
      <c r="A98">
        <v>1</v>
      </c>
      <c r="B98" s="9">
        <v>4119</v>
      </c>
      <c r="C98">
        <v>7</v>
      </c>
      <c r="D98" t="s">
        <v>92</v>
      </c>
      <c r="E98" s="30">
        <v>70.430000000000007</v>
      </c>
      <c r="F98" s="30">
        <v>61.19</v>
      </c>
      <c r="G98" s="30">
        <v>25.75</v>
      </c>
      <c r="H98" s="30">
        <v>18.96</v>
      </c>
      <c r="I98" s="30">
        <v>6.89</v>
      </c>
      <c r="J98" s="1"/>
      <c r="K98" s="1"/>
    </row>
    <row r="99" spans="1:11" x14ac:dyDescent="0.2">
      <c r="A99">
        <v>1</v>
      </c>
      <c r="B99" s="9">
        <v>4120</v>
      </c>
      <c r="C99">
        <v>7</v>
      </c>
      <c r="D99" t="s">
        <v>93</v>
      </c>
      <c r="E99" s="30">
        <v>0.02</v>
      </c>
      <c r="F99" s="30">
        <v>0</v>
      </c>
      <c r="G99" s="30">
        <v>0</v>
      </c>
      <c r="H99" s="30">
        <v>0</v>
      </c>
      <c r="I99" s="30">
        <v>0</v>
      </c>
      <c r="J99" s="1"/>
      <c r="K99" s="1"/>
    </row>
    <row r="100" spans="1:11" x14ac:dyDescent="0.2">
      <c r="A100">
        <v>1</v>
      </c>
      <c r="B100" s="9">
        <v>4121</v>
      </c>
      <c r="C100">
        <v>7</v>
      </c>
      <c r="D100" t="s">
        <v>94</v>
      </c>
      <c r="E100" s="30">
        <v>15.06</v>
      </c>
      <c r="F100" s="30">
        <v>12.91</v>
      </c>
      <c r="G100" s="30">
        <v>6.42</v>
      </c>
      <c r="H100" s="30">
        <v>3.17</v>
      </c>
      <c r="I100" s="30">
        <v>0.82</v>
      </c>
      <c r="J100" s="1"/>
      <c r="K100" s="1"/>
    </row>
    <row r="101" spans="1:11" x14ac:dyDescent="0.2">
      <c r="A101">
        <v>1</v>
      </c>
      <c r="B101" s="9">
        <v>4122</v>
      </c>
      <c r="C101">
        <v>7</v>
      </c>
      <c r="D101" t="s">
        <v>95</v>
      </c>
      <c r="E101" s="30">
        <v>9.99</v>
      </c>
      <c r="F101" s="30">
        <v>4.28</v>
      </c>
      <c r="G101" s="30">
        <v>0.77</v>
      </c>
      <c r="H101" s="30">
        <v>0.31</v>
      </c>
      <c r="I101" s="30">
        <v>0</v>
      </c>
      <c r="J101" s="1"/>
      <c r="K101" s="1"/>
    </row>
    <row r="102" spans="1:11" x14ac:dyDescent="0.2">
      <c r="A102">
        <v>1</v>
      </c>
      <c r="B102" s="9">
        <v>4123</v>
      </c>
      <c r="C102">
        <v>7</v>
      </c>
      <c r="D102" t="s">
        <v>96</v>
      </c>
      <c r="E102" s="30">
        <v>100.83</v>
      </c>
      <c r="F102" s="30">
        <v>53.22</v>
      </c>
      <c r="G102" s="30">
        <v>13.3</v>
      </c>
      <c r="H102" s="30">
        <v>12.3</v>
      </c>
      <c r="I102" s="30">
        <v>10.65</v>
      </c>
      <c r="J102" s="1"/>
      <c r="K102" s="1"/>
    </row>
    <row r="103" spans="1:11" x14ac:dyDescent="0.2">
      <c r="A103">
        <v>1</v>
      </c>
      <c r="B103" s="9">
        <v>4124</v>
      </c>
      <c r="C103">
        <v>7</v>
      </c>
      <c r="D103" t="s">
        <v>97</v>
      </c>
      <c r="E103" s="30">
        <v>24.34</v>
      </c>
      <c r="F103" s="30">
        <v>9.4</v>
      </c>
      <c r="G103" s="30">
        <v>4.03</v>
      </c>
      <c r="H103" s="30">
        <v>3.16</v>
      </c>
      <c r="I103" s="30">
        <v>2.21</v>
      </c>
      <c r="J103" s="1"/>
      <c r="K103" s="1"/>
    </row>
    <row r="104" spans="1:11" x14ac:dyDescent="0.2">
      <c r="A104">
        <v>1</v>
      </c>
      <c r="B104" s="9">
        <v>4125</v>
      </c>
      <c r="C104">
        <v>7</v>
      </c>
      <c r="D104" t="s">
        <v>98</v>
      </c>
      <c r="E104" s="30">
        <v>260.01</v>
      </c>
      <c r="F104" s="30">
        <v>534.24</v>
      </c>
      <c r="G104" s="30">
        <v>518.79999999999995</v>
      </c>
      <c r="H104" s="30">
        <v>499.87</v>
      </c>
      <c r="I104" s="30">
        <v>475.13</v>
      </c>
      <c r="J104" s="1"/>
      <c r="K104" s="1"/>
    </row>
    <row r="105" spans="1:11" x14ac:dyDescent="0.2">
      <c r="A105">
        <v>1</v>
      </c>
      <c r="B105" s="9">
        <v>4126</v>
      </c>
      <c r="C105">
        <v>7</v>
      </c>
      <c r="D105" t="s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1"/>
      <c r="K105" s="1"/>
    </row>
    <row r="106" spans="1:11" x14ac:dyDescent="0.2">
      <c r="A106">
        <v>1</v>
      </c>
      <c r="B106" s="9">
        <v>4127</v>
      </c>
      <c r="C106">
        <v>7</v>
      </c>
      <c r="D106" t="s">
        <v>100</v>
      </c>
      <c r="E106" s="30">
        <v>271.76</v>
      </c>
      <c r="F106" s="30">
        <v>243.78</v>
      </c>
      <c r="G106" s="30">
        <v>195.86</v>
      </c>
      <c r="H106" s="30">
        <v>179.07</v>
      </c>
      <c r="I106" s="30">
        <v>11.9</v>
      </c>
      <c r="J106" s="1"/>
      <c r="K106" s="1"/>
    </row>
    <row r="107" spans="1:11" x14ac:dyDescent="0.2">
      <c r="A107">
        <v>1</v>
      </c>
      <c r="B107" s="9">
        <v>4131</v>
      </c>
      <c r="C107">
        <v>7</v>
      </c>
      <c r="D107" t="s">
        <v>101</v>
      </c>
      <c r="E107" s="30">
        <v>29.17</v>
      </c>
      <c r="F107" s="30">
        <v>35.659999999999997</v>
      </c>
      <c r="G107" s="30">
        <v>17.87</v>
      </c>
      <c r="H107" s="30">
        <v>7.2</v>
      </c>
      <c r="I107" s="30">
        <v>0</v>
      </c>
      <c r="J107" s="1"/>
      <c r="K107" s="1"/>
    </row>
    <row r="108" spans="1:11" x14ac:dyDescent="0.2">
      <c r="A108">
        <v>1</v>
      </c>
      <c r="B108" s="9">
        <v>4132</v>
      </c>
      <c r="C108">
        <v>7</v>
      </c>
      <c r="D108" t="s">
        <v>102</v>
      </c>
      <c r="E108" s="30">
        <v>103.03</v>
      </c>
      <c r="F108" s="30">
        <v>126.47</v>
      </c>
      <c r="G108" s="30">
        <v>64.28</v>
      </c>
      <c r="H108" s="30">
        <v>27.02</v>
      </c>
      <c r="I108" s="30">
        <v>1.62</v>
      </c>
      <c r="J108" s="1"/>
      <c r="K108" s="1"/>
    </row>
    <row r="109" spans="1:11" x14ac:dyDescent="0.2">
      <c r="A109">
        <v>1</v>
      </c>
      <c r="B109" s="9">
        <v>4133</v>
      </c>
      <c r="C109">
        <v>7</v>
      </c>
      <c r="D109" t="s">
        <v>103</v>
      </c>
      <c r="E109" s="30">
        <v>21.62</v>
      </c>
      <c r="F109" s="30">
        <v>8.98</v>
      </c>
      <c r="G109" s="30">
        <v>4.03</v>
      </c>
      <c r="H109" s="30">
        <v>3.17</v>
      </c>
      <c r="I109" s="30">
        <v>2.06</v>
      </c>
      <c r="J109" s="1"/>
      <c r="K109" s="1"/>
    </row>
    <row r="110" spans="1:11" x14ac:dyDescent="0.2">
      <c r="A110">
        <v>1</v>
      </c>
      <c r="B110" s="9">
        <v>4135</v>
      </c>
      <c r="C110">
        <v>7</v>
      </c>
      <c r="D110" t="s">
        <v>104</v>
      </c>
      <c r="E110" s="30">
        <v>72.25</v>
      </c>
      <c r="F110" s="30">
        <v>42.6</v>
      </c>
      <c r="G110" s="30">
        <v>17.68</v>
      </c>
      <c r="H110" s="30">
        <v>15.81</v>
      </c>
      <c r="I110" s="30">
        <v>7.92</v>
      </c>
      <c r="J110" s="1"/>
      <c r="K110" s="1"/>
    </row>
    <row r="111" spans="1:11" x14ac:dyDescent="0.2">
      <c r="A111">
        <v>1</v>
      </c>
      <c r="B111" s="9">
        <v>4136</v>
      </c>
      <c r="C111">
        <v>7</v>
      </c>
      <c r="D111" t="s">
        <v>105</v>
      </c>
      <c r="E111" s="30">
        <v>3.07</v>
      </c>
      <c r="F111" s="30">
        <v>2.46</v>
      </c>
      <c r="G111" s="30">
        <v>1.19</v>
      </c>
      <c r="H111" s="30">
        <v>0.48</v>
      </c>
      <c r="I111" s="30">
        <v>0</v>
      </c>
      <c r="J111" s="1"/>
      <c r="K111" s="1"/>
    </row>
    <row r="112" spans="1:11" x14ac:dyDescent="0.2">
      <c r="A112">
        <v>1</v>
      </c>
      <c r="B112" s="9">
        <v>4137</v>
      </c>
      <c r="C112">
        <v>7</v>
      </c>
      <c r="D112" t="s">
        <v>106</v>
      </c>
      <c r="E112" s="30">
        <v>60.74</v>
      </c>
      <c r="F112" s="30">
        <v>40.79</v>
      </c>
      <c r="G112" s="30">
        <v>60.1</v>
      </c>
      <c r="H112" s="30">
        <v>42.65</v>
      </c>
      <c r="I112" s="30">
        <v>18.79</v>
      </c>
      <c r="J112" s="1"/>
      <c r="K112" s="1"/>
    </row>
    <row r="113" spans="1:11" x14ac:dyDescent="0.2">
      <c r="A113">
        <v>1</v>
      </c>
      <c r="B113" s="9">
        <v>4138</v>
      </c>
      <c r="C113">
        <v>7</v>
      </c>
      <c r="D113" t="s">
        <v>107</v>
      </c>
      <c r="E113" s="30">
        <v>327.17</v>
      </c>
      <c r="F113" s="30">
        <v>307.12</v>
      </c>
      <c r="G113" s="30">
        <v>431.09</v>
      </c>
      <c r="H113" s="30">
        <v>380.87</v>
      </c>
      <c r="I113" s="30">
        <v>343.19</v>
      </c>
      <c r="J113" s="1"/>
      <c r="K113" s="1"/>
    </row>
    <row r="114" spans="1:11" x14ac:dyDescent="0.2">
      <c r="A114">
        <v>1</v>
      </c>
      <c r="B114" s="9">
        <v>4139</v>
      </c>
      <c r="C114">
        <v>7</v>
      </c>
      <c r="D114" t="s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1"/>
      <c r="K114" s="1"/>
    </row>
    <row r="115" spans="1:11" x14ac:dyDescent="0.2">
      <c r="A115">
        <v>1</v>
      </c>
      <c r="B115" s="9">
        <v>4140</v>
      </c>
      <c r="C115">
        <v>7</v>
      </c>
      <c r="D115" t="s">
        <v>109</v>
      </c>
      <c r="E115" s="30">
        <v>63.28</v>
      </c>
      <c r="F115" s="30">
        <v>65.3</v>
      </c>
      <c r="G115" s="30">
        <v>31.09</v>
      </c>
      <c r="H115" s="30">
        <v>14.22</v>
      </c>
      <c r="I115" s="30">
        <v>1.92</v>
      </c>
      <c r="J115" s="1"/>
      <c r="K115" s="1"/>
    </row>
    <row r="116" spans="1:11" x14ac:dyDescent="0.2">
      <c r="A116">
        <v>1</v>
      </c>
      <c r="B116" s="9">
        <v>4141</v>
      </c>
      <c r="C116">
        <v>7</v>
      </c>
      <c r="D116" t="s">
        <v>110</v>
      </c>
      <c r="E116" s="30">
        <v>102.81</v>
      </c>
      <c r="F116" s="30">
        <v>52.56</v>
      </c>
      <c r="G116" s="30">
        <v>12.16</v>
      </c>
      <c r="H116" s="30">
        <v>9.2100000000000009</v>
      </c>
      <c r="I116" s="30">
        <v>8.66</v>
      </c>
      <c r="J116" s="1"/>
      <c r="K116" s="1"/>
    </row>
    <row r="117" spans="1:11" x14ac:dyDescent="0.2">
      <c r="A117">
        <v>1</v>
      </c>
      <c r="B117" s="9">
        <v>4142</v>
      </c>
      <c r="C117">
        <v>7</v>
      </c>
      <c r="D117" t="s">
        <v>111</v>
      </c>
      <c r="E117" s="30">
        <v>62.82</v>
      </c>
      <c r="F117" s="30">
        <v>7.85</v>
      </c>
      <c r="G117" s="30">
        <v>6.38</v>
      </c>
      <c r="H117" s="30">
        <v>5.75</v>
      </c>
      <c r="I117" s="30">
        <v>5.2</v>
      </c>
      <c r="J117" s="1"/>
      <c r="K117" s="1"/>
    </row>
    <row r="118" spans="1:11" x14ac:dyDescent="0.2">
      <c r="A118">
        <v>1</v>
      </c>
      <c r="B118" s="9">
        <v>4143</v>
      </c>
      <c r="C118">
        <v>7</v>
      </c>
      <c r="D118" t="s">
        <v>112</v>
      </c>
      <c r="E118" s="30">
        <v>24.18</v>
      </c>
      <c r="F118" s="30">
        <v>11.52</v>
      </c>
      <c r="G118" s="30">
        <v>5.64</v>
      </c>
      <c r="H118" s="30">
        <v>4.43</v>
      </c>
      <c r="I118" s="30">
        <v>2.71</v>
      </c>
      <c r="J118" s="1"/>
      <c r="K118" s="1"/>
    </row>
    <row r="119" spans="1:11" x14ac:dyDescent="0.2">
      <c r="A119">
        <v>1</v>
      </c>
      <c r="B119" s="9">
        <v>4144</v>
      </c>
      <c r="C119">
        <v>7</v>
      </c>
      <c r="D119" t="s">
        <v>113</v>
      </c>
      <c r="E119" s="30">
        <v>306.29000000000002</v>
      </c>
      <c r="F119" s="30">
        <v>252.71</v>
      </c>
      <c r="G119" s="30">
        <v>220.15</v>
      </c>
      <c r="H119" s="30">
        <v>195.27</v>
      </c>
      <c r="I119" s="30">
        <v>177.05</v>
      </c>
      <c r="J119" s="1"/>
      <c r="K119" s="1"/>
    </row>
    <row r="120" spans="1:11" x14ac:dyDescent="0.2">
      <c r="A120">
        <v>1</v>
      </c>
      <c r="B120" s="9">
        <v>4145</v>
      </c>
      <c r="C120">
        <v>7</v>
      </c>
      <c r="D120" t="s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1"/>
      <c r="K120" s="1"/>
    </row>
    <row r="121" spans="1:11" x14ac:dyDescent="0.2">
      <c r="A121">
        <v>1</v>
      </c>
      <c r="B121" s="9">
        <v>4146</v>
      </c>
      <c r="C121">
        <v>7</v>
      </c>
      <c r="D121" t="s">
        <v>115</v>
      </c>
      <c r="E121" s="30">
        <v>94.26</v>
      </c>
      <c r="F121" s="30">
        <v>90.18</v>
      </c>
      <c r="G121" s="30">
        <v>72.040000000000006</v>
      </c>
      <c r="H121" s="30">
        <v>56.68</v>
      </c>
      <c r="I121" s="30">
        <v>30</v>
      </c>
      <c r="J121" s="1"/>
      <c r="K121" s="1"/>
    </row>
    <row r="122" spans="1:11" x14ac:dyDescent="0.2">
      <c r="A122">
        <v>1</v>
      </c>
      <c r="B122" s="9">
        <v>4148</v>
      </c>
      <c r="C122">
        <v>7</v>
      </c>
      <c r="D122" t="s">
        <v>116</v>
      </c>
      <c r="E122" s="30">
        <v>48.45</v>
      </c>
      <c r="F122" s="30">
        <v>19.43</v>
      </c>
      <c r="G122" s="30">
        <v>10.59</v>
      </c>
      <c r="H122" s="30">
        <v>8.81</v>
      </c>
      <c r="I122" s="30">
        <v>7.2</v>
      </c>
      <c r="J122" s="1"/>
      <c r="K122" s="1"/>
    </row>
    <row r="123" spans="1:11" x14ac:dyDescent="0.2">
      <c r="A123">
        <v>1</v>
      </c>
      <c r="B123" s="9">
        <v>4149</v>
      </c>
      <c r="C123">
        <v>7</v>
      </c>
      <c r="D123" t="s">
        <v>117</v>
      </c>
      <c r="E123" s="30">
        <v>188.68</v>
      </c>
      <c r="F123" s="30">
        <v>150.91</v>
      </c>
      <c r="G123" s="30">
        <v>88.87</v>
      </c>
      <c r="H123" s="30">
        <v>63.96</v>
      </c>
      <c r="I123" s="30">
        <v>33.520000000000003</v>
      </c>
      <c r="J123" s="1"/>
      <c r="K123" s="1"/>
    </row>
    <row r="124" spans="1:11" x14ac:dyDescent="0.2">
      <c r="A124">
        <v>1</v>
      </c>
      <c r="B124" s="9">
        <v>4150</v>
      </c>
      <c r="C124">
        <v>7</v>
      </c>
      <c r="D124" t="s">
        <v>118</v>
      </c>
      <c r="E124" s="30">
        <v>121.26</v>
      </c>
      <c r="F124" s="30">
        <v>91.79</v>
      </c>
      <c r="G124" s="30">
        <v>63.53</v>
      </c>
      <c r="H124" s="30">
        <v>52.7</v>
      </c>
      <c r="I124" s="30">
        <v>40.46</v>
      </c>
      <c r="J124" s="1"/>
      <c r="K124" s="1"/>
    </row>
    <row r="125" spans="1:11" x14ac:dyDescent="0.2">
      <c r="A125">
        <v>1</v>
      </c>
      <c r="B125" s="9">
        <v>4151</v>
      </c>
      <c r="C125">
        <v>7</v>
      </c>
      <c r="D125" t="s">
        <v>119</v>
      </c>
      <c r="E125" s="30">
        <v>117.92</v>
      </c>
      <c r="F125" s="30">
        <v>99.15</v>
      </c>
      <c r="G125" s="30">
        <v>73.78</v>
      </c>
      <c r="H125" s="30">
        <v>60.83</v>
      </c>
      <c r="I125" s="30">
        <v>43.66</v>
      </c>
      <c r="J125" s="1"/>
      <c r="K125" s="1"/>
    </row>
    <row r="126" spans="1:11" x14ac:dyDescent="0.2">
      <c r="A126">
        <v>1</v>
      </c>
      <c r="B126" s="9">
        <v>4152</v>
      </c>
      <c r="C126">
        <v>7</v>
      </c>
      <c r="D126" t="s">
        <v>120</v>
      </c>
      <c r="E126" s="30">
        <v>62.62</v>
      </c>
      <c r="F126" s="30">
        <v>65.53</v>
      </c>
      <c r="G126" s="30">
        <v>34.07</v>
      </c>
      <c r="H126" s="30">
        <v>17.07</v>
      </c>
      <c r="I126" s="30">
        <v>4.21</v>
      </c>
      <c r="J126" s="1"/>
      <c r="K126" s="1"/>
    </row>
    <row r="127" spans="1:11" x14ac:dyDescent="0.2">
      <c r="A127">
        <v>1</v>
      </c>
      <c r="B127" s="9">
        <v>4153</v>
      </c>
      <c r="C127">
        <v>7</v>
      </c>
      <c r="D127" t="s">
        <v>121</v>
      </c>
      <c r="E127" s="30">
        <v>40.53</v>
      </c>
      <c r="F127" s="30">
        <v>50.73</v>
      </c>
      <c r="G127" s="30">
        <v>25.7</v>
      </c>
      <c r="H127" s="30">
        <v>10.54</v>
      </c>
      <c r="I127" s="30">
        <v>0.22</v>
      </c>
      <c r="J127" s="1"/>
      <c r="K127" s="1"/>
    </row>
    <row r="128" spans="1:11" x14ac:dyDescent="0.2">
      <c r="A128">
        <v>1</v>
      </c>
      <c r="B128" s="9">
        <v>4154</v>
      </c>
      <c r="C128">
        <v>7</v>
      </c>
      <c r="D128" t="s">
        <v>122</v>
      </c>
      <c r="E128" s="30">
        <v>224.12</v>
      </c>
      <c r="F128" s="30">
        <v>206.17</v>
      </c>
      <c r="G128" s="30">
        <v>166.9</v>
      </c>
      <c r="H128" s="30">
        <v>155.29</v>
      </c>
      <c r="I128" s="30">
        <v>135.69999999999999</v>
      </c>
      <c r="J128" s="1"/>
      <c r="K128" s="1"/>
    </row>
    <row r="129" spans="1:11" x14ac:dyDescent="0.2">
      <c r="A129">
        <v>1</v>
      </c>
      <c r="B129" s="9">
        <v>4155</v>
      </c>
      <c r="C129">
        <v>7</v>
      </c>
      <c r="D129" t="s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1"/>
      <c r="K129" s="1"/>
    </row>
    <row r="130" spans="1:11" x14ac:dyDescent="0.2">
      <c r="A130">
        <v>1</v>
      </c>
      <c r="B130" s="9">
        <v>4157</v>
      </c>
      <c r="C130">
        <v>7</v>
      </c>
      <c r="D130" t="s">
        <v>124</v>
      </c>
      <c r="E130" s="30">
        <v>4.0599999999999996</v>
      </c>
      <c r="F130" s="30">
        <v>3.21</v>
      </c>
      <c r="G130" s="30">
        <v>2.4300000000000002</v>
      </c>
      <c r="H130" s="30">
        <v>2.19</v>
      </c>
      <c r="I130" s="30">
        <v>1.81</v>
      </c>
      <c r="J130" s="1"/>
      <c r="K130" s="1"/>
    </row>
    <row r="131" spans="1:11" x14ac:dyDescent="0.2">
      <c r="A131">
        <v>1</v>
      </c>
      <c r="B131" s="9">
        <v>4158</v>
      </c>
      <c r="C131">
        <v>7</v>
      </c>
      <c r="D131" t="s">
        <v>125</v>
      </c>
      <c r="E131" s="30">
        <v>83.63</v>
      </c>
      <c r="F131" s="30">
        <v>39.24</v>
      </c>
      <c r="G131" s="30">
        <v>20.66</v>
      </c>
      <c r="H131" s="30">
        <v>18.690000000000001</v>
      </c>
      <c r="I131" s="30">
        <v>18.32</v>
      </c>
      <c r="J131" s="1"/>
      <c r="K131" s="1"/>
    </row>
    <row r="132" spans="1:11" x14ac:dyDescent="0.2">
      <c r="A132">
        <v>1</v>
      </c>
      <c r="B132" s="9">
        <v>4159</v>
      </c>
      <c r="C132">
        <v>7</v>
      </c>
      <c r="D132" t="s">
        <v>126</v>
      </c>
      <c r="E132" s="30">
        <v>12.97</v>
      </c>
      <c r="F132" s="30">
        <v>3.89</v>
      </c>
      <c r="G132" s="30">
        <v>0.37</v>
      </c>
      <c r="H132" s="30">
        <v>0.14000000000000001</v>
      </c>
      <c r="I132" s="30">
        <v>0</v>
      </c>
      <c r="J132" s="1"/>
      <c r="K132" s="1"/>
    </row>
    <row r="133" spans="1:11" x14ac:dyDescent="0.2">
      <c r="A133">
        <v>1</v>
      </c>
      <c r="B133" s="9">
        <v>4160</v>
      </c>
      <c r="C133">
        <v>7</v>
      </c>
      <c r="D133" t="s">
        <v>127</v>
      </c>
      <c r="E133" s="30">
        <v>178.31</v>
      </c>
      <c r="F133" s="30">
        <v>153.46</v>
      </c>
      <c r="G133" s="30">
        <v>91.32</v>
      </c>
      <c r="H133" s="30">
        <v>61.34</v>
      </c>
      <c r="I133" s="30">
        <v>47.32</v>
      </c>
      <c r="J133" s="1"/>
      <c r="K133" s="1"/>
    </row>
    <row r="134" spans="1:11" x14ac:dyDescent="0.2">
      <c r="A134">
        <v>1</v>
      </c>
      <c r="B134" s="9">
        <v>4161</v>
      </c>
      <c r="C134">
        <v>7</v>
      </c>
      <c r="D134" t="s">
        <v>128</v>
      </c>
      <c r="E134" s="30">
        <v>248.32</v>
      </c>
      <c r="F134" s="30">
        <v>210.07</v>
      </c>
      <c r="G134" s="30">
        <v>168.81</v>
      </c>
      <c r="H134" s="30">
        <v>138.71</v>
      </c>
      <c r="I134" s="30">
        <v>109.31</v>
      </c>
      <c r="J134" s="1"/>
      <c r="K134" s="1"/>
    </row>
    <row r="135" spans="1:11" x14ac:dyDescent="0.2">
      <c r="A135">
        <v>1</v>
      </c>
      <c r="B135" s="9">
        <v>4162</v>
      </c>
      <c r="C135">
        <v>7</v>
      </c>
      <c r="D135" t="s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1"/>
      <c r="K135" s="1"/>
    </row>
    <row r="136" spans="1:11" x14ac:dyDescent="0.2">
      <c r="A136">
        <v>1</v>
      </c>
      <c r="B136" s="9">
        <v>4163</v>
      </c>
      <c r="C136">
        <v>7</v>
      </c>
      <c r="D136" t="s">
        <v>130</v>
      </c>
      <c r="E136" s="30">
        <v>4.58</v>
      </c>
      <c r="F136" s="30">
        <v>0.83</v>
      </c>
      <c r="G136" s="30">
        <v>0.01</v>
      </c>
      <c r="H136" s="30">
        <v>0.01</v>
      </c>
      <c r="I136" s="30">
        <v>0</v>
      </c>
      <c r="J136" s="1"/>
      <c r="K136" s="1"/>
    </row>
    <row r="137" spans="1:11" x14ac:dyDescent="0.2">
      <c r="A137">
        <v>1</v>
      </c>
      <c r="B137" s="9">
        <v>4165</v>
      </c>
      <c r="C137">
        <v>7</v>
      </c>
      <c r="D137" t="s">
        <v>542</v>
      </c>
      <c r="E137" s="30" t="s">
        <v>562</v>
      </c>
      <c r="F137" s="30">
        <v>14.26</v>
      </c>
      <c r="G137" s="30">
        <v>0</v>
      </c>
      <c r="H137" s="30">
        <v>0</v>
      </c>
      <c r="I137" s="30">
        <v>0</v>
      </c>
      <c r="J137" s="1"/>
      <c r="K137" s="1"/>
    </row>
    <row r="138" spans="1:11" x14ac:dyDescent="0.2">
      <c r="A138">
        <v>1</v>
      </c>
      <c r="B138" s="9">
        <v>4166</v>
      </c>
      <c r="C138">
        <v>7</v>
      </c>
      <c r="D138" t="s">
        <v>543</v>
      </c>
      <c r="E138" s="30" t="s">
        <v>562</v>
      </c>
      <c r="F138" s="30">
        <v>213.42</v>
      </c>
      <c r="G138" s="30">
        <v>194.66</v>
      </c>
      <c r="H138" s="30">
        <v>165.52</v>
      </c>
      <c r="I138" s="30">
        <v>153.19999999999999</v>
      </c>
      <c r="J138" s="1"/>
      <c r="K138" s="1"/>
    </row>
    <row r="139" spans="1:11" x14ac:dyDescent="0.2">
      <c r="A139">
        <v>1</v>
      </c>
      <c r="B139" s="9">
        <v>4167</v>
      </c>
      <c r="C139">
        <v>7</v>
      </c>
      <c r="D139" t="s">
        <v>544</v>
      </c>
      <c r="E139" s="30" t="s">
        <v>562</v>
      </c>
      <c r="F139" s="30">
        <v>0</v>
      </c>
      <c r="G139" s="30">
        <v>0</v>
      </c>
      <c r="H139" s="30">
        <v>0</v>
      </c>
      <c r="I139" s="30">
        <v>0</v>
      </c>
      <c r="J139" s="1"/>
      <c r="K139" s="1"/>
    </row>
    <row r="140" spans="1:11" x14ac:dyDescent="0.2">
      <c r="A140">
        <v>1</v>
      </c>
      <c r="B140" s="9">
        <v>4168</v>
      </c>
      <c r="C140">
        <v>7</v>
      </c>
      <c r="D140" t="s">
        <v>545</v>
      </c>
      <c r="E140" s="30" t="s">
        <v>562</v>
      </c>
      <c r="F140" s="30">
        <v>219.07</v>
      </c>
      <c r="G140" s="30">
        <v>142.62</v>
      </c>
      <c r="H140" s="30">
        <v>88.94</v>
      </c>
      <c r="I140" s="30">
        <v>40.590000000000003</v>
      </c>
      <c r="J140" s="1"/>
      <c r="K140" s="1"/>
    </row>
    <row r="141" spans="1:11" x14ac:dyDescent="0.2">
      <c r="A141">
        <v>1</v>
      </c>
      <c r="B141" s="9">
        <v>4169</v>
      </c>
      <c r="C141">
        <v>7</v>
      </c>
      <c r="D141" t="s">
        <v>546</v>
      </c>
      <c r="E141" s="30" t="s">
        <v>562</v>
      </c>
      <c r="F141" s="30">
        <v>0</v>
      </c>
      <c r="G141" s="30">
        <v>0</v>
      </c>
      <c r="H141" s="30">
        <v>0</v>
      </c>
      <c r="I141" s="30">
        <v>0</v>
      </c>
      <c r="J141" s="1"/>
      <c r="K141" s="1"/>
    </row>
    <row r="142" spans="1:11" x14ac:dyDescent="0.2">
      <c r="A142">
        <v>1</v>
      </c>
      <c r="B142" s="9">
        <v>4170</v>
      </c>
      <c r="C142">
        <v>7</v>
      </c>
      <c r="D142" t="s">
        <v>547</v>
      </c>
      <c r="E142" s="30" t="s">
        <v>562</v>
      </c>
      <c r="F142" s="30">
        <v>0</v>
      </c>
      <c r="G142" s="30">
        <v>0</v>
      </c>
      <c r="H142" s="30">
        <v>0</v>
      </c>
      <c r="I142" s="30">
        <v>0</v>
      </c>
    </row>
    <row r="143" spans="1:11" x14ac:dyDescent="0.2">
      <c r="A143">
        <v>1</v>
      </c>
      <c r="B143" s="9">
        <v>4171</v>
      </c>
      <c r="C143">
        <v>7</v>
      </c>
      <c r="D143" t="s">
        <v>548</v>
      </c>
      <c r="E143" s="30" t="s">
        <v>562</v>
      </c>
      <c r="F143" s="30">
        <v>14.26</v>
      </c>
      <c r="G143" s="30">
        <v>0</v>
      </c>
      <c r="H143" s="30">
        <v>0</v>
      </c>
      <c r="I143" s="30">
        <v>0</v>
      </c>
    </row>
    <row r="144" spans="1:11" x14ac:dyDescent="0.2">
      <c r="A144">
        <v>1</v>
      </c>
      <c r="B144" s="9">
        <v>4172</v>
      </c>
      <c r="C144">
        <v>7</v>
      </c>
      <c r="D144" t="s">
        <v>549</v>
      </c>
      <c r="E144" s="30" t="s">
        <v>562</v>
      </c>
      <c r="F144" s="30">
        <v>559.35</v>
      </c>
      <c r="G144" s="30">
        <v>504.8</v>
      </c>
      <c r="H144" s="30">
        <v>511.98</v>
      </c>
      <c r="I144" s="30">
        <v>485.41</v>
      </c>
    </row>
    <row r="145" spans="1:9" x14ac:dyDescent="0.2">
      <c r="A145">
        <v>1</v>
      </c>
      <c r="B145" s="9">
        <v>4173</v>
      </c>
      <c r="C145">
        <v>7</v>
      </c>
      <c r="D145" t="s">
        <v>550</v>
      </c>
      <c r="E145" s="30" t="s">
        <v>562</v>
      </c>
      <c r="F145" s="30">
        <v>0</v>
      </c>
      <c r="G145" s="30">
        <v>0</v>
      </c>
      <c r="H145" s="30">
        <v>0</v>
      </c>
      <c r="I145" s="30">
        <v>0</v>
      </c>
    </row>
    <row r="146" spans="1:9" x14ac:dyDescent="0.2">
      <c r="A146">
        <v>1</v>
      </c>
      <c r="B146" s="9">
        <v>4174</v>
      </c>
      <c r="C146">
        <v>7</v>
      </c>
      <c r="D146" t="s">
        <v>551</v>
      </c>
      <c r="E146" s="30" t="s">
        <v>562</v>
      </c>
      <c r="F146" s="30">
        <v>43.11</v>
      </c>
      <c r="G146" s="30">
        <v>30.99</v>
      </c>
      <c r="H146" s="30">
        <v>55.57</v>
      </c>
      <c r="I146" s="30">
        <v>45.15</v>
      </c>
    </row>
    <row r="147" spans="1:9" x14ac:dyDescent="0.2">
      <c r="A147">
        <v>1</v>
      </c>
      <c r="B147" s="9">
        <v>4175</v>
      </c>
      <c r="C147">
        <v>7</v>
      </c>
      <c r="D147" t="s">
        <v>552</v>
      </c>
      <c r="E147" s="30" t="s">
        <v>562</v>
      </c>
      <c r="F147" s="30">
        <v>0</v>
      </c>
      <c r="G147" s="30">
        <v>0</v>
      </c>
      <c r="H147" s="30">
        <v>0</v>
      </c>
      <c r="I147" s="30">
        <v>0</v>
      </c>
    </row>
    <row r="148" spans="1:9" x14ac:dyDescent="0.2">
      <c r="A148">
        <v>1</v>
      </c>
      <c r="B148" s="9">
        <v>4177</v>
      </c>
      <c r="C148">
        <v>7</v>
      </c>
      <c r="D148" t="s">
        <v>553</v>
      </c>
      <c r="E148" s="30" t="s">
        <v>562</v>
      </c>
      <c r="F148" s="30">
        <v>0.1</v>
      </c>
      <c r="G148" s="30">
        <v>0</v>
      </c>
      <c r="H148" s="30">
        <v>0</v>
      </c>
      <c r="I148" s="30">
        <v>0</v>
      </c>
    </row>
    <row r="149" spans="1:9" x14ac:dyDescent="0.2">
      <c r="A149">
        <v>1</v>
      </c>
      <c r="B149" s="9">
        <v>4178</v>
      </c>
      <c r="C149">
        <v>7</v>
      </c>
      <c r="D149" t="s">
        <v>554</v>
      </c>
      <c r="E149" s="30" t="s">
        <v>562</v>
      </c>
      <c r="F149" s="30">
        <v>0</v>
      </c>
      <c r="G149" s="30">
        <v>0</v>
      </c>
      <c r="H149" s="30">
        <v>0</v>
      </c>
      <c r="I149" s="30">
        <v>0</v>
      </c>
    </row>
    <row r="150" spans="1:9" x14ac:dyDescent="0.2">
      <c r="A150">
        <v>1</v>
      </c>
      <c r="B150" s="9">
        <v>4180</v>
      </c>
      <c r="C150">
        <v>7</v>
      </c>
      <c r="D150" t="s">
        <v>555</v>
      </c>
      <c r="E150" s="30" t="s">
        <v>562</v>
      </c>
      <c r="F150" s="30">
        <v>0</v>
      </c>
      <c r="G150" s="30">
        <v>0</v>
      </c>
      <c r="H150" s="30">
        <v>0</v>
      </c>
      <c r="I150" s="30">
        <v>0</v>
      </c>
    </row>
    <row r="151" spans="1:9" x14ac:dyDescent="0.2">
      <c r="A151">
        <v>1</v>
      </c>
      <c r="B151" s="9">
        <v>4181</v>
      </c>
      <c r="C151">
        <v>7</v>
      </c>
      <c r="D151" t="s">
        <v>556</v>
      </c>
      <c r="E151" s="30" t="s">
        <v>562</v>
      </c>
      <c r="F151" s="30">
        <v>145.43</v>
      </c>
      <c r="G151" s="30">
        <v>73.45</v>
      </c>
      <c r="H151" s="30">
        <v>29.58</v>
      </c>
      <c r="I151" s="30">
        <v>0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SUMMARY</vt:lpstr>
      <vt:lpstr>Report</vt:lpstr>
      <vt:lpstr>Notes</vt:lpstr>
      <vt:lpstr>FY07 PU</vt:lpstr>
      <vt:lpstr>Outputs</vt:lpstr>
      <vt:lpstr>Name1</vt:lpstr>
      <vt:lpstr>Name2</vt:lpstr>
      <vt:lpstr>Names</vt:lpstr>
      <vt:lpstr>Outputs</vt:lpstr>
      <vt:lpstr>Notes!Print_Area</vt:lpstr>
      <vt:lpstr>Report!Print_Area</vt:lpstr>
      <vt:lpstr>Report!Print_Titles</vt:lpstr>
      <vt:lpstr>Range1</vt:lpstr>
      <vt:lpstr>Range2</vt:lpstr>
      <vt:lpstr>Reset</vt:lpstr>
      <vt:lpstr>Snumber</vt:lpstr>
      <vt:lpstr>Start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BOBP</dc:creator>
  <cp:lastModifiedBy>Kostelecky, Teri</cp:lastModifiedBy>
  <cp:lastPrinted>2007-05-15T15:50:02Z</cp:lastPrinted>
  <dcterms:created xsi:type="dcterms:W3CDTF">2006-11-01T16:45:29Z</dcterms:created>
  <dcterms:modified xsi:type="dcterms:W3CDTF">2011-10-26T15:06:24Z</dcterms:modified>
</cp:coreProperties>
</file>