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 yWindow="-15" windowWidth="19245" windowHeight="6000" activeTab="1"/>
  </bookViews>
  <sheets>
    <sheet name="2009.10 resources" sheetId="2" r:id="rId1"/>
    <sheet name="2010.11 SUBSCRIPTIONS" sheetId="1" r:id="rId2"/>
    <sheet name="2010.1011 price quotes" sheetId="3" r:id="rId3"/>
  </sheets>
  <calcPr calcId="125725"/>
</workbook>
</file>

<file path=xl/calcChain.xml><?xml version="1.0" encoding="utf-8"?>
<calcChain xmlns="http://schemas.openxmlformats.org/spreadsheetml/2006/main">
  <c r="L157" i="1"/>
  <c r="L37" l="1"/>
  <c r="L166"/>
  <c r="L269"/>
  <c r="L247"/>
  <c r="L140" l="1"/>
  <c r="L139"/>
  <c r="F22" i="2"/>
  <c r="D156" i="1"/>
  <c r="L194"/>
  <c r="L281"/>
  <c r="J197"/>
  <c r="L197" s="1"/>
  <c r="L280" l="1"/>
  <c r="L174"/>
  <c r="L202"/>
  <c r="L201"/>
  <c r="E198" l="1"/>
  <c r="L235" l="1"/>
  <c r="J331" i="3"/>
  <c r="K329"/>
  <c r="K328"/>
  <c r="K327"/>
  <c r="K326"/>
  <c r="K325"/>
  <c r="K324"/>
  <c r="K323"/>
  <c r="K322"/>
  <c r="K321"/>
  <c r="K320"/>
  <c r="K319"/>
  <c r="K318"/>
  <c r="K317"/>
  <c r="K316"/>
  <c r="K315"/>
  <c r="K314"/>
  <c r="K313"/>
  <c r="K312"/>
  <c r="K311"/>
  <c r="K310"/>
  <c r="K309"/>
  <c r="K308"/>
  <c r="K307"/>
  <c r="K306"/>
  <c r="K305"/>
  <c r="K304"/>
  <c r="K303"/>
  <c r="K302"/>
  <c r="K301"/>
  <c r="K300"/>
  <c r="K299"/>
  <c r="K298"/>
  <c r="K297"/>
  <c r="K296"/>
  <c r="K295"/>
  <c r="K294"/>
  <c r="K293"/>
  <c r="K292"/>
  <c r="I291"/>
  <c r="H291"/>
  <c r="H331" s="1"/>
  <c r="G291"/>
  <c r="G331" s="1"/>
  <c r="F291"/>
  <c r="F331" s="1"/>
  <c r="E291"/>
  <c r="E331" s="1"/>
  <c r="D291"/>
  <c r="D331" s="1"/>
  <c r="B291"/>
  <c r="B331" s="1"/>
  <c r="K290"/>
  <c r="K289"/>
  <c r="K288"/>
  <c r="K287"/>
  <c r="K286"/>
  <c r="K285"/>
  <c r="K284"/>
  <c r="K283"/>
  <c r="K282"/>
  <c r="K281"/>
  <c r="K278"/>
  <c r="K277"/>
  <c r="K276"/>
  <c r="K275"/>
  <c r="K274"/>
  <c r="K273"/>
  <c r="K272"/>
  <c r="K271"/>
  <c r="K270"/>
  <c r="K269"/>
  <c r="K268"/>
  <c r="K267"/>
  <c r="K266"/>
  <c r="K265"/>
  <c r="K264"/>
  <c r="K263"/>
  <c r="K262"/>
  <c r="K261"/>
  <c r="K260"/>
  <c r="K259"/>
  <c r="K258"/>
  <c r="K257"/>
  <c r="K256"/>
  <c r="K255"/>
  <c r="K254"/>
  <c r="K253"/>
  <c r="K252"/>
  <c r="K251"/>
  <c r="K249"/>
  <c r="K248"/>
  <c r="K247"/>
  <c r="K246"/>
  <c r="K245"/>
  <c r="K244"/>
  <c r="K243"/>
  <c r="K242"/>
  <c r="K241"/>
  <c r="K240"/>
  <c r="K239"/>
  <c r="K238"/>
  <c r="K237"/>
  <c r="K236"/>
  <c r="I235"/>
  <c r="K235" s="1"/>
  <c r="K234"/>
  <c r="K233"/>
  <c r="K232"/>
  <c r="K231"/>
  <c r="K230"/>
  <c r="K229"/>
  <c r="K228"/>
  <c r="K227"/>
  <c r="K226"/>
  <c r="K225"/>
  <c r="K224"/>
  <c r="K223"/>
  <c r="K222"/>
  <c r="K221"/>
  <c r="K220"/>
  <c r="K219"/>
  <c r="K218"/>
  <c r="K217"/>
  <c r="K216"/>
  <c r="K213"/>
  <c r="K212"/>
  <c r="K211"/>
  <c r="K210"/>
  <c r="K209"/>
  <c r="K208"/>
  <c r="K207"/>
  <c r="K206"/>
  <c r="K205"/>
  <c r="K204"/>
  <c r="K203"/>
  <c r="K202"/>
  <c r="K201"/>
  <c r="K200"/>
  <c r="K199"/>
  <c r="K198"/>
  <c r="K197"/>
  <c r="K196"/>
  <c r="K195"/>
  <c r="K194"/>
  <c r="K193"/>
  <c r="K192"/>
  <c r="K191"/>
  <c r="K190"/>
  <c r="K189"/>
  <c r="K188"/>
  <c r="K187"/>
  <c r="K186"/>
  <c r="K185"/>
  <c r="K184"/>
  <c r="K183"/>
  <c r="K182"/>
  <c r="K181"/>
  <c r="K180"/>
  <c r="K179"/>
  <c r="K178"/>
  <c r="K177"/>
  <c r="K176"/>
  <c r="K175"/>
  <c r="K174"/>
  <c r="K173"/>
  <c r="K170"/>
  <c r="K169"/>
  <c r="K168"/>
  <c r="C167"/>
  <c r="C331" s="1"/>
  <c r="K166"/>
  <c r="K165"/>
  <c r="K164"/>
  <c r="K163"/>
  <c r="K162"/>
  <c r="K161"/>
  <c r="K160"/>
  <c r="K159"/>
  <c r="I158"/>
  <c r="I331" s="1"/>
  <c r="K157"/>
  <c r="K156"/>
  <c r="K155"/>
  <c r="K154"/>
  <c r="K153"/>
  <c r="K152"/>
  <c r="K151"/>
  <c r="K150"/>
  <c r="K149"/>
  <c r="K148"/>
  <c r="K146"/>
  <c r="K145"/>
  <c r="K144"/>
  <c r="K143"/>
  <c r="K142"/>
  <c r="K141"/>
  <c r="K140"/>
  <c r="K139"/>
  <c r="K138"/>
  <c r="K137"/>
  <c r="K136"/>
  <c r="K135"/>
  <c r="K134"/>
  <c r="K133"/>
  <c r="K130"/>
  <c r="K129"/>
  <c r="K128"/>
  <c r="K127"/>
  <c r="K126"/>
  <c r="K125"/>
  <c r="K124"/>
  <c r="K123"/>
  <c r="K122"/>
  <c r="K121"/>
  <c r="K120"/>
  <c r="K119"/>
  <c r="K118"/>
  <c r="K117"/>
  <c r="K116"/>
  <c r="K115"/>
  <c r="K114"/>
  <c r="K113"/>
  <c r="K112"/>
  <c r="K111"/>
  <c r="K110"/>
  <c r="K109"/>
  <c r="K108"/>
  <c r="K107"/>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5"/>
  <c r="K64"/>
  <c r="K63"/>
  <c r="K62"/>
  <c r="K61"/>
  <c r="K60"/>
  <c r="K59"/>
  <c r="K58"/>
  <c r="K57"/>
  <c r="K56"/>
  <c r="K55"/>
  <c r="K54"/>
  <c r="K53"/>
  <c r="K52"/>
  <c r="K51"/>
  <c r="K50"/>
  <c r="K49"/>
  <c r="K48"/>
  <c r="K47"/>
  <c r="K46"/>
  <c r="K45"/>
  <c r="K44"/>
  <c r="K43"/>
  <c r="K42"/>
  <c r="K41"/>
  <c r="K40"/>
  <c r="K39"/>
  <c r="K38"/>
  <c r="K37"/>
  <c r="K36"/>
  <c r="K33"/>
  <c r="K32"/>
  <c r="K31"/>
  <c r="K30"/>
  <c r="K29"/>
  <c r="K28"/>
  <c r="K27"/>
  <c r="K26"/>
  <c r="K25"/>
  <c r="K24"/>
  <c r="K23"/>
  <c r="K22"/>
  <c r="K21"/>
  <c r="K20"/>
  <c r="K19"/>
  <c r="K18"/>
  <c r="K17"/>
  <c r="K16"/>
  <c r="K15"/>
  <c r="K14"/>
  <c r="K13"/>
  <c r="K12"/>
  <c r="K11"/>
  <c r="K10"/>
  <c r="K9"/>
  <c r="K8"/>
  <c r="K7"/>
  <c r="K6"/>
  <c r="K5"/>
  <c r="C4"/>
  <c r="K4" s="1"/>
  <c r="K158" l="1"/>
  <c r="K167"/>
  <c r="K291"/>
  <c r="K331" l="1"/>
  <c r="L127" i="1" l="1"/>
  <c r="J147"/>
  <c r="C198"/>
  <c r="F198"/>
  <c r="G198"/>
  <c r="H198"/>
  <c r="I198"/>
  <c r="L238"/>
  <c r="L237"/>
  <c r="D4"/>
  <c r="L282"/>
  <c r="L279"/>
  <c r="L95" l="1"/>
  <c r="L75"/>
  <c r="L69"/>
  <c r="L72"/>
  <c r="L81"/>
  <c r="L74"/>
  <c r="L71"/>
  <c r="L149"/>
  <c r="D312"/>
  <c r="L23"/>
  <c r="L86"/>
  <c r="L113"/>
  <c r="L141"/>
  <c r="L136"/>
  <c r="L147"/>
  <c r="L271"/>
  <c r="L253"/>
  <c r="L248"/>
  <c r="L236"/>
  <c r="L11"/>
  <c r="L5"/>
  <c r="L12"/>
  <c r="L15"/>
  <c r="L10"/>
  <c r="L9"/>
  <c r="L8"/>
  <c r="L7"/>
  <c r="L6"/>
  <c r="L4"/>
  <c r="J198"/>
  <c r="J312" s="1"/>
  <c r="L129"/>
  <c r="K312"/>
  <c r="I312"/>
  <c r="H312"/>
  <c r="F312"/>
  <c r="E312"/>
  <c r="C312"/>
  <c r="L13"/>
  <c r="L14"/>
  <c r="L16"/>
  <c r="L17"/>
  <c r="L18"/>
  <c r="L19"/>
  <c r="L20"/>
  <c r="L21"/>
  <c r="L22"/>
  <c r="L24"/>
  <c r="L25"/>
  <c r="L26"/>
  <c r="L27"/>
  <c r="L28"/>
  <c r="L29"/>
  <c r="L30"/>
  <c r="L31"/>
  <c r="L32"/>
  <c r="L35"/>
  <c r="L36"/>
  <c r="L38"/>
  <c r="L39"/>
  <c r="L40"/>
  <c r="L41"/>
  <c r="L42"/>
  <c r="L43"/>
  <c r="L44"/>
  <c r="L45"/>
  <c r="L193"/>
  <c r="L46"/>
  <c r="L47"/>
  <c r="L48"/>
  <c r="L49"/>
  <c r="L50"/>
  <c r="L51"/>
  <c r="L195"/>
  <c r="L52"/>
  <c r="L53"/>
  <c r="L54"/>
  <c r="L55"/>
  <c r="L56"/>
  <c r="L57"/>
  <c r="L58"/>
  <c r="L209"/>
  <c r="L210"/>
  <c r="L211"/>
  <c r="L212"/>
  <c r="L213"/>
  <c r="L214"/>
  <c r="L215"/>
  <c r="L216"/>
  <c r="L217"/>
  <c r="L218"/>
  <c r="L219"/>
  <c r="L220"/>
  <c r="L221"/>
  <c r="L222"/>
  <c r="L223"/>
  <c r="L224"/>
  <c r="L225"/>
  <c r="L226"/>
  <c r="L227"/>
  <c r="L228"/>
  <c r="L229"/>
  <c r="L59"/>
  <c r="L60"/>
  <c r="L61"/>
  <c r="L63"/>
  <c r="L66"/>
  <c r="L67"/>
  <c r="L68"/>
  <c r="L70"/>
  <c r="L73"/>
  <c r="L76"/>
  <c r="L77"/>
  <c r="L78"/>
  <c r="L79"/>
  <c r="L80"/>
  <c r="L82"/>
  <c r="L83"/>
  <c r="L84"/>
  <c r="L85"/>
  <c r="L87"/>
  <c r="L88"/>
  <c r="L89"/>
  <c r="L90"/>
  <c r="L91"/>
  <c r="L92"/>
  <c r="L93"/>
  <c r="L94"/>
  <c r="L96"/>
  <c r="L97"/>
  <c r="L98"/>
  <c r="L99"/>
  <c r="L100"/>
  <c r="L101"/>
  <c r="L102"/>
  <c r="L103"/>
  <c r="L104"/>
  <c r="L105"/>
  <c r="L106"/>
  <c r="L107"/>
  <c r="L108"/>
  <c r="L109"/>
  <c r="L110"/>
  <c r="L111"/>
  <c r="L112"/>
  <c r="L114"/>
  <c r="L115"/>
  <c r="L116"/>
  <c r="L117"/>
  <c r="L118"/>
  <c r="L121"/>
  <c r="L122"/>
  <c r="L123"/>
  <c r="L124"/>
  <c r="L125"/>
  <c r="L126"/>
  <c r="L128"/>
  <c r="L130"/>
  <c r="L131"/>
  <c r="L132"/>
  <c r="L133"/>
  <c r="L135"/>
  <c r="L137"/>
  <c r="L138"/>
  <c r="L142"/>
  <c r="L143"/>
  <c r="L144"/>
  <c r="L145"/>
  <c r="L146"/>
  <c r="L148"/>
  <c r="L150"/>
  <c r="L151"/>
  <c r="L152"/>
  <c r="L153"/>
  <c r="L154"/>
  <c r="L155"/>
  <c r="L158"/>
  <c r="L159"/>
  <c r="L162"/>
  <c r="L243"/>
  <c r="L185"/>
  <c r="L186"/>
  <c r="L187"/>
  <c r="L188"/>
  <c r="L189"/>
  <c r="L190"/>
  <c r="L191"/>
  <c r="L192"/>
  <c r="L163"/>
  <c r="L164"/>
  <c r="L165"/>
  <c r="L167"/>
  <c r="L168"/>
  <c r="L169"/>
  <c r="L170"/>
  <c r="L171"/>
  <c r="L172"/>
  <c r="L173"/>
  <c r="L178"/>
  <c r="L175"/>
  <c r="L176"/>
  <c r="L177"/>
  <c r="L180"/>
  <c r="L181"/>
  <c r="L179"/>
  <c r="L182"/>
  <c r="L183"/>
  <c r="L184"/>
  <c r="L278"/>
  <c r="L199"/>
  <c r="L200"/>
  <c r="L203"/>
  <c r="L204"/>
  <c r="L196"/>
  <c r="L207"/>
  <c r="L208"/>
  <c r="L230"/>
  <c r="L231"/>
  <c r="L232"/>
  <c r="L233"/>
  <c r="L234"/>
  <c r="L240"/>
  <c r="L241"/>
  <c r="L242"/>
  <c r="L244"/>
  <c r="L245"/>
  <c r="L246"/>
  <c r="L249"/>
  <c r="L250"/>
  <c r="L251"/>
  <c r="L252"/>
  <c r="L254"/>
  <c r="L255"/>
  <c r="L256"/>
  <c r="L257"/>
  <c r="L258"/>
  <c r="L259"/>
  <c r="L260"/>
  <c r="L283"/>
  <c r="L261"/>
  <c r="L262"/>
  <c r="L263"/>
  <c r="L264"/>
  <c r="L267"/>
  <c r="L268"/>
  <c r="L270"/>
  <c r="L272"/>
  <c r="L273"/>
  <c r="L274"/>
  <c r="L275"/>
  <c r="L276"/>
  <c r="L277"/>
  <c r="L198"/>
  <c r="L284"/>
  <c r="L285"/>
  <c r="L286"/>
  <c r="L288"/>
  <c r="L289"/>
  <c r="L290"/>
  <c r="L291"/>
  <c r="L292"/>
  <c r="L293"/>
  <c r="L294"/>
  <c r="L295"/>
  <c r="L296"/>
  <c r="L297"/>
  <c r="L298"/>
  <c r="L299"/>
  <c r="L300"/>
  <c r="L301"/>
  <c r="L302"/>
  <c r="L303"/>
  <c r="L304"/>
  <c r="L305"/>
  <c r="L306"/>
  <c r="L307"/>
  <c r="L308"/>
  <c r="L309"/>
  <c r="L310"/>
  <c r="K4" i="2"/>
  <c r="K5"/>
  <c r="K6"/>
  <c r="K7"/>
  <c r="K8"/>
  <c r="K9"/>
  <c r="K10"/>
  <c r="K11"/>
  <c r="K12"/>
  <c r="K13"/>
  <c r="K14"/>
  <c r="K15"/>
  <c r="K16"/>
  <c r="K17"/>
  <c r="K18"/>
  <c r="K19"/>
  <c r="K20"/>
  <c r="K21"/>
  <c r="K22"/>
  <c r="K23"/>
  <c r="K24"/>
  <c r="K25"/>
  <c r="K26"/>
  <c r="K27"/>
  <c r="K28"/>
  <c r="K29"/>
  <c r="K30"/>
  <c r="K31"/>
  <c r="K32"/>
  <c r="K33"/>
  <c r="K34"/>
  <c r="K35"/>
  <c r="K36"/>
  <c r="K37"/>
  <c r="K38"/>
  <c r="K39"/>
  <c r="K40"/>
  <c r="K41"/>
  <c r="K42"/>
  <c r="K43"/>
  <c r="K44"/>
  <c r="K45"/>
  <c r="K46"/>
  <c r="K47"/>
  <c r="K48"/>
  <c r="K49"/>
  <c r="K50"/>
  <c r="K51"/>
  <c r="K52"/>
  <c r="K53"/>
  <c r="K56"/>
  <c r="K57"/>
  <c r="K58"/>
  <c r="K59"/>
  <c r="K60"/>
  <c r="K61"/>
  <c r="K62"/>
  <c r="K63"/>
  <c r="K64"/>
  <c r="K65"/>
  <c r="K66"/>
  <c r="K67"/>
  <c r="K68"/>
  <c r="K69"/>
  <c r="K70"/>
  <c r="K71"/>
  <c r="K72"/>
  <c r="K73"/>
  <c r="K74"/>
  <c r="K75"/>
  <c r="K76"/>
  <c r="K77"/>
  <c r="K78"/>
  <c r="K79"/>
  <c r="K80"/>
  <c r="K81"/>
  <c r="K82"/>
  <c r="K83"/>
  <c r="K84"/>
  <c r="K85"/>
  <c r="K86"/>
  <c r="K87"/>
  <c r="K88"/>
  <c r="K89"/>
  <c r="K90"/>
  <c r="K91"/>
  <c r="K92"/>
  <c r="K93"/>
  <c r="K94"/>
  <c r="K95"/>
  <c r="K96"/>
  <c r="K97"/>
  <c r="K98"/>
  <c r="K99"/>
  <c r="K100"/>
  <c r="K101"/>
  <c r="K102"/>
  <c r="K103"/>
  <c r="K105"/>
  <c r="K106"/>
  <c r="K107"/>
  <c r="K108"/>
  <c r="K109"/>
  <c r="K110"/>
  <c r="K113"/>
  <c r="K114"/>
  <c r="K115"/>
  <c r="K116"/>
  <c r="K117"/>
  <c r="K118"/>
  <c r="K119"/>
  <c r="K120"/>
  <c r="K121"/>
  <c r="K122"/>
  <c r="K123"/>
  <c r="K124"/>
  <c r="K125"/>
  <c r="K126"/>
  <c r="K127"/>
  <c r="K128"/>
  <c r="K129"/>
  <c r="K130"/>
  <c r="K131"/>
  <c r="K132"/>
  <c r="K133"/>
  <c r="K134"/>
  <c r="K135"/>
  <c r="K136"/>
  <c r="K137"/>
  <c r="K139"/>
  <c r="K140"/>
  <c r="K141"/>
  <c r="K142"/>
  <c r="K143"/>
  <c r="K144"/>
  <c r="K145"/>
  <c r="K146"/>
  <c r="K147"/>
  <c r="K148"/>
  <c r="K149"/>
  <c r="K150"/>
  <c r="K151"/>
  <c r="K152"/>
  <c r="K153"/>
  <c r="K154"/>
  <c r="K155"/>
  <c r="K156"/>
  <c r="K157"/>
  <c r="K158"/>
  <c r="K159"/>
  <c r="K160"/>
  <c r="K161"/>
  <c r="K162"/>
  <c r="K163"/>
  <c r="K164"/>
  <c r="K165"/>
  <c r="K168"/>
  <c r="K169"/>
  <c r="K170"/>
  <c r="K171"/>
  <c r="K172"/>
  <c r="K173"/>
  <c r="K174"/>
  <c r="K175"/>
  <c r="K176"/>
  <c r="K177"/>
  <c r="K178"/>
  <c r="K179"/>
  <c r="K180"/>
  <c r="K181"/>
  <c r="K182"/>
  <c r="K183"/>
  <c r="K184"/>
  <c r="K185"/>
  <c r="K186"/>
  <c r="K187"/>
  <c r="K188"/>
  <c r="K189"/>
  <c r="K190"/>
  <c r="K191"/>
  <c r="K192"/>
  <c r="K193"/>
  <c r="K194"/>
  <c r="K195"/>
  <c r="K196"/>
  <c r="K197"/>
  <c r="K198"/>
  <c r="K199"/>
  <c r="K200"/>
  <c r="K201"/>
  <c r="K202"/>
  <c r="K203"/>
  <c r="K204"/>
  <c r="K205"/>
  <c r="K206"/>
  <c r="K207"/>
  <c r="K208"/>
  <c r="K209"/>
  <c r="K210"/>
  <c r="K211"/>
  <c r="K212"/>
  <c r="K213"/>
  <c r="K214"/>
  <c r="K215"/>
  <c r="K216"/>
  <c r="K217"/>
  <c r="K218"/>
  <c r="K219"/>
  <c r="K220"/>
  <c r="K221"/>
  <c r="K222"/>
  <c r="K225"/>
  <c r="K226"/>
  <c r="K227"/>
  <c r="K228"/>
  <c r="K229"/>
  <c r="K230"/>
  <c r="K231"/>
  <c r="K232"/>
  <c r="K233"/>
  <c r="K234"/>
  <c r="K235"/>
  <c r="K236"/>
  <c r="K237"/>
  <c r="K238"/>
  <c r="K239"/>
  <c r="K240"/>
  <c r="K241"/>
  <c r="K242"/>
  <c r="K243"/>
  <c r="K244"/>
  <c r="K245"/>
  <c r="K246"/>
  <c r="K247"/>
  <c r="K248"/>
  <c r="K249"/>
  <c r="K250"/>
  <c r="K251"/>
  <c r="K252"/>
  <c r="K253"/>
  <c r="K254"/>
  <c r="K255"/>
  <c r="K256"/>
  <c r="K257"/>
  <c r="K258"/>
  <c r="K259"/>
  <c r="K260"/>
  <c r="K261"/>
  <c r="K262"/>
  <c r="K263"/>
  <c r="K264"/>
  <c r="K265"/>
  <c r="K266"/>
  <c r="K267"/>
  <c r="K268"/>
  <c r="K269"/>
  <c r="K270"/>
  <c r="K271"/>
  <c r="K272"/>
  <c r="K273"/>
  <c r="K275"/>
  <c r="K277"/>
  <c r="K278"/>
  <c r="K279"/>
  <c r="B280"/>
  <c r="C280"/>
  <c r="D280"/>
  <c r="E280"/>
  <c r="F280"/>
  <c r="G280"/>
  <c r="H280"/>
  <c r="I280"/>
  <c r="J280"/>
  <c r="G312" i="1"/>
  <c r="K280" i="2" l="1"/>
  <c r="L156" i="1"/>
  <c r="L312" s="1"/>
</calcChain>
</file>

<file path=xl/comments1.xml><?xml version="1.0" encoding="utf-8"?>
<comments xmlns="http://schemas.openxmlformats.org/spreadsheetml/2006/main">
  <authors>
    <author xml:space="preserve"> User</author>
    <author>Janice Schuster</author>
    <author>Information Services</author>
    <author>sreynolds</author>
    <author>ljlarson</author>
    <author>ProQuest</author>
    <author>Bob Aspri</author>
    <author>Amy Thurlow</author>
    <author>Staff</author>
    <author>Rhode Island College</author>
    <author>Maria Brady</author>
    <author>agulbankian</author>
    <author>Armine Gulbankian</author>
    <author>Mary Moroney</author>
    <author>Roger Williams University</author>
    <author>mrs</author>
  </authors>
  <commentList>
    <comment ref="D3" authorId="0">
      <text>
        <r>
          <rPr>
            <b/>
            <sz val="11"/>
            <color indexed="81"/>
            <rFont val="Tahoma"/>
            <family val="2"/>
          </rPr>
          <t>Total for all campuses = 15,504
Providence = 9796
Charlotte, NC = 2403
Denver, CO = 1,427
N. Miami, FL = 1,879</t>
        </r>
      </text>
    </comment>
    <comment ref="G3" authorId="0">
      <text>
        <r>
          <rPr>
            <sz val="11"/>
            <color indexed="81"/>
            <rFont val="Tahoma"/>
            <family val="2"/>
          </rPr>
          <t>3962 undergrad
140 grad</t>
        </r>
        <r>
          <rPr>
            <sz val="8"/>
            <color indexed="81"/>
            <rFont val="Tahoma"/>
            <family val="2"/>
          </rPr>
          <t xml:space="preserve">
</t>
        </r>
      </text>
    </comment>
    <comment ref="A4" authorId="0">
      <text>
        <r>
          <rPr>
            <b/>
            <sz val="11"/>
            <color indexed="81"/>
            <rFont val="Tahoma"/>
            <family val="2"/>
          </rPr>
          <t>Pricing based on no. of simult. Users
Includes 10% HELIN discount</t>
        </r>
      </text>
    </comment>
    <comment ref="E4" authorId="0">
      <text>
        <r>
          <rPr>
            <sz val="11"/>
            <color indexed="81"/>
            <rFont val="Tahoma"/>
            <family val="2"/>
          </rPr>
          <t>3 simul. users</t>
        </r>
      </text>
    </comment>
    <comment ref="F4" authorId="0">
      <text>
        <r>
          <rPr>
            <sz val="11"/>
            <color indexed="81"/>
            <rFont val="Tahoma"/>
            <family val="2"/>
          </rPr>
          <t>3 simul. users</t>
        </r>
      </text>
    </comment>
    <comment ref="A5" authorId="0">
      <text>
        <r>
          <rPr>
            <b/>
            <sz val="11"/>
            <color indexed="81"/>
            <rFont val="Tahoma"/>
            <family val="2"/>
          </rPr>
          <t>Includes 10% HELIN discount</t>
        </r>
      </text>
    </comment>
    <comment ref="B5" authorId="0">
      <text>
        <r>
          <rPr>
            <sz val="11"/>
            <color indexed="81"/>
            <rFont val="Tahoma"/>
            <family val="2"/>
          </rPr>
          <t>Change to 3 simul. users
quote for 5 simul. Users was $1495</t>
        </r>
      </text>
    </comment>
    <comment ref="A6" authorId="0">
      <text>
        <r>
          <rPr>
            <b/>
            <sz val="11"/>
            <color indexed="81"/>
            <rFont val="Tahoma"/>
            <family val="2"/>
          </rPr>
          <t>Pricing based on no. of simult. Users
Includes 10% HELIN discount</t>
        </r>
      </text>
    </comment>
    <comment ref="G6" authorId="0">
      <text>
        <r>
          <rPr>
            <b/>
            <sz val="11"/>
            <color indexed="81"/>
            <rFont val="Tahoma"/>
            <family val="2"/>
          </rPr>
          <t>3 similt. users</t>
        </r>
      </text>
    </comment>
    <comment ref="A7" authorId="0">
      <text>
        <r>
          <rPr>
            <b/>
            <sz val="11"/>
            <color indexed="81"/>
            <rFont val="Tahoma"/>
            <family val="2"/>
          </rPr>
          <t>Per Alex.St.Press:
unlimited users/access to the following 6 databases:
Classical Music Library, Smithsonian Global Sound, African American Music, American Song, Contemporary World Music and Jazz Music Library all with one cross-searchable interface.</t>
        </r>
      </text>
    </comment>
    <comment ref="A8" authorId="0">
      <text>
        <r>
          <rPr>
            <b/>
            <sz val="11"/>
            <color indexed="81"/>
            <rFont val="Tahoma"/>
            <family val="2"/>
          </rPr>
          <t>Unlim. Users ; pricing based on FTE 
Includes 10% HELIN discount</t>
        </r>
      </text>
    </comment>
    <comment ref="A9" authorId="0">
      <text>
        <r>
          <rPr>
            <b/>
            <sz val="11"/>
            <color indexed="81"/>
            <rFont val="Tahoma"/>
            <family val="2"/>
          </rPr>
          <t>Pricing based on no. of simult. users
Includes 10% HELIN discount</t>
        </r>
      </text>
    </comment>
    <comment ref="G9" authorId="0">
      <text>
        <r>
          <rPr>
            <b/>
            <sz val="11"/>
            <color indexed="81"/>
            <rFont val="Tahoma"/>
            <family val="2"/>
          </rPr>
          <t>5 simult. Users - RWU purchased this database outright - this is just the annual access fee</t>
        </r>
      </text>
    </comment>
    <comment ref="H9" authorId="0">
      <text>
        <r>
          <rPr>
            <b/>
            <sz val="11"/>
            <color indexed="81"/>
            <rFont val="Tahoma"/>
            <family val="2"/>
          </rPr>
          <t>4 simult. users</t>
        </r>
      </text>
    </comment>
    <comment ref="A10" authorId="0">
      <text>
        <r>
          <rPr>
            <b/>
            <sz val="11"/>
            <color indexed="81"/>
            <rFont val="Tahoma"/>
            <family val="2"/>
          </rPr>
          <t>Pricing based on no. of simult. Users
Includes 10% HELIN discount</t>
        </r>
      </text>
    </comment>
    <comment ref="G10" authorId="0">
      <text>
        <r>
          <rPr>
            <b/>
            <sz val="11"/>
            <color indexed="81"/>
            <rFont val="Tahoma"/>
            <family val="2"/>
          </rPr>
          <t>5 simul.users</t>
        </r>
      </text>
    </comment>
    <comment ref="H10" authorId="0">
      <text>
        <r>
          <rPr>
            <b/>
            <sz val="11"/>
            <color indexed="81"/>
            <rFont val="Tahoma"/>
            <family val="2"/>
          </rPr>
          <t>4 simult. users</t>
        </r>
      </text>
    </comment>
    <comment ref="A11" authorId="0">
      <text>
        <r>
          <rPr>
            <b/>
            <sz val="11"/>
            <color indexed="81"/>
            <rFont val="Tahoma"/>
            <family val="2"/>
          </rPr>
          <t>Scholar's ed.
Includes 10% HELIN discount</t>
        </r>
      </text>
    </comment>
    <comment ref="A12" authorId="0">
      <text>
        <r>
          <rPr>
            <b/>
            <sz val="11"/>
            <color indexed="81"/>
            <rFont val="Tahoma"/>
            <family val="2"/>
          </rPr>
          <t>All titles online</t>
        </r>
      </text>
    </comment>
    <comment ref="A13" authorId="0">
      <text>
        <r>
          <rPr>
            <b/>
            <sz val="11"/>
            <color indexed="81"/>
            <rFont val="Tahoma"/>
            <family val="2"/>
          </rPr>
          <t>Jason Brown (ACS):
Anticipated ACS 2010 amounts with 5% increase.
May be less but not likely to be more</t>
        </r>
      </text>
    </comment>
    <comment ref="E13" authorId="1">
      <text>
        <r>
          <rPr>
            <b/>
            <sz val="12"/>
            <color indexed="81"/>
            <rFont val="Tahoma"/>
            <family val="2"/>
          </rPr>
          <t>Web ed.: $38944.1
Legacy archives:  $3402.63</t>
        </r>
      </text>
    </comment>
    <comment ref="A15" authorId="0">
      <text>
        <r>
          <rPr>
            <b/>
            <sz val="11"/>
            <color indexed="81"/>
            <rFont val="Tahoma"/>
            <family val="2"/>
          </rPr>
          <t>AIP is billing agent for Inst. Of Physics</t>
        </r>
      </text>
    </comment>
    <comment ref="C16" authorId="0">
      <text>
        <r>
          <rPr>
            <b/>
            <sz val="11"/>
            <color indexed="81"/>
            <rFont val="Tahoma"/>
            <family val="2"/>
          </rPr>
          <t>1 user</t>
        </r>
      </text>
    </comment>
    <comment ref="E16" authorId="0">
      <text>
        <r>
          <rPr>
            <b/>
            <sz val="11"/>
            <color indexed="81"/>
            <rFont val="Tahoma"/>
            <family val="2"/>
          </rPr>
          <t>2 simult. users</t>
        </r>
      </text>
    </comment>
    <comment ref="F16" authorId="0">
      <text>
        <r>
          <rPr>
            <b/>
            <sz val="11"/>
            <color indexed="81"/>
            <rFont val="Tahoma"/>
            <family val="2"/>
          </rPr>
          <t>1 user
Prorated for Sept. 09 through June 10</t>
        </r>
      </text>
    </comment>
    <comment ref="G16" authorId="0">
      <text>
        <r>
          <rPr>
            <b/>
            <sz val="11"/>
            <color indexed="81"/>
            <rFont val="Tahoma"/>
            <family val="2"/>
          </rPr>
          <t>1 user</t>
        </r>
      </text>
    </comment>
    <comment ref="I16" authorId="0">
      <text>
        <r>
          <rPr>
            <b/>
            <sz val="11"/>
            <color indexed="81"/>
            <rFont val="Tahoma"/>
            <family val="2"/>
          </rPr>
          <t>3 simult. users</t>
        </r>
      </text>
    </comment>
    <comment ref="A17" authorId="0">
      <text>
        <r>
          <rPr>
            <b/>
            <sz val="11"/>
            <color indexed="81"/>
            <rFont val="Tahoma"/>
            <family val="2"/>
          </rPr>
          <t>10% discount to HELIN members</t>
        </r>
      </text>
    </comment>
    <comment ref="I17" authorId="0">
      <text>
        <r>
          <rPr>
            <b/>
            <sz val="10"/>
            <color indexed="81"/>
            <rFont val="Tahoma"/>
            <family val="2"/>
          </rPr>
          <t>orig. cost $1375
listed cost includes 10% consortium discount</t>
        </r>
      </text>
    </comment>
    <comment ref="A19" authorId="0">
      <text>
        <r>
          <rPr>
            <sz val="11"/>
            <color indexed="81"/>
            <rFont val="Tahoma"/>
            <family val="2"/>
          </rPr>
          <t>Inc. all 30 journals</t>
        </r>
      </text>
    </comment>
    <comment ref="A20" authorId="0">
      <text>
        <r>
          <rPr>
            <sz val="11"/>
            <color indexed="81"/>
            <rFont val="Tahoma"/>
            <family val="2"/>
          </rPr>
          <t>Inc. all 30 journals</t>
        </r>
      </text>
    </comment>
    <comment ref="A22" authorId="0">
      <text>
        <r>
          <rPr>
            <b/>
            <sz val="11"/>
            <color indexed="81"/>
            <rFont val="Tahoma"/>
            <family val="2"/>
          </rPr>
          <t>Per vendor:
3-4% increase in 2010
Board decides in June/July</t>
        </r>
      </text>
    </comment>
    <comment ref="F22" authorId="0">
      <text>
        <r>
          <rPr>
            <b/>
            <sz val="11"/>
            <color indexed="81"/>
            <rFont val="Tahoma"/>
            <family val="2"/>
          </rPr>
          <t xml:space="preserve">RIC paying capital fee ($19,550) directly 
$4400 (50% of 2009 annual access fee)
+$9020 (2010 annual fee)
</t>
        </r>
      </text>
    </comment>
    <comment ref="I23" authorId="0">
      <text>
        <r>
          <rPr>
            <b/>
            <sz val="11"/>
            <color indexed="81"/>
            <rFont val="Tahoma"/>
            <family val="2"/>
          </rPr>
          <t>Client No. X122549
Amt. is their membership dues</t>
        </r>
      </text>
    </comment>
    <comment ref="I25" authorId="0">
      <text>
        <r>
          <rPr>
            <b/>
            <sz val="11"/>
            <color indexed="81"/>
            <rFont val="Tahoma"/>
            <family val="2"/>
          </rPr>
          <t>Send separate bill to the Educ. Dept</t>
        </r>
      </text>
    </comment>
    <comment ref="A26" authorId="0">
      <text>
        <r>
          <rPr>
            <b/>
            <sz val="11"/>
            <color indexed="81"/>
            <rFont val="Tahoma"/>
            <family val="2"/>
          </rPr>
          <t>All pricing includes 10% consortium discount</t>
        </r>
      </text>
    </comment>
    <comment ref="A27" authorId="0">
      <text>
        <r>
          <rPr>
            <b/>
            <sz val="11"/>
            <color indexed="81"/>
            <rFont val="Tahoma"/>
            <family val="2"/>
          </rPr>
          <t>All pricing includes 10% consortium discount</t>
        </r>
      </text>
    </comment>
    <comment ref="A28" authorId="0">
      <text>
        <r>
          <rPr>
            <b/>
            <sz val="11"/>
            <color indexed="81"/>
            <rFont val="Tahoma"/>
            <family val="2"/>
          </rPr>
          <t>per vendor:
$1516 for July-Dec. 2009
$1516  plus no more than 7% increase for 2010</t>
        </r>
      </text>
    </comment>
    <comment ref="B28" authorId="0">
      <text>
        <r>
          <rPr>
            <b/>
            <sz val="11"/>
            <color indexed="81"/>
            <rFont val="Tahoma"/>
            <family val="2"/>
          </rPr>
          <t>$994.75 for July-Dec. 2009
$1,143.96 for 2010
will increase 15% annually until list price is reached</t>
        </r>
      </text>
    </comment>
    <comment ref="F28" authorId="0">
      <text>
        <r>
          <rPr>
            <b/>
            <sz val="11"/>
            <color indexed="81"/>
            <rFont val="Tahoma"/>
            <family val="2"/>
          </rPr>
          <t>per vendor:
$1516 for July-Dec. 2009
$1516 plus no more than 7% increase for 2010</t>
        </r>
      </text>
    </comment>
    <comment ref="I28" authorId="0">
      <text>
        <r>
          <rPr>
            <b/>
            <sz val="11"/>
            <color indexed="81"/>
            <rFont val="Tahoma"/>
            <family val="2"/>
          </rPr>
          <t>per vendor:
$1516 for July-dec. 2009
$1516 w/ no more than 7% increase for 2010</t>
        </r>
      </text>
    </comment>
    <comment ref="A29" authorId="0">
      <text>
        <r>
          <rPr>
            <b/>
            <sz val="11"/>
            <color indexed="81"/>
            <rFont val="Tahoma"/>
            <family val="2"/>
          </rPr>
          <t>per vendor:
$1516 for July-Dec. 2009
$1516  plus no more than 7% increase for 2010</t>
        </r>
      </text>
    </comment>
    <comment ref="B29" authorId="0">
      <text>
        <r>
          <rPr>
            <b/>
            <sz val="11"/>
            <color indexed="81"/>
            <rFont val="Tahoma"/>
            <family val="2"/>
          </rPr>
          <t>$994.75 for July-Dec. 2010
$1,143.96 for 2010
will increase 15% annually until list price is reached</t>
        </r>
      </text>
    </comment>
    <comment ref="F29" authorId="0">
      <text>
        <r>
          <rPr>
            <b/>
            <sz val="11"/>
            <color indexed="81"/>
            <rFont val="Tahoma"/>
            <family val="2"/>
          </rPr>
          <t>per vendor:
$1516 for July-Dec. 2009
$1516 plus no more than 7% increase for 2010</t>
        </r>
      </text>
    </comment>
    <comment ref="I29" authorId="0">
      <text>
        <r>
          <rPr>
            <b/>
            <sz val="11"/>
            <color indexed="81"/>
            <rFont val="Tahoma"/>
            <family val="2"/>
          </rPr>
          <t>per vendor:
$1516 for July-dec. 2009
$1516 w/ no more than 7% increase for 2010</t>
        </r>
      </text>
    </comment>
    <comment ref="A32" authorId="0">
      <text>
        <r>
          <rPr>
            <b/>
            <sz val="11"/>
            <color indexed="81"/>
            <rFont val="Tahoma"/>
            <family val="2"/>
          </rPr>
          <t xml:space="preserve">List price for annual subscription with unlim. simul. users -- what libraries will pay if fewer than 5 subscribe.  
</t>
        </r>
      </text>
    </comment>
    <comment ref="E33" authorId="0">
      <text>
        <r>
          <rPr>
            <b/>
            <sz val="11"/>
            <color indexed="81"/>
            <rFont val="Tahoma"/>
            <family val="2"/>
          </rPr>
          <t>price estimate given as 1390 euros
Used Yahoo converter 4/9/09</t>
        </r>
      </text>
    </comment>
    <comment ref="I34" authorId="0">
      <text>
        <r>
          <rPr>
            <b/>
            <sz val="11"/>
            <color indexed="81"/>
            <rFont val="Tahoma"/>
            <family val="2"/>
          </rPr>
          <t>Need 2010 price
With NERL fee:</t>
        </r>
      </text>
    </comment>
    <comment ref="E35" authorId="0">
      <text>
        <r>
          <rPr>
            <b/>
            <sz val="11"/>
            <color indexed="81"/>
            <rFont val="Tahoma"/>
            <family val="2"/>
          </rPr>
          <t>3-year renewal
7/1/08-6/30/11
CANCEL when expires</t>
        </r>
      </text>
    </comment>
    <comment ref="B36" authorId="2">
      <text>
        <r>
          <rPr>
            <sz val="11"/>
            <color indexed="81"/>
            <rFont val="Tahoma"/>
            <family val="2"/>
          </rPr>
          <t>Direct</t>
        </r>
        <r>
          <rPr>
            <sz val="8"/>
            <color indexed="81"/>
            <rFont val="Tahoma"/>
            <family val="2"/>
          </rPr>
          <t xml:space="preserve">
</t>
        </r>
      </text>
    </comment>
    <comment ref="E36" authorId="1">
      <text>
        <r>
          <rPr>
            <b/>
            <sz val="12"/>
            <color indexed="81"/>
            <rFont val="Arial"/>
            <family val="2"/>
          </rPr>
          <t xml:space="preserve">Business set $816.00
Educational set $449.95
</t>
        </r>
      </text>
    </comment>
    <comment ref="E37" authorId="0">
      <text>
        <r>
          <rPr>
            <b/>
            <sz val="11"/>
            <color indexed="81"/>
            <rFont val="Tahoma"/>
            <family val="2"/>
          </rPr>
          <t xml:space="preserve">Purchased May 07
Access fee only
</t>
        </r>
      </text>
    </comment>
    <comment ref="F37" authorId="0">
      <text>
        <r>
          <rPr>
            <b/>
            <sz val="11"/>
            <color indexed="81"/>
            <rFont val="Tahoma"/>
            <family val="2"/>
          </rPr>
          <t>Purchased in 06 ; access fee only</t>
        </r>
      </text>
    </comment>
    <comment ref="G37" authorId="0">
      <text>
        <r>
          <rPr>
            <b/>
            <sz val="11"/>
            <color indexed="81"/>
            <rFont val="Tahoma"/>
            <family val="2"/>
          </rPr>
          <t>Purchased July 06
Access fee only</t>
        </r>
      </text>
    </comment>
    <comment ref="I38" authorId="0">
      <text>
        <r>
          <rPr>
            <b/>
            <sz val="11"/>
            <color indexed="81"/>
            <rFont val="Tahoma"/>
            <family val="2"/>
          </rPr>
          <t>2009 cost listed
URI will get worksheet in Sept. for 2010 calculation</t>
        </r>
      </text>
    </comment>
    <comment ref="E40" authorId="0">
      <text>
        <r>
          <rPr>
            <b/>
            <sz val="11"/>
            <color indexed="81"/>
            <rFont val="Tahoma"/>
            <family val="2"/>
          </rPr>
          <t xml:space="preserve">Renews 9/1/08
6 schools (not HELIN) share 3 concurrent users
</t>
        </r>
      </text>
    </comment>
    <comment ref="I40" authorId="0">
      <text>
        <r>
          <rPr>
            <b/>
            <sz val="11"/>
            <color indexed="81"/>
            <rFont val="Tahoma"/>
            <family val="2"/>
          </rPr>
          <t>Sub. Period = 9/09 - 8/10
Inc. $160 NERL fee
1 seat w/o SSM</t>
        </r>
      </text>
    </comment>
    <comment ref="I41" authorId="0">
      <text>
        <r>
          <rPr>
            <b/>
            <sz val="11"/>
            <color indexed="81"/>
            <rFont val="Tahoma"/>
            <family val="2"/>
          </rPr>
          <t>NERL fee of:</t>
        </r>
      </text>
    </comment>
    <comment ref="A42" authorId="0">
      <text>
        <r>
          <rPr>
            <b/>
            <sz val="11"/>
            <color indexed="81"/>
            <rFont val="Tahoma"/>
            <family val="2"/>
          </rPr>
          <t>3 year discounted price in comments</t>
        </r>
      </text>
    </comment>
    <comment ref="C42" authorId="0">
      <text>
        <r>
          <rPr>
            <b/>
            <sz val="11"/>
            <color indexed="81"/>
            <rFont val="Tahoma"/>
            <family val="2"/>
          </rPr>
          <t>Cost if commit to 3 years: $649.71 per year
(09/10, 10/11, 11/12)
CCRI will buy for 3 years. dwh</t>
        </r>
      </text>
    </comment>
    <comment ref="A43" authorId="0">
      <text>
        <r>
          <rPr>
            <b/>
            <sz val="11"/>
            <color indexed="81"/>
            <rFont val="Tahoma"/>
            <family val="2"/>
          </rPr>
          <t>3 year discounted price in comments</t>
        </r>
      </text>
    </comment>
    <comment ref="J43" authorId="0">
      <text>
        <r>
          <rPr>
            <b/>
            <sz val="11"/>
            <color indexed="81"/>
            <rFont val="Tahoma"/>
            <family val="2"/>
          </rPr>
          <t>Per Jean C:
Wheaton commited to 3-year contract at $627.75 per year.  (09/10, 10/11, 11/12)
ost would have been $697.50</t>
        </r>
      </text>
    </comment>
    <comment ref="A44" authorId="0">
      <text>
        <r>
          <rPr>
            <b/>
            <sz val="11"/>
            <color indexed="81"/>
            <rFont val="Tahoma"/>
            <family val="2"/>
          </rPr>
          <t>Includes 15% consortial discount</t>
        </r>
      </text>
    </comment>
    <comment ref="D44" authorId="3">
      <text>
        <r>
          <rPr>
            <sz val="8"/>
            <color indexed="81"/>
            <rFont val="Tahoma"/>
            <family val="2"/>
          </rPr>
          <t xml:space="preserve">
</t>
        </r>
        <r>
          <rPr>
            <b/>
            <sz val="14"/>
            <color indexed="8"/>
            <rFont val="Tahoma"/>
            <family val="2"/>
          </rPr>
          <t>JWU=14,078 (RI, FL, NC)</t>
        </r>
      </text>
    </comment>
    <comment ref="B46" authorId="0">
      <text>
        <r>
          <rPr>
            <b/>
            <sz val="11"/>
            <color indexed="81"/>
            <rFont val="Tahoma"/>
            <family val="2"/>
          </rPr>
          <t xml:space="preserve"> 5 simult. users</t>
        </r>
      </text>
    </comment>
    <comment ref="E46" authorId="0">
      <text>
        <r>
          <rPr>
            <b/>
            <sz val="11"/>
            <color indexed="81"/>
            <rFont val="Tahoma"/>
            <family val="2"/>
          </rPr>
          <t>10 simult. users</t>
        </r>
        <r>
          <rPr>
            <sz val="11"/>
            <color indexed="81"/>
            <rFont val="Tahoma"/>
            <family val="2"/>
          </rPr>
          <t xml:space="preserve">
</t>
        </r>
      </text>
    </comment>
    <comment ref="F46" authorId="0">
      <text>
        <r>
          <rPr>
            <b/>
            <sz val="11"/>
            <color indexed="81"/>
            <rFont val="Tahoma"/>
            <family val="2"/>
          </rPr>
          <t xml:space="preserve"> 5 simult. users</t>
        </r>
      </text>
    </comment>
    <comment ref="G46" authorId="0">
      <text>
        <r>
          <rPr>
            <b/>
            <sz val="11"/>
            <color indexed="81"/>
            <rFont val="Tahoma"/>
            <family val="2"/>
          </rPr>
          <t xml:space="preserve"> 5 simult. users</t>
        </r>
      </text>
    </comment>
    <comment ref="H46" authorId="0">
      <text>
        <r>
          <rPr>
            <b/>
            <sz val="11"/>
            <color indexed="81"/>
            <rFont val="Tahoma"/>
            <family val="2"/>
          </rPr>
          <t xml:space="preserve"> 5 simult. users</t>
        </r>
      </text>
    </comment>
    <comment ref="I46" authorId="0">
      <text>
        <r>
          <rPr>
            <b/>
            <sz val="11"/>
            <color indexed="81"/>
            <rFont val="Tahoma"/>
            <family val="2"/>
          </rPr>
          <t xml:space="preserve">10 simult. users cost shown
</t>
        </r>
        <r>
          <rPr>
            <sz val="11"/>
            <color indexed="81"/>
            <rFont val="Tahoma"/>
            <family val="2"/>
          </rPr>
          <t xml:space="preserve">
15 users          = $3025.00
Unlim. users   = $3841.00</t>
        </r>
      </text>
    </comment>
    <comment ref="C47" authorId="4">
      <text>
        <r>
          <rPr>
            <b/>
            <sz val="11"/>
            <color indexed="81"/>
            <rFont val="Tahoma"/>
            <family val="2"/>
          </rPr>
          <t>ljlarson:
CCRI already paid $2700 for the front file 1991 Present</t>
        </r>
      </text>
    </comment>
    <comment ref="F69" authorId="5">
      <text>
        <r>
          <rPr>
            <b/>
            <sz val="11"/>
            <color indexed="81"/>
            <rFont val="Tahoma"/>
            <family val="2"/>
          </rPr>
          <t>ProQuest:</t>
        </r>
        <r>
          <rPr>
            <sz val="11"/>
            <color indexed="81"/>
            <rFont val="Tahoma"/>
            <family val="2"/>
          </rPr>
          <t xml:space="preserve">
1/2010 to 6/2010</t>
        </r>
      </text>
    </comment>
    <comment ref="D73" authorId="3">
      <text>
        <r>
          <rPr>
            <sz val="8"/>
            <color indexed="81"/>
            <rFont val="Tahoma"/>
            <family val="2"/>
          </rPr>
          <t xml:space="preserve">
</t>
        </r>
        <r>
          <rPr>
            <b/>
            <sz val="14"/>
            <color indexed="8"/>
            <rFont val="Tahoma"/>
            <family val="2"/>
          </rPr>
          <t>JWU=13,101 (RI, CO, FL)</t>
        </r>
      </text>
    </comment>
    <comment ref="B75" authorId="2">
      <text>
        <r>
          <rPr>
            <sz val="11"/>
            <color indexed="81"/>
            <rFont val="Tahoma"/>
            <family val="2"/>
          </rPr>
          <t>Direct</t>
        </r>
        <r>
          <rPr>
            <sz val="8"/>
            <color indexed="81"/>
            <rFont val="Tahoma"/>
            <family val="2"/>
          </rPr>
          <t xml:space="preserve">
</t>
        </r>
      </text>
    </comment>
    <comment ref="J77" authorId="0">
      <text>
        <r>
          <rPr>
            <b/>
            <sz val="11"/>
            <color indexed="81"/>
            <rFont val="Tahoma"/>
            <family val="2"/>
          </rPr>
          <t>Prorated amt. for Jan-June 2010 to bring in sync with other renewals</t>
        </r>
      </text>
    </comment>
    <comment ref="A80" authorId="0">
      <text>
        <r>
          <rPr>
            <b/>
            <sz val="11"/>
            <color indexed="81"/>
            <rFont val="Tahoma"/>
            <family val="2"/>
          </rPr>
          <t>$162,742 total</t>
        </r>
      </text>
    </comment>
    <comment ref="A84" authorId="6">
      <text>
        <r>
          <rPr>
            <b/>
            <sz val="11"/>
            <color indexed="81"/>
            <rFont val="Tahoma"/>
            <family val="2"/>
          </rPr>
          <t xml:space="preserve">Content Cafe  includes access to:
-         Book jacket images.
-         Tables of contents.
-         Reviews from the following sources: CHOICE, Booklist, Library Journal, Publishers Weekly, School Library Journal, VOYA, HornBook, and Foreword.
</t>
        </r>
      </text>
    </comment>
    <comment ref="D87" authorId="3">
      <text>
        <r>
          <rPr>
            <b/>
            <sz val="14"/>
            <color indexed="81"/>
            <rFont val="Tahoma"/>
            <family val="2"/>
          </rPr>
          <t xml:space="preserve">JWU=15,504  
JWU upgraded from Premier to Complete in 2009 with AskRI
Administrator:
Per HELIN 5/13/09: $21,714 for BS Complete if AskRI is extended, or $29,314 without the free upgrade. </t>
        </r>
      </text>
    </comment>
    <comment ref="I95" authorId="7">
      <text>
        <r>
          <rPr>
            <b/>
            <sz val="11"/>
            <color indexed="81"/>
            <rFont val="Tahoma"/>
            <family val="2"/>
          </rPr>
          <t>Amy Thurlow:
Special 1st year price for previous print subscribers</t>
        </r>
        <r>
          <rPr>
            <sz val="8"/>
            <color indexed="81"/>
            <rFont val="Tahoma"/>
            <family val="2"/>
          </rPr>
          <t xml:space="preserve">
</t>
        </r>
      </text>
    </comment>
    <comment ref="D98" authorId="3">
      <text>
        <r>
          <rPr>
            <sz val="8"/>
            <color indexed="81"/>
            <rFont val="Tahoma"/>
            <family val="2"/>
          </rPr>
          <t xml:space="preserve">
</t>
        </r>
        <r>
          <rPr>
            <b/>
            <sz val="14"/>
            <color indexed="81"/>
            <rFont val="Tahoma"/>
            <family val="2"/>
          </rPr>
          <t>JWU=15,504</t>
        </r>
      </text>
    </comment>
    <comment ref="I100" authorId="7">
      <text>
        <r>
          <rPr>
            <b/>
            <sz val="11"/>
            <color indexed="81"/>
            <rFont val="Tahoma"/>
            <family val="2"/>
          </rPr>
          <t>Amy Thurlow:</t>
        </r>
        <r>
          <rPr>
            <sz val="11"/>
            <color indexed="81"/>
            <rFont val="Tahoma"/>
            <family val="2"/>
          </rPr>
          <t xml:space="preserve">
Multi-year pricing offer: 
Year one: $29808 -- 2008/09
Year two: $31302 -- 2009/10
Year three: $32868 -- 2010/11
Inspec Archive is available for a one-time purchase of $28320</t>
        </r>
      </text>
    </comment>
    <comment ref="D101" authorId="3">
      <text>
        <r>
          <rPr>
            <b/>
            <sz val="8"/>
            <color indexed="81"/>
            <rFont val="Tahoma"/>
            <family val="2"/>
          </rPr>
          <t>sreynolds:</t>
        </r>
        <r>
          <rPr>
            <sz val="8"/>
            <color indexed="81"/>
            <rFont val="Tahoma"/>
            <family val="2"/>
          </rPr>
          <t xml:space="preserve">
</t>
        </r>
        <r>
          <rPr>
            <b/>
            <sz val="12"/>
            <color indexed="81"/>
            <rFont val="Tahoma"/>
            <family val="2"/>
          </rPr>
          <t>JWU=15,504</t>
        </r>
      </text>
    </comment>
    <comment ref="E101" authorId="0">
      <text>
        <r>
          <rPr>
            <b/>
            <sz val="11"/>
            <color indexed="81"/>
            <rFont val="Tahoma"/>
            <family val="2"/>
          </rPr>
          <t>initial $1200 plus 6 add'l connectors
w/ JSTOR, $2000</t>
        </r>
      </text>
    </comment>
    <comment ref="H101" authorId="0">
      <text>
        <r>
          <rPr>
            <b/>
            <sz val="12"/>
            <color indexed="81"/>
            <rFont val="Tahoma"/>
            <family val="2"/>
          </rPr>
          <t>Initial $1200 plus 10 add'l connectors</t>
        </r>
      </text>
    </comment>
    <comment ref="A107" authorId="0">
      <text>
        <r>
          <rPr>
            <b/>
            <sz val="11"/>
            <color indexed="81"/>
            <rFont val="Tahoma"/>
            <family val="2"/>
          </rPr>
          <t>NOTE: All price requestors must subscribe for price shown to be valid</t>
        </r>
      </text>
    </comment>
    <comment ref="A108" authorId="0">
      <text>
        <r>
          <rPr>
            <b/>
            <sz val="11"/>
            <color indexed="81"/>
            <rFont val="Tahoma"/>
            <family val="2"/>
          </rPr>
          <t>NOTE: All price requestors must subscribe for price shown to be valid</t>
        </r>
      </text>
    </comment>
    <comment ref="C113" authorId="0">
      <text>
        <r>
          <rPr>
            <b/>
            <sz val="11"/>
            <color indexed="81"/>
            <rFont val="Tahoma"/>
            <family val="2"/>
          </rPr>
          <t>Price based on 416 in nursing program</t>
        </r>
      </text>
    </comment>
    <comment ref="A115" authorId="0">
      <text>
        <r>
          <rPr>
            <b/>
            <sz val="11"/>
            <color indexed="81"/>
            <rFont val="Tahoma"/>
            <family val="2"/>
          </rPr>
          <t>NOTE: All price requestors must subscribe for price shown to be valid</t>
        </r>
      </text>
    </comment>
    <comment ref="A117" authorId="0">
      <text>
        <r>
          <rPr>
            <b/>
            <sz val="8"/>
            <color indexed="81"/>
            <rFont val="Tahoma"/>
            <family val="2"/>
          </rPr>
          <t xml:space="preserve"> </t>
        </r>
        <r>
          <rPr>
            <b/>
            <sz val="11"/>
            <color indexed="81"/>
            <rFont val="Tahoma"/>
            <family val="2"/>
          </rPr>
          <t>NOTE: All price requestors must subscribe for price shown to be valid</t>
        </r>
      </text>
    </comment>
    <comment ref="A119" authorId="0">
      <text>
        <r>
          <rPr>
            <b/>
            <sz val="11"/>
            <color indexed="81"/>
            <rFont val="Tahoma"/>
            <family val="2"/>
          </rPr>
          <t>NOTE: All price requestors must subscribe for price shown to be valid</t>
        </r>
      </text>
    </comment>
    <comment ref="A122" authorId="0">
      <text>
        <r>
          <rPr>
            <b/>
            <sz val="11"/>
            <color indexed="81"/>
            <rFont val="Tahoma"/>
            <family val="2"/>
          </rPr>
          <t>4 simul.users
NOTE: All price requestors must subscribe for price shown to be valid</t>
        </r>
      </text>
    </comment>
    <comment ref="E122" authorId="7">
      <text>
        <r>
          <rPr>
            <b/>
            <sz val="11"/>
            <color indexed="81"/>
            <rFont val="Tahoma"/>
            <family val="2"/>
          </rPr>
          <t>Amy Thurlow:</t>
        </r>
        <r>
          <rPr>
            <sz val="11"/>
            <color indexed="81"/>
            <rFont val="Tahoma"/>
            <family val="2"/>
          </rPr>
          <t xml:space="preserve">
Both sites must purchase to secure discounted price</t>
        </r>
        <r>
          <rPr>
            <sz val="8"/>
            <color indexed="81"/>
            <rFont val="Tahoma"/>
            <family val="2"/>
          </rPr>
          <t xml:space="preserve">
</t>
        </r>
      </text>
    </comment>
    <comment ref="H122" authorId="7">
      <text>
        <r>
          <rPr>
            <b/>
            <sz val="11"/>
            <color indexed="81"/>
            <rFont val="Tahoma"/>
            <family val="2"/>
          </rPr>
          <t>Amy Thurlow:</t>
        </r>
        <r>
          <rPr>
            <sz val="11"/>
            <color indexed="81"/>
            <rFont val="Tahoma"/>
            <family val="2"/>
          </rPr>
          <t xml:space="preserve">
Both sites must purchase to secure discounted price</t>
        </r>
        <r>
          <rPr>
            <sz val="8"/>
            <color indexed="81"/>
            <rFont val="Tahoma"/>
            <family val="2"/>
          </rPr>
          <t xml:space="preserve">
</t>
        </r>
      </text>
    </comment>
    <comment ref="I130" authorId="0">
      <text>
        <r>
          <rPr>
            <b/>
            <sz val="11"/>
            <color indexed="81"/>
            <rFont val="Tahoma"/>
            <family val="2"/>
          </rPr>
          <t>3rd year of 3-year contract
cost in 2009/10 = $16,877</t>
        </r>
      </text>
    </comment>
    <comment ref="I131" authorId="0">
      <text>
        <r>
          <rPr>
            <b/>
            <sz val="11"/>
            <color indexed="81"/>
            <rFont val="Tahoma"/>
            <family val="2"/>
          </rPr>
          <t xml:space="preserve">2009 fees:
ScienceDirect $552,600.10
Freedom Coll.  $36,465.00
</t>
        </r>
      </text>
    </comment>
    <comment ref="C132" authorId="0">
      <text>
        <r>
          <rPr>
            <b/>
            <sz val="11"/>
            <color indexed="81"/>
            <rFont val="Tahoma"/>
            <family val="2"/>
          </rPr>
          <t xml:space="preserve">Journal collections (inc. 1995- ):
$2360 Health &amp; Life sciences only, for CCRI
</t>
        </r>
      </text>
    </comment>
    <comment ref="D135" authorId="3">
      <text>
        <r>
          <rPr>
            <sz val="8"/>
            <color indexed="81"/>
            <rFont val="Tahoma"/>
            <family val="2"/>
          </rPr>
          <t xml:space="preserve">
</t>
        </r>
        <r>
          <rPr>
            <b/>
            <sz val="14"/>
            <color indexed="81"/>
            <rFont val="Tahoma"/>
            <family val="2"/>
          </rPr>
          <t>JWU=15,504</t>
        </r>
      </text>
    </comment>
    <comment ref="J135" authorId="0">
      <text>
        <r>
          <rPr>
            <sz val="11"/>
            <color indexed="81"/>
            <rFont val="Tahoma"/>
            <family val="2"/>
          </rPr>
          <t>Mass. State contract</t>
        </r>
      </text>
    </comment>
    <comment ref="D136" authorId="3">
      <text>
        <r>
          <rPr>
            <sz val="8"/>
            <color indexed="81"/>
            <rFont val="Tahoma"/>
            <family val="2"/>
          </rPr>
          <t xml:space="preserve">
</t>
        </r>
        <r>
          <rPr>
            <b/>
            <sz val="14"/>
            <color indexed="81"/>
            <rFont val="Tahoma"/>
            <family val="2"/>
          </rPr>
          <t>JWU=15,504</t>
        </r>
      </text>
    </comment>
    <comment ref="J136" authorId="0">
      <text>
        <r>
          <rPr>
            <sz val="11"/>
            <color indexed="81"/>
            <rFont val="Tahoma"/>
            <family val="2"/>
          </rPr>
          <t>Mass. State contract</t>
        </r>
      </text>
    </comment>
    <comment ref="D137" authorId="3">
      <text>
        <r>
          <rPr>
            <sz val="8"/>
            <color indexed="81"/>
            <rFont val="Tahoma"/>
            <family val="2"/>
          </rPr>
          <t xml:space="preserve">
</t>
        </r>
        <r>
          <rPr>
            <b/>
            <sz val="14"/>
            <color indexed="81"/>
            <rFont val="Tahoma"/>
            <family val="2"/>
          </rPr>
          <t>JWU=15,504</t>
        </r>
      </text>
    </comment>
    <comment ref="J138" authorId="0">
      <text>
        <r>
          <rPr>
            <sz val="11"/>
            <color indexed="81"/>
            <rFont val="Tahoma"/>
            <family val="2"/>
          </rPr>
          <t>Mass. State contract</t>
        </r>
      </text>
    </comment>
    <comment ref="D140" authorId="3">
      <text>
        <r>
          <rPr>
            <sz val="8"/>
            <color indexed="81"/>
            <rFont val="Tahoma"/>
            <family val="2"/>
          </rPr>
          <t xml:space="preserve">
</t>
        </r>
        <r>
          <rPr>
            <b/>
            <sz val="14"/>
            <color indexed="81"/>
            <rFont val="Tahoma"/>
            <family val="2"/>
          </rPr>
          <t>JWU=15,504</t>
        </r>
      </text>
    </comment>
    <comment ref="J141" authorId="0">
      <text>
        <r>
          <rPr>
            <sz val="11"/>
            <color indexed="81"/>
            <rFont val="Tahoma"/>
            <family val="2"/>
          </rPr>
          <t>Mass. State contract</t>
        </r>
      </text>
    </comment>
    <comment ref="A142" authorId="8">
      <text>
        <r>
          <rPr>
            <sz val="12"/>
            <color indexed="81"/>
            <rFont val="Arial"/>
            <family val="2"/>
          </rPr>
          <t xml:space="preserve">    
LITERATURE RESOURCE CENTER  (LRC)    
 Print Titles   
 -  Contemporary Authors (CA) - All volumes     
 -  Contemporary Authors - New Revision Series - All volumes    
 -  Contemporary Literary Criticism Select (CLCS)  Volume 95 through present, plus select criticism on over 250 authors from 1-94.   
 -  Dictionary of Literary Biography (DLB) - All volumes (document series not included online)   
 -  Merriam-Webster's Encyclopedia of Literature- Single volume--Cover to cover   
 Additional Content   
 -  4,329 Work Overviews, Plot Summaries and Explications   
 -  5,000 Websites   
 -  Over 120,000 author biographies   
 -  2,500 author portraits   
 -  Links to Holdings (Z39.50)   
36,609 critical essays with an additional 5,350 pieces of CLC Select criticism   
 Classical and Medieval Literature Criticism Short Story Criticism Novels for Students (criticism and plot summaries) 
 Nineteenth-Century Literature Criticism Literature Criticism from 1400 to 1800 Poetry for Students (criticism and plot summaries) 
 Twentieth-Century Literary Criticism Children's Literature Review  
 Shakespearean Criticism Drama for Students (criticism and plot summaries)  
 Drama Criticism Short Stories for Students (criticism and plot summaries)  
 Poetry Criticism   
 ADD-ON CONTENT POTENTIAL:   
 -  Scribner's Writer's Series - Add-on subscription - Integrated Content - 30 total volumes   
 -  Twayne's Authors' Series' - US, English, &amp; World - Add-on subscription - Integrated Content - 600 total volumes   
 -  Chadwyck-Healey's Literature Online (LION) Link (for joint subscribers) </t>
        </r>
      </text>
    </comment>
    <comment ref="B142" authorId="8">
      <text>
        <r>
          <rPr>
            <sz val="11"/>
            <color indexed="81"/>
            <rFont val="Tahoma"/>
            <family val="2"/>
          </rPr>
          <t>The 3-year purchase of the Digital Archive of the Gale Literature Resource Center is complete. In Year 6, libraries only pay the access  fee of $1,874 per library. The access fee increases slightly each year as detailed below:
Future Access Fees: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C142" authorId="8">
      <text>
        <r>
          <rPr>
            <sz val="11"/>
            <color indexed="81"/>
            <rFont val="Tahoma"/>
            <family val="2"/>
          </rPr>
          <t>The 3-year purchase of the Digital Archive of the Gale Literature Resource Center is complete. In Year 6, libraries only pay the access  fee of $1,874 per library. The access fee increases slightly each year as detailed below:
Future Access Fees: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D142" authorId="8">
      <text>
        <r>
          <rPr>
            <sz val="11"/>
            <color indexed="81"/>
            <rFont val="Tahoma"/>
            <family val="2"/>
          </rPr>
          <t>The 3-year purchase of the Digital Archive of the Gale Literature Resource Center is complete. In Year 6, libraries only pay the access  fee of $1,874 per library. The access fee increases slightly each year as detailed below:
Future Access Fees: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E142" authorId="8">
      <text>
        <r>
          <rPr>
            <sz val="11"/>
            <color indexed="81"/>
            <rFont val="Tahoma"/>
            <family val="2"/>
          </rPr>
          <t>The 3-year purchase of the Digital Archive of the Gale Literature Resource Center is complete. In Year 6, libraries only pay the access  fee of $1,874 per library. The access fee increases slightly each year as detailed below:
Future Access Fees: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F142" authorId="8">
      <text>
        <r>
          <rPr>
            <sz val="11"/>
            <color indexed="81"/>
            <rFont val="Tahoma"/>
            <family val="2"/>
          </rPr>
          <t>The 3-year purchase of the Digital Archive of the Gale Literature Resource Center is complete. In Year 6, libraries only pay the access  fee of $1,874 per library. The access fee increases slightly each year as detailed below:
Future Access Fees: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G142" authorId="8">
      <text>
        <r>
          <rPr>
            <sz val="11"/>
            <color indexed="81"/>
            <rFont val="Tahoma"/>
            <family val="2"/>
          </rPr>
          <t>The 3-year purchase of the Digital Archive of the Gale Literature Resource Center is complete. In Year 6, libraries only pay the access  fee of $1,874 per library. The access fee increases slightly each year as detailed below:
Future Access Fees: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H142" authorId="0">
      <text>
        <r>
          <rPr>
            <b/>
            <sz val="11"/>
            <color indexed="81"/>
            <rFont val="Tahoma"/>
            <family val="2"/>
          </rPr>
          <t>1-time archival fee of $11,381 and hosting fee of $884 paid May 2008 to cover 7/1/08-6/30/09</t>
        </r>
      </text>
    </comment>
    <comment ref="I142" authorId="8">
      <text>
        <r>
          <rPr>
            <sz val="11"/>
            <color indexed="81"/>
            <rFont val="Tahoma"/>
            <family val="2"/>
          </rPr>
          <t>The 3-year purchase of the Digital Archive of the Gale Literature Resource Center is complete. In Year 6, libraries only pay the access  fee of $1,874 per library. The access fee increases slightly each year as detailed below:
Future Access Fees: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J142" authorId="0">
      <text>
        <r>
          <rPr>
            <b/>
            <sz val="11"/>
            <color indexed="81"/>
            <rFont val="Tahoma"/>
            <family val="2"/>
          </rPr>
          <t xml:space="preserve">
$11,381 paid for the Archive in 06/07-07/08
Annual hosting fee is $884 for 2008/09 &amp; 2009/10
Year 4 (2010/11) - same hosting fee as rest of HELIN</t>
        </r>
      </text>
    </comment>
    <comment ref="D144" authorId="3">
      <text>
        <r>
          <rPr>
            <sz val="8"/>
            <color indexed="81"/>
            <rFont val="Tahoma"/>
            <family val="2"/>
          </rPr>
          <t xml:space="preserve">
</t>
        </r>
        <r>
          <rPr>
            <b/>
            <sz val="14"/>
            <color indexed="81"/>
            <rFont val="Tahoma"/>
            <family val="2"/>
          </rPr>
          <t>JWU=13,101</t>
        </r>
      </text>
    </comment>
    <comment ref="D145" authorId="3">
      <text>
        <r>
          <rPr>
            <sz val="8"/>
            <color indexed="81"/>
            <rFont val="Tahoma"/>
            <family val="2"/>
          </rPr>
          <t xml:space="preserve">
</t>
        </r>
        <r>
          <rPr>
            <b/>
            <sz val="14"/>
            <color indexed="81"/>
            <rFont val="Tahoma"/>
            <family val="2"/>
          </rPr>
          <t>JWU=13,101</t>
        </r>
      </text>
    </comment>
    <comment ref="A149" authorId="0">
      <text>
        <r>
          <rPr>
            <b/>
            <sz val="8"/>
            <color indexed="81"/>
            <rFont val="Tahoma"/>
            <family val="2"/>
          </rPr>
          <t xml:space="preserve"> </t>
        </r>
        <r>
          <rPr>
            <b/>
            <sz val="11"/>
            <color indexed="81"/>
            <rFont val="Tahoma"/>
            <family val="2"/>
          </rPr>
          <t>Includes 2 databases:
Daily Life through History
World Cultures Today</t>
        </r>
      </text>
    </comment>
    <comment ref="D153" authorId="0">
      <text>
        <r>
          <rPr>
            <b/>
            <sz val="11"/>
            <color indexed="81"/>
            <rFont val="Tahoma"/>
            <family val="2"/>
          </rPr>
          <t xml:space="preserve">
</t>
        </r>
        <r>
          <rPr>
            <b/>
            <sz val="10"/>
            <color indexed="81"/>
            <rFont val="Tahoma"/>
            <family val="2"/>
          </rPr>
          <t xml:space="preserve">
JWU=13,101 (RI, CO, FL)
JWU would like pricing for Basic 700+ Industry Reports, plus 3 add-on modules: (1) Global Reports, (2) Business Environment, and (3) Industry Risk Ratings.   For 3 JWU campuses.
History:
JWU subscribed directly in 2008-09 @ $9,500  (Basic 700+ Industry Reports, plus Global Reports add-on) for 3 JWU campuses, but would now like pricing through HELIN and/or moved to HELIN account.</t>
        </r>
        <r>
          <rPr>
            <b/>
            <i/>
            <sz val="14"/>
            <color indexed="81"/>
            <rFont val="Tahoma"/>
            <family val="2"/>
          </rPr>
          <t xml:space="preserve">  </t>
        </r>
        <r>
          <rPr>
            <b/>
            <sz val="10"/>
            <color indexed="81"/>
            <rFont val="Tahoma"/>
            <family val="2"/>
          </rPr>
          <t xml:space="preserve">In 2008, vendor based pricing on a FLAT FEE instead of FTE.  As an introductory offer, vendor used just the number of JWU's business school students (4,159) instead of the entire student pop. </t>
        </r>
        <r>
          <rPr>
            <b/>
            <i/>
            <sz val="10"/>
            <color indexed="81"/>
            <rFont val="Tahoma"/>
            <family val="2"/>
          </rPr>
          <t xml:space="preserve">
</t>
        </r>
      </text>
    </comment>
    <comment ref="I154" authorId="0">
      <text>
        <r>
          <rPr>
            <b/>
            <sz val="11"/>
            <color indexed="81"/>
            <rFont val="Tahoma"/>
            <family val="2"/>
          </rPr>
          <t>Includes subscription to IEEE Spectrum
no more 4.3% inc.</t>
        </r>
      </text>
    </comment>
    <comment ref="A157" authorId="0">
      <text>
        <r>
          <rPr>
            <b/>
            <sz val="11"/>
            <color indexed="81"/>
            <rFont val="Tahoma"/>
            <family val="2"/>
          </rPr>
          <t>Unlimited users and remote access</t>
        </r>
      </text>
    </comment>
    <comment ref="A158" authorId="0">
      <text>
        <r>
          <rPr>
            <b/>
            <sz val="11"/>
            <color indexed="81"/>
            <rFont val="Tahoma"/>
            <family val="2"/>
          </rPr>
          <t>Unlimited users and remote access</t>
        </r>
      </text>
    </comment>
    <comment ref="A160" authorId="0">
      <text>
        <r>
          <rPr>
            <b/>
            <sz val="11"/>
            <color indexed="81"/>
            <rFont val="Tahoma"/>
            <family val="2"/>
          </rPr>
          <t>Includes:
World News Digest
Issues and Controversies
Today''s Science</t>
        </r>
      </text>
    </comment>
    <comment ref="E161" authorId="0">
      <text>
        <r>
          <rPr>
            <b/>
            <sz val="8"/>
            <color indexed="81"/>
            <rFont val="Tahoma"/>
            <family val="2"/>
          </rPr>
          <t>i</t>
        </r>
        <r>
          <rPr>
            <b/>
            <sz val="11"/>
            <color indexed="81"/>
            <rFont val="Tahoma"/>
            <family val="2"/>
          </rPr>
          <t>With 09/10 renewal, changed subscription period to calendar year
Subscription period  = 11/18/09 - 12/31/10</t>
        </r>
      </text>
    </comment>
    <comment ref="B162" authorId="2">
      <text>
        <r>
          <rPr>
            <sz val="11"/>
            <color indexed="81"/>
            <rFont val="Tahoma"/>
            <family val="2"/>
          </rPr>
          <t>Subcribe directly</t>
        </r>
        <r>
          <rPr>
            <sz val="8"/>
            <color indexed="81"/>
            <rFont val="Tahoma"/>
            <family val="2"/>
          </rPr>
          <t xml:space="preserve">
</t>
        </r>
      </text>
    </comment>
    <comment ref="C162" authorId="0">
      <text>
        <r>
          <rPr>
            <b/>
            <sz val="11"/>
            <color indexed="81"/>
            <rFont val="Tahoma"/>
            <family val="2"/>
          </rPr>
          <t>Art&amp;Sci III only
ACF (1-time fee) = $1000
AAF = $1,950 for 18-month price (7/08 - 12/09)
NOTE: Community Colleges pay one ACF of $1,000 for the first collection only along with an AAF, and then an AAF only for each subsequent collection</t>
        </r>
      </text>
    </comment>
    <comment ref="D162" authorId="0">
      <text>
        <r>
          <rPr>
            <b/>
            <sz val="14"/>
            <color indexed="81"/>
            <rFont val="Tahoma"/>
            <family val="2"/>
          </rPr>
          <t>JWU=9,796</t>
        </r>
        <r>
          <rPr>
            <b/>
            <sz val="11"/>
            <color indexed="81"/>
            <rFont val="Tahoma"/>
            <family val="2"/>
          </rPr>
          <t xml:space="preserve">
Art&amp;Sci IV only
ACF (1 time fee) = $9000
50% pd. 2008 ; remainder due 2009
($4,500)
AAF (2010) = $3300</t>
        </r>
      </text>
    </comment>
    <comment ref="E162" authorId="0">
      <text>
        <r>
          <rPr>
            <b/>
            <sz val="11"/>
            <color indexed="81"/>
            <rFont val="Tahoma"/>
            <family val="2"/>
          </rPr>
          <t>Renew Arts&amp;Sciences I-V, complement, Life Sciences, &amp; Business II 
AAF only</t>
        </r>
      </text>
    </comment>
    <comment ref="F162" authorId="9">
      <text>
        <r>
          <rPr>
            <b/>
            <sz val="10"/>
            <color indexed="81"/>
            <rFont val="Tahoma"/>
            <family val="2"/>
          </rPr>
          <t>Rhode Island College:</t>
        </r>
        <r>
          <rPr>
            <sz val="10"/>
            <color indexed="81"/>
            <rFont val="Tahoma"/>
            <family val="2"/>
          </rPr>
          <t xml:space="preserve">
</t>
        </r>
        <r>
          <rPr>
            <b/>
            <sz val="12"/>
            <color indexed="81"/>
            <rFont val="Tahoma"/>
            <family val="2"/>
          </rPr>
          <t>Renew Arts&amp;Sciences I-V, and Complement; 
AAF only</t>
        </r>
      </text>
    </comment>
    <comment ref="I162" authorId="6">
      <text>
        <r>
          <rPr>
            <b/>
            <sz val="11"/>
            <color indexed="81"/>
            <rFont val="Arial"/>
            <family val="2"/>
          </rPr>
          <t>Renew All collections: 
Arts&amp;Sciences I-VI &amp; complement, Business, Life Sciences, etc.
AAF only</t>
        </r>
        <r>
          <rPr>
            <sz val="12"/>
            <color indexed="81"/>
            <rFont val="Arial"/>
            <family val="2"/>
          </rPr>
          <t xml:space="preserve">
</t>
        </r>
      </text>
    </comment>
    <comment ref="D164" authorId="3">
      <text>
        <r>
          <rPr>
            <b/>
            <sz val="14"/>
            <color indexed="81"/>
            <rFont val="Tahoma"/>
            <family val="2"/>
          </rPr>
          <t xml:space="preserve">JWU=15,504 </t>
        </r>
        <r>
          <rPr>
            <b/>
            <sz val="12"/>
            <color indexed="81"/>
            <rFont val="Tahoma"/>
            <family val="2"/>
          </rPr>
          <t xml:space="preserve">
</t>
        </r>
        <r>
          <rPr>
            <b/>
            <sz val="14"/>
            <color indexed="10"/>
            <rFont val="Tahoma"/>
            <family val="2"/>
          </rPr>
          <t>12 simultaneous users among 4 JWU campuses confirmed by Rosie 4/30/09.</t>
        </r>
        <r>
          <rPr>
            <b/>
            <sz val="12"/>
            <color indexed="81"/>
            <rFont val="Tahoma"/>
            <family val="2"/>
          </rPr>
          <t xml:space="preserve">
</t>
        </r>
        <r>
          <rPr>
            <b/>
            <sz val="12"/>
            <color indexed="81"/>
            <rFont val="Tahoma"/>
            <family val="2"/>
          </rPr>
          <t xml:space="preserve">
·         12-simultaneous users                     $4,885.00
</t>
        </r>
        <r>
          <rPr>
            <b/>
            <sz val="14"/>
            <color indexed="81"/>
            <rFont val="Tahoma"/>
            <family val="2"/>
          </rPr>
          <t>History: 
Only the RI campus subcribed in 2008-2009 and had to increase from 1 to 6 simult. users because of turnaways.</t>
        </r>
      </text>
    </comment>
    <comment ref="A168" authorId="0">
      <text>
        <r>
          <rPr>
            <b/>
            <sz val="8"/>
            <color indexed="81"/>
            <rFont val="Tahoma"/>
            <family val="2"/>
          </rPr>
          <t xml:space="preserve"> User:</t>
        </r>
        <r>
          <rPr>
            <sz val="8"/>
            <color indexed="81"/>
            <rFont val="Tahoma"/>
            <family val="2"/>
          </rPr>
          <t xml:space="preserve">
</t>
        </r>
        <r>
          <rPr>
            <sz val="11"/>
            <color indexed="81"/>
            <rFont val="Tahoma"/>
            <family val="2"/>
          </rPr>
          <t>Inc. HELIN discount</t>
        </r>
      </text>
    </comment>
    <comment ref="D168" authorId="3">
      <text>
        <r>
          <rPr>
            <sz val="8"/>
            <color indexed="81"/>
            <rFont val="Tahoma"/>
            <family val="2"/>
          </rPr>
          <t xml:space="preserve">
</t>
        </r>
        <r>
          <rPr>
            <b/>
            <sz val="14"/>
            <color indexed="81"/>
            <rFont val="Tahoma"/>
            <family val="2"/>
          </rPr>
          <t>JWU=13,101 (RI, CO, FL)</t>
        </r>
        <r>
          <rPr>
            <sz val="8"/>
            <color indexed="81"/>
            <rFont val="Tahoma"/>
            <family val="2"/>
          </rPr>
          <t xml:space="preserve">
</t>
        </r>
      </text>
    </comment>
    <comment ref="B169" authorId="0">
      <text>
        <r>
          <rPr>
            <b/>
            <sz val="11"/>
            <color indexed="81"/>
            <rFont val="Tahoma"/>
            <family val="2"/>
          </rPr>
          <t>Basic subscription for 1-5 simul. users</t>
        </r>
      </text>
    </comment>
    <comment ref="G169" authorId="0">
      <text>
        <r>
          <rPr>
            <b/>
            <sz val="11"/>
            <color indexed="81"/>
            <rFont val="Tahoma"/>
            <family val="2"/>
          </rPr>
          <t>Full subscription for 11+ users</t>
        </r>
      </text>
    </comment>
    <comment ref="H169" authorId="0">
      <text>
        <r>
          <rPr>
            <b/>
            <sz val="11"/>
            <color indexed="81"/>
            <rFont val="Tahoma"/>
            <family val="2"/>
          </rPr>
          <t>Basic subscription for 1-5 simul. users</t>
        </r>
      </text>
    </comment>
    <comment ref="A171" authorId="0">
      <text>
        <r>
          <rPr>
            <b/>
            <sz val="11"/>
            <color indexed="81"/>
            <rFont val="Tahoma"/>
            <family val="2"/>
          </rPr>
          <t>Unlimited access; willing to discuss simultaneous users/seats if desire</t>
        </r>
        <r>
          <rPr>
            <sz val="11"/>
            <color indexed="81"/>
            <rFont val="Tahoma"/>
            <family val="2"/>
          </rPr>
          <t xml:space="preserve">d
</t>
        </r>
      </text>
    </comment>
    <comment ref="B171" authorId="2">
      <text>
        <r>
          <rPr>
            <sz val="11"/>
            <color indexed="81"/>
            <rFont val="Tahoma"/>
            <family val="2"/>
          </rPr>
          <t>Direct</t>
        </r>
      </text>
    </comment>
    <comment ref="G171" authorId="0">
      <text>
        <r>
          <rPr>
            <b/>
            <sz val="11"/>
            <color indexed="81"/>
            <rFont val="Tahoma"/>
            <family val="2"/>
          </rPr>
          <t>license for 1 user</t>
        </r>
      </text>
    </comment>
    <comment ref="C172" authorId="0">
      <text>
        <r>
          <rPr>
            <b/>
            <sz val="11"/>
            <color indexed="81"/>
            <rFont val="Tahoma"/>
            <family val="2"/>
          </rPr>
          <t>annual site license / unlimited access</t>
        </r>
      </text>
    </comment>
    <comment ref="A173" authorId="0">
      <text>
        <r>
          <rPr>
            <b/>
            <sz val="11"/>
            <color indexed="81"/>
            <rFont val="Tahoma"/>
            <family val="2"/>
          </rPr>
          <t>HELIN now gets 15% discount because of no. of participants</t>
        </r>
      </text>
    </comment>
    <comment ref="E173" authorId="9">
      <text>
        <r>
          <rPr>
            <b/>
            <sz val="10"/>
            <color indexed="81"/>
            <rFont val="Tahoma"/>
            <family val="2"/>
          </rPr>
          <t xml:space="preserve">Providence College
Pricing from Laura Brown:
</t>
        </r>
      </text>
    </comment>
    <comment ref="F173" authorId="9">
      <text>
        <r>
          <rPr>
            <b/>
            <sz val="8"/>
            <color indexed="81"/>
            <rFont val="Tahoma"/>
            <family val="2"/>
          </rPr>
          <t>Rhode Island College:</t>
        </r>
        <r>
          <rPr>
            <sz val="8"/>
            <color indexed="81"/>
            <rFont val="Tahoma"/>
            <family val="2"/>
          </rPr>
          <t xml:space="preserve">
</t>
        </r>
        <r>
          <rPr>
            <sz val="11"/>
            <color indexed="81"/>
            <rFont val="Tahoma"/>
            <family val="2"/>
          </rPr>
          <t xml:space="preserve">Pricing from Laura Brown
</t>
        </r>
      </text>
    </comment>
    <comment ref="G173" authorId="9">
      <text>
        <r>
          <rPr>
            <b/>
            <sz val="8"/>
            <color indexed="81"/>
            <rFont val="Tahoma"/>
            <family val="2"/>
          </rPr>
          <t>Rhode Island College:</t>
        </r>
        <r>
          <rPr>
            <sz val="8"/>
            <color indexed="81"/>
            <rFont val="Tahoma"/>
            <family val="2"/>
          </rPr>
          <t xml:space="preserve">
</t>
        </r>
        <r>
          <rPr>
            <sz val="11"/>
            <color indexed="81"/>
            <rFont val="Tahoma"/>
            <family val="2"/>
          </rPr>
          <t xml:space="preserve">Pricing from Laura Brown
</t>
        </r>
      </text>
    </comment>
    <comment ref="H173" authorId="9">
      <text>
        <r>
          <rPr>
            <b/>
            <sz val="8"/>
            <color indexed="81"/>
            <rFont val="Tahoma"/>
            <family val="2"/>
          </rPr>
          <t>Rhode Island College:</t>
        </r>
        <r>
          <rPr>
            <sz val="8"/>
            <color indexed="81"/>
            <rFont val="Tahoma"/>
            <family val="2"/>
          </rPr>
          <t xml:space="preserve">
</t>
        </r>
        <r>
          <rPr>
            <sz val="11"/>
            <color indexed="81"/>
            <rFont val="Tahoma"/>
            <family val="2"/>
          </rPr>
          <t xml:space="preserve">Pricing from Laura Brown
</t>
        </r>
      </text>
    </comment>
    <comment ref="I173" authorId="0">
      <text>
        <r>
          <rPr>
            <sz val="11"/>
            <color indexed="81"/>
            <rFont val="Tahoma"/>
            <family val="2"/>
          </rPr>
          <t>Univ. of RI
Pricing  from Laura Brown
Price is $15,877, but a $1377 credit is applied for a journal that nature can no longer provide.
Titles accessed:
Nature ($9078)
Clinical Pharm. &amp; Ther. ($825)
Heredity ($818)
Int'l Journal of Obesity $(1543)
EMBO Journal &amp; reports ($3613)</t>
        </r>
      </text>
    </comment>
    <comment ref="A174" authorId="0">
      <text>
        <r>
          <rPr>
            <b/>
            <sz val="11"/>
            <color indexed="81"/>
            <rFont val="Tahoma"/>
            <family val="2"/>
          </rPr>
          <t>HELIN now gets 15% discount because of no. of participants</t>
        </r>
      </text>
    </comment>
    <comment ref="D174" authorId="9">
      <text>
        <r>
          <rPr>
            <b/>
            <sz val="14"/>
            <color indexed="10"/>
            <rFont val="Tahoma"/>
            <family val="2"/>
          </rPr>
          <t>Is JWU participating?</t>
        </r>
        <r>
          <rPr>
            <b/>
            <sz val="14"/>
            <color indexed="81"/>
            <rFont val="Tahoma"/>
            <family val="2"/>
          </rPr>
          <t xml:space="preserve"> 
 Pricing from Laura Brown:</t>
        </r>
        <r>
          <rPr>
            <b/>
            <sz val="10"/>
            <color indexed="81"/>
            <rFont val="Tahoma"/>
            <family val="2"/>
          </rPr>
          <t xml:space="preserve">
</t>
        </r>
      </text>
    </comment>
    <comment ref="E174" authorId="9">
      <text>
        <r>
          <rPr>
            <b/>
            <sz val="10"/>
            <color indexed="81"/>
            <rFont val="Tahoma"/>
            <family val="2"/>
          </rPr>
          <t>Providence College
Pricing from Laura Brown:
- this should be renewed direct and moved to HELIN next year</t>
        </r>
      </text>
    </comment>
    <comment ref="I174" authorId="0">
      <text>
        <r>
          <rPr>
            <sz val="11"/>
            <color indexed="81"/>
            <rFont val="Tahoma"/>
            <family val="2"/>
          </rPr>
          <t xml:space="preserve">Univ. of RI
Pricing  from Laura Brown
Titles accessed:
Journal of the Operational Research Society -- $1,554
Knowledge Management Research &amp; Practice -- free with JORS (above)
Polity -- $183
</t>
        </r>
      </text>
    </comment>
    <comment ref="A175" authorId="0">
      <text>
        <r>
          <rPr>
            <b/>
            <sz val="11"/>
            <color indexed="81"/>
            <rFont val="Tahoma"/>
            <family val="2"/>
          </rPr>
          <t>Site license for unlimited users</t>
        </r>
      </text>
    </comment>
    <comment ref="A177" authorId="0">
      <text>
        <r>
          <rPr>
            <b/>
            <sz val="11"/>
            <color indexed="81"/>
            <rFont val="Tahoma"/>
            <family val="2"/>
          </rPr>
          <t>WebSPIRS interface</t>
        </r>
      </text>
    </comment>
    <comment ref="I177" authorId="10">
      <text>
        <r>
          <rPr>
            <b/>
            <sz val="8"/>
            <color indexed="81"/>
            <rFont val="Tahoma"/>
            <family val="2"/>
          </rPr>
          <t>Maria Brady:</t>
        </r>
        <r>
          <rPr>
            <sz val="8"/>
            <color indexed="81"/>
            <rFont val="Tahoma"/>
            <family val="2"/>
          </rPr>
          <t xml:space="preserve">
</t>
        </r>
        <r>
          <rPr>
            <sz val="12"/>
            <color indexed="81"/>
            <rFont val="Times New Roman"/>
            <family val="1"/>
          </rPr>
          <t xml:space="preserve">27354.00 </t>
        </r>
        <r>
          <rPr>
            <sz val="14"/>
            <color indexed="81"/>
            <rFont val="Times New Roman"/>
            <family val="1"/>
          </rPr>
          <t xml:space="preserve">Jan. </t>
        </r>
        <r>
          <rPr>
            <sz val="12"/>
            <color indexed="81"/>
            <rFont val="Times New Roman"/>
            <family val="1"/>
          </rPr>
          <t>2009 pricing
Estimate 5% increase for 2010</t>
        </r>
      </text>
    </comment>
    <comment ref="A179" authorId="0">
      <text>
        <r>
          <rPr>
            <b/>
            <sz val="11"/>
            <color indexed="81"/>
            <rFont val="Tahoma"/>
            <family val="2"/>
          </rPr>
          <t>Includes subscription to World Data Analyst</t>
        </r>
      </text>
    </comment>
    <comment ref="A180" authorId="0">
      <text>
        <r>
          <rPr>
            <b/>
            <sz val="11"/>
            <color indexed="81"/>
            <rFont val="Tahoma"/>
            <family val="2"/>
          </rPr>
          <t>pricing done with Lyrasis formula which is $1.875 per fte</t>
        </r>
      </text>
    </comment>
    <comment ref="B180" authorId="2">
      <text>
        <r>
          <rPr>
            <sz val="11"/>
            <color indexed="81"/>
            <rFont val="Tahoma"/>
            <family val="2"/>
          </rPr>
          <t>Direct via NELINET</t>
        </r>
        <r>
          <rPr>
            <sz val="8"/>
            <color indexed="81"/>
            <rFont val="Tahoma"/>
            <family val="2"/>
          </rPr>
          <t xml:space="preserve">
</t>
        </r>
      </text>
    </comment>
    <comment ref="D180" authorId="3">
      <text>
        <r>
          <rPr>
            <b/>
            <sz val="14"/>
            <color indexed="81"/>
            <rFont val="Tahoma"/>
            <family val="2"/>
          </rPr>
          <t xml:space="preserve">
JWU FTE = 15,504
</t>
        </r>
      </text>
    </comment>
    <comment ref="A182" authorId="10">
      <text>
        <r>
          <rPr>
            <b/>
            <sz val="8"/>
            <color indexed="81"/>
            <rFont val="Tahoma"/>
            <family val="2"/>
          </rPr>
          <t>Maria Brady:</t>
        </r>
        <r>
          <rPr>
            <sz val="8"/>
            <color indexed="81"/>
            <rFont val="Tahoma"/>
            <family val="2"/>
          </rPr>
          <t xml:space="preserve">
</t>
        </r>
        <r>
          <rPr>
            <b/>
            <sz val="12"/>
            <color indexed="81"/>
            <rFont val="Arial"/>
            <family val="2"/>
          </rPr>
          <t>FLAT PRICING ALL USERS</t>
        </r>
      </text>
    </comment>
    <comment ref="F183" authorId="6">
      <text>
        <r>
          <rPr>
            <b/>
            <sz val="11"/>
            <color indexed="81"/>
            <rFont val="Arial"/>
            <family val="2"/>
          </rPr>
          <t xml:space="preserve"> 10 simult. users</t>
        </r>
      </text>
    </comment>
    <comment ref="H183" authorId="6">
      <text>
        <r>
          <rPr>
            <b/>
            <sz val="11"/>
            <color indexed="81"/>
            <rFont val="Arial"/>
            <family val="2"/>
          </rPr>
          <t>10 simult. users</t>
        </r>
      </text>
    </comment>
    <comment ref="F187" authorId="8">
      <text>
        <r>
          <rPr>
            <sz val="8"/>
            <color indexed="81"/>
            <rFont val="Tahoma"/>
            <family val="2"/>
          </rPr>
          <t xml:space="preserve">
</t>
        </r>
        <r>
          <rPr>
            <b/>
            <sz val="11"/>
            <color indexed="81"/>
            <rFont val="Tahoma"/>
            <family val="2"/>
          </rPr>
          <t>1 user</t>
        </r>
      </text>
    </comment>
    <comment ref="A188" authorId="0">
      <text>
        <r>
          <rPr>
            <b/>
            <sz val="11"/>
            <color indexed="81"/>
            <rFont val="Tahoma"/>
            <family val="2"/>
          </rPr>
          <t>unlimited users</t>
        </r>
      </text>
    </comment>
    <comment ref="C189" authorId="11">
      <text>
        <r>
          <rPr>
            <b/>
            <sz val="11"/>
            <color indexed="81"/>
            <rFont val="Tahoma"/>
            <family val="2"/>
          </rPr>
          <t>unlimited</t>
        </r>
      </text>
    </comment>
    <comment ref="E189" authorId="0">
      <text>
        <r>
          <rPr>
            <b/>
            <sz val="11"/>
            <color indexed="81"/>
            <rFont val="Tahoma"/>
            <family val="2"/>
          </rPr>
          <t>4-5 simult. users</t>
        </r>
      </text>
    </comment>
    <comment ref="F189" authorId="8">
      <text>
        <r>
          <rPr>
            <sz val="8"/>
            <color indexed="81"/>
            <rFont val="Tahoma"/>
            <family val="2"/>
          </rPr>
          <t xml:space="preserve">
</t>
        </r>
        <r>
          <rPr>
            <b/>
            <sz val="11"/>
            <color indexed="81"/>
            <rFont val="Tahoma"/>
            <family val="2"/>
          </rPr>
          <t>1 user</t>
        </r>
      </text>
    </comment>
    <comment ref="G189" authorId="8">
      <text>
        <r>
          <rPr>
            <b/>
            <sz val="11"/>
            <color indexed="81"/>
            <rFont val="Tahoma"/>
            <family val="2"/>
          </rPr>
          <t xml:space="preserve">Unlimited
</t>
        </r>
      </text>
    </comment>
    <comment ref="J189" authorId="11">
      <text>
        <r>
          <rPr>
            <b/>
            <sz val="11"/>
            <color indexed="81"/>
            <rFont val="Tahoma"/>
            <family val="2"/>
          </rPr>
          <t>unlimited</t>
        </r>
      </text>
    </comment>
    <comment ref="E190" authorId="0">
      <text>
        <r>
          <rPr>
            <b/>
            <sz val="11"/>
            <color indexed="81"/>
            <rFont val="Tahoma"/>
            <family val="2"/>
          </rPr>
          <t>3 simult. users</t>
        </r>
      </text>
    </comment>
    <comment ref="F190" authorId="6">
      <text>
        <r>
          <rPr>
            <b/>
            <sz val="11"/>
            <color indexed="81"/>
            <rFont val="Tahoma"/>
            <family val="2"/>
          </rPr>
          <t>1  user</t>
        </r>
      </text>
    </comment>
    <comment ref="C191" authorId="0">
      <text>
        <r>
          <rPr>
            <b/>
            <sz val="11"/>
            <color indexed="81"/>
            <rFont val="Tahoma"/>
            <family val="2"/>
          </rPr>
          <t xml:space="preserve">Purchased in 2007; no hosting fee as long as keep subscription to Ref. Online </t>
        </r>
      </text>
    </comment>
    <comment ref="A192" authorId="0">
      <text>
        <r>
          <rPr>
            <b/>
            <sz val="11"/>
            <color indexed="81"/>
            <rFont val="Tahoma"/>
            <family val="2"/>
          </rPr>
          <t>Unlimited users</t>
        </r>
      </text>
    </comment>
    <comment ref="G192" authorId="11">
      <text>
        <r>
          <rPr>
            <b/>
            <sz val="8"/>
            <color indexed="81"/>
            <rFont val="Tahoma"/>
            <family val="2"/>
          </rPr>
          <t>based on updated 3788 FTE</t>
        </r>
      </text>
    </comment>
    <comment ref="F193" authorId="8">
      <text>
        <r>
          <rPr>
            <sz val="8"/>
            <color indexed="81"/>
            <rFont val="Tahoma"/>
            <family val="2"/>
          </rPr>
          <t xml:space="preserve">
</t>
        </r>
        <r>
          <rPr>
            <b/>
            <sz val="11"/>
            <color indexed="81"/>
            <rFont val="Tahoma"/>
            <family val="2"/>
          </rPr>
          <t>1 user</t>
        </r>
      </text>
    </comment>
    <comment ref="A194" authorId="0">
      <text>
        <r>
          <rPr>
            <b/>
            <sz val="11"/>
            <color indexed="81"/>
            <rFont val="Tahoma"/>
            <family val="2"/>
          </rPr>
          <t>Unlimited users</t>
        </r>
      </text>
    </comment>
    <comment ref="E195" authorId="0">
      <text>
        <r>
          <rPr>
            <b/>
            <sz val="11"/>
            <color indexed="81"/>
            <rFont val="Tahoma"/>
            <family val="2"/>
          </rPr>
          <t>4-5 simult. users</t>
        </r>
      </text>
    </comment>
    <comment ref="F195" authorId="8">
      <text>
        <r>
          <rPr>
            <b/>
            <sz val="11"/>
            <color indexed="81"/>
            <rFont val="Tahoma"/>
            <family val="2"/>
          </rPr>
          <t>2-3 simult. users</t>
        </r>
      </text>
    </comment>
    <comment ref="I195" authorId="12">
      <text>
        <r>
          <rPr>
            <b/>
            <sz val="11"/>
            <color indexed="81"/>
            <rFont val="Times New Roman"/>
            <family val="1"/>
          </rPr>
          <t>2-3 sim. users</t>
        </r>
      </text>
    </comment>
    <comment ref="J195" authorId="11">
      <text>
        <r>
          <rPr>
            <b/>
            <sz val="11"/>
            <color indexed="81"/>
            <rFont val="Tahoma"/>
            <family val="2"/>
          </rPr>
          <t>unlimited</t>
        </r>
      </text>
    </comment>
    <comment ref="G196" authorId="12">
      <text>
        <r>
          <rPr>
            <b/>
            <sz val="12"/>
            <color indexed="81"/>
            <rFont val="Times New Roman"/>
            <family val="1"/>
          </rPr>
          <t>2-5 users</t>
        </r>
      </text>
    </comment>
    <comment ref="I196" authorId="12">
      <text>
        <r>
          <rPr>
            <b/>
            <sz val="12"/>
            <color indexed="81"/>
            <rFont val="Times New Roman"/>
            <family val="1"/>
          </rPr>
          <t>2-5 users</t>
        </r>
      </text>
    </comment>
    <comment ref="C197" authorId="0">
      <text>
        <r>
          <rPr>
            <b/>
            <sz val="11"/>
            <color indexed="81"/>
            <rFont val="Tahoma"/>
            <family val="2"/>
          </rPr>
          <t xml:space="preserve">Premium collection
</t>
        </r>
      </text>
    </comment>
    <comment ref="E197" authorId="0">
      <text>
        <r>
          <rPr>
            <b/>
            <sz val="11"/>
            <color indexed="81"/>
            <rFont val="Tahoma"/>
            <family val="2"/>
          </rPr>
          <t>Premium collection
unlimited users</t>
        </r>
      </text>
    </comment>
    <comment ref="F197" authorId="6">
      <text>
        <r>
          <rPr>
            <b/>
            <sz val="11"/>
            <color indexed="81"/>
            <rFont val="Tahoma"/>
            <family val="2"/>
          </rPr>
          <t>Premium collection
2-5 simult. users</t>
        </r>
      </text>
    </comment>
    <comment ref="G197" authorId="0">
      <text>
        <r>
          <rPr>
            <b/>
            <sz val="11"/>
            <color indexed="81"/>
            <rFont val="Tahoma"/>
            <family val="2"/>
          </rPr>
          <t>Premium collection
unlim. users</t>
        </r>
      </text>
    </comment>
    <comment ref="F198" authorId="11">
      <text>
        <r>
          <rPr>
            <b/>
            <sz val="11"/>
            <color indexed="81"/>
            <rFont val="Tahoma"/>
            <family val="2"/>
          </rPr>
          <t>Literature module
1 user</t>
        </r>
      </text>
    </comment>
    <comment ref="A199" authorId="0">
      <text>
        <r>
          <rPr>
            <b/>
            <sz val="11"/>
            <color indexed="81"/>
            <rFont val="Tahoma"/>
            <family val="2"/>
          </rPr>
          <t>Per ProjectMUSE:
6% for the Premium Collection, and no more than 4% for all other collections</t>
        </r>
      </text>
    </comment>
    <comment ref="E199" authorId="0">
      <text>
        <r>
          <rPr>
            <b/>
            <sz val="11"/>
            <color indexed="81"/>
            <rFont val="Tahoma"/>
            <family val="2"/>
          </rPr>
          <t xml:space="preserve">Premium Collection
Est. 6% increase for 2010
</t>
        </r>
      </text>
    </comment>
    <comment ref="F199" authorId="0">
      <text>
        <r>
          <rPr>
            <b/>
            <sz val="11"/>
            <color indexed="81"/>
            <rFont val="Tahoma"/>
            <family val="2"/>
          </rPr>
          <t>Basic Research
Est. 4% increase for 2010</t>
        </r>
      </text>
    </comment>
    <comment ref="G199" authorId="0">
      <text>
        <r>
          <rPr>
            <b/>
            <sz val="11"/>
            <color indexed="81"/>
            <rFont val="Tahoma"/>
            <family val="2"/>
          </rPr>
          <t>Standard Collection
Est. 4% increase for 2010</t>
        </r>
      </text>
    </comment>
    <comment ref="H199" authorId="0">
      <text>
        <r>
          <rPr>
            <b/>
            <sz val="11"/>
            <color indexed="81"/>
            <rFont val="Tahoma"/>
            <family val="2"/>
          </rPr>
          <t>Change from Basic Research to Basic College in 2010
Est. 4% increase in 2010</t>
        </r>
      </text>
    </comment>
    <comment ref="I199" authorId="0">
      <text>
        <r>
          <rPr>
            <b/>
            <sz val="11"/>
            <color indexed="81"/>
            <rFont val="Tahoma"/>
            <family val="2"/>
          </rPr>
          <t>Premium Collection
Est. 6% increase for 2010</t>
        </r>
      </text>
    </comment>
    <comment ref="J199" authorId="0">
      <text>
        <r>
          <rPr>
            <b/>
            <sz val="11"/>
            <color indexed="81"/>
            <rFont val="Tahoma"/>
            <family val="2"/>
          </rPr>
          <t>Premium Collection
Est. 6% increase for 2010</t>
        </r>
      </text>
    </comment>
    <comment ref="D200" authorId="3">
      <text>
        <r>
          <rPr>
            <b/>
            <sz val="11"/>
            <color indexed="81"/>
            <rFont val="Tahoma"/>
            <family val="2"/>
          </rPr>
          <t xml:space="preserve">
</t>
        </r>
        <r>
          <rPr>
            <b/>
            <sz val="14"/>
            <color indexed="81"/>
            <rFont val="Tahoma"/>
            <family val="2"/>
          </rPr>
          <t xml:space="preserve">JWU=15,504  </t>
        </r>
      </text>
    </comment>
    <comment ref="D202" authorId="3">
      <text>
        <r>
          <rPr>
            <b/>
            <sz val="11"/>
            <color indexed="81"/>
            <rFont val="Tahoma"/>
            <family val="2"/>
          </rPr>
          <t xml:space="preserve">
</t>
        </r>
        <r>
          <rPr>
            <b/>
            <sz val="14"/>
            <color indexed="81"/>
            <rFont val="Tahoma"/>
            <family val="2"/>
          </rPr>
          <t xml:space="preserve">JWU=15,504  </t>
        </r>
      </text>
    </comment>
    <comment ref="I203" authorId="0">
      <text>
        <r>
          <rPr>
            <b/>
            <sz val="11"/>
            <color indexed="81"/>
            <rFont val="Tahoma"/>
            <family val="2"/>
          </rPr>
          <t>Pd. For 3 years in 08/09</t>
        </r>
      </text>
    </comment>
    <comment ref="A209" authorId="0">
      <text>
        <r>
          <rPr>
            <b/>
            <sz val="11"/>
            <color indexed="81"/>
            <rFont val="Tahoma"/>
            <family val="2"/>
          </rPr>
          <t>Pricing based on Carnegie Classification</t>
        </r>
      </text>
    </comment>
    <comment ref="E209" authorId="0">
      <text>
        <r>
          <rPr>
            <b/>
            <sz val="11"/>
            <color indexed="81"/>
            <rFont val="Tahoma"/>
            <family val="2"/>
          </rPr>
          <t>Legacy pricing as early adopter</t>
        </r>
      </text>
    </comment>
    <comment ref="G210" authorId="5">
      <text>
        <r>
          <rPr>
            <b/>
            <sz val="8"/>
            <color indexed="81"/>
            <rFont val="Tahoma"/>
            <family val="2"/>
          </rPr>
          <t>ProQuest:</t>
        </r>
        <r>
          <rPr>
            <sz val="8"/>
            <color indexed="81"/>
            <rFont val="Tahoma"/>
            <family val="2"/>
          </rPr>
          <t xml:space="preserve">
Included in PQ Central, no pricing. </t>
        </r>
      </text>
    </comment>
    <comment ref="B211" authorId="13">
      <text>
        <r>
          <rPr>
            <sz val="12"/>
            <color indexed="81"/>
            <rFont val="Tahoma"/>
            <family val="2"/>
          </rPr>
          <t>ABI/Inform Global  $19,790
ABI/Inform Trade &amp; Industry $1,105
Banking Info Source  $1,105
Asian Business  $1,105
Comptech $1,105
Newstand  $9,285</t>
        </r>
        <r>
          <rPr>
            <sz val="8"/>
            <color indexed="81"/>
            <rFont val="Tahoma"/>
            <family val="2"/>
          </rPr>
          <t xml:space="preserve">
</t>
        </r>
        <r>
          <rPr>
            <sz val="12"/>
            <color indexed="81"/>
            <rFont val="Tahoma"/>
            <family val="2"/>
          </rPr>
          <t>Total is $33,494</t>
        </r>
        <r>
          <rPr>
            <sz val="8"/>
            <color indexed="81"/>
            <rFont val="Tahoma"/>
            <family val="2"/>
          </rPr>
          <t xml:space="preserve">
</t>
        </r>
      </text>
    </comment>
    <comment ref="G212" authorId="5">
      <text>
        <r>
          <rPr>
            <b/>
            <sz val="11"/>
            <color indexed="81"/>
            <rFont val="Tahoma"/>
            <family val="2"/>
          </rPr>
          <t>ProQuest:
Includes ABI.</t>
        </r>
      </text>
    </comment>
    <comment ref="G214" authorId="0">
      <text>
        <r>
          <rPr>
            <b/>
            <sz val="11"/>
            <color indexed="81"/>
            <rFont val="Tahoma"/>
            <family val="2"/>
          </rPr>
          <t>Per Bruce Daley:
S McM has pricing for both subscription and purchasing options</t>
        </r>
      </text>
    </comment>
    <comment ref="D216" authorId="3">
      <text>
        <r>
          <rPr>
            <b/>
            <sz val="11"/>
            <color indexed="81"/>
            <rFont val="Tahoma"/>
            <family val="2"/>
          </rPr>
          <t xml:space="preserve">
</t>
        </r>
        <r>
          <rPr>
            <b/>
            <sz val="14"/>
            <color indexed="81"/>
            <rFont val="Tahoma"/>
            <family val="2"/>
          </rPr>
          <t>JWU=14,078 (RI, FL, NC)
Free with J&amp;W dissertations bound through UMI.  CO campus is not interested in access at this time.</t>
        </r>
      </text>
    </comment>
    <comment ref="J226" authorId="0">
      <text>
        <r>
          <rPr>
            <sz val="11"/>
            <color indexed="81"/>
            <rFont val="Tahoma"/>
            <family val="2"/>
          </rPr>
          <t>Mass. State contract</t>
        </r>
      </text>
    </comment>
    <comment ref="A227" authorId="8">
      <text>
        <r>
          <rPr>
            <sz val="11"/>
            <color indexed="81"/>
            <rFont val="Tahoma"/>
            <family val="2"/>
          </rPr>
          <t>Subscription to the Historical New York Times includes 1851-4 years ago.  Lexis-Nexis will cover the NYT for the current 4 years</t>
        </r>
        <r>
          <rPr>
            <sz val="8"/>
            <color indexed="81"/>
            <rFont val="Tahoma"/>
            <family val="2"/>
          </rPr>
          <t xml:space="preserve">
</t>
        </r>
      </text>
    </comment>
    <comment ref="B227" authorId="6">
      <text>
        <r>
          <rPr>
            <sz val="12"/>
            <color indexed="81"/>
            <rFont val="Arial"/>
            <family val="2"/>
          </rPr>
          <t>Subscription to HNP: NY Times</t>
        </r>
      </text>
    </comment>
    <comment ref="E227" authorId="6">
      <text>
        <r>
          <rPr>
            <sz val="12"/>
            <color indexed="81"/>
            <rFont val="Arial"/>
            <family val="2"/>
          </rPr>
          <t>Subscription to HNP: NY Times</t>
        </r>
      </text>
    </comment>
    <comment ref="F227" authorId="6">
      <text>
        <r>
          <rPr>
            <sz val="12"/>
            <color indexed="81"/>
            <rFont val="Arial"/>
            <family val="2"/>
          </rPr>
          <t>Purchase of HNP: NY Times.  Cont Service Fee</t>
        </r>
        <r>
          <rPr>
            <sz val="8"/>
            <color indexed="81"/>
            <rFont val="Tahoma"/>
            <family val="2"/>
          </rPr>
          <t xml:space="preserve">
</t>
        </r>
      </text>
    </comment>
    <comment ref="G227" authorId="0">
      <text>
        <r>
          <rPr>
            <sz val="11"/>
            <color indexed="81"/>
            <rFont val="Tahoma"/>
            <family val="2"/>
          </rPr>
          <t xml:space="preserve">Subscription to HNP: NY Times. </t>
        </r>
      </text>
    </comment>
    <comment ref="H227" authorId="6">
      <text>
        <r>
          <rPr>
            <sz val="12"/>
            <color indexed="81"/>
            <rFont val="Arial"/>
            <family val="2"/>
          </rPr>
          <t xml:space="preserve">Subscription to HNP: NY Times. </t>
        </r>
      </text>
    </comment>
    <comment ref="J227" authorId="0">
      <text>
        <r>
          <rPr>
            <sz val="11"/>
            <color indexed="81"/>
            <rFont val="Tahoma"/>
            <family val="2"/>
          </rPr>
          <t>Subscription to HNP: NYTImes</t>
        </r>
      </text>
    </comment>
    <comment ref="B228" authorId="5">
      <text>
        <r>
          <rPr>
            <b/>
            <sz val="8"/>
            <color indexed="81"/>
            <rFont val="Tahoma"/>
            <family val="2"/>
          </rPr>
          <t>ProQuest:</t>
        </r>
        <r>
          <rPr>
            <sz val="8"/>
            <color indexed="81"/>
            <rFont val="Tahoma"/>
            <family val="2"/>
          </rPr>
          <t xml:space="preserve">
Subscriptio to Prov Journal</t>
        </r>
      </text>
    </comment>
    <comment ref="D228" authorId="0">
      <text>
        <r>
          <rPr>
            <b/>
            <sz val="11"/>
            <color indexed="81"/>
            <rFont val="Tahoma"/>
            <family val="2"/>
          </rPr>
          <t xml:space="preserve">
</t>
        </r>
        <r>
          <rPr>
            <b/>
            <sz val="14"/>
            <color indexed="81"/>
            <rFont val="Tahoma"/>
            <family val="2"/>
          </rPr>
          <t>JWU=9,796 (RI only)</t>
        </r>
        <r>
          <rPr>
            <b/>
            <sz val="11"/>
            <color indexed="81"/>
            <rFont val="Tahoma"/>
            <family val="2"/>
          </rPr>
          <t xml:space="preserve">                                                      </t>
        </r>
        <r>
          <rPr>
            <b/>
            <sz val="14"/>
            <color indexed="81"/>
            <rFont val="Tahoma"/>
            <family val="2"/>
          </rPr>
          <t>Subscription to Prov Journal</t>
        </r>
        <r>
          <rPr>
            <sz val="8"/>
            <color indexed="81"/>
            <rFont val="Tahoma"/>
            <family val="2"/>
          </rPr>
          <t xml:space="preserve">
</t>
        </r>
      </text>
    </comment>
    <comment ref="E228" authorId="5">
      <text>
        <r>
          <rPr>
            <b/>
            <sz val="8"/>
            <color indexed="81"/>
            <rFont val="Tahoma"/>
            <family val="2"/>
          </rPr>
          <t>ProQuest:</t>
        </r>
        <r>
          <rPr>
            <sz val="8"/>
            <color indexed="81"/>
            <rFont val="Tahoma"/>
            <family val="2"/>
          </rPr>
          <t xml:space="preserve">
Sub to Prov Journal</t>
        </r>
      </text>
    </comment>
    <comment ref="G228" authorId="5">
      <text>
        <r>
          <rPr>
            <b/>
            <sz val="8"/>
            <color indexed="81"/>
            <rFont val="Tahoma"/>
            <family val="2"/>
          </rPr>
          <t>ProQuest:</t>
        </r>
        <r>
          <rPr>
            <sz val="8"/>
            <color indexed="81"/>
            <rFont val="Tahoma"/>
            <family val="2"/>
          </rPr>
          <t xml:space="preserve">
Sub to Prov Journal</t>
        </r>
      </text>
    </comment>
    <comment ref="H228" authorId="5">
      <text>
        <r>
          <rPr>
            <b/>
            <sz val="8"/>
            <color indexed="81"/>
            <rFont val="Tahoma"/>
            <family val="2"/>
          </rPr>
          <t>ProQuest:</t>
        </r>
        <r>
          <rPr>
            <sz val="8"/>
            <color indexed="81"/>
            <rFont val="Tahoma"/>
            <family val="2"/>
          </rPr>
          <t xml:space="preserve">
Sub to Prov Journal</t>
        </r>
      </text>
    </comment>
    <comment ref="I228" authorId="5">
      <text>
        <r>
          <rPr>
            <b/>
            <sz val="8"/>
            <color indexed="81"/>
            <rFont val="Tahoma"/>
            <family val="2"/>
          </rPr>
          <t>ProQuest:</t>
        </r>
        <r>
          <rPr>
            <sz val="8"/>
            <color indexed="81"/>
            <rFont val="Tahoma"/>
            <family val="2"/>
          </rPr>
          <t xml:space="preserve">
Sub to Prov Journal</t>
        </r>
      </text>
    </comment>
    <comment ref="J228" authorId="0">
      <text>
        <r>
          <rPr>
            <sz val="11"/>
            <color indexed="81"/>
            <rFont val="Tahoma"/>
            <family val="2"/>
          </rPr>
          <t>Mass. State contract</t>
        </r>
      </text>
    </comment>
    <comment ref="D230" authorId="0">
      <text>
        <r>
          <rPr>
            <sz val="8"/>
            <color indexed="81"/>
            <rFont val="Tahoma"/>
            <family val="2"/>
          </rPr>
          <t xml:space="preserve">
</t>
        </r>
        <r>
          <rPr>
            <b/>
            <sz val="14"/>
            <color indexed="81"/>
            <rFont val="Tahoma"/>
            <family val="2"/>
          </rPr>
          <t xml:space="preserve">JWU=9,796 (RI only)      </t>
        </r>
        <r>
          <rPr>
            <sz val="8"/>
            <color indexed="81"/>
            <rFont val="Tahoma"/>
            <family val="2"/>
          </rPr>
          <t xml:space="preserve">                                                                                         </t>
        </r>
        <r>
          <rPr>
            <b/>
            <sz val="14"/>
            <color indexed="81"/>
            <rFont val="Tahoma"/>
            <family val="2"/>
          </rPr>
          <t>103 slots
2 SU (simul. users)</t>
        </r>
        <r>
          <rPr>
            <sz val="8"/>
            <color indexed="81"/>
            <rFont val="Tahoma"/>
            <family val="2"/>
          </rPr>
          <t xml:space="preserve">
</t>
        </r>
      </text>
    </comment>
    <comment ref="G231" authorId="14">
      <text>
        <r>
          <rPr>
            <b/>
            <sz val="12"/>
            <color indexed="81"/>
            <rFont val="Tahoma"/>
            <family val="2"/>
          </rPr>
          <t>Roger Williams University:</t>
        </r>
        <r>
          <rPr>
            <sz val="12"/>
            <color indexed="81"/>
            <rFont val="Tahoma"/>
            <family val="2"/>
          </rPr>
          <t xml:space="preserve">
RI &amp; MASS</t>
        </r>
      </text>
    </comment>
    <comment ref="D232" authorId="3">
      <text>
        <r>
          <rPr>
            <b/>
            <sz val="14"/>
            <color indexed="81"/>
            <rFont val="Tahoma"/>
            <family val="2"/>
          </rPr>
          <t xml:space="preserve">
JWU=15,504</t>
        </r>
      </text>
    </comment>
    <comment ref="J232" authorId="0">
      <text>
        <r>
          <rPr>
            <sz val="11"/>
            <color indexed="81"/>
            <rFont val="Tahoma"/>
            <family val="2"/>
          </rPr>
          <t>Mass. State contract</t>
        </r>
      </text>
    </comment>
    <comment ref="B233" authorId="5">
      <text>
        <r>
          <rPr>
            <b/>
            <sz val="11"/>
            <color indexed="81"/>
            <rFont val="Tahoma"/>
            <family val="2"/>
          </rPr>
          <t>ProQuest:</t>
        </r>
        <r>
          <rPr>
            <sz val="11"/>
            <color indexed="81"/>
            <rFont val="Tahoma"/>
            <family val="2"/>
          </rPr>
          <t xml:space="preserve">
HNP:Wall Street Journal Purchase: Cont Service Fee only</t>
        </r>
      </text>
    </comment>
    <comment ref="E233" authorId="5">
      <text>
        <r>
          <rPr>
            <b/>
            <sz val="8"/>
            <color indexed="81"/>
            <rFont val="Tahoma"/>
            <family val="2"/>
          </rPr>
          <t>ProQuest:</t>
        </r>
        <r>
          <rPr>
            <sz val="8"/>
            <color indexed="81"/>
            <rFont val="Tahoma"/>
            <family val="2"/>
          </rPr>
          <t xml:space="preserve">
Sub to HNP: Wall Street Journal</t>
        </r>
      </text>
    </comment>
    <comment ref="J235" authorId="5">
      <text>
        <r>
          <rPr>
            <b/>
            <sz val="8"/>
            <color indexed="81"/>
            <rFont val="Tahoma"/>
            <family val="2"/>
          </rPr>
          <t>ProQuest:</t>
        </r>
        <r>
          <rPr>
            <sz val="8"/>
            <color indexed="81"/>
            <rFont val="Tahoma"/>
            <family val="2"/>
          </rPr>
          <t xml:space="preserve">
Sub to HNP: Washington Post</t>
        </r>
      </text>
    </comment>
    <comment ref="G236" authorId="15">
      <text>
        <r>
          <rPr>
            <b/>
            <sz val="9"/>
            <color indexed="81"/>
            <rFont val="Tahoma"/>
            <family val="2"/>
          </rPr>
          <t xml:space="preserve">mrs:
</t>
        </r>
        <r>
          <rPr>
            <b/>
            <sz val="11"/>
            <color indexed="81"/>
            <rFont val="Tahoma"/>
            <family val="2"/>
          </rPr>
          <t>Subscription to Ser. 1 (1690-1876)</t>
        </r>
      </text>
    </comment>
    <comment ref="I239" authorId="0">
      <text>
        <r>
          <rPr>
            <b/>
            <sz val="11"/>
            <color indexed="81"/>
            <rFont val="Tahoma"/>
            <family val="2"/>
          </rPr>
          <t>Invoice for 4/09 - 6/10 pd. March 09:
$2188</t>
        </r>
      </text>
    </comment>
    <comment ref="A241" authorId="0">
      <text>
        <r>
          <rPr>
            <b/>
            <sz val="11"/>
            <color indexed="81"/>
            <rFont val="Tahoma"/>
            <family val="2"/>
          </rPr>
          <t>Consortium discounting @ 15% begins when 3 members subscribe (or if the total value of the subscription is $10,000).  A second tier of discouning (20%) kicks in when 10 members subscribe (or if the total subscription value reaches $50,000).
Discount being given to URI again even through 3 libraries are not subscribing.</t>
        </r>
      </text>
    </comment>
    <comment ref="A242" authorId="0">
      <text>
        <r>
          <rPr>
            <b/>
            <sz val="11"/>
            <color indexed="81"/>
            <rFont val="Tahoma"/>
            <family val="2"/>
          </rPr>
          <t>Pricing based on no. of individual users</t>
        </r>
      </text>
    </comment>
    <comment ref="C242" authorId="0">
      <text>
        <r>
          <rPr>
            <b/>
            <sz val="11"/>
            <color indexed="81"/>
            <rFont val="Tahoma"/>
            <family val="2"/>
          </rPr>
          <t xml:space="preserve">100 users
All languages @ $75 ea = $7500
</t>
        </r>
      </text>
    </comment>
    <comment ref="I243" authorId="0">
      <text>
        <r>
          <rPr>
            <b/>
            <sz val="11"/>
            <color indexed="81"/>
            <rFont val="Tahoma"/>
            <family val="2"/>
          </rPr>
          <t>Package B -- online
2009 cost shown</t>
        </r>
      </text>
    </comment>
    <comment ref="A246" authorId="0">
      <text>
        <r>
          <rPr>
            <b/>
            <sz val="11"/>
            <color indexed="81"/>
            <rFont val="Tahoma"/>
            <family val="2"/>
          </rPr>
          <t>SAGE is changing their pricing to base it on Carnegie Class.  New pricing will not be available until July.
HELIN will look into going direct as SAGE rep. thinks there will be no financial advantage to renewing through NERL</t>
        </r>
      </text>
    </comment>
    <comment ref="D246" authorId="0">
      <text>
        <r>
          <rPr>
            <b/>
            <sz val="11"/>
            <color indexed="81"/>
            <rFont val="Tahoma"/>
            <family val="2"/>
          </rPr>
          <t>FTE = 11,222
Prov &amp; Denver</t>
        </r>
      </text>
    </comment>
    <comment ref="A250" authorId="0">
      <text>
        <r>
          <rPr>
            <b/>
            <sz val="11"/>
            <color indexed="81"/>
            <rFont val="Tahoma"/>
            <family val="2"/>
          </rPr>
          <t xml:space="preserve">Includes 10% consortium discount </t>
        </r>
      </text>
    </comment>
    <comment ref="C250" authorId="0">
      <text>
        <r>
          <rPr>
            <b/>
            <sz val="11"/>
            <color indexed="81"/>
            <rFont val="Tahoma"/>
            <family val="2"/>
          </rPr>
          <t xml:space="preserve">1 user
</t>
        </r>
      </text>
    </comment>
    <comment ref="E250" authorId="0">
      <text>
        <r>
          <rPr>
            <b/>
            <sz val="11"/>
            <color indexed="81"/>
            <rFont val="Tahoma"/>
            <family val="2"/>
          </rPr>
          <t>Unlimited users</t>
        </r>
      </text>
    </comment>
    <comment ref="G250" authorId="0">
      <text>
        <r>
          <rPr>
            <b/>
            <sz val="11"/>
            <color indexed="81"/>
            <rFont val="Tahoma"/>
            <family val="2"/>
          </rPr>
          <t>1 user</t>
        </r>
      </text>
    </comment>
    <comment ref="A251" authorId="0">
      <text>
        <r>
          <rPr>
            <b/>
            <sz val="11"/>
            <color indexed="81"/>
            <rFont val="Tahoma"/>
            <family val="2"/>
          </rPr>
          <t xml:space="preserve">Includes 10% consortium discount </t>
        </r>
      </text>
    </comment>
    <comment ref="A254" authorId="0">
      <text>
        <r>
          <rPr>
            <b/>
            <sz val="11"/>
            <color indexed="81"/>
            <rFont val="Tahoma"/>
            <family val="2"/>
          </rPr>
          <t>Includes 12% HELIN discount</t>
        </r>
      </text>
    </comment>
    <comment ref="F254" authorId="9">
      <text>
        <r>
          <rPr>
            <b/>
            <sz val="11"/>
            <color indexed="81"/>
            <rFont val="Tahoma"/>
            <family val="2"/>
          </rPr>
          <t>6 sim. Users and $75- remote access fee
1-time lower price in response to fiscal situation</t>
        </r>
      </text>
    </comment>
    <comment ref="A255" authorId="0">
      <text>
        <r>
          <rPr>
            <b/>
            <sz val="11"/>
            <color indexed="81"/>
            <rFont val="Tahoma"/>
            <family val="2"/>
          </rPr>
          <t>Includes 12% HELIN discount</t>
        </r>
      </text>
    </comment>
    <comment ref="B255" authorId="0">
      <text>
        <r>
          <rPr>
            <b/>
            <sz val="11"/>
            <color indexed="81"/>
            <rFont val="Tahoma"/>
            <family val="2"/>
          </rPr>
          <t>6 simul.users and $750 remote license fee</t>
        </r>
      </text>
    </comment>
    <comment ref="E255" authorId="0">
      <text>
        <r>
          <rPr>
            <b/>
            <sz val="11"/>
            <color indexed="81"/>
            <rFont val="Tahoma"/>
            <family val="2"/>
          </rPr>
          <t>3 simult. Users and $750 remote access fee</t>
        </r>
      </text>
    </comment>
    <comment ref="G255" authorId="0">
      <text>
        <r>
          <rPr>
            <b/>
            <sz val="11"/>
            <color indexed="81"/>
            <rFont val="Tahoma"/>
            <family val="2"/>
          </rPr>
          <t>3 simult. users</t>
        </r>
      </text>
    </comment>
    <comment ref="I256" authorId="0">
      <text>
        <r>
          <rPr>
            <b/>
            <sz val="11"/>
            <color indexed="81"/>
            <rFont val="Tahoma"/>
            <family val="2"/>
          </rPr>
          <t>Part of ACS Web ed. but invoiced by Wiley</t>
        </r>
      </text>
    </comment>
    <comment ref="I258" authorId="0">
      <text>
        <r>
          <rPr>
            <b/>
            <sz val="11"/>
            <color indexed="81"/>
            <rFont val="Tahoma"/>
            <family val="2"/>
          </rPr>
          <t>est. 5% increase by vendor</t>
        </r>
      </text>
    </comment>
    <comment ref="A260" authorId="0">
      <text>
        <r>
          <rPr>
            <b/>
            <sz val="11"/>
            <color indexed="81"/>
            <rFont val="Tahoma"/>
            <family val="2"/>
          </rPr>
          <t>Annual access fee only</t>
        </r>
      </text>
    </comment>
    <comment ref="F260" authorId="6">
      <text>
        <r>
          <rPr>
            <sz val="12"/>
            <color indexed="81"/>
            <rFont val="Arial"/>
            <family val="2"/>
          </rPr>
          <t>Access Fee Only</t>
        </r>
        <r>
          <rPr>
            <sz val="8"/>
            <color indexed="81"/>
            <rFont val="Tahoma"/>
            <family val="2"/>
          </rPr>
          <t xml:space="preserve">
</t>
        </r>
      </text>
    </comment>
    <comment ref="H260" authorId="6">
      <text>
        <r>
          <rPr>
            <sz val="12"/>
            <color indexed="81"/>
            <rFont val="Arial"/>
            <family val="2"/>
          </rPr>
          <t>Access Fee Only</t>
        </r>
        <r>
          <rPr>
            <sz val="8"/>
            <color indexed="81"/>
            <rFont val="Tahoma"/>
            <family val="2"/>
          </rPr>
          <t xml:space="preserve">
</t>
        </r>
      </text>
    </comment>
    <comment ref="I260" authorId="0">
      <text>
        <r>
          <rPr>
            <b/>
            <sz val="11"/>
            <color indexed="81"/>
            <rFont val="Tahoma"/>
            <family val="2"/>
          </rPr>
          <t>Access fee for 4/08-6/10 paid in 4/08</t>
        </r>
      </text>
    </comment>
    <comment ref="F265" authorId="0">
      <text>
        <r>
          <rPr>
            <b/>
            <sz val="11"/>
            <color indexed="81"/>
            <rFont val="Tahoma"/>
            <family val="2"/>
          </rPr>
          <t>Access fee only</t>
        </r>
      </text>
    </comment>
    <comment ref="A266" authorId="0">
      <text>
        <r>
          <rPr>
            <b/>
            <sz val="11"/>
            <color indexed="81"/>
            <rFont val="Tahoma"/>
            <family val="2"/>
          </rPr>
          <t>Including ERIC</t>
        </r>
      </text>
    </comment>
    <comment ref="D266" authorId="0">
      <text>
        <r>
          <rPr>
            <b/>
            <sz val="11"/>
            <color indexed="81"/>
            <rFont val="Tahoma"/>
            <family val="2"/>
          </rPr>
          <t xml:space="preserve">
</t>
        </r>
        <r>
          <rPr>
            <b/>
            <sz val="14"/>
            <color indexed="81"/>
            <rFont val="Tahoma"/>
            <family val="2"/>
          </rPr>
          <t>JWU=14,078 (RI, FL, NC)</t>
        </r>
      </text>
    </comment>
    <comment ref="I266" authorId="0">
      <text>
        <r>
          <rPr>
            <b/>
            <sz val="11"/>
            <color indexed="81"/>
            <rFont val="Tahoma"/>
            <family val="2"/>
          </rPr>
          <t>Access fee for 4/08-6/10 paid in 4/08</t>
        </r>
      </text>
    </comment>
    <comment ref="A267" authorId="0">
      <text>
        <r>
          <rPr>
            <b/>
            <sz val="11"/>
            <color indexed="81"/>
            <rFont val="Tahoma"/>
            <family val="2"/>
          </rPr>
          <t>Annual access fee only</t>
        </r>
      </text>
    </comment>
    <comment ref="F267" authorId="0">
      <text>
        <r>
          <rPr>
            <b/>
            <sz val="11"/>
            <color indexed="81"/>
            <rFont val="Tahoma"/>
            <family val="2"/>
          </rPr>
          <t>Access fee only</t>
        </r>
      </text>
    </comment>
    <comment ref="I267" authorId="0">
      <text>
        <r>
          <rPr>
            <b/>
            <sz val="11"/>
            <color indexed="81"/>
            <rFont val="Tahoma"/>
            <family val="2"/>
          </rPr>
          <t>Access fee for 4/08-6/10 paid in 4/08</t>
        </r>
      </text>
    </comment>
    <comment ref="A268" authorId="0">
      <text>
        <r>
          <rPr>
            <b/>
            <sz val="11"/>
            <color indexed="81"/>
            <rFont val="Tahoma"/>
            <family val="2"/>
          </rPr>
          <t>Annual access fee only</t>
        </r>
      </text>
    </comment>
    <comment ref="F268" authorId="0">
      <text>
        <r>
          <rPr>
            <b/>
            <sz val="11"/>
            <color indexed="81"/>
            <rFont val="Tahoma"/>
            <family val="2"/>
          </rPr>
          <t>Access fee only</t>
        </r>
      </text>
    </comment>
    <comment ref="I268" authorId="0">
      <text>
        <r>
          <rPr>
            <b/>
            <sz val="11"/>
            <color indexed="81"/>
            <rFont val="Tahoma"/>
            <family val="2"/>
          </rPr>
          <t>Access fee for 4/08-6/10 paid in 4/08</t>
        </r>
      </text>
    </comment>
    <comment ref="A271" authorId="0">
      <text>
        <r>
          <rPr>
            <sz val="8"/>
            <color indexed="81"/>
            <rFont val="Tahoma"/>
            <family val="2"/>
          </rPr>
          <t xml:space="preserve">
</t>
        </r>
        <r>
          <rPr>
            <b/>
            <sz val="11"/>
            <color indexed="81"/>
            <rFont val="Tahoma"/>
            <family val="2"/>
          </rPr>
          <t>Access fee only</t>
        </r>
      </text>
    </comment>
    <comment ref="E271" authorId="0">
      <text>
        <r>
          <rPr>
            <b/>
            <sz val="11"/>
            <color indexed="81"/>
            <rFont val="Tahoma"/>
            <family val="2"/>
          </rPr>
          <t>Access fee only</t>
        </r>
      </text>
    </comment>
    <comment ref="F271" authorId="0">
      <text>
        <r>
          <rPr>
            <b/>
            <sz val="11"/>
            <color indexed="81"/>
            <rFont val="Tahoma"/>
            <family val="2"/>
          </rPr>
          <t>Access fee only</t>
        </r>
      </text>
    </comment>
    <comment ref="G271" authorId="0">
      <text>
        <r>
          <rPr>
            <b/>
            <sz val="11"/>
            <color indexed="81"/>
            <rFont val="Tahoma"/>
            <family val="2"/>
          </rPr>
          <t>Access fee only</t>
        </r>
      </text>
    </comment>
    <comment ref="I271" authorId="0">
      <text>
        <r>
          <rPr>
            <b/>
            <sz val="11"/>
            <color indexed="81"/>
            <rFont val="Tahoma"/>
            <family val="2"/>
          </rPr>
          <t>Access fee only</t>
        </r>
      </text>
    </comment>
    <comment ref="D273" authorId="3">
      <text>
        <r>
          <rPr>
            <sz val="8"/>
            <color indexed="81"/>
            <rFont val="Tahoma"/>
            <family val="2"/>
          </rPr>
          <t xml:space="preserve">
</t>
        </r>
        <r>
          <rPr>
            <b/>
            <sz val="14"/>
            <color indexed="81"/>
            <rFont val="Tahoma"/>
            <family val="2"/>
          </rPr>
          <t>JWU=14,078 (RI, FL, NC)</t>
        </r>
      </text>
    </comment>
    <comment ref="I278" authorId="0">
      <text>
        <r>
          <rPr>
            <b/>
            <sz val="11"/>
            <color indexed="81"/>
            <rFont val="Tahoma"/>
            <family val="2"/>
          </rPr>
          <t>Separate bill to be sent to Educ. Dept 
2 yr. subscription to be paid from grant</t>
        </r>
      </text>
    </comment>
  </commentList>
</comments>
</file>

<file path=xl/comments2.xml><?xml version="1.0" encoding="utf-8"?>
<comments xmlns="http://schemas.openxmlformats.org/spreadsheetml/2006/main">
  <authors>
    <author xml:space="preserve"> User</author>
    <author>Martha</author>
    <author>sreynolds</author>
    <author>Janice Schuster</author>
    <author>Information Services</author>
    <author>ljlarson</author>
    <author>Bob Aspri</author>
    <author>Amy Thurlow</author>
    <author>EBSCO Employee</author>
    <author>Karen Ramsay</author>
    <author>Staff</author>
    <author>Rhode Island College</author>
    <author>Karen</author>
    <author>Maria Brady</author>
    <author>agulbankian</author>
    <author>Armine Gulbankian</author>
    <author>bdaley</author>
    <author>ProQuest</author>
    <author>Administrator</author>
    <author>Dorcas Haller</author>
    <author>Roger Williams University</author>
    <author>mrs</author>
  </authors>
  <commentList>
    <comment ref="E3" authorId="0">
      <text>
        <r>
          <rPr>
            <b/>
            <sz val="11"/>
            <color indexed="81"/>
            <rFont val="Tahoma"/>
            <family val="2"/>
          </rPr>
          <t>Total for all campuses = 14,842
Providence = 8970
Charlotte, NC = 2436
Denver, CO = 1,440
N. Miami, FL = 1,996</t>
        </r>
      </text>
    </comment>
    <comment ref="A7" authorId="0">
      <text>
        <r>
          <rPr>
            <b/>
            <sz val="8"/>
            <color indexed="81"/>
            <rFont val="Tahoma"/>
            <family val="2"/>
          </rPr>
          <t xml:space="preserve"> </t>
        </r>
        <r>
          <rPr>
            <b/>
            <sz val="11"/>
            <color indexed="81"/>
            <rFont val="Tahoma"/>
            <family val="2"/>
          </rPr>
          <t>Includes 2 databases:
Daily Life through History
World Cultures Today</t>
        </r>
      </text>
    </comment>
    <comment ref="A11" authorId="1">
      <text>
        <r>
          <rPr>
            <b/>
            <sz val="8"/>
            <color indexed="81"/>
            <rFont val="Tahoma"/>
            <family val="2"/>
          </rPr>
          <t>Martha:</t>
        </r>
        <r>
          <rPr>
            <sz val="8"/>
            <color indexed="81"/>
            <rFont val="Tahoma"/>
            <family val="2"/>
          </rPr>
          <t xml:space="preserve">
</t>
        </r>
        <r>
          <rPr>
            <sz val="11"/>
            <color indexed="81"/>
            <rFont val="Tahoma"/>
            <family val="2"/>
          </rPr>
          <t>2-4 libraries 10% consortial discount.
5+ libraries : discount increases to 15%</t>
        </r>
      </text>
    </comment>
    <comment ref="E11" authorId="2">
      <text>
        <r>
          <rPr>
            <b/>
            <sz val="8"/>
            <color indexed="81"/>
            <rFont val="Tahoma"/>
            <family val="2"/>
          </rPr>
          <t>sreynolds:</t>
        </r>
        <r>
          <rPr>
            <sz val="8"/>
            <color indexed="81"/>
            <rFont val="Tahoma"/>
            <family val="2"/>
          </rPr>
          <t xml:space="preserve">
</t>
        </r>
        <r>
          <rPr>
            <b/>
            <sz val="14"/>
            <color indexed="81"/>
            <rFont val="Tahoma"/>
            <family val="2"/>
          </rPr>
          <t xml:space="preserve">JWU = 14,842
</t>
        </r>
      </text>
    </comment>
    <comment ref="F11" authorId="1">
      <text>
        <r>
          <rPr>
            <b/>
            <sz val="8"/>
            <color indexed="81"/>
            <rFont val="Tahoma"/>
            <charset val="1"/>
          </rPr>
          <t>Martha:</t>
        </r>
        <r>
          <rPr>
            <sz val="8"/>
            <color indexed="81"/>
            <rFont val="Tahoma"/>
            <charset val="1"/>
          </rPr>
          <t xml:space="preserve">
</t>
        </r>
        <r>
          <rPr>
            <sz val="11"/>
            <color indexed="81"/>
            <rFont val="Tahoma"/>
            <family val="2"/>
          </rPr>
          <t xml:space="preserve">$ 637.50
</t>
        </r>
      </text>
    </comment>
    <comment ref="H11" authorId="1">
      <text>
        <r>
          <rPr>
            <b/>
            <sz val="8"/>
            <color indexed="81"/>
            <rFont val="Tahoma"/>
            <charset val="1"/>
          </rPr>
          <t>Martha:</t>
        </r>
        <r>
          <rPr>
            <sz val="8"/>
            <color indexed="81"/>
            <rFont val="Tahoma"/>
            <charset val="1"/>
          </rPr>
          <t xml:space="preserve">
</t>
        </r>
        <r>
          <rPr>
            <sz val="11"/>
            <color indexed="81"/>
            <rFont val="Tahoma"/>
            <family val="2"/>
          </rPr>
          <t xml:space="preserve">$ 637.50
</t>
        </r>
      </text>
    </comment>
    <comment ref="I11" authorId="1">
      <text>
        <r>
          <rPr>
            <b/>
            <sz val="8"/>
            <color indexed="81"/>
            <rFont val="Tahoma"/>
            <charset val="1"/>
          </rPr>
          <t>Martha:</t>
        </r>
        <r>
          <rPr>
            <sz val="8"/>
            <color indexed="81"/>
            <rFont val="Tahoma"/>
            <charset val="1"/>
          </rPr>
          <t xml:space="preserve">
</t>
        </r>
        <r>
          <rPr>
            <sz val="11"/>
            <color indexed="81"/>
            <rFont val="Tahoma"/>
            <family val="2"/>
          </rPr>
          <t xml:space="preserve">$ 637.50
</t>
        </r>
      </text>
    </comment>
    <comment ref="K11" authorId="1">
      <text>
        <r>
          <rPr>
            <b/>
            <sz val="8"/>
            <color indexed="81"/>
            <rFont val="Tahoma"/>
            <charset val="1"/>
          </rPr>
          <t>Martha:</t>
        </r>
        <r>
          <rPr>
            <sz val="8"/>
            <color indexed="81"/>
            <rFont val="Tahoma"/>
            <charset val="1"/>
          </rPr>
          <t xml:space="preserve">
</t>
        </r>
        <r>
          <rPr>
            <sz val="11"/>
            <color indexed="81"/>
            <rFont val="Tahoma"/>
            <family val="2"/>
          </rPr>
          <t xml:space="preserve">$ 637.50
</t>
        </r>
      </text>
    </comment>
    <comment ref="A13" authorId="0">
      <text>
        <r>
          <rPr>
            <b/>
            <sz val="11"/>
            <color indexed="81"/>
            <rFont val="Tahoma"/>
            <family val="2"/>
          </rPr>
          <t>Pricing based on no. of simult. Users
Includes 10% HELIN discount</t>
        </r>
      </text>
    </comment>
    <comment ref="F13" authorId="0">
      <text>
        <r>
          <rPr>
            <sz val="11"/>
            <color indexed="81"/>
            <rFont val="Tahoma"/>
            <family val="2"/>
          </rPr>
          <t>3 simul. users</t>
        </r>
      </text>
    </comment>
    <comment ref="A14" authorId="0">
      <text>
        <r>
          <rPr>
            <b/>
            <sz val="11"/>
            <color indexed="81"/>
            <rFont val="Tahoma"/>
            <family val="2"/>
          </rPr>
          <t>Includes 10% HELIN discount
unlim. users</t>
        </r>
      </text>
    </comment>
    <comment ref="C14" authorId="0">
      <text>
        <r>
          <rPr>
            <sz val="11"/>
            <color indexed="81"/>
            <rFont val="Tahoma"/>
            <family val="2"/>
          </rPr>
          <t>Unliimited SU</t>
        </r>
      </text>
    </comment>
    <comment ref="G15" authorId="0">
      <text>
        <r>
          <rPr>
            <sz val="11"/>
            <color indexed="81"/>
            <rFont val="Tahoma"/>
            <family val="2"/>
          </rPr>
          <t>3 simul. users</t>
        </r>
      </text>
    </comment>
    <comment ref="A16" authorId="0">
      <text>
        <r>
          <rPr>
            <b/>
            <sz val="11"/>
            <color indexed="81"/>
            <rFont val="Tahoma"/>
            <family val="2"/>
          </rPr>
          <t>Pricing based on no. of simult. Users
Includes 10% HELIN discount</t>
        </r>
      </text>
    </comment>
    <comment ref="H16" authorId="0">
      <text>
        <r>
          <rPr>
            <b/>
            <sz val="11"/>
            <color indexed="81"/>
            <rFont val="Tahoma"/>
            <family val="2"/>
          </rPr>
          <t>3 similt. users</t>
        </r>
      </text>
    </comment>
    <comment ref="A17" authorId="0">
      <text>
        <r>
          <rPr>
            <b/>
            <sz val="11"/>
            <color indexed="81"/>
            <rFont val="Tahoma"/>
            <family val="2"/>
          </rPr>
          <t>Per Alex.St.Press:
unlimited users/access to the following 6 databases:
Classical Music Library, Smithsonian Global Sound, African American Music, American Song, Contemporary World Music and Jazz Music Library all with one cross-searchable interface.</t>
        </r>
      </text>
    </comment>
    <comment ref="G17" authorId="1">
      <text>
        <r>
          <rPr>
            <b/>
            <sz val="8"/>
            <color indexed="81"/>
            <rFont val="Tahoma"/>
            <family val="2"/>
          </rPr>
          <t>Martha:</t>
        </r>
        <r>
          <rPr>
            <sz val="8"/>
            <color indexed="81"/>
            <rFont val="Tahoma"/>
            <family val="2"/>
          </rPr>
          <t xml:space="preserve">
</t>
        </r>
        <r>
          <rPr>
            <sz val="11"/>
            <color indexed="81"/>
            <rFont val="Tahoma"/>
            <family val="2"/>
          </rPr>
          <t>unlimited concurrent users
quote rec'd from Gail 3/1/10</t>
        </r>
      </text>
    </comment>
    <comment ref="A18" authorId="0">
      <text>
        <r>
          <rPr>
            <b/>
            <sz val="11"/>
            <color indexed="81"/>
            <rFont val="Tahoma"/>
            <family val="2"/>
          </rPr>
          <t>Unlim. Users ; pricing based on FTE 
Includes 10% HELIN discount</t>
        </r>
      </text>
    </comment>
    <comment ref="A19" authorId="0">
      <text>
        <r>
          <rPr>
            <b/>
            <sz val="11"/>
            <color indexed="81"/>
            <rFont val="Tahoma"/>
            <family val="2"/>
          </rPr>
          <t>Pricing based on no. of simult. users
Includes 10% HELIN discount</t>
        </r>
      </text>
    </comment>
    <comment ref="H19" authorId="0">
      <text>
        <r>
          <rPr>
            <b/>
            <sz val="11"/>
            <color indexed="81"/>
            <rFont val="Tahoma"/>
            <family val="2"/>
          </rPr>
          <t>5 simult. Users - RWU purchased 
This is just the annual access fee</t>
        </r>
      </text>
    </comment>
    <comment ref="I19" authorId="0">
      <text>
        <r>
          <rPr>
            <b/>
            <sz val="11"/>
            <color indexed="81"/>
            <rFont val="Tahoma"/>
            <family val="2"/>
          </rPr>
          <t>4 simult. users</t>
        </r>
      </text>
    </comment>
    <comment ref="A20" authorId="0">
      <text>
        <r>
          <rPr>
            <b/>
            <sz val="11"/>
            <color indexed="81"/>
            <rFont val="Tahoma"/>
            <family val="2"/>
          </rPr>
          <t>Scholar's ed.
Includes 10% HELIN discount</t>
        </r>
      </text>
    </comment>
    <comment ref="A21" authorId="0">
      <text>
        <r>
          <rPr>
            <b/>
            <sz val="11"/>
            <color indexed="81"/>
            <rFont val="Tahoma"/>
            <family val="2"/>
          </rPr>
          <t>All titles online</t>
        </r>
      </text>
    </comment>
    <comment ref="A22" authorId="0">
      <text>
        <r>
          <rPr>
            <b/>
            <sz val="11"/>
            <color indexed="81"/>
            <rFont val="Tahoma"/>
            <family val="2"/>
          </rPr>
          <t>Jason Brown (ACS):
Anticipated ACS 2010 amounts with 5% increase.
May be less but not likely to be more</t>
        </r>
      </text>
    </comment>
    <comment ref="F22" authorId="3">
      <text>
        <r>
          <rPr>
            <b/>
            <sz val="12"/>
            <color indexed="81"/>
            <rFont val="Tahoma"/>
            <family val="2"/>
          </rPr>
          <t>Web ed.: $38944.1
Legacy archives:  $3402.63</t>
        </r>
      </text>
    </comment>
    <comment ref="E23" authorId="2">
      <text>
        <r>
          <rPr>
            <b/>
            <sz val="14"/>
            <color indexed="81"/>
            <rFont val="Tahoma"/>
            <family val="2"/>
          </rPr>
          <t>sreynolds:</t>
        </r>
        <r>
          <rPr>
            <sz val="14"/>
            <color indexed="81"/>
            <rFont val="Tahoma"/>
            <family val="2"/>
          </rPr>
          <t xml:space="preserve">
</t>
        </r>
        <r>
          <rPr>
            <b/>
            <sz val="14"/>
            <color indexed="81"/>
            <rFont val="Tahoma"/>
            <family val="2"/>
          </rPr>
          <t>JWU=10,410 (RI &amp; CO)</t>
        </r>
        <r>
          <rPr>
            <sz val="14"/>
            <color indexed="81"/>
            <rFont val="Tahoma"/>
            <family val="2"/>
          </rPr>
          <t xml:space="preserve">
</t>
        </r>
        <r>
          <rPr>
            <b/>
            <sz val="16"/>
            <color indexed="81"/>
            <rFont val="Tahoma"/>
            <family val="2"/>
          </rPr>
          <t>ADA</t>
        </r>
        <r>
          <rPr>
            <sz val="14"/>
            <color indexed="81"/>
            <rFont val="Tahoma"/>
            <family val="2"/>
          </rPr>
          <t xml:space="preserve">
</t>
        </r>
        <r>
          <rPr>
            <b/>
            <sz val="14"/>
            <color indexed="8"/>
            <rFont val="Tahoma"/>
            <family val="2"/>
          </rPr>
          <t xml:space="preserve">2010-2011 pricing </t>
        </r>
        <r>
          <rPr>
            <sz val="14"/>
            <color indexed="81"/>
            <rFont val="Tahoma"/>
            <family val="2"/>
          </rPr>
          <t xml:space="preserve">
</t>
        </r>
        <r>
          <rPr>
            <b/>
            <sz val="14"/>
            <color indexed="10"/>
            <rFont val="Tahoma"/>
            <family val="2"/>
          </rPr>
          <t>FINAL DECISION 2010:</t>
        </r>
        <r>
          <rPr>
            <b/>
            <sz val="14"/>
            <color indexed="81"/>
            <rFont val="Tahoma"/>
            <family val="2"/>
          </rPr>
          <t xml:space="preserve">
TOTAL for campuses = $2,200 (10 simul. users to start @ $200 each = $2,000 + one-time start-up fee @ $200 total for subscribed JWU campuses.
NOTE: This pricing was obtained by JWU because the ADA does not do trials for consortia.  
Vendor contact: Kay Howarter by phone:  312-899-4797 or email:  khowarter@eatright.org 
</t>
        </r>
        <r>
          <rPr>
            <sz val="14"/>
            <color indexed="81"/>
            <rFont val="Tahoma"/>
            <family val="2"/>
          </rPr>
          <t xml:space="preserve">
(5/20/2010):
You may purchase 10 “seats” for EAL access at $200/seat; the new subscription would require a $200 set up fee, so the</t>
        </r>
        <r>
          <rPr>
            <b/>
            <sz val="14"/>
            <color indexed="81"/>
            <rFont val="Tahoma"/>
            <family val="2"/>
          </rPr>
          <t xml:space="preserve"> total cost of a one year subscription for 10 simultaneous users would be $2,200.</t>
        </r>
        <r>
          <rPr>
            <sz val="14"/>
            <color indexed="81"/>
            <rFont val="Tahoma"/>
            <family val="2"/>
          </rPr>
          <t xml:space="preserve">  </t>
        </r>
        <r>
          <rPr>
            <b/>
            <sz val="14"/>
            <color indexed="81"/>
            <rFont val="Tahoma"/>
            <family val="2"/>
          </rPr>
          <t xml:space="preserve">The renewal fee after one year would be $2,000. </t>
        </r>
        <r>
          <rPr>
            <sz val="14"/>
            <color indexed="81"/>
            <rFont val="Tahoma"/>
            <family val="2"/>
          </rPr>
          <t xml:space="preserve"> I will check on whether additional set up fees are required for multiple campuses. 
5/21/10
The set-up fee will be $200; there will </t>
        </r>
        <r>
          <rPr>
            <u/>
            <sz val="14"/>
            <color indexed="81"/>
            <rFont val="Tahoma"/>
            <family val="2"/>
          </rPr>
          <t>not</t>
        </r>
        <r>
          <rPr>
            <sz val="14"/>
            <color indexed="81"/>
            <rFont val="Tahoma"/>
            <family val="2"/>
          </rPr>
          <t xml:space="preserve"> be an additional set-up fee for the additional campus sites.
(1/19/2010):
</t>
        </r>
        <r>
          <rPr>
            <b/>
            <sz val="14"/>
            <color indexed="81"/>
            <rFont val="Tahoma"/>
            <family val="2"/>
          </rPr>
          <t>Software changes to limit users to a specific number = $200-$500 (initial, one-time fee)
For simultaneous users:
1– 9 non-member subscriptions    = $400 each
Discount for 10 – 19 subscriptions = $200 each
Discount for 20 – 29 subscriptions = $150 each
Discount for 30 – 39 subscriptions = $134 each
• Government rate = 60% of the non-member rate for every category.
• This pricing does not apply to groups made up of individuals who otherwise qualify for ADA membership.</t>
        </r>
        <r>
          <rPr>
            <sz val="8"/>
            <color indexed="81"/>
            <rFont val="Tahoma"/>
            <family val="2"/>
          </rPr>
          <t xml:space="preserve">
</t>
        </r>
        <r>
          <rPr>
            <b/>
            <sz val="12"/>
            <color indexed="81"/>
            <rFont val="Tahoma"/>
            <family val="2"/>
          </rPr>
          <t xml:space="preserve">·  Pricing structure: tiers based on number of simultaneous users--see attachment.  An additional, initial set-up fee may be required for the branch campuses.
·  Content emphasizes diseases &amp; conditions.
·  Intended audience: dieticians in clinical settings (health-care facilities) or institutions such as schools and prisons.
·  No full-text journal articles because they don’t have publishers’ copyright permission; detailed abstracts only. </t>
        </r>
      </text>
    </comment>
    <comment ref="A24" authorId="0">
      <text>
        <r>
          <rPr>
            <b/>
            <sz val="11"/>
            <color indexed="81"/>
            <rFont val="Tahoma"/>
            <family val="2"/>
          </rPr>
          <t>AIP is billing agent for Inst. Of Physics</t>
        </r>
      </text>
    </comment>
    <comment ref="A25" authorId="1">
      <text>
        <r>
          <rPr>
            <b/>
            <sz val="8"/>
            <color indexed="81"/>
            <rFont val="Tahoma"/>
            <family val="2"/>
          </rPr>
          <t>Martha:</t>
        </r>
        <r>
          <rPr>
            <sz val="8"/>
            <color indexed="81"/>
            <rFont val="Tahoma"/>
            <family val="2"/>
          </rPr>
          <t xml:space="preserve">
</t>
        </r>
        <r>
          <rPr>
            <sz val="11"/>
            <color indexed="81"/>
            <rFont val="Tahoma"/>
            <family val="2"/>
          </rPr>
          <t>pricing policy changes 9/1/2010 to unlimited users for $495 which HELIN will get with our 2011/12 renewal.
per Rita : ALA still charging our libraries $425 for your renewals for one sim user, and prorate the cost for your accounts that have multiple sim users (which would be $10.42 per month, per sim user).
All libraries go to unlimited users beginning 9/1/2010</t>
        </r>
      </text>
    </comment>
    <comment ref="D25" authorId="0">
      <text>
        <r>
          <rPr>
            <b/>
            <sz val="11"/>
            <color indexed="81"/>
            <rFont val="Tahoma"/>
            <family val="2"/>
          </rPr>
          <t>1 user</t>
        </r>
      </text>
    </comment>
    <comment ref="F25" authorId="0">
      <text>
        <r>
          <rPr>
            <b/>
            <sz val="11"/>
            <color indexed="81"/>
            <rFont val="Tahoma"/>
            <family val="2"/>
          </rPr>
          <t>2 simult. users</t>
        </r>
      </text>
    </comment>
    <comment ref="G25" authorId="1">
      <text>
        <r>
          <rPr>
            <b/>
            <sz val="8"/>
            <color indexed="81"/>
            <rFont val="Tahoma"/>
            <family val="2"/>
          </rPr>
          <t>Martha:</t>
        </r>
        <r>
          <rPr>
            <sz val="8"/>
            <color indexed="81"/>
            <rFont val="Tahoma"/>
            <family val="2"/>
          </rPr>
          <t xml:space="preserve">
</t>
        </r>
        <r>
          <rPr>
            <sz val="11"/>
            <color indexed="81"/>
            <rFont val="Tahoma"/>
            <family val="2"/>
          </rPr>
          <t>1 user
RIC paid through June 2011 because of duplicate payments  last year</t>
        </r>
      </text>
    </comment>
    <comment ref="H25" authorId="0">
      <text>
        <r>
          <rPr>
            <b/>
            <sz val="11"/>
            <color indexed="81"/>
            <rFont val="Tahoma"/>
            <family val="2"/>
          </rPr>
          <t>1 user</t>
        </r>
      </text>
    </comment>
    <comment ref="I25" authorId="1">
      <text>
        <r>
          <rPr>
            <b/>
            <sz val="8"/>
            <color indexed="81"/>
            <rFont val="Tahoma"/>
            <family val="2"/>
          </rPr>
          <t>Martha:</t>
        </r>
        <r>
          <rPr>
            <sz val="8"/>
            <color indexed="81"/>
            <rFont val="Tahoma"/>
            <family val="2"/>
          </rPr>
          <t xml:space="preserve">
</t>
        </r>
        <r>
          <rPr>
            <sz val="11"/>
            <color indexed="81"/>
            <rFont val="Tahoma"/>
            <family val="2"/>
          </rPr>
          <t>4 concurrent users</t>
        </r>
      </text>
    </comment>
    <comment ref="J25" authorId="0">
      <text>
        <r>
          <rPr>
            <b/>
            <sz val="11"/>
            <color indexed="81"/>
            <rFont val="Tahoma"/>
            <family val="2"/>
          </rPr>
          <t>3 simult. users</t>
        </r>
      </text>
    </comment>
    <comment ref="K25" authorId="1">
      <text>
        <r>
          <rPr>
            <b/>
            <sz val="8"/>
            <color indexed="81"/>
            <rFont val="Tahoma"/>
            <family val="2"/>
          </rPr>
          <t>Martha:</t>
        </r>
        <r>
          <rPr>
            <sz val="8"/>
            <color indexed="81"/>
            <rFont val="Tahoma"/>
            <family val="2"/>
          </rPr>
          <t xml:space="preserve">
</t>
        </r>
        <r>
          <rPr>
            <sz val="11"/>
            <color indexed="81"/>
            <rFont val="Tahoma"/>
            <family val="2"/>
          </rPr>
          <t>1 user
prorated pricing for Dec.2010-June 2011</t>
        </r>
      </text>
    </comment>
    <comment ref="A26" authorId="0">
      <text>
        <r>
          <rPr>
            <b/>
            <sz val="11"/>
            <color indexed="81"/>
            <rFont val="Tahoma"/>
            <family val="2"/>
          </rPr>
          <t>10% discount to HELIN members</t>
        </r>
      </text>
    </comment>
    <comment ref="J26" authorId="0">
      <text>
        <r>
          <rPr>
            <b/>
            <sz val="10"/>
            <color indexed="81"/>
            <rFont val="Tahoma"/>
            <family val="2"/>
          </rPr>
          <t>cost includes 10% consortium discount</t>
        </r>
      </text>
    </comment>
    <comment ref="A27" authorId="1">
      <text>
        <r>
          <rPr>
            <b/>
            <sz val="8"/>
            <color indexed="81"/>
            <rFont val="Tahoma"/>
            <family val="2"/>
          </rPr>
          <t>Martha:</t>
        </r>
        <r>
          <rPr>
            <sz val="8"/>
            <color indexed="81"/>
            <rFont val="Tahoma"/>
            <family val="2"/>
          </rPr>
          <t xml:space="preserve">
</t>
        </r>
        <r>
          <rPr>
            <sz val="11"/>
            <color indexed="81"/>
            <rFont val="Tahoma"/>
            <family val="2"/>
          </rPr>
          <t>est. cost; actual quote to be send in May or June</t>
        </r>
      </text>
    </comment>
    <comment ref="H27" authorId="1">
      <text>
        <r>
          <rPr>
            <b/>
            <sz val="8"/>
            <color indexed="81"/>
            <rFont val="Tahoma"/>
            <charset val="1"/>
          </rPr>
          <t>Martha:</t>
        </r>
        <r>
          <rPr>
            <sz val="8"/>
            <color indexed="81"/>
            <rFont val="Tahoma"/>
            <charset val="1"/>
          </rPr>
          <t xml:space="preserve">
</t>
        </r>
        <r>
          <rPr>
            <sz val="11"/>
            <color indexed="81"/>
            <rFont val="Tahoma"/>
            <family val="2"/>
          </rPr>
          <t>access fee only</t>
        </r>
      </text>
    </comment>
    <comment ref="A28" authorId="0">
      <text>
        <r>
          <rPr>
            <sz val="11"/>
            <color indexed="81"/>
            <rFont val="Tahoma"/>
            <family val="2"/>
          </rPr>
          <t>Inc. all 30 journals</t>
        </r>
      </text>
    </comment>
    <comment ref="A29" authorId="0">
      <text>
        <r>
          <rPr>
            <sz val="11"/>
            <color indexed="81"/>
            <rFont val="Tahoma"/>
            <family val="2"/>
          </rPr>
          <t>Inc. all 30 journals</t>
        </r>
      </text>
    </comment>
    <comment ref="J30" authorId="1">
      <text>
        <r>
          <rPr>
            <b/>
            <sz val="8"/>
            <color indexed="81"/>
            <rFont val="Tahoma"/>
            <family val="2"/>
          </rPr>
          <t>Martha:</t>
        </r>
        <r>
          <rPr>
            <sz val="8"/>
            <color indexed="81"/>
            <rFont val="Tahoma"/>
            <family val="2"/>
          </rPr>
          <t xml:space="preserve">
</t>
        </r>
        <r>
          <rPr>
            <sz val="11"/>
            <color indexed="81"/>
            <rFont val="Tahoma"/>
            <family val="2"/>
          </rPr>
          <t>FOR SCIENCE COLLECTION:
Option B : $4684.50 for current selection of 19 titles 
Option A : $7,776 for all 37 Sciences Collection Journals for 2011.  Includes 14.5% discount &amp; 4 years rolling backfile access.
FOR ECONOMICS COLLECTION:
C.  2011 Economics Collection (Online-only) $1,384
D.  2010 Economics Collection (Online-only) $1,350
E.  2009 Economics Collection (Online-only)  $1,350</t>
        </r>
      </text>
    </comment>
    <comment ref="A31" authorId="0">
      <text>
        <r>
          <rPr>
            <b/>
            <sz val="11"/>
            <color indexed="81"/>
            <rFont val="Tahoma"/>
            <family val="2"/>
          </rPr>
          <t>Per vendor:
3-4% increase in 2010
Board decides in June/July</t>
        </r>
      </text>
    </comment>
    <comment ref="D31" authorId="0">
      <text>
        <r>
          <rPr>
            <b/>
            <sz val="11"/>
            <color indexed="81"/>
            <rFont val="Tahoma"/>
            <family val="2"/>
          </rPr>
          <t>Includes 4% estimated increase</t>
        </r>
      </text>
    </comment>
    <comment ref="F31" authorId="0">
      <text>
        <r>
          <rPr>
            <b/>
            <sz val="11"/>
            <color indexed="81"/>
            <rFont val="Tahoma"/>
            <family val="2"/>
          </rPr>
          <t>Includes 4% estimated increase</t>
        </r>
      </text>
    </comment>
    <comment ref="G31" authorId="0">
      <text>
        <r>
          <rPr>
            <b/>
            <sz val="11"/>
            <color indexed="81"/>
            <rFont val="Tahoma"/>
            <family val="2"/>
          </rPr>
          <t xml:space="preserve">
+$9020 (2010 annual fee) pd 1/20/10</t>
        </r>
      </text>
    </comment>
    <comment ref="H31" authorId="0">
      <text>
        <r>
          <rPr>
            <b/>
            <sz val="11"/>
            <color indexed="81"/>
            <rFont val="Tahoma"/>
            <family val="2"/>
          </rPr>
          <t>Includes 4% estimated increase</t>
        </r>
      </text>
    </comment>
    <comment ref="J31" authorId="0">
      <text>
        <r>
          <rPr>
            <b/>
            <sz val="11"/>
            <color indexed="81"/>
            <rFont val="Tahoma"/>
            <family val="2"/>
          </rPr>
          <t>Includes 4% est. increase</t>
        </r>
      </text>
    </comment>
    <comment ref="J32" authorId="0">
      <text>
        <r>
          <rPr>
            <b/>
            <sz val="11"/>
            <color indexed="81"/>
            <rFont val="Tahoma"/>
            <family val="2"/>
          </rPr>
          <t>Switched to Waldo for 2010
Client No. X122549
Amt. is their membership dues</t>
        </r>
      </text>
    </comment>
    <comment ref="D35" authorId="1">
      <text>
        <r>
          <rPr>
            <b/>
            <sz val="8"/>
            <color indexed="81"/>
            <rFont val="Tahoma"/>
            <family val="2"/>
          </rPr>
          <t>Martha:</t>
        </r>
        <r>
          <rPr>
            <sz val="8"/>
            <color indexed="81"/>
            <rFont val="Tahoma"/>
            <family val="2"/>
          </rPr>
          <t xml:space="preserve">
CCRI spent 1029.56 on one-time purchase in 2009/10</t>
        </r>
      </text>
    </comment>
    <comment ref="E36" authorId="2">
      <text>
        <r>
          <rPr>
            <b/>
            <sz val="8"/>
            <color indexed="81"/>
            <rFont val="Tahoma"/>
            <family val="2"/>
          </rPr>
          <t>sreynolds:</t>
        </r>
        <r>
          <rPr>
            <sz val="8"/>
            <color indexed="81"/>
            <rFont val="Tahoma"/>
            <family val="2"/>
          </rPr>
          <t xml:space="preserve">
</t>
        </r>
        <r>
          <rPr>
            <b/>
            <sz val="14"/>
            <color indexed="81"/>
            <rFont val="Tahoma"/>
            <family val="2"/>
          </rPr>
          <t>JWU=11,406</t>
        </r>
      </text>
    </comment>
    <comment ref="J38" authorId="0">
      <text>
        <r>
          <rPr>
            <b/>
            <sz val="11"/>
            <color indexed="81"/>
            <rFont val="Tahoma"/>
            <family val="2"/>
          </rPr>
          <t>bill to library -- separate invoice no longer needed</t>
        </r>
      </text>
    </comment>
    <comment ref="A39" authorId="0">
      <text>
        <r>
          <rPr>
            <b/>
            <sz val="11"/>
            <color indexed="81"/>
            <rFont val="Tahoma"/>
            <family val="2"/>
          </rPr>
          <t>All pricing includes 10% consortium discount</t>
        </r>
      </text>
    </comment>
    <comment ref="A40" authorId="0">
      <text>
        <r>
          <rPr>
            <b/>
            <sz val="11"/>
            <color indexed="81"/>
            <rFont val="Tahoma"/>
            <family val="2"/>
          </rPr>
          <t>All pricing includes 10% consortium discount</t>
        </r>
      </text>
    </comment>
    <comment ref="A41" authorId="0">
      <text>
        <r>
          <rPr>
            <b/>
            <sz val="11"/>
            <color indexed="81"/>
            <rFont val="Tahoma"/>
            <family val="2"/>
          </rPr>
          <t>per vendor:
$1516 for July-Dec. 2009
$1516  plus no more than 7% increase for 2010</t>
        </r>
      </text>
    </comment>
    <comment ref="A44" authorId="0">
      <text>
        <r>
          <rPr>
            <b/>
            <sz val="11"/>
            <color indexed="81"/>
            <rFont val="Tahoma"/>
            <family val="2"/>
          </rPr>
          <t xml:space="preserve">List price for annual subscription with unlim. simul. users -- what libraries will pay if fewer than 5 subscribe.  
</t>
        </r>
      </text>
    </comment>
    <comment ref="F45" authorId="0">
      <text>
        <r>
          <rPr>
            <b/>
            <sz val="11"/>
            <color indexed="81"/>
            <rFont val="Tahoma"/>
            <family val="2"/>
          </rPr>
          <t>price estimate given as 1390 euros
Used Yahoo converter 3/29/10</t>
        </r>
      </text>
    </comment>
    <comment ref="F46" authorId="0">
      <text>
        <r>
          <rPr>
            <b/>
            <sz val="11"/>
            <color indexed="81"/>
            <rFont val="Tahoma"/>
            <family val="2"/>
          </rPr>
          <t>3-year subscription, pd in 08-09
7/1/08-6/30/11
CANCEL when expires</t>
        </r>
      </text>
    </comment>
    <comment ref="G46" authorId="1">
      <text>
        <r>
          <rPr>
            <b/>
            <sz val="8"/>
            <color indexed="81"/>
            <rFont val="Tahoma"/>
            <family val="2"/>
          </rPr>
          <t>Martha:</t>
        </r>
        <r>
          <rPr>
            <sz val="8"/>
            <color indexed="81"/>
            <rFont val="Tahoma"/>
            <family val="2"/>
          </rPr>
          <t xml:space="preserve">
</t>
        </r>
        <r>
          <rPr>
            <sz val="11"/>
            <color indexed="81"/>
            <rFont val="Tahoma"/>
            <family val="2"/>
          </rPr>
          <t>Includes 25% consortial discount
cost for 3-year contract with 30% discount is $1890</t>
        </r>
      </text>
    </comment>
    <comment ref="C47" authorId="4">
      <text>
        <r>
          <rPr>
            <sz val="11"/>
            <color indexed="81"/>
            <rFont val="Tahoma"/>
            <family val="2"/>
          </rPr>
          <t>Direct</t>
        </r>
        <r>
          <rPr>
            <sz val="8"/>
            <color indexed="81"/>
            <rFont val="Tahoma"/>
            <family val="2"/>
          </rPr>
          <t xml:space="preserve">
</t>
        </r>
      </text>
    </comment>
    <comment ref="F47" authorId="3">
      <text>
        <r>
          <rPr>
            <b/>
            <sz val="12"/>
            <color indexed="81"/>
            <rFont val="Arial"/>
            <family val="2"/>
          </rPr>
          <t xml:space="preserve">Business set $900.00
Educational set $449.95
</t>
        </r>
      </text>
    </comment>
    <comment ref="F48" authorId="0">
      <text>
        <r>
          <rPr>
            <b/>
            <sz val="11"/>
            <color indexed="81"/>
            <rFont val="Tahoma"/>
            <family val="2"/>
          </rPr>
          <t xml:space="preserve">Purchased May 07
Access fee only
</t>
        </r>
      </text>
    </comment>
    <comment ref="G48" authorId="0">
      <text>
        <r>
          <rPr>
            <b/>
            <sz val="11"/>
            <color indexed="81"/>
            <rFont val="Tahoma"/>
            <family val="2"/>
          </rPr>
          <t>Purchased in 06 ; access fee only</t>
        </r>
      </text>
    </comment>
    <comment ref="H48" authorId="0">
      <text>
        <r>
          <rPr>
            <b/>
            <sz val="11"/>
            <color indexed="81"/>
            <rFont val="Tahoma"/>
            <family val="2"/>
          </rPr>
          <t>Purchased July 06
Access fee only</t>
        </r>
      </text>
    </comment>
    <comment ref="J49" authorId="0">
      <text>
        <r>
          <rPr>
            <b/>
            <sz val="11"/>
            <color indexed="81"/>
            <rFont val="Tahoma"/>
            <family val="2"/>
          </rPr>
          <t>estimated cost listed
URI will get worksheet in Sept. for actual 2011 calculation</t>
        </r>
      </text>
    </comment>
    <comment ref="F51" authorId="0">
      <text>
        <r>
          <rPr>
            <b/>
            <sz val="11"/>
            <color indexed="81"/>
            <rFont val="Tahoma"/>
            <family val="2"/>
          </rPr>
          <t xml:space="preserve">6 schools (not HELIN) share 3 concurrent users
</t>
        </r>
      </text>
    </comment>
    <comment ref="A52" authorId="0">
      <text>
        <r>
          <rPr>
            <b/>
            <sz val="11"/>
            <color indexed="81"/>
            <rFont val="Tahoma"/>
            <family val="2"/>
          </rPr>
          <t>3 year discounted price in comments</t>
        </r>
      </text>
    </comment>
    <comment ref="D52" authorId="0">
      <text>
        <r>
          <rPr>
            <b/>
            <sz val="11"/>
            <color indexed="81"/>
            <rFont val="Tahoma"/>
            <family val="2"/>
          </rPr>
          <t>Cost if commit to 3 years: $649.71 per year
(09/10, 10/11, 11/12)
CCRI will buy for 3 years. dwh</t>
        </r>
      </text>
    </comment>
    <comment ref="A53" authorId="0">
      <text>
        <r>
          <rPr>
            <b/>
            <sz val="11"/>
            <color indexed="81"/>
            <rFont val="Tahoma"/>
            <family val="2"/>
          </rPr>
          <t>3 year discounted price in comments</t>
        </r>
      </text>
    </comment>
    <comment ref="K53" authorId="0">
      <text>
        <r>
          <rPr>
            <b/>
            <sz val="11"/>
            <color indexed="81"/>
            <rFont val="Tahoma"/>
            <family val="2"/>
          </rPr>
          <t>Per Jean C:
Wheaton commited to 3-year contract at $627.75 per year.  (09/10, 10/11, 11/12)
ost would have been $697.50</t>
        </r>
      </text>
    </comment>
    <comment ref="A54" authorId="0">
      <text>
        <r>
          <rPr>
            <b/>
            <sz val="11"/>
            <color indexed="81"/>
            <rFont val="Tahoma"/>
            <family val="2"/>
          </rPr>
          <t>Includes 15% consortial discount</t>
        </r>
      </text>
    </comment>
    <comment ref="E54"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C56" authorId="0">
      <text>
        <r>
          <rPr>
            <b/>
            <sz val="11"/>
            <color indexed="81"/>
            <rFont val="Tahoma"/>
            <family val="2"/>
          </rPr>
          <t xml:space="preserve"> 5 simult. users</t>
        </r>
      </text>
    </comment>
    <comment ref="F56" authorId="0">
      <text>
        <r>
          <rPr>
            <b/>
            <sz val="11"/>
            <color indexed="81"/>
            <rFont val="Tahoma"/>
            <family val="2"/>
          </rPr>
          <t>10 simult. users</t>
        </r>
        <r>
          <rPr>
            <sz val="11"/>
            <color indexed="81"/>
            <rFont val="Tahoma"/>
            <family val="2"/>
          </rPr>
          <t xml:space="preserve">
</t>
        </r>
      </text>
    </comment>
    <comment ref="G56" authorId="0">
      <text>
        <r>
          <rPr>
            <b/>
            <sz val="11"/>
            <color indexed="81"/>
            <rFont val="Tahoma"/>
            <family val="2"/>
          </rPr>
          <t xml:space="preserve"> 5 simult. users</t>
        </r>
      </text>
    </comment>
    <comment ref="H56" authorId="0">
      <text>
        <r>
          <rPr>
            <b/>
            <sz val="11"/>
            <color indexed="81"/>
            <rFont val="Tahoma"/>
            <family val="2"/>
          </rPr>
          <t xml:space="preserve"> 5 simult. users</t>
        </r>
      </text>
    </comment>
    <comment ref="I56" authorId="0">
      <text>
        <r>
          <rPr>
            <b/>
            <sz val="11"/>
            <color indexed="81"/>
            <rFont val="Tahoma"/>
            <family val="2"/>
          </rPr>
          <t xml:space="preserve"> 5 simult. users</t>
        </r>
      </text>
    </comment>
    <comment ref="J56" authorId="0">
      <text>
        <r>
          <rPr>
            <b/>
            <sz val="11"/>
            <color indexed="81"/>
            <rFont val="Tahoma"/>
            <family val="2"/>
          </rPr>
          <t xml:space="preserve">10 simult. users cost shown
</t>
        </r>
        <r>
          <rPr>
            <sz val="11"/>
            <color indexed="81"/>
            <rFont val="Tahoma"/>
            <family val="2"/>
          </rPr>
          <t xml:space="preserve">
15 users          = $3025.00
Unlim. users   = $3841.00</t>
        </r>
      </text>
    </comment>
    <comment ref="D57" authorId="5">
      <text>
        <r>
          <rPr>
            <b/>
            <sz val="11"/>
            <color indexed="81"/>
            <rFont val="Tahoma"/>
            <family val="2"/>
          </rPr>
          <t>ljlarson:
CCRI already paid $2700 for the front file 1991 Present</t>
        </r>
      </text>
    </comment>
    <comment ref="E59"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C61" authorId="4">
      <text>
        <r>
          <rPr>
            <sz val="11"/>
            <color indexed="81"/>
            <rFont val="Tahoma"/>
            <family val="2"/>
          </rPr>
          <t>Direct</t>
        </r>
        <r>
          <rPr>
            <sz val="8"/>
            <color indexed="81"/>
            <rFont val="Tahoma"/>
            <family val="2"/>
          </rPr>
          <t xml:space="preserve">
</t>
        </r>
      </text>
    </comment>
    <comment ref="E62" authorId="1">
      <text>
        <r>
          <rPr>
            <b/>
            <sz val="8"/>
            <color indexed="81"/>
            <rFont val="Tahoma"/>
            <family val="2"/>
          </rPr>
          <t>Martha:</t>
        </r>
        <r>
          <rPr>
            <sz val="8"/>
            <color indexed="81"/>
            <rFont val="Tahoma"/>
            <family val="2"/>
          </rPr>
          <t xml:space="preserve">
</t>
        </r>
        <r>
          <rPr>
            <sz val="11"/>
            <color indexed="81"/>
            <rFont val="Tahoma"/>
            <family val="2"/>
          </rPr>
          <t>moved from direct to HELIN.  Prorated period of 9/30/10 - 6/30/11</t>
        </r>
      </text>
    </comment>
    <comment ref="A63" authorId="1">
      <text>
        <r>
          <rPr>
            <b/>
            <sz val="8"/>
            <color indexed="81"/>
            <rFont val="Tahoma"/>
            <family val="2"/>
          </rPr>
          <t>Martha:</t>
        </r>
        <r>
          <rPr>
            <sz val="8"/>
            <color indexed="81"/>
            <rFont val="Tahoma"/>
            <family val="2"/>
          </rPr>
          <t xml:space="preserve">
</t>
        </r>
        <r>
          <rPr>
            <sz val="11"/>
            <color indexed="81"/>
            <rFont val="Tahoma"/>
            <family val="2"/>
          </rPr>
          <t>price includes 5% discount</t>
        </r>
      </text>
    </comment>
    <comment ref="A70" authorId="0">
      <text>
        <r>
          <rPr>
            <b/>
            <sz val="11"/>
            <color indexed="81"/>
            <rFont val="Tahoma"/>
            <family val="2"/>
          </rPr>
          <t>$162,742 total</t>
        </r>
      </text>
    </comment>
    <comment ref="A71" authorId="6">
      <text>
        <r>
          <rPr>
            <b/>
            <sz val="11"/>
            <color indexed="81"/>
            <rFont val="Tahoma"/>
            <family val="2"/>
          </rPr>
          <t xml:space="preserve">Content Cafe  includes access to:
-         Book jacket images.
-         Tables of contents.
-         Reviews from the following sources: CHOICE, Booklist, Library Journal, Publishers Weekly, School Library Journal, VOYA, HornBook, and Foreword.
</t>
        </r>
      </text>
    </comment>
    <comment ref="E77"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A81" authorId="1">
      <text>
        <r>
          <rPr>
            <b/>
            <sz val="8"/>
            <color indexed="81"/>
            <rFont val="Tahoma"/>
            <family val="2"/>
          </rPr>
          <t xml:space="preserve">Amy Thurlow:
</t>
        </r>
        <r>
          <rPr>
            <b/>
            <sz val="11"/>
            <color indexed="81"/>
            <rFont val="Tahoma"/>
            <family val="2"/>
          </rPr>
          <t>Because content and pricing for CINAHL with Full Text and CINAHL Plus with Full Text are different, and subscribers to CINAHL Plus with Full Text do not also need CINAHL with Full Text, I have highlighted them in yellow to set them apart from all the databases in the list</t>
        </r>
      </text>
    </comment>
    <comment ref="E86"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J87" authorId="1">
      <text>
        <r>
          <rPr>
            <b/>
            <sz val="11"/>
            <color indexed="81"/>
            <rFont val="Tahoma"/>
            <family val="2"/>
          </rPr>
          <t>Martha:</t>
        </r>
        <r>
          <rPr>
            <sz val="11"/>
            <color indexed="81"/>
            <rFont val="Tahoma"/>
            <family val="2"/>
          </rPr>
          <t xml:space="preserve">
FSTA honored the group price last year even though JWU did not subscribe, but cannot honor it this year hence the increase in price</t>
        </r>
      </text>
    </comment>
    <comment ref="E89"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J91" authorId="7">
      <text>
        <r>
          <rPr>
            <b/>
            <sz val="11"/>
            <color indexed="81"/>
            <rFont val="Tahoma"/>
            <family val="2"/>
          </rPr>
          <t>Amy Thurlow:</t>
        </r>
        <r>
          <rPr>
            <sz val="11"/>
            <color indexed="81"/>
            <rFont val="Tahoma"/>
            <family val="2"/>
          </rPr>
          <t xml:space="preserve">
Multi-year pricing offer: 
Year one: $29808 -- 2008/09
Year two: $31302 -- 2009/10
Year three: $32868 -- 2010/11
Inspec Archive is available for a one-time purchase of $28320</t>
        </r>
      </text>
    </comment>
    <comment ref="F92" authorId="0">
      <text>
        <r>
          <rPr>
            <b/>
            <sz val="11"/>
            <color indexed="81"/>
            <rFont val="Tahoma"/>
            <family val="2"/>
          </rPr>
          <t>Renewal price: $1000 base and $170 per connector: 52 connectors
initial $1200 plus 6 add'l connectors
w/ JSTOR, $2000
Billed $1800 on original invoice.  Billed $8048 on supplemental invoice.</t>
        </r>
      </text>
    </comment>
    <comment ref="H92" authorId="8">
      <text>
        <r>
          <rPr>
            <b/>
            <sz val="8"/>
            <color indexed="81"/>
            <rFont val="Tahoma"/>
            <family val="2"/>
          </rPr>
          <t>Amy T: Integrated Search would not be subscribe to until next year. For budget purposes RWU can plan on a base fee of $1000 with $170 per connector.</t>
        </r>
        <r>
          <rPr>
            <sz val="8"/>
            <color indexed="81"/>
            <rFont val="Tahoma"/>
            <family val="2"/>
          </rPr>
          <t xml:space="preserve"> </t>
        </r>
      </text>
    </comment>
    <comment ref="I92" authorId="0">
      <text>
        <r>
          <rPr>
            <b/>
            <sz val="10"/>
            <color indexed="81"/>
            <rFont val="Tahoma"/>
            <family val="2"/>
          </rPr>
          <t>Renewal price: $1000 base plus $10/connector - 10 connectors</t>
        </r>
        <r>
          <rPr>
            <b/>
            <sz val="12"/>
            <color indexed="81"/>
            <rFont val="Tahoma"/>
            <family val="2"/>
          </rPr>
          <t xml:space="preserve">
Initial $1200 plus 10 add'l connectors</t>
        </r>
      </text>
    </comment>
    <comment ref="A99" authorId="0">
      <text>
        <r>
          <rPr>
            <b/>
            <sz val="11"/>
            <color indexed="81"/>
            <rFont val="Tahoma"/>
            <family val="2"/>
          </rPr>
          <t>NOTE: All price requestors must subscribe for price shown to be valid</t>
        </r>
      </text>
    </comment>
    <comment ref="D102" authorId="0">
      <text>
        <r>
          <rPr>
            <b/>
            <sz val="11"/>
            <color indexed="81"/>
            <rFont val="Tahoma"/>
            <family val="2"/>
          </rPr>
          <t>Price based on 416 in nursing program</t>
        </r>
      </text>
    </comment>
    <comment ref="A104" authorId="0">
      <text>
        <r>
          <rPr>
            <b/>
            <sz val="11"/>
            <color indexed="81"/>
            <rFont val="Tahoma"/>
            <family val="2"/>
          </rPr>
          <t>NOTE: All price requestors must subscribe for price shown to be valid</t>
        </r>
      </text>
    </comment>
    <comment ref="A106" authorId="0">
      <text>
        <r>
          <rPr>
            <b/>
            <sz val="8"/>
            <color indexed="81"/>
            <rFont val="Tahoma"/>
            <family val="2"/>
          </rPr>
          <t xml:space="preserve"> </t>
        </r>
        <r>
          <rPr>
            <b/>
            <sz val="11"/>
            <color indexed="81"/>
            <rFont val="Tahoma"/>
            <family val="2"/>
          </rPr>
          <t>NOTE: All price requestors must subscribe for price shown to be valid</t>
        </r>
      </text>
    </comment>
    <comment ref="A108" authorId="0">
      <text>
        <r>
          <rPr>
            <b/>
            <sz val="11"/>
            <color indexed="81"/>
            <rFont val="Tahoma"/>
            <family val="2"/>
          </rPr>
          <t>NOTE: All price requestors must subscribe for price shown to be valid</t>
        </r>
      </text>
    </comment>
    <comment ref="A111" authorId="0">
      <text>
        <r>
          <rPr>
            <b/>
            <sz val="11"/>
            <color indexed="81"/>
            <rFont val="Tahoma"/>
            <family val="2"/>
          </rPr>
          <t>4 simul.users
NOTE: All price requestors must subscribe for price shown to be valid</t>
        </r>
      </text>
    </comment>
    <comment ref="F111" authorId="7">
      <text>
        <r>
          <rPr>
            <b/>
            <sz val="11"/>
            <color indexed="81"/>
            <rFont val="Tahoma"/>
            <family val="2"/>
          </rPr>
          <t>Amy Thurlow:</t>
        </r>
        <r>
          <rPr>
            <sz val="11"/>
            <color indexed="81"/>
            <rFont val="Tahoma"/>
            <family val="2"/>
          </rPr>
          <t xml:space="preserve">
Both sites must purchase to secure discounted price</t>
        </r>
        <r>
          <rPr>
            <sz val="8"/>
            <color indexed="81"/>
            <rFont val="Tahoma"/>
            <family val="2"/>
          </rPr>
          <t xml:space="preserve">
</t>
        </r>
      </text>
    </comment>
    <comment ref="I111" authorId="7">
      <text>
        <r>
          <rPr>
            <b/>
            <sz val="11"/>
            <color indexed="81"/>
            <rFont val="Tahoma"/>
            <family val="2"/>
          </rPr>
          <t>Amy Thurlow:</t>
        </r>
        <r>
          <rPr>
            <sz val="11"/>
            <color indexed="81"/>
            <rFont val="Tahoma"/>
            <family val="2"/>
          </rPr>
          <t xml:space="preserve">
Both sites must purchase to secure discounted price</t>
        </r>
        <r>
          <rPr>
            <sz val="8"/>
            <color indexed="81"/>
            <rFont val="Tahoma"/>
            <family val="2"/>
          </rPr>
          <t xml:space="preserve">
</t>
        </r>
      </text>
    </comment>
    <comment ref="E113"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F115" authorId="1">
      <text>
        <r>
          <rPr>
            <b/>
            <sz val="8"/>
            <color indexed="81"/>
            <rFont val="Tahoma"/>
            <family val="2"/>
          </rPr>
          <t>Amy Thurlow:</t>
        </r>
        <r>
          <rPr>
            <sz val="8"/>
            <color indexed="81"/>
            <rFont val="Tahoma"/>
            <family val="2"/>
          </rPr>
          <t xml:space="preserve">
</t>
        </r>
        <r>
          <rPr>
            <sz val="11"/>
            <color indexed="81"/>
            <rFont val="Tahoma"/>
            <family val="2"/>
          </rPr>
          <t>If PC and/or RWU switch to Art &amp; Architecture Complete we will match last year’s price of $5,305 each</t>
        </r>
      </text>
    </comment>
    <comment ref="H115" authorId="1">
      <text>
        <r>
          <rPr>
            <b/>
            <sz val="8"/>
            <color indexed="81"/>
            <rFont val="Tahoma"/>
            <family val="2"/>
          </rPr>
          <t>Amy Thurlow:</t>
        </r>
        <r>
          <rPr>
            <sz val="8"/>
            <color indexed="81"/>
            <rFont val="Tahoma"/>
            <family val="2"/>
          </rPr>
          <t xml:space="preserve">
</t>
        </r>
        <r>
          <rPr>
            <sz val="11"/>
            <color indexed="81"/>
            <rFont val="Tahoma"/>
            <family val="2"/>
          </rPr>
          <t>If PC and/or RWU switch to Art &amp; Architecture Complete we will match last year’s price of $5,305 each</t>
        </r>
      </text>
    </comment>
    <comment ref="J121" authorId="1">
      <text>
        <r>
          <rPr>
            <b/>
            <sz val="11"/>
            <color indexed="81"/>
            <rFont val="Tahoma"/>
            <family val="2"/>
          </rPr>
          <t>Martha:</t>
        </r>
        <r>
          <rPr>
            <sz val="11"/>
            <color indexed="81"/>
            <rFont val="Tahoma"/>
            <family val="2"/>
          </rPr>
          <t xml:space="preserve">
Three year renewal of EMBASE on EMBASE.com:
July 1, 2010 – June 30, 2011: $11,528
July 1, 2011 – June 30, 2012: $12,104 
July 1, 2012 – June 30, 2013: $12,710</t>
        </r>
        <r>
          <rPr>
            <sz val="8"/>
            <color indexed="81"/>
            <rFont val="Tahoma"/>
            <family val="2"/>
          </rPr>
          <t xml:space="preserve">
</t>
        </r>
      </text>
    </comment>
    <comment ref="J122" authorId="0">
      <text>
        <r>
          <rPr>
            <b/>
            <sz val="11"/>
            <color indexed="81"/>
            <rFont val="Tahoma"/>
            <family val="2"/>
          </rPr>
          <t xml:space="preserve">Three year renewal of Compendex on Engineering Village:
July 1, 2010 – June 30, 2011 = $17,805
July 1, 2011 – June 30, 2012 = $18,695
July 1, 2012 – June 30, 2013 = $19,630
</t>
        </r>
      </text>
    </comment>
    <comment ref="D124" authorId="0">
      <text>
        <r>
          <rPr>
            <b/>
            <sz val="11"/>
            <color indexed="81"/>
            <rFont val="Tahoma"/>
            <family val="2"/>
          </rPr>
          <t xml:space="preserve">Journal collections (inc. 1995- ):
Health &amp; Life sciences only, for CCRI
</t>
        </r>
      </text>
    </comment>
    <comment ref="J125" authorId="9">
      <text>
        <r>
          <rPr>
            <b/>
            <sz val="11"/>
            <color indexed="81"/>
            <rFont val="Tahoma"/>
            <family val="2"/>
          </rPr>
          <t>Karen Ramsay:one time purchase, perpetual access</t>
        </r>
        <r>
          <rPr>
            <sz val="11"/>
            <color indexed="81"/>
            <rFont val="Tahoma"/>
            <family val="2"/>
          </rPr>
          <t xml:space="preserve">
need quote for hosting fee</t>
        </r>
      </text>
    </comment>
    <comment ref="A127" authorId="1">
      <text>
        <r>
          <rPr>
            <b/>
            <sz val="8"/>
            <color indexed="81"/>
            <rFont val="Tahoma"/>
            <family val="2"/>
          </rPr>
          <t>Martha:</t>
        </r>
        <r>
          <rPr>
            <sz val="8"/>
            <color indexed="81"/>
            <rFont val="Tahoma"/>
            <family val="2"/>
          </rPr>
          <t xml:space="preserve">
</t>
        </r>
        <r>
          <rPr>
            <sz val="11"/>
            <color indexed="81"/>
            <rFont val="Tahoma"/>
            <family val="2"/>
          </rPr>
          <t xml:space="preserve"> $.44 per FTE</t>
        </r>
      </text>
    </comment>
    <comment ref="D128" authorId="1">
      <text>
        <r>
          <rPr>
            <b/>
            <sz val="8"/>
            <color indexed="81"/>
            <rFont val="Tahoma"/>
            <family val="2"/>
          </rPr>
          <t>Martha:</t>
        </r>
        <r>
          <rPr>
            <sz val="8"/>
            <color indexed="81"/>
            <rFont val="Tahoma"/>
            <family val="2"/>
          </rPr>
          <t xml:space="preserve">
pd. 342.24 for  one-time purchases in 2009/10</t>
        </r>
      </text>
    </comment>
    <comment ref="A129" authorId="1">
      <text>
        <r>
          <rPr>
            <b/>
            <sz val="8"/>
            <color indexed="81"/>
            <rFont val="Tahoma"/>
            <family val="2"/>
          </rPr>
          <t>Martha:</t>
        </r>
        <r>
          <rPr>
            <sz val="8"/>
            <color indexed="81"/>
            <rFont val="Tahoma"/>
            <family val="2"/>
          </rPr>
          <t xml:space="preserve">
</t>
        </r>
        <r>
          <rPr>
            <sz val="11"/>
            <color indexed="81"/>
            <rFont val="Tahoma"/>
            <family val="2"/>
          </rPr>
          <t>10% group discount</t>
        </r>
      </text>
    </comment>
    <comment ref="D129" authorId="1">
      <text>
        <r>
          <rPr>
            <b/>
            <sz val="11"/>
            <color indexed="81"/>
            <rFont val="Tahoma"/>
            <family val="2"/>
          </rPr>
          <t>paid 5/10 for 3 years
ending June 2013:
$38,016
dwh 5/21/10</t>
        </r>
      </text>
    </comment>
    <comment ref="E129" authorId="1">
      <text>
        <r>
          <rPr>
            <b/>
            <sz val="8"/>
            <color indexed="81"/>
            <rFont val="Tahoma"/>
            <family val="2"/>
          </rPr>
          <t>Sue:</t>
        </r>
        <r>
          <rPr>
            <sz val="8"/>
            <color indexed="81"/>
            <rFont val="Tahoma"/>
            <family val="2"/>
          </rPr>
          <t xml:space="preserve">
</t>
        </r>
        <r>
          <rPr>
            <sz val="11"/>
            <color indexed="81"/>
            <rFont val="Tahoma"/>
            <family val="2"/>
          </rPr>
          <t xml:space="preserve">Bus. &amp; Econ. ($1,240 per campus x 4 JWU campuses = $4,960)
Careers &amp; Job Search: $850 (RI) + $660 (CO) + $660 (FL) + $660 (NC) = $2,830)
Grand Total for both collections: $4,960 + $2,830 = $7,790
</t>
        </r>
      </text>
    </comment>
    <comment ref="G129" authorId="1">
      <text>
        <r>
          <rPr>
            <b/>
            <sz val="8"/>
            <color indexed="81"/>
            <rFont val="Tahoma"/>
            <family val="2"/>
          </rPr>
          <t>Martha:</t>
        </r>
        <r>
          <rPr>
            <sz val="8"/>
            <color indexed="81"/>
            <rFont val="Tahoma"/>
            <family val="2"/>
          </rPr>
          <t xml:space="preserve">
</t>
        </r>
        <r>
          <rPr>
            <sz val="11"/>
            <color indexed="81"/>
            <rFont val="Tahoma"/>
            <family val="2"/>
          </rPr>
          <t>Business &amp; 
Management
Collection</t>
        </r>
      </text>
    </comment>
    <comment ref="H129" authorId="1">
      <text>
        <r>
          <rPr>
            <b/>
            <sz val="8"/>
            <color indexed="81"/>
            <rFont val="Tahoma"/>
            <family val="2"/>
          </rPr>
          <t>Martha:</t>
        </r>
        <r>
          <rPr>
            <sz val="8"/>
            <color indexed="81"/>
            <rFont val="Tahoma"/>
            <family val="2"/>
          </rPr>
          <t xml:space="preserve">
</t>
        </r>
        <r>
          <rPr>
            <sz val="11"/>
            <color indexed="81"/>
            <rFont val="Tahoma"/>
            <family val="2"/>
          </rPr>
          <t>Master academic collection (all collections)
RWU pd. FMG directly</t>
        </r>
      </text>
    </comment>
    <comment ref="I129" authorId="1">
      <text>
        <r>
          <rPr>
            <b/>
            <sz val="8"/>
            <color indexed="81"/>
            <rFont val="Tahoma"/>
            <family val="2"/>
          </rPr>
          <t>Martha:</t>
        </r>
        <r>
          <rPr>
            <sz val="8"/>
            <color indexed="81"/>
            <rFont val="Tahoma"/>
            <family val="2"/>
          </rPr>
          <t xml:space="preserve">
</t>
        </r>
        <r>
          <rPr>
            <sz val="11"/>
            <color indexed="81"/>
            <rFont val="Tahoma"/>
            <family val="2"/>
          </rPr>
          <t xml:space="preserve">
Master academic collection (all collections)</t>
        </r>
      </text>
    </comment>
    <comment ref="F130" authorId="1">
      <text>
        <r>
          <rPr>
            <b/>
            <sz val="8"/>
            <color indexed="81"/>
            <rFont val="Tahoma"/>
            <family val="2"/>
          </rPr>
          <t>Martha:</t>
        </r>
        <r>
          <rPr>
            <sz val="8"/>
            <color indexed="81"/>
            <rFont val="Tahoma"/>
            <family val="2"/>
          </rPr>
          <t xml:space="preserve">
One time purchase in 2009/10</t>
        </r>
      </text>
    </comment>
    <comment ref="E131"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K131" authorId="0">
      <text>
        <r>
          <rPr>
            <sz val="11"/>
            <color indexed="81"/>
            <rFont val="Tahoma"/>
            <family val="2"/>
          </rPr>
          <t>Mass. State contract</t>
        </r>
      </text>
    </comment>
    <comment ref="E132"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K132" authorId="0">
      <text>
        <r>
          <rPr>
            <sz val="11"/>
            <color indexed="81"/>
            <rFont val="Tahoma"/>
            <family val="2"/>
          </rPr>
          <t>Mass. State contract</t>
        </r>
      </text>
    </comment>
    <comment ref="E133"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K134" authorId="0">
      <text>
        <r>
          <rPr>
            <sz val="11"/>
            <color indexed="81"/>
            <rFont val="Tahoma"/>
            <family val="2"/>
          </rPr>
          <t>Mass. State contract</t>
        </r>
      </text>
    </comment>
    <comment ref="E136"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E137"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K138" authorId="0">
      <text>
        <r>
          <rPr>
            <sz val="11"/>
            <color indexed="81"/>
            <rFont val="Tahoma"/>
            <family val="2"/>
          </rPr>
          <t>Mass. State contract</t>
        </r>
      </text>
    </comment>
    <comment ref="E141"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A142" authorId="10">
      <text>
        <r>
          <rPr>
            <sz val="12"/>
            <color indexed="81"/>
            <rFont val="Arial"/>
            <family val="2"/>
          </rPr>
          <t xml:space="preserve">    
LITERATURE RESOURCE CENTER  (LRC)    
 Print Titles   
 -  Contemporary Authors (CA) - All volumes     
 -  Contemporary Authors - New Revision Series - All volumes    
 -  Contemporary Literary Criticism Select (CLCS)  Volume 95 through present, plus select criticism on over 250 authors from 1-94.   
 -  Dictionary of Literary Biography (DLB) - All volumes (document series not included online)   
 -  Merriam-Webster's Encyclopedia of Literature- Single volume--Cover to cover   
 Additional Content   
 -  4,329 Work Overviews, Plot Summaries and Explications   
 -  5,000 Websites   
 -  Over 120,000 author biographies   
 -  2,500 author portraits   
 -  Links to Holdings (Z39.50)   
36,609 critical essays with an additional 5,350 pieces of CLC Select criticism   
 Classical and Medieval Literature Criticism Short Story Criticism Novels for Students (criticism and plot summaries) 
 Nineteenth-Century Literature Criticism Literature Criticism from 1400 to 1800 Poetry for Students (criticism and plot summaries) 
 Twentieth-Century Literary Criticism Children's Literature Review  
 Shakespearean Criticism Drama for Students (criticism and plot summaries)  
 Drama Criticism Short Stories for Students (criticism and plot summaries)  
 Poetry Criticism   
 ADD-ON CONTENT POTENTIAL:   
 -  Scribner's Writer's Series - Add-on subscription - Integrated Content - 30 total volumes   
 -  Twayne's Authors' Series' - US, English, &amp; World - Add-on subscription - Integrated Content - 600 total volumes   
 -  Chadwyck-Healey's Literature Online (LION) Link (for joint subscribers) </t>
        </r>
      </text>
    </comment>
    <comment ref="C142"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D142"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E142"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F142"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G142"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H142"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I142" authorId="0">
      <text>
        <r>
          <rPr>
            <b/>
            <sz val="11"/>
            <color indexed="81"/>
            <rFont val="Tahoma"/>
            <family val="2"/>
          </rPr>
          <t>1-time archival fee of $11,381 and hosting fee of $884 paid May 2008 to cover 7/1/08-6/30/09
2010/11 on - same hosting fee as rest of HELIN</t>
        </r>
      </text>
    </comment>
    <comment ref="J142"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K142" authorId="0">
      <text>
        <r>
          <rPr>
            <b/>
            <sz val="11"/>
            <color indexed="81"/>
            <rFont val="Tahoma"/>
            <family val="2"/>
          </rPr>
          <t xml:space="preserve">
$11,381 paid for the Archive in 06/07-07/08
Annual hosting fee was $884 for 2008/09 &amp; 2009/10
Year 4 (2010/11) - same hosting fee as rest of HELIN</t>
        </r>
      </text>
    </comment>
    <comment ref="E144"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E145" authorId="2">
      <text>
        <r>
          <rPr>
            <b/>
            <sz val="8"/>
            <color indexed="81"/>
            <rFont val="Tahoma"/>
            <family val="2"/>
          </rPr>
          <t>sreynolds:</t>
        </r>
        <r>
          <rPr>
            <sz val="8"/>
            <color indexed="81"/>
            <rFont val="Tahoma"/>
            <family val="2"/>
          </rPr>
          <t xml:space="preserve">
</t>
        </r>
        <r>
          <rPr>
            <b/>
            <sz val="14"/>
            <color indexed="81"/>
            <rFont val="Tahoma"/>
            <family val="2"/>
          </rPr>
          <t>JWU=12,406 (RI, CO, FL)</t>
        </r>
      </text>
    </comment>
    <comment ref="J147" authorId="1">
      <text>
        <r>
          <rPr>
            <b/>
            <sz val="8"/>
            <color indexed="81"/>
            <rFont val="Tahoma"/>
            <family val="2"/>
          </rPr>
          <t>Martha:</t>
        </r>
        <r>
          <rPr>
            <sz val="8"/>
            <color indexed="81"/>
            <rFont val="Tahoma"/>
            <family val="2"/>
          </rPr>
          <t xml:space="preserve">
</t>
        </r>
        <r>
          <rPr>
            <sz val="11"/>
            <color indexed="81"/>
            <rFont val="Tahoma"/>
            <family val="2"/>
          </rPr>
          <t>$545.40 Bibliography
$59 Early Theatre
$61 Renaissance and Reformation</t>
        </r>
      </text>
    </comment>
    <comment ref="A148" authorId="9">
      <text>
        <r>
          <rPr>
            <b/>
            <sz val="11"/>
            <color indexed="81"/>
            <rFont val="Tahoma"/>
            <family val="2"/>
          </rPr>
          <t>Karen Ramsay:</t>
        </r>
        <r>
          <rPr>
            <sz val="11"/>
            <color indexed="81"/>
            <rFont val="Tahoma"/>
            <family val="2"/>
          </rPr>
          <t xml:space="preserve">
Calendar yr for Bryant &amp; RWU; Fiscal yr for JWU
Package to include access to the following 
700+ US Industry Market Research 
40-60 pages each, 5-digit NAICS level
8000+ Company Profiles 
Financial data about publicly traded companies, sourced via  Hemscott/Morningstar
Dedicated Client Relationship Manager
Terrance Pires – 201 795 2053 / Terrancep@ibisworld.com
</t>
        </r>
      </text>
    </comment>
    <comment ref="A149" authorId="9">
      <text>
        <r>
          <rPr>
            <b/>
            <sz val="11"/>
            <color indexed="81"/>
            <rFont val="Tahoma"/>
            <family val="2"/>
          </rPr>
          <t>Karen Ramsay:</t>
        </r>
        <r>
          <rPr>
            <sz val="11"/>
            <color indexed="81"/>
            <rFont val="Tahoma"/>
            <family val="2"/>
          </rPr>
          <t xml:space="preserve">
Calendar yr for Bryant &amp; RWU; Fiscal yr for JWU
Proposed renewal option
Membership period – 
2010 -2011 – Price – 14,000
2011 -2012 – Price – 14,000
No price increase for Second Year.
Package to include access to the following 
700+ US Industry Market Research 
40-60 pages each, 5-digit NAICS level
300+ Business Environment Reports NEW and Free with this package.
Key sensitivities including interest rates, commodity prices, demographics, economic data and trends
8000+ Company Profiles 
Financial data about publicly traded companies, sourced via  Hemscott/Morningstar
65 Global Reports – New with this year
Industry Research reports analyzing 65 global industries
700+ US Industry Risk Ratings (forward-looking analysis of Key Sensitivities, Structural Risk, and Growth Risk affecting every industry in the US economy)
150 China Reports: NEW with this year
Industry research reports analyzing 125 industries in China. 50 additional industries are scheduled for release in 2010.
700+ iExpert 1-page Call Briefs – 
New and Free with this package 
Industry snapshot, provides major threats, opportunities, and issues Facing every industry
Dedicated Client Relationship Manager
Terrance Pires – 201 795 2053 / Terrancep@ibisworld.com</t>
        </r>
      </text>
    </comment>
    <comment ref="E149" authorId="0">
      <text>
        <r>
          <rPr>
            <b/>
            <sz val="11"/>
            <color indexed="81"/>
            <rFont val="Tahoma"/>
            <family val="2"/>
          </rPr>
          <t xml:space="preserve">
</t>
        </r>
        <r>
          <rPr>
            <b/>
            <sz val="14"/>
            <color indexed="81"/>
            <rFont val="Tahoma"/>
            <family val="2"/>
          </rPr>
          <t xml:space="preserve">JWU=12,406 (RI, CO, FL)
</t>
        </r>
        <r>
          <rPr>
            <b/>
            <sz val="11"/>
            <color indexed="81"/>
            <rFont val="Tahoma"/>
            <family val="2"/>
          </rPr>
          <t xml:space="preserve">
</t>
        </r>
        <r>
          <rPr>
            <b/>
            <sz val="16"/>
            <color indexed="81"/>
            <rFont val="Tahoma"/>
            <family val="2"/>
          </rPr>
          <t>IBISWorld</t>
        </r>
        <r>
          <rPr>
            <b/>
            <sz val="11"/>
            <color indexed="81"/>
            <rFont val="Tahoma"/>
            <family val="2"/>
          </rPr>
          <t xml:space="preserve">
</t>
        </r>
        <r>
          <rPr>
            <b/>
            <sz val="14"/>
            <color indexed="10"/>
            <rFont val="Tahoma"/>
            <family val="2"/>
          </rPr>
          <t xml:space="preserve">2010-2011 Pricing (3/3/2010): </t>
        </r>
        <r>
          <rPr>
            <b/>
            <sz val="14"/>
            <color indexed="12"/>
            <rFont val="Tahoma"/>
            <family val="2"/>
          </rPr>
          <t xml:space="preserve">
</t>
        </r>
        <r>
          <rPr>
            <b/>
            <sz val="14"/>
            <color indexed="8"/>
            <rFont val="Tahoma"/>
            <family val="2"/>
          </rPr>
          <t>Vendor contact:</t>
        </r>
        <r>
          <rPr>
            <b/>
            <sz val="14"/>
            <color indexed="12"/>
            <rFont val="Tahoma"/>
            <family val="2"/>
          </rPr>
          <t xml:space="preserve"> </t>
        </r>
        <r>
          <rPr>
            <b/>
            <sz val="14"/>
            <color indexed="8"/>
            <rFont val="Tahoma"/>
            <family val="2"/>
          </rPr>
          <t xml:space="preserve">Terry Pires (terrancep@ibisworld.com) </t>
        </r>
        <r>
          <rPr>
            <b/>
            <sz val="14"/>
            <color indexed="10"/>
            <rFont val="Tahoma"/>
            <family val="2"/>
          </rPr>
          <t>3/3/2010</t>
        </r>
        <r>
          <rPr>
            <b/>
            <sz val="14"/>
            <color indexed="81"/>
            <rFont val="Tahoma"/>
            <family val="2"/>
          </rPr>
          <t xml:space="preserve">
</t>
        </r>
        <r>
          <rPr>
            <b/>
            <u/>
            <sz val="16"/>
            <color indexed="81"/>
            <rFont val="Tahoma"/>
            <family val="2"/>
          </rPr>
          <t>Option #1</t>
        </r>
        <r>
          <rPr>
            <b/>
            <sz val="16"/>
            <color indexed="81"/>
            <rFont val="Tahoma"/>
            <family val="2"/>
          </rPr>
          <t xml:space="preserve"> (one-yr. contract)</t>
        </r>
        <r>
          <rPr>
            <b/>
            <sz val="11"/>
            <color indexed="81"/>
            <rFont val="Tahoma"/>
            <family val="2"/>
          </rPr>
          <t xml:space="preserve">
</t>
        </r>
        <r>
          <rPr>
            <b/>
            <sz val="14"/>
            <color indexed="81"/>
            <rFont val="Tahoma"/>
            <family val="2"/>
          </rPr>
          <t xml:space="preserve">Membership period: 
June 30, 2010 – June 30, 2011:  </t>
        </r>
        <r>
          <rPr>
            <b/>
            <sz val="14"/>
            <color indexed="8"/>
            <rFont val="Tahoma"/>
            <family val="2"/>
          </rPr>
          <t>Price  $14,850</t>
        </r>
        <r>
          <rPr>
            <b/>
            <sz val="11"/>
            <color indexed="81"/>
            <rFont val="Tahoma"/>
            <family val="2"/>
          </rPr>
          <t xml:space="preserve">
</t>
        </r>
        <r>
          <rPr>
            <b/>
            <u/>
            <sz val="14"/>
            <color indexed="81"/>
            <rFont val="Tahoma"/>
            <family val="2"/>
          </rPr>
          <t>Content</t>
        </r>
        <r>
          <rPr>
            <b/>
            <sz val="14"/>
            <color indexed="81"/>
            <rFont val="Tahoma"/>
            <family val="2"/>
          </rPr>
          <t>:</t>
        </r>
        <r>
          <rPr>
            <b/>
            <sz val="11"/>
            <color indexed="81"/>
            <rFont val="Tahoma"/>
            <family val="2"/>
          </rPr>
          <t xml:space="preserve">
</t>
        </r>
        <r>
          <rPr>
            <b/>
            <sz val="14"/>
            <color indexed="81"/>
            <rFont val="Tahoma"/>
            <family val="2"/>
          </rPr>
          <t xml:space="preserve">US Industry Market Research 
Business Environment Reports
Company Profiles 
Global Reports 
US Industry Risk Ratings </t>
        </r>
        <r>
          <rPr>
            <b/>
            <sz val="11"/>
            <color indexed="81"/>
            <rFont val="Tahoma"/>
            <family val="2"/>
          </rPr>
          <t xml:space="preserve">
</t>
        </r>
        <r>
          <rPr>
            <b/>
            <sz val="14"/>
            <color indexed="81"/>
            <rFont val="Tahoma"/>
            <family val="2"/>
          </rPr>
          <t xml:space="preserve">
</t>
        </r>
        <r>
          <rPr>
            <b/>
            <u/>
            <sz val="16"/>
            <color indexed="81"/>
            <rFont val="Tahoma"/>
            <family val="2"/>
          </rPr>
          <t>Option #2</t>
        </r>
        <r>
          <rPr>
            <b/>
            <sz val="16"/>
            <color indexed="81"/>
            <rFont val="Tahoma"/>
            <family val="2"/>
          </rPr>
          <t xml:space="preserve"> (two-yr. contract)</t>
        </r>
        <r>
          <rPr>
            <b/>
            <sz val="14"/>
            <color indexed="81"/>
            <rFont val="Tahoma"/>
            <family val="2"/>
          </rPr>
          <t xml:space="preserve">
Membership period: 
June 30, 2010 -2011:   </t>
        </r>
        <r>
          <rPr>
            <b/>
            <sz val="14"/>
            <color indexed="8"/>
            <rFont val="Tahoma"/>
            <family val="2"/>
          </rPr>
          <t>Price $15,500</t>
        </r>
        <r>
          <rPr>
            <b/>
            <sz val="14"/>
            <color indexed="81"/>
            <rFont val="Tahoma"/>
            <family val="2"/>
          </rPr>
          <t xml:space="preserve">
June 30, 2011 -2012:   Price $15,500
No price increase for Second Year.</t>
        </r>
        <r>
          <rPr>
            <b/>
            <sz val="14"/>
            <color indexed="81"/>
            <rFont val="Arial"/>
            <family val="2"/>
          </rPr>
          <t xml:space="preserve">
</t>
        </r>
        <r>
          <rPr>
            <b/>
            <sz val="14"/>
            <color indexed="81"/>
            <rFont val="Tahoma"/>
            <family val="2"/>
          </rPr>
          <t xml:space="preserve">
</t>
        </r>
        <r>
          <rPr>
            <b/>
            <u/>
            <sz val="14"/>
            <color indexed="81"/>
            <rFont val="Tahoma"/>
            <family val="2"/>
          </rPr>
          <t>Content</t>
        </r>
        <r>
          <rPr>
            <b/>
            <sz val="14"/>
            <color indexed="81"/>
            <rFont val="Tahoma"/>
            <family val="2"/>
          </rPr>
          <t xml:space="preserve">:
US Industry Market Research 
Business Environment Reports
Company Profiles 
Global Reports 
US Industry Risk Ratings 
China Reports
iExpert 1-page Call Briefs –  NEW
(Industry snapshot, provides major threats, opportunities, and issues Facing every industry)
------------------------------------------------------------------------------------------------------
</t>
        </r>
        <r>
          <rPr>
            <b/>
            <sz val="12"/>
            <color indexed="81"/>
            <rFont val="Tahoma"/>
            <family val="2"/>
          </rPr>
          <t xml:space="preserve">2009-2010 subs. content:  Basic 700+ Industry Reports, plus 3 add-on modules: (1) Global Reports, (2) Business Environment, and (3) Industry Risk Ratings.   For 3 JWU campuses.
</t>
        </r>
        <r>
          <rPr>
            <b/>
            <sz val="10"/>
            <color indexed="81"/>
            <rFont val="Tahoma"/>
            <family val="2"/>
          </rPr>
          <t xml:space="preserve">
</t>
        </r>
        <r>
          <rPr>
            <b/>
            <sz val="12"/>
            <color indexed="81"/>
            <rFont val="Tahoma"/>
            <family val="2"/>
          </rPr>
          <t>History:
JWU subscribed directly in 2008-09 @ $9,500  (Basic 700+ Industry Reports, plus Global Reports add-on) for 3 JWU campuses, but would now like pricing through HELIN and/or moved to HELIN account.</t>
        </r>
        <r>
          <rPr>
            <b/>
            <i/>
            <sz val="12"/>
            <color indexed="81"/>
            <rFont val="Tahoma"/>
            <family val="2"/>
          </rPr>
          <t xml:space="preserve">  </t>
        </r>
        <r>
          <rPr>
            <b/>
            <sz val="12"/>
            <color indexed="81"/>
            <rFont val="Tahoma"/>
            <family val="2"/>
          </rPr>
          <t xml:space="preserve">In 2008, vendor based pricing on a FLAT FEE instead of FTE.  As an introductory offer, vendor used just the number of JWU's business school students (4,159) instead of the entire student pop. </t>
        </r>
        <r>
          <rPr>
            <b/>
            <i/>
            <sz val="10"/>
            <color indexed="81"/>
            <rFont val="Tahoma"/>
            <family val="2"/>
          </rPr>
          <t xml:space="preserve">
</t>
        </r>
      </text>
    </comment>
    <comment ref="J150" authorId="0">
      <text>
        <r>
          <rPr>
            <b/>
            <sz val="11"/>
            <color indexed="81"/>
            <rFont val="Tahoma"/>
            <family val="2"/>
          </rPr>
          <t>Includes subscription to IEEE Spectrum
per Joe Vaitkus of IEEE:
probably no more 4% inc.</t>
        </r>
      </text>
    </comment>
    <comment ref="A153" authorId="0">
      <text>
        <r>
          <rPr>
            <b/>
            <sz val="11"/>
            <color indexed="81"/>
            <rFont val="Tahoma"/>
            <family val="2"/>
          </rPr>
          <t>Unlimited users and remote access</t>
        </r>
      </text>
    </comment>
    <comment ref="A154" authorId="0">
      <text>
        <r>
          <rPr>
            <b/>
            <sz val="11"/>
            <color indexed="81"/>
            <rFont val="Tahoma"/>
            <family val="2"/>
          </rPr>
          <t>Unlimited users and remote access</t>
        </r>
      </text>
    </comment>
    <comment ref="A156" authorId="0">
      <text>
        <r>
          <rPr>
            <b/>
            <sz val="11"/>
            <color indexed="81"/>
            <rFont val="Tahoma"/>
            <family val="2"/>
          </rPr>
          <t>Includes:
World News Digest
Issues and Controversies
Today''s Science</t>
        </r>
      </text>
    </comment>
    <comment ref="D156" authorId="1">
      <text>
        <r>
          <rPr>
            <b/>
            <sz val="8"/>
            <color indexed="81"/>
            <rFont val="Tahoma"/>
            <family val="2"/>
          </rPr>
          <t>Martha:</t>
        </r>
        <r>
          <rPr>
            <sz val="8"/>
            <color indexed="81"/>
            <rFont val="Tahoma"/>
            <family val="2"/>
          </rPr>
          <t xml:space="preserve">
Includes:
</t>
        </r>
        <r>
          <rPr>
            <sz val="11"/>
            <color indexed="81"/>
            <rFont val="Tahoma"/>
            <family val="2"/>
          </rPr>
          <t>World News Digest : $1677.12
Issues and Controversies : $838.56
Today''s Science : $838.56</t>
        </r>
      </text>
    </comment>
    <comment ref="C159" authorId="4">
      <text>
        <r>
          <rPr>
            <sz val="11"/>
            <color indexed="81"/>
            <rFont val="Tahoma"/>
            <family val="2"/>
          </rPr>
          <t>Subcribe directly</t>
        </r>
        <r>
          <rPr>
            <sz val="8"/>
            <color indexed="81"/>
            <rFont val="Tahoma"/>
            <family val="2"/>
          </rPr>
          <t xml:space="preserve">
</t>
        </r>
      </text>
    </comment>
    <comment ref="D159" authorId="0">
      <text>
        <r>
          <rPr>
            <b/>
            <sz val="11"/>
            <color indexed="81"/>
            <rFont val="Tahoma"/>
            <family val="2"/>
          </rPr>
          <t>Art&amp;Sci III only
AAF only
NOTE: Community Colleges pay one ACF of $1,000 for the first collection only along with an AAF, and then an AAF only for each subsequent collection</t>
        </r>
      </text>
    </comment>
    <comment ref="E159" authorId="0">
      <text>
        <r>
          <rPr>
            <b/>
            <sz val="14"/>
            <color indexed="81"/>
            <rFont val="Tahoma"/>
            <family val="2"/>
          </rPr>
          <t xml:space="preserve">
JWU=11,406</t>
        </r>
        <r>
          <rPr>
            <b/>
            <sz val="11"/>
            <color indexed="81"/>
            <rFont val="Tahoma"/>
            <family val="2"/>
          </rPr>
          <t xml:space="preserve">
</t>
        </r>
        <r>
          <rPr>
            <b/>
            <sz val="14"/>
            <color indexed="81"/>
            <rFont val="Tahoma"/>
            <family val="2"/>
          </rPr>
          <t>Art&amp;Sci IV only 
AAF only</t>
        </r>
      </text>
    </comment>
    <comment ref="F159" authorId="0">
      <text>
        <r>
          <rPr>
            <b/>
            <sz val="11"/>
            <color indexed="81"/>
            <rFont val="Tahoma"/>
            <family val="2"/>
          </rPr>
          <t>Renew Arts&amp;Sciences I-V, complement, Life Sciences, &amp; Business II 
AAF only</t>
        </r>
      </text>
    </comment>
    <comment ref="G159" authorId="11">
      <text>
        <r>
          <rPr>
            <b/>
            <sz val="10"/>
            <color indexed="81"/>
            <rFont val="Tahoma"/>
            <family val="2"/>
          </rPr>
          <t>Rhode Island College:</t>
        </r>
        <r>
          <rPr>
            <sz val="10"/>
            <color indexed="81"/>
            <rFont val="Tahoma"/>
            <family val="2"/>
          </rPr>
          <t xml:space="preserve">
</t>
        </r>
        <r>
          <rPr>
            <b/>
            <sz val="12"/>
            <color indexed="81"/>
            <rFont val="Tahoma"/>
            <family val="2"/>
          </rPr>
          <t xml:space="preserve">Renew Arts&amp;Sciences I-V, and Complement : AAF only
For new purchase of Arts &amp; Sciences VI:
</t>
        </r>
        <r>
          <rPr>
            <b/>
            <sz val="12"/>
            <color indexed="10"/>
            <rFont val="Tahoma"/>
            <family val="2"/>
          </rPr>
          <t>Please ask JSTOR to bill the ACF over 3 years
so we can pay $5500 a year for 3 years instead of $9500 this year - Judith</t>
        </r>
        <r>
          <rPr>
            <b/>
            <sz val="12"/>
            <color indexed="81"/>
            <rFont val="Tahoma"/>
            <family val="2"/>
          </rPr>
          <t xml:space="preserve">
ACF $6000 (one time charge)
AAF $3500 (annual fee)</t>
        </r>
      </text>
    </comment>
    <comment ref="H159" authorId="4">
      <text>
        <r>
          <rPr>
            <sz val="11"/>
            <color indexed="81"/>
            <rFont val="Tahoma"/>
            <family val="2"/>
          </rPr>
          <t>Subcribe directly</t>
        </r>
        <r>
          <rPr>
            <sz val="8"/>
            <color indexed="81"/>
            <rFont val="Tahoma"/>
            <family val="2"/>
          </rPr>
          <t xml:space="preserve">
</t>
        </r>
      </text>
    </comment>
    <comment ref="I159" authorId="4">
      <text>
        <r>
          <rPr>
            <sz val="11"/>
            <color indexed="81"/>
            <rFont val="Tahoma"/>
            <family val="2"/>
          </rPr>
          <t>Subcribe directly</t>
        </r>
        <r>
          <rPr>
            <sz val="8"/>
            <color indexed="81"/>
            <rFont val="Tahoma"/>
            <family val="2"/>
          </rPr>
          <t xml:space="preserve">
</t>
        </r>
      </text>
    </comment>
    <comment ref="J159" authorId="6">
      <text>
        <r>
          <rPr>
            <b/>
            <sz val="11"/>
            <color indexed="81"/>
            <rFont val="Arial"/>
            <family val="2"/>
          </rPr>
          <t>Renew All collections: 
Arts&amp;Sciences I-VI &amp; complement, Business, Life Sciences, etc.
AAF only</t>
        </r>
        <r>
          <rPr>
            <sz val="12"/>
            <color indexed="81"/>
            <rFont val="Arial"/>
            <family val="2"/>
          </rPr>
          <t xml:space="preserve">
</t>
        </r>
      </text>
    </comment>
    <comment ref="K159" authorId="4">
      <text>
        <r>
          <rPr>
            <sz val="11"/>
            <color indexed="81"/>
            <rFont val="Tahoma"/>
            <family val="2"/>
          </rPr>
          <t>Subcribe directly</t>
        </r>
        <r>
          <rPr>
            <sz val="8"/>
            <color indexed="81"/>
            <rFont val="Tahoma"/>
            <family val="2"/>
          </rPr>
          <t xml:space="preserve">
</t>
        </r>
      </text>
    </comment>
    <comment ref="E162" authorId="2">
      <text>
        <r>
          <rPr>
            <b/>
            <sz val="14"/>
            <color indexed="81"/>
            <rFont val="Tahoma"/>
            <family val="2"/>
          </rPr>
          <t xml:space="preserve">
JWU=14,842</t>
        </r>
        <r>
          <rPr>
            <b/>
            <sz val="12"/>
            <color indexed="81"/>
            <rFont val="Tahoma"/>
            <family val="2"/>
          </rPr>
          <t xml:space="preserve">
</t>
        </r>
        <r>
          <rPr>
            <b/>
            <sz val="12"/>
            <color indexed="12"/>
            <rFont val="Tahoma"/>
            <family val="2"/>
          </rPr>
          <t>2010-2011: 
12 simul. users to be shared among 4 JWU campuses.</t>
        </r>
        <r>
          <rPr>
            <b/>
            <sz val="12"/>
            <color indexed="81"/>
            <rFont val="Tahoma"/>
            <family val="2"/>
          </rPr>
          <t xml:space="preserve">
</t>
        </r>
        <r>
          <rPr>
            <sz val="12"/>
            <color indexed="81"/>
            <rFont val="Tahoma"/>
            <family val="2"/>
          </rPr>
          <t>2009-2010:
12 simultaneous users among 4 JWU campuses confirmed by Rosie 4/30/09.</t>
        </r>
        <r>
          <rPr>
            <b/>
            <sz val="12"/>
            <color indexed="81"/>
            <rFont val="Tahoma"/>
            <family val="2"/>
          </rPr>
          <t xml:space="preserve">
12-simultaneous users                     $4,885.00
</t>
        </r>
        <r>
          <rPr>
            <b/>
            <sz val="14"/>
            <color indexed="81"/>
            <rFont val="Tahoma"/>
            <family val="2"/>
          </rPr>
          <t>History: 
Only the RI campus subcribed in 2008-2009 and had to increase from 1 to 6 simult. users because of turnaways.</t>
        </r>
      </text>
    </comment>
    <comment ref="A164" authorId="0">
      <text>
        <r>
          <rPr>
            <b/>
            <sz val="11"/>
            <color indexed="81"/>
            <rFont val="Tahoma"/>
            <family val="2"/>
          </rPr>
          <t>Web of Knowledge interface</t>
        </r>
      </text>
    </comment>
    <comment ref="J165" authorId="12">
      <text>
        <r>
          <rPr>
            <b/>
            <sz val="11"/>
            <color indexed="81"/>
            <rFont val="Tahoma"/>
            <family val="2"/>
          </rPr>
          <t xml:space="preserve">Karen: Science Direct Collections $534,900.82
</t>
        </r>
      </text>
    </comment>
    <comment ref="A167" authorId="0">
      <text>
        <r>
          <rPr>
            <b/>
            <sz val="11"/>
            <color indexed="81"/>
            <rFont val="Tahoma"/>
            <family val="2"/>
          </rPr>
          <t>pricing done with Lyrasis formula which is $1.875 per fte</t>
        </r>
      </text>
    </comment>
    <comment ref="C167" authorId="4">
      <text>
        <r>
          <rPr>
            <sz val="11"/>
            <color indexed="81"/>
            <rFont val="Tahoma"/>
            <family val="2"/>
          </rPr>
          <t>Direct via NELINET</t>
        </r>
        <r>
          <rPr>
            <sz val="8"/>
            <color indexed="81"/>
            <rFont val="Tahoma"/>
            <family val="2"/>
          </rPr>
          <t xml:space="preserve">
</t>
        </r>
      </text>
    </comment>
    <comment ref="D167" authorId="13">
      <text>
        <r>
          <rPr>
            <b/>
            <sz val="8"/>
            <color indexed="81"/>
            <rFont val="Tahoma"/>
            <family val="2"/>
          </rPr>
          <t>Maria Brady:</t>
        </r>
        <r>
          <rPr>
            <sz val="8"/>
            <color indexed="81"/>
            <rFont val="Tahoma"/>
            <family val="2"/>
          </rPr>
          <t xml:space="preserve">
1.89 per fte use last years fte count
</t>
        </r>
      </text>
    </comment>
    <comment ref="E167" authorId="2">
      <text>
        <r>
          <rPr>
            <b/>
            <sz val="8"/>
            <color indexed="81"/>
            <rFont val="Tahoma"/>
            <family val="2"/>
          </rPr>
          <t>sreynolds:</t>
        </r>
        <r>
          <rPr>
            <sz val="8"/>
            <color indexed="81"/>
            <rFont val="Tahoma"/>
            <family val="2"/>
          </rPr>
          <t xml:space="preserve">
</t>
        </r>
        <r>
          <rPr>
            <b/>
            <sz val="14"/>
            <color indexed="81"/>
            <rFont val="Tahoma"/>
            <family val="2"/>
          </rPr>
          <t xml:space="preserve">JWU=14,842
</t>
        </r>
        <r>
          <rPr>
            <b/>
            <sz val="11"/>
            <color indexed="81"/>
            <rFont val="Tahoma"/>
            <family val="2"/>
          </rPr>
          <t>$1.89 per fte use last years fte count</t>
        </r>
        <r>
          <rPr>
            <b/>
            <sz val="14"/>
            <color indexed="81"/>
            <rFont val="Tahoma"/>
            <family val="2"/>
          </rPr>
          <t xml:space="preserve">
</t>
        </r>
      </text>
    </comment>
    <comment ref="F167" authorId="13">
      <text>
        <r>
          <rPr>
            <b/>
            <sz val="8"/>
            <color indexed="81"/>
            <rFont val="Tahoma"/>
            <family val="2"/>
          </rPr>
          <t>Maria Brady:</t>
        </r>
        <r>
          <rPr>
            <sz val="8"/>
            <color indexed="81"/>
            <rFont val="Tahoma"/>
            <family val="2"/>
          </rPr>
          <t xml:space="preserve">
$1.89 per fte use last years fte count.</t>
        </r>
      </text>
    </comment>
    <comment ref="G167" authorId="13">
      <text>
        <r>
          <rPr>
            <b/>
            <sz val="8"/>
            <color indexed="81"/>
            <rFont val="Tahoma"/>
            <family val="2"/>
          </rPr>
          <t xml:space="preserve">Maria Brady:
</t>
        </r>
        <r>
          <rPr>
            <sz val="8"/>
            <color indexed="81"/>
            <rFont val="Tahoma"/>
            <family val="2"/>
          </rPr>
          <t xml:space="preserve">
$1.89 per fte use last years fte count;</t>
        </r>
      </text>
    </comment>
    <comment ref="H167" authorId="13">
      <text>
        <r>
          <rPr>
            <b/>
            <sz val="8"/>
            <color indexed="81"/>
            <rFont val="Tahoma"/>
            <family val="2"/>
          </rPr>
          <t>Maria Brady:</t>
        </r>
        <r>
          <rPr>
            <sz val="8"/>
            <color indexed="81"/>
            <rFont val="Tahoma"/>
            <family val="2"/>
          </rPr>
          <t xml:space="preserve">
$1.89 per fte use last years fte count
</t>
        </r>
      </text>
    </comment>
    <comment ref="J167" authorId="13">
      <text>
        <r>
          <rPr>
            <b/>
            <sz val="8"/>
            <color indexed="81"/>
            <rFont val="Tahoma"/>
            <family val="2"/>
          </rPr>
          <t>Maria Brady:</t>
        </r>
        <r>
          <rPr>
            <sz val="8"/>
            <color indexed="81"/>
            <rFont val="Tahoma"/>
            <family val="2"/>
          </rPr>
          <t xml:space="preserve">
$1.89 per fte use last years fte count.
</t>
        </r>
      </text>
    </comment>
    <comment ref="K167" authorId="13">
      <text>
        <r>
          <rPr>
            <b/>
            <sz val="8"/>
            <color indexed="81"/>
            <rFont val="Tahoma"/>
            <family val="2"/>
          </rPr>
          <t>Maria Brady:</t>
        </r>
        <r>
          <rPr>
            <sz val="8"/>
            <color indexed="81"/>
            <rFont val="Tahoma"/>
            <family val="2"/>
          </rPr>
          <t xml:space="preserve">
$1.89 per fte use last years fte count.
</t>
        </r>
      </text>
    </comment>
    <comment ref="G168" authorId="11">
      <text>
        <r>
          <rPr>
            <b/>
            <sz val="10"/>
            <color indexed="81"/>
            <rFont val="Tahoma"/>
            <family val="2"/>
          </rPr>
          <t>Rhode Island College:</t>
        </r>
        <r>
          <rPr>
            <sz val="10"/>
            <color indexed="81"/>
            <rFont val="Tahoma"/>
            <family val="2"/>
          </rPr>
          <t xml:space="preserve">
subscribes to LN Congressional through Lyrasis and we want to switch to HELIN. Last year we paid 
LexisNexis Congressional     $3,762.72        
LexisNexis Congressional Indexes   $1,125.00        
</t>
        </r>
      </text>
    </comment>
    <comment ref="A169" authorId="13">
      <text>
        <r>
          <rPr>
            <b/>
            <sz val="8"/>
            <color indexed="81"/>
            <rFont val="Tahoma"/>
            <family val="2"/>
          </rPr>
          <t>Maria Brady:</t>
        </r>
        <r>
          <rPr>
            <sz val="8"/>
            <color indexed="81"/>
            <rFont val="Tahoma"/>
            <family val="2"/>
          </rPr>
          <t xml:space="preserve">
</t>
        </r>
        <r>
          <rPr>
            <b/>
            <sz val="12"/>
            <color indexed="81"/>
            <rFont val="Arial"/>
            <family val="2"/>
          </rPr>
          <t>FLAT PRICING ALL USERS</t>
        </r>
      </text>
    </comment>
    <comment ref="G169" authorId="1">
      <text>
        <r>
          <rPr>
            <b/>
            <sz val="8"/>
            <color indexed="81"/>
            <rFont val="Tahoma"/>
            <family val="2"/>
          </rPr>
          <t>Martha:</t>
        </r>
        <r>
          <rPr>
            <sz val="8"/>
            <color indexed="81"/>
            <rFont val="Tahoma"/>
            <family val="2"/>
          </rPr>
          <t xml:space="preserve">
Moved from direct to HELIN with 2011 renewal</t>
        </r>
      </text>
    </comment>
    <comment ref="G170" authorId="6">
      <text>
        <r>
          <rPr>
            <b/>
            <sz val="11"/>
            <color indexed="81"/>
            <rFont val="Arial"/>
            <family val="2"/>
          </rPr>
          <t xml:space="preserve"> 10 simult. users</t>
        </r>
      </text>
    </comment>
    <comment ref="I170" authorId="6">
      <text>
        <r>
          <rPr>
            <b/>
            <sz val="11"/>
            <color indexed="81"/>
            <rFont val="Arial"/>
            <family val="2"/>
          </rPr>
          <t>10 simult. users</t>
        </r>
      </text>
    </comment>
    <comment ref="G172" authorId="10">
      <text>
        <r>
          <rPr>
            <b/>
            <sz val="11"/>
            <color indexed="81"/>
            <rFont val="Tahoma"/>
            <family val="2"/>
          </rPr>
          <t>1 user</t>
        </r>
      </text>
    </comment>
    <comment ref="A173" authorId="0">
      <text>
        <r>
          <rPr>
            <b/>
            <sz val="11"/>
            <color indexed="81"/>
            <rFont val="Tahoma"/>
            <family val="2"/>
          </rPr>
          <t>unlimited users</t>
        </r>
      </text>
    </comment>
    <comment ref="C173" authorId="4">
      <text>
        <r>
          <rPr>
            <sz val="11"/>
            <color indexed="81"/>
            <rFont val="Tahoma"/>
            <family val="2"/>
          </rPr>
          <t>Direct via NELINET</t>
        </r>
        <r>
          <rPr>
            <sz val="8"/>
            <color indexed="81"/>
            <rFont val="Tahoma"/>
            <family val="2"/>
          </rPr>
          <t xml:space="preserve">
</t>
        </r>
      </text>
    </comment>
    <comment ref="G174" authorId="11">
      <text>
        <r>
          <rPr>
            <b/>
            <sz val="8"/>
            <color indexed="81"/>
            <rFont val="Tahoma"/>
            <family val="2"/>
          </rPr>
          <t>Rhode Island College:</t>
        </r>
        <r>
          <rPr>
            <sz val="8"/>
            <color indexed="81"/>
            <rFont val="Tahoma"/>
            <family val="2"/>
          </rPr>
          <t xml:space="preserve">
Social Work only</t>
        </r>
      </text>
    </comment>
    <comment ref="F175" authorId="0">
      <text>
        <r>
          <rPr>
            <b/>
            <sz val="11"/>
            <color indexed="81"/>
            <rFont val="Tahoma"/>
            <family val="2"/>
          </rPr>
          <t>3 simult. users</t>
        </r>
      </text>
    </comment>
    <comment ref="G175" authorId="6">
      <text>
        <r>
          <rPr>
            <b/>
            <sz val="11"/>
            <color indexed="81"/>
            <rFont val="Tahoma"/>
            <family val="2"/>
          </rPr>
          <t>1  user</t>
        </r>
      </text>
    </comment>
    <comment ref="D176" authorId="0">
      <text>
        <r>
          <rPr>
            <b/>
            <sz val="11"/>
            <color indexed="81"/>
            <rFont val="Tahoma"/>
            <family val="2"/>
          </rPr>
          <t xml:space="preserve">Purchased in 2007; no hosting fee as long as keep subscription to Ref. Online </t>
        </r>
      </text>
    </comment>
    <comment ref="A177" authorId="0">
      <text>
        <r>
          <rPr>
            <b/>
            <sz val="11"/>
            <color indexed="81"/>
            <rFont val="Tahoma"/>
            <family val="2"/>
          </rPr>
          <t>Unlimited users</t>
        </r>
      </text>
    </comment>
    <comment ref="D178" authorId="14">
      <text>
        <r>
          <rPr>
            <b/>
            <sz val="11"/>
            <color indexed="81"/>
            <rFont val="Tahoma"/>
            <family val="2"/>
          </rPr>
          <t>2-3 users dwh 5/21/10</t>
        </r>
      </text>
    </comment>
    <comment ref="F178" authorId="0">
      <text>
        <r>
          <rPr>
            <b/>
            <sz val="11"/>
            <color indexed="81"/>
            <rFont val="Tahoma"/>
            <family val="2"/>
          </rPr>
          <t>4-5 simult. users</t>
        </r>
      </text>
    </comment>
    <comment ref="G178" authorId="10">
      <text>
        <r>
          <rPr>
            <b/>
            <sz val="11"/>
            <color indexed="81"/>
            <rFont val="Tahoma"/>
            <family val="2"/>
          </rPr>
          <t xml:space="preserve">1 user :  $1485
2-3 users :  $1870
was 6-8 users was $2595
</t>
        </r>
        <r>
          <rPr>
            <b/>
            <sz val="11"/>
            <color indexed="10"/>
            <rFont val="Tahoma"/>
            <family val="2"/>
          </rPr>
          <t>NOT A CANCELLATION:
Please reduce to 2-3 users, or to 1 user if necessary to keep this under $1800. JES</t>
        </r>
      </text>
    </comment>
    <comment ref="H178" authorId="10">
      <text>
        <r>
          <rPr>
            <b/>
            <sz val="11"/>
            <color indexed="81"/>
            <rFont val="Tahoma"/>
            <family val="2"/>
          </rPr>
          <t xml:space="preserve">Unlimited
</t>
        </r>
      </text>
    </comment>
    <comment ref="J178" authorId="1">
      <text>
        <r>
          <rPr>
            <b/>
            <sz val="8"/>
            <color indexed="81"/>
            <rFont val="Tahoma"/>
            <family val="2"/>
          </rPr>
          <t>Martha:</t>
        </r>
        <r>
          <rPr>
            <b/>
            <sz val="11"/>
            <color indexed="81"/>
            <rFont val="Tahoma"/>
            <family val="2"/>
          </rPr>
          <t xml:space="preserve">
</t>
        </r>
        <r>
          <rPr>
            <sz val="8"/>
            <color indexed="81"/>
            <rFont val="Tahoma"/>
            <family val="2"/>
          </rPr>
          <t xml:space="preserve">
</t>
        </r>
        <r>
          <rPr>
            <b/>
            <sz val="10"/>
            <color indexed="81"/>
            <rFont val="Tahoma"/>
            <family val="2"/>
          </rPr>
          <t>$1485  1 user
$5930.00 unlimited</t>
        </r>
      </text>
    </comment>
    <comment ref="K178" authorId="14">
      <text>
        <r>
          <rPr>
            <b/>
            <sz val="11"/>
            <color indexed="81"/>
            <rFont val="Tahoma"/>
            <family val="2"/>
          </rPr>
          <t>unlimited</t>
        </r>
      </text>
    </comment>
    <comment ref="D179" authorId="1">
      <text>
        <r>
          <rPr>
            <b/>
            <sz val="11"/>
            <color indexed="81"/>
            <rFont val="Tahoma"/>
            <family val="2"/>
          </rPr>
          <t>Martha:</t>
        </r>
        <r>
          <rPr>
            <sz val="11"/>
            <color indexed="81"/>
            <rFont val="Tahoma"/>
            <family val="2"/>
          </rPr>
          <t xml:space="preserve">
CCRI would like pricing for:
2-3 users    $1870.00
4-5 users    $2200.00
unlimited users  $4045.00</t>
        </r>
      </text>
    </comment>
    <comment ref="F179" authorId="0">
      <text>
        <r>
          <rPr>
            <b/>
            <sz val="11"/>
            <color indexed="81"/>
            <rFont val="Tahoma"/>
            <family val="2"/>
          </rPr>
          <t>4-5 simult. users</t>
        </r>
      </text>
    </comment>
    <comment ref="G179" authorId="10">
      <text>
        <r>
          <rPr>
            <b/>
            <sz val="11"/>
            <color indexed="81"/>
            <rFont val="Tahoma"/>
            <family val="2"/>
          </rPr>
          <t>2-3 simult. users</t>
        </r>
      </text>
    </comment>
    <comment ref="H179" authorId="1">
      <text>
        <r>
          <rPr>
            <b/>
            <sz val="8"/>
            <color indexed="81"/>
            <rFont val="Tahoma"/>
            <family val="2"/>
          </rPr>
          <t xml:space="preserve">Martha:
</t>
        </r>
        <r>
          <rPr>
            <b/>
            <sz val="11"/>
            <color indexed="81"/>
            <rFont val="Tahoma"/>
            <family val="2"/>
          </rPr>
          <t>1 user</t>
        </r>
        <r>
          <rPr>
            <sz val="8"/>
            <color indexed="81"/>
            <rFont val="Tahoma"/>
            <family val="2"/>
          </rPr>
          <t xml:space="preserve">
</t>
        </r>
        <r>
          <rPr>
            <sz val="11"/>
            <color indexed="81"/>
            <rFont val="Tahoma"/>
            <family val="2"/>
          </rPr>
          <t>orig. quote $3295 for more concurrent users</t>
        </r>
      </text>
    </comment>
    <comment ref="J179" authorId="15">
      <text>
        <r>
          <rPr>
            <b/>
            <sz val="11"/>
            <color indexed="81"/>
            <rFont val="Times New Roman"/>
            <family val="1"/>
          </rPr>
          <t>2-3 sim. users</t>
        </r>
      </text>
    </comment>
    <comment ref="K179" authorId="14">
      <text>
        <r>
          <rPr>
            <b/>
            <sz val="11"/>
            <color indexed="81"/>
            <rFont val="Tahoma"/>
            <family val="2"/>
          </rPr>
          <t>unlimited</t>
        </r>
      </text>
    </comment>
    <comment ref="G180" authorId="10">
      <text>
        <r>
          <rPr>
            <sz val="8"/>
            <color indexed="81"/>
            <rFont val="Tahoma"/>
            <family val="2"/>
          </rPr>
          <t xml:space="preserve">
</t>
        </r>
        <r>
          <rPr>
            <b/>
            <sz val="11"/>
            <color indexed="81"/>
            <rFont val="Tahoma"/>
            <family val="2"/>
          </rPr>
          <t>1 user</t>
        </r>
      </text>
    </comment>
    <comment ref="A181" authorId="0">
      <text>
        <r>
          <rPr>
            <b/>
            <sz val="11"/>
            <color indexed="81"/>
            <rFont val="Tahoma"/>
            <family val="2"/>
          </rPr>
          <t>Unlimited users</t>
        </r>
      </text>
    </comment>
    <comment ref="D181" authorId="1">
      <text>
        <r>
          <rPr>
            <b/>
            <sz val="8"/>
            <color indexed="81"/>
            <rFont val="Tahoma"/>
            <charset val="1"/>
          </rPr>
          <t>Martha:</t>
        </r>
        <r>
          <rPr>
            <sz val="8"/>
            <color indexed="81"/>
            <rFont val="Tahoma"/>
            <charset val="1"/>
          </rPr>
          <t xml:space="preserve">
Level B (over 10,000 FTE)</t>
        </r>
      </text>
    </comment>
    <comment ref="H182" authorId="15">
      <text>
        <r>
          <rPr>
            <b/>
            <sz val="12"/>
            <color indexed="81"/>
            <rFont val="Times New Roman"/>
            <family val="1"/>
          </rPr>
          <t>2-5 users</t>
        </r>
      </text>
    </comment>
    <comment ref="J182" authorId="15">
      <text>
        <r>
          <rPr>
            <b/>
            <sz val="12"/>
            <color indexed="81"/>
            <rFont val="Times New Roman"/>
            <family val="1"/>
          </rPr>
          <t>2-5 users</t>
        </r>
      </text>
    </comment>
    <comment ref="D183" authorId="0">
      <text>
        <r>
          <rPr>
            <b/>
            <sz val="11"/>
            <color indexed="81"/>
            <rFont val="Tahoma"/>
            <family val="2"/>
          </rPr>
          <t>Premium collection
On original spreadsheet was $2437.50
Level B (over 10,000 FTE)</t>
        </r>
      </text>
    </comment>
    <comment ref="F183" authorId="0">
      <text>
        <r>
          <rPr>
            <b/>
            <sz val="11"/>
            <color indexed="81"/>
            <rFont val="Tahoma"/>
            <family val="2"/>
          </rPr>
          <t>Premium collection
unlimited users</t>
        </r>
      </text>
    </comment>
    <comment ref="G183" authorId="6">
      <text>
        <r>
          <rPr>
            <b/>
            <sz val="11"/>
            <color indexed="81"/>
            <rFont val="Tahoma"/>
            <family val="2"/>
          </rPr>
          <t>Premium collection
2-5 simult. users</t>
        </r>
      </text>
    </comment>
    <comment ref="H183" authorId="0">
      <text>
        <r>
          <rPr>
            <b/>
            <sz val="11"/>
            <color indexed="81"/>
            <rFont val="Tahoma"/>
            <family val="2"/>
          </rPr>
          <t>Premium collection
unlim. users</t>
        </r>
      </text>
    </comment>
    <comment ref="A184" authorId="0">
      <text>
        <r>
          <rPr>
            <b/>
            <sz val="11"/>
            <color indexed="81"/>
            <rFont val="Tahoma"/>
            <family val="2"/>
          </rPr>
          <t>Per ProjectMUSE:
estimate:
6-8% for the Premium Collection
4-6% for all other collections</t>
        </r>
      </text>
    </comment>
    <comment ref="F184" authorId="0">
      <text>
        <r>
          <rPr>
            <b/>
            <sz val="11"/>
            <color indexed="81"/>
            <rFont val="Tahoma"/>
            <family val="2"/>
          </rPr>
          <t xml:space="preserve">Premium Collection
</t>
        </r>
      </text>
    </comment>
    <comment ref="G184" authorId="0">
      <text>
        <r>
          <rPr>
            <b/>
            <sz val="11"/>
            <color indexed="81"/>
            <rFont val="Tahoma"/>
            <family val="2"/>
          </rPr>
          <t xml:space="preserve">Basic Research
</t>
        </r>
      </text>
    </comment>
    <comment ref="H184" authorId="0">
      <text>
        <r>
          <rPr>
            <b/>
            <sz val="11"/>
            <color indexed="81"/>
            <rFont val="Tahoma"/>
            <family val="2"/>
          </rPr>
          <t xml:space="preserve">Standard Collection
</t>
        </r>
      </text>
    </comment>
    <comment ref="I184" authorId="0">
      <text>
        <r>
          <rPr>
            <b/>
            <sz val="11"/>
            <color indexed="81"/>
            <rFont val="Tahoma"/>
            <family val="2"/>
          </rPr>
          <t xml:space="preserve">Basic College Collection
</t>
        </r>
      </text>
    </comment>
    <comment ref="J184" authorId="0">
      <text>
        <r>
          <rPr>
            <b/>
            <sz val="11"/>
            <color indexed="81"/>
            <rFont val="Tahoma"/>
            <family val="2"/>
          </rPr>
          <t xml:space="preserve">Premium Collection
</t>
        </r>
      </text>
    </comment>
    <comment ref="K184" authorId="0">
      <text>
        <r>
          <rPr>
            <b/>
            <sz val="11"/>
            <color indexed="81"/>
            <rFont val="Tahoma"/>
            <family val="2"/>
          </rPr>
          <t xml:space="preserve">Premium Collection
</t>
        </r>
      </text>
    </comment>
    <comment ref="A185" authorId="0">
      <text>
        <r>
          <rPr>
            <b/>
            <sz val="8"/>
            <color indexed="81"/>
            <rFont val="Tahoma"/>
            <family val="2"/>
          </rPr>
          <t xml:space="preserve"> User:</t>
        </r>
        <r>
          <rPr>
            <sz val="8"/>
            <color indexed="81"/>
            <rFont val="Tahoma"/>
            <family val="2"/>
          </rPr>
          <t xml:space="preserve">
</t>
        </r>
        <r>
          <rPr>
            <sz val="11"/>
            <color indexed="81"/>
            <rFont val="Tahoma"/>
            <family val="2"/>
          </rPr>
          <t>Inc. HELIN discount</t>
        </r>
      </text>
    </comment>
    <comment ref="E185"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C186" authorId="0">
      <text>
        <r>
          <rPr>
            <b/>
            <sz val="11"/>
            <color indexed="81"/>
            <rFont val="Tahoma"/>
            <family val="2"/>
          </rPr>
          <t>Basic subscription for 1-5 simul. users</t>
        </r>
      </text>
    </comment>
    <comment ref="H186" authorId="0">
      <text>
        <r>
          <rPr>
            <b/>
            <sz val="11"/>
            <color indexed="81"/>
            <rFont val="Tahoma"/>
            <family val="2"/>
          </rPr>
          <t>Full subscription for 11+ users</t>
        </r>
      </text>
    </comment>
    <comment ref="I186" authorId="0">
      <text>
        <r>
          <rPr>
            <b/>
            <sz val="11"/>
            <color indexed="81"/>
            <rFont val="Tahoma"/>
            <family val="2"/>
          </rPr>
          <t>Basic subscription for 1-5 simul. users</t>
        </r>
      </text>
    </comment>
    <comment ref="A188" authorId="0">
      <text>
        <r>
          <rPr>
            <b/>
            <sz val="11"/>
            <color indexed="81"/>
            <rFont val="Tahoma"/>
            <family val="2"/>
          </rPr>
          <t>Unlimited access; willing to discuss simultaneous users/seats if desire</t>
        </r>
        <r>
          <rPr>
            <sz val="11"/>
            <color indexed="81"/>
            <rFont val="Tahoma"/>
            <family val="2"/>
          </rPr>
          <t xml:space="preserve">d
</t>
        </r>
      </text>
    </comment>
    <comment ref="C188" authorId="4">
      <text>
        <r>
          <rPr>
            <sz val="11"/>
            <color indexed="81"/>
            <rFont val="Tahoma"/>
            <family val="2"/>
          </rPr>
          <t>Direct</t>
        </r>
      </text>
    </comment>
    <comment ref="H188" authorId="0">
      <text>
        <r>
          <rPr>
            <b/>
            <sz val="11"/>
            <color indexed="81"/>
            <rFont val="Tahoma"/>
            <family val="2"/>
          </rPr>
          <t>license for 1 user</t>
        </r>
      </text>
    </comment>
    <comment ref="D189" authorId="0">
      <text>
        <r>
          <rPr>
            <b/>
            <sz val="11"/>
            <color indexed="81"/>
            <rFont val="Tahoma"/>
            <family val="2"/>
          </rPr>
          <t>annual site license / unlimited access</t>
        </r>
      </text>
    </comment>
    <comment ref="E189" authorId="2">
      <text>
        <r>
          <rPr>
            <b/>
            <sz val="10"/>
            <color indexed="81"/>
            <rFont val="Tahoma"/>
            <family val="2"/>
          </rPr>
          <t>sreynolds:</t>
        </r>
        <r>
          <rPr>
            <sz val="8"/>
            <color indexed="81"/>
            <rFont val="Tahoma"/>
            <family val="2"/>
          </rPr>
          <t xml:space="preserve">
</t>
        </r>
        <r>
          <rPr>
            <b/>
            <sz val="14"/>
            <color indexed="81"/>
            <rFont val="Tahoma"/>
            <family val="2"/>
          </rPr>
          <t xml:space="preserve">JWU=12,406 (RI, CO, FL)
</t>
        </r>
        <r>
          <rPr>
            <b/>
            <sz val="14"/>
            <color indexed="10"/>
            <rFont val="Tahoma"/>
            <family val="2"/>
          </rPr>
          <t>FINAL DECISION 2010:</t>
        </r>
        <r>
          <rPr>
            <b/>
            <sz val="14"/>
            <color indexed="81"/>
            <rFont val="Tahoma"/>
            <family val="2"/>
          </rPr>
          <t xml:space="preserve">
TOTAL for 3 campuses = $3,900
Providence, RI @ $1,900   
Denver, CO  @ $1,000   
No. Miami, FL  @  $1,000   
</t>
        </r>
      </text>
    </comment>
    <comment ref="A190" authorId="0">
      <text>
        <r>
          <rPr>
            <b/>
            <sz val="11"/>
            <color indexed="81"/>
            <rFont val="Tahoma"/>
            <family val="2"/>
          </rPr>
          <t>HELIN now gets 15% discount because of no. of participants</t>
        </r>
      </text>
    </comment>
    <comment ref="A191" authorId="0">
      <text>
        <r>
          <rPr>
            <b/>
            <sz val="11"/>
            <color indexed="81"/>
            <rFont val="Tahoma"/>
            <family val="2"/>
          </rPr>
          <t>HELIN now gets 15% discount because of no. of participants</t>
        </r>
      </text>
    </comment>
    <comment ref="E191" authorId="11">
      <text>
        <r>
          <rPr>
            <b/>
            <sz val="14"/>
            <color indexed="81"/>
            <rFont val="Tahoma"/>
            <family val="2"/>
          </rPr>
          <t xml:space="preserve">
JWU=14,842
</t>
        </r>
        <r>
          <rPr>
            <b/>
            <sz val="10"/>
            <color indexed="81"/>
            <rFont val="Tahoma"/>
            <family val="2"/>
          </rPr>
          <t xml:space="preserve">
</t>
        </r>
      </text>
    </comment>
    <comment ref="F191" authorId="11">
      <text>
        <r>
          <rPr>
            <b/>
            <sz val="10"/>
            <color indexed="81"/>
            <rFont val="Tahoma"/>
            <family val="2"/>
          </rPr>
          <t>Providence College
Pricing from Laura Brown:
moved to HELIN 2010/11</t>
        </r>
      </text>
    </comment>
    <comment ref="J191" authorId="0">
      <text>
        <r>
          <rPr>
            <sz val="11"/>
            <color indexed="81"/>
            <rFont val="Tahoma"/>
            <family val="2"/>
          </rPr>
          <t xml:space="preserve">Univ. of RI
Pricing  from Laura Brown
Titles accessed:
Journal of the Operational Research Society -- $1,554
Knowledge Management Research &amp; Practice -- free with JORS (above)
Polity -- $183
</t>
        </r>
      </text>
    </comment>
    <comment ref="A192" authorId="0">
      <text>
        <r>
          <rPr>
            <b/>
            <sz val="11"/>
            <color indexed="81"/>
            <rFont val="Tahoma"/>
            <family val="2"/>
          </rPr>
          <t>Site license for unlimited users</t>
        </r>
      </text>
    </comment>
    <comment ref="J193" authorId="0">
      <text>
        <r>
          <rPr>
            <b/>
            <sz val="11"/>
            <color indexed="81"/>
            <rFont val="Tahoma"/>
            <family val="2"/>
          </rPr>
          <t>Need 2011 price
With NERL fee:</t>
        </r>
      </text>
    </comment>
    <comment ref="J194" authorId="0">
      <text>
        <r>
          <rPr>
            <b/>
            <sz val="11"/>
            <color indexed="81"/>
            <rFont val="Tahoma"/>
            <family val="2"/>
          </rPr>
          <t>Sub. Period = 9/10 - 8/11
Inc. $160 NERL fee
1 seat w/o SSM</t>
        </r>
      </text>
    </comment>
    <comment ref="J195" authorId="0">
      <text>
        <r>
          <rPr>
            <b/>
            <sz val="11"/>
            <color indexed="81"/>
            <rFont val="Tahoma"/>
            <family val="2"/>
          </rPr>
          <t>NERL fee of:</t>
        </r>
      </text>
    </comment>
    <comment ref="J197" authorId="16">
      <text>
        <r>
          <rPr>
            <b/>
            <sz val="8"/>
            <color indexed="81"/>
            <rFont val="Tahoma"/>
            <family val="2"/>
          </rPr>
          <t>bdaley:</t>
        </r>
        <r>
          <rPr>
            <sz val="8"/>
            <color indexed="81"/>
            <rFont val="Tahoma"/>
            <family val="2"/>
          </rPr>
          <t xml:space="preserve">
</t>
        </r>
        <r>
          <rPr>
            <sz val="11"/>
            <color indexed="81"/>
            <rFont val="Tahoma"/>
            <family val="2"/>
          </rPr>
          <t>NERLcontent fees:
$12877.50 2011 (plus unknown increase)
$6, 938.75 prorated July-Dec. 2010
$150 NERL fee
$1000 PQ Price for access / hosting</t>
        </r>
      </text>
    </comment>
    <comment ref="A198" authorId="0">
      <text>
        <r>
          <rPr>
            <b/>
            <sz val="11"/>
            <color indexed="81"/>
            <rFont val="Tahoma"/>
            <family val="2"/>
          </rPr>
          <t xml:space="preserve">SAGE pricing for 2010-2-12 sent to libraries Feb. 2010
cost includes $160 NERL fee
</t>
        </r>
      </text>
    </comment>
    <comment ref="E198" authorId="0">
      <text>
        <r>
          <rPr>
            <b/>
            <sz val="11"/>
            <color indexed="81"/>
            <rFont val="Tahoma"/>
            <family val="2"/>
          </rPr>
          <t xml:space="preserve">
</t>
        </r>
        <r>
          <rPr>
            <b/>
            <sz val="14"/>
            <color indexed="81"/>
            <rFont val="Tahoma"/>
            <family val="2"/>
          </rPr>
          <t>JWU=14,842 (all)</t>
        </r>
        <r>
          <rPr>
            <b/>
            <sz val="11"/>
            <color indexed="81"/>
            <rFont val="Tahoma"/>
            <family val="2"/>
          </rPr>
          <t xml:space="preserve">
</t>
        </r>
      </text>
    </comment>
    <comment ref="J198" authorId="1">
      <text>
        <r>
          <rPr>
            <b/>
            <sz val="8"/>
            <color indexed="81"/>
            <rFont val="Tahoma"/>
            <family val="2"/>
          </rPr>
          <t xml:space="preserve">Martha (per Andree):
</t>
        </r>
        <r>
          <rPr>
            <sz val="8"/>
            <color indexed="81"/>
            <rFont val="Tahoma"/>
            <family val="2"/>
          </rPr>
          <t xml:space="preserve">
</t>
        </r>
        <r>
          <rPr>
            <sz val="11"/>
            <color indexed="81"/>
            <rFont val="Tahoma"/>
            <family val="2"/>
          </rPr>
          <t>1/2010-12/2010 -- $87,592.66 minus credit for titles already renewed through EBSCO ($4,543.00) = $</t>
        </r>
        <r>
          <rPr>
            <b/>
            <sz val="11"/>
            <color indexed="81"/>
            <rFont val="Tahoma"/>
            <family val="2"/>
          </rPr>
          <t>83,049.66</t>
        </r>
        <r>
          <rPr>
            <sz val="11"/>
            <color indexed="81"/>
            <rFont val="Tahoma"/>
            <family val="2"/>
          </rPr>
          <t xml:space="preserve"> (+20.9%) 
Sage NERL fee 2010 -- </t>
        </r>
        <r>
          <rPr>
            <b/>
            <sz val="11"/>
            <color indexed="81"/>
            <rFont val="Tahoma"/>
            <family val="2"/>
          </rPr>
          <t xml:space="preserve">$160.00 </t>
        </r>
        <r>
          <rPr>
            <sz val="11"/>
            <color indexed="81"/>
            <rFont val="Tahoma"/>
            <family val="2"/>
          </rPr>
          <t xml:space="preserve">
Package cost 1/2011-12/2011 -- </t>
        </r>
        <r>
          <rPr>
            <b/>
            <sz val="11"/>
            <color indexed="81"/>
            <rFont val="Tahoma"/>
            <family val="2"/>
          </rPr>
          <t>$90,220.44</t>
        </r>
        <r>
          <rPr>
            <sz val="11"/>
            <color indexed="81"/>
            <rFont val="Tahoma"/>
            <family val="2"/>
          </rPr>
          <t xml:space="preserve"> (+3.0%) 
Sage NERL fee 2011 -- $</t>
        </r>
        <r>
          <rPr>
            <b/>
            <sz val="11"/>
            <color indexed="81"/>
            <rFont val="Tahoma"/>
            <family val="2"/>
          </rPr>
          <t xml:space="preserve">160.00 </t>
        </r>
        <r>
          <rPr>
            <sz val="11"/>
            <color indexed="81"/>
            <rFont val="Tahoma"/>
            <family val="2"/>
          </rPr>
          <t xml:space="preserve">
Package cost 1/2012-12/2012 -- $</t>
        </r>
        <r>
          <rPr>
            <b/>
            <sz val="11"/>
            <color indexed="81"/>
            <rFont val="Tahoma"/>
            <family val="2"/>
          </rPr>
          <t>92,927.05</t>
        </r>
        <r>
          <rPr>
            <sz val="11"/>
            <color indexed="81"/>
            <rFont val="Tahoma"/>
            <family val="2"/>
          </rPr>
          <t xml:space="preserve"> (+3.0%)
Sage NERL fee 2012 -- $</t>
        </r>
        <r>
          <rPr>
            <b/>
            <sz val="11"/>
            <color indexed="81"/>
            <rFont val="Tahoma"/>
            <family val="2"/>
          </rPr>
          <t>160.0</t>
        </r>
        <r>
          <rPr>
            <sz val="11"/>
            <color indexed="81"/>
            <rFont val="Tahoma"/>
            <family val="2"/>
          </rPr>
          <t xml:space="preserve">0 </t>
        </r>
      </text>
    </comment>
    <comment ref="A207" authorId="0">
      <text>
        <r>
          <rPr>
            <b/>
            <sz val="11"/>
            <color indexed="81"/>
            <rFont val="Tahoma"/>
            <family val="2"/>
          </rPr>
          <t>Pricing based on Carnegie Classification</t>
        </r>
      </text>
    </comment>
    <comment ref="F207" authorId="0">
      <text>
        <r>
          <rPr>
            <b/>
            <sz val="11"/>
            <color indexed="81"/>
            <rFont val="Tahoma"/>
            <family val="2"/>
          </rPr>
          <t>Legacy pricing as early adopter</t>
        </r>
      </text>
    </comment>
    <comment ref="D208" authorId="1">
      <text>
        <r>
          <rPr>
            <b/>
            <sz val="8"/>
            <color indexed="81"/>
            <rFont val="Tahoma"/>
            <family val="2"/>
          </rPr>
          <t>Martha:</t>
        </r>
        <r>
          <rPr>
            <sz val="8"/>
            <color indexed="81"/>
            <rFont val="Tahoma"/>
            <family val="2"/>
          </rPr>
          <t xml:space="preserve">
 CCRI paid $1917.61 in one-time purchases in 2009/10</t>
        </r>
      </text>
    </comment>
    <comment ref="J226" authorId="16">
      <text>
        <r>
          <rPr>
            <b/>
            <sz val="8"/>
            <color indexed="81"/>
            <rFont val="Tahoma"/>
            <family val="2"/>
          </rPr>
          <t>bdaley:</t>
        </r>
        <r>
          <rPr>
            <sz val="8"/>
            <color indexed="81"/>
            <rFont val="Tahoma"/>
            <family val="2"/>
          </rPr>
          <t xml:space="preserve">
</t>
        </r>
        <r>
          <rPr>
            <sz val="11"/>
            <color indexed="81"/>
            <rFont val="Tahoma"/>
            <family val="2"/>
          </rPr>
          <t>NERL content fees:
$12877.50 2011 (plus unknown increase)
$6, 938.75 prorated July-Dec. 2010
$150 NERL fee
$1000 PQ Price for access / hosting</t>
        </r>
      </text>
    </comment>
    <comment ref="H230" authorId="17">
      <text>
        <r>
          <rPr>
            <b/>
            <sz val="11"/>
            <color indexed="81"/>
            <rFont val="Tahoma"/>
            <family val="2"/>
          </rPr>
          <t>ProQuest:</t>
        </r>
        <r>
          <rPr>
            <sz val="11"/>
            <color indexed="81"/>
            <rFont val="Tahoma"/>
            <family val="2"/>
          </rPr>
          <t xml:space="preserve">
Included in PQ Central, no pricing. </t>
        </r>
      </text>
    </comment>
    <comment ref="H232" authorId="17">
      <text>
        <r>
          <rPr>
            <b/>
            <sz val="11"/>
            <color indexed="81"/>
            <rFont val="Tahoma"/>
            <family val="2"/>
          </rPr>
          <t>ProQuest:
Includes ABI.</t>
        </r>
      </text>
    </comment>
    <comment ref="A235" authorId="1">
      <text>
        <r>
          <rPr>
            <b/>
            <sz val="8"/>
            <color indexed="81"/>
            <rFont val="Tahoma"/>
            <family val="2"/>
          </rPr>
          <t>Martha:</t>
        </r>
        <r>
          <rPr>
            <sz val="8"/>
            <color indexed="81"/>
            <rFont val="Tahoma"/>
            <family val="2"/>
          </rPr>
          <t xml:space="preserve">
</t>
        </r>
        <r>
          <rPr>
            <sz val="11"/>
            <color indexed="81"/>
            <rFont val="Tahoma"/>
            <family val="2"/>
          </rPr>
          <t>Pricing in cells show 15% HELIN discount that will apply to any individual order of the Current or Historical Boston Globe.
The following additional discounts may apply:
2)      If more than 2 institutions purchase the Historical Boston Globe, a 20% discount would apply to each purchase.
3)      If more than 2 institutions subscribe to the Current Boston Globe, a 25% discount would apply to each subscription.
4)      If an institution purchases the Historical Boston Globe and subscribes to the Current Boston Globe, a 20% discount would apply to the purchase of the Historical BG and a 35% discount would apply to the subscription of the Current BG.</t>
        </r>
      </text>
    </comment>
    <comment ref="D235" authorId="1">
      <text>
        <r>
          <rPr>
            <b/>
            <sz val="8"/>
            <color indexed="81"/>
            <rFont val="Tahoma"/>
            <charset val="1"/>
          </rPr>
          <t>Martha:</t>
        </r>
        <r>
          <rPr>
            <sz val="8"/>
            <color indexed="81"/>
            <rFont val="Tahoma"/>
            <charset val="1"/>
          </rPr>
          <t xml:space="preserve">
</t>
        </r>
        <r>
          <rPr>
            <sz val="11"/>
            <color indexed="81"/>
            <rFont val="Tahoma"/>
            <family val="2"/>
          </rPr>
          <t>$28,888 content
$701 annual hosting fee</t>
        </r>
      </text>
    </comment>
    <comment ref="G236" authorId="11">
      <text>
        <r>
          <rPr>
            <b/>
            <sz val="10"/>
            <color indexed="81"/>
            <rFont val="Tahoma"/>
            <family val="2"/>
          </rPr>
          <t>Rhode Island College:</t>
        </r>
        <r>
          <rPr>
            <sz val="10"/>
            <color indexed="81"/>
            <rFont val="Tahoma"/>
            <family val="2"/>
          </rPr>
          <t xml:space="preserve">
RIC subscribes to the BG and the NYT digital microfilm direct. Last October we paid for the Boston Globe $5019.42 and for NYT $5139.36. If HELIN can get similar pricing, we would gladly move the subscriptions. JES</t>
        </r>
      </text>
    </comment>
    <comment ref="F237" authorId="16">
      <text>
        <r>
          <rPr>
            <b/>
            <sz val="8"/>
            <color indexed="81"/>
            <rFont val="Tahoma"/>
            <family val="2"/>
          </rPr>
          <t>bdaley:</t>
        </r>
        <r>
          <rPr>
            <sz val="8"/>
            <color indexed="81"/>
            <rFont val="Tahoma"/>
            <family val="2"/>
          </rPr>
          <t xml:space="preserve">
includes MARC Records split with RWU.
Price based on PC and RWU purchasing EEBO</t>
        </r>
      </text>
    </comment>
    <comment ref="H237" authorId="16">
      <text>
        <r>
          <rPr>
            <b/>
            <sz val="8"/>
            <color indexed="81"/>
            <rFont val="Tahoma"/>
            <family val="2"/>
          </rPr>
          <t>bdaley:</t>
        </r>
        <r>
          <rPr>
            <sz val="8"/>
            <color indexed="81"/>
            <rFont val="Tahoma"/>
            <family val="2"/>
          </rPr>
          <t xml:space="preserve">
</t>
        </r>
        <r>
          <rPr>
            <sz val="11"/>
            <color indexed="81"/>
            <rFont val="Tahoma"/>
            <family val="2"/>
          </rPr>
          <t>includes MARC Records split with PC.
Price based on PC and RWU purchasing EEBO
- $6603 paid as subscription for 2009/2010
oer Christine Fagan:
2010/2011           $10,000
2011/2012           $10,000
2012/2013           $ 8,701 (the $982 new data fee would kick in at this time as well)</t>
        </r>
      </text>
    </comment>
    <comment ref="F239" authorId="16">
      <text>
        <r>
          <rPr>
            <b/>
            <sz val="8"/>
            <color indexed="81"/>
            <rFont val="Tahoma"/>
            <family val="2"/>
          </rPr>
          <t>bdaley:</t>
        </r>
        <r>
          <rPr>
            <sz val="8"/>
            <color indexed="81"/>
            <rFont val="Tahoma"/>
            <family val="2"/>
          </rPr>
          <t xml:space="preserve">
CSF Waived for FY 2011 and FY 2012.  Upon renewal 7/2012 pricing is $982</t>
        </r>
      </text>
    </comment>
    <comment ref="H239" authorId="16">
      <text>
        <r>
          <rPr>
            <b/>
            <sz val="8"/>
            <color indexed="81"/>
            <rFont val="Tahoma"/>
            <family val="2"/>
          </rPr>
          <t>bdaley:</t>
        </r>
        <r>
          <rPr>
            <sz val="8"/>
            <color indexed="81"/>
            <rFont val="Tahoma"/>
            <family val="2"/>
          </rPr>
          <t xml:space="preserve">
CSF Waived for FY 2011 and FY 2012.  Upon renewal 7/2012 pricing is $982</t>
        </r>
      </text>
    </comment>
    <comment ref="E241" authorId="18">
      <text>
        <r>
          <rPr>
            <b/>
            <sz val="10"/>
            <color indexed="81"/>
            <rFont val="Tahoma"/>
            <family val="2"/>
          </rPr>
          <t>Administrator:</t>
        </r>
        <r>
          <rPr>
            <sz val="10"/>
            <color indexed="81"/>
            <rFont val="Tahoma"/>
            <family val="2"/>
          </rPr>
          <t xml:space="preserve">
</t>
        </r>
        <r>
          <rPr>
            <b/>
            <sz val="14"/>
            <color indexed="81"/>
            <rFont val="Tahoma"/>
            <family val="2"/>
          </rPr>
          <t>JWU=11,406</t>
        </r>
        <r>
          <rPr>
            <sz val="10"/>
            <color indexed="81"/>
            <rFont val="Tahoma"/>
            <family val="2"/>
          </rPr>
          <t xml:space="preserve">
</t>
        </r>
        <r>
          <rPr>
            <b/>
            <sz val="16"/>
            <color indexed="81"/>
            <rFont val="Tahoma"/>
            <family val="2"/>
          </rPr>
          <t>ProQuest Dissertations &amp; Theses</t>
        </r>
        <r>
          <rPr>
            <sz val="10"/>
            <color indexed="81"/>
            <rFont val="Tahoma"/>
            <family val="2"/>
          </rPr>
          <t xml:space="preserve">
</t>
        </r>
        <r>
          <rPr>
            <b/>
            <sz val="12"/>
            <color indexed="10"/>
            <rFont val="Tahoma"/>
            <family val="2"/>
          </rPr>
          <t>2010-2011 pricing (2/22/2010)</t>
        </r>
        <r>
          <rPr>
            <sz val="10"/>
            <color indexed="81"/>
            <rFont val="Tahoma"/>
            <family val="2"/>
          </rPr>
          <t xml:space="preserve">
</t>
        </r>
        <r>
          <rPr>
            <sz val="14"/>
            <color indexed="81"/>
            <rFont val="Tahoma"/>
            <family val="2"/>
          </rPr>
          <t xml:space="preserve">The pricing reflects the cost for Johnson &amp; Wales to have access to the A&amp;I and includes 2.7 million searchable citations to dissertation and theses from around the world from 1861 to the present day together with 1.2 million full text dissertations that are available for download in PDF format. Over 2.1 million titles are available for purchase as printed copies. The database offers full text for most of the dissertations added since 1997 and strong retrospective full text coverage for older graduate works.  
Additional database information is on the ProQuest site: http://www.proquest.com/en-US/catalogs/databases/detail/pqdt.shtml
</t>
        </r>
        <r>
          <rPr>
            <b/>
            <sz val="14"/>
            <color indexed="81"/>
            <rFont val="Tahoma"/>
            <family val="2"/>
          </rPr>
          <t>Pricing is based on one of the J&amp;W campuses (Rhode Island) subscribing to PQDT.  Other J&amp;W campuses would be added by IP range.</t>
        </r>
        <r>
          <rPr>
            <sz val="14"/>
            <color indexed="81"/>
            <rFont val="Tahoma"/>
            <family val="2"/>
          </rPr>
          <t xml:space="preserve">
</t>
        </r>
        <r>
          <rPr>
            <b/>
            <sz val="14"/>
            <color indexed="81"/>
            <rFont val="Tahoma"/>
            <family val="2"/>
          </rPr>
          <t>Campus   FTE       Single Site Pricing   Multiple Site Pricing</t>
        </r>
        <r>
          <rPr>
            <sz val="14"/>
            <color indexed="81"/>
            <rFont val="Tahoma"/>
            <family val="2"/>
          </rPr>
          <t xml:space="preserve">
RI            9,796    $5,418.00                     $5,418.00 
CO           1,427    $5,418.00                     $2,438.00 
FL            1,879    $5,418.00                     $2,438.00 
NC           2,403    $5,418.00                     $2,438.00 
All Four Campuses FTE 15,505                  $12,732.00 </t>
        </r>
      </text>
    </comment>
    <comment ref="A243" authorId="1">
      <text>
        <r>
          <rPr>
            <b/>
            <sz val="8"/>
            <color indexed="81"/>
            <rFont val="Tahoma"/>
            <family val="2"/>
          </rPr>
          <t>Martha:</t>
        </r>
        <r>
          <rPr>
            <sz val="8"/>
            <color indexed="81"/>
            <rFont val="Tahoma"/>
            <family val="2"/>
          </rPr>
          <t xml:space="preserve">
</t>
        </r>
        <r>
          <rPr>
            <sz val="11"/>
            <color indexed="81"/>
            <rFont val="Tahoma"/>
            <family val="2"/>
          </rPr>
          <t>formerly held by LexisNexis</t>
        </r>
      </text>
    </comment>
    <comment ref="A247" authorId="19">
      <text>
        <r>
          <rPr>
            <b/>
            <sz val="8"/>
            <color indexed="81"/>
            <rFont val="Tahoma"/>
            <family val="2"/>
          </rPr>
          <t>Dorcas Haller:</t>
        </r>
        <r>
          <rPr>
            <sz val="8"/>
            <color indexed="81"/>
            <rFont val="Tahoma"/>
            <family val="2"/>
          </rPr>
          <t xml:space="preserve">
CCRI would like pricing for NYT, Boston Globe, Hartford Courant, NY Tribune, &amp; Washington Post. We would like to get both the annual subscription rate and the purchase &amp; maintenance fee. I understand that community colleges have a separate pricing structure.</t>
        </r>
      </text>
    </comment>
    <comment ref="H247" authorId="0">
      <text>
        <r>
          <rPr>
            <sz val="11"/>
            <color indexed="81"/>
            <rFont val="Tahoma"/>
            <family val="2"/>
          </rPr>
          <t>Subscription to HNP: NY Times. &amp; Boston Globe</t>
        </r>
      </text>
    </comment>
    <comment ref="A248" authorId="19">
      <text>
        <r>
          <rPr>
            <b/>
            <sz val="8"/>
            <color indexed="81"/>
            <rFont val="Tahoma"/>
            <family val="2"/>
          </rPr>
          <t>Dorcas Haller:</t>
        </r>
        <r>
          <rPr>
            <sz val="8"/>
            <color indexed="81"/>
            <rFont val="Tahoma"/>
            <family val="2"/>
          </rPr>
          <t xml:space="preserve">
CCRI would like pricing for NYT, Boston Globe, Hartford Courant, NY Tribune, &amp; Washington Post. We would like to get both the annual subscription rate and the purchase &amp; maintenance fee. I understand that community colleges have a separate pricing structure.</t>
        </r>
      </text>
    </comment>
    <comment ref="D248" authorId="19">
      <text>
        <r>
          <rPr>
            <b/>
            <sz val="8"/>
            <color indexed="81"/>
            <rFont val="Tahoma"/>
            <family val="2"/>
          </rPr>
          <t>Dorcas Haller:</t>
        </r>
        <r>
          <rPr>
            <sz val="8"/>
            <color indexed="81"/>
            <rFont val="Tahoma"/>
            <family val="2"/>
          </rPr>
          <t xml:space="preserve">
</t>
        </r>
        <r>
          <rPr>
            <sz val="11"/>
            <color indexed="81"/>
            <rFont val="Tahoma"/>
            <family val="2"/>
          </rPr>
          <t xml:space="preserve">Subscription pricing:
$4792 NYT
5/21/10 dwh: just NYT, please
</t>
        </r>
      </text>
    </comment>
    <comment ref="K251" authorId="0">
      <text>
        <r>
          <rPr>
            <sz val="11"/>
            <color indexed="81"/>
            <rFont val="Tahoma"/>
            <family val="2"/>
          </rPr>
          <t>Mass. State contract</t>
        </r>
      </text>
    </comment>
    <comment ref="A252" authorId="10">
      <text>
        <r>
          <rPr>
            <sz val="11"/>
            <color indexed="81"/>
            <rFont val="Tahoma"/>
            <family val="2"/>
          </rPr>
          <t>Subscription to the Historical New York Times includes 1851-4 years ago.  Lexis-Nexis will cover the NYT for the current 4 years</t>
        </r>
        <r>
          <rPr>
            <sz val="8"/>
            <color indexed="81"/>
            <rFont val="Tahoma"/>
            <family val="2"/>
          </rPr>
          <t xml:space="preserve">
</t>
        </r>
      </text>
    </comment>
    <comment ref="C252" authorId="6">
      <text>
        <r>
          <rPr>
            <sz val="12"/>
            <color indexed="81"/>
            <rFont val="Arial"/>
            <family val="2"/>
          </rPr>
          <t>Subscription to HNP: NY Times</t>
        </r>
      </text>
    </comment>
    <comment ref="F252" authorId="6">
      <text>
        <r>
          <rPr>
            <sz val="12"/>
            <color indexed="81"/>
            <rFont val="Arial"/>
            <family val="2"/>
          </rPr>
          <t>Subscription to HNP: NY Times</t>
        </r>
      </text>
    </comment>
    <comment ref="G252" authorId="6">
      <text>
        <r>
          <rPr>
            <sz val="12"/>
            <color indexed="81"/>
            <rFont val="Arial"/>
            <family val="2"/>
          </rPr>
          <t>Purchase of HNP: NY Times.  Cont Service Fee</t>
        </r>
        <r>
          <rPr>
            <sz val="8"/>
            <color indexed="81"/>
            <rFont val="Tahoma"/>
            <family val="2"/>
          </rPr>
          <t xml:space="preserve">
</t>
        </r>
      </text>
    </comment>
    <comment ref="I252" authorId="6">
      <text>
        <r>
          <rPr>
            <sz val="12"/>
            <color indexed="81"/>
            <rFont val="Arial"/>
            <family val="2"/>
          </rPr>
          <t xml:space="preserve">Subscription to HNP: NY Times. </t>
        </r>
      </text>
    </comment>
    <comment ref="K252" authorId="0">
      <text>
        <r>
          <rPr>
            <sz val="11"/>
            <color indexed="81"/>
            <rFont val="Tahoma"/>
            <family val="2"/>
          </rPr>
          <t>Subscription to HNP: NYTImes</t>
        </r>
      </text>
    </comment>
    <comment ref="G253" authorId="11">
      <text>
        <r>
          <rPr>
            <b/>
            <sz val="10"/>
            <color indexed="81"/>
            <rFont val="Tahoma"/>
            <family val="2"/>
          </rPr>
          <t>Rhode Island College:</t>
        </r>
        <r>
          <rPr>
            <sz val="10"/>
            <color indexed="81"/>
            <rFont val="Tahoma"/>
            <family val="2"/>
          </rPr>
          <t xml:space="preserve">
RIC subscribes to the BG and the NYT digital microfilm direct. Last October we paid for the Boston Globe $5019.42 and for NYT $5139.36. If HELIN can get similar pricing, we would gladly move the subscriptions. JES</t>
        </r>
      </text>
    </comment>
    <comment ref="C255" authorId="17">
      <text>
        <r>
          <rPr>
            <b/>
            <sz val="8"/>
            <color indexed="81"/>
            <rFont val="Tahoma"/>
            <family val="2"/>
          </rPr>
          <t>ProQuest:</t>
        </r>
        <r>
          <rPr>
            <sz val="8"/>
            <color indexed="81"/>
            <rFont val="Tahoma"/>
            <family val="2"/>
          </rPr>
          <t xml:space="preserve">
Subscriptio to Prov Journal</t>
        </r>
      </text>
    </comment>
    <comment ref="E255" authorId="0">
      <text>
        <r>
          <rPr>
            <b/>
            <sz val="11"/>
            <color indexed="81"/>
            <rFont val="Tahoma"/>
            <family val="2"/>
          </rPr>
          <t xml:space="preserve">
</t>
        </r>
        <r>
          <rPr>
            <b/>
            <sz val="14"/>
            <color indexed="81"/>
            <rFont val="Tahoma"/>
            <family val="2"/>
          </rPr>
          <t xml:space="preserve">JWU=8,970
</t>
        </r>
        <r>
          <rPr>
            <b/>
            <sz val="11"/>
            <color indexed="81"/>
            <rFont val="Tahoma"/>
            <family val="2"/>
          </rPr>
          <t xml:space="preserve"> </t>
        </r>
        <r>
          <rPr>
            <b/>
            <sz val="14"/>
            <color indexed="81"/>
            <rFont val="Tahoma"/>
            <family val="2"/>
          </rPr>
          <t>Subscription to Prov Journal</t>
        </r>
        <r>
          <rPr>
            <sz val="8"/>
            <color indexed="81"/>
            <rFont val="Tahoma"/>
            <family val="2"/>
          </rPr>
          <t xml:space="preserve">
</t>
        </r>
      </text>
    </comment>
    <comment ref="F255" authorId="17">
      <text>
        <r>
          <rPr>
            <b/>
            <sz val="11"/>
            <color indexed="81"/>
            <rFont val="Tahoma"/>
            <family val="2"/>
          </rPr>
          <t>ProQuest:</t>
        </r>
        <r>
          <rPr>
            <sz val="11"/>
            <color indexed="81"/>
            <rFont val="Tahoma"/>
            <family val="2"/>
          </rPr>
          <t xml:space="preserve">
Sub to Prov Journal</t>
        </r>
      </text>
    </comment>
    <comment ref="H255" authorId="17">
      <text>
        <r>
          <rPr>
            <b/>
            <sz val="8"/>
            <color indexed="81"/>
            <rFont val="Tahoma"/>
            <family val="2"/>
          </rPr>
          <t>ProQuest:</t>
        </r>
        <r>
          <rPr>
            <sz val="8"/>
            <color indexed="81"/>
            <rFont val="Tahoma"/>
            <family val="2"/>
          </rPr>
          <t xml:space="preserve">
Sub to Prov Journal</t>
        </r>
      </text>
    </comment>
    <comment ref="I255" authorId="17">
      <text>
        <r>
          <rPr>
            <b/>
            <sz val="8"/>
            <color indexed="81"/>
            <rFont val="Tahoma"/>
            <family val="2"/>
          </rPr>
          <t>ProQuest:</t>
        </r>
        <r>
          <rPr>
            <sz val="8"/>
            <color indexed="81"/>
            <rFont val="Tahoma"/>
            <family val="2"/>
          </rPr>
          <t xml:space="preserve">
Sub to Prov Journal</t>
        </r>
      </text>
    </comment>
    <comment ref="J255" authorId="17">
      <text>
        <r>
          <rPr>
            <b/>
            <sz val="8"/>
            <color indexed="81"/>
            <rFont val="Tahoma"/>
            <family val="2"/>
          </rPr>
          <t>ProQuest:</t>
        </r>
        <r>
          <rPr>
            <sz val="8"/>
            <color indexed="81"/>
            <rFont val="Tahoma"/>
            <family val="2"/>
          </rPr>
          <t xml:space="preserve">
Sub to Prov Journal</t>
        </r>
      </text>
    </comment>
    <comment ref="K255" authorId="0">
      <text>
        <r>
          <rPr>
            <sz val="11"/>
            <color indexed="81"/>
            <rFont val="Tahoma"/>
            <family val="2"/>
          </rPr>
          <t>Mass. State contract</t>
        </r>
      </text>
    </comment>
    <comment ref="E259" authorId="0">
      <text>
        <r>
          <rPr>
            <sz val="8"/>
            <color indexed="81"/>
            <rFont val="Tahoma"/>
            <family val="2"/>
          </rPr>
          <t xml:space="preserve">
</t>
        </r>
        <r>
          <rPr>
            <b/>
            <sz val="14"/>
            <color indexed="81"/>
            <rFont val="Tahoma"/>
            <family val="2"/>
          </rPr>
          <t xml:space="preserve">JWU=8,970       </t>
        </r>
        <r>
          <rPr>
            <sz val="8"/>
            <color indexed="81"/>
            <rFont val="Tahoma"/>
            <family val="2"/>
          </rPr>
          <t xml:space="preserve">                                                                                   
</t>
        </r>
        <r>
          <rPr>
            <b/>
            <sz val="14"/>
            <color indexed="81"/>
            <rFont val="Tahoma"/>
            <family val="2"/>
          </rPr>
          <t>103 slots
2 SU (simul. users)</t>
        </r>
        <r>
          <rPr>
            <sz val="8"/>
            <color indexed="81"/>
            <rFont val="Tahoma"/>
            <family val="2"/>
          </rPr>
          <t xml:space="preserve">
</t>
        </r>
      </text>
    </comment>
    <comment ref="J259" authorId="1">
      <text>
        <r>
          <rPr>
            <b/>
            <sz val="8"/>
            <color indexed="81"/>
            <rFont val="Tahoma"/>
            <family val="2"/>
          </rPr>
          <t>Martha:</t>
        </r>
        <r>
          <rPr>
            <sz val="8"/>
            <color indexed="81"/>
            <rFont val="Tahoma"/>
            <family val="2"/>
          </rPr>
          <t xml:space="preserve">
50-100 books
</t>
        </r>
        <r>
          <rPr>
            <b/>
            <sz val="8"/>
            <color indexed="81"/>
            <rFont val="Tahoma"/>
            <family val="2"/>
          </rPr>
          <t xml:space="preserve">Bruce: 
</t>
        </r>
        <r>
          <rPr>
            <sz val="8"/>
            <color indexed="81"/>
            <rFont val="Tahoma"/>
            <family val="2"/>
          </rPr>
          <t>pricing is for2 SU and 100 Books</t>
        </r>
      </text>
    </comment>
    <comment ref="H260" authorId="20">
      <text>
        <r>
          <rPr>
            <b/>
            <sz val="11"/>
            <color indexed="81"/>
            <rFont val="Tahoma"/>
            <family val="2"/>
          </rPr>
          <t>Roger Williams University:</t>
        </r>
        <r>
          <rPr>
            <sz val="11"/>
            <color indexed="81"/>
            <rFont val="Tahoma"/>
            <family val="2"/>
          </rPr>
          <t xml:space="preserve">
RI &amp; MASS</t>
        </r>
      </text>
    </comment>
    <comment ref="E261"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K261" authorId="0">
      <text>
        <r>
          <rPr>
            <sz val="11"/>
            <color indexed="81"/>
            <rFont val="Tahoma"/>
            <family val="2"/>
          </rPr>
          <t>Mass. State contract</t>
        </r>
      </text>
    </comment>
    <comment ref="C262" authorId="17">
      <text>
        <r>
          <rPr>
            <b/>
            <sz val="11"/>
            <color indexed="81"/>
            <rFont val="Tahoma"/>
            <family val="2"/>
          </rPr>
          <t>ProQuest:</t>
        </r>
        <r>
          <rPr>
            <sz val="11"/>
            <color indexed="81"/>
            <rFont val="Tahoma"/>
            <family val="2"/>
          </rPr>
          <t xml:space="preserve">
HNP:Wall Street Journal Purchase: Cont Service Fee only</t>
        </r>
      </text>
    </comment>
    <comment ref="F262" authorId="17">
      <text>
        <r>
          <rPr>
            <b/>
            <sz val="8"/>
            <color indexed="81"/>
            <rFont val="Tahoma"/>
            <family val="2"/>
          </rPr>
          <t>ProQuest:</t>
        </r>
        <r>
          <rPr>
            <sz val="8"/>
            <color indexed="81"/>
            <rFont val="Tahoma"/>
            <family val="2"/>
          </rPr>
          <t xml:space="preserve">
Sub to HNP: Wall Street Journal</t>
        </r>
      </text>
    </comment>
    <comment ref="K264" authorId="17">
      <text>
        <r>
          <rPr>
            <b/>
            <sz val="8"/>
            <color indexed="81"/>
            <rFont val="Tahoma"/>
            <family val="2"/>
          </rPr>
          <t>ProQuest:</t>
        </r>
        <r>
          <rPr>
            <sz val="8"/>
            <color indexed="81"/>
            <rFont val="Tahoma"/>
            <family val="2"/>
          </rPr>
          <t xml:space="preserve">
Sub to HNP: Washington Post</t>
        </r>
      </text>
    </comment>
    <comment ref="H267" authorId="21">
      <text>
        <r>
          <rPr>
            <b/>
            <sz val="9"/>
            <color indexed="81"/>
            <rFont val="Tahoma"/>
            <family val="2"/>
          </rPr>
          <t xml:space="preserve">mrs:
</t>
        </r>
        <r>
          <rPr>
            <b/>
            <sz val="11"/>
            <color indexed="81"/>
            <rFont val="Tahoma"/>
            <family val="2"/>
          </rPr>
          <t>Subscription to Ser. 1 (1690-1876)</t>
        </r>
      </text>
    </comment>
    <comment ref="F268" authorId="1">
      <text>
        <r>
          <rPr>
            <b/>
            <sz val="8"/>
            <color indexed="81"/>
            <rFont val="Tahoma"/>
            <family val="2"/>
          </rPr>
          <t>Martha:</t>
        </r>
        <r>
          <rPr>
            <sz val="8"/>
            <color indexed="81"/>
            <rFont val="Tahoma"/>
            <family val="2"/>
          </rPr>
          <t xml:space="preserve">
</t>
        </r>
        <r>
          <rPr>
            <sz val="11"/>
            <color indexed="81"/>
            <rFont val="Tahoma"/>
            <family val="2"/>
          </rPr>
          <t>Series I, II, VI, VII</t>
        </r>
      </text>
    </comment>
    <comment ref="F271" authorId="12">
      <text>
        <r>
          <rPr>
            <b/>
            <sz val="11"/>
            <color indexed="81"/>
            <rFont val="Tahoma"/>
            <family val="2"/>
          </rPr>
          <t>Karen:</t>
        </r>
        <r>
          <rPr>
            <sz val="11"/>
            <color indexed="81"/>
            <rFont val="Tahoma"/>
            <family val="2"/>
          </rPr>
          <t xml:space="preserve">
includes access to the product databases with software to search and retrieve content, plus initial participation in an Enhancement, Training &amp; Content program (ETC).
Martha:  
n/a for 2010/2011</t>
        </r>
      </text>
    </comment>
    <comment ref="A273" authorId="0">
      <text>
        <r>
          <rPr>
            <b/>
            <sz val="11"/>
            <color indexed="81"/>
            <rFont val="Tahoma"/>
            <family val="2"/>
          </rPr>
          <t>Consortium discounting @ 15% begins when 3 members subscribe (or if the total value of the subscription is $10,000).  A second tier of discouning (20%) kicks in when 10 members subscribe (or if the total subscription value reaches $50,000).
Discount being given to URI again even through 3 libraries are not subscribing.</t>
        </r>
      </text>
    </comment>
    <comment ref="J273" authorId="1">
      <text>
        <r>
          <rPr>
            <b/>
            <sz val="8"/>
            <color indexed="81"/>
            <rFont val="Tahoma"/>
            <family val="2"/>
          </rPr>
          <t>Martha:</t>
        </r>
        <r>
          <rPr>
            <sz val="8"/>
            <color indexed="81"/>
            <rFont val="Tahoma"/>
            <family val="2"/>
          </rPr>
          <t xml:space="preserve">
</t>
        </r>
        <r>
          <rPr>
            <sz val="11"/>
            <color indexed="81"/>
            <rFont val="Tahoma"/>
            <family val="2"/>
          </rPr>
          <t>URI's price last year was $3,156, which included a 15% consortial discount usually reserved for subscribers in consortia where at least three members
signed up.  We will continue to make that exception for URI in this coming year.  Due to FTE growth, their 2010-2011 invoice will be $3,353 reflecting last year's price schedule and the continuing consortial discount.</t>
        </r>
      </text>
    </comment>
    <comment ref="A274" authorId="0">
      <text>
        <r>
          <rPr>
            <b/>
            <sz val="11"/>
            <color indexed="81"/>
            <rFont val="Tahoma"/>
            <family val="2"/>
          </rPr>
          <t>Pricing based on no. of individual users</t>
        </r>
      </text>
    </comment>
    <comment ref="D274" authorId="0">
      <text>
        <r>
          <rPr>
            <b/>
            <sz val="11"/>
            <color indexed="81"/>
            <rFont val="Tahoma"/>
            <family val="2"/>
          </rPr>
          <t>100 users
All languages @ $75 ea = $7500
rep working to keep this pricing one more year for renewals</t>
        </r>
      </text>
    </comment>
    <comment ref="J275" authorId="0">
      <text>
        <r>
          <rPr>
            <b/>
            <sz val="11"/>
            <color indexed="81"/>
            <rFont val="Tahoma"/>
            <family val="2"/>
          </rPr>
          <t>Package B -- online
2009 cost shown</t>
        </r>
      </text>
    </comment>
    <comment ref="E279" authorId="2">
      <text>
        <r>
          <rPr>
            <b/>
            <sz val="8"/>
            <color indexed="81"/>
            <rFont val="Tahoma"/>
            <family val="2"/>
          </rPr>
          <t>sreynolds:</t>
        </r>
        <r>
          <rPr>
            <sz val="8"/>
            <color indexed="81"/>
            <rFont val="Tahoma"/>
            <family val="2"/>
          </rPr>
          <t xml:space="preserve">
</t>
        </r>
        <r>
          <rPr>
            <b/>
            <sz val="14"/>
            <color indexed="81"/>
            <rFont val="Tahoma"/>
            <family val="2"/>
          </rPr>
          <t>JWU=14,842</t>
        </r>
      </text>
    </comment>
    <comment ref="B280" authorId="1">
      <text>
        <r>
          <rPr>
            <b/>
            <sz val="8"/>
            <color indexed="81"/>
            <rFont val="Tahoma"/>
            <family val="2"/>
          </rPr>
          <t>Martha:</t>
        </r>
        <r>
          <rPr>
            <sz val="8"/>
            <color indexed="81"/>
            <rFont val="Tahoma"/>
            <family val="2"/>
          </rPr>
          <t xml:space="preserve">
</t>
        </r>
        <r>
          <rPr>
            <sz val="11"/>
            <color indexed="81"/>
            <rFont val="Tahoma"/>
            <family val="2"/>
          </rPr>
          <t>ordered &amp; pd. May 2010
3-yr. subscription ending June 30, 2013:
$24,000</t>
        </r>
      </text>
    </comment>
    <comment ref="J281" authorId="1">
      <text>
        <r>
          <rPr>
            <b/>
            <sz val="8"/>
            <color indexed="81"/>
            <rFont val="Tahoma"/>
            <family val="2"/>
          </rPr>
          <t>Martha:</t>
        </r>
        <r>
          <rPr>
            <sz val="8"/>
            <color indexed="81"/>
            <rFont val="Tahoma"/>
            <family val="2"/>
          </rPr>
          <t xml:space="preserve">
</t>
        </r>
        <r>
          <rPr>
            <sz val="11"/>
            <color indexed="81"/>
            <rFont val="Tahoma"/>
            <family val="2"/>
          </rPr>
          <t>New subscription for 5/1/2010-6/30/2012 
$3120 pd. June 2010</t>
        </r>
      </text>
    </comment>
    <comment ref="J283" authorId="0">
      <text>
        <r>
          <rPr>
            <b/>
            <sz val="11"/>
            <color indexed="81"/>
            <rFont val="Tahoma"/>
            <family val="2"/>
          </rPr>
          <t>Pd. For 3 years in 08/09
subscription ends June 2012</t>
        </r>
      </text>
    </comment>
    <comment ref="A284" authorId="1">
      <text>
        <r>
          <rPr>
            <b/>
            <sz val="8"/>
            <color indexed="81"/>
            <rFont val="Tahoma"/>
            <family val="2"/>
          </rPr>
          <t>Martha:</t>
        </r>
        <r>
          <rPr>
            <sz val="8"/>
            <color indexed="81"/>
            <rFont val="Tahoma"/>
            <family val="2"/>
          </rPr>
          <t xml:space="preserve">
</t>
        </r>
        <r>
          <rPr>
            <sz val="11"/>
            <color indexed="81"/>
            <rFont val="Tahoma"/>
            <family val="2"/>
          </rPr>
          <t>10% discount for 4 or more libraries</t>
        </r>
      </text>
    </comment>
    <comment ref="E284" authorId="1">
      <text>
        <r>
          <rPr>
            <b/>
            <sz val="8"/>
            <color indexed="81"/>
            <rFont val="Tahoma"/>
            <charset val="1"/>
          </rPr>
          <t>Martha:</t>
        </r>
        <r>
          <rPr>
            <sz val="8"/>
            <color indexed="81"/>
            <rFont val="Tahoma"/>
            <charset val="1"/>
          </rPr>
          <t xml:space="preserve">
</t>
        </r>
        <r>
          <rPr>
            <sz val="11"/>
            <color indexed="81"/>
            <rFont val="Tahoma"/>
            <family val="2"/>
          </rPr>
          <t>Prov. Campus only (8970 FTE)</t>
        </r>
      </text>
    </comment>
    <comment ref="A285" authorId="1">
      <text>
        <r>
          <rPr>
            <b/>
            <sz val="8"/>
            <color indexed="81"/>
            <rFont val="Tahoma"/>
            <family val="2"/>
          </rPr>
          <t>Martha:</t>
        </r>
        <r>
          <rPr>
            <sz val="8"/>
            <color indexed="81"/>
            <rFont val="Tahoma"/>
            <family val="2"/>
          </rPr>
          <t xml:space="preserve">
Includes 10% discount</t>
        </r>
      </text>
    </comment>
    <comment ref="E286" authorId="1">
      <text>
        <r>
          <rPr>
            <b/>
            <sz val="8"/>
            <color indexed="81"/>
            <rFont val="Tahoma"/>
            <charset val="1"/>
          </rPr>
          <t>Martha:</t>
        </r>
        <r>
          <rPr>
            <sz val="8"/>
            <color indexed="81"/>
            <rFont val="Tahoma"/>
            <charset val="1"/>
          </rPr>
          <t xml:space="preserve">
</t>
        </r>
        <r>
          <rPr>
            <sz val="11"/>
            <color indexed="81"/>
            <rFont val="Tahoma"/>
            <family val="2"/>
          </rPr>
          <t>Prov. Campus only (8970 FTE)</t>
        </r>
      </text>
    </comment>
    <comment ref="A288" authorId="0">
      <text>
        <r>
          <rPr>
            <b/>
            <sz val="11"/>
            <color indexed="81"/>
            <rFont val="Tahoma"/>
            <family val="2"/>
          </rPr>
          <t xml:space="preserve">Includes 10% consortium discount </t>
        </r>
      </text>
    </comment>
    <comment ref="D288" authorId="0">
      <text>
        <r>
          <rPr>
            <b/>
            <sz val="11"/>
            <color indexed="81"/>
            <rFont val="Tahoma"/>
            <family val="2"/>
          </rPr>
          <t xml:space="preserve">1 user
</t>
        </r>
      </text>
    </comment>
    <comment ref="F288" authorId="0">
      <text>
        <r>
          <rPr>
            <b/>
            <sz val="11"/>
            <color indexed="81"/>
            <rFont val="Tahoma"/>
            <family val="2"/>
          </rPr>
          <t>Unlimited users</t>
        </r>
      </text>
    </comment>
    <comment ref="H288" authorId="0">
      <text>
        <r>
          <rPr>
            <b/>
            <sz val="11"/>
            <color indexed="81"/>
            <rFont val="Tahoma"/>
            <family val="2"/>
          </rPr>
          <t>1 user</t>
        </r>
      </text>
    </comment>
    <comment ref="A289" authorId="0">
      <text>
        <r>
          <rPr>
            <b/>
            <sz val="11"/>
            <color indexed="81"/>
            <rFont val="Tahoma"/>
            <family val="2"/>
          </rPr>
          <t xml:space="preserve">Includes 10% consortium discount </t>
        </r>
      </text>
    </comment>
    <comment ref="D290" authorId="1">
      <text>
        <r>
          <rPr>
            <b/>
            <sz val="8"/>
            <color indexed="81"/>
            <rFont val="Tahoma"/>
            <family val="2"/>
          </rPr>
          <t>Martha:</t>
        </r>
        <r>
          <rPr>
            <sz val="8"/>
            <color indexed="81"/>
            <rFont val="Tahoma"/>
            <family val="2"/>
          </rPr>
          <t xml:space="preserve">
CCRI paid $799.90 in one-time purchases in 2009/10</t>
        </r>
      </text>
    </comment>
    <comment ref="J291" authorId="1">
      <text>
        <r>
          <rPr>
            <b/>
            <sz val="8"/>
            <color indexed="81"/>
            <rFont val="Tahoma"/>
            <family val="2"/>
          </rPr>
          <t>Martha:</t>
        </r>
        <r>
          <rPr>
            <sz val="8"/>
            <color indexed="81"/>
            <rFont val="Tahoma"/>
            <family val="2"/>
          </rPr>
          <t xml:space="preserve">
</t>
        </r>
        <r>
          <rPr>
            <sz val="11"/>
            <color indexed="81"/>
            <rFont val="Tahoma"/>
            <family val="2"/>
          </rPr>
          <t>If 3 year agreement:
2011 $114,547
2012 $120,274
2013 $126,288</t>
        </r>
      </text>
    </comment>
    <comment ref="D292" authorId="1">
      <text>
        <r>
          <rPr>
            <b/>
            <sz val="8"/>
            <color indexed="81"/>
            <rFont val="Tahoma"/>
            <family val="2"/>
          </rPr>
          <t>Martha:</t>
        </r>
        <r>
          <rPr>
            <sz val="8"/>
            <color indexed="81"/>
            <rFont val="Tahoma"/>
            <family val="2"/>
          </rPr>
          <t xml:space="preserve">
CCRI paid $447 in one-time purchases in 2009/10</t>
        </r>
      </text>
    </comment>
    <comment ref="A293" authorId="0">
      <text>
        <r>
          <rPr>
            <b/>
            <sz val="11"/>
            <color indexed="81"/>
            <rFont val="Tahoma"/>
            <family val="2"/>
          </rPr>
          <t>Includes 12% HELIN discount
3% average increase</t>
        </r>
      </text>
    </comment>
    <comment ref="C293" authorId="0">
      <text>
        <r>
          <rPr>
            <b/>
            <sz val="11"/>
            <color indexed="81"/>
            <rFont val="Tahoma"/>
            <family val="2"/>
          </rPr>
          <t>6 simul. users and $750 remote license fee</t>
        </r>
      </text>
    </comment>
    <comment ref="F293" authorId="0">
      <text>
        <r>
          <rPr>
            <b/>
            <sz val="11"/>
            <color indexed="81"/>
            <rFont val="Tahoma"/>
            <family val="2"/>
          </rPr>
          <t>3 simult. Users and $750 remote access fee</t>
        </r>
      </text>
    </comment>
    <comment ref="H293" authorId="0">
      <text>
        <r>
          <rPr>
            <b/>
            <sz val="11"/>
            <color indexed="81"/>
            <rFont val="Tahoma"/>
            <family val="2"/>
          </rPr>
          <t>3 simult. users</t>
        </r>
      </text>
    </comment>
    <comment ref="J294" authorId="0">
      <text>
        <r>
          <rPr>
            <b/>
            <sz val="11"/>
            <color indexed="81"/>
            <rFont val="Tahoma"/>
            <family val="2"/>
          </rPr>
          <t>Part of ACS Web ed. but invoiced by Wiley</t>
        </r>
      </text>
    </comment>
    <comment ref="J296" authorId="0">
      <text>
        <r>
          <rPr>
            <b/>
            <sz val="11"/>
            <color indexed="81"/>
            <rFont val="Tahoma"/>
            <family val="2"/>
          </rPr>
          <t>est. 5% increase by vendor</t>
        </r>
      </text>
    </comment>
    <comment ref="G297" authorId="1">
      <text>
        <r>
          <rPr>
            <b/>
            <sz val="11"/>
            <color indexed="81"/>
            <rFont val="Tahoma"/>
            <family val="2"/>
          </rPr>
          <t>Martha:</t>
        </r>
        <r>
          <rPr>
            <sz val="11"/>
            <color indexed="81"/>
            <rFont val="Tahoma"/>
            <family val="2"/>
          </rPr>
          <t xml:space="preserve">
4 concurrent users</t>
        </r>
      </text>
    </comment>
    <comment ref="J297" authorId="1">
      <text>
        <r>
          <rPr>
            <b/>
            <sz val="8"/>
            <color indexed="81"/>
            <rFont val="Tahoma"/>
            <family val="2"/>
          </rPr>
          <t>Martha:</t>
        </r>
        <r>
          <rPr>
            <sz val="8"/>
            <color indexed="81"/>
            <rFont val="Tahoma"/>
            <family val="2"/>
          </rPr>
          <t xml:space="preserve">
</t>
        </r>
        <r>
          <rPr>
            <sz val="11"/>
            <color indexed="81"/>
            <rFont val="Tahoma"/>
            <family val="2"/>
          </rPr>
          <t>8 concurrent users</t>
        </r>
      </text>
    </comment>
    <comment ref="G298" authorId="6">
      <text>
        <r>
          <rPr>
            <sz val="12"/>
            <color indexed="81"/>
            <rFont val="Arial"/>
            <family val="2"/>
          </rPr>
          <t>Access Fee Only
1 user</t>
        </r>
      </text>
    </comment>
    <comment ref="I298" authorId="6">
      <text>
        <r>
          <rPr>
            <sz val="12"/>
            <color indexed="81"/>
            <rFont val="Arial"/>
            <family val="2"/>
          </rPr>
          <t>Access Fee Only
1 user</t>
        </r>
      </text>
    </comment>
    <comment ref="J298" authorId="12">
      <text>
        <r>
          <rPr>
            <b/>
            <sz val="11"/>
            <color indexed="81"/>
            <rFont val="Tahoma"/>
            <family val="2"/>
          </rPr>
          <t>Karen:</t>
        </r>
        <r>
          <rPr>
            <sz val="11"/>
            <color indexed="81"/>
            <rFont val="Tahoma"/>
            <family val="2"/>
          </rPr>
          <t xml:space="preserve">
Access fee only
3 concurrent users</t>
        </r>
      </text>
    </comment>
    <comment ref="A299" authorId="1">
      <text>
        <r>
          <rPr>
            <b/>
            <sz val="8"/>
            <color indexed="81"/>
            <rFont val="Tahoma"/>
            <family val="2"/>
          </rPr>
          <t>Martha:</t>
        </r>
        <r>
          <rPr>
            <sz val="8"/>
            <color indexed="81"/>
            <rFont val="Tahoma"/>
            <family val="2"/>
          </rPr>
          <t xml:space="preserve">
</t>
        </r>
        <r>
          <rPr>
            <sz val="11"/>
            <color indexed="81"/>
            <rFont val="Tahoma"/>
            <family val="2"/>
          </rPr>
          <t>price reflects 10% discount</t>
        </r>
      </text>
    </comment>
    <comment ref="D299" authorId="1">
      <text>
        <r>
          <rPr>
            <b/>
            <sz val="8"/>
            <color indexed="81"/>
            <rFont val="Tahoma"/>
            <family val="2"/>
          </rPr>
          <t>Martha:</t>
        </r>
        <r>
          <rPr>
            <sz val="8"/>
            <color indexed="81"/>
            <rFont val="Tahoma"/>
            <family val="2"/>
          </rPr>
          <t xml:space="preserve">
</t>
        </r>
        <r>
          <rPr>
            <sz val="11"/>
            <color indexed="81"/>
            <rFont val="Tahoma"/>
            <family val="2"/>
          </rPr>
          <t>8 concurrent users</t>
        </r>
      </text>
    </comment>
    <comment ref="A300" authorId="1">
      <text>
        <r>
          <rPr>
            <b/>
            <sz val="8"/>
            <color indexed="81"/>
            <rFont val="Tahoma"/>
            <family val="2"/>
          </rPr>
          <t>Martha:</t>
        </r>
        <r>
          <rPr>
            <sz val="8"/>
            <color indexed="81"/>
            <rFont val="Tahoma"/>
            <family val="2"/>
          </rPr>
          <t xml:space="preserve">
4</t>
        </r>
        <r>
          <rPr>
            <sz val="11"/>
            <color indexed="81"/>
            <rFont val="Tahoma"/>
            <family val="2"/>
          </rPr>
          <t xml:space="preserve"> concurrent users
price inc. 10% HELIN discount</t>
        </r>
      </text>
    </comment>
    <comment ref="A301" authorId="1">
      <text>
        <r>
          <rPr>
            <b/>
            <sz val="11"/>
            <color indexed="81"/>
            <rFont val="Tahoma"/>
            <family val="2"/>
          </rPr>
          <t>Martha:</t>
        </r>
        <r>
          <rPr>
            <sz val="11"/>
            <color indexed="81"/>
            <rFont val="Tahoma"/>
            <family val="2"/>
          </rPr>
          <t xml:space="preserve">
4 concurrent users
price inc. 10% HELIN discount</t>
        </r>
      </text>
    </comment>
    <comment ref="A302" authorId="1">
      <text>
        <r>
          <rPr>
            <b/>
            <sz val="8"/>
            <color indexed="81"/>
            <rFont val="Tahoma"/>
            <family val="2"/>
          </rPr>
          <t>Martha:</t>
        </r>
        <r>
          <rPr>
            <sz val="8"/>
            <color indexed="81"/>
            <rFont val="Tahoma"/>
            <family val="2"/>
          </rPr>
          <t xml:space="preserve">
</t>
        </r>
        <r>
          <rPr>
            <sz val="11"/>
            <color indexed="81"/>
            <rFont val="Tahoma"/>
            <family val="2"/>
          </rPr>
          <t>Price based on 2 concurrent users</t>
        </r>
      </text>
    </comment>
    <comment ref="G302" authorId="0">
      <text>
        <r>
          <rPr>
            <b/>
            <sz val="11"/>
            <color indexed="81"/>
            <rFont val="Tahoma"/>
            <family val="2"/>
          </rPr>
          <t>Access fee only</t>
        </r>
      </text>
    </comment>
    <comment ref="A303" authorId="0">
      <text>
        <r>
          <rPr>
            <b/>
            <sz val="11"/>
            <color indexed="81"/>
            <rFont val="Tahoma"/>
            <family val="2"/>
          </rPr>
          <t>Including ERIC
price inc. 10% HELIN discount</t>
        </r>
      </text>
    </comment>
    <comment ref="E303" authorId="2">
      <text>
        <r>
          <rPr>
            <b/>
            <sz val="8"/>
            <color indexed="81"/>
            <rFont val="Tahoma"/>
            <family val="2"/>
          </rPr>
          <t>sreynolds:</t>
        </r>
        <r>
          <rPr>
            <sz val="8"/>
            <color indexed="81"/>
            <rFont val="Tahoma"/>
            <family val="2"/>
          </rPr>
          <t xml:space="preserve">
</t>
        </r>
        <r>
          <rPr>
            <b/>
            <sz val="14"/>
            <color indexed="81"/>
            <rFont val="Tahoma"/>
            <family val="2"/>
          </rPr>
          <t>JWU=14,842
Unlimited, simul. users per HELIN &amp; vendor 5/18/10.</t>
        </r>
      </text>
    </comment>
    <comment ref="G303" authorId="1">
      <text>
        <r>
          <rPr>
            <b/>
            <sz val="8"/>
            <color indexed="81"/>
            <rFont val="Tahoma"/>
            <family val="2"/>
          </rPr>
          <t>Martha:</t>
        </r>
        <r>
          <rPr>
            <sz val="8"/>
            <color indexed="81"/>
            <rFont val="Tahoma"/>
            <family val="2"/>
          </rPr>
          <t xml:space="preserve">
</t>
        </r>
        <r>
          <rPr>
            <sz val="11"/>
            <color indexed="81"/>
            <rFont val="Tahoma"/>
            <family val="2"/>
          </rPr>
          <t>4 concurrent users</t>
        </r>
      </text>
    </comment>
    <comment ref="G304" authorId="0">
      <text>
        <r>
          <rPr>
            <b/>
            <sz val="11"/>
            <color indexed="81"/>
            <rFont val="Tahoma"/>
            <family val="2"/>
          </rPr>
          <t>Access fee only
4 concurrent users</t>
        </r>
      </text>
    </comment>
    <comment ref="J304" authorId="0">
      <text>
        <r>
          <rPr>
            <b/>
            <sz val="11"/>
            <color indexed="81"/>
            <rFont val="Tahoma"/>
            <family val="2"/>
          </rPr>
          <t>Access fee only
3 concurrent users</t>
        </r>
      </text>
    </comment>
    <comment ref="G305" authorId="0">
      <text>
        <r>
          <rPr>
            <b/>
            <sz val="11"/>
            <color indexed="81"/>
            <rFont val="Tahoma"/>
            <family val="2"/>
          </rPr>
          <t>Access fee only
4 concurrent users</t>
        </r>
      </text>
    </comment>
    <comment ref="J305" authorId="0">
      <text>
        <r>
          <rPr>
            <b/>
            <sz val="11"/>
            <color indexed="81"/>
            <rFont val="Tahoma"/>
            <family val="2"/>
          </rPr>
          <t>Access fee only
3 concurrent users</t>
        </r>
      </text>
    </comment>
    <comment ref="A306" authorId="1">
      <text>
        <r>
          <rPr>
            <b/>
            <sz val="8"/>
            <color indexed="81"/>
            <rFont val="Tahoma"/>
            <family val="2"/>
          </rPr>
          <t>Martha:</t>
        </r>
        <r>
          <rPr>
            <sz val="8"/>
            <color indexed="81"/>
            <rFont val="Tahoma"/>
            <family val="2"/>
          </rPr>
          <t xml:space="preserve">
</t>
        </r>
        <r>
          <rPr>
            <sz val="11"/>
            <color indexed="81"/>
            <rFont val="Tahoma"/>
            <family val="2"/>
          </rPr>
          <t xml:space="preserve">
4 concurrent users
price includes 10% HELIN discount</t>
        </r>
      </text>
    </comment>
    <comment ref="A307" authorId="0">
      <text>
        <r>
          <rPr>
            <b/>
            <sz val="11"/>
            <color indexed="81"/>
            <rFont val="Tahoma"/>
            <family val="2"/>
          </rPr>
          <t>Access fee only
4 concurrent users
price inc. 10% HELIN discount</t>
        </r>
      </text>
    </comment>
    <comment ref="A308" authorId="1">
      <text>
        <r>
          <rPr>
            <b/>
            <sz val="8"/>
            <color indexed="81"/>
            <rFont val="Tahoma"/>
            <family val="2"/>
          </rPr>
          <t>Martha:</t>
        </r>
        <r>
          <rPr>
            <sz val="8"/>
            <color indexed="81"/>
            <rFont val="Tahoma"/>
            <family val="2"/>
          </rPr>
          <t xml:space="preserve">
</t>
        </r>
        <r>
          <rPr>
            <sz val="11"/>
            <color indexed="81"/>
            <rFont val="Tahoma"/>
            <family val="2"/>
          </rPr>
          <t>price based on 6 concurrent users
access fee only</t>
        </r>
      </text>
    </comment>
    <comment ref="F308" authorId="0">
      <text>
        <r>
          <rPr>
            <b/>
            <sz val="11"/>
            <color indexed="81"/>
            <rFont val="Tahoma"/>
            <family val="2"/>
          </rPr>
          <t>Access fee only</t>
        </r>
      </text>
    </comment>
    <comment ref="G308" authorId="0">
      <text>
        <r>
          <rPr>
            <b/>
            <sz val="11"/>
            <color indexed="81"/>
            <rFont val="Tahoma"/>
            <family val="2"/>
          </rPr>
          <t>Access fee only</t>
        </r>
      </text>
    </comment>
    <comment ref="H308" authorId="0">
      <text>
        <r>
          <rPr>
            <b/>
            <sz val="11"/>
            <color indexed="81"/>
            <rFont val="Tahoma"/>
            <family val="2"/>
          </rPr>
          <t>Access fee only</t>
        </r>
      </text>
    </comment>
    <comment ref="J308" authorId="0">
      <text>
        <r>
          <rPr>
            <b/>
            <sz val="11"/>
            <color indexed="81"/>
            <rFont val="Tahoma"/>
            <family val="2"/>
          </rPr>
          <t>Access fee only</t>
        </r>
      </text>
    </comment>
    <comment ref="E310" authorId="2">
      <text>
        <r>
          <rPr>
            <b/>
            <sz val="8"/>
            <color indexed="81"/>
            <rFont val="Tahoma"/>
            <family val="2"/>
          </rPr>
          <t xml:space="preserve">sreynolds:
</t>
        </r>
        <r>
          <rPr>
            <b/>
            <sz val="12"/>
            <color indexed="81"/>
            <rFont val="Tahoma"/>
            <family val="2"/>
          </rPr>
          <t xml:space="preserve">JWU=14,842
quote for </t>
        </r>
        <r>
          <rPr>
            <sz val="12"/>
            <color indexed="81"/>
            <rFont val="Tahoma"/>
            <family val="2"/>
          </rPr>
          <t xml:space="preserve">
</t>
        </r>
        <r>
          <rPr>
            <b/>
            <sz val="12"/>
            <color indexed="81"/>
            <rFont val="Tahoma"/>
            <family val="2"/>
          </rPr>
          <t>JWU=13,402
$1995</t>
        </r>
      </text>
    </comment>
    <comment ref="H310" authorId="1">
      <text>
        <r>
          <rPr>
            <b/>
            <sz val="8"/>
            <color indexed="81"/>
            <rFont val="Tahoma"/>
            <charset val="1"/>
          </rPr>
          <t>Martha:</t>
        </r>
        <r>
          <rPr>
            <sz val="8"/>
            <color indexed="81"/>
            <rFont val="Tahoma"/>
            <charset val="1"/>
          </rPr>
          <t xml:space="preserve">
</t>
        </r>
        <r>
          <rPr>
            <sz val="11"/>
            <color indexed="81"/>
            <rFont val="Tahoma"/>
            <family val="2"/>
          </rPr>
          <t xml:space="preserve">
RWU subscribed directly last fall.  Cost is for prorated period of Nov. 1, 2010 - June 30, 2011</t>
        </r>
      </text>
    </comment>
    <comment ref="A314" authorId="0">
      <text>
        <r>
          <rPr>
            <b/>
            <sz val="11"/>
            <color indexed="81"/>
            <rFont val="Tahoma"/>
            <family val="2"/>
          </rPr>
          <t xml:space="preserve">1 user
</t>
        </r>
      </text>
    </comment>
  </commentList>
</comments>
</file>

<file path=xl/comments3.xml><?xml version="1.0" encoding="utf-8"?>
<comments xmlns="http://schemas.openxmlformats.org/spreadsheetml/2006/main">
  <authors>
    <author xml:space="preserve"> User</author>
    <author>Martha</author>
    <author>Janice Schuster</author>
    <author>sreynolds</author>
    <author>Information Services</author>
    <author>ljlarson</author>
    <author>Bob Aspri</author>
    <author>Amy Thurlow</author>
    <author>EBSCO Employee</author>
    <author>Karen Ramsay</author>
    <author>Staff</author>
    <author>Rhode Island College</author>
    <author>Karen</author>
    <author>Maria Brady</author>
    <author>agulbankian</author>
    <author>Armine Gulbankian</author>
    <author>bdaley</author>
    <author>ProQuest</author>
    <author>Administrator</author>
    <author>Dorcas Haller</author>
    <author>Roger Williams University</author>
    <author>mrs</author>
  </authors>
  <commentList>
    <comment ref="D3" authorId="0">
      <text>
        <r>
          <rPr>
            <b/>
            <sz val="11"/>
            <color indexed="81"/>
            <rFont val="Tahoma"/>
            <family val="2"/>
          </rPr>
          <t>Total for all campuses = 14,842
Providence = 8970
Charlotte, NC = 2436
Denver, CO = 1,440
N. Miami, FL = 1,996</t>
        </r>
      </text>
    </comment>
    <comment ref="A7" authorId="0">
      <text>
        <r>
          <rPr>
            <b/>
            <sz val="8"/>
            <color indexed="81"/>
            <rFont val="Tahoma"/>
            <family val="2"/>
          </rPr>
          <t xml:space="preserve"> </t>
        </r>
        <r>
          <rPr>
            <b/>
            <sz val="11"/>
            <color indexed="81"/>
            <rFont val="Tahoma"/>
            <family val="2"/>
          </rPr>
          <t>Includes 2 databases:
Daily Life through History
World Cultures Today</t>
        </r>
      </text>
    </comment>
    <comment ref="A11" authorId="1">
      <text>
        <r>
          <rPr>
            <b/>
            <sz val="8"/>
            <color indexed="81"/>
            <rFont val="Tahoma"/>
            <family val="2"/>
          </rPr>
          <t>Martha:</t>
        </r>
        <r>
          <rPr>
            <sz val="8"/>
            <color indexed="81"/>
            <rFont val="Tahoma"/>
            <family val="2"/>
          </rPr>
          <t xml:space="preserve">
</t>
        </r>
        <r>
          <rPr>
            <sz val="11"/>
            <color indexed="81"/>
            <rFont val="Tahoma"/>
            <family val="2"/>
          </rPr>
          <t>Includes 10% consortial discount.
If 5 or more libraries subscribe, discount increases to 15%</t>
        </r>
      </text>
    </comment>
    <comment ref="H11" authorId="1">
      <text>
        <r>
          <rPr>
            <b/>
            <sz val="8"/>
            <color indexed="81"/>
            <rFont val="Tahoma"/>
            <family val="2"/>
          </rPr>
          <t>Martha:</t>
        </r>
        <r>
          <rPr>
            <sz val="8"/>
            <color indexed="81"/>
            <rFont val="Tahoma"/>
            <family val="2"/>
          </rPr>
          <t xml:space="preserve">
</t>
        </r>
        <r>
          <rPr>
            <sz val="11"/>
            <color indexed="81"/>
            <rFont val="Tahoma"/>
            <family val="2"/>
          </rPr>
          <t xml:space="preserve">subscribes directly
</t>
        </r>
      </text>
    </comment>
    <comment ref="J11" authorId="1">
      <text>
        <r>
          <rPr>
            <b/>
            <sz val="8"/>
            <color indexed="81"/>
            <rFont val="Tahoma"/>
            <family val="2"/>
          </rPr>
          <t>Martha:</t>
        </r>
        <r>
          <rPr>
            <sz val="8"/>
            <color indexed="81"/>
            <rFont val="Tahoma"/>
            <family val="2"/>
          </rPr>
          <t xml:space="preserve">
</t>
        </r>
        <r>
          <rPr>
            <sz val="11"/>
            <color indexed="81"/>
            <rFont val="Tahoma"/>
            <family val="2"/>
          </rPr>
          <t xml:space="preserve">subscribes directly
</t>
        </r>
      </text>
    </comment>
    <comment ref="A13" authorId="0">
      <text>
        <r>
          <rPr>
            <b/>
            <sz val="11"/>
            <color indexed="81"/>
            <rFont val="Tahoma"/>
            <family val="2"/>
          </rPr>
          <t>Pricing based on no. of simult. Users
Includes 10% HELIN discount</t>
        </r>
      </text>
    </comment>
    <comment ref="E13" authorId="0">
      <text>
        <r>
          <rPr>
            <sz val="11"/>
            <color indexed="81"/>
            <rFont val="Tahoma"/>
            <family val="2"/>
          </rPr>
          <t>3 simul. users</t>
        </r>
      </text>
    </comment>
    <comment ref="F13" authorId="0">
      <text>
        <r>
          <rPr>
            <sz val="11"/>
            <color indexed="81"/>
            <rFont val="Tahoma"/>
            <family val="2"/>
          </rPr>
          <t>3 simul. users</t>
        </r>
      </text>
    </comment>
    <comment ref="A14" authorId="0">
      <text>
        <r>
          <rPr>
            <b/>
            <sz val="11"/>
            <color indexed="81"/>
            <rFont val="Tahoma"/>
            <family val="2"/>
          </rPr>
          <t>Includes 10% HELIN discount</t>
        </r>
      </text>
    </comment>
    <comment ref="B14" authorId="0">
      <text>
        <r>
          <rPr>
            <sz val="11"/>
            <color indexed="81"/>
            <rFont val="Tahoma"/>
            <family val="2"/>
          </rPr>
          <t>Unliimited SU</t>
        </r>
      </text>
    </comment>
    <comment ref="F15" authorId="0">
      <text>
        <r>
          <rPr>
            <sz val="11"/>
            <color indexed="81"/>
            <rFont val="Tahoma"/>
            <family val="2"/>
          </rPr>
          <t>3 simul. users</t>
        </r>
      </text>
    </comment>
    <comment ref="A16" authorId="0">
      <text>
        <r>
          <rPr>
            <b/>
            <sz val="11"/>
            <color indexed="81"/>
            <rFont val="Tahoma"/>
            <family val="2"/>
          </rPr>
          <t>Pricing based on no. of simult. Users
Includes 10% HELIN discount</t>
        </r>
      </text>
    </comment>
    <comment ref="F16" authorId="0">
      <text>
        <r>
          <rPr>
            <sz val="11"/>
            <color indexed="81"/>
            <rFont val="Tahoma"/>
            <family val="2"/>
          </rPr>
          <t>3 simul. Users
quote sent by Gail Z. on 3/1/10</t>
        </r>
      </text>
    </comment>
    <comment ref="G16" authorId="0">
      <text>
        <r>
          <rPr>
            <b/>
            <sz val="11"/>
            <color indexed="81"/>
            <rFont val="Tahoma"/>
            <family val="2"/>
          </rPr>
          <t>3 similt. users</t>
        </r>
      </text>
    </comment>
    <comment ref="A17" authorId="0">
      <text>
        <r>
          <rPr>
            <b/>
            <sz val="11"/>
            <color indexed="81"/>
            <rFont val="Tahoma"/>
            <family val="2"/>
          </rPr>
          <t>Per Alex.St.Press:
unlimited users/access to the following 6 databases:
Classical Music Library, Smithsonian Global Sound, African American Music, American Song, Contemporary World Music and Jazz Music Library all with one cross-searchable interface.</t>
        </r>
      </text>
    </comment>
    <comment ref="F17" authorId="1">
      <text>
        <r>
          <rPr>
            <b/>
            <sz val="8"/>
            <color indexed="81"/>
            <rFont val="Tahoma"/>
            <family val="2"/>
          </rPr>
          <t>Martha:</t>
        </r>
        <r>
          <rPr>
            <sz val="8"/>
            <color indexed="81"/>
            <rFont val="Tahoma"/>
            <family val="2"/>
          </rPr>
          <t xml:space="preserve">
</t>
        </r>
        <r>
          <rPr>
            <sz val="11"/>
            <color indexed="81"/>
            <rFont val="Tahoma"/>
            <family val="2"/>
          </rPr>
          <t>unlimited concurrent users
quote rec'd from Gail 3/1/10</t>
        </r>
      </text>
    </comment>
    <comment ref="F18" authorId="0">
      <text>
        <r>
          <rPr>
            <sz val="11"/>
            <color indexed="81"/>
            <rFont val="Tahoma"/>
            <family val="2"/>
          </rPr>
          <t xml:space="preserve">price lowered and SU level raised to 5 SU minimum - KA 3/24/10
</t>
        </r>
      </text>
    </comment>
    <comment ref="A19" authorId="0">
      <text>
        <r>
          <rPr>
            <b/>
            <sz val="11"/>
            <color indexed="81"/>
            <rFont val="Tahoma"/>
            <family val="2"/>
          </rPr>
          <t>Unlim. Users ; pricing based on FTE 
Includes 10% HELIN discount</t>
        </r>
      </text>
    </comment>
    <comment ref="A20" authorId="0">
      <text>
        <r>
          <rPr>
            <b/>
            <sz val="11"/>
            <color indexed="81"/>
            <rFont val="Tahoma"/>
            <family val="2"/>
          </rPr>
          <t>Pricing based on no. of simult. users
Includes 10% HELIN discount</t>
        </r>
      </text>
    </comment>
    <comment ref="G20" authorId="0">
      <text>
        <r>
          <rPr>
            <b/>
            <sz val="11"/>
            <color indexed="81"/>
            <rFont val="Tahoma"/>
            <family val="2"/>
          </rPr>
          <t>5 simult. Users - RWU purchased 
This is just the annual access fee</t>
        </r>
      </text>
    </comment>
    <comment ref="H20" authorId="0">
      <text>
        <r>
          <rPr>
            <b/>
            <sz val="11"/>
            <color indexed="81"/>
            <rFont val="Tahoma"/>
            <family val="2"/>
          </rPr>
          <t>4 simult. users</t>
        </r>
      </text>
    </comment>
    <comment ref="A21" authorId="0">
      <text>
        <r>
          <rPr>
            <b/>
            <sz val="11"/>
            <color indexed="81"/>
            <rFont val="Tahoma"/>
            <family val="2"/>
          </rPr>
          <t>Scholar's ed.
Includes 10% HELIN discount</t>
        </r>
      </text>
    </comment>
    <comment ref="A22" authorId="0">
      <text>
        <r>
          <rPr>
            <b/>
            <sz val="11"/>
            <color indexed="81"/>
            <rFont val="Tahoma"/>
            <family val="2"/>
          </rPr>
          <t>All titles online</t>
        </r>
      </text>
    </comment>
    <comment ref="A23" authorId="0">
      <text>
        <r>
          <rPr>
            <b/>
            <sz val="11"/>
            <color indexed="81"/>
            <rFont val="Tahoma"/>
            <family val="2"/>
          </rPr>
          <t>Jason Brown (ACS):
Anticipated ACS 2010 amounts with 5% increase.
May be less but not likely to be more</t>
        </r>
      </text>
    </comment>
    <comment ref="E23" authorId="2">
      <text>
        <r>
          <rPr>
            <b/>
            <sz val="12"/>
            <color indexed="81"/>
            <rFont val="Tahoma"/>
            <family val="2"/>
          </rPr>
          <t>Web ed.: $38944.1
Legacy archives:  $3402.63</t>
        </r>
      </text>
    </comment>
    <comment ref="D24" authorId="3">
      <text>
        <r>
          <rPr>
            <b/>
            <sz val="14"/>
            <color indexed="81"/>
            <rFont val="Tahoma"/>
            <family val="2"/>
          </rPr>
          <t>sreynolds:</t>
        </r>
        <r>
          <rPr>
            <sz val="14"/>
            <color indexed="81"/>
            <rFont val="Tahoma"/>
            <family val="2"/>
          </rPr>
          <t xml:space="preserve">
</t>
        </r>
        <r>
          <rPr>
            <b/>
            <sz val="14"/>
            <color indexed="81"/>
            <rFont val="Tahoma"/>
            <family val="2"/>
          </rPr>
          <t>JWU=14,842</t>
        </r>
        <r>
          <rPr>
            <sz val="14"/>
            <color indexed="81"/>
            <rFont val="Tahoma"/>
            <family val="2"/>
          </rPr>
          <t xml:space="preserve">
</t>
        </r>
        <r>
          <rPr>
            <b/>
            <sz val="16"/>
            <color indexed="81"/>
            <rFont val="Tahoma"/>
            <family val="2"/>
          </rPr>
          <t>ADA</t>
        </r>
        <r>
          <rPr>
            <sz val="14"/>
            <color indexed="81"/>
            <rFont val="Tahoma"/>
            <family val="2"/>
          </rPr>
          <t xml:space="preserve">
</t>
        </r>
        <r>
          <rPr>
            <b/>
            <sz val="14"/>
            <color indexed="10"/>
            <rFont val="Tahoma"/>
            <family val="2"/>
          </rPr>
          <t>2010-2011 pricing (1/19/2010):</t>
        </r>
        <r>
          <rPr>
            <sz val="14"/>
            <color indexed="81"/>
            <rFont val="Tahoma"/>
            <family val="2"/>
          </rPr>
          <t xml:space="preserve">
</t>
        </r>
        <r>
          <rPr>
            <b/>
            <sz val="14"/>
            <color indexed="81"/>
            <rFont val="Tahoma"/>
            <family val="2"/>
          </rPr>
          <t xml:space="preserve">NOTE: This pricing was obtained by JWU because the ADA does not do trials for consortia.  
Vendor contact: Kay Howarter by phone:  312-899-4797 or email:  khowarter@eatright.org </t>
        </r>
        <r>
          <rPr>
            <sz val="14"/>
            <color indexed="81"/>
            <rFont val="Tahoma"/>
            <family val="2"/>
          </rPr>
          <t xml:space="preserve">
</t>
        </r>
        <r>
          <rPr>
            <b/>
            <sz val="14"/>
            <color indexed="81"/>
            <rFont val="Tahoma"/>
            <family val="2"/>
          </rPr>
          <t>Software changes to limit users to a specific number = $200-$500 (initial, one-time fee)
For simultaneous users:
1– 9 non-member subscriptions    = $400 each
Discount for 10 – 19 subscriptions = $200 each
Discount for 20 – 29 subscriptions = $150 each
Discount for 30 – 39 subscriptions = $134 each
• Government rate = 60% of the non-member rate for every category.
• This pricing does not apply to groups made up of individuals who otherwise qualify for ADA membership.</t>
        </r>
        <r>
          <rPr>
            <sz val="8"/>
            <color indexed="81"/>
            <rFont val="Tahoma"/>
            <family val="2"/>
          </rPr>
          <t xml:space="preserve">
</t>
        </r>
        <r>
          <rPr>
            <b/>
            <sz val="12"/>
            <color indexed="81"/>
            <rFont val="Tahoma"/>
            <family val="2"/>
          </rPr>
          <t xml:space="preserve">·  Pricing structure: tiers based on number of simultaneous users--see attachment.  An additional, initial set-up fee may be required for the branch campuses.
·  Content emphasizes diseases &amp; conditions.
·  Intended audience: dieticians in clinical settings (health-care facilities) or institutions such as schools and prisons.
·  No full-text journal articles because they don’t have publishers’ copyright permission; detailed abstracts only. </t>
        </r>
      </text>
    </comment>
    <comment ref="A25" authorId="0">
      <text>
        <r>
          <rPr>
            <b/>
            <sz val="11"/>
            <color indexed="81"/>
            <rFont val="Tahoma"/>
            <family val="2"/>
          </rPr>
          <t>AIP is billing agent for Inst. Of Physics</t>
        </r>
      </text>
    </comment>
    <comment ref="C26" authorId="0">
      <text>
        <r>
          <rPr>
            <b/>
            <sz val="11"/>
            <color indexed="81"/>
            <rFont val="Tahoma"/>
            <family val="2"/>
          </rPr>
          <t>1 user</t>
        </r>
      </text>
    </comment>
    <comment ref="E26" authorId="0">
      <text>
        <r>
          <rPr>
            <b/>
            <sz val="11"/>
            <color indexed="81"/>
            <rFont val="Tahoma"/>
            <family val="2"/>
          </rPr>
          <t>2 simult. users</t>
        </r>
      </text>
    </comment>
    <comment ref="F26" authorId="1">
      <text>
        <r>
          <rPr>
            <b/>
            <sz val="8"/>
            <color indexed="81"/>
            <rFont val="Tahoma"/>
            <family val="2"/>
          </rPr>
          <t>Martha:</t>
        </r>
        <r>
          <rPr>
            <sz val="8"/>
            <color indexed="81"/>
            <rFont val="Tahoma"/>
            <family val="2"/>
          </rPr>
          <t xml:space="preserve">
</t>
        </r>
        <r>
          <rPr>
            <sz val="11"/>
            <color indexed="81"/>
            <rFont val="Tahoma"/>
            <family val="2"/>
          </rPr>
          <t>1 user
RIC paid through June 2011 because of duplicate payments  last year</t>
        </r>
      </text>
    </comment>
    <comment ref="G26" authorId="0">
      <text>
        <r>
          <rPr>
            <b/>
            <sz val="11"/>
            <color indexed="81"/>
            <rFont val="Tahoma"/>
            <family val="2"/>
          </rPr>
          <t>1 user</t>
        </r>
      </text>
    </comment>
    <comment ref="H26" authorId="1">
      <text>
        <r>
          <rPr>
            <b/>
            <sz val="8"/>
            <color indexed="81"/>
            <rFont val="Tahoma"/>
            <family val="2"/>
          </rPr>
          <t>Martha:</t>
        </r>
        <r>
          <rPr>
            <sz val="8"/>
            <color indexed="81"/>
            <rFont val="Tahoma"/>
            <family val="2"/>
          </rPr>
          <t xml:space="preserve">
</t>
        </r>
        <r>
          <rPr>
            <sz val="11"/>
            <color indexed="81"/>
            <rFont val="Tahoma"/>
            <family val="2"/>
          </rPr>
          <t>4 concurrent users</t>
        </r>
      </text>
    </comment>
    <comment ref="I26" authorId="0">
      <text>
        <r>
          <rPr>
            <b/>
            <sz val="11"/>
            <color indexed="81"/>
            <rFont val="Tahoma"/>
            <family val="2"/>
          </rPr>
          <t>3 simult. users</t>
        </r>
      </text>
    </comment>
    <comment ref="J26" authorId="1">
      <text>
        <r>
          <rPr>
            <b/>
            <sz val="8"/>
            <color indexed="81"/>
            <rFont val="Tahoma"/>
            <family val="2"/>
          </rPr>
          <t>Martha:</t>
        </r>
        <r>
          <rPr>
            <sz val="8"/>
            <color indexed="81"/>
            <rFont val="Tahoma"/>
            <family val="2"/>
          </rPr>
          <t xml:space="preserve">
</t>
        </r>
        <r>
          <rPr>
            <sz val="11"/>
            <color indexed="81"/>
            <rFont val="Tahoma"/>
            <family val="2"/>
          </rPr>
          <t>1 user
prorated pricing for Dec.2010-June 2011</t>
        </r>
      </text>
    </comment>
    <comment ref="A27" authorId="0">
      <text>
        <r>
          <rPr>
            <b/>
            <sz val="11"/>
            <color indexed="81"/>
            <rFont val="Tahoma"/>
            <family val="2"/>
          </rPr>
          <t>10% discount to HELIN members</t>
        </r>
      </text>
    </comment>
    <comment ref="I27" authorId="0">
      <text>
        <r>
          <rPr>
            <b/>
            <sz val="10"/>
            <color indexed="81"/>
            <rFont val="Tahoma"/>
            <family val="2"/>
          </rPr>
          <t>cost includes 10% consortium discount</t>
        </r>
      </text>
    </comment>
    <comment ref="A28" authorId="1">
      <text>
        <r>
          <rPr>
            <b/>
            <sz val="8"/>
            <color indexed="81"/>
            <rFont val="Tahoma"/>
            <family val="2"/>
          </rPr>
          <t>Martha:</t>
        </r>
        <r>
          <rPr>
            <sz val="8"/>
            <color indexed="81"/>
            <rFont val="Tahoma"/>
            <family val="2"/>
          </rPr>
          <t xml:space="preserve">
</t>
        </r>
        <r>
          <rPr>
            <sz val="11"/>
            <color indexed="81"/>
            <rFont val="Tahoma"/>
            <family val="2"/>
          </rPr>
          <t>est. cost; actual quote to be send in May or June</t>
        </r>
      </text>
    </comment>
    <comment ref="A29" authorId="0">
      <text>
        <r>
          <rPr>
            <sz val="11"/>
            <color indexed="81"/>
            <rFont val="Tahoma"/>
            <family val="2"/>
          </rPr>
          <t>Inc. all 30 journals</t>
        </r>
      </text>
    </comment>
    <comment ref="A30" authorId="0">
      <text>
        <r>
          <rPr>
            <sz val="11"/>
            <color indexed="81"/>
            <rFont val="Tahoma"/>
            <family val="2"/>
          </rPr>
          <t>Inc. all 30 journals</t>
        </r>
      </text>
    </comment>
    <comment ref="I31" authorId="1">
      <text>
        <r>
          <rPr>
            <b/>
            <sz val="8"/>
            <color indexed="81"/>
            <rFont val="Tahoma"/>
            <family val="2"/>
          </rPr>
          <t>Martha:</t>
        </r>
        <r>
          <rPr>
            <sz val="8"/>
            <color indexed="81"/>
            <rFont val="Tahoma"/>
            <family val="2"/>
          </rPr>
          <t xml:space="preserve">
</t>
        </r>
        <r>
          <rPr>
            <sz val="11"/>
            <color indexed="81"/>
            <rFont val="Tahoma"/>
            <family val="2"/>
          </rPr>
          <t>FOR SCIENCE COLLECTION:
Option B : $4684.50 for current selection of 19 titles 
Option A : $7,776 for all 37 Sciences Collection Journals for 2011.  Includes 14.5% discount &amp; 4 years rolling backfile access.
FOR ECONOMICS COLLECTION:
C.  2011 Economics Collection (Online-only) $1,384
D.  2010 Economics Collection (Online-only) $1,350
E.  2009 Economics Collection (Online-only)  $1,350</t>
        </r>
      </text>
    </comment>
    <comment ref="A32" authorId="0">
      <text>
        <r>
          <rPr>
            <b/>
            <sz val="11"/>
            <color indexed="81"/>
            <rFont val="Tahoma"/>
            <family val="2"/>
          </rPr>
          <t>Per vendor:
3-4% increase in 2010
Board decides in June/July</t>
        </r>
      </text>
    </comment>
    <comment ref="C32" authorId="0">
      <text>
        <r>
          <rPr>
            <b/>
            <sz val="11"/>
            <color indexed="81"/>
            <rFont val="Tahoma"/>
            <family val="2"/>
          </rPr>
          <t>Includes 4% estimated increase</t>
        </r>
      </text>
    </comment>
    <comment ref="E32" authorId="0">
      <text>
        <r>
          <rPr>
            <b/>
            <sz val="11"/>
            <color indexed="81"/>
            <rFont val="Tahoma"/>
            <family val="2"/>
          </rPr>
          <t>Includes 4% estimated increase</t>
        </r>
      </text>
    </comment>
    <comment ref="F32" authorId="0">
      <text>
        <r>
          <rPr>
            <b/>
            <sz val="11"/>
            <color indexed="81"/>
            <rFont val="Tahoma"/>
            <family val="2"/>
          </rPr>
          <t xml:space="preserve">RIC paying capital fee ($19,550) pd 6/09
$4400 (50% of 2009 annual access fee) pd. November 2, 2009
+$9020 (2010 annual fee wit est. 4% increase) pd 1/20/10
</t>
        </r>
      </text>
    </comment>
    <comment ref="G32" authorId="0">
      <text>
        <r>
          <rPr>
            <b/>
            <sz val="11"/>
            <color indexed="81"/>
            <rFont val="Tahoma"/>
            <family val="2"/>
          </rPr>
          <t>Includes 4% estimated increase</t>
        </r>
      </text>
    </comment>
    <comment ref="I32" authorId="0">
      <text>
        <r>
          <rPr>
            <b/>
            <sz val="11"/>
            <color indexed="81"/>
            <rFont val="Tahoma"/>
            <family val="2"/>
          </rPr>
          <t>Includes 4% est. increase</t>
        </r>
      </text>
    </comment>
    <comment ref="I33" authorId="0">
      <text>
        <r>
          <rPr>
            <b/>
            <sz val="11"/>
            <color indexed="81"/>
            <rFont val="Tahoma"/>
            <family val="2"/>
          </rPr>
          <t>Switched to Waldo for 2010
Client No. X122549
Amt. is their membership dues</t>
        </r>
      </text>
    </comment>
    <comment ref="C36" authorId="1">
      <text>
        <r>
          <rPr>
            <b/>
            <sz val="8"/>
            <color indexed="81"/>
            <rFont val="Tahoma"/>
            <family val="2"/>
          </rPr>
          <t>Martha:</t>
        </r>
        <r>
          <rPr>
            <sz val="8"/>
            <color indexed="81"/>
            <rFont val="Tahoma"/>
            <family val="2"/>
          </rPr>
          <t xml:space="preserve">
CCRI spent 1029.56 on one-time purchase in 2009/10</t>
        </r>
      </text>
    </comment>
    <comment ref="D37" authorId="3">
      <text>
        <r>
          <rPr>
            <b/>
            <sz val="8"/>
            <color indexed="81"/>
            <rFont val="Tahoma"/>
            <family val="2"/>
          </rPr>
          <t>sreynolds:</t>
        </r>
        <r>
          <rPr>
            <sz val="8"/>
            <color indexed="81"/>
            <rFont val="Tahoma"/>
            <family val="2"/>
          </rPr>
          <t xml:space="preserve">
</t>
        </r>
        <r>
          <rPr>
            <b/>
            <sz val="14"/>
            <color indexed="81"/>
            <rFont val="Tahoma"/>
            <family val="2"/>
          </rPr>
          <t>JWU=11,406</t>
        </r>
      </text>
    </comment>
    <comment ref="I38" authorId="0">
      <text>
        <r>
          <rPr>
            <b/>
            <sz val="11"/>
            <color indexed="81"/>
            <rFont val="Tahoma"/>
            <family val="2"/>
          </rPr>
          <t>bill to library -- separate invoice no longer needed</t>
        </r>
      </text>
    </comment>
    <comment ref="A39" authorId="0">
      <text>
        <r>
          <rPr>
            <b/>
            <sz val="11"/>
            <color indexed="81"/>
            <rFont val="Tahoma"/>
            <family val="2"/>
          </rPr>
          <t>All pricing includes 10% consortium discount</t>
        </r>
      </text>
    </comment>
    <comment ref="A40" authorId="0">
      <text>
        <r>
          <rPr>
            <b/>
            <sz val="11"/>
            <color indexed="81"/>
            <rFont val="Tahoma"/>
            <family val="2"/>
          </rPr>
          <t>All pricing includes 10% consortium discount</t>
        </r>
      </text>
    </comment>
    <comment ref="A41" authorId="0">
      <text>
        <r>
          <rPr>
            <b/>
            <sz val="11"/>
            <color indexed="81"/>
            <rFont val="Tahoma"/>
            <family val="2"/>
          </rPr>
          <t>per vendor:
$1516 for July-Dec. 2009
$1516  plus no more than 7% increase for 2010</t>
        </r>
      </text>
    </comment>
    <comment ref="B41" authorId="0">
      <text>
        <r>
          <rPr>
            <b/>
            <sz val="11"/>
            <color indexed="81"/>
            <rFont val="Tahoma"/>
            <family val="2"/>
          </rPr>
          <t>$994.75 for July-Dec. 2010
$1,143.96 for 2010
will increase 15% annually until list price is reached</t>
        </r>
      </text>
    </comment>
    <comment ref="A44" authorId="0">
      <text>
        <r>
          <rPr>
            <b/>
            <sz val="11"/>
            <color indexed="81"/>
            <rFont val="Tahoma"/>
            <family val="2"/>
          </rPr>
          <t xml:space="preserve">List price for annual subscription with unlim. simul. users -- what libraries will pay if fewer than 5 subscribe.  
</t>
        </r>
      </text>
    </comment>
    <comment ref="E45" authorId="0">
      <text>
        <r>
          <rPr>
            <b/>
            <sz val="11"/>
            <color indexed="81"/>
            <rFont val="Tahoma"/>
            <family val="2"/>
          </rPr>
          <t>price estimate given as 1390 euros
Used Yahoo converter 3/29/10</t>
        </r>
      </text>
    </comment>
    <comment ref="I46" authorId="0">
      <text>
        <r>
          <rPr>
            <b/>
            <sz val="11"/>
            <color indexed="81"/>
            <rFont val="Tahoma"/>
            <family val="2"/>
          </rPr>
          <t>Need 2011 price
With NERL fee:</t>
        </r>
      </text>
    </comment>
    <comment ref="A47" authorId="1">
      <text>
        <r>
          <rPr>
            <b/>
            <sz val="8"/>
            <color indexed="81"/>
            <rFont val="Tahoma"/>
            <family val="2"/>
          </rPr>
          <t>Martha:</t>
        </r>
        <r>
          <rPr>
            <sz val="8"/>
            <color indexed="81"/>
            <rFont val="Tahoma"/>
            <family val="2"/>
          </rPr>
          <t xml:space="preserve">
</t>
        </r>
        <r>
          <rPr>
            <sz val="11"/>
            <color indexed="81"/>
            <rFont val="Tahoma"/>
            <family val="2"/>
          </rPr>
          <t xml:space="preserve"> $.44 per FTE</t>
        </r>
      </text>
    </comment>
    <comment ref="E48" authorId="0">
      <text>
        <r>
          <rPr>
            <b/>
            <sz val="11"/>
            <color indexed="81"/>
            <rFont val="Tahoma"/>
            <family val="2"/>
          </rPr>
          <t>3-year subscription, pd in 08-09
7/1/08-6/30/11
CANCEL when expires</t>
        </r>
      </text>
    </comment>
    <comment ref="F48" authorId="1">
      <text>
        <r>
          <rPr>
            <b/>
            <sz val="8"/>
            <color indexed="81"/>
            <rFont val="Tahoma"/>
            <family val="2"/>
          </rPr>
          <t>Martha:</t>
        </r>
        <r>
          <rPr>
            <sz val="8"/>
            <color indexed="81"/>
            <rFont val="Tahoma"/>
            <family val="2"/>
          </rPr>
          <t xml:space="preserve">
</t>
        </r>
        <r>
          <rPr>
            <sz val="11"/>
            <color indexed="81"/>
            <rFont val="Tahoma"/>
            <family val="2"/>
          </rPr>
          <t>Includes 25% consortial discount
cost for 3-year contract with 30% discount is $1890</t>
        </r>
      </text>
    </comment>
    <comment ref="B49" authorId="4">
      <text>
        <r>
          <rPr>
            <sz val="11"/>
            <color indexed="81"/>
            <rFont val="Tahoma"/>
            <family val="2"/>
          </rPr>
          <t>Direct</t>
        </r>
        <r>
          <rPr>
            <sz val="8"/>
            <color indexed="81"/>
            <rFont val="Tahoma"/>
            <family val="2"/>
          </rPr>
          <t xml:space="preserve">
</t>
        </r>
      </text>
    </comment>
    <comment ref="E49" authorId="2">
      <text>
        <r>
          <rPr>
            <b/>
            <sz val="12"/>
            <color indexed="81"/>
            <rFont val="Arial"/>
            <family val="2"/>
          </rPr>
          <t xml:space="preserve">Business set $900.00
Educational set $449.95
</t>
        </r>
      </text>
    </comment>
    <comment ref="E50" authorId="0">
      <text>
        <r>
          <rPr>
            <b/>
            <sz val="11"/>
            <color indexed="81"/>
            <rFont val="Tahoma"/>
            <family val="2"/>
          </rPr>
          <t xml:space="preserve">Purchased May 07
Access fee only
</t>
        </r>
      </text>
    </comment>
    <comment ref="F50" authorId="0">
      <text>
        <r>
          <rPr>
            <b/>
            <sz val="11"/>
            <color indexed="81"/>
            <rFont val="Tahoma"/>
            <family val="2"/>
          </rPr>
          <t>Purchased in 06 ; access fee only</t>
        </r>
      </text>
    </comment>
    <comment ref="G50" authorId="0">
      <text>
        <r>
          <rPr>
            <b/>
            <sz val="11"/>
            <color indexed="81"/>
            <rFont val="Tahoma"/>
            <family val="2"/>
          </rPr>
          <t>Purchased July 06
Access fee only</t>
        </r>
      </text>
    </comment>
    <comment ref="I51" authorId="0">
      <text>
        <r>
          <rPr>
            <b/>
            <sz val="11"/>
            <color indexed="81"/>
            <rFont val="Tahoma"/>
            <family val="2"/>
          </rPr>
          <t>estimated cost listed
URI will get worksheet in Sept. for actual 2011 calculation</t>
        </r>
      </text>
    </comment>
    <comment ref="E53" authorId="0">
      <text>
        <r>
          <rPr>
            <b/>
            <sz val="11"/>
            <color indexed="81"/>
            <rFont val="Tahoma"/>
            <family val="2"/>
          </rPr>
          <t xml:space="preserve">6 schools (not HELIN) share 3 concurrent users
</t>
        </r>
      </text>
    </comment>
    <comment ref="I53" authorId="0">
      <text>
        <r>
          <rPr>
            <b/>
            <sz val="11"/>
            <color indexed="81"/>
            <rFont val="Tahoma"/>
            <family val="2"/>
          </rPr>
          <t>Sub. Period = Sept. through Aug.
Inc. $160 NERL fee
1 seat w/o SSM</t>
        </r>
      </text>
    </comment>
    <comment ref="I54" authorId="0">
      <text>
        <r>
          <rPr>
            <b/>
            <sz val="11"/>
            <color indexed="81"/>
            <rFont val="Tahoma"/>
            <family val="2"/>
          </rPr>
          <t>NERL fee of:</t>
        </r>
      </text>
    </comment>
    <comment ref="A55" authorId="0">
      <text>
        <r>
          <rPr>
            <b/>
            <sz val="11"/>
            <color indexed="81"/>
            <rFont val="Tahoma"/>
            <family val="2"/>
          </rPr>
          <t>3 year discounted price in comments</t>
        </r>
      </text>
    </comment>
    <comment ref="C55" authorId="0">
      <text>
        <r>
          <rPr>
            <b/>
            <sz val="11"/>
            <color indexed="81"/>
            <rFont val="Tahoma"/>
            <family val="2"/>
          </rPr>
          <t>Cost if commit to 3 years: $649.71 per year
(09/10, 10/11, 11/12)
CCRI will buy for 3 years. dwh</t>
        </r>
      </text>
    </comment>
    <comment ref="A56" authorId="0">
      <text>
        <r>
          <rPr>
            <b/>
            <sz val="11"/>
            <color indexed="81"/>
            <rFont val="Tahoma"/>
            <family val="2"/>
          </rPr>
          <t>3 year discounted price in comments</t>
        </r>
      </text>
    </comment>
    <comment ref="J56" authorId="0">
      <text>
        <r>
          <rPr>
            <b/>
            <sz val="11"/>
            <color indexed="81"/>
            <rFont val="Tahoma"/>
            <family val="2"/>
          </rPr>
          <t>Per Jean C:
Wheaton commited to 3-year contract at $627.75 per year.  (09/10, 10/11, 11/12)
ost would have been $697.50</t>
        </r>
      </text>
    </comment>
    <comment ref="A57" authorId="0">
      <text>
        <r>
          <rPr>
            <b/>
            <sz val="11"/>
            <color indexed="81"/>
            <rFont val="Tahoma"/>
            <family val="2"/>
          </rPr>
          <t>Includes 15% consortial discount</t>
        </r>
      </text>
    </comment>
    <comment ref="D57" authorId="3">
      <text>
        <r>
          <rPr>
            <b/>
            <sz val="8"/>
            <color indexed="81"/>
            <rFont val="Tahoma"/>
            <family val="2"/>
          </rPr>
          <t>sreynolds:</t>
        </r>
        <r>
          <rPr>
            <sz val="8"/>
            <color indexed="81"/>
            <rFont val="Tahoma"/>
            <family val="2"/>
          </rPr>
          <t xml:space="preserve">
</t>
        </r>
        <r>
          <rPr>
            <b/>
            <sz val="14"/>
            <color indexed="81"/>
            <rFont val="Tahoma"/>
            <family val="2"/>
          </rPr>
          <t>JWU=13,402</t>
        </r>
      </text>
    </comment>
    <comment ref="B59" authorId="0">
      <text>
        <r>
          <rPr>
            <b/>
            <sz val="11"/>
            <color indexed="81"/>
            <rFont val="Tahoma"/>
            <family val="2"/>
          </rPr>
          <t xml:space="preserve"> 5 simult. users</t>
        </r>
      </text>
    </comment>
    <comment ref="E59" authorId="0">
      <text>
        <r>
          <rPr>
            <b/>
            <sz val="11"/>
            <color indexed="81"/>
            <rFont val="Tahoma"/>
            <family val="2"/>
          </rPr>
          <t>10 simult. users</t>
        </r>
        <r>
          <rPr>
            <sz val="11"/>
            <color indexed="81"/>
            <rFont val="Tahoma"/>
            <family val="2"/>
          </rPr>
          <t xml:space="preserve">
</t>
        </r>
      </text>
    </comment>
    <comment ref="F59" authorId="0">
      <text>
        <r>
          <rPr>
            <b/>
            <sz val="11"/>
            <color indexed="81"/>
            <rFont val="Tahoma"/>
            <family val="2"/>
          </rPr>
          <t xml:space="preserve"> 5 simult. users</t>
        </r>
      </text>
    </comment>
    <comment ref="G59" authorId="0">
      <text>
        <r>
          <rPr>
            <b/>
            <sz val="11"/>
            <color indexed="81"/>
            <rFont val="Tahoma"/>
            <family val="2"/>
          </rPr>
          <t xml:space="preserve"> 5 simult. users</t>
        </r>
      </text>
    </comment>
    <comment ref="H59" authorId="0">
      <text>
        <r>
          <rPr>
            <b/>
            <sz val="11"/>
            <color indexed="81"/>
            <rFont val="Tahoma"/>
            <family val="2"/>
          </rPr>
          <t xml:space="preserve"> 5 simult. users</t>
        </r>
      </text>
    </comment>
    <comment ref="I59" authorId="0">
      <text>
        <r>
          <rPr>
            <b/>
            <sz val="11"/>
            <color indexed="81"/>
            <rFont val="Tahoma"/>
            <family val="2"/>
          </rPr>
          <t xml:space="preserve">10 simult. users cost shown
</t>
        </r>
        <r>
          <rPr>
            <sz val="11"/>
            <color indexed="81"/>
            <rFont val="Tahoma"/>
            <family val="2"/>
          </rPr>
          <t xml:space="preserve">
15 users          = $3025.00
Unlim. users   = $3841.00</t>
        </r>
      </text>
    </comment>
    <comment ref="C60" authorId="5">
      <text>
        <r>
          <rPr>
            <b/>
            <sz val="11"/>
            <color indexed="81"/>
            <rFont val="Tahoma"/>
            <family val="2"/>
          </rPr>
          <t>ljlarson:
CCRI already paid $2700 for the front file 1991 Present</t>
        </r>
      </text>
    </comment>
    <comment ref="D62"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B64" authorId="4">
      <text>
        <r>
          <rPr>
            <sz val="11"/>
            <color indexed="81"/>
            <rFont val="Tahoma"/>
            <family val="2"/>
          </rPr>
          <t>Direct</t>
        </r>
        <r>
          <rPr>
            <sz val="8"/>
            <color indexed="81"/>
            <rFont val="Tahoma"/>
            <family val="2"/>
          </rPr>
          <t xml:space="preserve">
</t>
        </r>
      </text>
    </comment>
    <comment ref="A74" authorId="0">
      <text>
        <r>
          <rPr>
            <b/>
            <sz val="11"/>
            <color indexed="81"/>
            <rFont val="Tahoma"/>
            <family val="2"/>
          </rPr>
          <t>$162,742 total</t>
        </r>
      </text>
    </comment>
    <comment ref="A75" authorId="6">
      <text>
        <r>
          <rPr>
            <b/>
            <sz val="11"/>
            <color indexed="81"/>
            <rFont val="Tahoma"/>
            <family val="2"/>
          </rPr>
          <t xml:space="preserve">Content Cafe  includes access to:
-         Book jacket images.
-         Tables of contents.
-         Reviews from the following sources: CHOICE, Booklist, Library Journal, Publishers Weekly, School Library Journal, VOYA, HornBook, and Foreword.
</t>
        </r>
      </text>
    </comment>
    <comment ref="E79" authorId="1">
      <text>
        <r>
          <rPr>
            <b/>
            <sz val="8"/>
            <color indexed="81"/>
            <rFont val="Tahoma"/>
            <family val="2"/>
          </rPr>
          <t>Amy Thurlow:</t>
        </r>
        <r>
          <rPr>
            <sz val="8"/>
            <color indexed="81"/>
            <rFont val="Tahoma"/>
            <family val="2"/>
          </rPr>
          <t xml:space="preserve">
</t>
        </r>
        <r>
          <rPr>
            <sz val="11"/>
            <color indexed="81"/>
            <rFont val="Tahoma"/>
            <family val="2"/>
          </rPr>
          <t>If PC and/or RWU switch to Art &amp; Architecture Complete we will match last year’s price of $5,305 each</t>
        </r>
      </text>
    </comment>
    <comment ref="G79" authorId="1">
      <text>
        <r>
          <rPr>
            <b/>
            <sz val="8"/>
            <color indexed="81"/>
            <rFont val="Tahoma"/>
            <family val="2"/>
          </rPr>
          <t>Amy Thurlow:</t>
        </r>
        <r>
          <rPr>
            <sz val="8"/>
            <color indexed="81"/>
            <rFont val="Tahoma"/>
            <family val="2"/>
          </rPr>
          <t xml:space="preserve">
</t>
        </r>
        <r>
          <rPr>
            <sz val="11"/>
            <color indexed="81"/>
            <rFont val="Tahoma"/>
            <family val="2"/>
          </rPr>
          <t>If PC and/or RWU switch to Art &amp; Architecture Complete we will match last year’s price of $5,305 each</t>
        </r>
      </text>
    </comment>
    <comment ref="D84"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A88" authorId="1">
      <text>
        <r>
          <rPr>
            <b/>
            <sz val="8"/>
            <color indexed="81"/>
            <rFont val="Tahoma"/>
            <family val="2"/>
          </rPr>
          <t xml:space="preserve">Amy Thurlow:
</t>
        </r>
        <r>
          <rPr>
            <b/>
            <sz val="11"/>
            <color indexed="81"/>
            <rFont val="Tahoma"/>
            <family val="2"/>
          </rPr>
          <t>Because content and pricing for CINAHL with Full Text and CINAHL Plus with Full Text are different, and subscribers to CINAHL Plus with Full Text do not also need CINAHL with Full Text, I have highlighted them in yellow to set them apart from all the databases in the list</t>
        </r>
      </text>
    </comment>
    <comment ref="A89" authorId="1">
      <text>
        <r>
          <rPr>
            <b/>
            <sz val="8"/>
            <color indexed="81"/>
            <rFont val="Tahoma"/>
            <family val="2"/>
          </rPr>
          <t>Amy Thurlow:</t>
        </r>
        <r>
          <rPr>
            <sz val="8"/>
            <color indexed="81"/>
            <rFont val="Tahoma"/>
            <family val="2"/>
          </rPr>
          <t xml:space="preserve">
</t>
        </r>
        <r>
          <rPr>
            <sz val="11"/>
            <color indexed="81"/>
            <rFont val="Tahoma"/>
            <family val="2"/>
          </rPr>
          <t>Because content and pricing for CINAHL with Full Text and CINAHL Plus with Full Text are different, and subscribers to CINAHL Plus with Full Text do not also need CINAHL with Full Text, I have highlighted them in yellow to set them apart from all the databases in the list</t>
        </r>
      </text>
    </comment>
    <comment ref="D95"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I96" authorId="1">
      <text>
        <r>
          <rPr>
            <b/>
            <sz val="11"/>
            <color indexed="81"/>
            <rFont val="Tahoma"/>
            <family val="2"/>
          </rPr>
          <t>Martha:</t>
        </r>
        <r>
          <rPr>
            <sz val="11"/>
            <color indexed="81"/>
            <rFont val="Tahoma"/>
            <family val="2"/>
          </rPr>
          <t xml:space="preserve">
FSTA honored the group price last year even though JWU did not subscribe, but cannot honor it this year hence the increase in price</t>
        </r>
      </text>
    </comment>
    <comment ref="D99"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I101" authorId="7">
      <text>
        <r>
          <rPr>
            <b/>
            <sz val="11"/>
            <color indexed="81"/>
            <rFont val="Tahoma"/>
            <family val="2"/>
          </rPr>
          <t>Amy Thurlow:</t>
        </r>
        <r>
          <rPr>
            <sz val="11"/>
            <color indexed="81"/>
            <rFont val="Tahoma"/>
            <family val="2"/>
          </rPr>
          <t xml:space="preserve">
Multi-year pricing offer: 
Year one: $29808 -- 2008/09
Year two: $31302 -- 2009/10
Year three: $32868 -- 2010/11
Inspec Archive is available for a one-time purchase of $28320</t>
        </r>
      </text>
    </comment>
    <comment ref="E102" authorId="0">
      <text>
        <r>
          <rPr>
            <b/>
            <sz val="11"/>
            <color indexed="81"/>
            <rFont val="Tahoma"/>
            <family val="2"/>
          </rPr>
          <t>Renewal price: $1000 base and $170 per connector: 52 connectors
initial $1200 plus 6 add'l connectors
w/ JSTOR, $2000
Billed $1800 on original invoice.  Billed $8048 on supplemental invoice.</t>
        </r>
      </text>
    </comment>
    <comment ref="G102" authorId="8">
      <text>
        <r>
          <rPr>
            <b/>
            <sz val="8"/>
            <color indexed="81"/>
            <rFont val="Tahoma"/>
            <family val="2"/>
          </rPr>
          <t>Amy T: Integrated Search would not be subscribe to until next year. For budget purposes RWU can plan on a base fee of $1000 with $170 per connector.</t>
        </r>
        <r>
          <rPr>
            <sz val="8"/>
            <color indexed="81"/>
            <rFont val="Tahoma"/>
            <family val="2"/>
          </rPr>
          <t xml:space="preserve"> </t>
        </r>
      </text>
    </comment>
    <comment ref="H102" authorId="0">
      <text>
        <r>
          <rPr>
            <b/>
            <sz val="10"/>
            <color indexed="81"/>
            <rFont val="Tahoma"/>
            <family val="2"/>
          </rPr>
          <t>Renewal price: $1000 base plus $10/connector - 10 connectors</t>
        </r>
        <r>
          <rPr>
            <b/>
            <sz val="12"/>
            <color indexed="81"/>
            <rFont val="Tahoma"/>
            <family val="2"/>
          </rPr>
          <t xml:space="preserve">
Initial $1200 plus 10 add'l connectors</t>
        </r>
      </text>
    </comment>
    <comment ref="A109" authorId="0">
      <text>
        <r>
          <rPr>
            <b/>
            <sz val="11"/>
            <color indexed="81"/>
            <rFont val="Tahoma"/>
            <family val="2"/>
          </rPr>
          <t xml:space="preserve">NOTE: All price requestors must subscribe for price shown to be valid.
NOTE: Price is less for unlimited if RWU subscribes. If RWU does not, a revised quote is needed. </t>
        </r>
      </text>
    </comment>
    <comment ref="A110" authorId="0">
      <text>
        <r>
          <rPr>
            <b/>
            <sz val="11"/>
            <color indexed="81"/>
            <rFont val="Tahoma"/>
            <family val="2"/>
          </rPr>
          <t>NOTE: All price requestors must subscribe for price shown to be valid</t>
        </r>
      </text>
    </comment>
    <comment ref="C113" authorId="0">
      <text>
        <r>
          <rPr>
            <b/>
            <sz val="11"/>
            <color indexed="81"/>
            <rFont val="Tahoma"/>
            <family val="2"/>
          </rPr>
          <t>Price based on 416 in nursing program</t>
        </r>
      </text>
    </comment>
    <comment ref="A115" authorId="0">
      <text>
        <r>
          <rPr>
            <b/>
            <sz val="11"/>
            <color indexed="81"/>
            <rFont val="Tahoma"/>
            <family val="2"/>
          </rPr>
          <t>NOTE: All price requestors must subscribe for price shown to be valid</t>
        </r>
      </text>
    </comment>
    <comment ref="A117" authorId="0">
      <text>
        <r>
          <rPr>
            <b/>
            <sz val="8"/>
            <color indexed="81"/>
            <rFont val="Tahoma"/>
            <family val="2"/>
          </rPr>
          <t xml:space="preserve"> </t>
        </r>
        <r>
          <rPr>
            <b/>
            <sz val="11"/>
            <color indexed="81"/>
            <rFont val="Tahoma"/>
            <family val="2"/>
          </rPr>
          <t>NOTE: All price requestors must subscribe for price shown to be valid</t>
        </r>
      </text>
    </comment>
    <comment ref="D117"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A119" authorId="0">
      <text>
        <r>
          <rPr>
            <b/>
            <sz val="11"/>
            <color indexed="81"/>
            <rFont val="Tahoma"/>
            <family val="2"/>
          </rPr>
          <t>NOTE: All price requestors must subscribe for price shown to be valid</t>
        </r>
      </text>
    </comment>
    <comment ref="C120" authorId="1">
      <text>
        <r>
          <rPr>
            <b/>
            <sz val="8"/>
            <color indexed="81"/>
            <rFont val="Tahoma"/>
            <family val="2"/>
          </rPr>
          <t>Martha:</t>
        </r>
        <r>
          <rPr>
            <sz val="8"/>
            <color indexed="81"/>
            <rFont val="Tahoma"/>
            <family val="2"/>
          </rPr>
          <t xml:space="preserve">
</t>
        </r>
        <r>
          <rPr>
            <sz val="11"/>
            <color indexed="81"/>
            <rFont val="Tahoma"/>
            <family val="2"/>
          </rPr>
          <t>CCRI has 60 students in their rehab program</t>
        </r>
      </text>
    </comment>
    <comment ref="A123" authorId="0">
      <text>
        <r>
          <rPr>
            <b/>
            <sz val="11"/>
            <color indexed="81"/>
            <rFont val="Tahoma"/>
            <family val="2"/>
          </rPr>
          <t>4 simul.users
NOTE: All price requestors must subscribe for price shown to be valid</t>
        </r>
      </text>
    </comment>
    <comment ref="E123" authorId="7">
      <text>
        <r>
          <rPr>
            <b/>
            <sz val="11"/>
            <color indexed="81"/>
            <rFont val="Tahoma"/>
            <family val="2"/>
          </rPr>
          <t>Amy Thurlow:</t>
        </r>
        <r>
          <rPr>
            <sz val="11"/>
            <color indexed="81"/>
            <rFont val="Tahoma"/>
            <family val="2"/>
          </rPr>
          <t xml:space="preserve">
Both sites must purchase to secure discounted price</t>
        </r>
        <r>
          <rPr>
            <sz val="8"/>
            <color indexed="81"/>
            <rFont val="Tahoma"/>
            <family val="2"/>
          </rPr>
          <t xml:space="preserve">
</t>
        </r>
      </text>
    </comment>
    <comment ref="H123" authorId="7">
      <text>
        <r>
          <rPr>
            <b/>
            <sz val="11"/>
            <color indexed="81"/>
            <rFont val="Tahoma"/>
            <family val="2"/>
          </rPr>
          <t>Amy Thurlow:</t>
        </r>
        <r>
          <rPr>
            <sz val="11"/>
            <color indexed="81"/>
            <rFont val="Tahoma"/>
            <family val="2"/>
          </rPr>
          <t xml:space="preserve">
Both sites must purchase to secure discounted price</t>
        </r>
        <r>
          <rPr>
            <sz val="8"/>
            <color indexed="81"/>
            <rFont val="Tahoma"/>
            <family val="2"/>
          </rPr>
          <t xml:space="preserve">
</t>
        </r>
      </text>
    </comment>
    <comment ref="D125"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E127" authorId="1">
      <text>
        <r>
          <rPr>
            <b/>
            <sz val="8"/>
            <color indexed="81"/>
            <rFont val="Tahoma"/>
            <family val="2"/>
          </rPr>
          <t>Amy Thurlow:</t>
        </r>
        <r>
          <rPr>
            <sz val="8"/>
            <color indexed="81"/>
            <rFont val="Tahoma"/>
            <family val="2"/>
          </rPr>
          <t xml:space="preserve">
</t>
        </r>
        <r>
          <rPr>
            <sz val="11"/>
            <color indexed="81"/>
            <rFont val="Tahoma"/>
            <family val="2"/>
          </rPr>
          <t>If PC and/or RWU switch to Art &amp; Architecture Complete we will match last year’s price of $5,305 each</t>
        </r>
      </text>
    </comment>
    <comment ref="G127" authorId="1">
      <text>
        <r>
          <rPr>
            <b/>
            <sz val="8"/>
            <color indexed="81"/>
            <rFont val="Tahoma"/>
            <family val="2"/>
          </rPr>
          <t>Amy Thurlow:</t>
        </r>
        <r>
          <rPr>
            <sz val="8"/>
            <color indexed="81"/>
            <rFont val="Tahoma"/>
            <family val="2"/>
          </rPr>
          <t xml:space="preserve">
</t>
        </r>
        <r>
          <rPr>
            <sz val="11"/>
            <color indexed="81"/>
            <rFont val="Tahoma"/>
            <family val="2"/>
          </rPr>
          <t>If PC and/or RWU switch to Art &amp; Architecture Complete we will match last year’s price of $5,305 each</t>
        </r>
      </text>
    </comment>
    <comment ref="I134" authorId="0">
      <text>
        <r>
          <rPr>
            <b/>
            <sz val="11"/>
            <color indexed="81"/>
            <rFont val="Tahoma"/>
            <family val="2"/>
          </rPr>
          <t>3rd year of 3-year contract
cost in 2009/10 = $16,877</t>
        </r>
      </text>
    </comment>
    <comment ref="C136" authorId="0">
      <text>
        <r>
          <rPr>
            <b/>
            <sz val="11"/>
            <color indexed="81"/>
            <rFont val="Tahoma"/>
            <family val="2"/>
          </rPr>
          <t xml:space="preserve">Journal collections (inc. 1995- ):
Health &amp; Life sciences only, for CCRI
</t>
        </r>
      </text>
    </comment>
    <comment ref="I137" authorId="9">
      <text>
        <r>
          <rPr>
            <b/>
            <sz val="11"/>
            <color indexed="81"/>
            <rFont val="Tahoma"/>
            <family val="2"/>
          </rPr>
          <t>Karen Ramsay:one time purchase, perpetual access</t>
        </r>
        <r>
          <rPr>
            <sz val="11"/>
            <color indexed="81"/>
            <rFont val="Tahoma"/>
            <family val="2"/>
          </rPr>
          <t xml:space="preserve">
need quote for hosting fee</t>
        </r>
      </text>
    </comment>
    <comment ref="B140" authorId="1">
      <text>
        <r>
          <rPr>
            <b/>
            <sz val="8"/>
            <color indexed="81"/>
            <rFont val="Tahoma"/>
            <family val="2"/>
          </rPr>
          <t>Martha:</t>
        </r>
        <r>
          <rPr>
            <sz val="8"/>
            <color indexed="81"/>
            <rFont val="Tahoma"/>
            <family val="2"/>
          </rPr>
          <t xml:space="preserve">
</t>
        </r>
        <r>
          <rPr>
            <sz val="11"/>
            <color indexed="81"/>
            <rFont val="Tahoma"/>
            <family val="2"/>
          </rPr>
          <t>Passport Reference                         $6,080 (regular pricing $7,600)
Passport Reference and Markets    $9,120 (regular pricing $11,400)
Passport GMID                              $12,160 (regular pricing $15,200)
Passport Industrial (B2B platform)   $12,000 
(new product)</t>
        </r>
      </text>
    </comment>
    <comment ref="C141" authorId="1">
      <text>
        <r>
          <rPr>
            <b/>
            <sz val="8"/>
            <color indexed="81"/>
            <rFont val="Tahoma"/>
            <family val="2"/>
          </rPr>
          <t>Martha:</t>
        </r>
        <r>
          <rPr>
            <sz val="8"/>
            <color indexed="81"/>
            <rFont val="Tahoma"/>
            <family val="2"/>
          </rPr>
          <t xml:space="preserve">
pd. 342.24 for  one-time purchases in 2009/10</t>
        </r>
      </text>
    </comment>
    <comment ref="A142" authorId="1">
      <text>
        <r>
          <rPr>
            <b/>
            <sz val="8"/>
            <color indexed="81"/>
            <rFont val="Tahoma"/>
            <family val="2"/>
          </rPr>
          <t>Martha:</t>
        </r>
        <r>
          <rPr>
            <sz val="8"/>
            <color indexed="81"/>
            <rFont val="Tahoma"/>
            <family val="2"/>
          </rPr>
          <t xml:space="preserve">
</t>
        </r>
        <r>
          <rPr>
            <sz val="11"/>
            <color indexed="81"/>
            <rFont val="Tahoma"/>
            <family val="2"/>
          </rPr>
          <t>10% group discount</t>
        </r>
      </text>
    </comment>
    <comment ref="C142" authorId="1">
      <text>
        <r>
          <rPr>
            <b/>
            <sz val="8"/>
            <color indexed="81"/>
            <rFont val="Tahoma"/>
            <family val="2"/>
          </rPr>
          <t>Martha:</t>
        </r>
        <r>
          <rPr>
            <sz val="8"/>
            <color indexed="81"/>
            <rFont val="Tahoma"/>
            <family val="2"/>
          </rPr>
          <t xml:space="preserve">
</t>
        </r>
        <r>
          <rPr>
            <sz val="11"/>
            <color indexed="81"/>
            <rFont val="Tahoma"/>
            <family val="2"/>
          </rPr>
          <t>pricing for collections:
$ 1,280    Guidance &amp; Counseling
$ 9,000    Humanities &amp; Social Sciences
$12,800    Master Academic Collection</t>
        </r>
      </text>
    </comment>
    <comment ref="F142" authorId="1">
      <text>
        <r>
          <rPr>
            <b/>
            <sz val="8"/>
            <color indexed="81"/>
            <rFont val="Tahoma"/>
            <family val="2"/>
          </rPr>
          <t>Martha:</t>
        </r>
        <r>
          <rPr>
            <sz val="8"/>
            <color indexed="81"/>
            <rFont val="Tahoma"/>
            <family val="2"/>
          </rPr>
          <t xml:space="preserve">
</t>
        </r>
        <r>
          <rPr>
            <sz val="11"/>
            <color indexed="81"/>
            <rFont val="Tahoma"/>
            <family val="2"/>
          </rPr>
          <t>Business &amp; 
Management
Collection</t>
        </r>
      </text>
    </comment>
    <comment ref="G142" authorId="1">
      <text>
        <r>
          <rPr>
            <b/>
            <sz val="8"/>
            <color indexed="81"/>
            <rFont val="Tahoma"/>
            <family val="2"/>
          </rPr>
          <t>Martha:</t>
        </r>
        <r>
          <rPr>
            <sz val="8"/>
            <color indexed="81"/>
            <rFont val="Tahoma"/>
            <family val="2"/>
          </rPr>
          <t xml:space="preserve">
</t>
        </r>
        <r>
          <rPr>
            <sz val="11"/>
            <color indexed="81"/>
            <rFont val="Tahoma"/>
            <family val="2"/>
          </rPr>
          <t xml:space="preserve">
Master academic collection (all collections)</t>
        </r>
      </text>
    </comment>
    <comment ref="E143" authorId="1">
      <text>
        <r>
          <rPr>
            <b/>
            <sz val="8"/>
            <color indexed="81"/>
            <rFont val="Tahoma"/>
            <family val="2"/>
          </rPr>
          <t>Martha:</t>
        </r>
        <r>
          <rPr>
            <sz val="8"/>
            <color indexed="81"/>
            <rFont val="Tahoma"/>
            <family val="2"/>
          </rPr>
          <t xml:space="preserve">
One time purchase in 2009/10</t>
        </r>
      </text>
    </comment>
    <comment ref="D144"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J144" authorId="0">
      <text>
        <r>
          <rPr>
            <sz val="11"/>
            <color indexed="81"/>
            <rFont val="Tahoma"/>
            <family val="2"/>
          </rPr>
          <t>Mass. State contract</t>
        </r>
      </text>
    </comment>
    <comment ref="D145"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J145" authorId="0">
      <text>
        <r>
          <rPr>
            <sz val="11"/>
            <color indexed="81"/>
            <rFont val="Tahoma"/>
            <family val="2"/>
          </rPr>
          <t>Mass. State contract</t>
        </r>
      </text>
    </comment>
    <comment ref="D146"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J147" authorId="0">
      <text>
        <r>
          <rPr>
            <sz val="11"/>
            <color indexed="81"/>
            <rFont val="Tahoma"/>
            <family val="2"/>
          </rPr>
          <t>Mass. State contract</t>
        </r>
      </text>
    </comment>
    <comment ref="D149"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D150"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J151" authorId="0">
      <text>
        <r>
          <rPr>
            <sz val="11"/>
            <color indexed="81"/>
            <rFont val="Tahoma"/>
            <family val="2"/>
          </rPr>
          <t>Mass. State contract</t>
        </r>
      </text>
    </comment>
    <comment ref="D152"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A153" authorId="10">
      <text>
        <r>
          <rPr>
            <sz val="12"/>
            <color indexed="81"/>
            <rFont val="Arial"/>
            <family val="2"/>
          </rPr>
          <t xml:space="preserve">    
LITERATURE RESOURCE CENTER  (LRC)    
 Print Titles   
 -  Contemporary Authors (CA) - All volumes     
 -  Contemporary Authors - New Revision Series - All volumes    
 -  Contemporary Literary Criticism Select (CLCS)  Volume 95 through present, plus select criticism on over 250 authors from 1-94.   
 -  Dictionary of Literary Biography (DLB) - All volumes (document series not included online)   
 -  Merriam-Webster's Encyclopedia of Literature- Single volume--Cover to cover   
 Additional Content   
 -  4,329 Work Overviews, Plot Summaries and Explications   
 -  5,000 Websites   
 -  Over 120,000 author biographies   
 -  2,500 author portraits   
 -  Links to Holdings (Z39.50)   
36,609 critical essays with an additional 5,350 pieces of CLC Select criticism   
 Classical and Medieval Literature Criticism Short Story Criticism Novels for Students (criticism and plot summaries) 
 Nineteenth-Century Literature Criticism Literature Criticism from 1400 to 1800 Poetry for Students (criticism and plot summaries) 
 Twentieth-Century Literary Criticism Children's Literature Review  
 Shakespearean Criticism Drama for Students (criticism and plot summaries)  
 Drama Criticism Short Stories for Students (criticism and plot summaries)  
 Poetry Criticism   
 ADD-ON CONTENT POTENTIAL:   
 -  Scribner's Writer's Series - Add-on subscription - Integrated Content - 30 total volumes   
 -  Twayne's Authors' Series' - US, English, &amp; World - Add-on subscription - Integrated Content - 600 total volumes   
 -  Chadwyck-Healey's Literature Online (LION) Link (for joint subscribers) </t>
        </r>
      </text>
    </comment>
    <comment ref="B153"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C153"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D153"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E153"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F153"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G153"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H153" authorId="0">
      <text>
        <r>
          <rPr>
            <b/>
            <sz val="11"/>
            <color indexed="81"/>
            <rFont val="Tahoma"/>
            <family val="2"/>
          </rPr>
          <t>1-time archival fee of $11,381 and hosting fee of $884 paid May 2008 to cover 7/1/08-6/30/09
2010/11 on - same hosting fee as rest of HELIN</t>
        </r>
      </text>
    </comment>
    <comment ref="I153" authorId="10">
      <text>
        <r>
          <rPr>
            <sz val="11"/>
            <color indexed="81"/>
            <rFont val="Tahoma"/>
            <family val="2"/>
          </rPr>
          <t>The 3-year purchase of the Digital Archive of the Gale Literature Resource Center is complete. In Year 7, libraries only pay the access  fee of $2,105 per library. The access fee increases slightly each year as detailed below:
Future Access Fees:
Year 8 : $2,231 per library
Year 9 : $2,365 per library
Year 10 : $2,507 per library
The purchase of the archive gives access on Gale's server to all volumes of Contemporary Authors, Contemporary Literary Criticism, and Dictionary of Literary Biography.  Each library will also receive a  CD-ROM of the archive.</t>
        </r>
      </text>
    </comment>
    <comment ref="J153" authorId="0">
      <text>
        <r>
          <rPr>
            <b/>
            <sz val="11"/>
            <color indexed="81"/>
            <rFont val="Tahoma"/>
            <family val="2"/>
          </rPr>
          <t xml:space="preserve">
$11,381 paid for the Archive in 06/07-07/08
Annual hosting fee was $884 for 2008/09 &amp; 2009/10
Year 4 (2010/11) - same hosting fee as rest of HELIN</t>
        </r>
      </text>
    </comment>
    <comment ref="D155"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D156"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I158" authorId="1">
      <text>
        <r>
          <rPr>
            <b/>
            <sz val="8"/>
            <color indexed="81"/>
            <rFont val="Tahoma"/>
            <family val="2"/>
          </rPr>
          <t>Martha:</t>
        </r>
        <r>
          <rPr>
            <sz val="8"/>
            <color indexed="81"/>
            <rFont val="Tahoma"/>
            <family val="2"/>
          </rPr>
          <t xml:space="preserve">
</t>
        </r>
        <r>
          <rPr>
            <sz val="11"/>
            <color indexed="81"/>
            <rFont val="Tahoma"/>
            <family val="2"/>
          </rPr>
          <t>$545.40 Bibliography
$59 Early Theatre
$61 Renaissance and Reformation</t>
        </r>
      </text>
    </comment>
    <comment ref="A159" authorId="9">
      <text>
        <r>
          <rPr>
            <b/>
            <sz val="11"/>
            <color indexed="81"/>
            <rFont val="Tahoma"/>
            <family val="2"/>
          </rPr>
          <t>Karen Ramsay:</t>
        </r>
        <r>
          <rPr>
            <sz val="11"/>
            <color indexed="81"/>
            <rFont val="Tahoma"/>
            <family val="2"/>
          </rPr>
          <t xml:space="preserve">
Calendar yr for Bryant &amp; RWU; Fiscal yr for JWU
Package to include access to the following 
700+ US Industry Market Research 
40-60 pages each, 5-digit NAICS level
8000+ Company Profiles 
Financial data about publicly traded companies, sourced via  Hemscott/Morningstar
Dedicated Client Relationship Manager
Terrance Pires – 201 795 2053 / Terrancep@ibisworld.com
</t>
        </r>
      </text>
    </comment>
    <comment ref="D159" authorId="0">
      <text>
        <r>
          <rPr>
            <b/>
            <sz val="11"/>
            <color indexed="81"/>
            <rFont val="Tahoma"/>
            <family val="2"/>
          </rPr>
          <t xml:space="preserve">
</t>
        </r>
        <r>
          <rPr>
            <b/>
            <sz val="14"/>
            <color indexed="81"/>
            <rFont val="Tahoma"/>
            <family val="2"/>
          </rPr>
          <t xml:space="preserve">JWU=14,842
</t>
        </r>
        <r>
          <rPr>
            <b/>
            <sz val="11"/>
            <color indexed="81"/>
            <rFont val="Tahoma"/>
            <family val="2"/>
          </rPr>
          <t xml:space="preserve">
</t>
        </r>
        <r>
          <rPr>
            <b/>
            <sz val="16"/>
            <color indexed="81"/>
            <rFont val="Tahoma"/>
            <family val="2"/>
          </rPr>
          <t>IBISWorld</t>
        </r>
        <r>
          <rPr>
            <b/>
            <sz val="11"/>
            <color indexed="81"/>
            <rFont val="Tahoma"/>
            <family val="2"/>
          </rPr>
          <t xml:space="preserve">
</t>
        </r>
        <r>
          <rPr>
            <b/>
            <sz val="14"/>
            <color indexed="10"/>
            <rFont val="Tahoma"/>
            <family val="2"/>
          </rPr>
          <t xml:space="preserve">2010-2011 Pricing (3/3/2010): </t>
        </r>
        <r>
          <rPr>
            <b/>
            <sz val="14"/>
            <color indexed="12"/>
            <rFont val="Tahoma"/>
            <family val="2"/>
          </rPr>
          <t xml:space="preserve">
</t>
        </r>
        <r>
          <rPr>
            <b/>
            <sz val="14"/>
            <color indexed="8"/>
            <rFont val="Tahoma"/>
            <family val="2"/>
          </rPr>
          <t>Vendor contact:</t>
        </r>
        <r>
          <rPr>
            <b/>
            <sz val="14"/>
            <color indexed="12"/>
            <rFont val="Tahoma"/>
            <family val="2"/>
          </rPr>
          <t xml:space="preserve"> </t>
        </r>
        <r>
          <rPr>
            <b/>
            <sz val="14"/>
            <color indexed="8"/>
            <rFont val="Tahoma"/>
            <family val="2"/>
          </rPr>
          <t xml:space="preserve">Terry Pires (terrancep@ibisworld.com) </t>
        </r>
        <r>
          <rPr>
            <b/>
            <sz val="14"/>
            <color indexed="10"/>
            <rFont val="Tahoma"/>
            <family val="2"/>
          </rPr>
          <t>3/3/2010</t>
        </r>
        <r>
          <rPr>
            <b/>
            <sz val="14"/>
            <color indexed="81"/>
            <rFont val="Tahoma"/>
            <family val="2"/>
          </rPr>
          <t xml:space="preserve">
</t>
        </r>
        <r>
          <rPr>
            <b/>
            <u/>
            <sz val="16"/>
            <color indexed="81"/>
            <rFont val="Tahoma"/>
            <family val="2"/>
          </rPr>
          <t>Option #1</t>
        </r>
        <r>
          <rPr>
            <b/>
            <sz val="16"/>
            <color indexed="81"/>
            <rFont val="Tahoma"/>
            <family val="2"/>
          </rPr>
          <t xml:space="preserve"> (one-yr. contract)</t>
        </r>
        <r>
          <rPr>
            <b/>
            <sz val="11"/>
            <color indexed="81"/>
            <rFont val="Tahoma"/>
            <family val="2"/>
          </rPr>
          <t xml:space="preserve">
</t>
        </r>
        <r>
          <rPr>
            <b/>
            <sz val="14"/>
            <color indexed="81"/>
            <rFont val="Tahoma"/>
            <family val="2"/>
          </rPr>
          <t xml:space="preserve">Membership period: 
June 30, 2010 – June 30, 2011:  </t>
        </r>
        <r>
          <rPr>
            <b/>
            <sz val="14"/>
            <color indexed="8"/>
            <rFont val="Tahoma"/>
            <family val="2"/>
          </rPr>
          <t>Price  $14,850</t>
        </r>
        <r>
          <rPr>
            <b/>
            <sz val="11"/>
            <color indexed="81"/>
            <rFont val="Tahoma"/>
            <family val="2"/>
          </rPr>
          <t xml:space="preserve">
</t>
        </r>
        <r>
          <rPr>
            <b/>
            <u/>
            <sz val="14"/>
            <color indexed="81"/>
            <rFont val="Tahoma"/>
            <family val="2"/>
          </rPr>
          <t>Content</t>
        </r>
        <r>
          <rPr>
            <b/>
            <sz val="14"/>
            <color indexed="81"/>
            <rFont val="Tahoma"/>
            <family val="2"/>
          </rPr>
          <t>:</t>
        </r>
        <r>
          <rPr>
            <b/>
            <sz val="11"/>
            <color indexed="81"/>
            <rFont val="Tahoma"/>
            <family val="2"/>
          </rPr>
          <t xml:space="preserve">
</t>
        </r>
        <r>
          <rPr>
            <b/>
            <sz val="14"/>
            <color indexed="81"/>
            <rFont val="Tahoma"/>
            <family val="2"/>
          </rPr>
          <t xml:space="preserve">US Industry Market Research 
Business Environment Reports
Company Profiles 
Global Reports 
US Industry Risk Ratings </t>
        </r>
        <r>
          <rPr>
            <b/>
            <sz val="11"/>
            <color indexed="81"/>
            <rFont val="Tahoma"/>
            <family val="2"/>
          </rPr>
          <t xml:space="preserve">
</t>
        </r>
        <r>
          <rPr>
            <b/>
            <sz val="14"/>
            <color indexed="81"/>
            <rFont val="Tahoma"/>
            <family val="2"/>
          </rPr>
          <t xml:space="preserve">
</t>
        </r>
        <r>
          <rPr>
            <b/>
            <u/>
            <sz val="16"/>
            <color indexed="81"/>
            <rFont val="Tahoma"/>
            <family val="2"/>
          </rPr>
          <t>Option #2</t>
        </r>
        <r>
          <rPr>
            <b/>
            <sz val="16"/>
            <color indexed="81"/>
            <rFont val="Tahoma"/>
            <family val="2"/>
          </rPr>
          <t xml:space="preserve"> (two-yr. contract)</t>
        </r>
        <r>
          <rPr>
            <b/>
            <sz val="14"/>
            <color indexed="81"/>
            <rFont val="Tahoma"/>
            <family val="2"/>
          </rPr>
          <t xml:space="preserve">
Membership period: 
June 30, 2010 -2011:   </t>
        </r>
        <r>
          <rPr>
            <b/>
            <sz val="14"/>
            <color indexed="8"/>
            <rFont val="Tahoma"/>
            <family val="2"/>
          </rPr>
          <t>Price $15,500</t>
        </r>
        <r>
          <rPr>
            <b/>
            <sz val="14"/>
            <color indexed="81"/>
            <rFont val="Tahoma"/>
            <family val="2"/>
          </rPr>
          <t xml:space="preserve">
June 30, 2011 -2012:   Price $15,500
No price increase for Second Year.</t>
        </r>
        <r>
          <rPr>
            <b/>
            <sz val="14"/>
            <color indexed="81"/>
            <rFont val="Arial"/>
            <family val="2"/>
          </rPr>
          <t xml:space="preserve">
</t>
        </r>
        <r>
          <rPr>
            <b/>
            <sz val="14"/>
            <color indexed="81"/>
            <rFont val="Tahoma"/>
            <family val="2"/>
          </rPr>
          <t xml:space="preserve">
</t>
        </r>
        <r>
          <rPr>
            <b/>
            <u/>
            <sz val="14"/>
            <color indexed="81"/>
            <rFont val="Tahoma"/>
            <family val="2"/>
          </rPr>
          <t>Content</t>
        </r>
        <r>
          <rPr>
            <b/>
            <sz val="14"/>
            <color indexed="81"/>
            <rFont val="Tahoma"/>
            <family val="2"/>
          </rPr>
          <t xml:space="preserve">:
US Industry Market Research 
Business Environment Reports
Company Profiles 
Global Reports 
US Industry Risk Ratings 
China Reports
iExpert 1-page Call Briefs –  NEW
(Industry snapshot, provides major threats, opportunities, and issues Facing every industry)
------------------------------------------------------------------------------------------------------
</t>
        </r>
        <r>
          <rPr>
            <b/>
            <sz val="12"/>
            <color indexed="81"/>
            <rFont val="Tahoma"/>
            <family val="2"/>
          </rPr>
          <t xml:space="preserve">2009-2010 subs. content:  Basic 700+ Industry Reports, plus 3 add-on modules: (1) Global Reports, (2) Business Environment, and (3) Industry Risk Ratings.   For 3 JWU campuses.
</t>
        </r>
        <r>
          <rPr>
            <b/>
            <sz val="10"/>
            <color indexed="81"/>
            <rFont val="Tahoma"/>
            <family val="2"/>
          </rPr>
          <t xml:space="preserve">
</t>
        </r>
        <r>
          <rPr>
            <b/>
            <sz val="12"/>
            <color indexed="81"/>
            <rFont val="Tahoma"/>
            <family val="2"/>
          </rPr>
          <t>History:
JWU subscribed directly in 2008-09 @ $9,500  (Basic 700+ Industry Reports, plus Global Reports add-on) for 3 JWU campuses, but would now like pricing through HELIN and/or moved to HELIN account.</t>
        </r>
        <r>
          <rPr>
            <b/>
            <i/>
            <sz val="12"/>
            <color indexed="81"/>
            <rFont val="Tahoma"/>
            <family val="2"/>
          </rPr>
          <t xml:space="preserve">  </t>
        </r>
        <r>
          <rPr>
            <b/>
            <sz val="12"/>
            <color indexed="81"/>
            <rFont val="Tahoma"/>
            <family val="2"/>
          </rPr>
          <t xml:space="preserve">In 2008, vendor based pricing on a FLAT FEE instead of FTE.  As an introductory offer, vendor used just the number of JWU's business school students (4,159) instead of the entire student pop. </t>
        </r>
        <r>
          <rPr>
            <b/>
            <i/>
            <sz val="10"/>
            <color indexed="81"/>
            <rFont val="Tahoma"/>
            <family val="2"/>
          </rPr>
          <t xml:space="preserve">
</t>
        </r>
      </text>
    </comment>
    <comment ref="A160" authorId="9">
      <text>
        <r>
          <rPr>
            <b/>
            <sz val="11"/>
            <color indexed="81"/>
            <rFont val="Tahoma"/>
            <family val="2"/>
          </rPr>
          <t>Karen Ramsay:</t>
        </r>
        <r>
          <rPr>
            <sz val="11"/>
            <color indexed="81"/>
            <rFont val="Tahoma"/>
            <family val="2"/>
          </rPr>
          <t xml:space="preserve">
Calendar yr for Bryant &amp; RWU; Fiscal yr for JWU
Proposed renewal option
Membership period – 
2010 -2011 – Price – 14,000
2011 -2012 – Price – 14,000
No price increase for Second Year.
Package to include access to the following 
700+ US Industry Market Research 
40-60 pages each, 5-digit NAICS level
300+ Business Environment Reports NEW and Free with this package.
Key sensitivities including interest rates, commodity prices, demographics, economic data and trends
8000+ Company Profiles 
Financial data about publicly traded companies, sourced via  Hemscott/Morningstar
65 Global Reports – New with this year
Industry Research reports analyzing 65 global industries
700+ US Industry Risk Ratings (forward-looking analysis of Key Sensitivities, Structural Risk, and Growth Risk affecting every industry in the US economy)
150 China Reports: NEW with this year
Industry research reports analyzing 125 industries in China. 50 additional industries are scheduled for release in 2010.
700+ iExpert 1-page Call Briefs – 
New and Free with this package 
Industry snapshot, provides major threats, opportunities, and issues Facing every industry
Dedicated Client Relationship Manager
Terrance Pires – 201 795 2053 / Terrancep@ibisworld.com</t>
        </r>
      </text>
    </comment>
    <comment ref="D160" authorId="0">
      <text>
        <r>
          <rPr>
            <b/>
            <sz val="11"/>
            <color indexed="81"/>
            <rFont val="Tahoma"/>
            <family val="2"/>
          </rPr>
          <t xml:space="preserve">
</t>
        </r>
        <r>
          <rPr>
            <b/>
            <sz val="14"/>
            <color indexed="81"/>
            <rFont val="Tahoma"/>
            <family val="2"/>
          </rPr>
          <t xml:space="preserve">JWU=14,842
</t>
        </r>
        <r>
          <rPr>
            <b/>
            <sz val="11"/>
            <color indexed="81"/>
            <rFont val="Tahoma"/>
            <family val="2"/>
          </rPr>
          <t xml:space="preserve">
</t>
        </r>
        <r>
          <rPr>
            <b/>
            <sz val="16"/>
            <color indexed="81"/>
            <rFont val="Tahoma"/>
            <family val="2"/>
          </rPr>
          <t>IBISWorld</t>
        </r>
        <r>
          <rPr>
            <b/>
            <sz val="11"/>
            <color indexed="81"/>
            <rFont val="Tahoma"/>
            <family val="2"/>
          </rPr>
          <t xml:space="preserve">
</t>
        </r>
        <r>
          <rPr>
            <b/>
            <sz val="14"/>
            <color indexed="10"/>
            <rFont val="Tahoma"/>
            <family val="2"/>
          </rPr>
          <t xml:space="preserve">2010-2011 Pricing (3/3/2010): </t>
        </r>
        <r>
          <rPr>
            <b/>
            <sz val="14"/>
            <color indexed="12"/>
            <rFont val="Tahoma"/>
            <family val="2"/>
          </rPr>
          <t xml:space="preserve">
</t>
        </r>
        <r>
          <rPr>
            <b/>
            <sz val="14"/>
            <color indexed="8"/>
            <rFont val="Tahoma"/>
            <family val="2"/>
          </rPr>
          <t>Vendor contact:</t>
        </r>
        <r>
          <rPr>
            <b/>
            <sz val="14"/>
            <color indexed="12"/>
            <rFont val="Tahoma"/>
            <family val="2"/>
          </rPr>
          <t xml:space="preserve"> </t>
        </r>
        <r>
          <rPr>
            <b/>
            <sz val="14"/>
            <color indexed="8"/>
            <rFont val="Tahoma"/>
            <family val="2"/>
          </rPr>
          <t xml:space="preserve">Terry Pires (terrancep@ibisworld.com) </t>
        </r>
        <r>
          <rPr>
            <b/>
            <sz val="14"/>
            <color indexed="10"/>
            <rFont val="Tahoma"/>
            <family val="2"/>
          </rPr>
          <t>3/3/2010</t>
        </r>
        <r>
          <rPr>
            <b/>
            <sz val="14"/>
            <color indexed="81"/>
            <rFont val="Tahoma"/>
            <family val="2"/>
          </rPr>
          <t xml:space="preserve">
</t>
        </r>
        <r>
          <rPr>
            <b/>
            <u/>
            <sz val="16"/>
            <color indexed="81"/>
            <rFont val="Tahoma"/>
            <family val="2"/>
          </rPr>
          <t>Option #1</t>
        </r>
        <r>
          <rPr>
            <b/>
            <sz val="16"/>
            <color indexed="81"/>
            <rFont val="Tahoma"/>
            <family val="2"/>
          </rPr>
          <t xml:space="preserve"> (one-yr. contract)</t>
        </r>
        <r>
          <rPr>
            <b/>
            <sz val="11"/>
            <color indexed="81"/>
            <rFont val="Tahoma"/>
            <family val="2"/>
          </rPr>
          <t xml:space="preserve">
</t>
        </r>
        <r>
          <rPr>
            <b/>
            <sz val="14"/>
            <color indexed="81"/>
            <rFont val="Tahoma"/>
            <family val="2"/>
          </rPr>
          <t xml:space="preserve">Membership period: 
June 30, 2010 – June 30, 2011:  </t>
        </r>
        <r>
          <rPr>
            <b/>
            <sz val="14"/>
            <color indexed="8"/>
            <rFont val="Tahoma"/>
            <family val="2"/>
          </rPr>
          <t>Price  $14,850</t>
        </r>
        <r>
          <rPr>
            <b/>
            <sz val="11"/>
            <color indexed="81"/>
            <rFont val="Tahoma"/>
            <family val="2"/>
          </rPr>
          <t xml:space="preserve">
</t>
        </r>
        <r>
          <rPr>
            <b/>
            <u/>
            <sz val="14"/>
            <color indexed="81"/>
            <rFont val="Tahoma"/>
            <family val="2"/>
          </rPr>
          <t>Content</t>
        </r>
        <r>
          <rPr>
            <b/>
            <sz val="14"/>
            <color indexed="81"/>
            <rFont val="Tahoma"/>
            <family val="2"/>
          </rPr>
          <t>:</t>
        </r>
        <r>
          <rPr>
            <b/>
            <sz val="11"/>
            <color indexed="81"/>
            <rFont val="Tahoma"/>
            <family val="2"/>
          </rPr>
          <t xml:space="preserve">
</t>
        </r>
        <r>
          <rPr>
            <b/>
            <sz val="14"/>
            <color indexed="81"/>
            <rFont val="Tahoma"/>
            <family val="2"/>
          </rPr>
          <t xml:space="preserve">US Industry Market Research 
Business Environment Reports
Company Profiles 
Global Reports 
US Industry Risk Ratings </t>
        </r>
        <r>
          <rPr>
            <b/>
            <sz val="11"/>
            <color indexed="81"/>
            <rFont val="Tahoma"/>
            <family val="2"/>
          </rPr>
          <t xml:space="preserve">
</t>
        </r>
        <r>
          <rPr>
            <b/>
            <sz val="14"/>
            <color indexed="81"/>
            <rFont val="Tahoma"/>
            <family val="2"/>
          </rPr>
          <t xml:space="preserve">
</t>
        </r>
        <r>
          <rPr>
            <b/>
            <u/>
            <sz val="16"/>
            <color indexed="81"/>
            <rFont val="Tahoma"/>
            <family val="2"/>
          </rPr>
          <t>Option #2</t>
        </r>
        <r>
          <rPr>
            <b/>
            <sz val="16"/>
            <color indexed="81"/>
            <rFont val="Tahoma"/>
            <family val="2"/>
          </rPr>
          <t xml:space="preserve"> (two-yr. contract)</t>
        </r>
        <r>
          <rPr>
            <b/>
            <sz val="14"/>
            <color indexed="81"/>
            <rFont val="Tahoma"/>
            <family val="2"/>
          </rPr>
          <t xml:space="preserve">
Membership period: 
June 30, 2010 -2011:   </t>
        </r>
        <r>
          <rPr>
            <b/>
            <sz val="14"/>
            <color indexed="8"/>
            <rFont val="Tahoma"/>
            <family val="2"/>
          </rPr>
          <t>Price $15,500</t>
        </r>
        <r>
          <rPr>
            <b/>
            <sz val="14"/>
            <color indexed="81"/>
            <rFont val="Tahoma"/>
            <family val="2"/>
          </rPr>
          <t xml:space="preserve">
June 30, 2011 -2012:   Price $15,500
No price increase for Second Year.</t>
        </r>
        <r>
          <rPr>
            <b/>
            <sz val="14"/>
            <color indexed="81"/>
            <rFont val="Arial"/>
            <family val="2"/>
          </rPr>
          <t xml:space="preserve">
</t>
        </r>
        <r>
          <rPr>
            <b/>
            <sz val="14"/>
            <color indexed="81"/>
            <rFont val="Tahoma"/>
            <family val="2"/>
          </rPr>
          <t xml:space="preserve">
</t>
        </r>
        <r>
          <rPr>
            <b/>
            <u/>
            <sz val="14"/>
            <color indexed="81"/>
            <rFont val="Tahoma"/>
            <family val="2"/>
          </rPr>
          <t>Content</t>
        </r>
        <r>
          <rPr>
            <b/>
            <sz val="14"/>
            <color indexed="81"/>
            <rFont val="Tahoma"/>
            <family val="2"/>
          </rPr>
          <t xml:space="preserve">:
US Industry Market Research 
Business Environment Reports
Company Profiles 
Global Reports 
US Industry Risk Ratings 
China Reports
iExpert 1-page Call Briefs –  NEW
(Industry snapshot, provides major threats, opportunities, and issues Facing every industry)
------------------------------------------------------------------------------------------------------
</t>
        </r>
        <r>
          <rPr>
            <b/>
            <sz val="12"/>
            <color indexed="81"/>
            <rFont val="Tahoma"/>
            <family val="2"/>
          </rPr>
          <t xml:space="preserve">2009-2010 subs. content:  Basic 700+ Industry Reports, plus 3 add-on modules: (1) Global Reports, (2) Business Environment, and (3) Industry Risk Ratings.   For 3 JWU campuses.
</t>
        </r>
        <r>
          <rPr>
            <b/>
            <sz val="10"/>
            <color indexed="81"/>
            <rFont val="Tahoma"/>
            <family val="2"/>
          </rPr>
          <t xml:space="preserve">
</t>
        </r>
        <r>
          <rPr>
            <b/>
            <sz val="12"/>
            <color indexed="81"/>
            <rFont val="Tahoma"/>
            <family val="2"/>
          </rPr>
          <t>History:
JWU subscribed directly in 2008-09 @ $9,500  (Basic 700+ Industry Reports, plus Global Reports add-on) for 3 JWU campuses, but would now like pricing through HELIN and/or moved to HELIN account.</t>
        </r>
        <r>
          <rPr>
            <b/>
            <i/>
            <sz val="12"/>
            <color indexed="81"/>
            <rFont val="Tahoma"/>
            <family val="2"/>
          </rPr>
          <t xml:space="preserve">  </t>
        </r>
        <r>
          <rPr>
            <b/>
            <sz val="12"/>
            <color indexed="81"/>
            <rFont val="Tahoma"/>
            <family val="2"/>
          </rPr>
          <t xml:space="preserve">In 2008, vendor based pricing on a FLAT FEE instead of FTE.  As an introductory offer, vendor used just the number of JWU's business school students (4,159) instead of the entire student pop. </t>
        </r>
        <r>
          <rPr>
            <b/>
            <i/>
            <sz val="10"/>
            <color indexed="81"/>
            <rFont val="Tahoma"/>
            <family val="2"/>
          </rPr>
          <t xml:space="preserve">
</t>
        </r>
      </text>
    </comment>
    <comment ref="I161" authorId="0">
      <text>
        <r>
          <rPr>
            <b/>
            <sz val="11"/>
            <color indexed="81"/>
            <rFont val="Tahoma"/>
            <family val="2"/>
          </rPr>
          <t>Includes subscription to IEEE Spectrum
per Joe Vaitkus of IEEE:
probably no more 4% inc.</t>
        </r>
      </text>
    </comment>
    <comment ref="A164" authorId="0">
      <text>
        <r>
          <rPr>
            <b/>
            <sz val="11"/>
            <color indexed="81"/>
            <rFont val="Tahoma"/>
            <family val="2"/>
          </rPr>
          <t>Unlimited users and remote access</t>
        </r>
      </text>
    </comment>
    <comment ref="A165" authorId="0">
      <text>
        <r>
          <rPr>
            <b/>
            <sz val="11"/>
            <color indexed="81"/>
            <rFont val="Tahoma"/>
            <family val="2"/>
          </rPr>
          <t>Unlimited users and remote access</t>
        </r>
      </text>
    </comment>
    <comment ref="A167" authorId="0">
      <text>
        <r>
          <rPr>
            <b/>
            <sz val="11"/>
            <color indexed="81"/>
            <rFont val="Tahoma"/>
            <family val="2"/>
          </rPr>
          <t>Includes:
World News Digest
Issues and Controversies
Today''s Science</t>
        </r>
      </text>
    </comment>
    <comment ref="B170" authorId="4">
      <text>
        <r>
          <rPr>
            <sz val="11"/>
            <color indexed="81"/>
            <rFont val="Tahoma"/>
            <family val="2"/>
          </rPr>
          <t>Subcribe directly</t>
        </r>
        <r>
          <rPr>
            <sz val="8"/>
            <color indexed="81"/>
            <rFont val="Tahoma"/>
            <family val="2"/>
          </rPr>
          <t xml:space="preserve">
</t>
        </r>
      </text>
    </comment>
    <comment ref="C170" authorId="0">
      <text>
        <r>
          <rPr>
            <b/>
            <sz val="11"/>
            <color indexed="81"/>
            <rFont val="Tahoma"/>
            <family val="2"/>
          </rPr>
          <t>Art&amp;Sci III only
AAF only
NOTE: Community Colleges pay one ACF of $1,000 for the first collection only along with an AAF, and then an AAF only for each subsequent collection</t>
        </r>
      </text>
    </comment>
    <comment ref="D170" authorId="0">
      <text>
        <r>
          <rPr>
            <b/>
            <sz val="14"/>
            <color indexed="81"/>
            <rFont val="Tahoma"/>
            <family val="2"/>
          </rPr>
          <t xml:space="preserve">
JWU=11,406</t>
        </r>
        <r>
          <rPr>
            <b/>
            <sz val="11"/>
            <color indexed="81"/>
            <rFont val="Tahoma"/>
            <family val="2"/>
          </rPr>
          <t xml:space="preserve">
</t>
        </r>
        <r>
          <rPr>
            <b/>
            <sz val="14"/>
            <color indexed="81"/>
            <rFont val="Tahoma"/>
            <family val="2"/>
          </rPr>
          <t>Art&amp;Sci IV only 
AAF only</t>
        </r>
      </text>
    </comment>
    <comment ref="E170" authorId="0">
      <text>
        <r>
          <rPr>
            <b/>
            <sz val="11"/>
            <color indexed="81"/>
            <rFont val="Tahoma"/>
            <family val="2"/>
          </rPr>
          <t>Renew Arts&amp;Sciences I-V, complement, Life Sciences, &amp; Business II 
AAF only</t>
        </r>
      </text>
    </comment>
    <comment ref="F170" authorId="11">
      <text>
        <r>
          <rPr>
            <b/>
            <sz val="10"/>
            <color indexed="81"/>
            <rFont val="Tahoma"/>
            <family val="2"/>
          </rPr>
          <t>Rhode Island College:</t>
        </r>
        <r>
          <rPr>
            <sz val="10"/>
            <color indexed="81"/>
            <rFont val="Tahoma"/>
            <family val="2"/>
          </rPr>
          <t xml:space="preserve">
</t>
        </r>
        <r>
          <rPr>
            <b/>
            <sz val="12"/>
            <color indexed="81"/>
            <rFont val="Tahoma"/>
            <family val="2"/>
          </rPr>
          <t>Renew Arts&amp;Sciences I-V, and Complement : AAF only
For new purchase of Arts &amp; Sciences VI:
ACF $6000 (one time charge)
AAF $3500 (annual fee)</t>
        </r>
      </text>
    </comment>
    <comment ref="G170" authorId="4">
      <text>
        <r>
          <rPr>
            <sz val="11"/>
            <color indexed="81"/>
            <rFont val="Tahoma"/>
            <family val="2"/>
          </rPr>
          <t>Subcribe directly</t>
        </r>
        <r>
          <rPr>
            <sz val="8"/>
            <color indexed="81"/>
            <rFont val="Tahoma"/>
            <family val="2"/>
          </rPr>
          <t xml:space="preserve">
</t>
        </r>
      </text>
    </comment>
    <comment ref="H170" authorId="4">
      <text>
        <r>
          <rPr>
            <sz val="11"/>
            <color indexed="81"/>
            <rFont val="Tahoma"/>
            <family val="2"/>
          </rPr>
          <t>Subcribe directly</t>
        </r>
        <r>
          <rPr>
            <sz val="8"/>
            <color indexed="81"/>
            <rFont val="Tahoma"/>
            <family val="2"/>
          </rPr>
          <t xml:space="preserve">
</t>
        </r>
      </text>
    </comment>
    <comment ref="I170" authorId="6">
      <text>
        <r>
          <rPr>
            <b/>
            <sz val="11"/>
            <color indexed="81"/>
            <rFont val="Arial"/>
            <family val="2"/>
          </rPr>
          <t>Renew All collections: 
Arts&amp;Sciences I-VI &amp; complement, Business, Life Sciences, etc.
AAF only</t>
        </r>
        <r>
          <rPr>
            <sz val="12"/>
            <color indexed="81"/>
            <rFont val="Arial"/>
            <family val="2"/>
          </rPr>
          <t xml:space="preserve">
</t>
        </r>
      </text>
    </comment>
    <comment ref="J170" authorId="4">
      <text>
        <r>
          <rPr>
            <sz val="11"/>
            <color indexed="81"/>
            <rFont val="Tahoma"/>
            <family val="2"/>
          </rPr>
          <t>Subcribe directly</t>
        </r>
        <r>
          <rPr>
            <sz val="8"/>
            <color indexed="81"/>
            <rFont val="Tahoma"/>
            <family val="2"/>
          </rPr>
          <t xml:space="preserve">
</t>
        </r>
      </text>
    </comment>
    <comment ref="D174" authorId="3">
      <text>
        <r>
          <rPr>
            <b/>
            <sz val="14"/>
            <color indexed="81"/>
            <rFont val="Tahoma"/>
            <family val="2"/>
          </rPr>
          <t xml:space="preserve">
JWU=12,846</t>
        </r>
        <r>
          <rPr>
            <b/>
            <sz val="12"/>
            <color indexed="81"/>
            <rFont val="Tahoma"/>
            <family val="2"/>
          </rPr>
          <t xml:space="preserve">
</t>
        </r>
        <r>
          <rPr>
            <b/>
            <sz val="12"/>
            <color indexed="12"/>
            <rFont val="Tahoma"/>
            <family val="2"/>
          </rPr>
          <t>2010-2011: 
12 simul. users to be shared among 3 JWU campuses.</t>
        </r>
        <r>
          <rPr>
            <b/>
            <sz val="12"/>
            <color indexed="81"/>
            <rFont val="Tahoma"/>
            <family val="2"/>
          </rPr>
          <t xml:space="preserve">
</t>
        </r>
        <r>
          <rPr>
            <sz val="12"/>
            <color indexed="81"/>
            <rFont val="Tahoma"/>
            <family val="2"/>
          </rPr>
          <t>2009-2010:
12 simultaneous users among 4 JWU campuses confirmed by Rosie 4/30/09.</t>
        </r>
        <r>
          <rPr>
            <b/>
            <sz val="12"/>
            <color indexed="81"/>
            <rFont val="Tahoma"/>
            <family val="2"/>
          </rPr>
          <t xml:space="preserve">
12-simultaneous users                     $4,885.00
</t>
        </r>
      </text>
    </comment>
    <comment ref="A176" authorId="0">
      <text>
        <r>
          <rPr>
            <b/>
            <sz val="11"/>
            <color indexed="81"/>
            <rFont val="Tahoma"/>
            <family val="2"/>
          </rPr>
          <t>Web of Knowledge interface</t>
        </r>
      </text>
    </comment>
    <comment ref="E177" authorId="12">
      <text>
        <r>
          <rPr>
            <b/>
            <sz val="9"/>
            <color indexed="81"/>
            <rFont val="Tahoma"/>
            <family val="2"/>
          </rPr>
          <t>Karen:</t>
        </r>
        <r>
          <rPr>
            <sz val="9"/>
            <color indexed="81"/>
            <rFont val="Tahoma"/>
            <family val="2"/>
          </rPr>
          <t xml:space="preserve">
Includes Cell Press</t>
        </r>
      </text>
    </comment>
    <comment ref="I177" authorId="12">
      <text>
        <r>
          <rPr>
            <b/>
            <sz val="11"/>
            <color indexed="81"/>
            <rFont val="Tahoma"/>
            <family val="2"/>
          </rPr>
          <t xml:space="preserve">Karen: Science Direct Collections $534,900.82
Freedom Collection $37,923.60
</t>
        </r>
        <r>
          <rPr>
            <sz val="11"/>
            <color indexed="81"/>
            <rFont val="Tahoma"/>
            <family val="2"/>
          </rPr>
          <t xml:space="preserve">
</t>
        </r>
      </text>
    </comment>
    <comment ref="A178" authorId="0">
      <text>
        <r>
          <rPr>
            <b/>
            <sz val="11"/>
            <color indexed="81"/>
            <rFont val="Tahoma"/>
            <family val="2"/>
          </rPr>
          <t>Includes subscription to World Data Analyst</t>
        </r>
      </text>
    </comment>
    <comment ref="A179" authorId="0">
      <text>
        <r>
          <rPr>
            <b/>
            <sz val="11"/>
            <color indexed="81"/>
            <rFont val="Tahoma"/>
            <family val="2"/>
          </rPr>
          <t>pricing done with Lyrasis formula which is $1.875 per fte</t>
        </r>
      </text>
    </comment>
    <comment ref="B179" authorId="4">
      <text>
        <r>
          <rPr>
            <sz val="11"/>
            <color indexed="81"/>
            <rFont val="Tahoma"/>
            <family val="2"/>
          </rPr>
          <t>Direct via NELINET</t>
        </r>
        <r>
          <rPr>
            <sz val="8"/>
            <color indexed="81"/>
            <rFont val="Tahoma"/>
            <family val="2"/>
          </rPr>
          <t xml:space="preserve">
</t>
        </r>
      </text>
    </comment>
    <comment ref="D179"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F180" authorId="11">
      <text>
        <r>
          <rPr>
            <b/>
            <sz val="10"/>
            <color indexed="81"/>
            <rFont val="Tahoma"/>
            <family val="2"/>
          </rPr>
          <t>Rhode Island College:</t>
        </r>
        <r>
          <rPr>
            <sz val="10"/>
            <color indexed="81"/>
            <rFont val="Tahoma"/>
            <family val="2"/>
          </rPr>
          <t xml:space="preserve">
subscribes to LN Congressional through Lyrasis and we want to switch to HELIN. Last year we paid 
LexisNexis Congressional     $3,762.72        
LexisNexis Congressional Indexes   $1,125.00        
</t>
        </r>
      </text>
    </comment>
    <comment ref="A181" authorId="13">
      <text>
        <r>
          <rPr>
            <b/>
            <sz val="8"/>
            <color indexed="81"/>
            <rFont val="Tahoma"/>
            <family val="2"/>
          </rPr>
          <t>Maria Brady:</t>
        </r>
        <r>
          <rPr>
            <sz val="8"/>
            <color indexed="81"/>
            <rFont val="Tahoma"/>
            <family val="2"/>
          </rPr>
          <t xml:space="preserve">
</t>
        </r>
        <r>
          <rPr>
            <b/>
            <sz val="12"/>
            <color indexed="81"/>
            <rFont val="Arial"/>
            <family val="2"/>
          </rPr>
          <t>FLAT PRICING ALL USERS</t>
        </r>
      </text>
    </comment>
    <comment ref="F181" authorId="1">
      <text>
        <r>
          <rPr>
            <b/>
            <sz val="8"/>
            <color indexed="81"/>
            <rFont val="Tahoma"/>
            <family val="2"/>
          </rPr>
          <t>Martha:</t>
        </r>
        <r>
          <rPr>
            <sz val="8"/>
            <color indexed="81"/>
            <rFont val="Tahoma"/>
            <family val="2"/>
          </rPr>
          <t xml:space="preserve">
Moved from direct to HELIN with 2011 renewal</t>
        </r>
      </text>
    </comment>
    <comment ref="F182" authorId="6">
      <text>
        <r>
          <rPr>
            <b/>
            <sz val="11"/>
            <color indexed="81"/>
            <rFont val="Arial"/>
            <family val="2"/>
          </rPr>
          <t xml:space="preserve"> 10 simult. users</t>
        </r>
      </text>
    </comment>
    <comment ref="H182" authorId="6">
      <text>
        <r>
          <rPr>
            <b/>
            <sz val="11"/>
            <color indexed="81"/>
            <rFont val="Arial"/>
            <family val="2"/>
          </rPr>
          <t>10 simult. users</t>
        </r>
      </text>
    </comment>
    <comment ref="F186" authorId="10">
      <text>
        <r>
          <rPr>
            <b/>
            <sz val="11"/>
            <color indexed="81"/>
            <rFont val="Tahoma"/>
            <family val="2"/>
          </rPr>
          <t>1 user</t>
        </r>
      </text>
    </comment>
    <comment ref="A187" authorId="0">
      <text>
        <r>
          <rPr>
            <b/>
            <sz val="11"/>
            <color indexed="81"/>
            <rFont val="Tahoma"/>
            <family val="2"/>
          </rPr>
          <t>unlimited users</t>
        </r>
      </text>
    </comment>
    <comment ref="B187" authorId="4">
      <text>
        <r>
          <rPr>
            <sz val="11"/>
            <color indexed="81"/>
            <rFont val="Tahoma"/>
            <family val="2"/>
          </rPr>
          <t>Direct via NELINET</t>
        </r>
        <r>
          <rPr>
            <sz val="8"/>
            <color indexed="81"/>
            <rFont val="Tahoma"/>
            <family val="2"/>
          </rPr>
          <t xml:space="preserve">
</t>
        </r>
      </text>
    </comment>
    <comment ref="C188" authorId="14">
      <text>
        <r>
          <rPr>
            <b/>
            <sz val="11"/>
            <color indexed="81"/>
            <rFont val="Tahoma"/>
            <family val="2"/>
          </rPr>
          <t>unlimited</t>
        </r>
      </text>
    </comment>
    <comment ref="E188" authorId="0">
      <text>
        <r>
          <rPr>
            <b/>
            <sz val="11"/>
            <color indexed="81"/>
            <rFont val="Tahoma"/>
            <family val="2"/>
          </rPr>
          <t>4-5 simult. users</t>
        </r>
      </text>
    </comment>
    <comment ref="F188" authorId="10">
      <text>
        <r>
          <rPr>
            <b/>
            <sz val="11"/>
            <color indexed="81"/>
            <rFont val="Tahoma"/>
            <family val="2"/>
          </rPr>
          <t>6-8 users</t>
        </r>
      </text>
    </comment>
    <comment ref="G188" authorId="10">
      <text>
        <r>
          <rPr>
            <b/>
            <sz val="11"/>
            <color indexed="81"/>
            <rFont val="Tahoma"/>
            <family val="2"/>
          </rPr>
          <t xml:space="preserve">Unlimited
</t>
        </r>
      </text>
    </comment>
    <comment ref="I188" authorId="1">
      <text>
        <r>
          <rPr>
            <b/>
            <sz val="8"/>
            <color indexed="81"/>
            <rFont val="Tahoma"/>
            <family val="2"/>
          </rPr>
          <t>Martha:</t>
        </r>
        <r>
          <rPr>
            <b/>
            <sz val="11"/>
            <color indexed="81"/>
            <rFont val="Tahoma"/>
            <family val="2"/>
          </rPr>
          <t xml:space="preserve">
</t>
        </r>
        <r>
          <rPr>
            <sz val="8"/>
            <color indexed="81"/>
            <rFont val="Tahoma"/>
            <family val="2"/>
          </rPr>
          <t xml:space="preserve">
</t>
        </r>
        <r>
          <rPr>
            <b/>
            <sz val="10"/>
            <color indexed="81"/>
            <rFont val="Tahoma"/>
            <family val="2"/>
          </rPr>
          <t>$1485  1 user
$5930.00 unlimited</t>
        </r>
      </text>
    </comment>
    <comment ref="J188" authorId="14">
      <text>
        <r>
          <rPr>
            <b/>
            <sz val="11"/>
            <color indexed="81"/>
            <rFont val="Tahoma"/>
            <family val="2"/>
          </rPr>
          <t>unlimited</t>
        </r>
      </text>
    </comment>
    <comment ref="E189" authorId="0">
      <text>
        <r>
          <rPr>
            <b/>
            <sz val="11"/>
            <color indexed="81"/>
            <rFont val="Tahoma"/>
            <family val="2"/>
          </rPr>
          <t>3 simult. users</t>
        </r>
      </text>
    </comment>
    <comment ref="F189" authorId="6">
      <text>
        <r>
          <rPr>
            <b/>
            <sz val="11"/>
            <color indexed="81"/>
            <rFont val="Tahoma"/>
            <family val="2"/>
          </rPr>
          <t>1  user</t>
        </r>
      </text>
    </comment>
    <comment ref="C190" authorId="0">
      <text>
        <r>
          <rPr>
            <b/>
            <sz val="11"/>
            <color indexed="81"/>
            <rFont val="Tahoma"/>
            <family val="2"/>
          </rPr>
          <t xml:space="preserve">Purchased in 2007; no hosting fee as long as keep subscription to Ref. Online </t>
        </r>
      </text>
    </comment>
    <comment ref="A191" authorId="0">
      <text>
        <r>
          <rPr>
            <b/>
            <sz val="11"/>
            <color indexed="81"/>
            <rFont val="Tahoma"/>
            <family val="2"/>
          </rPr>
          <t>Unlimited users</t>
        </r>
      </text>
    </comment>
    <comment ref="F192" authorId="10">
      <text>
        <r>
          <rPr>
            <sz val="8"/>
            <color indexed="81"/>
            <rFont val="Tahoma"/>
            <family val="2"/>
          </rPr>
          <t xml:space="preserve">
</t>
        </r>
        <r>
          <rPr>
            <b/>
            <sz val="11"/>
            <color indexed="81"/>
            <rFont val="Tahoma"/>
            <family val="2"/>
          </rPr>
          <t>1 user</t>
        </r>
      </text>
    </comment>
    <comment ref="A193" authorId="0">
      <text>
        <r>
          <rPr>
            <b/>
            <sz val="11"/>
            <color indexed="81"/>
            <rFont val="Tahoma"/>
            <family val="2"/>
          </rPr>
          <t>Unlimited users</t>
        </r>
      </text>
    </comment>
    <comment ref="C194" authorId="1">
      <text>
        <r>
          <rPr>
            <b/>
            <sz val="11"/>
            <color indexed="81"/>
            <rFont val="Tahoma"/>
            <family val="2"/>
          </rPr>
          <t>Martha:</t>
        </r>
        <r>
          <rPr>
            <sz val="11"/>
            <color indexed="81"/>
            <rFont val="Tahoma"/>
            <family val="2"/>
          </rPr>
          <t xml:space="preserve">
CCRI would like pricing for:
2-3 users    $1870.00
4-5 users    $2200.00
unlimited users  $4045.00</t>
        </r>
      </text>
    </comment>
    <comment ref="E194" authorId="0">
      <text>
        <r>
          <rPr>
            <b/>
            <sz val="11"/>
            <color indexed="81"/>
            <rFont val="Tahoma"/>
            <family val="2"/>
          </rPr>
          <t>4-5 simult. users</t>
        </r>
      </text>
    </comment>
    <comment ref="F194" authorId="10">
      <text>
        <r>
          <rPr>
            <b/>
            <sz val="11"/>
            <color indexed="81"/>
            <rFont val="Tahoma"/>
            <family val="2"/>
          </rPr>
          <t>2-3 simult. users</t>
        </r>
      </text>
    </comment>
    <comment ref="G194" authorId="1">
      <text>
        <r>
          <rPr>
            <b/>
            <sz val="8"/>
            <color indexed="81"/>
            <rFont val="Tahoma"/>
            <family val="2"/>
          </rPr>
          <t>Martha:</t>
        </r>
        <r>
          <rPr>
            <sz val="8"/>
            <color indexed="81"/>
            <rFont val="Tahoma"/>
            <family val="2"/>
          </rPr>
          <t xml:space="preserve">
 </t>
        </r>
        <r>
          <rPr>
            <sz val="11"/>
            <color indexed="81"/>
            <rFont val="Tahoma"/>
            <family val="2"/>
          </rPr>
          <t>requested pricing for 1 user</t>
        </r>
      </text>
    </comment>
    <comment ref="I194" authorId="15">
      <text>
        <r>
          <rPr>
            <b/>
            <sz val="11"/>
            <color indexed="81"/>
            <rFont val="Times New Roman"/>
            <family val="1"/>
          </rPr>
          <t>2-3 sim. users</t>
        </r>
      </text>
    </comment>
    <comment ref="J194" authorId="14">
      <text>
        <r>
          <rPr>
            <b/>
            <sz val="11"/>
            <color indexed="81"/>
            <rFont val="Tahoma"/>
            <family val="2"/>
          </rPr>
          <t>unlimited</t>
        </r>
      </text>
    </comment>
    <comment ref="G195" authorId="15">
      <text>
        <r>
          <rPr>
            <b/>
            <sz val="12"/>
            <color indexed="81"/>
            <rFont val="Times New Roman"/>
            <family val="1"/>
          </rPr>
          <t>2-5 users</t>
        </r>
      </text>
    </comment>
    <comment ref="I195" authorId="15">
      <text>
        <r>
          <rPr>
            <b/>
            <sz val="12"/>
            <color indexed="81"/>
            <rFont val="Times New Roman"/>
            <family val="1"/>
          </rPr>
          <t>2-5 users</t>
        </r>
      </text>
    </comment>
    <comment ref="C196" authorId="0">
      <text>
        <r>
          <rPr>
            <b/>
            <sz val="11"/>
            <color indexed="81"/>
            <rFont val="Tahoma"/>
            <family val="2"/>
          </rPr>
          <t>Premium collection
On original spreadsheet was $2437.50</t>
        </r>
      </text>
    </comment>
    <comment ref="E196" authorId="0">
      <text>
        <r>
          <rPr>
            <b/>
            <sz val="11"/>
            <color indexed="81"/>
            <rFont val="Tahoma"/>
            <family val="2"/>
          </rPr>
          <t>Premium collection
unlimited users</t>
        </r>
      </text>
    </comment>
    <comment ref="F196" authorId="6">
      <text>
        <r>
          <rPr>
            <b/>
            <sz val="11"/>
            <color indexed="81"/>
            <rFont val="Tahoma"/>
            <family val="2"/>
          </rPr>
          <t>Premium collection
2-5 simult. users</t>
        </r>
      </text>
    </comment>
    <comment ref="G196" authorId="0">
      <text>
        <r>
          <rPr>
            <b/>
            <sz val="11"/>
            <color indexed="81"/>
            <rFont val="Tahoma"/>
            <family val="2"/>
          </rPr>
          <t>Premium collection
unlim. users</t>
        </r>
      </text>
    </comment>
    <comment ref="F197" authorId="14">
      <text>
        <r>
          <rPr>
            <b/>
            <sz val="11"/>
            <color indexed="81"/>
            <rFont val="Tahoma"/>
            <family val="2"/>
          </rPr>
          <t>Literature module
1 user
ESTIMATED COST</t>
        </r>
      </text>
    </comment>
    <comment ref="A198" authorId="0">
      <text>
        <r>
          <rPr>
            <b/>
            <sz val="11"/>
            <color indexed="81"/>
            <rFont val="Tahoma"/>
            <family val="2"/>
          </rPr>
          <t>Per ProjectMUSE:
6% for the Premium Collection, and no more than 4% for all other collections</t>
        </r>
      </text>
    </comment>
    <comment ref="E198" authorId="0">
      <text>
        <r>
          <rPr>
            <b/>
            <sz val="11"/>
            <color indexed="81"/>
            <rFont val="Tahoma"/>
            <family val="2"/>
          </rPr>
          <t xml:space="preserve">Premium Collection
</t>
        </r>
      </text>
    </comment>
    <comment ref="F198" authorId="0">
      <text>
        <r>
          <rPr>
            <b/>
            <sz val="11"/>
            <color indexed="81"/>
            <rFont val="Tahoma"/>
            <family val="2"/>
          </rPr>
          <t xml:space="preserve">Basic Research
</t>
        </r>
      </text>
    </comment>
    <comment ref="G198" authorId="0">
      <text>
        <r>
          <rPr>
            <b/>
            <sz val="11"/>
            <color indexed="81"/>
            <rFont val="Tahoma"/>
            <family val="2"/>
          </rPr>
          <t xml:space="preserve">Standard Collection
</t>
        </r>
      </text>
    </comment>
    <comment ref="H198" authorId="0">
      <text>
        <r>
          <rPr>
            <b/>
            <sz val="11"/>
            <color indexed="81"/>
            <rFont val="Tahoma"/>
            <family val="2"/>
          </rPr>
          <t xml:space="preserve">Basic College Collection
</t>
        </r>
      </text>
    </comment>
    <comment ref="I198" authorId="0">
      <text>
        <r>
          <rPr>
            <b/>
            <sz val="11"/>
            <color indexed="81"/>
            <rFont val="Tahoma"/>
            <family val="2"/>
          </rPr>
          <t xml:space="preserve">Premium Collection
</t>
        </r>
      </text>
    </comment>
    <comment ref="J198" authorId="0">
      <text>
        <r>
          <rPr>
            <b/>
            <sz val="11"/>
            <color indexed="81"/>
            <rFont val="Tahoma"/>
            <family val="2"/>
          </rPr>
          <t xml:space="preserve">Premium Collection
</t>
        </r>
      </text>
    </comment>
    <comment ref="A199" authorId="0">
      <text>
        <r>
          <rPr>
            <b/>
            <sz val="8"/>
            <color indexed="81"/>
            <rFont val="Tahoma"/>
            <family val="2"/>
          </rPr>
          <t xml:space="preserve"> User:</t>
        </r>
        <r>
          <rPr>
            <sz val="8"/>
            <color indexed="81"/>
            <rFont val="Tahoma"/>
            <family val="2"/>
          </rPr>
          <t xml:space="preserve">
</t>
        </r>
        <r>
          <rPr>
            <sz val="11"/>
            <color indexed="81"/>
            <rFont val="Tahoma"/>
            <family val="2"/>
          </rPr>
          <t>Inc. HELIN discount</t>
        </r>
      </text>
    </comment>
    <comment ref="B199" authorId="1">
      <text>
        <r>
          <rPr>
            <b/>
            <sz val="8"/>
            <color indexed="81"/>
            <rFont val="Tahoma"/>
            <family val="2"/>
          </rPr>
          <t>Martha:</t>
        </r>
        <r>
          <rPr>
            <sz val="8"/>
            <color indexed="81"/>
            <rFont val="Tahoma"/>
            <family val="2"/>
          </rPr>
          <t xml:space="preserve">
E</t>
        </r>
        <r>
          <rPr>
            <sz val="11"/>
            <color indexed="81"/>
            <rFont val="Tahoma"/>
            <family val="2"/>
          </rPr>
          <t>mbargoed reports would cost $4,200</t>
        </r>
      </text>
    </comment>
    <comment ref="D199"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G200" authorId="1">
      <text>
        <r>
          <rPr>
            <b/>
            <sz val="8"/>
            <color indexed="81"/>
            <rFont val="Tahoma"/>
            <family val="2"/>
          </rPr>
          <t>Martha:</t>
        </r>
        <r>
          <rPr>
            <sz val="8"/>
            <color indexed="81"/>
            <rFont val="Tahoma"/>
            <family val="2"/>
          </rPr>
          <t xml:space="preserve">
</t>
        </r>
        <r>
          <rPr>
            <sz val="11"/>
            <color indexed="81"/>
            <rFont val="Tahoma"/>
            <family val="2"/>
          </rPr>
          <t>$6000 for 2 years</t>
        </r>
      </text>
    </comment>
    <comment ref="B201" authorId="0">
      <text>
        <r>
          <rPr>
            <b/>
            <sz val="11"/>
            <color indexed="81"/>
            <rFont val="Tahoma"/>
            <family val="2"/>
          </rPr>
          <t>Basic subscription for 1-5 simul. users</t>
        </r>
      </text>
    </comment>
    <comment ref="G201" authorId="0">
      <text>
        <r>
          <rPr>
            <b/>
            <sz val="11"/>
            <color indexed="81"/>
            <rFont val="Tahoma"/>
            <family val="2"/>
          </rPr>
          <t>Full subscription for 11+ users</t>
        </r>
      </text>
    </comment>
    <comment ref="H201" authorId="0">
      <text>
        <r>
          <rPr>
            <b/>
            <sz val="11"/>
            <color indexed="81"/>
            <rFont val="Tahoma"/>
            <family val="2"/>
          </rPr>
          <t>Basic subscription for 1-5 simul. users</t>
        </r>
      </text>
    </comment>
    <comment ref="A203" authorId="0">
      <text>
        <r>
          <rPr>
            <b/>
            <sz val="11"/>
            <color indexed="81"/>
            <rFont val="Tahoma"/>
            <family val="2"/>
          </rPr>
          <t>Unlimited access; willing to discuss simultaneous users/seats if desire</t>
        </r>
        <r>
          <rPr>
            <sz val="11"/>
            <color indexed="81"/>
            <rFont val="Tahoma"/>
            <family val="2"/>
          </rPr>
          <t xml:space="preserve">d
</t>
        </r>
      </text>
    </comment>
    <comment ref="B203" authorId="4">
      <text>
        <r>
          <rPr>
            <sz val="11"/>
            <color indexed="81"/>
            <rFont val="Tahoma"/>
            <family val="2"/>
          </rPr>
          <t>Direct</t>
        </r>
      </text>
    </comment>
    <comment ref="G203" authorId="0">
      <text>
        <r>
          <rPr>
            <b/>
            <sz val="11"/>
            <color indexed="81"/>
            <rFont val="Tahoma"/>
            <family val="2"/>
          </rPr>
          <t>license for 1 user</t>
        </r>
      </text>
    </comment>
    <comment ref="C204" authorId="0">
      <text>
        <r>
          <rPr>
            <b/>
            <sz val="11"/>
            <color indexed="81"/>
            <rFont val="Tahoma"/>
            <family val="2"/>
          </rPr>
          <t>annual site license / unlimited access</t>
        </r>
      </text>
    </comment>
    <comment ref="A205" authorId="0">
      <text>
        <r>
          <rPr>
            <b/>
            <sz val="11"/>
            <color indexed="81"/>
            <rFont val="Tahoma"/>
            <family val="2"/>
          </rPr>
          <t>HELIN now gets 15% discount because of no. of participants</t>
        </r>
      </text>
    </comment>
    <comment ref="A206" authorId="0">
      <text>
        <r>
          <rPr>
            <b/>
            <sz val="11"/>
            <color indexed="81"/>
            <rFont val="Tahoma"/>
            <family val="2"/>
          </rPr>
          <t>HELIN now gets 15% discount because of no. of participants</t>
        </r>
      </text>
    </comment>
    <comment ref="D206" authorId="11">
      <text>
        <r>
          <rPr>
            <b/>
            <sz val="14"/>
            <color indexed="81"/>
            <rFont val="Tahoma"/>
            <family val="2"/>
          </rPr>
          <t xml:space="preserve">
JWU=11,406
</t>
        </r>
        <r>
          <rPr>
            <b/>
            <sz val="10"/>
            <color indexed="81"/>
            <rFont val="Tahoma"/>
            <family val="2"/>
          </rPr>
          <t xml:space="preserve">
</t>
        </r>
      </text>
    </comment>
    <comment ref="E206" authorId="11">
      <text>
        <r>
          <rPr>
            <b/>
            <sz val="10"/>
            <color indexed="81"/>
            <rFont val="Tahoma"/>
            <family val="2"/>
          </rPr>
          <t>Providence College
Pricing from Laura Brown:
moved to HELIN 2010/11</t>
        </r>
      </text>
    </comment>
    <comment ref="I206" authorId="0">
      <text>
        <r>
          <rPr>
            <sz val="11"/>
            <color indexed="81"/>
            <rFont val="Tahoma"/>
            <family val="2"/>
          </rPr>
          <t xml:space="preserve">Univ. of RI
Pricing  from Laura Brown
Titles accessed:
Journal of the Operational Research Society -- $1,554
Knowledge Management Research &amp; Practice -- free with JORS (above)
Polity -- $183
</t>
        </r>
      </text>
    </comment>
    <comment ref="A207" authorId="0">
      <text>
        <r>
          <rPr>
            <b/>
            <sz val="11"/>
            <color indexed="81"/>
            <rFont val="Tahoma"/>
            <family val="2"/>
          </rPr>
          <t>Site license for unlimited users</t>
        </r>
      </text>
    </comment>
    <comment ref="A216" authorId="0">
      <text>
        <r>
          <rPr>
            <b/>
            <sz val="11"/>
            <color indexed="81"/>
            <rFont val="Tahoma"/>
            <family val="2"/>
          </rPr>
          <t>Pricing based on Carnegie Classification</t>
        </r>
      </text>
    </comment>
    <comment ref="E216" authorId="0">
      <text>
        <r>
          <rPr>
            <b/>
            <sz val="11"/>
            <color indexed="81"/>
            <rFont val="Tahoma"/>
            <family val="2"/>
          </rPr>
          <t>Legacy pricing as early adopter</t>
        </r>
      </text>
    </comment>
    <comment ref="C217" authorId="1">
      <text>
        <r>
          <rPr>
            <b/>
            <sz val="8"/>
            <color indexed="81"/>
            <rFont val="Tahoma"/>
            <family val="2"/>
          </rPr>
          <t>Martha:</t>
        </r>
        <r>
          <rPr>
            <sz val="8"/>
            <color indexed="81"/>
            <rFont val="Tahoma"/>
            <family val="2"/>
          </rPr>
          <t xml:space="preserve">
 CCRI paid $1917.61 in one-time purchases in 2009/10</t>
        </r>
      </text>
    </comment>
    <comment ref="I235" authorId="16">
      <text>
        <r>
          <rPr>
            <b/>
            <sz val="8"/>
            <color indexed="81"/>
            <rFont val="Tahoma"/>
            <family val="2"/>
          </rPr>
          <t>bdaley:</t>
        </r>
        <r>
          <rPr>
            <sz val="8"/>
            <color indexed="81"/>
            <rFont val="Tahoma"/>
            <family val="2"/>
          </rPr>
          <t xml:space="preserve">
</t>
        </r>
        <r>
          <rPr>
            <sz val="11"/>
            <color indexed="81"/>
            <rFont val="Tahoma"/>
            <family val="2"/>
          </rPr>
          <t>NERLcontent fees:
$12877.50 2011 (plus unknown increase
$6, 938.75 prorated July-Dec. 2010
$150 NERL fee
$1000 PQ Price for access / hosting</t>
        </r>
      </text>
    </comment>
    <comment ref="G239" authorId="17">
      <text>
        <r>
          <rPr>
            <b/>
            <sz val="11"/>
            <color indexed="81"/>
            <rFont val="Tahoma"/>
            <family val="2"/>
          </rPr>
          <t>ProQuest:</t>
        </r>
        <r>
          <rPr>
            <sz val="11"/>
            <color indexed="81"/>
            <rFont val="Tahoma"/>
            <family val="2"/>
          </rPr>
          <t xml:space="preserve">
Included in PQ Central, no pricing. </t>
        </r>
      </text>
    </comment>
    <comment ref="G241" authorId="17">
      <text>
        <r>
          <rPr>
            <b/>
            <sz val="11"/>
            <color indexed="81"/>
            <rFont val="Tahoma"/>
            <family val="2"/>
          </rPr>
          <t>ProQuest:
Includes ABI.</t>
        </r>
      </text>
    </comment>
    <comment ref="A245" authorId="1">
      <text>
        <r>
          <rPr>
            <b/>
            <sz val="8"/>
            <color indexed="81"/>
            <rFont val="Tahoma"/>
            <family val="2"/>
          </rPr>
          <t>Martha:</t>
        </r>
        <r>
          <rPr>
            <sz val="8"/>
            <color indexed="81"/>
            <rFont val="Tahoma"/>
            <family val="2"/>
          </rPr>
          <t xml:space="preserve">
</t>
        </r>
        <r>
          <rPr>
            <sz val="11"/>
            <color indexed="81"/>
            <rFont val="Tahoma"/>
            <family val="2"/>
          </rPr>
          <t>Pricing in cells show 15% HELIN discount that will apply to any individual order of the Current or Historical Boston Globe.
The following additional discounts may apply:
2)      If more than 2 institutions purchase the Historical Boston Globe, a 20% discount would apply to each purchase.
3)      If more than 2 institutions subscribe to the Current Boston Globe, a 25% discount would apply to each subscription.
4)      If an institution purchases the Historical Boston Globe and subscribes to the Current Boston Globe, a 20% discount would apply to the purchase of the Historical BG and a 35% discount would apply to the subscription of the Current BG.</t>
        </r>
      </text>
    </comment>
    <comment ref="D245" authorId="11">
      <text>
        <r>
          <rPr>
            <b/>
            <sz val="14"/>
            <color indexed="81"/>
            <rFont val="Tahoma"/>
            <family val="2"/>
          </rPr>
          <t xml:space="preserve">
JWU=8,970
(Prov. Only)
</t>
        </r>
        <r>
          <rPr>
            <b/>
            <sz val="10"/>
            <color indexed="81"/>
            <rFont val="Tahoma"/>
            <family val="2"/>
          </rPr>
          <t xml:space="preserve">
</t>
        </r>
      </text>
    </comment>
    <comment ref="A246" authorId="1">
      <text>
        <r>
          <rPr>
            <b/>
            <sz val="8"/>
            <color indexed="81"/>
            <rFont val="Tahoma"/>
            <family val="2"/>
          </rPr>
          <t>Martha:</t>
        </r>
        <r>
          <rPr>
            <sz val="8"/>
            <color indexed="81"/>
            <rFont val="Tahoma"/>
            <family val="2"/>
          </rPr>
          <t xml:space="preserve">
</t>
        </r>
        <r>
          <rPr>
            <sz val="11"/>
            <color indexed="81"/>
            <rFont val="Tahoma"/>
            <family val="2"/>
          </rPr>
          <t>Pricing in cells show 15% HELIN discount that will apply to any individual order of the Current or Historical Boston Globe.
The following additional discounts may apply:
2)      If more than 2 institutions purchase the Historical Boston Globe, a 20% discount would apply to each purchase.
3)      If more than 2 institutions subscribe to the Current Boston Globe, a 25% discount would apply to each subscription.
4)      If an institution purchases the Historical Boston Globe and subscribes to the Current Boston Globe, a 20% discount would apply to the purchase of the Historical BG and a 35% discount would apply to the subscription of the Current BG.</t>
        </r>
      </text>
    </comment>
    <comment ref="C246" authorId="16">
      <text>
        <r>
          <rPr>
            <b/>
            <sz val="8"/>
            <color indexed="81"/>
            <rFont val="Tahoma"/>
            <family val="2"/>
          </rPr>
          <t>bdaley:</t>
        </r>
        <r>
          <rPr>
            <sz val="8"/>
            <color indexed="81"/>
            <rFont val="Tahoma"/>
            <family val="2"/>
          </rPr>
          <t xml:space="preserve">
Please see CCRI Tab on Spreadsheet</t>
        </r>
      </text>
    </comment>
    <comment ref="D246" authorId="11">
      <text>
        <r>
          <rPr>
            <b/>
            <sz val="14"/>
            <color indexed="81"/>
            <rFont val="Tahoma"/>
            <family val="2"/>
          </rPr>
          <t xml:space="preserve">
JWU=8,970
(Prov. Only)
</t>
        </r>
        <r>
          <rPr>
            <b/>
            <sz val="10"/>
            <color indexed="81"/>
            <rFont val="Tahoma"/>
            <family val="2"/>
          </rPr>
          <t xml:space="preserve">
</t>
        </r>
      </text>
    </comment>
    <comment ref="F247" authorId="11">
      <text>
        <r>
          <rPr>
            <b/>
            <sz val="10"/>
            <color indexed="81"/>
            <rFont val="Tahoma"/>
            <family val="2"/>
          </rPr>
          <t>Rhode Island College:</t>
        </r>
        <r>
          <rPr>
            <sz val="10"/>
            <color indexed="81"/>
            <rFont val="Tahoma"/>
            <family val="2"/>
          </rPr>
          <t xml:space="preserve">
RIC subscribes to the BG and the NYT digital microfilm direct. Last October we paid for the Boston Globe $5019.42 and for NYT $5139.36. If HELIN can get similar pricing, we would gladly move the subscriptions. JES</t>
        </r>
      </text>
    </comment>
    <comment ref="E248" authorId="16">
      <text>
        <r>
          <rPr>
            <b/>
            <sz val="8"/>
            <color indexed="81"/>
            <rFont val="Tahoma"/>
            <family val="2"/>
          </rPr>
          <t>bdaley:</t>
        </r>
        <r>
          <rPr>
            <sz val="8"/>
            <color indexed="81"/>
            <rFont val="Tahoma"/>
            <family val="2"/>
          </rPr>
          <t xml:space="preserve">
includes MARC Records split with RWU.
Price based on PC and RWU purchasing EEBO</t>
        </r>
      </text>
    </comment>
    <comment ref="G248" authorId="16">
      <text>
        <r>
          <rPr>
            <b/>
            <sz val="8"/>
            <color indexed="81"/>
            <rFont val="Tahoma"/>
            <family val="2"/>
          </rPr>
          <t>bdaley:</t>
        </r>
        <r>
          <rPr>
            <sz val="8"/>
            <color indexed="81"/>
            <rFont val="Tahoma"/>
            <family val="2"/>
          </rPr>
          <t xml:space="preserve">
includes MARC Records split with RWU.
Price based on PC and RWU purchasing EEBO
- $6603 paid as subscription for 2009/2010</t>
        </r>
      </text>
    </comment>
    <comment ref="E250" authorId="16">
      <text>
        <r>
          <rPr>
            <b/>
            <sz val="8"/>
            <color indexed="81"/>
            <rFont val="Tahoma"/>
            <family val="2"/>
          </rPr>
          <t>bdaley:</t>
        </r>
        <r>
          <rPr>
            <sz val="8"/>
            <color indexed="81"/>
            <rFont val="Tahoma"/>
            <family val="2"/>
          </rPr>
          <t xml:space="preserve">
CSF Waived for FY 2011 and FY 2012.  Upon renewal 7/2012 pricing is $982</t>
        </r>
      </text>
    </comment>
    <comment ref="G250" authorId="16">
      <text>
        <r>
          <rPr>
            <b/>
            <sz val="8"/>
            <color indexed="81"/>
            <rFont val="Tahoma"/>
            <family val="2"/>
          </rPr>
          <t>bdaley:</t>
        </r>
        <r>
          <rPr>
            <sz val="8"/>
            <color indexed="81"/>
            <rFont val="Tahoma"/>
            <family val="2"/>
          </rPr>
          <t xml:space="preserve">
CSF Waived for FY 2011 and FY 2012.  Upon renewal 7/2012 pricing is $982</t>
        </r>
      </text>
    </comment>
    <comment ref="D253" authorId="18">
      <text>
        <r>
          <rPr>
            <b/>
            <sz val="10"/>
            <color indexed="81"/>
            <rFont val="Tahoma"/>
            <family val="2"/>
          </rPr>
          <t>Administrator:</t>
        </r>
        <r>
          <rPr>
            <sz val="10"/>
            <color indexed="81"/>
            <rFont val="Tahoma"/>
            <family val="2"/>
          </rPr>
          <t xml:space="preserve">
</t>
        </r>
        <r>
          <rPr>
            <b/>
            <sz val="14"/>
            <color indexed="81"/>
            <rFont val="Tahoma"/>
            <family val="2"/>
          </rPr>
          <t>JWU=11,406</t>
        </r>
        <r>
          <rPr>
            <sz val="10"/>
            <color indexed="81"/>
            <rFont val="Tahoma"/>
            <family val="2"/>
          </rPr>
          <t xml:space="preserve">
</t>
        </r>
        <r>
          <rPr>
            <b/>
            <sz val="16"/>
            <color indexed="81"/>
            <rFont val="Tahoma"/>
            <family val="2"/>
          </rPr>
          <t>ProQuest Dissertations &amp; Theses</t>
        </r>
        <r>
          <rPr>
            <sz val="10"/>
            <color indexed="81"/>
            <rFont val="Tahoma"/>
            <family val="2"/>
          </rPr>
          <t xml:space="preserve">
</t>
        </r>
        <r>
          <rPr>
            <b/>
            <sz val="12"/>
            <color indexed="10"/>
            <rFont val="Tahoma"/>
            <family val="2"/>
          </rPr>
          <t>2010-2011 pricing (2/22/2010)</t>
        </r>
        <r>
          <rPr>
            <sz val="10"/>
            <color indexed="81"/>
            <rFont val="Tahoma"/>
            <family val="2"/>
          </rPr>
          <t xml:space="preserve">
</t>
        </r>
        <r>
          <rPr>
            <sz val="14"/>
            <color indexed="81"/>
            <rFont val="Tahoma"/>
            <family val="2"/>
          </rPr>
          <t xml:space="preserve">The pricing reflects the cost for Johnson &amp; Wales to have access to the A&amp;I and includes 2.7 million searchable citations to dissertation and theses from around the world from 1861 to the present day together with 1.2 million full text dissertations that are available for download in PDF format. Over 2.1 million titles are available for purchase as printed copies. The database offers full text for most of the dissertations added since 1997 and strong retrospective full text coverage for older graduate works.  
Additional database information is on the ProQuest site: http://www.proquest.com/en-US/catalogs/databases/detail/pqdt.shtml
</t>
        </r>
        <r>
          <rPr>
            <b/>
            <sz val="14"/>
            <color indexed="81"/>
            <rFont val="Tahoma"/>
            <family val="2"/>
          </rPr>
          <t>Pricing is based on one of the J&amp;W campuses (Rhode Island) subscribing to PQDT.  Other J&amp;W campuses would be added by IP range.</t>
        </r>
        <r>
          <rPr>
            <sz val="14"/>
            <color indexed="81"/>
            <rFont val="Tahoma"/>
            <family val="2"/>
          </rPr>
          <t xml:space="preserve">
</t>
        </r>
        <r>
          <rPr>
            <b/>
            <sz val="14"/>
            <color indexed="81"/>
            <rFont val="Tahoma"/>
            <family val="2"/>
          </rPr>
          <t>Campus   FTE       Single Site Pricing   Multiple Site Pricing</t>
        </r>
        <r>
          <rPr>
            <sz val="14"/>
            <color indexed="81"/>
            <rFont val="Tahoma"/>
            <family val="2"/>
          </rPr>
          <t xml:space="preserve">
RI            9,796    $5,418.00                     $5,418.00 
CO           1,427    $5,418.00                     $2,438.00 
FL            1,879    $5,418.00                     $2,438.00 
NC           2,403    $5,418.00                     $2,438.00 
All Four Campuses FTE 15,505                  $12,732.00 </t>
        </r>
      </text>
    </comment>
    <comment ref="A255" authorId="1">
      <text>
        <r>
          <rPr>
            <b/>
            <sz val="8"/>
            <color indexed="81"/>
            <rFont val="Tahoma"/>
            <family val="2"/>
          </rPr>
          <t>Martha:</t>
        </r>
        <r>
          <rPr>
            <sz val="8"/>
            <color indexed="81"/>
            <rFont val="Tahoma"/>
            <family val="2"/>
          </rPr>
          <t xml:space="preserve">
</t>
        </r>
        <r>
          <rPr>
            <sz val="11"/>
            <color indexed="81"/>
            <rFont val="Tahoma"/>
            <family val="2"/>
          </rPr>
          <t>formerly held by LexisNexis</t>
        </r>
      </text>
    </comment>
    <comment ref="A259" authorId="19">
      <text>
        <r>
          <rPr>
            <b/>
            <sz val="8"/>
            <color indexed="81"/>
            <rFont val="Tahoma"/>
            <family val="2"/>
          </rPr>
          <t>Dorcas Haller:</t>
        </r>
        <r>
          <rPr>
            <sz val="8"/>
            <color indexed="81"/>
            <rFont val="Tahoma"/>
            <family val="2"/>
          </rPr>
          <t xml:space="preserve">
CCRI would like pricing for NYT, Boston Globe, Hartford Courant, NY Tribune, &amp; Washington Post. We would like to get both the annual subscription rate and the purchase &amp; maintenance fee. I understand that community colleges have a separate pricing structure.</t>
        </r>
      </text>
    </comment>
    <comment ref="C259" authorId="19">
      <text>
        <r>
          <rPr>
            <b/>
            <sz val="8"/>
            <color indexed="81"/>
            <rFont val="Tahoma"/>
            <family val="2"/>
          </rPr>
          <t>Dorcas Haller:</t>
        </r>
        <r>
          <rPr>
            <sz val="8"/>
            <color indexed="81"/>
            <rFont val="Tahoma"/>
            <family val="2"/>
          </rPr>
          <t xml:space="preserve">
</t>
        </r>
        <r>
          <rPr>
            <sz val="11"/>
            <color indexed="81"/>
            <rFont val="Tahoma"/>
            <family val="2"/>
          </rPr>
          <t>Subscription pricing:
$4792 NYT
$2712 Boston Globe
$3694 Hartford Courant
$2583 NY Tribune
$2712 Washington Post
. We would like to get both the annual subscription rate and the purchase &amp; maintenance fee. I understand that community colleges have a separate pricing structure.</t>
        </r>
      </text>
    </comment>
    <comment ref="J263" authorId="0">
      <text>
        <r>
          <rPr>
            <sz val="11"/>
            <color indexed="81"/>
            <rFont val="Tahoma"/>
            <family val="2"/>
          </rPr>
          <t>Mass. State contract</t>
        </r>
      </text>
    </comment>
    <comment ref="A264" authorId="10">
      <text>
        <r>
          <rPr>
            <sz val="11"/>
            <color indexed="81"/>
            <rFont val="Tahoma"/>
            <family val="2"/>
          </rPr>
          <t>Subscription to the Historical New York Times includes 1851-4 years ago.  Lexis-Nexis will cover the NYT for the current 4 years</t>
        </r>
        <r>
          <rPr>
            <sz val="8"/>
            <color indexed="81"/>
            <rFont val="Tahoma"/>
            <family val="2"/>
          </rPr>
          <t xml:space="preserve">
</t>
        </r>
      </text>
    </comment>
    <comment ref="B264" authorId="6">
      <text>
        <r>
          <rPr>
            <sz val="12"/>
            <color indexed="81"/>
            <rFont val="Arial"/>
            <family val="2"/>
          </rPr>
          <t>Subscription to HNP: NY Times</t>
        </r>
      </text>
    </comment>
    <comment ref="E264" authorId="6">
      <text>
        <r>
          <rPr>
            <sz val="12"/>
            <color indexed="81"/>
            <rFont val="Arial"/>
            <family val="2"/>
          </rPr>
          <t>Subscription to HNP: NY Times</t>
        </r>
      </text>
    </comment>
    <comment ref="F264" authorId="6">
      <text>
        <r>
          <rPr>
            <sz val="12"/>
            <color indexed="81"/>
            <rFont val="Arial"/>
            <family val="2"/>
          </rPr>
          <t>Purchase of HNP: NY Times.  Cont Service Fee</t>
        </r>
        <r>
          <rPr>
            <sz val="8"/>
            <color indexed="81"/>
            <rFont val="Tahoma"/>
            <family val="2"/>
          </rPr>
          <t xml:space="preserve">
</t>
        </r>
      </text>
    </comment>
    <comment ref="G264" authorId="0">
      <text>
        <r>
          <rPr>
            <sz val="11"/>
            <color indexed="81"/>
            <rFont val="Tahoma"/>
            <family val="2"/>
          </rPr>
          <t xml:space="preserve">Subscription to HNP: NY Times. </t>
        </r>
      </text>
    </comment>
    <comment ref="H264" authorId="6">
      <text>
        <r>
          <rPr>
            <sz val="12"/>
            <color indexed="81"/>
            <rFont val="Arial"/>
            <family val="2"/>
          </rPr>
          <t xml:space="preserve">Subscription to HNP: NY Times. </t>
        </r>
      </text>
    </comment>
    <comment ref="J264" authorId="0">
      <text>
        <r>
          <rPr>
            <sz val="11"/>
            <color indexed="81"/>
            <rFont val="Tahoma"/>
            <family val="2"/>
          </rPr>
          <t>Subscription to HNP: NYTImes</t>
        </r>
      </text>
    </comment>
    <comment ref="F265" authorId="11">
      <text>
        <r>
          <rPr>
            <b/>
            <sz val="10"/>
            <color indexed="81"/>
            <rFont val="Tahoma"/>
            <family val="2"/>
          </rPr>
          <t>Rhode Island College:</t>
        </r>
        <r>
          <rPr>
            <sz val="10"/>
            <color indexed="81"/>
            <rFont val="Tahoma"/>
            <family val="2"/>
          </rPr>
          <t xml:space="preserve">
RIC subscribes to the BG and the NYT digital microfilm direct. Last October we paid for the Boston Globe $5019.42 and for NYT $5139.36. If HELIN can get similar pricing, we would gladly move the subscriptions. JES</t>
        </r>
      </text>
    </comment>
    <comment ref="B267" authorId="17">
      <text>
        <r>
          <rPr>
            <b/>
            <sz val="8"/>
            <color indexed="81"/>
            <rFont val="Tahoma"/>
            <family val="2"/>
          </rPr>
          <t>ProQuest:</t>
        </r>
        <r>
          <rPr>
            <sz val="8"/>
            <color indexed="81"/>
            <rFont val="Tahoma"/>
            <family val="2"/>
          </rPr>
          <t xml:space="preserve">
Subscriptio to Prov Journal</t>
        </r>
      </text>
    </comment>
    <comment ref="D267" authorId="0">
      <text>
        <r>
          <rPr>
            <b/>
            <sz val="11"/>
            <color indexed="81"/>
            <rFont val="Tahoma"/>
            <family val="2"/>
          </rPr>
          <t xml:space="preserve">
</t>
        </r>
        <r>
          <rPr>
            <b/>
            <sz val="14"/>
            <color indexed="81"/>
            <rFont val="Tahoma"/>
            <family val="2"/>
          </rPr>
          <t xml:space="preserve">JWU=8,970
</t>
        </r>
        <r>
          <rPr>
            <b/>
            <sz val="11"/>
            <color indexed="81"/>
            <rFont val="Tahoma"/>
            <family val="2"/>
          </rPr>
          <t xml:space="preserve"> </t>
        </r>
        <r>
          <rPr>
            <b/>
            <sz val="14"/>
            <color indexed="81"/>
            <rFont val="Tahoma"/>
            <family val="2"/>
          </rPr>
          <t>Subscription to Prov Journal</t>
        </r>
        <r>
          <rPr>
            <sz val="8"/>
            <color indexed="81"/>
            <rFont val="Tahoma"/>
            <family val="2"/>
          </rPr>
          <t xml:space="preserve">
</t>
        </r>
      </text>
    </comment>
    <comment ref="E267" authorId="17">
      <text>
        <r>
          <rPr>
            <b/>
            <sz val="11"/>
            <color indexed="81"/>
            <rFont val="Tahoma"/>
            <family val="2"/>
          </rPr>
          <t>ProQuest:</t>
        </r>
        <r>
          <rPr>
            <sz val="11"/>
            <color indexed="81"/>
            <rFont val="Tahoma"/>
            <family val="2"/>
          </rPr>
          <t xml:space="preserve">
Sub to Prov Journal</t>
        </r>
      </text>
    </comment>
    <comment ref="G267" authorId="17">
      <text>
        <r>
          <rPr>
            <b/>
            <sz val="8"/>
            <color indexed="81"/>
            <rFont val="Tahoma"/>
            <family val="2"/>
          </rPr>
          <t>ProQuest:</t>
        </r>
        <r>
          <rPr>
            <sz val="8"/>
            <color indexed="81"/>
            <rFont val="Tahoma"/>
            <family val="2"/>
          </rPr>
          <t xml:space="preserve">
Sub to Prov Journal</t>
        </r>
      </text>
    </comment>
    <comment ref="H267" authorId="17">
      <text>
        <r>
          <rPr>
            <b/>
            <sz val="8"/>
            <color indexed="81"/>
            <rFont val="Tahoma"/>
            <family val="2"/>
          </rPr>
          <t>ProQuest:</t>
        </r>
        <r>
          <rPr>
            <sz val="8"/>
            <color indexed="81"/>
            <rFont val="Tahoma"/>
            <family val="2"/>
          </rPr>
          <t xml:space="preserve">
Sub to Prov Journal</t>
        </r>
      </text>
    </comment>
    <comment ref="I267" authorId="17">
      <text>
        <r>
          <rPr>
            <b/>
            <sz val="8"/>
            <color indexed="81"/>
            <rFont val="Tahoma"/>
            <family val="2"/>
          </rPr>
          <t>ProQuest:</t>
        </r>
        <r>
          <rPr>
            <sz val="8"/>
            <color indexed="81"/>
            <rFont val="Tahoma"/>
            <family val="2"/>
          </rPr>
          <t xml:space="preserve">
Sub to Prov Journal</t>
        </r>
      </text>
    </comment>
    <comment ref="J267" authorId="0">
      <text>
        <r>
          <rPr>
            <sz val="11"/>
            <color indexed="81"/>
            <rFont val="Tahoma"/>
            <family val="2"/>
          </rPr>
          <t>Mass. State contract</t>
        </r>
      </text>
    </comment>
    <comment ref="D272" authorId="0">
      <text>
        <r>
          <rPr>
            <sz val="8"/>
            <color indexed="81"/>
            <rFont val="Tahoma"/>
            <family val="2"/>
          </rPr>
          <t xml:space="preserve">
</t>
        </r>
        <r>
          <rPr>
            <b/>
            <sz val="14"/>
            <color indexed="81"/>
            <rFont val="Tahoma"/>
            <family val="2"/>
          </rPr>
          <t xml:space="preserve">JWU=8,970       </t>
        </r>
        <r>
          <rPr>
            <sz val="8"/>
            <color indexed="81"/>
            <rFont val="Tahoma"/>
            <family val="2"/>
          </rPr>
          <t xml:space="preserve">                                                                                   
</t>
        </r>
        <r>
          <rPr>
            <b/>
            <sz val="14"/>
            <color indexed="81"/>
            <rFont val="Tahoma"/>
            <family val="2"/>
          </rPr>
          <t>103 slots
2 SU (simul. users)</t>
        </r>
        <r>
          <rPr>
            <sz val="8"/>
            <color indexed="81"/>
            <rFont val="Tahoma"/>
            <family val="2"/>
          </rPr>
          <t xml:space="preserve">
</t>
        </r>
      </text>
    </comment>
    <comment ref="I272" authorId="1">
      <text>
        <r>
          <rPr>
            <b/>
            <sz val="8"/>
            <color indexed="81"/>
            <rFont val="Tahoma"/>
            <family val="2"/>
          </rPr>
          <t>Martha:</t>
        </r>
        <r>
          <rPr>
            <sz val="8"/>
            <color indexed="81"/>
            <rFont val="Tahoma"/>
            <family val="2"/>
          </rPr>
          <t xml:space="preserve">
50-100 books
</t>
        </r>
        <r>
          <rPr>
            <b/>
            <sz val="8"/>
            <color indexed="81"/>
            <rFont val="Tahoma"/>
            <family val="2"/>
          </rPr>
          <t xml:space="preserve">Bruce: 
</t>
        </r>
        <r>
          <rPr>
            <sz val="8"/>
            <color indexed="81"/>
            <rFont val="Tahoma"/>
            <family val="2"/>
          </rPr>
          <t>pricing is for2 SU and 100 Books</t>
        </r>
      </text>
    </comment>
    <comment ref="G273" authorId="20">
      <text>
        <r>
          <rPr>
            <b/>
            <sz val="11"/>
            <color indexed="81"/>
            <rFont val="Tahoma"/>
            <family val="2"/>
          </rPr>
          <t>Roger Williams University:</t>
        </r>
        <r>
          <rPr>
            <sz val="11"/>
            <color indexed="81"/>
            <rFont val="Tahoma"/>
            <family val="2"/>
          </rPr>
          <t xml:space="preserve">
RI &amp; MASS</t>
        </r>
      </text>
    </comment>
    <comment ref="D274"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J274" authorId="0">
      <text>
        <r>
          <rPr>
            <sz val="11"/>
            <color indexed="81"/>
            <rFont val="Tahoma"/>
            <family val="2"/>
          </rPr>
          <t>Mass. State contract</t>
        </r>
      </text>
    </comment>
    <comment ref="B275" authorId="17">
      <text>
        <r>
          <rPr>
            <b/>
            <sz val="11"/>
            <color indexed="81"/>
            <rFont val="Tahoma"/>
            <family val="2"/>
          </rPr>
          <t>ProQuest:</t>
        </r>
        <r>
          <rPr>
            <sz val="11"/>
            <color indexed="81"/>
            <rFont val="Tahoma"/>
            <family val="2"/>
          </rPr>
          <t xml:space="preserve">
HNP:Wall Street Journal Purchase: Cont Service Fee only</t>
        </r>
      </text>
    </comment>
    <comment ref="E275" authorId="17">
      <text>
        <r>
          <rPr>
            <b/>
            <sz val="8"/>
            <color indexed="81"/>
            <rFont val="Tahoma"/>
            <family val="2"/>
          </rPr>
          <t>ProQuest:</t>
        </r>
        <r>
          <rPr>
            <sz val="8"/>
            <color indexed="81"/>
            <rFont val="Tahoma"/>
            <family val="2"/>
          </rPr>
          <t xml:space="preserve">
Sub to HNP: Wall Street Journal</t>
        </r>
      </text>
    </comment>
    <comment ref="J277" authorId="17">
      <text>
        <r>
          <rPr>
            <b/>
            <sz val="8"/>
            <color indexed="81"/>
            <rFont val="Tahoma"/>
            <family val="2"/>
          </rPr>
          <t>ProQuest:</t>
        </r>
        <r>
          <rPr>
            <sz val="8"/>
            <color indexed="81"/>
            <rFont val="Tahoma"/>
            <family val="2"/>
          </rPr>
          <t xml:space="preserve">
Sub to HNP: Washington Post</t>
        </r>
      </text>
    </comment>
    <comment ref="G281" authorId="21">
      <text>
        <r>
          <rPr>
            <b/>
            <sz val="9"/>
            <color indexed="81"/>
            <rFont val="Tahoma"/>
            <family val="2"/>
          </rPr>
          <t xml:space="preserve">mrs:
</t>
        </r>
        <r>
          <rPr>
            <b/>
            <sz val="11"/>
            <color indexed="81"/>
            <rFont val="Tahoma"/>
            <family val="2"/>
          </rPr>
          <t>Subscription to Ser. 1 (1690-1876)</t>
        </r>
      </text>
    </comment>
    <comment ref="E282" authorId="1">
      <text>
        <r>
          <rPr>
            <b/>
            <sz val="8"/>
            <color indexed="81"/>
            <rFont val="Tahoma"/>
            <family val="2"/>
          </rPr>
          <t>Martha:</t>
        </r>
        <r>
          <rPr>
            <sz val="8"/>
            <color indexed="81"/>
            <rFont val="Tahoma"/>
            <family val="2"/>
          </rPr>
          <t xml:space="preserve">
</t>
        </r>
        <r>
          <rPr>
            <sz val="11"/>
            <color indexed="81"/>
            <rFont val="Tahoma"/>
            <family val="2"/>
          </rPr>
          <t>Series I, II, VI, VII</t>
        </r>
      </text>
    </comment>
    <comment ref="E284" authorId="12">
      <text>
        <r>
          <rPr>
            <b/>
            <sz val="11"/>
            <color indexed="81"/>
            <rFont val="Tahoma"/>
            <family val="2"/>
          </rPr>
          <t>Karen:</t>
        </r>
        <r>
          <rPr>
            <sz val="11"/>
            <color indexed="81"/>
            <rFont val="Tahoma"/>
            <family val="2"/>
          </rPr>
          <t xml:space="preserve">
includes access to the product databases with software to search and retrieve content, plus initial participation in an Enhancement, Training &amp; Content program (ETC).
Martha:  
n/a for 2010/2011</t>
        </r>
      </text>
    </comment>
    <comment ref="A286" authorId="0">
      <text>
        <r>
          <rPr>
            <b/>
            <sz val="11"/>
            <color indexed="81"/>
            <rFont val="Tahoma"/>
            <family val="2"/>
          </rPr>
          <t>Consortium discounting @ 15% begins when 3 members subscribe (or if the total value of the subscription is $10,000).  A second tier of discouning (20%) kicks in when 10 members subscribe (or if the total subscription value reaches $50,000).
Discount being given to URI again even through 3 libraries are not subscribing.</t>
        </r>
      </text>
    </comment>
    <comment ref="I286" authorId="1">
      <text>
        <r>
          <rPr>
            <b/>
            <sz val="8"/>
            <color indexed="81"/>
            <rFont val="Tahoma"/>
            <family val="2"/>
          </rPr>
          <t>Martha:</t>
        </r>
        <r>
          <rPr>
            <sz val="8"/>
            <color indexed="81"/>
            <rFont val="Tahoma"/>
            <family val="2"/>
          </rPr>
          <t xml:space="preserve">
</t>
        </r>
        <r>
          <rPr>
            <sz val="11"/>
            <color indexed="81"/>
            <rFont val="Tahoma"/>
            <family val="2"/>
          </rPr>
          <t>URI's price last year was $3,156, which included a 15% consortial discount usually reserved for subscribers in consortia where at least three members
signed up.  We will continue to make that exception for URI in this coming year.  Due to FTE growth, their 2010-2011 invoice will be $3,353 reflecting last year's price schedule and the continuing consortial discount.</t>
        </r>
      </text>
    </comment>
    <comment ref="A287" authorId="0">
      <text>
        <r>
          <rPr>
            <b/>
            <sz val="11"/>
            <color indexed="81"/>
            <rFont val="Tahoma"/>
            <family val="2"/>
          </rPr>
          <t>Pricing based on no. of individual users</t>
        </r>
      </text>
    </comment>
    <comment ref="C287" authorId="0">
      <text>
        <r>
          <rPr>
            <b/>
            <sz val="11"/>
            <color indexed="81"/>
            <rFont val="Tahoma"/>
            <family val="2"/>
          </rPr>
          <t>100 users
All languages @ $75 ea = $7500
rep working to keep this pricing one more year for renewals</t>
        </r>
      </text>
    </comment>
    <comment ref="I288" authorId="0">
      <text>
        <r>
          <rPr>
            <b/>
            <sz val="11"/>
            <color indexed="81"/>
            <rFont val="Tahoma"/>
            <family val="2"/>
          </rPr>
          <t>Package B -- online
2009 cost shown</t>
        </r>
      </text>
    </comment>
    <comment ref="A291" authorId="0">
      <text>
        <r>
          <rPr>
            <b/>
            <sz val="11"/>
            <color indexed="81"/>
            <rFont val="Tahoma"/>
            <family val="2"/>
          </rPr>
          <t xml:space="preserve">SAGE pricing for 2010-2-12 sent to libraries Feb. 2010
cost includes $160 NERL fee
</t>
        </r>
      </text>
    </comment>
    <comment ref="D291" authorId="0">
      <text>
        <r>
          <rPr>
            <b/>
            <sz val="11"/>
            <color indexed="81"/>
            <rFont val="Tahoma"/>
            <family val="2"/>
          </rPr>
          <t xml:space="preserve">
</t>
        </r>
        <r>
          <rPr>
            <b/>
            <sz val="14"/>
            <color indexed="81"/>
            <rFont val="Tahoma"/>
            <family val="2"/>
          </rPr>
          <t>JWU=11,406</t>
        </r>
        <r>
          <rPr>
            <b/>
            <sz val="11"/>
            <color indexed="81"/>
            <rFont val="Tahoma"/>
            <family val="2"/>
          </rPr>
          <t xml:space="preserve">
Prov &amp; Charlotte</t>
        </r>
      </text>
    </comment>
    <comment ref="I291" authorId="1">
      <text>
        <r>
          <rPr>
            <b/>
            <sz val="8"/>
            <color indexed="81"/>
            <rFont val="Tahoma"/>
            <family val="2"/>
          </rPr>
          <t xml:space="preserve">Martha (per Andree):
</t>
        </r>
        <r>
          <rPr>
            <sz val="8"/>
            <color indexed="81"/>
            <rFont val="Tahoma"/>
            <family val="2"/>
          </rPr>
          <t xml:space="preserve">
</t>
        </r>
        <r>
          <rPr>
            <sz val="11"/>
            <color indexed="81"/>
            <rFont val="Tahoma"/>
            <family val="2"/>
          </rPr>
          <t>1/2010-12/2010 -- $87,592.66 minus credit for titles already renewed through EBSCO ($4,543.00) = $</t>
        </r>
        <r>
          <rPr>
            <b/>
            <sz val="11"/>
            <color indexed="81"/>
            <rFont val="Tahoma"/>
            <family val="2"/>
          </rPr>
          <t>83,049.66</t>
        </r>
        <r>
          <rPr>
            <sz val="11"/>
            <color indexed="81"/>
            <rFont val="Tahoma"/>
            <family val="2"/>
          </rPr>
          <t xml:space="preserve"> (+20.9%) 
Sage NERL fee 2010 -- </t>
        </r>
        <r>
          <rPr>
            <b/>
            <sz val="11"/>
            <color indexed="81"/>
            <rFont val="Tahoma"/>
            <family val="2"/>
          </rPr>
          <t xml:space="preserve">$160.00 </t>
        </r>
        <r>
          <rPr>
            <sz val="11"/>
            <color indexed="81"/>
            <rFont val="Tahoma"/>
            <family val="2"/>
          </rPr>
          <t xml:space="preserve">
Package cost 1/2011-12/2011 -- </t>
        </r>
        <r>
          <rPr>
            <b/>
            <sz val="11"/>
            <color indexed="81"/>
            <rFont val="Tahoma"/>
            <family val="2"/>
          </rPr>
          <t>$90,220.44</t>
        </r>
        <r>
          <rPr>
            <sz val="11"/>
            <color indexed="81"/>
            <rFont val="Tahoma"/>
            <family val="2"/>
          </rPr>
          <t xml:space="preserve"> (+3.0%) 
Sage NERL fee 2011 -- $</t>
        </r>
        <r>
          <rPr>
            <b/>
            <sz val="11"/>
            <color indexed="81"/>
            <rFont val="Tahoma"/>
            <family val="2"/>
          </rPr>
          <t xml:space="preserve">160.00 </t>
        </r>
        <r>
          <rPr>
            <sz val="11"/>
            <color indexed="81"/>
            <rFont val="Tahoma"/>
            <family val="2"/>
          </rPr>
          <t xml:space="preserve">
Package cost 1/2012-12/2012 -- $</t>
        </r>
        <r>
          <rPr>
            <b/>
            <sz val="11"/>
            <color indexed="81"/>
            <rFont val="Tahoma"/>
            <family val="2"/>
          </rPr>
          <t>92,927.05</t>
        </r>
        <r>
          <rPr>
            <sz val="11"/>
            <color indexed="81"/>
            <rFont val="Tahoma"/>
            <family val="2"/>
          </rPr>
          <t xml:space="preserve"> (+3.0%)
Sage NERL fee 2012 -- $</t>
        </r>
        <r>
          <rPr>
            <b/>
            <sz val="11"/>
            <color indexed="81"/>
            <rFont val="Tahoma"/>
            <family val="2"/>
          </rPr>
          <t>160.0</t>
        </r>
        <r>
          <rPr>
            <sz val="11"/>
            <color indexed="81"/>
            <rFont val="Tahoma"/>
            <family val="2"/>
          </rPr>
          <t xml:space="preserve">0 </t>
        </r>
      </text>
    </comment>
    <comment ref="D292" authorId="3">
      <text>
        <r>
          <rPr>
            <b/>
            <sz val="8"/>
            <color indexed="81"/>
            <rFont val="Tahoma"/>
            <family val="2"/>
          </rPr>
          <t>sreynolds:</t>
        </r>
        <r>
          <rPr>
            <sz val="8"/>
            <color indexed="81"/>
            <rFont val="Tahoma"/>
            <family val="2"/>
          </rPr>
          <t xml:space="preserve">
</t>
        </r>
        <r>
          <rPr>
            <b/>
            <sz val="14"/>
            <color indexed="81"/>
            <rFont val="Tahoma"/>
            <family val="2"/>
          </rPr>
          <t>JWU=13,402</t>
        </r>
        <r>
          <rPr>
            <sz val="8"/>
            <color indexed="81"/>
            <rFont val="Tahoma"/>
            <family val="2"/>
          </rPr>
          <t xml:space="preserve">
</t>
        </r>
        <r>
          <rPr>
            <b/>
            <sz val="14"/>
            <color indexed="8"/>
            <rFont val="Tahoma"/>
            <family val="2"/>
          </rPr>
          <t xml:space="preserve">SAGE Reference Online (handbooks) </t>
        </r>
        <r>
          <rPr>
            <b/>
            <sz val="12"/>
            <color indexed="8"/>
            <rFont val="Tahoma"/>
            <family val="2"/>
          </rPr>
          <t xml:space="preserve">
JWU would like </t>
        </r>
        <r>
          <rPr>
            <b/>
            <sz val="14"/>
            <color indexed="8"/>
            <rFont val="Tahoma"/>
            <family val="2"/>
          </rPr>
          <t>PRICING PER EACH OF 5 subject collections of handbooks: Business Management, Communication &amp; Media Studies, Criminology, Education, Research Methods &amp; Evaluation</t>
        </r>
        <r>
          <rPr>
            <b/>
            <sz val="12"/>
            <color indexed="8"/>
            <rFont val="Tahoma"/>
            <family val="2"/>
          </rPr>
          <t xml:space="preserve">
</t>
        </r>
      </text>
    </comment>
    <comment ref="D293" authorId="3">
      <text>
        <r>
          <rPr>
            <b/>
            <sz val="8"/>
            <color indexed="81"/>
            <rFont val="Tahoma"/>
            <family val="2"/>
          </rPr>
          <t>sreynolds:</t>
        </r>
        <r>
          <rPr>
            <sz val="8"/>
            <color indexed="81"/>
            <rFont val="Tahoma"/>
            <family val="2"/>
          </rPr>
          <t xml:space="preserve">
</t>
        </r>
        <r>
          <rPr>
            <b/>
            <sz val="14"/>
            <color indexed="81"/>
            <rFont val="Tahoma"/>
            <family val="2"/>
          </rPr>
          <t>JWU=14,842</t>
        </r>
      </text>
    </comment>
    <comment ref="I296" authorId="0">
      <text>
        <r>
          <rPr>
            <b/>
            <sz val="11"/>
            <color indexed="81"/>
            <rFont val="Tahoma"/>
            <family val="2"/>
          </rPr>
          <t>Pd. For 3 years in 08/09</t>
        </r>
      </text>
    </comment>
    <comment ref="A297" authorId="1">
      <text>
        <r>
          <rPr>
            <b/>
            <sz val="8"/>
            <color indexed="81"/>
            <rFont val="Tahoma"/>
            <family val="2"/>
          </rPr>
          <t>Martha:</t>
        </r>
        <r>
          <rPr>
            <sz val="8"/>
            <color indexed="81"/>
            <rFont val="Tahoma"/>
            <family val="2"/>
          </rPr>
          <t xml:space="preserve">
</t>
        </r>
        <r>
          <rPr>
            <sz val="11"/>
            <color indexed="81"/>
            <rFont val="Tahoma"/>
            <family val="2"/>
          </rPr>
          <t>10% discount for 4 or more libraries</t>
        </r>
      </text>
    </comment>
    <comment ref="A298" authorId="1">
      <text>
        <r>
          <rPr>
            <b/>
            <sz val="8"/>
            <color indexed="81"/>
            <rFont val="Tahoma"/>
            <family val="2"/>
          </rPr>
          <t>Martha:</t>
        </r>
        <r>
          <rPr>
            <sz val="8"/>
            <color indexed="81"/>
            <rFont val="Tahoma"/>
            <family val="2"/>
          </rPr>
          <t xml:space="preserve">
Includes 10% discount</t>
        </r>
      </text>
    </comment>
    <comment ref="A301" authorId="0">
      <text>
        <r>
          <rPr>
            <b/>
            <sz val="11"/>
            <color indexed="81"/>
            <rFont val="Tahoma"/>
            <family val="2"/>
          </rPr>
          <t xml:space="preserve">Includes 10% consortium discount </t>
        </r>
      </text>
    </comment>
    <comment ref="C301" authorId="0">
      <text>
        <r>
          <rPr>
            <b/>
            <sz val="11"/>
            <color indexed="81"/>
            <rFont val="Tahoma"/>
            <family val="2"/>
          </rPr>
          <t xml:space="preserve">1 user
</t>
        </r>
      </text>
    </comment>
    <comment ref="E301" authorId="0">
      <text>
        <r>
          <rPr>
            <b/>
            <sz val="11"/>
            <color indexed="81"/>
            <rFont val="Tahoma"/>
            <family val="2"/>
          </rPr>
          <t>Unlimited users</t>
        </r>
      </text>
    </comment>
    <comment ref="G301" authorId="0">
      <text>
        <r>
          <rPr>
            <b/>
            <sz val="11"/>
            <color indexed="81"/>
            <rFont val="Tahoma"/>
            <family val="2"/>
          </rPr>
          <t>1 user</t>
        </r>
      </text>
    </comment>
    <comment ref="A302" authorId="0">
      <text>
        <r>
          <rPr>
            <b/>
            <sz val="11"/>
            <color indexed="81"/>
            <rFont val="Tahoma"/>
            <family val="2"/>
          </rPr>
          <t xml:space="preserve">Includes 10% consortium discount </t>
        </r>
      </text>
    </comment>
    <comment ref="C303" authorId="1">
      <text>
        <r>
          <rPr>
            <b/>
            <sz val="8"/>
            <color indexed="81"/>
            <rFont val="Tahoma"/>
            <family val="2"/>
          </rPr>
          <t>Martha:</t>
        </r>
        <r>
          <rPr>
            <sz val="8"/>
            <color indexed="81"/>
            <rFont val="Tahoma"/>
            <family val="2"/>
          </rPr>
          <t xml:space="preserve">
CCRI paid $799.90 in one-time purchases in 2009/10</t>
        </r>
      </text>
    </comment>
    <comment ref="I304" authorId="1">
      <text>
        <r>
          <rPr>
            <b/>
            <sz val="8"/>
            <color indexed="81"/>
            <rFont val="Tahoma"/>
            <family val="2"/>
          </rPr>
          <t>Martha:</t>
        </r>
        <r>
          <rPr>
            <sz val="8"/>
            <color indexed="81"/>
            <rFont val="Tahoma"/>
            <family val="2"/>
          </rPr>
          <t xml:space="preserve">
</t>
        </r>
        <r>
          <rPr>
            <sz val="11"/>
            <color indexed="81"/>
            <rFont val="Tahoma"/>
            <family val="2"/>
          </rPr>
          <t>If 3 year agreement:
2011 $114,547
2012 $120,274
2013 $126,288</t>
        </r>
      </text>
    </comment>
    <comment ref="C306" authorId="1">
      <text>
        <r>
          <rPr>
            <b/>
            <sz val="8"/>
            <color indexed="81"/>
            <rFont val="Tahoma"/>
            <family val="2"/>
          </rPr>
          <t>Martha:</t>
        </r>
        <r>
          <rPr>
            <sz val="8"/>
            <color indexed="81"/>
            <rFont val="Tahoma"/>
            <family val="2"/>
          </rPr>
          <t xml:space="preserve">
CCRI paid $447 in one-time purchases in 2009/10</t>
        </r>
      </text>
    </comment>
    <comment ref="A307" authorId="0">
      <text>
        <r>
          <rPr>
            <b/>
            <sz val="11"/>
            <color indexed="81"/>
            <rFont val="Tahoma"/>
            <family val="2"/>
          </rPr>
          <t xml:space="preserve">Includes 12% HELIN discount
3% average increase except for RIC which was adjusted for one time lower price in 2009. </t>
        </r>
      </text>
    </comment>
    <comment ref="F307" authorId="11">
      <text>
        <r>
          <rPr>
            <b/>
            <sz val="11"/>
            <color indexed="81"/>
            <rFont val="Tahoma"/>
            <family val="2"/>
          </rPr>
          <t>6 sim. Users and $750 remote access fee</t>
        </r>
      </text>
    </comment>
    <comment ref="A308" authorId="0">
      <text>
        <r>
          <rPr>
            <b/>
            <sz val="11"/>
            <color indexed="81"/>
            <rFont val="Tahoma"/>
            <family val="2"/>
          </rPr>
          <t>Includes 12% HELIN discount
3% average increase</t>
        </r>
      </text>
    </comment>
    <comment ref="B308" authorId="0">
      <text>
        <r>
          <rPr>
            <b/>
            <sz val="11"/>
            <color indexed="81"/>
            <rFont val="Tahoma"/>
            <family val="2"/>
          </rPr>
          <t>6 simul. users and $750 remote license fee</t>
        </r>
      </text>
    </comment>
    <comment ref="E308" authorId="0">
      <text>
        <r>
          <rPr>
            <b/>
            <sz val="11"/>
            <color indexed="81"/>
            <rFont val="Tahoma"/>
            <family val="2"/>
          </rPr>
          <t>3 simult. Users and $750 remote access fee</t>
        </r>
      </text>
    </comment>
    <comment ref="G308" authorId="0">
      <text>
        <r>
          <rPr>
            <b/>
            <sz val="11"/>
            <color indexed="81"/>
            <rFont val="Tahoma"/>
            <family val="2"/>
          </rPr>
          <t>3 simult. users</t>
        </r>
      </text>
    </comment>
    <comment ref="I309" authorId="0">
      <text>
        <r>
          <rPr>
            <b/>
            <sz val="11"/>
            <color indexed="81"/>
            <rFont val="Tahoma"/>
            <family val="2"/>
          </rPr>
          <t>Part of ACS Web ed. but invoiced by Wiley</t>
        </r>
      </text>
    </comment>
    <comment ref="I311" authorId="0">
      <text>
        <r>
          <rPr>
            <b/>
            <sz val="11"/>
            <color indexed="81"/>
            <rFont val="Tahoma"/>
            <family val="2"/>
          </rPr>
          <t>est. 5% increase by vendor</t>
        </r>
      </text>
    </comment>
    <comment ref="F312" authorId="1">
      <text>
        <r>
          <rPr>
            <b/>
            <sz val="11"/>
            <color indexed="81"/>
            <rFont val="Tahoma"/>
            <family val="2"/>
          </rPr>
          <t>Martha:</t>
        </r>
        <r>
          <rPr>
            <sz val="11"/>
            <color indexed="81"/>
            <rFont val="Tahoma"/>
            <family val="2"/>
          </rPr>
          <t xml:space="preserve">
4 concurrent users</t>
        </r>
      </text>
    </comment>
    <comment ref="I312" authorId="1">
      <text>
        <r>
          <rPr>
            <b/>
            <sz val="8"/>
            <color indexed="81"/>
            <rFont val="Tahoma"/>
            <family val="2"/>
          </rPr>
          <t>Martha:</t>
        </r>
        <r>
          <rPr>
            <sz val="8"/>
            <color indexed="81"/>
            <rFont val="Tahoma"/>
            <family val="2"/>
          </rPr>
          <t xml:space="preserve">
</t>
        </r>
        <r>
          <rPr>
            <sz val="11"/>
            <color indexed="81"/>
            <rFont val="Tahoma"/>
            <family val="2"/>
          </rPr>
          <t>8 concurrent users</t>
        </r>
      </text>
    </comment>
    <comment ref="F314" authorId="6">
      <text>
        <r>
          <rPr>
            <sz val="12"/>
            <color indexed="81"/>
            <rFont val="Arial"/>
            <family val="2"/>
          </rPr>
          <t>Access Fee Only
1 user</t>
        </r>
      </text>
    </comment>
    <comment ref="H314" authorId="6">
      <text>
        <r>
          <rPr>
            <sz val="12"/>
            <color indexed="81"/>
            <rFont val="Arial"/>
            <family val="2"/>
          </rPr>
          <t>Access Fee Only
1 user</t>
        </r>
      </text>
    </comment>
    <comment ref="I314" authorId="12">
      <text>
        <r>
          <rPr>
            <b/>
            <sz val="11"/>
            <color indexed="81"/>
            <rFont val="Tahoma"/>
            <family val="2"/>
          </rPr>
          <t>Karen:</t>
        </r>
        <r>
          <rPr>
            <sz val="11"/>
            <color indexed="81"/>
            <rFont val="Tahoma"/>
            <family val="2"/>
          </rPr>
          <t xml:space="preserve">
Access fee only
3 concurrent users</t>
        </r>
      </text>
    </comment>
    <comment ref="A315" authorId="1">
      <text>
        <r>
          <rPr>
            <b/>
            <sz val="8"/>
            <color indexed="81"/>
            <rFont val="Tahoma"/>
            <family val="2"/>
          </rPr>
          <t>Martha:</t>
        </r>
        <r>
          <rPr>
            <sz val="8"/>
            <color indexed="81"/>
            <rFont val="Tahoma"/>
            <family val="2"/>
          </rPr>
          <t xml:space="preserve">
</t>
        </r>
        <r>
          <rPr>
            <sz val="11"/>
            <color indexed="81"/>
            <rFont val="Tahoma"/>
            <family val="2"/>
          </rPr>
          <t>price reflects 10% discount</t>
        </r>
      </text>
    </comment>
    <comment ref="C315" authorId="1">
      <text>
        <r>
          <rPr>
            <b/>
            <sz val="8"/>
            <color indexed="81"/>
            <rFont val="Tahoma"/>
            <family val="2"/>
          </rPr>
          <t>Martha:</t>
        </r>
        <r>
          <rPr>
            <sz val="8"/>
            <color indexed="81"/>
            <rFont val="Tahoma"/>
            <family val="2"/>
          </rPr>
          <t xml:space="preserve">
</t>
        </r>
        <r>
          <rPr>
            <sz val="11"/>
            <color indexed="81"/>
            <rFont val="Tahoma"/>
            <family val="2"/>
          </rPr>
          <t>8 concurrent users</t>
        </r>
      </text>
    </comment>
    <comment ref="A316" authorId="1">
      <text>
        <r>
          <rPr>
            <b/>
            <sz val="8"/>
            <color indexed="81"/>
            <rFont val="Tahoma"/>
            <family val="2"/>
          </rPr>
          <t>Martha:</t>
        </r>
        <r>
          <rPr>
            <sz val="8"/>
            <color indexed="81"/>
            <rFont val="Tahoma"/>
            <family val="2"/>
          </rPr>
          <t xml:space="preserve">
</t>
        </r>
        <r>
          <rPr>
            <sz val="11"/>
            <color indexed="81"/>
            <rFont val="Tahoma"/>
            <family val="2"/>
          </rPr>
          <t xml:space="preserve">
4 concurrent users 
price includes 10% HELIN discount</t>
        </r>
      </text>
    </comment>
    <comment ref="A317" authorId="1">
      <text>
        <r>
          <rPr>
            <b/>
            <sz val="8"/>
            <color indexed="81"/>
            <rFont val="Tahoma"/>
            <family val="2"/>
          </rPr>
          <t>Martha:</t>
        </r>
        <r>
          <rPr>
            <sz val="8"/>
            <color indexed="81"/>
            <rFont val="Tahoma"/>
            <family val="2"/>
          </rPr>
          <t xml:space="preserve">
4</t>
        </r>
        <r>
          <rPr>
            <sz val="11"/>
            <color indexed="81"/>
            <rFont val="Tahoma"/>
            <family val="2"/>
          </rPr>
          <t xml:space="preserve"> concurrent users
price inc. 10% HELIN discount</t>
        </r>
      </text>
    </comment>
    <comment ref="A318" authorId="1">
      <text>
        <r>
          <rPr>
            <b/>
            <sz val="11"/>
            <color indexed="81"/>
            <rFont val="Tahoma"/>
            <family val="2"/>
          </rPr>
          <t>Martha:</t>
        </r>
        <r>
          <rPr>
            <sz val="11"/>
            <color indexed="81"/>
            <rFont val="Tahoma"/>
            <family val="2"/>
          </rPr>
          <t xml:space="preserve">
4 concurrent users
price inc. 10% HELIN discount</t>
        </r>
      </text>
    </comment>
    <comment ref="A319" authorId="1">
      <text>
        <r>
          <rPr>
            <b/>
            <sz val="8"/>
            <color indexed="81"/>
            <rFont val="Tahoma"/>
            <family val="2"/>
          </rPr>
          <t>Martha:</t>
        </r>
        <r>
          <rPr>
            <sz val="8"/>
            <color indexed="81"/>
            <rFont val="Tahoma"/>
            <family val="2"/>
          </rPr>
          <t xml:space="preserve">
</t>
        </r>
        <r>
          <rPr>
            <sz val="11"/>
            <color indexed="81"/>
            <rFont val="Tahoma"/>
            <family val="2"/>
          </rPr>
          <t>Price based on 2 concurrent users</t>
        </r>
      </text>
    </comment>
    <comment ref="F319" authorId="0">
      <text>
        <r>
          <rPr>
            <b/>
            <sz val="11"/>
            <color indexed="81"/>
            <rFont val="Tahoma"/>
            <family val="2"/>
          </rPr>
          <t>Access fee only</t>
        </r>
      </text>
    </comment>
    <comment ref="I319" authorId="1">
      <text>
        <r>
          <rPr>
            <b/>
            <sz val="8"/>
            <color indexed="81"/>
            <rFont val="Tahoma"/>
            <family val="2"/>
          </rPr>
          <t>Martha:</t>
        </r>
        <r>
          <rPr>
            <sz val="8"/>
            <color indexed="81"/>
            <rFont val="Tahoma"/>
            <family val="2"/>
          </rPr>
          <t xml:space="preserve">
</t>
        </r>
        <r>
          <rPr>
            <sz val="11"/>
            <color indexed="81"/>
            <rFont val="Tahoma"/>
            <family val="2"/>
          </rPr>
          <t>priced for 6 concurrent users with 10% HELIN discount</t>
        </r>
      </text>
    </comment>
    <comment ref="A321" authorId="0">
      <text>
        <r>
          <rPr>
            <b/>
            <sz val="11"/>
            <color indexed="81"/>
            <rFont val="Tahoma"/>
            <family val="2"/>
          </rPr>
          <t>Including ERIC
price inc. 10% HELIN discount</t>
        </r>
      </text>
    </comment>
    <comment ref="F321" authorId="1">
      <text>
        <r>
          <rPr>
            <b/>
            <sz val="8"/>
            <color indexed="81"/>
            <rFont val="Tahoma"/>
            <family val="2"/>
          </rPr>
          <t>Martha:</t>
        </r>
        <r>
          <rPr>
            <sz val="8"/>
            <color indexed="81"/>
            <rFont val="Tahoma"/>
            <family val="2"/>
          </rPr>
          <t xml:space="preserve">
</t>
        </r>
        <r>
          <rPr>
            <sz val="11"/>
            <color indexed="81"/>
            <rFont val="Tahoma"/>
            <family val="2"/>
          </rPr>
          <t>4 concurrent users</t>
        </r>
      </text>
    </comment>
    <comment ref="F322" authorId="0">
      <text>
        <r>
          <rPr>
            <b/>
            <sz val="11"/>
            <color indexed="81"/>
            <rFont val="Tahoma"/>
            <family val="2"/>
          </rPr>
          <t>Access fee only
4 concurrent users</t>
        </r>
      </text>
    </comment>
    <comment ref="I322" authorId="0">
      <text>
        <r>
          <rPr>
            <b/>
            <sz val="11"/>
            <color indexed="81"/>
            <rFont val="Tahoma"/>
            <family val="2"/>
          </rPr>
          <t>Access fee only
3 concurrent users</t>
        </r>
      </text>
    </comment>
    <comment ref="F323" authorId="0">
      <text>
        <r>
          <rPr>
            <b/>
            <sz val="11"/>
            <color indexed="81"/>
            <rFont val="Tahoma"/>
            <family val="2"/>
          </rPr>
          <t>Access fee only
4 concurrent users</t>
        </r>
      </text>
    </comment>
    <comment ref="I323" authorId="0">
      <text>
        <r>
          <rPr>
            <b/>
            <sz val="11"/>
            <color indexed="81"/>
            <rFont val="Tahoma"/>
            <family val="2"/>
          </rPr>
          <t>Access fee only
3 concurrent users</t>
        </r>
      </text>
    </comment>
    <comment ref="A325" authorId="1">
      <text>
        <r>
          <rPr>
            <b/>
            <sz val="8"/>
            <color indexed="81"/>
            <rFont val="Tahoma"/>
            <family val="2"/>
          </rPr>
          <t>Martha:</t>
        </r>
        <r>
          <rPr>
            <sz val="8"/>
            <color indexed="81"/>
            <rFont val="Tahoma"/>
            <family val="2"/>
          </rPr>
          <t xml:space="preserve">
</t>
        </r>
        <r>
          <rPr>
            <sz val="11"/>
            <color indexed="81"/>
            <rFont val="Tahoma"/>
            <family val="2"/>
          </rPr>
          <t xml:space="preserve">
4 concurrent users
price includes 10% HELIN discount</t>
        </r>
      </text>
    </comment>
    <comment ref="A326" authorId="0">
      <text>
        <r>
          <rPr>
            <b/>
            <sz val="11"/>
            <color indexed="81"/>
            <rFont val="Tahoma"/>
            <family val="2"/>
          </rPr>
          <t>Access fee only
4 concurrent users
price inc. 10% HELIN discount</t>
        </r>
      </text>
    </comment>
    <comment ref="A327" authorId="1">
      <text>
        <r>
          <rPr>
            <b/>
            <sz val="8"/>
            <color indexed="81"/>
            <rFont val="Tahoma"/>
            <family val="2"/>
          </rPr>
          <t>Martha:</t>
        </r>
        <r>
          <rPr>
            <sz val="8"/>
            <color indexed="81"/>
            <rFont val="Tahoma"/>
            <family val="2"/>
          </rPr>
          <t xml:space="preserve">
</t>
        </r>
        <r>
          <rPr>
            <sz val="11"/>
            <color indexed="81"/>
            <rFont val="Tahoma"/>
            <family val="2"/>
          </rPr>
          <t>price based on 6 concurrent users
access fee only</t>
        </r>
      </text>
    </comment>
    <comment ref="E327" authorId="0">
      <text>
        <r>
          <rPr>
            <b/>
            <sz val="11"/>
            <color indexed="81"/>
            <rFont val="Tahoma"/>
            <family val="2"/>
          </rPr>
          <t>Access fee only</t>
        </r>
      </text>
    </comment>
    <comment ref="F327" authorId="0">
      <text>
        <r>
          <rPr>
            <b/>
            <sz val="11"/>
            <color indexed="81"/>
            <rFont val="Tahoma"/>
            <family val="2"/>
          </rPr>
          <t>Access fee only</t>
        </r>
      </text>
    </comment>
    <comment ref="G327" authorId="0">
      <text>
        <r>
          <rPr>
            <b/>
            <sz val="11"/>
            <color indexed="81"/>
            <rFont val="Tahoma"/>
            <family val="2"/>
          </rPr>
          <t>Access fee only</t>
        </r>
      </text>
    </comment>
    <comment ref="I327" authorId="0">
      <text>
        <r>
          <rPr>
            <b/>
            <sz val="11"/>
            <color indexed="81"/>
            <rFont val="Tahoma"/>
            <family val="2"/>
          </rPr>
          <t>Access fee only</t>
        </r>
      </text>
    </comment>
    <comment ref="D329" authorId="3">
      <text>
        <r>
          <rPr>
            <b/>
            <sz val="8"/>
            <color indexed="81"/>
            <rFont val="Tahoma"/>
            <family val="2"/>
          </rPr>
          <t>sreynolds:</t>
        </r>
        <r>
          <rPr>
            <sz val="8"/>
            <color indexed="81"/>
            <rFont val="Tahoma"/>
            <family val="2"/>
          </rPr>
          <t xml:space="preserve">
</t>
        </r>
        <r>
          <rPr>
            <b/>
            <sz val="14"/>
            <color indexed="81"/>
            <rFont val="Tahoma"/>
            <family val="2"/>
          </rPr>
          <t>JWU=13,402</t>
        </r>
      </text>
    </comment>
    <comment ref="A333" authorId="0">
      <text>
        <r>
          <rPr>
            <b/>
            <sz val="11"/>
            <color indexed="81"/>
            <rFont val="Tahoma"/>
            <family val="2"/>
          </rPr>
          <t xml:space="preserve">1 user
</t>
        </r>
      </text>
    </comment>
  </commentList>
</comments>
</file>

<file path=xl/sharedStrings.xml><?xml version="1.0" encoding="utf-8"?>
<sst xmlns="http://schemas.openxmlformats.org/spreadsheetml/2006/main" count="1338" uniqueCount="453">
  <si>
    <t>FTE</t>
  </si>
  <si>
    <t>Amer. Math. Soc. MathSciNet</t>
  </si>
  <si>
    <t>ARTstor</t>
  </si>
  <si>
    <t>Bowker Books In Print (1 sim. user)</t>
  </si>
  <si>
    <t>Brepols Int' medieval bibl.</t>
  </si>
  <si>
    <t>Brown Univ. Women Writers Project</t>
  </si>
  <si>
    <t>Cabell's online directories</t>
  </si>
  <si>
    <t>CambridgeSoft Merck index</t>
  </si>
  <si>
    <t>Cambridge UP Historical Statistics of US Online</t>
  </si>
  <si>
    <t>Columbia UP Int'l Affairs (CIAO)</t>
  </si>
  <si>
    <t>Country Watch</t>
  </si>
  <si>
    <t>CQ Hist. Documents Annual fee (unlimited access)</t>
  </si>
  <si>
    <t>CQ Researcher Perpetual Rights (unlim. users)</t>
  </si>
  <si>
    <t>CQ Weekly</t>
  </si>
  <si>
    <t>CSA ASFA</t>
  </si>
  <si>
    <t>CSA ART Bibliographies Modern</t>
  </si>
  <si>
    <t>CSA Avery Index</t>
  </si>
  <si>
    <t>CSA Bibliography of the History of Art</t>
  </si>
  <si>
    <t>CSA Bio Sciences</t>
  </si>
  <si>
    <t>CSA Communication Abstracts</t>
  </si>
  <si>
    <t>CSA Criminal Justice Abstracts</t>
  </si>
  <si>
    <t>CSA Engineering Research Databases</t>
  </si>
  <si>
    <t>CSA GeoRef</t>
  </si>
  <si>
    <t>CSA Int'l Pharm. Abstr.</t>
  </si>
  <si>
    <t>CSA Meteorology &amp; Geoastrophysical Abstr.</t>
  </si>
  <si>
    <t>CSA MLA</t>
  </si>
  <si>
    <t>CSA PAIS includes Archive (retrospective)</t>
  </si>
  <si>
    <t>CSA Philosopher's Index</t>
  </si>
  <si>
    <t>CSA Physical Education Index</t>
  </si>
  <si>
    <t>CSA PsycArticles</t>
  </si>
  <si>
    <t>CSA Psych Info</t>
  </si>
  <si>
    <t>CSA Soc. Abstr.</t>
  </si>
  <si>
    <t>CSA World Pol. Sci.</t>
  </si>
  <si>
    <t>EBRARY Academic Complete</t>
  </si>
  <si>
    <t>EBSCO Book Index with Reviews</t>
  </si>
  <si>
    <t>EBSCO Business Source Premier</t>
  </si>
  <si>
    <t>EBSCO Catholic Periodical Literature Index</t>
  </si>
  <si>
    <t>EBSCO CINAHL (up to 12 users)</t>
  </si>
  <si>
    <t>EBSCO CINAHL (unlimited users)</t>
  </si>
  <si>
    <t>EBSCO CINAHL w/FT</t>
  </si>
  <si>
    <t>EBSCO Communication and Mass Media</t>
  </si>
  <si>
    <t>EBSCO EconLit</t>
  </si>
  <si>
    <t>EBSCO ERIC</t>
  </si>
  <si>
    <t>EBSCO Film &amp; Television Literature Index</t>
  </si>
  <si>
    <t>EBSCO Gender Studies Database</t>
  </si>
  <si>
    <t>EBSCO Hospitality &amp; Tourism Complete</t>
  </si>
  <si>
    <t>EBSCO Humanities Int'l Index</t>
  </si>
  <si>
    <t>EBSCO Inspec Current</t>
  </si>
  <si>
    <t>EBSCO Int'l Bibl. of Theatre &amp; Dance w/ FT</t>
  </si>
  <si>
    <t>EBSCO Intl Security &amp; Counter-Terrorism</t>
  </si>
  <si>
    <t>EBSCO LISTA</t>
  </si>
  <si>
    <t>EBSCO LISTA w/FT</t>
  </si>
  <si>
    <t>EBSCO Old Testament Abstracts</t>
  </si>
  <si>
    <t>EBSCO New Testament Abstracts</t>
  </si>
  <si>
    <t>EBSCO MLA</t>
  </si>
  <si>
    <t>EBSCO PsycARTICLES</t>
  </si>
  <si>
    <t>EBSCO PsycINFO</t>
  </si>
  <si>
    <t>EBSCO RILM</t>
  </si>
  <si>
    <t>EBSCO Serials Directory</t>
  </si>
  <si>
    <t>EBSCO SocIndex w/FT</t>
  </si>
  <si>
    <t>EBSCO Textile Technology Index</t>
  </si>
  <si>
    <t>EBSCO Women's Studies Int'l</t>
  </si>
  <si>
    <t>Elsevier EMBASE</t>
  </si>
  <si>
    <t>Elsevier ScienceDirect</t>
  </si>
  <si>
    <t>Gale Biography Resource Center</t>
  </si>
  <si>
    <t>Gale Business &amp; Company Res. Ctr.</t>
  </si>
  <si>
    <t>Gale General BusinessFile ASAP</t>
  </si>
  <si>
    <t>Gale Health &amp; Wellness Resource Center</t>
  </si>
  <si>
    <t>Gale Health Reference Center Academic</t>
  </si>
  <si>
    <t>Gale Literature Resource Center</t>
  </si>
  <si>
    <t>Gale Opposing Viewpoints (8 sim. users)</t>
  </si>
  <si>
    <t>Gale Opposing Viewpoints Unlim. Users</t>
  </si>
  <si>
    <t>Gallup Brain</t>
  </si>
  <si>
    <t>Info USA Reference USA</t>
  </si>
  <si>
    <t>JSTOR</t>
  </si>
  <si>
    <t>Learning Express</t>
  </si>
  <si>
    <t>LexisNexis Advertising Redbooks</t>
  </si>
  <si>
    <t>Mediamark University Reporter</t>
  </si>
  <si>
    <t xml:space="preserve">Mergent Online </t>
  </si>
  <si>
    <t>Morningstar.com</t>
  </si>
  <si>
    <t>NE Journal of Medicine (NEJM)</t>
  </si>
  <si>
    <t xml:space="preserve">NELINET/LexisNexis </t>
  </si>
  <si>
    <t>NELINET/NAXOS Music Library</t>
  </si>
  <si>
    <t>NELINET/OCLC FirstSearch Base Package (2 simul. users)</t>
  </si>
  <si>
    <t>NELINET/OCLC WorldCat Only (unl. users)</t>
  </si>
  <si>
    <t>NELINET/Oxford Dictionary of Nat'l Biography</t>
  </si>
  <si>
    <t>NELINET/Oxford English Dictionary Online</t>
  </si>
  <si>
    <t>NELINET/Oxford Reference Online</t>
  </si>
  <si>
    <t>NELINET/Project Muse</t>
  </si>
  <si>
    <t>NoodleTools</t>
  </si>
  <si>
    <t>Ovid LWW Journal Package</t>
  </si>
  <si>
    <t>Paratext Reference Universe</t>
  </si>
  <si>
    <t>ProQuest ABI Inform</t>
  </si>
  <si>
    <t>ProQuest ABI Inform PLUS</t>
  </si>
  <si>
    <t>ProQuest CultureGrams</t>
  </si>
  <si>
    <t>ProQuest Digital Dissertations</t>
  </si>
  <si>
    <t>ProQuest Ethnic News Watch</t>
  </si>
  <si>
    <t>ProQuest Gender Watch</t>
  </si>
  <si>
    <t>ProQuest MLA</t>
  </si>
  <si>
    <t>ProQuest Nat'l Newspapers Abstracts</t>
  </si>
  <si>
    <t>ProQuest New York Times Current</t>
  </si>
  <si>
    <t>ProQuest New York Times Historical</t>
  </si>
  <si>
    <t>ProQuest Providence Journal</t>
  </si>
  <si>
    <t>ProQuest Safari Books</t>
  </si>
  <si>
    <t>ProQuest Sanborn Maps</t>
  </si>
  <si>
    <t>ProQuest Wall Street Journal Current</t>
  </si>
  <si>
    <t>ProQuest Wall Street Journal Historical</t>
  </si>
  <si>
    <t>ProQuest Washington Post Current</t>
  </si>
  <si>
    <t>ProQuest Washington Post Historical</t>
  </si>
  <si>
    <t>Reg'lOneSource Stat. Warehouse</t>
  </si>
  <si>
    <t>Rosetta Stone</t>
  </si>
  <si>
    <t>Taylor&amp;Francis Europa World Plus</t>
  </si>
  <si>
    <t>Valueline Investment Survey Online</t>
  </si>
  <si>
    <t xml:space="preserve">Valueline Research Center </t>
  </si>
  <si>
    <t>Wilson Art Abstracts</t>
  </si>
  <si>
    <t>Wilson Biography Plus</t>
  </si>
  <si>
    <t>Wilson Biological &amp; Agricultural Index Plus</t>
  </si>
  <si>
    <t>Wilson Book Review Digest Plus</t>
  </si>
  <si>
    <t>Wilson Education Index Full Text</t>
  </si>
  <si>
    <t>Wilson Humanities &amp; Soc. Sci. Index Retro.</t>
  </si>
  <si>
    <t>Wilson Omnifile Full Text Mega Edition</t>
  </si>
  <si>
    <t>Wilson Readers Guide Abstracts (4 users)</t>
  </si>
  <si>
    <t>Wilson Readers Guide Retro 1890-1982 (4 users)</t>
  </si>
  <si>
    <t>EBSCO Literary Reference Center</t>
  </si>
  <si>
    <t>ORS Polling the Nations</t>
  </si>
  <si>
    <t>ALA Choice Reviews Online</t>
  </si>
  <si>
    <t>Amer. Chem. Soc. Web Editions</t>
  </si>
  <si>
    <t>Newsbank Access World News</t>
  </si>
  <si>
    <t>NELINET/Elsevier ScienceDirect</t>
  </si>
  <si>
    <t xml:space="preserve">NELINET/Encyclopedia Britannica </t>
  </si>
  <si>
    <t>NELINET/Serial Solutions A to Z</t>
  </si>
  <si>
    <t>NELINET/Serial Solutions MARC Records</t>
  </si>
  <si>
    <t>EBSCO/Baker &amp; Taylor Content Café</t>
  </si>
  <si>
    <t>EBSCO/Wilson's Art Abstracts</t>
  </si>
  <si>
    <t>EBSCO/Wilson's Art Index Retrospective</t>
  </si>
  <si>
    <t>EBSCO/Wilson's Social Science Abstracts</t>
  </si>
  <si>
    <t>Elsevier Compendex Engineering Village</t>
  </si>
  <si>
    <t>EBSCO Social Work Abstracts (up to 4 sim. users)</t>
  </si>
  <si>
    <t>Prepayments</t>
  </si>
  <si>
    <t>TOTAL - Prepayments</t>
  </si>
  <si>
    <t>GRAND TOTAL</t>
  </si>
  <si>
    <t>Other payments</t>
  </si>
  <si>
    <t>NELINET/Serial Solutions 360 Link</t>
  </si>
  <si>
    <t>NELINET/LexisNexis Congressional</t>
  </si>
  <si>
    <t>NELINET/Oxford Amer. Nat'l Biography Online</t>
  </si>
  <si>
    <t>Wilson Education Index Retro.</t>
  </si>
  <si>
    <t>Wilson Book Review Digest Retro.</t>
  </si>
  <si>
    <t>Cambridge UP Journal Package</t>
  </si>
  <si>
    <t>Annual Reviews custom pkg.</t>
  </si>
  <si>
    <t>Wiley Chem. Journal Pkg. Int'l ed.</t>
  </si>
  <si>
    <t>IEEE All-Society Periodicals Package</t>
  </si>
  <si>
    <t>Wiley Cochrane Library</t>
  </si>
  <si>
    <t>BNA Labor &amp; Employment Law Library</t>
  </si>
  <si>
    <t>Amer. Soc. of Civil Engineers (ASCE) Combination</t>
  </si>
  <si>
    <t>EBSCO Avery Index</t>
  </si>
  <si>
    <t>TOTALs w/o prepayments</t>
  </si>
  <si>
    <t>Elsevier ScienceDirect Major Ref. Works</t>
  </si>
  <si>
    <t>CSA ComDisDome</t>
  </si>
  <si>
    <t>EBSCO Music Index</t>
  </si>
  <si>
    <t>EBSCO Nursing Reference Center</t>
  </si>
  <si>
    <t>EBSCO Philosopher’s Index</t>
  </si>
  <si>
    <t>CSA Design &amp; Applied Arts Index</t>
  </si>
  <si>
    <t>CSA Environmental Sciences &amp; Pollution Mngt.</t>
  </si>
  <si>
    <t>IBIS World</t>
  </si>
  <si>
    <t>Wilson Biography Reference Bank</t>
  </si>
  <si>
    <t>EBSCO Mental Measurements Yearbook (4 sim. users)</t>
  </si>
  <si>
    <t>EBSCO/ABC-CLIO Amer. Hist.&amp; Life (2-6 users)</t>
  </si>
  <si>
    <t>EBSCO/ABC-CLIO Hist. Abstr. (2-6 users)</t>
  </si>
  <si>
    <t>NELINET/Oxford Scholarship Online</t>
  </si>
  <si>
    <t>Gale Culinary Arts Collection</t>
  </si>
  <si>
    <t>Bowker Resources for College Libraries</t>
  </si>
  <si>
    <t>Natural Standard</t>
  </si>
  <si>
    <t>NELINET/Oxford Language Dictionaries Online</t>
  </si>
  <si>
    <t>NELINET/OCLC CAMIO</t>
  </si>
  <si>
    <t>NELINET Biological Abstracts</t>
  </si>
  <si>
    <t>NELINET/Oxford Digital Reference Shelf</t>
  </si>
  <si>
    <t>NELINET/AnthroLit</t>
  </si>
  <si>
    <t>ProQuest Accounting with Tax Standards</t>
  </si>
  <si>
    <t>CQ Researcher Annual Fee (lim. users)</t>
  </si>
  <si>
    <t>Amer. Inst. Of Physics Select Online Pkg.</t>
  </si>
  <si>
    <t>Univ. of NE Radical Scatters</t>
  </si>
  <si>
    <t>Royal Soc. of Chem. journal package</t>
  </si>
  <si>
    <t>Amer. Soc. of Mech. Engineers Pkg. 2</t>
  </si>
  <si>
    <t>NELINET/Oxford Oceana Treaties and Int'l Agreements (2-5 users)</t>
  </si>
  <si>
    <t>EBSCO ATLA with serials</t>
  </si>
  <si>
    <t>NELINET/LexisNexis Congressional Indexes</t>
  </si>
  <si>
    <t>Royal Soc. of Chem. Natural Product Report</t>
  </si>
  <si>
    <t>Amer. Accounting Asso. Journals Online</t>
  </si>
  <si>
    <t>ThomsonSci Web of Science</t>
  </si>
  <si>
    <t>ProQuest Research Library</t>
  </si>
  <si>
    <t>ProQuest ABI PQ Central</t>
  </si>
  <si>
    <t>Bryant</t>
  </si>
  <si>
    <t>CCRI</t>
  </si>
  <si>
    <t>JWU</t>
  </si>
  <si>
    <t>PC</t>
  </si>
  <si>
    <t>RIC</t>
  </si>
  <si>
    <t>RWU</t>
  </si>
  <si>
    <t>Salve</t>
  </si>
  <si>
    <t>URI</t>
  </si>
  <si>
    <t>Wheaton</t>
  </si>
  <si>
    <t>Total</t>
  </si>
  <si>
    <t xml:space="preserve"> </t>
  </si>
  <si>
    <t>FREE</t>
  </si>
  <si>
    <t>Gale Science Resource Center (unlim. users)</t>
  </si>
  <si>
    <t>Alex.St.Press Classical Music Online</t>
  </si>
  <si>
    <t>Alex.St.Press Contemp. World Music w/5 simult. Users</t>
  </si>
  <si>
    <t>Alex.St.Press Dance in Video</t>
  </si>
  <si>
    <t>Alex.St.Press Oral History Online</t>
  </si>
  <si>
    <t>Alex.St.Press Theatre in Video</t>
  </si>
  <si>
    <t>Alex.St.Press BBC Shakespeare added to Theatre in Video</t>
  </si>
  <si>
    <t>Alex.St.Press Women in Social Movements</t>
  </si>
  <si>
    <t xml:space="preserve">  </t>
  </si>
  <si>
    <t>Nature.com Plus</t>
  </si>
  <si>
    <t>D&amp;B Hoover's Academic</t>
  </si>
  <si>
    <t>bepress Digital Commons</t>
  </si>
  <si>
    <t>Amer. Inst. of Physics, IOP Journal Archive</t>
  </si>
  <si>
    <t>ACM Digital Library Core Package ALL</t>
  </si>
  <si>
    <t>ALA Editions Guide to Ref.</t>
  </si>
  <si>
    <t>Brill Journals Package (NERL)</t>
  </si>
  <si>
    <t>Chronicle of Higher Ed. (NERL)</t>
  </si>
  <si>
    <t>EBSCO Academic Search Premier</t>
  </si>
  <si>
    <t>(see above)</t>
  </si>
  <si>
    <t>Readex U.S. Congressional Serials Set Access fee</t>
  </si>
  <si>
    <t>Wilson Art Index Retro (1 user per site)</t>
  </si>
  <si>
    <t>IEEE Spectrum (billed with IEEE pkg.)</t>
  </si>
  <si>
    <t>$</t>
  </si>
  <si>
    <t>EBSCO Political Science Complete</t>
  </si>
  <si>
    <t>EBSCO Public Affiars Index</t>
  </si>
  <si>
    <t>ProQuest Chadwyck - EEBO</t>
  </si>
  <si>
    <t>World Trade Press Global Roadwarrior</t>
  </si>
  <si>
    <t>Gale Global Issues in Context</t>
  </si>
  <si>
    <t>NELINET/Oxford African Amer. Studies Ctr.</t>
  </si>
  <si>
    <t>NELINET/Oxford Islamic Studies Online</t>
  </si>
  <si>
    <t>Columbia UP Grangers World of Poetry</t>
  </si>
  <si>
    <t>NELINET/Oxford Music Online</t>
  </si>
  <si>
    <t>NELINET/Oxford Art Online</t>
  </si>
  <si>
    <t>Elsevier ScienceDirect College Ed. (Health science journals ONLY)</t>
  </si>
  <si>
    <t>Emerald Management Xtra</t>
  </si>
  <si>
    <t>EBSCO Business Source Elite</t>
  </si>
  <si>
    <t>Wiley Biotechnology Progress</t>
  </si>
  <si>
    <t>EBSCO Integrated Search</t>
  </si>
  <si>
    <t>Nature.com Palgrave journals</t>
  </si>
  <si>
    <t>BioOne.1</t>
  </si>
  <si>
    <t>BioOne.1 &amp; .2</t>
  </si>
  <si>
    <t>Databases 2009/2010</t>
  </si>
  <si>
    <t>EBSCO ALT-Healthwatch</t>
  </si>
  <si>
    <t>Bernan - Kraus Curriculum Devel. Lib.</t>
  </si>
  <si>
    <t>EBSCO FSTA (1 user)</t>
  </si>
  <si>
    <t>WoltersKluwer CCH internet tax research network</t>
  </si>
  <si>
    <r>
      <t xml:space="preserve">D&amp;B First Research </t>
    </r>
    <r>
      <rPr>
        <b/>
        <sz val="10"/>
        <rFont val="Arial"/>
        <family val="2"/>
      </rPr>
      <t>(stand alone)</t>
    </r>
  </si>
  <si>
    <r>
      <t xml:space="preserve">D&amp;B First Research </t>
    </r>
    <r>
      <rPr>
        <b/>
        <sz val="10"/>
        <rFont val="Arial"/>
        <family val="2"/>
      </rPr>
      <t>(concurrent w/Hv)</t>
    </r>
  </si>
  <si>
    <t>ProQuest LION</t>
  </si>
  <si>
    <t>Springshare LibGuides (with 10% discount for 4 or more libraries)</t>
  </si>
  <si>
    <t>Springshare LibGuides Add-On Modules</t>
  </si>
  <si>
    <t>Springshare LibGuides Custom Domain Mapping (with 10% discount)</t>
  </si>
  <si>
    <t>Taylor&amp;Francis/CRC handbook of chemistry and physics</t>
  </si>
  <si>
    <t>iParadigms Turnitin</t>
  </si>
  <si>
    <t>$ direct</t>
  </si>
  <si>
    <t>ProQuest Entrepreneurship</t>
  </si>
  <si>
    <t>PQ Central</t>
  </si>
  <si>
    <t>ProQuest Historical MapWorks</t>
  </si>
  <si>
    <t>BLUE = calendar year                            BOLD = 2009 cost                    ORANGE = separate bill</t>
  </si>
  <si>
    <t>Chem Abstracts SciFinder Scholar</t>
  </si>
  <si>
    <t>MarketResearch.com (no embargo)</t>
  </si>
  <si>
    <t>SAGE Deep Backfile access fee only</t>
  </si>
  <si>
    <t>Duke Univ. Press E-Duke Journals Scholarly Collection Expanded</t>
  </si>
  <si>
    <t xml:space="preserve">SAGE Journal Package </t>
  </si>
  <si>
    <t xml:space="preserve">Alex. St.Press Music Online Listening </t>
  </si>
  <si>
    <t>Blackwell (Wiley) Anthrosource</t>
  </si>
  <si>
    <t>Infobase Facts on File African Amer. History Online</t>
  </si>
  <si>
    <t>Infobase Facts on File Career Guidance Center</t>
  </si>
  <si>
    <t>Infobase Facts on File Issues &amp; Controversies in Amer. History</t>
  </si>
  <si>
    <t>Infobase Facts on File Ref. Suite (3 databases)</t>
  </si>
  <si>
    <t>Readex America's Historical Newspapers: Early Amer. Newspapers SUBSCRIPTION</t>
  </si>
  <si>
    <t>Readex America's Historical Newspapers: Early Amer. Newspapers ACCESS FEE</t>
  </si>
  <si>
    <t>Readex Evans</t>
  </si>
  <si>
    <t>ProQuest RefWorks</t>
  </si>
  <si>
    <t>NetAnatomy.Com Scholar Educational Systems)</t>
  </si>
  <si>
    <t>ProQuest Patrologia Latina</t>
  </si>
  <si>
    <t>Greenwood Afr.-Amer. Experience</t>
  </si>
  <si>
    <t>Greenwood Amer. Ref. Books Annual (ARBA) Online</t>
  </si>
  <si>
    <t>Greenwood Daily Life Online</t>
  </si>
  <si>
    <t>Greenwood Latino Amer. Experience</t>
  </si>
  <si>
    <t>Greenwood Pop Culture</t>
  </si>
  <si>
    <t>Greenwood World Folklore &amp; Folklife</t>
  </si>
  <si>
    <t>NELINET/Serials Solutions 360 Counter (paid for 3 years in 08-09)</t>
  </si>
  <si>
    <t>NetAnatomy.Com</t>
  </si>
  <si>
    <t>RefWorks</t>
  </si>
  <si>
    <t>Elsevier ScienceDirect Ency of Ocean Sciences, 2nd ed</t>
  </si>
  <si>
    <t>Encyclopaedia Britannica Online Service (Academic)</t>
  </si>
  <si>
    <t>ProQuest Global Package</t>
  </si>
  <si>
    <t>ProQuest ABI Trade &amp; Industry</t>
  </si>
  <si>
    <t>ProQuest Banking info source image pkg</t>
  </si>
  <si>
    <t>ProQuest Comtech</t>
  </si>
  <si>
    <t>ProQuest PQ Asian business &amp; ref image pkg</t>
  </si>
  <si>
    <t>ProQuest PQD Newsstand</t>
  </si>
  <si>
    <t>ISSI Big Guide Online</t>
  </si>
  <si>
    <t>Oxford University Press OUP Journals Coll thru NERL</t>
  </si>
  <si>
    <t>ACM Digital Library Core(through Waldo)</t>
  </si>
  <si>
    <t>Readex Evans Supplement (1670-1800)</t>
  </si>
  <si>
    <t>Databases 2010/2011</t>
  </si>
  <si>
    <t>EBSCO CINAHL Plus w/FT</t>
  </si>
  <si>
    <t>EBSCO Rehabilitation Reference Center</t>
  </si>
  <si>
    <t>Gateway to the Middle Ages and the Renaissance</t>
  </si>
  <si>
    <t>ProQuest Gender News Watch</t>
  </si>
  <si>
    <t>ProQuest/CSA ASFA</t>
  </si>
  <si>
    <t>ProQuest/CSA ART Bibliographies Modern</t>
  </si>
  <si>
    <t>ProQuest/CSA Avery Index</t>
  </si>
  <si>
    <t>ProQuest/CSA Bio Sciences</t>
  </si>
  <si>
    <t>ProQuest/CSA Communication Abstracts</t>
  </si>
  <si>
    <t>ProQuest/CSA ComDisDome</t>
  </si>
  <si>
    <t>ProQuest/CSA Criminal Justice Abstracts</t>
  </si>
  <si>
    <t>ProQuest/CSA Design &amp; Applied Arts Index</t>
  </si>
  <si>
    <t>ProQuest/CSA Engineering Research Databases</t>
  </si>
  <si>
    <t>ProQuest/CSA Environmental Sciences &amp; Pollution Mngt.</t>
  </si>
  <si>
    <t>ProQuest/CSA GeoRef</t>
  </si>
  <si>
    <t>ProQuest/CSA Int'l Pharm. Abstr.</t>
  </si>
  <si>
    <t>ProQuest/CSA Meteorology &amp; Geoastrophysical Abstr.</t>
  </si>
  <si>
    <t>ProQuest/CSA MLA</t>
  </si>
  <si>
    <t>ProQuest/CSA PAIS includes Archive (retrospective)</t>
  </si>
  <si>
    <t>ProQuest/CSA Philosopher's Index</t>
  </si>
  <si>
    <t>ProQuest/CSA Physical Education Index</t>
  </si>
  <si>
    <t>ProQuest/CSA Psych Info</t>
  </si>
  <si>
    <t>ProQuest/CSA Soc. Abstr.</t>
  </si>
  <si>
    <t>ProQuest/CSA World Pol. Sci.</t>
  </si>
  <si>
    <t>ProQuest/CSA PsycArticles</t>
  </si>
  <si>
    <t>ACLS Humanities Ebooks Online</t>
  </si>
  <si>
    <t>Alex.St.Press Theatre in Video (w. Shakespeare)</t>
  </si>
  <si>
    <t>Film Media Group Films On Demand</t>
  </si>
  <si>
    <t>Wilson Index to Legal Periodicals</t>
  </si>
  <si>
    <t>Material Connexion</t>
  </si>
  <si>
    <t>Standard Rate and Data Service Online</t>
  </si>
  <si>
    <t>Wilson Education Index</t>
  </si>
  <si>
    <t>Lyrasis/AnthroLit</t>
  </si>
  <si>
    <t>Lyrasis/Elsevier ScienceDirect</t>
  </si>
  <si>
    <t xml:space="preserve">Lyrasis/Encyclopedia Britannica </t>
  </si>
  <si>
    <t xml:space="preserve">Lyrasis/LexisNexis </t>
  </si>
  <si>
    <t>Lyrasis/LexisNexis Congressional</t>
  </si>
  <si>
    <t>Lyrasis/LexisNexis Congressional Indexes</t>
  </si>
  <si>
    <t>Lyrasis/NAXOS Music Library</t>
  </si>
  <si>
    <t>Lyrasis/OCLC CAMIO</t>
  </si>
  <si>
    <t>Lyrasis/OCLC FirstSearch Base Package (2 simul. users)</t>
  </si>
  <si>
    <t>Lyrasis/OCLC WorldCat Only (unl. users)</t>
  </si>
  <si>
    <t>Lyrasis/Oxford African Amer. Studies Ctr.</t>
  </si>
  <si>
    <t>Lyrasis/Oxford Amer. Nat'l Biography Online</t>
  </si>
  <si>
    <t>Lyrasis/Oxford Art Online</t>
  </si>
  <si>
    <t>Lyrasis/Oxford Dictionary of Nat'l Biography</t>
  </si>
  <si>
    <t>Lyrasis/Oxford Digital Reference Shelf</t>
  </si>
  <si>
    <t>Lyrasis/Oxford English Dictionary Online</t>
  </si>
  <si>
    <t>Lyrasis/Oxford Islamic Studies Online</t>
  </si>
  <si>
    <t>Lyrasis/Oxford Language Dictionaries Online</t>
  </si>
  <si>
    <t>Lyrasis/Oxford Music Online</t>
  </si>
  <si>
    <t>Lyrasis/Oxford Oceana Treaties and Int'l Agreements (2-5 users)</t>
  </si>
  <si>
    <t>Lyrasis/Oxford Reference Online</t>
  </si>
  <si>
    <t>Lyrasis/Oxford Scholarship Online</t>
  </si>
  <si>
    <t>Lyrasis/Project Muse</t>
  </si>
  <si>
    <t>EBSCO Food Science Source</t>
  </si>
  <si>
    <t>EBSCO SPORTDiscus with Full Text</t>
  </si>
  <si>
    <t>Amer. Dietetic Association Evidence Analysis Library (EAL)</t>
  </si>
  <si>
    <t>Gale Hospitality, Tourism &amp; Leisure Collection</t>
  </si>
  <si>
    <t>ProQuest Digital Dissertations (PQDT)</t>
  </si>
  <si>
    <t xml:space="preserve">SAGE Refence Online (handbooks) </t>
  </si>
  <si>
    <t>Film Media Group Films 1X</t>
  </si>
  <si>
    <t>Baker &amp; Taylor 1X</t>
  </si>
  <si>
    <t>ProQuest Boston Globe Current</t>
  </si>
  <si>
    <t>ProQuest Boston Globe Historical</t>
  </si>
  <si>
    <t>ProQuest Boston Globe Digital Microfilm</t>
  </si>
  <si>
    <t>Brepols Int'l medieval bibl.</t>
  </si>
  <si>
    <t>PBS DVDs 1X</t>
  </si>
  <si>
    <t>Teaching Company (DVDs) 1X</t>
  </si>
  <si>
    <t>University of South Carolina (Nat'l Res.Cntr) 1X</t>
  </si>
  <si>
    <t>ProQuest Historical Newspapers for Community Colleges</t>
  </si>
  <si>
    <t>Elsevier ScienceDirect Cell</t>
  </si>
  <si>
    <t>EBSCO/ABC-CLIO Hist. Abstr. With Full Text (2-6 users)</t>
  </si>
  <si>
    <t>ProQuest New York Times Digital Microfilm</t>
  </si>
  <si>
    <t>Wilson Art Abstracts Full Text</t>
  </si>
  <si>
    <t>EBSCO Education Research Complete</t>
  </si>
  <si>
    <t>Alex.St.Press Counseling &amp; Therapy in Video</t>
  </si>
  <si>
    <t>Alex.St.Press Music Online PLUS</t>
  </si>
  <si>
    <t xml:space="preserve">Alex.St.Press Music Online Listening </t>
  </si>
  <si>
    <t>Alex.St.Press American History in Video</t>
  </si>
  <si>
    <t>EBSCO/ABC-CLIO Amer. Hist.&amp; Life With Full Text</t>
  </si>
  <si>
    <t>EBSCO Alt Press Archive</t>
  </si>
  <si>
    <t>EBSCO Medline</t>
  </si>
  <si>
    <t>EBSCO GeoRef</t>
  </si>
  <si>
    <t>Wilson Readers Guide Retro 1890-1982</t>
  </si>
  <si>
    <t>Wilson Readers Guide Abstracts</t>
  </si>
  <si>
    <t>Wilson Art Index Retro</t>
  </si>
  <si>
    <t>ABC-CLIO/Greenwood American Indian Experience</t>
  </si>
  <si>
    <t>ABC-CLIO/Greenwood Afr.-Amer. Experience</t>
  </si>
  <si>
    <t>ABC-CLIO/Greenwood Amer. Ref. Books Annual (ARBA)</t>
  </si>
  <si>
    <t>ABC-CLIO/Greenwood Daily Life Online</t>
  </si>
  <si>
    <t>ABC-CLIO/Greenwood Latino Amer. Experience</t>
  </si>
  <si>
    <t>ABC-CLIO/Greenwood Pop Culture</t>
  </si>
  <si>
    <t>ABC-CLIO/Greenwood World Folklore &amp; Folklife</t>
  </si>
  <si>
    <t>see comment</t>
  </si>
  <si>
    <t>Lyrasis BIOSIS Previews</t>
  </si>
  <si>
    <t>LexisNexis Environmental Abstracts</t>
  </si>
  <si>
    <t>ProQuest Environmental Abstracts</t>
  </si>
  <si>
    <r>
      <t xml:space="preserve">Gale GREENR </t>
    </r>
    <r>
      <rPr>
        <b/>
        <sz val="11"/>
        <color rgb="FF289020"/>
        <rFont val="Arial"/>
        <family val="2"/>
      </rPr>
      <t>(Global Ref. on Environ., Energy, &amp; Nat. Res.)</t>
    </r>
  </si>
  <si>
    <t>IBIS World option 1</t>
  </si>
  <si>
    <t>IBIS World option 2</t>
  </si>
  <si>
    <t>Annual Reviews Science Collection</t>
  </si>
  <si>
    <t>EBSCO Academic Search Complete</t>
  </si>
  <si>
    <t>Comp</t>
  </si>
  <si>
    <t>EBSCO Business Source Complete</t>
  </si>
  <si>
    <t>EBSCO Mental Measurements Yearbook</t>
  </si>
  <si>
    <t>Euromonitor Passport Ref. &amp; Markets</t>
  </si>
  <si>
    <t>Gale 18th Cen Coll 1&amp;2 1X</t>
  </si>
  <si>
    <t>EBSCO Art &amp; Architecture Complete</t>
  </si>
  <si>
    <t>Serial Solutions A to Z</t>
  </si>
  <si>
    <t>Serial Solutions 360 Link</t>
  </si>
  <si>
    <t>Serial Solutions MARC Records</t>
  </si>
  <si>
    <t xml:space="preserve">Springshare LibGuides </t>
  </si>
  <si>
    <t>Springshare LibGuides Custom Domain Mapping</t>
  </si>
  <si>
    <t>ProQuest Chadwyck - EEBO - New Data Fee</t>
  </si>
  <si>
    <t>ProQuest Chadwyck - EEBO - Cont Service Fee</t>
  </si>
  <si>
    <t>waived 2 years</t>
  </si>
  <si>
    <t>SAGE journals (NERL)</t>
  </si>
  <si>
    <t>BLUE = calendar year                                         BOLD = 2010 cost                                      italics = estimated cost                         ORANGE = separate bill</t>
  </si>
  <si>
    <t>Publishing Technology InTouch (formery Ingenta Connect)</t>
  </si>
  <si>
    <t>Britannica Online</t>
  </si>
  <si>
    <t>Serials Solutions 360 Counter (paid for 3 years in 08-09)</t>
  </si>
  <si>
    <t>Reg'l OneSource Stat. Warehouse</t>
  </si>
  <si>
    <t>ProQuest Boston Globe Historical (Perpetual rights)</t>
  </si>
  <si>
    <t>Lyrasis/Oxford Bibliographies Online: Social Work</t>
  </si>
  <si>
    <t>ProQuest Historical Newspapers for Community Colleges (NYT)</t>
  </si>
  <si>
    <t>OCLC FirstSearch Base Package (2 simul. users)</t>
  </si>
  <si>
    <t>OCLC WorldCat Only (unl. users)</t>
  </si>
  <si>
    <t>Brown</t>
  </si>
  <si>
    <t>AskRI</t>
  </si>
  <si>
    <t>Alex.St.Press Contemp. World Music</t>
  </si>
  <si>
    <t>NERL: ProQuest/CSA PsycArticles</t>
  </si>
  <si>
    <t>NERL: Brill Journals Package</t>
  </si>
  <si>
    <t>NERL: SAGE journals</t>
  </si>
  <si>
    <t>NERL: Oxford University Press OUP Journals</t>
  </si>
  <si>
    <t>Serial Solutions 3600 Data Retrieval</t>
  </si>
  <si>
    <t>NERL: Chem Abstracts SciFinder Scholar</t>
  </si>
  <si>
    <t>NERL: Chronicle of Higher Ed.</t>
  </si>
  <si>
    <t>D&amp;B Million Dollar Database­New England</t>
  </si>
  <si>
    <t>EBSCO ALT-Health Watch</t>
  </si>
  <si>
    <t>Stylesight Total Content</t>
  </si>
  <si>
    <t>Gale History Resource Center: US</t>
  </si>
  <si>
    <t>Gale History Resource Center: World</t>
  </si>
  <si>
    <t>ProQuest Historical Newspapers Bundle</t>
  </si>
  <si>
    <t>Readex Early Amer. Imprints Series II, MARC records 1X</t>
  </si>
  <si>
    <t>Lyrasis/Elsevier ScienceDirect Freedom Collection</t>
  </si>
  <si>
    <t>Lyrasis/Oxford Grove Music Online</t>
  </si>
  <si>
    <t>Lyrasis/Oxford Grove Art Online</t>
  </si>
  <si>
    <t>bepress Selected Works</t>
  </si>
  <si>
    <t>Encyclopaedia Britannica Online</t>
  </si>
  <si>
    <t>Intelex Past Masters</t>
  </si>
  <si>
    <t xml:space="preserve">Scholar Educational Systems NetAnatomy.Com </t>
  </si>
</sst>
</file>

<file path=xl/styles.xml><?xml version="1.0" encoding="utf-8"?>
<styleSheet xmlns="http://schemas.openxmlformats.org/spreadsheetml/2006/main">
  <numFmts count="4">
    <numFmt numFmtId="8" formatCode="&quot;$&quot;#,##0.00_);[Red]\(&quot;$&quot;#,##0.00\)"/>
    <numFmt numFmtId="42" formatCode="_(&quot;$&quot;* #,##0_);_(&quot;$&quot;* \(#,##0\);_(&quot;$&quot;* &quot;-&quot;_);_(@_)"/>
    <numFmt numFmtId="44" formatCode="_(&quot;$&quot;* #,##0.00_);_(&quot;$&quot;* \(#,##0.00\);_(&quot;$&quot;* &quot;-&quot;??_);_(@_)"/>
    <numFmt numFmtId="164" formatCode="&quot;$&quot;#,##0.00"/>
  </numFmts>
  <fonts count="88">
    <font>
      <sz val="12"/>
      <name val="Arial"/>
    </font>
    <font>
      <sz val="12"/>
      <name val="Arial"/>
      <family val="2"/>
    </font>
    <font>
      <b/>
      <sz val="14"/>
      <color indexed="12"/>
      <name val="Arial"/>
      <family val="2"/>
    </font>
    <font>
      <b/>
      <sz val="14"/>
      <name val="Arial"/>
      <family val="2"/>
    </font>
    <font>
      <sz val="14"/>
      <name val="Arial"/>
      <family val="2"/>
    </font>
    <font>
      <b/>
      <sz val="11"/>
      <color indexed="81"/>
      <name val="Tahoma"/>
      <family val="2"/>
    </font>
    <font>
      <sz val="11"/>
      <color indexed="81"/>
      <name val="Tahoma"/>
      <family val="2"/>
    </font>
    <font>
      <b/>
      <sz val="12"/>
      <color indexed="81"/>
      <name val="Arial"/>
      <family val="2"/>
    </font>
    <font>
      <sz val="8"/>
      <color indexed="81"/>
      <name val="Tahoma"/>
      <family val="2"/>
    </font>
    <font>
      <b/>
      <sz val="8"/>
      <color indexed="81"/>
      <name val="Tahoma"/>
      <family val="2"/>
    </font>
    <font>
      <sz val="12"/>
      <color indexed="81"/>
      <name val="Arial"/>
      <family val="2"/>
    </font>
    <font>
      <sz val="8"/>
      <name val="Arial"/>
      <family val="2"/>
    </font>
    <font>
      <b/>
      <i/>
      <sz val="14"/>
      <name val="Arial"/>
      <family val="2"/>
    </font>
    <font>
      <sz val="14"/>
      <color indexed="17"/>
      <name val="Arial"/>
      <family val="2"/>
    </font>
    <font>
      <sz val="14"/>
      <color indexed="12"/>
      <name val="Arial"/>
      <family val="2"/>
    </font>
    <font>
      <i/>
      <sz val="14"/>
      <name val="Arial"/>
      <family val="2"/>
    </font>
    <font>
      <b/>
      <sz val="10"/>
      <color indexed="81"/>
      <name val="Tahoma"/>
      <family val="2"/>
    </font>
    <font>
      <b/>
      <u/>
      <sz val="14"/>
      <color indexed="10"/>
      <name val="Arial"/>
      <family val="2"/>
    </font>
    <font>
      <b/>
      <sz val="14"/>
      <color indexed="10"/>
      <name val="Arial"/>
      <family val="2"/>
    </font>
    <font>
      <sz val="14"/>
      <color indexed="18"/>
      <name val="Arial"/>
      <family val="2"/>
    </font>
    <font>
      <b/>
      <sz val="12"/>
      <color indexed="81"/>
      <name val="Tahoma"/>
      <family val="2"/>
    </font>
    <font>
      <sz val="10"/>
      <color indexed="81"/>
      <name val="Tahoma"/>
      <family val="2"/>
    </font>
    <font>
      <b/>
      <sz val="11"/>
      <color indexed="81"/>
      <name val="Arial"/>
      <family val="2"/>
    </font>
    <font>
      <b/>
      <sz val="14"/>
      <color indexed="81"/>
      <name val="Tahoma"/>
      <family val="2"/>
    </font>
    <font>
      <b/>
      <sz val="11"/>
      <color indexed="81"/>
      <name val="Times New Roman"/>
      <family val="1"/>
    </font>
    <font>
      <b/>
      <sz val="12"/>
      <color indexed="81"/>
      <name val="Times New Roman"/>
      <family val="1"/>
    </font>
    <font>
      <sz val="12"/>
      <color indexed="81"/>
      <name val="Tahoma"/>
      <family val="2"/>
    </font>
    <font>
      <b/>
      <sz val="14"/>
      <color indexed="18"/>
      <name val="Arial"/>
      <family val="2"/>
    </font>
    <font>
      <sz val="14"/>
      <color indexed="10"/>
      <name val="Arial"/>
      <family val="2"/>
    </font>
    <font>
      <b/>
      <sz val="14"/>
      <color indexed="17"/>
      <name val="Arial"/>
      <family val="2"/>
    </font>
    <font>
      <b/>
      <i/>
      <sz val="14"/>
      <color indexed="81"/>
      <name val="Tahoma"/>
      <family val="2"/>
    </font>
    <font>
      <b/>
      <sz val="14"/>
      <color indexed="8"/>
      <name val="Tahoma"/>
      <family val="2"/>
    </font>
    <font>
      <b/>
      <sz val="9"/>
      <color indexed="81"/>
      <name val="Tahoma"/>
      <family val="2"/>
    </font>
    <font>
      <b/>
      <sz val="10"/>
      <name val="Arial"/>
      <family val="2"/>
    </font>
    <font>
      <b/>
      <i/>
      <sz val="10"/>
      <color indexed="81"/>
      <name val="Tahoma"/>
      <family val="2"/>
    </font>
    <font>
      <sz val="14"/>
      <color indexed="53"/>
      <name val="Arial"/>
      <family val="2"/>
    </font>
    <font>
      <sz val="12"/>
      <color indexed="81"/>
      <name val="Times New Roman"/>
      <family val="1"/>
    </font>
    <font>
      <sz val="14"/>
      <color indexed="81"/>
      <name val="Times New Roman"/>
      <family val="1"/>
    </font>
    <font>
      <b/>
      <sz val="14"/>
      <color indexed="30"/>
      <name val="Arial"/>
      <family val="2"/>
    </font>
    <font>
      <sz val="14"/>
      <color indexed="21"/>
      <name val="Arial"/>
      <family val="2"/>
    </font>
    <font>
      <b/>
      <sz val="14"/>
      <color indexed="10"/>
      <name val="Tahoma"/>
      <family val="2"/>
    </font>
    <font>
      <b/>
      <i/>
      <u/>
      <sz val="14"/>
      <color indexed="10"/>
      <name val="Arial"/>
      <family val="2"/>
    </font>
    <font>
      <b/>
      <i/>
      <sz val="14"/>
      <color indexed="17"/>
      <name val="Arial"/>
      <family val="2"/>
    </font>
    <font>
      <b/>
      <i/>
      <sz val="14"/>
      <color indexed="12"/>
      <name val="Arial"/>
      <family val="2"/>
    </font>
    <font>
      <b/>
      <i/>
      <sz val="14"/>
      <color indexed="10"/>
      <name val="Arial"/>
      <family val="2"/>
    </font>
    <font>
      <b/>
      <i/>
      <sz val="14"/>
      <color indexed="18"/>
      <name val="Arial"/>
      <family val="2"/>
    </font>
    <font>
      <sz val="14"/>
      <color indexed="18"/>
      <name val="Arial"/>
      <family val="2"/>
    </font>
    <font>
      <sz val="14"/>
      <color indexed="8"/>
      <name val="Arial"/>
      <family val="2"/>
    </font>
    <font>
      <sz val="9"/>
      <color indexed="81"/>
      <name val="Tahoma"/>
      <family val="2"/>
    </font>
    <font>
      <sz val="14"/>
      <color rgb="FF0000FF"/>
      <name val="Arial"/>
      <family val="2"/>
    </font>
    <font>
      <sz val="14"/>
      <color rgb="FF00B050"/>
      <name val="Arial"/>
      <family val="2"/>
    </font>
    <font>
      <b/>
      <sz val="14"/>
      <color rgb="FFFF0000"/>
      <name val="Arial"/>
      <family val="2"/>
    </font>
    <font>
      <sz val="14"/>
      <color rgb="FFFF0000"/>
      <name val="Arial"/>
      <family val="2"/>
    </font>
    <font>
      <sz val="14"/>
      <color indexed="81"/>
      <name val="Tahoma"/>
      <family val="2"/>
    </font>
    <font>
      <b/>
      <sz val="16"/>
      <color indexed="81"/>
      <name val="Tahoma"/>
      <family val="2"/>
    </font>
    <font>
      <b/>
      <sz val="14"/>
      <color indexed="12"/>
      <name val="Tahoma"/>
      <family val="2"/>
    </font>
    <font>
      <b/>
      <u/>
      <sz val="16"/>
      <color indexed="81"/>
      <name val="Tahoma"/>
      <family val="2"/>
    </font>
    <font>
      <b/>
      <u/>
      <sz val="14"/>
      <color indexed="81"/>
      <name val="Tahoma"/>
      <family val="2"/>
    </font>
    <font>
      <b/>
      <sz val="14"/>
      <color indexed="81"/>
      <name val="Arial"/>
      <family val="2"/>
    </font>
    <font>
      <b/>
      <i/>
      <sz val="12"/>
      <color indexed="81"/>
      <name val="Tahoma"/>
      <family val="2"/>
    </font>
    <font>
      <b/>
      <sz val="14"/>
      <color rgb="FF289020"/>
      <name val="Arial"/>
      <family val="2"/>
    </font>
    <font>
      <sz val="14"/>
      <color rgb="FF289020"/>
      <name val="Arial"/>
      <family val="2"/>
    </font>
    <font>
      <b/>
      <sz val="12"/>
      <color indexed="8"/>
      <name val="Tahoma"/>
      <family val="2"/>
    </font>
    <font>
      <sz val="14"/>
      <color rgb="FF008000"/>
      <name val="Arial"/>
      <family val="2"/>
    </font>
    <font>
      <b/>
      <sz val="14"/>
      <color theme="1"/>
      <name val="Arial"/>
      <family val="2"/>
    </font>
    <font>
      <b/>
      <sz val="14"/>
      <color rgb="FF008000"/>
      <name val="Arial"/>
      <family val="2"/>
    </font>
    <font>
      <sz val="14"/>
      <color indexed="57"/>
      <name val="Arial"/>
      <family val="2"/>
    </font>
    <font>
      <b/>
      <sz val="14"/>
      <color rgb="FF0000FF"/>
      <name val="Arial"/>
      <family val="2"/>
    </font>
    <font>
      <b/>
      <sz val="12"/>
      <color indexed="12"/>
      <name val="Tahoma"/>
      <family val="2"/>
    </font>
    <font>
      <b/>
      <sz val="11"/>
      <color rgb="FF289020"/>
      <name val="Arial"/>
      <family val="2"/>
    </font>
    <font>
      <i/>
      <sz val="14"/>
      <color indexed="12"/>
      <name val="Arial"/>
      <family val="2"/>
    </font>
    <font>
      <i/>
      <sz val="14"/>
      <color rgb="FF0000FF"/>
      <name val="Arial"/>
      <family val="2"/>
    </font>
    <font>
      <b/>
      <sz val="14"/>
      <color rgb="FF1F23DB"/>
      <name val="Arial"/>
      <family val="2"/>
    </font>
    <font>
      <b/>
      <sz val="12"/>
      <color indexed="10"/>
      <name val="Tahoma"/>
      <family val="2"/>
    </font>
    <font>
      <sz val="14"/>
      <color rgb="FF1F23DB"/>
      <name val="Arial"/>
      <family val="2"/>
    </font>
    <font>
      <i/>
      <sz val="14"/>
      <color indexed="17"/>
      <name val="Arial"/>
      <family val="2"/>
    </font>
    <font>
      <b/>
      <sz val="11"/>
      <color indexed="10"/>
      <name val="Tahoma"/>
      <family val="2"/>
    </font>
    <font>
      <u/>
      <sz val="14"/>
      <color indexed="81"/>
      <name val="Tahoma"/>
      <family val="2"/>
    </font>
    <font>
      <b/>
      <sz val="14"/>
      <color theme="3" tint="-0.249977111117893"/>
      <name val="Arial"/>
      <family val="2"/>
    </font>
    <font>
      <u/>
      <sz val="14"/>
      <color indexed="10"/>
      <name val="Arial"/>
      <family val="2"/>
    </font>
    <font>
      <sz val="14"/>
      <color theme="1"/>
      <name val="Arial"/>
      <family val="2"/>
    </font>
    <font>
      <i/>
      <sz val="14"/>
      <color indexed="18"/>
      <name val="Arial"/>
      <family val="2"/>
    </font>
    <font>
      <sz val="8"/>
      <color indexed="81"/>
      <name val="Tahoma"/>
      <charset val="1"/>
    </font>
    <font>
      <b/>
      <sz val="8"/>
      <color indexed="81"/>
      <name val="Tahoma"/>
      <charset val="1"/>
    </font>
    <font>
      <b/>
      <i/>
      <sz val="14"/>
      <color rgb="FF289020"/>
      <name val="Arial"/>
      <family val="2"/>
    </font>
    <font>
      <b/>
      <i/>
      <sz val="14"/>
      <color rgb="FF1F23DB"/>
      <name val="Arial"/>
      <family val="2"/>
    </font>
    <font>
      <b/>
      <i/>
      <sz val="14"/>
      <color rgb="FF0000FF"/>
      <name val="Arial"/>
      <family val="2"/>
    </font>
    <font>
      <sz val="14"/>
      <color theme="6" tint="-0.249977111117893"/>
      <name val="Arial"/>
      <family val="2"/>
    </font>
  </fonts>
  <fills count="12">
    <fill>
      <patternFill patternType="none"/>
    </fill>
    <fill>
      <patternFill patternType="gray125"/>
    </fill>
    <fill>
      <patternFill patternType="solid">
        <fgColor indexed="26"/>
        <bgColor indexed="64"/>
      </patternFill>
    </fill>
    <fill>
      <patternFill patternType="solid">
        <fgColor indexed="31"/>
        <bgColor indexed="64"/>
      </patternFill>
    </fill>
    <fill>
      <patternFill patternType="solid">
        <fgColor indexed="47"/>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rgb="FFFFC000"/>
        <bgColor indexed="64"/>
      </patternFill>
    </fill>
    <fill>
      <patternFill patternType="solid">
        <fgColor indexed="43"/>
        <bgColor indexed="64"/>
      </patternFill>
    </fill>
    <fill>
      <patternFill patternType="solid">
        <fgColor rgb="FFFFFF00"/>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3">
    <xf numFmtId="0" fontId="0" fillId="0" borderId="0"/>
    <xf numFmtId="44" fontId="1" fillId="0" borderId="0" applyFont="0" applyFill="0" applyBorder="0" applyAlignment="0" applyProtection="0"/>
    <xf numFmtId="42" fontId="1" fillId="0" borderId="0" applyFont="0" applyFill="0" applyBorder="0" applyAlignment="0" applyProtection="0"/>
  </cellStyleXfs>
  <cellXfs count="390">
    <xf numFmtId="0" fontId="0" fillId="0" borderId="0" xfId="0"/>
    <xf numFmtId="0" fontId="4" fillId="0" borderId="1" xfId="0" applyFont="1" applyBorder="1"/>
    <xf numFmtId="0" fontId="4" fillId="0" borderId="1" xfId="0" applyFont="1" applyBorder="1" applyAlignment="1">
      <alignment horizontal="center"/>
    </xf>
    <xf numFmtId="0" fontId="13" fillId="0" borderId="1" xfId="0" applyFont="1" applyFill="1" applyBorder="1"/>
    <xf numFmtId="0" fontId="15" fillId="0" borderId="1" xfId="0" applyFont="1" applyBorder="1"/>
    <xf numFmtId="0" fontId="17" fillId="2" borderId="1" xfId="0" applyNumberFormat="1" applyFont="1" applyFill="1" applyBorder="1" applyAlignment="1">
      <alignment horizontal="left"/>
    </xf>
    <xf numFmtId="0" fontId="4" fillId="0" borderId="1" xfId="0" applyFont="1" applyFill="1" applyBorder="1"/>
    <xf numFmtId="0" fontId="2" fillId="3" borderId="1" xfId="0" applyNumberFormat="1" applyFont="1" applyFill="1" applyBorder="1" applyAlignment="1">
      <alignment horizontal="center" textRotation="45"/>
    </xf>
    <xf numFmtId="0" fontId="18" fillId="2" borderId="1" xfId="0" applyNumberFormat="1" applyFont="1" applyFill="1" applyBorder="1" applyAlignment="1">
      <alignment horizontal="left"/>
    </xf>
    <xf numFmtId="44" fontId="3" fillId="2" borderId="1" xfId="0" applyNumberFormat="1" applyFont="1" applyFill="1" applyBorder="1" applyAlignment="1">
      <alignment horizontal="right" textRotation="50"/>
    </xf>
    <xf numFmtId="44" fontId="3" fillId="2" borderId="1" xfId="0" applyNumberFormat="1" applyFont="1" applyFill="1" applyBorder="1" applyAlignment="1">
      <alignment horizontal="right" textRotation="45"/>
    </xf>
    <xf numFmtId="44" fontId="3" fillId="2" borderId="1" xfId="0" applyNumberFormat="1" applyFont="1" applyFill="1" applyBorder="1" applyAlignment="1">
      <alignment horizontal="right" textRotation="43"/>
    </xf>
    <xf numFmtId="44" fontId="3" fillId="2" borderId="1" xfId="0" applyNumberFormat="1" applyFont="1" applyFill="1" applyBorder="1" applyAlignment="1">
      <alignment horizontal="right" textRotation="41"/>
    </xf>
    <xf numFmtId="44" fontId="3" fillId="2" borderId="1" xfId="0" applyNumberFormat="1" applyFont="1" applyFill="1" applyBorder="1" applyAlignment="1">
      <alignment horizontal="right" textRotation="33"/>
    </xf>
    <xf numFmtId="44" fontId="3" fillId="2" borderId="1" xfId="0" applyNumberFormat="1" applyFont="1" applyFill="1" applyBorder="1" applyAlignment="1">
      <alignment horizontal="right"/>
    </xf>
    <xf numFmtId="44" fontId="4" fillId="0" borderId="1" xfId="0" applyNumberFormat="1" applyFont="1" applyFill="1" applyBorder="1" applyAlignment="1">
      <alignment horizontal="right"/>
    </xf>
    <xf numFmtId="44" fontId="4" fillId="0" borderId="1" xfId="1" applyNumberFormat="1" applyFont="1" applyFill="1" applyBorder="1" applyAlignment="1">
      <alignment horizontal="right"/>
    </xf>
    <xf numFmtId="44" fontId="2" fillId="3" borderId="1" xfId="0" applyNumberFormat="1" applyFont="1" applyFill="1" applyBorder="1" applyAlignment="1">
      <alignment horizontal="center" textRotation="45"/>
    </xf>
    <xf numFmtId="44" fontId="3" fillId="0" borderId="1" xfId="0" applyNumberFormat="1" applyFont="1" applyFill="1" applyBorder="1" applyAlignment="1">
      <alignment horizontal="right"/>
    </xf>
    <xf numFmtId="44" fontId="15" fillId="0" borderId="1" xfId="0" applyNumberFormat="1" applyFont="1" applyFill="1" applyBorder="1" applyAlignment="1">
      <alignment horizontal="right"/>
    </xf>
    <xf numFmtId="44" fontId="15" fillId="0" borderId="1" xfId="0" applyNumberFormat="1" applyFont="1" applyBorder="1" applyAlignment="1">
      <alignment horizontal="right"/>
    </xf>
    <xf numFmtId="44" fontId="15" fillId="0" borderId="1" xfId="1" applyNumberFormat="1" applyFont="1" applyFill="1" applyBorder="1" applyAlignment="1">
      <alignment horizontal="right"/>
    </xf>
    <xf numFmtId="164" fontId="12" fillId="0" borderId="1" xfId="0" applyNumberFormat="1" applyFont="1" applyBorder="1" applyAlignment="1">
      <alignment horizontal="right"/>
    </xf>
    <xf numFmtId="0" fontId="15" fillId="0" borderId="1" xfId="0" applyFont="1" applyBorder="1" applyAlignment="1">
      <alignment horizontal="right"/>
    </xf>
    <xf numFmtId="0" fontId="3" fillId="0" borderId="1" xfId="0" applyNumberFormat="1" applyFont="1" applyFill="1" applyBorder="1" applyAlignment="1">
      <alignment horizontal="left"/>
    </xf>
    <xf numFmtId="0" fontId="14" fillId="0" borderId="1" xfId="0" applyFont="1" applyBorder="1" applyAlignment="1">
      <alignment horizontal="center"/>
    </xf>
    <xf numFmtId="44" fontId="27" fillId="3" borderId="1" xfId="0" applyNumberFormat="1" applyFont="1" applyFill="1" applyBorder="1" applyAlignment="1">
      <alignment horizontal="center" textRotation="45"/>
    </xf>
    <xf numFmtId="0" fontId="19" fillId="0" borderId="1" xfId="0" applyFont="1" applyBorder="1" applyAlignment="1">
      <alignment horizontal="center"/>
    </xf>
    <xf numFmtId="44" fontId="14" fillId="0" borderId="1" xfId="0" applyNumberFormat="1" applyFont="1" applyFill="1" applyBorder="1" applyAlignment="1">
      <alignment horizontal="right"/>
    </xf>
    <xf numFmtId="44" fontId="12" fillId="0" borderId="1" xfId="0" applyNumberFormat="1" applyFont="1" applyBorder="1" applyAlignment="1">
      <alignment horizontal="right"/>
    </xf>
    <xf numFmtId="44" fontId="28" fillId="0" borderId="1" xfId="1" applyNumberFormat="1" applyFont="1" applyFill="1" applyBorder="1" applyAlignment="1">
      <alignment horizontal="right"/>
    </xf>
    <xf numFmtId="44" fontId="14" fillId="0" borderId="1" xfId="1" applyNumberFormat="1" applyFont="1" applyFill="1" applyBorder="1" applyAlignment="1">
      <alignment horizontal="right"/>
    </xf>
    <xf numFmtId="0" fontId="14" fillId="0" borderId="1" xfId="0" applyFont="1" applyFill="1" applyBorder="1"/>
    <xf numFmtId="44" fontId="2" fillId="0" borderId="1" xfId="1" applyNumberFormat="1" applyFont="1" applyFill="1" applyBorder="1" applyAlignment="1">
      <alignment horizontal="right"/>
    </xf>
    <xf numFmtId="0" fontId="3" fillId="4" borderId="1" xfId="0" applyNumberFormat="1" applyFont="1" applyFill="1" applyBorder="1" applyAlignment="1">
      <alignment horizontal="left" vertical="distributed"/>
    </xf>
    <xf numFmtId="164" fontId="27" fillId="4" borderId="1" xfId="0" applyNumberFormat="1" applyFont="1" applyFill="1" applyBorder="1" applyAlignment="1">
      <alignment horizontal="center" textRotation="45"/>
    </xf>
    <xf numFmtId="44" fontId="27" fillId="4" borderId="1" xfId="0" applyNumberFormat="1" applyFont="1" applyFill="1" applyBorder="1" applyAlignment="1">
      <alignment horizontal="center" textRotation="45"/>
    </xf>
    <xf numFmtId="0" fontId="4" fillId="4" borderId="1" xfId="0" applyFont="1" applyFill="1" applyBorder="1" applyAlignment="1">
      <alignment horizontal="center"/>
    </xf>
    <xf numFmtId="0" fontId="12" fillId="0" borderId="1" xfId="0" applyNumberFormat="1" applyFont="1" applyFill="1" applyBorder="1" applyAlignment="1">
      <alignment horizontal="left"/>
    </xf>
    <xf numFmtId="0" fontId="45" fillId="3" borderId="1" xfId="0" applyNumberFormat="1" applyFont="1" applyFill="1" applyBorder="1" applyAlignment="1">
      <alignment horizontal="center" textRotation="45"/>
    </xf>
    <xf numFmtId="0" fontId="3" fillId="2" borderId="1" xfId="0" applyNumberFormat="1" applyFont="1" applyFill="1" applyBorder="1" applyAlignment="1">
      <alignment horizontal="left"/>
    </xf>
    <xf numFmtId="0" fontId="12" fillId="0" borderId="1" xfId="0" applyNumberFormat="1" applyFont="1" applyBorder="1" applyAlignment="1">
      <alignment horizontal="left"/>
    </xf>
    <xf numFmtId="0" fontId="3" fillId="5" borderId="1" xfId="0" applyNumberFormat="1" applyFont="1" applyFill="1" applyBorder="1" applyAlignment="1">
      <alignment horizontal="left"/>
    </xf>
    <xf numFmtId="1" fontId="3" fillId="5" borderId="1" xfId="0" applyNumberFormat="1" applyFont="1" applyFill="1" applyBorder="1" applyAlignment="1">
      <alignment horizontal="right"/>
    </xf>
    <xf numFmtId="1" fontId="3" fillId="5" borderId="1" xfId="0" applyNumberFormat="1" applyFont="1" applyFill="1" applyBorder="1" applyAlignment="1">
      <alignment horizontal="right" textRotation="50"/>
    </xf>
    <xf numFmtId="1" fontId="4" fillId="5" borderId="1" xfId="0" applyNumberFormat="1" applyFont="1" applyFill="1" applyBorder="1"/>
    <xf numFmtId="44" fontId="4" fillId="5" borderId="1" xfId="0" applyNumberFormat="1" applyFont="1" applyFill="1" applyBorder="1" applyAlignment="1">
      <alignment horizontal="right"/>
    </xf>
    <xf numFmtId="44" fontId="28" fillId="5" borderId="1" xfId="1" applyNumberFormat="1" applyFont="1" applyFill="1" applyBorder="1" applyAlignment="1">
      <alignment horizontal="right"/>
    </xf>
    <xf numFmtId="44" fontId="4" fillId="5" borderId="1" xfId="1" applyNumberFormat="1" applyFont="1" applyFill="1" applyBorder="1" applyAlignment="1">
      <alignment horizontal="right"/>
    </xf>
    <xf numFmtId="0" fontId="13" fillId="5" borderId="1" xfId="0" applyFont="1" applyFill="1" applyBorder="1"/>
    <xf numFmtId="44" fontId="13" fillId="5" borderId="1" xfId="1" applyNumberFormat="1" applyFont="1" applyFill="1" applyBorder="1" applyAlignment="1">
      <alignment horizontal="right"/>
    </xf>
    <xf numFmtId="0" fontId="4" fillId="5" borderId="1" xfId="0" applyFont="1" applyFill="1" applyBorder="1"/>
    <xf numFmtId="0" fontId="29" fillId="5" borderId="1" xfId="0" applyNumberFormat="1" applyFont="1" applyFill="1" applyBorder="1" applyAlignment="1">
      <alignment horizontal="left"/>
    </xf>
    <xf numFmtId="44" fontId="13" fillId="5" borderId="1" xfId="0" applyNumberFormat="1" applyFont="1" applyFill="1" applyBorder="1" applyAlignment="1">
      <alignment horizontal="right"/>
    </xf>
    <xf numFmtId="0" fontId="2" fillId="5" borderId="1" xfId="0" applyNumberFormat="1" applyFont="1" applyFill="1" applyBorder="1"/>
    <xf numFmtId="44" fontId="14" fillId="5" borderId="1" xfId="0" applyNumberFormat="1" applyFont="1" applyFill="1" applyBorder="1" applyAlignment="1">
      <alignment horizontal="right"/>
    </xf>
    <xf numFmtId="44" fontId="14" fillId="5" borderId="1" xfId="1" applyNumberFormat="1" applyFont="1" applyFill="1" applyBorder="1" applyAlignment="1">
      <alignment horizontal="right"/>
    </xf>
    <xf numFmtId="0" fontId="14" fillId="5" borderId="1" xfId="0" applyFont="1" applyFill="1" applyBorder="1"/>
    <xf numFmtId="0" fontId="43" fillId="5" borderId="1" xfId="0" applyNumberFormat="1" applyFont="1" applyFill="1" applyBorder="1" applyAlignment="1">
      <alignment horizontal="left"/>
    </xf>
    <xf numFmtId="44" fontId="14" fillId="5" borderId="1" xfId="0" applyNumberFormat="1" applyFont="1" applyFill="1" applyBorder="1" applyAlignment="1">
      <alignment horizontal="right" vertical="top" wrapText="1"/>
    </xf>
    <xf numFmtId="44" fontId="2" fillId="5" borderId="1" xfId="1" applyNumberFormat="1" applyFont="1" applyFill="1" applyBorder="1" applyAlignment="1">
      <alignment horizontal="right"/>
    </xf>
    <xf numFmtId="44" fontId="2" fillId="5" borderId="1" xfId="0" applyNumberFormat="1" applyFont="1" applyFill="1" applyBorder="1" applyAlignment="1">
      <alignment horizontal="right" vertical="top" wrapText="1"/>
    </xf>
    <xf numFmtId="44" fontId="13" fillId="5" borderId="1" xfId="0" applyNumberFormat="1" applyFont="1" applyFill="1" applyBorder="1"/>
    <xf numFmtId="0" fontId="2" fillId="5" borderId="1" xfId="0" applyNumberFormat="1" applyFont="1" applyFill="1" applyBorder="1" applyAlignment="1">
      <alignment horizontal="left"/>
    </xf>
    <xf numFmtId="0" fontId="14" fillId="5" borderId="1" xfId="0" applyFont="1" applyFill="1" applyBorder="1" applyAlignment="1">
      <alignment horizontal="right"/>
    </xf>
    <xf numFmtId="44" fontId="2" fillId="5" borderId="2" xfId="1" applyNumberFormat="1" applyFont="1" applyFill="1" applyBorder="1" applyAlignment="1">
      <alignment horizontal="right"/>
    </xf>
    <xf numFmtId="0" fontId="4" fillId="5" borderId="1" xfId="0" applyFont="1" applyFill="1" applyBorder="1" applyAlignment="1"/>
    <xf numFmtId="44" fontId="3" fillId="5" borderId="0" xfId="0" applyNumberFormat="1" applyFont="1" applyFill="1"/>
    <xf numFmtId="44" fontId="2" fillId="5" borderId="1" xfId="0" applyNumberFormat="1" applyFont="1" applyFill="1" applyBorder="1" applyAlignment="1">
      <alignment horizontal="right"/>
    </xf>
    <xf numFmtId="0" fontId="2" fillId="5" borderId="1" xfId="0" applyFont="1" applyFill="1" applyBorder="1"/>
    <xf numFmtId="0" fontId="12" fillId="5" borderId="1" xfId="0" applyNumberFormat="1" applyFont="1" applyFill="1" applyBorder="1" applyAlignment="1">
      <alignment horizontal="left"/>
    </xf>
    <xf numFmtId="44" fontId="3" fillId="5" borderId="1" xfId="0" applyNumberFormat="1" applyFont="1" applyFill="1" applyBorder="1" applyAlignment="1">
      <alignment horizontal="right"/>
    </xf>
    <xf numFmtId="0" fontId="3" fillId="5" borderId="1" xfId="0" applyFont="1" applyFill="1" applyBorder="1"/>
    <xf numFmtId="44" fontId="47" fillId="5" borderId="1" xfId="1" applyNumberFormat="1" applyFont="1" applyFill="1" applyBorder="1" applyAlignment="1">
      <alignment horizontal="right"/>
    </xf>
    <xf numFmtId="44" fontId="4" fillId="5" borderId="1" xfId="0" applyNumberFormat="1" applyFont="1" applyFill="1" applyBorder="1" applyAlignment="1">
      <alignment horizontal="right" wrapText="1"/>
    </xf>
    <xf numFmtId="44" fontId="14" fillId="5" borderId="1" xfId="0" applyNumberFormat="1" applyFont="1" applyFill="1" applyBorder="1" applyAlignment="1">
      <alignment horizontal="right" wrapText="1"/>
    </xf>
    <xf numFmtId="0" fontId="4" fillId="5" borderId="1" xfId="0" applyFont="1" applyFill="1" applyBorder="1" applyAlignment="1">
      <alignment horizontal="right"/>
    </xf>
    <xf numFmtId="44" fontId="3" fillId="5" borderId="1" xfId="1" applyNumberFormat="1" applyFont="1" applyFill="1" applyBorder="1" applyAlignment="1">
      <alignment horizontal="right"/>
    </xf>
    <xf numFmtId="0" fontId="13" fillId="5" borderId="1" xfId="0" applyFont="1" applyFill="1" applyBorder="1" applyAlignment="1">
      <alignment horizontal="right"/>
    </xf>
    <xf numFmtId="44" fontId="4" fillId="5" borderId="3" xfId="0" applyNumberFormat="1" applyFont="1" applyFill="1" applyBorder="1" applyAlignment="1">
      <alignment horizontal="right"/>
    </xf>
    <xf numFmtId="0" fontId="4" fillId="5" borderId="0" xfId="0" applyFont="1" applyFill="1" applyAlignment="1">
      <alignment horizontal="right"/>
    </xf>
    <xf numFmtId="44" fontId="28" fillId="5" borderId="1" xfId="0" applyNumberFormat="1" applyFont="1" applyFill="1" applyBorder="1" applyAlignment="1">
      <alignment horizontal="right"/>
    </xf>
    <xf numFmtId="0" fontId="43" fillId="5" borderId="1" xfId="0" applyNumberFormat="1" applyFont="1" applyFill="1" applyBorder="1" applyAlignment="1">
      <alignment horizontal="center" textRotation="45"/>
    </xf>
    <xf numFmtId="44" fontId="2" fillId="5" borderId="1" xfId="0" applyNumberFormat="1" applyFont="1" applyFill="1" applyBorder="1" applyAlignment="1">
      <alignment horizontal="center" textRotation="45"/>
    </xf>
    <xf numFmtId="0" fontId="4" fillId="5" borderId="1" xfId="0" applyFont="1" applyFill="1" applyBorder="1" applyAlignment="1">
      <alignment horizontal="center"/>
    </xf>
    <xf numFmtId="0" fontId="44" fillId="5" borderId="1" xfId="0" applyNumberFormat="1" applyFont="1" applyFill="1" applyBorder="1" applyAlignment="1">
      <alignment horizontal="left"/>
    </xf>
    <xf numFmtId="44" fontId="3" fillId="5" borderId="1" xfId="0" applyNumberFormat="1" applyFont="1" applyFill="1" applyBorder="1" applyAlignment="1">
      <alignment horizontal="right" textRotation="50"/>
    </xf>
    <xf numFmtId="44" fontId="3" fillId="5" borderId="1" xfId="0" applyNumberFormat="1" applyFont="1" applyFill="1" applyBorder="1" applyAlignment="1">
      <alignment horizontal="right" textRotation="45"/>
    </xf>
    <xf numFmtId="44" fontId="3" fillId="5" borderId="1" xfId="0" applyNumberFormat="1" applyFont="1" applyFill="1" applyBorder="1" applyAlignment="1">
      <alignment horizontal="right" textRotation="43"/>
    </xf>
    <xf numFmtId="44" fontId="3" fillId="5" borderId="1" xfId="0" applyNumberFormat="1" applyFont="1" applyFill="1" applyBorder="1" applyAlignment="1">
      <alignment horizontal="right" textRotation="41"/>
    </xf>
    <xf numFmtId="44" fontId="3" fillId="5" borderId="1" xfId="0" applyNumberFormat="1" applyFont="1" applyFill="1" applyBorder="1" applyAlignment="1">
      <alignment horizontal="right" textRotation="33"/>
    </xf>
    <xf numFmtId="44" fontId="4" fillId="5" borderId="1" xfId="1" applyNumberFormat="1" applyFont="1" applyFill="1" applyBorder="1"/>
    <xf numFmtId="44" fontId="4" fillId="5" borderId="0" xfId="0" applyNumberFormat="1" applyFont="1" applyFill="1"/>
    <xf numFmtId="44" fontId="4" fillId="5" borderId="1" xfId="0" applyNumberFormat="1" applyFont="1" applyFill="1" applyBorder="1" applyAlignment="1">
      <alignment horizontal="center"/>
    </xf>
    <xf numFmtId="44" fontId="4" fillId="5" borderId="1" xfId="0" applyNumberFormat="1" applyFont="1" applyFill="1" applyBorder="1"/>
    <xf numFmtId="0" fontId="41" fillId="5" borderId="1" xfId="0" applyNumberFormat="1" applyFont="1" applyFill="1" applyBorder="1" applyAlignment="1">
      <alignment horizontal="left"/>
    </xf>
    <xf numFmtId="44" fontId="13" fillId="5" borderId="1" xfId="1" applyNumberFormat="1" applyFont="1" applyFill="1" applyBorder="1" applyAlignment="1">
      <alignment horizontal="center"/>
    </xf>
    <xf numFmtId="0" fontId="4" fillId="5" borderId="1" xfId="0" applyNumberFormat="1" applyFont="1" applyFill="1" applyBorder="1" applyAlignment="1">
      <alignment horizontal="right"/>
    </xf>
    <xf numFmtId="0" fontId="13" fillId="5" borderId="1" xfId="0" applyNumberFormat="1" applyFont="1" applyFill="1" applyBorder="1" applyAlignment="1">
      <alignment horizontal="right"/>
    </xf>
    <xf numFmtId="8" fontId="4" fillId="5" borderId="1" xfId="1" applyNumberFormat="1" applyFont="1" applyFill="1" applyBorder="1" applyAlignment="1">
      <alignment horizontal="right"/>
    </xf>
    <xf numFmtId="0" fontId="3" fillId="5" borderId="0" xfId="0" applyNumberFormat="1" applyFont="1" applyFill="1" applyAlignment="1">
      <alignment horizontal="left"/>
    </xf>
    <xf numFmtId="0" fontId="27" fillId="5" borderId="1" xfId="0" applyNumberFormat="1" applyFont="1" applyFill="1" applyBorder="1" applyAlignment="1">
      <alignment horizontal="left"/>
    </xf>
    <xf numFmtId="44" fontId="19" fillId="5" borderId="1" xfId="0" applyNumberFormat="1" applyFont="1" applyFill="1" applyBorder="1" applyAlignment="1">
      <alignment horizontal="right"/>
    </xf>
    <xf numFmtId="44" fontId="19" fillId="5" borderId="1" xfId="1" applyNumberFormat="1" applyFont="1" applyFill="1" applyBorder="1" applyAlignment="1">
      <alignment horizontal="right"/>
    </xf>
    <xf numFmtId="0" fontId="19" fillId="5" borderId="1" xfId="0" applyFont="1" applyFill="1" applyBorder="1"/>
    <xf numFmtId="0" fontId="14" fillId="5" borderId="1" xfId="0" applyFont="1" applyFill="1" applyBorder="1" applyAlignment="1">
      <alignment horizontal="center"/>
    </xf>
    <xf numFmtId="44" fontId="4" fillId="5" borderId="1" xfId="2" applyNumberFormat="1" applyFont="1" applyFill="1" applyBorder="1"/>
    <xf numFmtId="44" fontId="4" fillId="5" borderId="1" xfId="0" applyNumberFormat="1" applyFont="1" applyFill="1" applyBorder="1" applyAlignment="1">
      <alignment horizontal="right" textRotation="50"/>
    </xf>
    <xf numFmtId="44" fontId="4" fillId="5" borderId="1" xfId="0" applyNumberFormat="1" applyFont="1" applyFill="1" applyBorder="1" applyAlignment="1">
      <alignment horizontal="right" textRotation="43"/>
    </xf>
    <xf numFmtId="44" fontId="2" fillId="5" borderId="0" xfId="1" applyNumberFormat="1" applyFont="1" applyFill="1" applyBorder="1" applyAlignment="1">
      <alignment horizontal="right"/>
    </xf>
    <xf numFmtId="44" fontId="2" fillId="5" borderId="0" xfId="0" applyNumberFormat="1" applyFont="1" applyFill="1" applyBorder="1" applyAlignment="1">
      <alignment horizontal="right"/>
    </xf>
    <xf numFmtId="44" fontId="4" fillId="5" borderId="3" xfId="1" applyNumberFormat="1" applyFont="1" applyFill="1" applyBorder="1" applyAlignment="1">
      <alignment horizontal="right"/>
    </xf>
    <xf numFmtId="44" fontId="35" fillId="5" borderId="1" xfId="1" applyNumberFormat="1" applyFont="1" applyFill="1" applyBorder="1" applyAlignment="1">
      <alignment horizontal="right"/>
    </xf>
    <xf numFmtId="44" fontId="13" fillId="5" borderId="3" xfId="1" applyNumberFormat="1" applyFont="1" applyFill="1" applyBorder="1" applyAlignment="1">
      <alignment horizontal="right"/>
    </xf>
    <xf numFmtId="44" fontId="13" fillId="5" borderId="3" xfId="0" applyNumberFormat="1" applyFont="1" applyFill="1" applyBorder="1" applyAlignment="1">
      <alignment horizontal="right"/>
    </xf>
    <xf numFmtId="44" fontId="28" fillId="5" borderId="3" xfId="1" applyNumberFormat="1" applyFont="1" applyFill="1" applyBorder="1" applyAlignment="1">
      <alignment horizontal="right"/>
    </xf>
    <xf numFmtId="44" fontId="4" fillId="5" borderId="1" xfId="0" applyNumberFormat="1" applyFont="1" applyFill="1" applyBorder="1" applyAlignment="1">
      <alignment horizontal="right" textRotation="45"/>
    </xf>
    <xf numFmtId="44" fontId="38" fillId="5" borderId="1" xfId="1" applyNumberFormat="1" applyFont="1" applyFill="1" applyBorder="1" applyAlignment="1">
      <alignment horizontal="right"/>
    </xf>
    <xf numFmtId="44" fontId="39" fillId="5" borderId="1" xfId="0" applyNumberFormat="1" applyFont="1" applyFill="1" applyBorder="1" applyAlignment="1">
      <alignment horizontal="right"/>
    </xf>
    <xf numFmtId="0" fontId="45" fillId="5" borderId="1" xfId="0" applyNumberFormat="1" applyFont="1" applyFill="1" applyBorder="1" applyAlignment="1">
      <alignment horizontal="center" textRotation="45"/>
    </xf>
    <xf numFmtId="44" fontId="27" fillId="5" borderId="1" xfId="0" applyNumberFormat="1" applyFont="1" applyFill="1" applyBorder="1" applyAlignment="1">
      <alignment horizontal="center" textRotation="45"/>
    </xf>
    <xf numFmtId="0" fontId="19" fillId="5" borderId="1" xfId="0" applyFont="1" applyFill="1" applyBorder="1" applyAlignment="1">
      <alignment horizontal="center"/>
    </xf>
    <xf numFmtId="44" fontId="4" fillId="5" borderId="0" xfId="0" applyNumberFormat="1" applyFont="1" applyFill="1" applyAlignment="1">
      <alignment horizontal="right" indent="1"/>
    </xf>
    <xf numFmtId="0" fontId="43" fillId="5" borderId="1" xfId="0" applyNumberFormat="1" applyFont="1" applyFill="1" applyBorder="1"/>
    <xf numFmtId="44" fontId="14" fillId="5" borderId="1" xfId="1" applyNumberFormat="1" applyFont="1" applyFill="1" applyBorder="1" applyAlignment="1"/>
    <xf numFmtId="44" fontId="14" fillId="5" borderId="1" xfId="0" applyNumberFormat="1" applyFont="1" applyFill="1" applyBorder="1" applyAlignment="1"/>
    <xf numFmtId="44" fontId="47" fillId="5" borderId="1" xfId="0" applyNumberFormat="1" applyFont="1" applyFill="1" applyBorder="1" applyAlignment="1"/>
    <xf numFmtId="44" fontId="13" fillId="5" borderId="0" xfId="0" applyNumberFormat="1" applyFont="1" applyFill="1"/>
    <xf numFmtId="0" fontId="42" fillId="5" borderId="1" xfId="0" applyNumberFormat="1" applyFont="1" applyFill="1" applyBorder="1" applyAlignment="1">
      <alignment horizontal="left"/>
    </xf>
    <xf numFmtId="44" fontId="29" fillId="5" borderId="1" xfId="0" applyNumberFormat="1" applyFont="1" applyFill="1" applyBorder="1" applyAlignment="1">
      <alignment horizontal="right"/>
    </xf>
    <xf numFmtId="44" fontId="15" fillId="5" borderId="1" xfId="0" applyNumberFormat="1" applyFont="1" applyFill="1" applyBorder="1" applyAlignment="1">
      <alignment horizontal="right"/>
    </xf>
    <xf numFmtId="44" fontId="15" fillId="5" borderId="1" xfId="1" applyNumberFormat="1" applyFont="1" applyFill="1" applyBorder="1" applyAlignment="1">
      <alignment horizontal="right"/>
    </xf>
    <xf numFmtId="0" fontId="15" fillId="5" borderId="1" xfId="0" applyFont="1" applyFill="1" applyBorder="1"/>
    <xf numFmtId="0" fontId="18" fillId="5" borderId="1" xfId="0" applyNumberFormat="1" applyFont="1" applyFill="1" applyBorder="1" applyAlignment="1">
      <alignment horizontal="left"/>
    </xf>
    <xf numFmtId="164" fontId="27" fillId="5" borderId="1" xfId="0" applyNumberFormat="1" applyFont="1" applyFill="1" applyBorder="1" applyAlignment="1">
      <alignment horizontal="center" textRotation="45"/>
    </xf>
    <xf numFmtId="44" fontId="14" fillId="5" borderId="1" xfId="1" applyFont="1" applyFill="1" applyBorder="1" applyAlignment="1"/>
    <xf numFmtId="44" fontId="14" fillId="6" borderId="1" xfId="1" applyNumberFormat="1" applyFont="1" applyFill="1" applyBorder="1" applyAlignment="1">
      <alignment horizontal="right"/>
    </xf>
    <xf numFmtId="44" fontId="49" fillId="6" borderId="1" xfId="1" applyNumberFormat="1" applyFont="1" applyFill="1" applyBorder="1" applyAlignment="1">
      <alignment horizontal="right"/>
    </xf>
    <xf numFmtId="44" fontId="14" fillId="6" borderId="1" xfId="0" applyNumberFormat="1" applyFont="1" applyFill="1" applyBorder="1" applyAlignment="1">
      <alignment horizontal="right"/>
    </xf>
    <xf numFmtId="0" fontId="14" fillId="6" borderId="1" xfId="0" applyFont="1" applyFill="1" applyBorder="1" applyAlignment="1">
      <alignment horizontal="right"/>
    </xf>
    <xf numFmtId="0" fontId="14" fillId="6" borderId="1" xfId="0" applyFont="1" applyFill="1" applyBorder="1"/>
    <xf numFmtId="0" fontId="3" fillId="6" borderId="1" xfId="0" applyNumberFormat="1" applyFont="1" applyFill="1" applyBorder="1" applyAlignment="1">
      <alignment horizontal="left"/>
    </xf>
    <xf numFmtId="0" fontId="4" fillId="6" borderId="1" xfId="0" applyNumberFormat="1" applyFont="1" applyFill="1" applyBorder="1" applyAlignment="1">
      <alignment horizontal="right"/>
    </xf>
    <xf numFmtId="0" fontId="4" fillId="6" borderId="1" xfId="0" applyNumberFormat="1" applyFont="1" applyFill="1" applyBorder="1" applyAlignment="1"/>
    <xf numFmtId="44" fontId="4" fillId="6" borderId="1" xfId="0" applyNumberFormat="1" applyFont="1" applyFill="1" applyBorder="1" applyAlignment="1">
      <alignment horizontal="right"/>
    </xf>
    <xf numFmtId="0" fontId="4" fillId="6" borderId="1" xfId="0" applyFont="1" applyFill="1" applyBorder="1" applyAlignment="1"/>
    <xf numFmtId="0" fontId="4" fillId="6" borderId="1" xfId="0" applyFont="1" applyFill="1" applyBorder="1"/>
    <xf numFmtId="44" fontId="4" fillId="6" borderId="1" xfId="1" applyNumberFormat="1" applyFont="1" applyFill="1" applyBorder="1" applyAlignment="1">
      <alignment horizontal="right"/>
    </xf>
    <xf numFmtId="44" fontId="28" fillId="6" borderId="1" xfId="0" applyNumberFormat="1" applyFont="1" applyFill="1" applyBorder="1" applyAlignment="1">
      <alignment horizontal="right"/>
    </xf>
    <xf numFmtId="44" fontId="2" fillId="6" borderId="1" xfId="0" applyNumberFormat="1" applyFont="1" applyFill="1" applyBorder="1" applyAlignment="1">
      <alignment horizontal="right"/>
    </xf>
    <xf numFmtId="0" fontId="2" fillId="6" borderId="1" xfId="0" applyFont="1" applyFill="1" applyBorder="1"/>
    <xf numFmtId="44" fontId="3" fillId="6" borderId="1" xfId="0" applyNumberFormat="1" applyFont="1" applyFill="1" applyBorder="1" applyAlignment="1">
      <alignment horizontal="right"/>
    </xf>
    <xf numFmtId="0" fontId="3" fillId="6" borderId="1" xfId="0" applyFont="1" applyFill="1" applyBorder="1"/>
    <xf numFmtId="44" fontId="28" fillId="6" borderId="1" xfId="1" applyNumberFormat="1" applyFont="1" applyFill="1" applyBorder="1" applyAlignment="1">
      <alignment horizontal="right"/>
    </xf>
    <xf numFmtId="44" fontId="4" fillId="6" borderId="1" xfId="0" applyNumberFormat="1" applyFont="1" applyFill="1" applyBorder="1" applyAlignment="1">
      <alignment horizontal="right" wrapText="1"/>
    </xf>
    <xf numFmtId="44" fontId="14" fillId="6" borderId="1" xfId="0" applyNumberFormat="1" applyFont="1" applyFill="1" applyBorder="1" applyAlignment="1">
      <alignment horizontal="right" wrapText="1"/>
    </xf>
    <xf numFmtId="0" fontId="4" fillId="6" borderId="1" xfId="0" applyFont="1" applyFill="1" applyBorder="1" applyAlignment="1">
      <alignment horizontal="right"/>
    </xf>
    <xf numFmtId="44" fontId="2" fillId="6" borderId="1" xfId="1" applyNumberFormat="1" applyFont="1" applyFill="1" applyBorder="1" applyAlignment="1">
      <alignment horizontal="right"/>
    </xf>
    <xf numFmtId="44" fontId="13" fillId="6" borderId="1" xfId="0" applyNumberFormat="1" applyFont="1" applyFill="1" applyBorder="1" applyAlignment="1">
      <alignment horizontal="right"/>
    </xf>
    <xf numFmtId="0" fontId="4" fillId="6" borderId="0" xfId="0" applyFont="1" applyFill="1" applyAlignment="1">
      <alignment horizontal="right"/>
    </xf>
    <xf numFmtId="0" fontId="13" fillId="6" borderId="1" xfId="0" applyFont="1" applyFill="1" applyBorder="1"/>
    <xf numFmtId="44" fontId="4" fillId="6" borderId="1" xfId="0" applyNumberFormat="1" applyFont="1" applyFill="1" applyBorder="1"/>
    <xf numFmtId="44" fontId="46" fillId="6" borderId="1" xfId="0" applyNumberFormat="1" applyFont="1" applyFill="1" applyBorder="1" applyAlignment="1">
      <alignment horizontal="right"/>
    </xf>
    <xf numFmtId="44" fontId="46" fillId="6" borderId="1" xfId="1" applyNumberFormat="1" applyFont="1" applyFill="1" applyBorder="1" applyAlignment="1">
      <alignment horizontal="right"/>
    </xf>
    <xf numFmtId="0" fontId="46" fillId="6" borderId="1" xfId="0" applyFont="1" applyFill="1" applyBorder="1"/>
    <xf numFmtId="44" fontId="49" fillId="6" borderId="1" xfId="0" applyNumberFormat="1" applyFont="1" applyFill="1" applyBorder="1" applyAlignment="1">
      <alignment horizontal="right"/>
    </xf>
    <xf numFmtId="44" fontId="4" fillId="6" borderId="1" xfId="2" applyNumberFormat="1" applyFont="1" applyFill="1" applyBorder="1"/>
    <xf numFmtId="44" fontId="4" fillId="6" borderId="1" xfId="0" applyNumberFormat="1" applyFont="1" applyFill="1" applyBorder="1" applyAlignment="1">
      <alignment horizontal="right" textRotation="50"/>
    </xf>
    <xf numFmtId="44" fontId="4" fillId="6" borderId="1" xfId="0" applyNumberFormat="1" applyFont="1" applyFill="1" applyBorder="1" applyAlignment="1">
      <alignment horizontal="right" textRotation="43"/>
    </xf>
    <xf numFmtId="44" fontId="4" fillId="6" borderId="1" xfId="0" applyNumberFormat="1" applyFont="1" applyFill="1" applyBorder="1" applyAlignment="1">
      <alignment horizontal="right" textRotation="45"/>
    </xf>
    <xf numFmtId="44" fontId="14" fillId="6" borderId="1" xfId="1" applyNumberFormat="1" applyFont="1" applyFill="1" applyBorder="1" applyAlignment="1"/>
    <xf numFmtId="44" fontId="14" fillId="6" borderId="1" xfId="0" applyNumberFormat="1" applyFont="1" applyFill="1" applyBorder="1" applyAlignment="1"/>
    <xf numFmtId="0" fontId="27" fillId="3" borderId="1" xfId="0" applyNumberFormat="1" applyFont="1" applyFill="1" applyBorder="1" applyAlignment="1">
      <alignment horizontal="center" textRotation="45"/>
    </xf>
    <xf numFmtId="44" fontId="3" fillId="6" borderId="1" xfId="1" applyNumberFormat="1" applyFont="1" applyFill="1" applyBorder="1" applyAlignment="1">
      <alignment horizontal="right"/>
    </xf>
    <xf numFmtId="44" fontId="50" fillId="6" borderId="1" xfId="0" applyNumberFormat="1" applyFont="1" applyFill="1" applyBorder="1" applyAlignment="1">
      <alignment horizontal="right"/>
    </xf>
    <xf numFmtId="44" fontId="47" fillId="0" borderId="1" xfId="0" applyNumberFormat="1" applyFont="1" applyFill="1" applyBorder="1" applyAlignment="1">
      <alignment horizontal="right"/>
    </xf>
    <xf numFmtId="44" fontId="47" fillId="0" borderId="1" xfId="1" applyNumberFormat="1" applyFont="1" applyFill="1" applyBorder="1" applyAlignment="1">
      <alignment horizontal="right"/>
    </xf>
    <xf numFmtId="44" fontId="47" fillId="0" borderId="1" xfId="0" applyNumberFormat="1" applyFont="1" applyFill="1" applyBorder="1" applyAlignment="1">
      <alignment horizontal="right" vertical="top"/>
    </xf>
    <xf numFmtId="0" fontId="60" fillId="6" borderId="1" xfId="0" applyNumberFormat="1" applyFont="1" applyFill="1" applyBorder="1" applyAlignment="1">
      <alignment horizontal="left"/>
    </xf>
    <xf numFmtId="44" fontId="61" fillId="6" borderId="1" xfId="1" applyNumberFormat="1" applyFont="1" applyFill="1" applyBorder="1" applyAlignment="1">
      <alignment horizontal="right"/>
    </xf>
    <xf numFmtId="44" fontId="61" fillId="6" borderId="1" xfId="0" applyNumberFormat="1" applyFont="1" applyFill="1" applyBorder="1" applyAlignment="1">
      <alignment horizontal="right"/>
    </xf>
    <xf numFmtId="0" fontId="61" fillId="6" borderId="1" xfId="0" applyFont="1" applyFill="1" applyBorder="1"/>
    <xf numFmtId="0" fontId="61" fillId="6" borderId="1" xfId="0" applyFont="1" applyFill="1" applyBorder="1" applyAlignment="1">
      <alignment horizontal="right"/>
    </xf>
    <xf numFmtId="0" fontId="60" fillId="5" borderId="1" xfId="0" applyNumberFormat="1" applyFont="1" applyFill="1" applyBorder="1" applyAlignment="1">
      <alignment horizontal="left"/>
    </xf>
    <xf numFmtId="44" fontId="61" fillId="0" borderId="1" xfId="0" applyNumberFormat="1" applyFont="1" applyFill="1" applyBorder="1" applyAlignment="1">
      <alignment horizontal="right"/>
    </xf>
    <xf numFmtId="0" fontId="60" fillId="0" borderId="1" xfId="0" applyNumberFormat="1" applyFont="1" applyFill="1" applyBorder="1" applyAlignment="1">
      <alignment horizontal="left"/>
    </xf>
    <xf numFmtId="1" fontId="61" fillId="6" borderId="1" xfId="0" applyNumberFormat="1" applyFont="1" applyFill="1" applyBorder="1"/>
    <xf numFmtId="44" fontId="61" fillId="0" borderId="1" xfId="1" applyNumberFormat="1" applyFont="1" applyFill="1" applyBorder="1" applyAlignment="1">
      <alignment horizontal="right"/>
    </xf>
    <xf numFmtId="44" fontId="61" fillId="6" borderId="1" xfId="0" applyNumberFormat="1" applyFont="1" applyFill="1" applyBorder="1" applyAlignment="1"/>
    <xf numFmtId="44" fontId="60" fillId="0" borderId="1" xfId="1" applyNumberFormat="1" applyFont="1" applyFill="1" applyBorder="1" applyAlignment="1"/>
    <xf numFmtId="0" fontId="61" fillId="0" borderId="1" xfId="0" applyFont="1" applyFill="1" applyBorder="1"/>
    <xf numFmtId="44" fontId="61" fillId="6" borderId="1" xfId="1" applyNumberFormat="1" applyFont="1" applyFill="1" applyBorder="1" applyAlignment="1"/>
    <xf numFmtId="44" fontId="4" fillId="6" borderId="1" xfId="2" applyNumberFormat="1" applyFont="1" applyFill="1" applyBorder="1" applyAlignment="1">
      <alignment horizontal="right"/>
    </xf>
    <xf numFmtId="44" fontId="63" fillId="6" borderId="1" xfId="1" applyNumberFormat="1" applyFont="1" applyFill="1" applyBorder="1" applyAlignment="1">
      <alignment horizontal="right"/>
    </xf>
    <xf numFmtId="44" fontId="63" fillId="6" borderId="1" xfId="0" applyNumberFormat="1" applyFont="1" applyFill="1" applyBorder="1" applyAlignment="1">
      <alignment horizontal="right"/>
    </xf>
    <xf numFmtId="0" fontId="60" fillId="0" borderId="1" xfId="0" applyFont="1" applyBorder="1"/>
    <xf numFmtId="44" fontId="4" fillId="6" borderId="1" xfId="0" applyNumberFormat="1" applyFont="1" applyFill="1" applyBorder="1" applyAlignment="1">
      <alignment horizontal="right" indent="1"/>
    </xf>
    <xf numFmtId="0" fontId="64" fillId="0" borderId="0" xfId="0" applyFont="1"/>
    <xf numFmtId="44" fontId="47" fillId="6" borderId="1" xfId="0" applyNumberFormat="1" applyFont="1" applyFill="1" applyBorder="1"/>
    <xf numFmtId="44" fontId="63" fillId="0" borderId="1" xfId="1" applyNumberFormat="1" applyFont="1" applyFill="1" applyBorder="1" applyAlignment="1">
      <alignment horizontal="right"/>
    </xf>
    <xf numFmtId="44" fontId="63" fillId="0" borderId="1" xfId="0" applyNumberFormat="1" applyFont="1" applyFill="1" applyBorder="1" applyAlignment="1">
      <alignment horizontal="right"/>
    </xf>
    <xf numFmtId="44" fontId="61" fillId="5" borderId="1" xfId="0" applyNumberFormat="1" applyFont="1" applyFill="1" applyBorder="1" applyAlignment="1">
      <alignment horizontal="right"/>
    </xf>
    <xf numFmtId="0" fontId="60" fillId="7" borderId="1" xfId="0" applyNumberFormat="1" applyFont="1" applyFill="1" applyBorder="1" applyAlignment="1">
      <alignment horizontal="left"/>
    </xf>
    <xf numFmtId="0" fontId="3" fillId="7" borderId="1" xfId="0" applyNumberFormat="1" applyFont="1" applyFill="1" applyBorder="1" applyAlignment="1">
      <alignment horizontal="left"/>
    </xf>
    <xf numFmtId="0" fontId="2" fillId="6" borderId="1" xfId="0" applyNumberFormat="1" applyFont="1" applyFill="1" applyBorder="1" applyAlignment="1">
      <alignment horizontal="left"/>
    </xf>
    <xf numFmtId="0" fontId="67" fillId="6" borderId="1" xfId="0" applyNumberFormat="1" applyFont="1" applyFill="1" applyBorder="1" applyAlignment="1">
      <alignment horizontal="left"/>
    </xf>
    <xf numFmtId="0" fontId="49" fillId="6" borderId="1" xfId="0" applyFont="1" applyFill="1" applyBorder="1"/>
    <xf numFmtId="44" fontId="66" fillId="5" borderId="1" xfId="1" applyNumberFormat="1" applyFont="1" applyFill="1" applyBorder="1" applyAlignment="1">
      <alignment horizontal="right"/>
    </xf>
    <xf numFmtId="44" fontId="60" fillId="6" borderId="1" xfId="0" applyNumberFormat="1" applyFont="1" applyFill="1" applyBorder="1" applyAlignment="1">
      <alignment horizontal="right"/>
    </xf>
    <xf numFmtId="44" fontId="63" fillId="5" borderId="1" xfId="0" applyNumberFormat="1" applyFont="1" applyFill="1" applyBorder="1" applyAlignment="1">
      <alignment horizontal="right"/>
    </xf>
    <xf numFmtId="44" fontId="65" fillId="5" borderId="1" xfId="0" applyNumberFormat="1" applyFont="1" applyFill="1" applyBorder="1" applyAlignment="1">
      <alignment horizontal="right"/>
    </xf>
    <xf numFmtId="0" fontId="60" fillId="5" borderId="1" xfId="0" applyNumberFormat="1" applyFont="1" applyFill="1" applyBorder="1" applyAlignment="1">
      <alignment horizontal="left" wrapText="1"/>
    </xf>
    <xf numFmtId="0" fontId="61" fillId="6" borderId="1" xfId="0" applyNumberFormat="1" applyFont="1" applyFill="1" applyBorder="1" applyAlignment="1">
      <alignment horizontal="right"/>
    </xf>
    <xf numFmtId="44" fontId="61" fillId="0" borderId="1" xfId="0" applyNumberFormat="1" applyFont="1" applyFill="1" applyBorder="1" applyAlignment="1">
      <alignment horizontal="right" vertical="top" wrapText="1"/>
    </xf>
    <xf numFmtId="44" fontId="70" fillId="6" borderId="1" xfId="1" applyNumberFormat="1" applyFont="1" applyFill="1" applyBorder="1" applyAlignment="1">
      <alignment horizontal="right"/>
    </xf>
    <xf numFmtId="0" fontId="2" fillId="6" borderId="1" xfId="0" applyNumberFormat="1" applyFont="1" applyFill="1" applyBorder="1"/>
    <xf numFmtId="44" fontId="71" fillId="6" borderId="1" xfId="1" applyNumberFormat="1" applyFont="1" applyFill="1" applyBorder="1" applyAlignment="1">
      <alignment horizontal="right"/>
    </xf>
    <xf numFmtId="44" fontId="70" fillId="6" borderId="1" xfId="0" applyNumberFormat="1" applyFont="1" applyFill="1" applyBorder="1" applyAlignment="1">
      <alignment horizontal="right"/>
    </xf>
    <xf numFmtId="44" fontId="52" fillId="0" borderId="1" xfId="1" applyNumberFormat="1" applyFont="1" applyFill="1" applyBorder="1" applyAlignment="1">
      <alignment horizontal="right"/>
    </xf>
    <xf numFmtId="44" fontId="52" fillId="0" borderId="1" xfId="0" applyNumberFormat="1" applyFont="1" applyFill="1" applyBorder="1" applyAlignment="1">
      <alignment horizontal="right"/>
    </xf>
    <xf numFmtId="0" fontId="2" fillId="6" borderId="1" xfId="0" applyNumberFormat="1" applyFont="1" applyFill="1" applyBorder="1" applyAlignment="1">
      <alignment horizontal="left" vertical="top"/>
    </xf>
    <xf numFmtId="44" fontId="66" fillId="5" borderId="1" xfId="0" applyNumberFormat="1" applyFont="1" applyFill="1" applyBorder="1" applyAlignment="1">
      <alignment horizontal="right"/>
    </xf>
    <xf numFmtId="0" fontId="66" fillId="5" borderId="1" xfId="0" applyFont="1" applyFill="1" applyBorder="1" applyAlignment="1">
      <alignment horizontal="right"/>
    </xf>
    <xf numFmtId="44" fontId="61" fillId="5" borderId="1" xfId="1" applyNumberFormat="1" applyFont="1" applyFill="1" applyBorder="1" applyAlignment="1">
      <alignment horizontal="right"/>
    </xf>
    <xf numFmtId="44" fontId="61" fillId="5" borderId="1" xfId="0" applyNumberFormat="1" applyFont="1" applyFill="1" applyBorder="1" applyAlignment="1">
      <alignment horizontal="center"/>
    </xf>
    <xf numFmtId="44" fontId="4" fillId="5" borderId="1" xfId="1" applyNumberFormat="1" applyFont="1" applyFill="1" applyBorder="1" applyAlignment="1">
      <alignment horizontal="center"/>
    </xf>
    <xf numFmtId="44" fontId="47" fillId="0" borderId="4" xfId="0" applyNumberFormat="1" applyFont="1" applyFill="1" applyBorder="1" applyAlignment="1">
      <alignment horizontal="right"/>
    </xf>
    <xf numFmtId="44" fontId="66" fillId="0" borderId="1" xfId="1" applyNumberFormat="1" applyFont="1" applyFill="1" applyBorder="1" applyAlignment="1">
      <alignment horizontal="right"/>
    </xf>
    <xf numFmtId="0" fontId="60" fillId="6" borderId="1" xfId="0" applyFont="1" applyFill="1" applyBorder="1"/>
    <xf numFmtId="0" fontId="29" fillId="6" borderId="1" xfId="0" applyNumberFormat="1" applyFont="1" applyFill="1" applyBorder="1" applyAlignment="1">
      <alignment horizontal="left"/>
    </xf>
    <xf numFmtId="44" fontId="63" fillId="5" borderId="1" xfId="1" applyNumberFormat="1" applyFont="1" applyFill="1" applyBorder="1" applyAlignment="1">
      <alignment horizontal="right"/>
    </xf>
    <xf numFmtId="44" fontId="52" fillId="5" borderId="1" xfId="0" applyNumberFormat="1" applyFont="1" applyFill="1" applyBorder="1" applyAlignment="1">
      <alignment horizontal="right"/>
    </xf>
    <xf numFmtId="44" fontId="61" fillId="6" borderId="1" xfId="0" applyNumberFormat="1" applyFont="1" applyFill="1" applyBorder="1" applyAlignment="1">
      <alignment horizontal="left"/>
    </xf>
    <xf numFmtId="44" fontId="74" fillId="0" borderId="1" xfId="1" applyNumberFormat="1" applyFont="1" applyFill="1" applyBorder="1" applyAlignment="1">
      <alignment horizontal="right"/>
    </xf>
    <xf numFmtId="0" fontId="72" fillId="6" borderId="1" xfId="0" applyNumberFormat="1" applyFont="1" applyFill="1" applyBorder="1" applyAlignment="1">
      <alignment horizontal="left"/>
    </xf>
    <xf numFmtId="44" fontId="74" fillId="6" borderId="1" xfId="1" applyNumberFormat="1" applyFont="1" applyFill="1" applyBorder="1" applyAlignment="1">
      <alignment horizontal="right"/>
    </xf>
    <xf numFmtId="44" fontId="74" fillId="6" borderId="1" xfId="0" applyNumberFormat="1" applyFont="1" applyFill="1" applyBorder="1" applyAlignment="1">
      <alignment horizontal="right"/>
    </xf>
    <xf numFmtId="0" fontId="74" fillId="6" borderId="1" xfId="0" applyFont="1" applyFill="1" applyBorder="1" applyAlignment="1">
      <alignment horizontal="right"/>
    </xf>
    <xf numFmtId="0" fontId="2" fillId="5" borderId="1" xfId="0" applyNumberFormat="1" applyFont="1" applyFill="1" applyBorder="1" applyAlignment="1">
      <alignment horizontal="left" vertical="top"/>
    </xf>
    <xf numFmtId="44" fontId="2" fillId="8" borderId="1" xfId="1" applyNumberFormat="1" applyFont="1" applyFill="1" applyBorder="1" applyAlignment="1">
      <alignment horizontal="right"/>
    </xf>
    <xf numFmtId="44" fontId="70" fillId="0" borderId="1" xfId="0" applyNumberFormat="1" applyFont="1" applyFill="1" applyBorder="1" applyAlignment="1">
      <alignment horizontal="right"/>
    </xf>
    <xf numFmtId="44" fontId="52" fillId="6" borderId="1" xfId="1" applyNumberFormat="1" applyFont="1" applyFill="1" applyBorder="1" applyAlignment="1">
      <alignment horizontal="right"/>
    </xf>
    <xf numFmtId="44" fontId="52" fillId="6" borderId="1" xfId="0" applyNumberFormat="1" applyFont="1" applyFill="1" applyBorder="1" applyAlignment="1">
      <alignment horizontal="right"/>
    </xf>
    <xf numFmtId="0" fontId="3" fillId="0" borderId="0" xfId="0" applyFont="1"/>
    <xf numFmtId="44" fontId="4" fillId="0" borderId="0" xfId="0" applyNumberFormat="1" applyFont="1"/>
    <xf numFmtId="44" fontId="72" fillId="6" borderId="1" xfId="1" applyNumberFormat="1" applyFont="1" applyFill="1" applyBorder="1" applyAlignment="1">
      <alignment horizontal="right"/>
    </xf>
    <xf numFmtId="44" fontId="72" fillId="0" borderId="1" xfId="1" applyNumberFormat="1" applyFont="1" applyFill="1" applyBorder="1" applyAlignment="1">
      <alignment horizontal="right"/>
    </xf>
    <xf numFmtId="44" fontId="72" fillId="6" borderId="1" xfId="0" applyNumberFormat="1" applyFont="1" applyFill="1" applyBorder="1" applyAlignment="1">
      <alignment horizontal="right"/>
    </xf>
    <xf numFmtId="0" fontId="72" fillId="6" borderId="1" xfId="0" applyFont="1" applyFill="1" applyBorder="1"/>
    <xf numFmtId="44" fontId="67" fillId="0" borderId="1" xfId="0" applyNumberFormat="1" applyFont="1" applyFill="1" applyBorder="1" applyAlignment="1">
      <alignment horizontal="right"/>
    </xf>
    <xf numFmtId="44" fontId="2" fillId="0" borderId="1" xfId="0" applyNumberFormat="1" applyFont="1" applyFill="1" applyBorder="1" applyAlignment="1">
      <alignment horizontal="right"/>
    </xf>
    <xf numFmtId="44" fontId="4" fillId="0" borderId="1" xfId="0" applyNumberFormat="1" applyFont="1" applyBorder="1"/>
    <xf numFmtId="44" fontId="75" fillId="6" borderId="1" xfId="0" applyNumberFormat="1" applyFont="1" applyFill="1" applyBorder="1" applyAlignment="1">
      <alignment horizontal="right"/>
    </xf>
    <xf numFmtId="0" fontId="3" fillId="2" borderId="1" xfId="0" applyNumberFormat="1" applyFont="1" applyFill="1" applyBorder="1" applyAlignment="1">
      <alignment horizontal="right"/>
    </xf>
    <xf numFmtId="0" fontId="4" fillId="2" borderId="1" xfId="0" applyNumberFormat="1" applyFont="1" applyFill="1" applyBorder="1" applyAlignment="1">
      <alignment horizontal="right" textRotation="50"/>
    </xf>
    <xf numFmtId="0" fontId="4" fillId="0" borderId="1" xfId="0" applyNumberFormat="1" applyFont="1" applyBorder="1"/>
    <xf numFmtId="44" fontId="52" fillId="5" borderId="1" xfId="1" applyNumberFormat="1" applyFont="1" applyFill="1" applyBorder="1" applyAlignment="1">
      <alignment horizontal="right"/>
    </xf>
    <xf numFmtId="0" fontId="3" fillId="9" borderId="1" xfId="0" applyNumberFormat="1" applyFont="1" applyFill="1" applyBorder="1" applyAlignment="1">
      <alignment horizontal="left"/>
    </xf>
    <xf numFmtId="44" fontId="4" fillId="9" borderId="1" xfId="0" applyNumberFormat="1" applyFont="1" applyFill="1" applyBorder="1" applyAlignment="1">
      <alignment horizontal="right"/>
    </xf>
    <xf numFmtId="44" fontId="4" fillId="9" borderId="1" xfId="1" applyNumberFormat="1" applyFont="1" applyFill="1" applyBorder="1" applyAlignment="1">
      <alignment horizontal="right"/>
    </xf>
    <xf numFmtId="44" fontId="66" fillId="9" borderId="1" xfId="0" applyNumberFormat="1" applyFont="1" applyFill="1" applyBorder="1" applyAlignment="1">
      <alignment horizontal="right"/>
    </xf>
    <xf numFmtId="44" fontId="52" fillId="9" borderId="1" xfId="1" applyNumberFormat="1" applyFont="1" applyFill="1" applyBorder="1" applyAlignment="1">
      <alignment horizontal="right"/>
    </xf>
    <xf numFmtId="44" fontId="13" fillId="0" borderId="1" xfId="1" applyNumberFormat="1" applyFont="1" applyFill="1" applyBorder="1" applyAlignment="1">
      <alignment horizontal="right"/>
    </xf>
    <xf numFmtId="44" fontId="19" fillId="6" borderId="1" xfId="0" applyNumberFormat="1" applyFont="1" applyFill="1" applyBorder="1" applyAlignment="1">
      <alignment horizontal="right"/>
    </xf>
    <xf numFmtId="44" fontId="19" fillId="6" borderId="1" xfId="1" applyNumberFormat="1" applyFont="1" applyFill="1" applyBorder="1" applyAlignment="1">
      <alignment horizontal="right"/>
    </xf>
    <xf numFmtId="0" fontId="19" fillId="6" borderId="1" xfId="0" applyFont="1" applyFill="1" applyBorder="1"/>
    <xf numFmtId="44" fontId="51" fillId="6" borderId="1" xfId="1" applyNumberFormat="1" applyFont="1" applyFill="1" applyBorder="1" applyAlignment="1">
      <alignment horizontal="right"/>
    </xf>
    <xf numFmtId="4" fontId="60" fillId="0" borderId="0" xfId="0" applyNumberFormat="1" applyFont="1"/>
    <xf numFmtId="44" fontId="72" fillId="10" borderId="1" xfId="1" applyNumberFormat="1" applyFont="1" applyFill="1" applyBorder="1" applyAlignment="1">
      <alignment horizontal="right"/>
    </xf>
    <xf numFmtId="44" fontId="66" fillId="6" borderId="1" xfId="0" applyNumberFormat="1" applyFont="1" applyFill="1" applyBorder="1" applyAlignment="1">
      <alignment horizontal="left"/>
    </xf>
    <xf numFmtId="44" fontId="52" fillId="0" borderId="1" xfId="0" applyNumberFormat="1" applyFont="1" applyFill="1" applyBorder="1" applyAlignment="1">
      <alignment horizontal="right" vertical="top"/>
    </xf>
    <xf numFmtId="44" fontId="47" fillId="5" borderId="1" xfId="0" applyNumberFormat="1" applyFont="1" applyFill="1" applyBorder="1"/>
    <xf numFmtId="44" fontId="61" fillId="5" borderId="1" xfId="1" applyNumberFormat="1" applyFont="1" applyFill="1" applyBorder="1" applyAlignment="1">
      <alignment horizontal="right" wrapText="1"/>
    </xf>
    <xf numFmtId="44" fontId="47" fillId="5" borderId="1" xfId="0" applyNumberFormat="1" applyFont="1" applyFill="1" applyBorder="1" applyAlignment="1">
      <alignment horizontal="right"/>
    </xf>
    <xf numFmtId="44" fontId="4" fillId="0" borderId="1" xfId="0" applyNumberFormat="1" applyFont="1" applyFill="1" applyBorder="1" applyAlignment="1">
      <alignment horizontal="right" vertical="top"/>
    </xf>
    <xf numFmtId="44" fontId="61" fillId="6" borderId="1" xfId="2" applyNumberFormat="1" applyFont="1" applyFill="1" applyBorder="1" applyAlignment="1">
      <alignment horizontal="right"/>
    </xf>
    <xf numFmtId="44" fontId="61" fillId="6" borderId="1" xfId="2" applyNumberFormat="1" applyFont="1" applyFill="1" applyBorder="1"/>
    <xf numFmtId="44" fontId="61" fillId="6" borderId="1" xfId="0" applyNumberFormat="1" applyFont="1" applyFill="1" applyBorder="1"/>
    <xf numFmtId="44" fontId="78" fillId="4" borderId="1" xfId="0" applyNumberFormat="1" applyFont="1" applyFill="1" applyBorder="1" applyAlignment="1">
      <alignment horizontal="center" textRotation="45"/>
    </xf>
    <xf numFmtId="44" fontId="79" fillId="2" borderId="1" xfId="0" applyNumberFormat="1" applyFont="1" applyFill="1" applyBorder="1" applyAlignment="1">
      <alignment horizontal="left"/>
    </xf>
    <xf numFmtId="44" fontId="4" fillId="2" borderId="1" xfId="0" applyNumberFormat="1" applyFont="1" applyFill="1" applyBorder="1" applyAlignment="1">
      <alignment horizontal="left"/>
    </xf>
    <xf numFmtId="44" fontId="4" fillId="6" borderId="1" xfId="0" applyNumberFormat="1" applyFont="1" applyFill="1" applyBorder="1" applyAlignment="1">
      <alignment horizontal="left"/>
    </xf>
    <xf numFmtId="44" fontId="4" fillId="0" borderId="1" xfId="0" applyNumberFormat="1" applyFont="1" applyFill="1" applyBorder="1" applyAlignment="1">
      <alignment horizontal="left"/>
    </xf>
    <xf numFmtId="44" fontId="61" fillId="0" borderId="1" xfId="0" applyNumberFormat="1" applyFont="1" applyFill="1" applyBorder="1" applyAlignment="1">
      <alignment horizontal="left"/>
    </xf>
    <xf numFmtId="44" fontId="14" fillId="6" borderId="1" xfId="0" applyNumberFormat="1" applyFont="1" applyFill="1" applyBorder="1"/>
    <xf numFmtId="44" fontId="14" fillId="6" borderId="1" xfId="0" applyNumberFormat="1" applyFont="1" applyFill="1" applyBorder="1" applyAlignment="1">
      <alignment horizontal="left"/>
    </xf>
    <xf numFmtId="44" fontId="4" fillId="5" borderId="1" xfId="0" applyNumberFormat="1" applyFont="1" applyFill="1" applyBorder="1" applyAlignment="1">
      <alignment horizontal="left"/>
    </xf>
    <xf numFmtId="44" fontId="14" fillId="6" borderId="1" xfId="0" applyNumberFormat="1" applyFont="1" applyFill="1" applyBorder="1" applyAlignment="1">
      <alignment horizontal="left" vertical="top"/>
    </xf>
    <xf numFmtId="44" fontId="74" fillId="6" borderId="1" xfId="0" applyNumberFormat="1" applyFont="1" applyFill="1" applyBorder="1" applyAlignment="1">
      <alignment horizontal="left"/>
    </xf>
    <xf numFmtId="44" fontId="14" fillId="3" borderId="1" xfId="0" applyNumberFormat="1" applyFont="1" applyFill="1" applyBorder="1" applyAlignment="1">
      <alignment horizontal="center" textRotation="45"/>
    </xf>
    <xf numFmtId="44" fontId="28" fillId="2" borderId="1" xfId="0" applyNumberFormat="1" applyFont="1" applyFill="1" applyBorder="1" applyAlignment="1">
      <alignment horizontal="left"/>
    </xf>
    <xf numFmtId="44" fontId="4" fillId="7" borderId="1" xfId="0" applyNumberFormat="1" applyFont="1" applyFill="1" applyBorder="1" applyAlignment="1">
      <alignment horizontal="left"/>
    </xf>
    <xf numFmtId="44" fontId="4" fillId="6" borderId="3" xfId="0" applyNumberFormat="1" applyFont="1" applyFill="1" applyBorder="1" applyAlignment="1">
      <alignment horizontal="left"/>
    </xf>
    <xf numFmtId="44" fontId="61" fillId="5" borderId="1" xfId="0" applyNumberFormat="1" applyFont="1" applyFill="1" applyBorder="1" applyAlignment="1">
      <alignment horizontal="left"/>
    </xf>
    <xf numFmtId="44" fontId="61" fillId="5" borderId="1" xfId="0" applyNumberFormat="1" applyFont="1" applyFill="1" applyBorder="1" applyAlignment="1">
      <alignment horizontal="left" wrapText="1"/>
    </xf>
    <xf numFmtId="44" fontId="19" fillId="3" borderId="1" xfId="0" applyNumberFormat="1" applyFont="1" applyFill="1" applyBorder="1" applyAlignment="1">
      <alignment horizontal="center" textRotation="45"/>
    </xf>
    <xf numFmtId="44" fontId="49" fillId="6" borderId="1" xfId="0" applyNumberFormat="1" applyFont="1" applyFill="1" applyBorder="1" applyAlignment="1">
      <alignment horizontal="left"/>
    </xf>
    <xf numFmtId="44" fontId="80" fillId="0" borderId="0" xfId="0" applyNumberFormat="1" applyFont="1"/>
    <xf numFmtId="44" fontId="15" fillId="0" borderId="1" xfId="0" applyNumberFormat="1" applyFont="1" applyFill="1" applyBorder="1" applyAlignment="1">
      <alignment horizontal="left"/>
    </xf>
    <xf numFmtId="44" fontId="81" fillId="3" borderId="1" xfId="0" applyNumberFormat="1" applyFont="1" applyFill="1" applyBorder="1" applyAlignment="1">
      <alignment horizontal="center" textRotation="45"/>
    </xf>
    <xf numFmtId="44" fontId="15" fillId="0" borderId="1" xfId="0" applyNumberFormat="1" applyFont="1" applyBorder="1" applyAlignment="1">
      <alignment horizontal="left"/>
    </xf>
    <xf numFmtId="44" fontId="27" fillId="4" borderId="2" xfId="0" applyNumberFormat="1" applyFont="1" applyFill="1" applyBorder="1" applyAlignment="1">
      <alignment horizontal="center" textRotation="45"/>
    </xf>
    <xf numFmtId="44" fontId="3" fillId="2" borderId="2" xfId="0" applyNumberFormat="1" applyFont="1" applyFill="1" applyBorder="1" applyAlignment="1">
      <alignment horizontal="right" textRotation="45"/>
    </xf>
    <xf numFmtId="0" fontId="3" fillId="2" borderId="2" xfId="0" applyNumberFormat="1" applyFont="1" applyFill="1" applyBorder="1" applyAlignment="1">
      <alignment horizontal="right"/>
    </xf>
    <xf numFmtId="44" fontId="4" fillId="6" borderId="2" xfId="1" applyNumberFormat="1" applyFont="1" applyFill="1" applyBorder="1" applyAlignment="1">
      <alignment horizontal="right"/>
    </xf>
    <xf numFmtId="44" fontId="61" fillId="6" borderId="2" xfId="1" applyNumberFormat="1" applyFont="1" applyFill="1" applyBorder="1" applyAlignment="1">
      <alignment horizontal="right"/>
    </xf>
    <xf numFmtId="44" fontId="4" fillId="6" borderId="2" xfId="0" applyNumberFormat="1" applyFont="1" applyFill="1" applyBorder="1" applyAlignment="1">
      <alignment horizontal="right"/>
    </xf>
    <xf numFmtId="44" fontId="65" fillId="5" borderId="2" xfId="0" applyNumberFormat="1" applyFont="1" applyFill="1" applyBorder="1" applyAlignment="1">
      <alignment horizontal="right"/>
    </xf>
    <xf numFmtId="44" fontId="4" fillId="0" borderId="2" xfId="1" applyNumberFormat="1" applyFont="1" applyFill="1" applyBorder="1" applyAlignment="1">
      <alignment horizontal="right"/>
    </xf>
    <xf numFmtId="44" fontId="63" fillId="0" borderId="2" xfId="1" applyNumberFormat="1" applyFont="1" applyFill="1" applyBorder="1" applyAlignment="1">
      <alignment horizontal="right"/>
    </xf>
    <xf numFmtId="44" fontId="4" fillId="0" borderId="2" xfId="0" applyNumberFormat="1" applyFont="1" applyFill="1" applyBorder="1" applyAlignment="1">
      <alignment horizontal="right"/>
    </xf>
    <xf numFmtId="44" fontId="51" fillId="5" borderId="2" xfId="1" applyNumberFormat="1" applyFont="1" applyFill="1" applyBorder="1" applyAlignment="1">
      <alignment horizontal="right"/>
    </xf>
    <xf numFmtId="44" fontId="61" fillId="0" borderId="2" xfId="1" applyNumberFormat="1" applyFont="1" applyFill="1" applyBorder="1" applyAlignment="1">
      <alignment horizontal="right"/>
    </xf>
    <xf numFmtId="44" fontId="14" fillId="0" borderId="2" xfId="1" applyNumberFormat="1" applyFont="1" applyFill="1" applyBorder="1" applyAlignment="1">
      <alignment horizontal="right"/>
    </xf>
    <xf numFmtId="44" fontId="4" fillId="6" borderId="2" xfId="0" applyNumberFormat="1" applyFont="1" applyFill="1" applyBorder="1"/>
    <xf numFmtId="44" fontId="14" fillId="6" borderId="2" xfId="1" applyNumberFormat="1" applyFont="1" applyFill="1" applyBorder="1" applyAlignment="1">
      <alignment horizontal="right"/>
    </xf>
    <xf numFmtId="44" fontId="14" fillId="6" borderId="2" xfId="0" applyNumberFormat="1" applyFont="1" applyFill="1" applyBorder="1" applyAlignment="1">
      <alignment horizontal="right"/>
    </xf>
    <xf numFmtId="44" fontId="74" fillId="6" borderId="2" xfId="0" applyNumberFormat="1" applyFont="1" applyFill="1" applyBorder="1" applyAlignment="1">
      <alignment horizontal="right"/>
    </xf>
    <xf numFmtId="44" fontId="2" fillId="3" borderId="2" xfId="0" applyNumberFormat="1" applyFont="1" applyFill="1" applyBorder="1" applyAlignment="1">
      <alignment horizontal="center" textRotation="45"/>
    </xf>
    <xf numFmtId="44" fontId="3" fillId="6" borderId="2" xfId="0" applyNumberFormat="1" applyFont="1" applyFill="1" applyBorder="1" applyAlignment="1">
      <alignment horizontal="right"/>
    </xf>
    <xf numFmtId="44" fontId="4" fillId="5" borderId="2" xfId="0" applyNumberFormat="1" applyFont="1" applyFill="1" applyBorder="1" applyAlignment="1">
      <alignment horizontal="right"/>
    </xf>
    <xf numFmtId="44" fontId="61" fillId="6" borderId="2" xfId="0" applyNumberFormat="1" applyFont="1" applyFill="1" applyBorder="1" applyAlignment="1">
      <alignment horizontal="right"/>
    </xf>
    <xf numFmtId="44" fontId="4" fillId="6" borderId="2" xfId="0" applyNumberFormat="1" applyFont="1" applyFill="1" applyBorder="1" applyAlignment="1">
      <alignment horizontal="right" wrapText="1"/>
    </xf>
    <xf numFmtId="44" fontId="14" fillId="6" borderId="2" xfId="0" applyNumberFormat="1" applyFont="1" applyFill="1" applyBorder="1" applyAlignment="1">
      <alignment horizontal="right" wrapText="1"/>
    </xf>
    <xf numFmtId="44" fontId="4" fillId="5" borderId="2" xfId="1" applyNumberFormat="1" applyFont="1" applyFill="1" applyBorder="1" applyAlignment="1">
      <alignment horizontal="right"/>
    </xf>
    <xf numFmtId="44" fontId="61" fillId="5" borderId="2" xfId="1" applyNumberFormat="1" applyFont="1" applyFill="1" applyBorder="1" applyAlignment="1">
      <alignment horizontal="right"/>
    </xf>
    <xf numFmtId="44" fontId="52" fillId="6" borderId="2" xfId="0" applyNumberFormat="1" applyFont="1" applyFill="1" applyBorder="1" applyAlignment="1">
      <alignment horizontal="right"/>
    </xf>
    <xf numFmtId="44" fontId="4" fillId="5" borderId="2" xfId="1" applyNumberFormat="1" applyFont="1" applyFill="1" applyBorder="1" applyAlignment="1">
      <alignment horizontal="center"/>
    </xf>
    <xf numFmtId="44" fontId="66" fillId="5" borderId="2" xfId="1" applyNumberFormat="1" applyFont="1" applyFill="1" applyBorder="1" applyAlignment="1">
      <alignment horizontal="right"/>
    </xf>
    <xf numFmtId="44" fontId="2" fillId="6" borderId="2" xfId="0" applyNumberFormat="1" applyFont="1" applyFill="1" applyBorder="1" applyAlignment="1">
      <alignment horizontal="right"/>
    </xf>
    <xf numFmtId="44" fontId="46" fillId="6" borderId="2" xfId="0" applyNumberFormat="1" applyFont="1" applyFill="1" applyBorder="1" applyAlignment="1">
      <alignment horizontal="right"/>
    </xf>
    <xf numFmtId="44" fontId="28" fillId="6" borderId="2" xfId="0" applyNumberFormat="1" applyFont="1" applyFill="1" applyBorder="1" applyAlignment="1">
      <alignment horizontal="right"/>
    </xf>
    <xf numFmtId="44" fontId="2" fillId="6" borderId="2" xfId="1" applyNumberFormat="1" applyFont="1" applyFill="1" applyBorder="1" applyAlignment="1">
      <alignment horizontal="right"/>
    </xf>
    <xf numFmtId="44" fontId="72" fillId="6" borderId="2" xfId="1" applyNumberFormat="1" applyFont="1" applyFill="1" applyBorder="1" applyAlignment="1">
      <alignment horizontal="right"/>
    </xf>
    <xf numFmtId="44" fontId="27" fillId="3" borderId="2" xfId="0" applyNumberFormat="1" applyFont="1" applyFill="1" applyBorder="1" applyAlignment="1">
      <alignment horizontal="center" textRotation="45"/>
    </xf>
    <xf numFmtId="44" fontId="52" fillId="0" borderId="2" xfId="0" applyNumberFormat="1" applyFont="1" applyFill="1" applyBorder="1" applyAlignment="1">
      <alignment horizontal="right"/>
    </xf>
    <xf numFmtId="44" fontId="13" fillId="6" borderId="2" xfId="0" applyNumberFormat="1" applyFont="1" applyFill="1" applyBorder="1" applyAlignment="1">
      <alignment horizontal="right"/>
    </xf>
    <xf numFmtId="44" fontId="61" fillId="6" borderId="2" xfId="2" applyNumberFormat="1" applyFont="1" applyFill="1" applyBorder="1"/>
    <xf numFmtId="44" fontId="61" fillId="5" borderId="2" xfId="0" applyNumberFormat="1" applyFont="1" applyFill="1" applyBorder="1" applyAlignment="1">
      <alignment horizontal="right"/>
    </xf>
    <xf numFmtId="44" fontId="28" fillId="6" borderId="2" xfId="1" applyNumberFormat="1" applyFont="1" applyFill="1" applyBorder="1" applyAlignment="1">
      <alignment horizontal="right"/>
    </xf>
    <xf numFmtId="44" fontId="14" fillId="6" borderId="2" xfId="0" applyNumberFormat="1" applyFont="1" applyFill="1" applyBorder="1" applyAlignment="1"/>
    <xf numFmtId="44" fontId="49" fillId="6" borderId="2" xfId="1" applyNumberFormat="1" applyFont="1" applyFill="1" applyBorder="1" applyAlignment="1">
      <alignment horizontal="right"/>
    </xf>
    <xf numFmtId="44" fontId="15" fillId="0" borderId="2" xfId="1" applyNumberFormat="1" applyFont="1" applyFill="1" applyBorder="1" applyAlignment="1">
      <alignment horizontal="right"/>
    </xf>
    <xf numFmtId="44" fontId="3" fillId="0" borderId="2" xfId="0" applyNumberFormat="1" applyFont="1" applyFill="1" applyBorder="1" applyAlignment="1">
      <alignment horizontal="right"/>
    </xf>
    <xf numFmtId="44" fontId="12" fillId="0" borderId="2" xfId="0" applyNumberFormat="1" applyFont="1" applyBorder="1" applyAlignment="1">
      <alignment horizontal="right"/>
    </xf>
    <xf numFmtId="44" fontId="15" fillId="0" borderId="2" xfId="0" applyNumberFormat="1" applyFont="1" applyBorder="1" applyAlignment="1">
      <alignment horizontal="right"/>
    </xf>
    <xf numFmtId="44" fontId="66" fillId="6" borderId="1" xfId="0" applyNumberFormat="1" applyFont="1" applyFill="1" applyBorder="1" applyAlignment="1">
      <alignment horizontal="right"/>
    </xf>
    <xf numFmtId="44" fontId="52" fillId="6" borderId="0" xfId="0" applyNumberFormat="1" applyFont="1" applyFill="1"/>
    <xf numFmtId="0" fontId="12" fillId="4" borderId="1" xfId="0" applyNumberFormat="1" applyFont="1" applyFill="1" applyBorder="1" applyAlignment="1">
      <alignment horizontal="left" vertical="distributed"/>
    </xf>
    <xf numFmtId="0" fontId="41" fillId="2" borderId="1" xfId="0" applyNumberFormat="1" applyFont="1" applyFill="1" applyBorder="1" applyAlignment="1">
      <alignment horizontal="left"/>
    </xf>
    <xf numFmtId="0" fontId="12" fillId="6" borderId="1" xfId="0" applyNumberFormat="1" applyFont="1" applyFill="1" applyBorder="1" applyAlignment="1">
      <alignment horizontal="left"/>
    </xf>
    <xf numFmtId="0" fontId="84" fillId="6" borderId="1" xfId="0" applyNumberFormat="1" applyFont="1" applyFill="1" applyBorder="1" applyAlignment="1">
      <alignment horizontal="left"/>
    </xf>
    <xf numFmtId="0" fontId="43" fillId="6" borderId="1" xfId="0" applyNumberFormat="1" applyFont="1" applyFill="1" applyBorder="1"/>
    <xf numFmtId="0" fontId="43" fillId="6" borderId="1" xfId="0" applyNumberFormat="1" applyFont="1" applyFill="1" applyBorder="1" applyAlignment="1">
      <alignment horizontal="left"/>
    </xf>
    <xf numFmtId="0" fontId="85" fillId="6" borderId="1" xfId="0" applyNumberFormat="1" applyFont="1" applyFill="1" applyBorder="1" applyAlignment="1">
      <alignment horizontal="left"/>
    </xf>
    <xf numFmtId="0" fontId="43" fillId="3" borderId="1" xfId="0" applyNumberFormat="1" applyFont="1" applyFill="1" applyBorder="1" applyAlignment="1">
      <alignment horizontal="center" textRotation="45"/>
    </xf>
    <xf numFmtId="0" fontId="44" fillId="2" borderId="1" xfId="0" applyNumberFormat="1" applyFont="1" applyFill="1" applyBorder="1" applyAlignment="1">
      <alignment horizontal="left"/>
    </xf>
    <xf numFmtId="0" fontId="86" fillId="6" borderId="1" xfId="0" applyNumberFormat="1" applyFont="1" applyFill="1" applyBorder="1" applyAlignment="1">
      <alignment horizontal="left"/>
    </xf>
    <xf numFmtId="44" fontId="15" fillId="6" borderId="1" xfId="0" applyNumberFormat="1" applyFont="1" applyFill="1" applyBorder="1" applyAlignment="1">
      <alignment horizontal="right"/>
    </xf>
    <xf numFmtId="44" fontId="3" fillId="0" borderId="0" xfId="0" applyNumberFormat="1" applyFont="1" applyAlignment="1">
      <alignment horizontal="left" indent="1"/>
    </xf>
    <xf numFmtId="44" fontId="14" fillId="8" borderId="1" xfId="1" applyNumberFormat="1" applyFont="1" applyFill="1" applyBorder="1" applyAlignment="1">
      <alignment horizontal="right"/>
    </xf>
    <xf numFmtId="0" fontId="3" fillId="11" borderId="1" xfId="0" applyNumberFormat="1" applyFont="1" applyFill="1" applyBorder="1" applyAlignment="1">
      <alignment horizontal="left"/>
    </xf>
    <xf numFmtId="44" fontId="61" fillId="11" borderId="1" xfId="0" applyNumberFormat="1" applyFont="1" applyFill="1" applyBorder="1" applyAlignment="1">
      <alignment horizontal="left"/>
    </xf>
    <xf numFmtId="44" fontId="61" fillId="11" borderId="1" xfId="0" applyNumberFormat="1" applyFont="1" applyFill="1" applyBorder="1" applyAlignment="1">
      <alignment horizontal="right"/>
    </xf>
    <xf numFmtId="44" fontId="61" fillId="11" borderId="1" xfId="1" applyNumberFormat="1" applyFont="1" applyFill="1" applyBorder="1" applyAlignment="1">
      <alignment horizontal="right"/>
    </xf>
    <xf numFmtId="44" fontId="61" fillId="11" borderId="2" xfId="0" applyNumberFormat="1" applyFont="1" applyFill="1" applyBorder="1" applyAlignment="1">
      <alignment horizontal="right"/>
    </xf>
    <xf numFmtId="0" fontId="61" fillId="11" borderId="1" xfId="0" applyFont="1" applyFill="1" applyBorder="1"/>
    <xf numFmtId="44" fontId="4" fillId="11" borderId="1" xfId="0" applyNumberFormat="1" applyFont="1" applyFill="1" applyBorder="1" applyAlignment="1">
      <alignment horizontal="left"/>
    </xf>
    <xf numFmtId="44" fontId="13" fillId="11" borderId="1" xfId="0" applyNumberFormat="1" applyFont="1" applyFill="1" applyBorder="1" applyAlignment="1">
      <alignment horizontal="right"/>
    </xf>
    <xf numFmtId="44" fontId="4" fillId="11" borderId="1" xfId="1" applyNumberFormat="1" applyFont="1" applyFill="1" applyBorder="1" applyAlignment="1">
      <alignment horizontal="right"/>
    </xf>
    <xf numFmtId="44" fontId="4" fillId="11" borderId="2" xfId="0" applyNumberFormat="1" applyFont="1" applyFill="1" applyBorder="1" applyAlignment="1">
      <alignment horizontal="right"/>
    </xf>
    <xf numFmtId="44" fontId="4" fillId="11" borderId="1" xfId="0" applyNumberFormat="1" applyFont="1" applyFill="1" applyBorder="1" applyAlignment="1">
      <alignment horizontal="right"/>
    </xf>
    <xf numFmtId="0" fontId="13" fillId="11" borderId="1" xfId="0" applyFont="1" applyFill="1" applyBorder="1"/>
    <xf numFmtId="44" fontId="4" fillId="11" borderId="2" xfId="1" applyNumberFormat="1" applyFont="1" applyFill="1" applyBorder="1" applyAlignment="1">
      <alignment horizontal="right"/>
    </xf>
    <xf numFmtId="0" fontId="4" fillId="11" borderId="1" xfId="0" applyFont="1" applyFill="1" applyBorder="1" applyAlignment="1">
      <alignment horizontal="right"/>
    </xf>
    <xf numFmtId="0" fontId="4" fillId="11" borderId="1" xfId="0" applyFont="1" applyFill="1" applyBorder="1"/>
    <xf numFmtId="44" fontId="14" fillId="11" borderId="1" xfId="0" applyNumberFormat="1" applyFont="1" applyFill="1" applyBorder="1" applyAlignment="1">
      <alignment horizontal="right"/>
    </xf>
    <xf numFmtId="44" fontId="14" fillId="11" borderId="1" xfId="1" applyNumberFormat="1" applyFont="1" applyFill="1" applyBorder="1" applyAlignment="1">
      <alignment horizontal="right"/>
    </xf>
    <xf numFmtId="44" fontId="14" fillId="11" borderId="2" xfId="1" applyNumberFormat="1" applyFont="1" applyFill="1" applyBorder="1" applyAlignment="1">
      <alignment horizontal="right"/>
    </xf>
    <xf numFmtId="0" fontId="14" fillId="11" borderId="1" xfId="0" applyFont="1" applyFill="1" applyBorder="1"/>
    <xf numFmtId="44" fontId="87" fillId="6" borderId="1" xfId="1" applyNumberFormat="1" applyFont="1" applyFill="1" applyBorder="1" applyAlignment="1">
      <alignment horizontal="right"/>
    </xf>
    <xf numFmtId="0" fontId="74" fillId="6" borderId="1" xfId="0" applyFont="1" applyFill="1" applyBorder="1"/>
    <xf numFmtId="44" fontId="74" fillId="6" borderId="2" xfId="1" applyNumberFormat="1" applyFont="1" applyFill="1" applyBorder="1" applyAlignment="1">
      <alignment horizontal="right"/>
    </xf>
    <xf numFmtId="4" fontId="74" fillId="0" borderId="0" xfId="0" applyNumberFormat="1" applyFont="1"/>
    <xf numFmtId="44" fontId="2" fillId="6" borderId="1" xfId="0" applyNumberFormat="1" applyFont="1" applyFill="1" applyBorder="1" applyAlignment="1">
      <alignment horizontal="left"/>
    </xf>
    <xf numFmtId="0" fontId="60" fillId="0" borderId="0" xfId="0" applyFont="1"/>
    <xf numFmtId="44" fontId="61" fillId="0" borderId="0" xfId="0" applyNumberFormat="1" applyFont="1"/>
    <xf numFmtId="44" fontId="14" fillId="5" borderId="2" xfId="1" applyNumberFormat="1" applyFont="1" applyFill="1" applyBorder="1" applyAlignment="1">
      <alignment horizontal="right"/>
    </xf>
    <xf numFmtId="0" fontId="61" fillId="6" borderId="1" xfId="0" applyFont="1" applyFill="1" applyBorder="1" applyAlignment="1"/>
    <xf numFmtId="0" fontId="4" fillId="2" borderId="1" xfId="0" applyNumberFormat="1" applyFont="1" applyFill="1" applyBorder="1" applyAlignment="1">
      <alignment horizontal="left"/>
    </xf>
  </cellXfs>
  <cellStyles count="3">
    <cellStyle name="Currency" xfId="1" builtinId="4"/>
    <cellStyle name="Currency [0]" xfId="2" builtinId="7"/>
    <cellStyle name="Normal" xfId="0" builtinId="0"/>
  </cellStyles>
  <dxfs count="0"/>
  <tableStyles count="0" defaultTableStyle="TableStyleMedium9" defaultPivotStyle="PivotStyleLight16"/>
  <colors>
    <mruColors>
      <color rgb="FF289020"/>
      <color rgb="FF1F23DB"/>
      <color rgb="FF181BA8"/>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dimension ref="A1:K282"/>
  <sheetViews>
    <sheetView topLeftCell="A130" zoomScale="68" zoomScaleNormal="68" workbookViewId="0">
      <selection activeCell="F140" sqref="F140"/>
    </sheetView>
  </sheetViews>
  <sheetFormatPr defaultColWidth="8.77734375" defaultRowHeight="18.75"/>
  <cols>
    <col min="1" max="1" width="36.6640625" style="41" customWidth="1"/>
    <col min="2" max="8" width="17.21875" style="23" customWidth="1"/>
    <col min="9" max="9" width="17.21875" style="20" customWidth="1"/>
    <col min="10" max="10" width="17.21875" style="23" customWidth="1"/>
    <col min="11" max="11" width="18.109375" style="23" customWidth="1"/>
    <col min="12" max="12" width="8.77734375" style="4" customWidth="1"/>
    <col min="13" max="16384" width="8.77734375" style="4"/>
  </cols>
  <sheetData>
    <row r="1" spans="1:11" s="37" customFormat="1" ht="73.5" customHeight="1">
      <c r="A1" s="34" t="s">
        <v>261</v>
      </c>
      <c r="B1" s="35" t="s">
        <v>191</v>
      </c>
      <c r="C1" s="35" t="s">
        <v>192</v>
      </c>
      <c r="D1" s="35" t="s">
        <v>193</v>
      </c>
      <c r="E1" s="35" t="s">
        <v>194</v>
      </c>
      <c r="F1" s="35" t="s">
        <v>195</v>
      </c>
      <c r="G1" s="35" t="s">
        <v>196</v>
      </c>
      <c r="H1" s="35" t="s">
        <v>197</v>
      </c>
      <c r="I1" s="36" t="s">
        <v>198</v>
      </c>
      <c r="J1" s="35" t="s">
        <v>199</v>
      </c>
      <c r="K1" s="35" t="s">
        <v>200</v>
      </c>
    </row>
    <row r="2" spans="1:11" s="1" customFormat="1" ht="18">
      <c r="A2" s="5" t="s">
        <v>244</v>
      </c>
      <c r="B2" s="9"/>
      <c r="C2" s="10"/>
      <c r="D2" s="11"/>
      <c r="E2" s="10"/>
      <c r="F2" s="12"/>
      <c r="G2" s="12"/>
      <c r="H2" s="13"/>
      <c r="I2" s="9"/>
      <c r="J2" s="9"/>
      <c r="K2" s="14"/>
    </row>
    <row r="3" spans="1:11" s="45" customFormat="1" ht="18">
      <c r="A3" s="42" t="s">
        <v>0</v>
      </c>
      <c r="B3" s="43">
        <v>3598</v>
      </c>
      <c r="C3" s="43">
        <v>9690</v>
      </c>
      <c r="D3" s="43">
        <v>15504</v>
      </c>
      <c r="E3" s="43">
        <v>4330</v>
      </c>
      <c r="F3" s="43">
        <v>6937</v>
      </c>
      <c r="G3" s="43">
        <v>3788</v>
      </c>
      <c r="H3" s="43">
        <v>2293</v>
      </c>
      <c r="I3" s="43">
        <v>13491</v>
      </c>
      <c r="J3" s="43">
        <v>1550</v>
      </c>
      <c r="K3" s="44"/>
    </row>
    <row r="4" spans="1:11" s="49" customFormat="1" ht="18">
      <c r="A4" s="42" t="s">
        <v>204</v>
      </c>
      <c r="B4" s="46"/>
      <c r="C4" s="47"/>
      <c r="D4" s="46"/>
      <c r="E4" s="48">
        <v>895.5</v>
      </c>
      <c r="F4" s="48">
        <v>895.5</v>
      </c>
      <c r="G4" s="47"/>
      <c r="H4" s="46"/>
      <c r="I4" s="46"/>
      <c r="J4" s="46"/>
      <c r="K4" s="46">
        <f>SUM(B4:J4)</f>
        <v>1791</v>
      </c>
    </row>
    <row r="5" spans="1:11" s="51" customFormat="1" ht="18">
      <c r="A5" s="42" t="s">
        <v>205</v>
      </c>
      <c r="B5" s="50">
        <v>895.5</v>
      </c>
      <c r="C5" s="48"/>
      <c r="D5" s="46"/>
      <c r="E5" s="48"/>
      <c r="F5" s="48"/>
      <c r="G5" s="47"/>
      <c r="H5" s="46"/>
      <c r="I5" s="48"/>
      <c r="J5" s="48"/>
      <c r="K5" s="46">
        <f>SUM(B5:J5)</f>
        <v>895.5</v>
      </c>
    </row>
    <row r="6" spans="1:11" s="51" customFormat="1" ht="18">
      <c r="A6" s="42" t="s">
        <v>206</v>
      </c>
      <c r="B6" s="46"/>
      <c r="C6" s="48"/>
      <c r="D6" s="46"/>
      <c r="E6" s="48"/>
      <c r="F6" s="48"/>
      <c r="G6" s="50">
        <v>895.5</v>
      </c>
      <c r="H6" s="46"/>
      <c r="I6" s="46"/>
      <c r="J6" s="46"/>
      <c r="K6" s="46">
        <f>SUM(B6:J6)</f>
        <v>895.5</v>
      </c>
    </row>
    <row r="7" spans="1:11" s="49" customFormat="1" ht="18">
      <c r="A7" s="52" t="s">
        <v>267</v>
      </c>
      <c r="B7" s="53"/>
      <c r="C7" s="50">
        <v>3056</v>
      </c>
      <c r="D7" s="53"/>
      <c r="E7" s="50"/>
      <c r="F7" s="50"/>
      <c r="G7" s="53"/>
      <c r="H7" s="53"/>
      <c r="I7" s="50"/>
      <c r="J7" s="50"/>
      <c r="K7" s="53">
        <f>SUM(B7:J7)</f>
        <v>3056</v>
      </c>
    </row>
    <row r="8" spans="1:11" s="51" customFormat="1" ht="18">
      <c r="A8" s="42" t="s">
        <v>207</v>
      </c>
      <c r="B8" s="46"/>
      <c r="C8" s="46"/>
      <c r="D8" s="48"/>
      <c r="E8" s="46"/>
      <c r="F8" s="48"/>
      <c r="G8" s="48" t="s">
        <v>201</v>
      </c>
      <c r="H8" s="48">
        <v>349</v>
      </c>
      <c r="I8" s="48"/>
      <c r="J8" s="46"/>
      <c r="K8" s="46">
        <f>SUM(B8:J8)</f>
        <v>349</v>
      </c>
    </row>
    <row r="9" spans="1:11" s="51" customFormat="1" ht="18">
      <c r="A9" s="42" t="s">
        <v>208</v>
      </c>
      <c r="B9" s="46"/>
      <c r="C9" s="48"/>
      <c r="D9" s="48"/>
      <c r="E9" s="48"/>
      <c r="F9" s="48"/>
      <c r="G9" s="48" t="s">
        <v>225</v>
      </c>
      <c r="H9" s="48">
        <v>1195</v>
      </c>
      <c r="I9" s="48" t="s">
        <v>201</v>
      </c>
      <c r="J9" s="46"/>
      <c r="K9" s="46">
        <f t="shared" ref="K9:K22" si="0">SUM(B9:J9)</f>
        <v>1195</v>
      </c>
    </row>
    <row r="10" spans="1:11" s="51" customFormat="1" ht="18">
      <c r="A10" s="42" t="s">
        <v>209</v>
      </c>
      <c r="B10" s="46"/>
      <c r="C10" s="48"/>
      <c r="D10" s="48"/>
      <c r="E10" s="48"/>
      <c r="F10" s="48"/>
      <c r="G10" s="48">
        <v>450</v>
      </c>
      <c r="H10" s="48">
        <v>450</v>
      </c>
      <c r="I10" s="48" t="s">
        <v>201</v>
      </c>
      <c r="J10" s="46"/>
      <c r="K10" s="46">
        <f>SUM(B10:J10)</f>
        <v>900</v>
      </c>
    </row>
    <row r="11" spans="1:11" s="51" customFormat="1" ht="18">
      <c r="A11" s="42" t="s">
        <v>210</v>
      </c>
      <c r="B11" s="46"/>
      <c r="C11" s="48"/>
      <c r="D11" s="48"/>
      <c r="E11" s="48">
        <v>1701</v>
      </c>
      <c r="F11" s="48"/>
      <c r="G11" s="48"/>
      <c r="H11" s="48"/>
      <c r="I11" s="48"/>
      <c r="J11" s="46"/>
      <c r="K11" s="46">
        <f t="shared" si="0"/>
        <v>1701</v>
      </c>
    </row>
    <row r="12" spans="1:11" s="57" customFormat="1" ht="18">
      <c r="A12" s="54" t="s">
        <v>187</v>
      </c>
      <c r="B12" s="55"/>
      <c r="C12" s="56"/>
      <c r="D12" s="56"/>
      <c r="E12" s="56">
        <v>1370</v>
      </c>
      <c r="F12" s="56"/>
      <c r="G12" s="56"/>
      <c r="H12" s="56"/>
      <c r="I12" s="56">
        <v>1370</v>
      </c>
      <c r="J12" s="55"/>
      <c r="K12" s="55">
        <f>SUM(B12:J12)</f>
        <v>2740</v>
      </c>
    </row>
    <row r="13" spans="1:11" s="57" customFormat="1" ht="18">
      <c r="A13" s="63" t="s">
        <v>126</v>
      </c>
      <c r="B13" s="56"/>
      <c r="C13" s="56"/>
      <c r="D13" s="56"/>
      <c r="E13" s="56">
        <v>42346.74</v>
      </c>
      <c r="F13" s="56">
        <v>24247.42</v>
      </c>
      <c r="G13" s="56"/>
      <c r="H13" s="56"/>
      <c r="I13" s="59">
        <v>64683.15</v>
      </c>
      <c r="J13" s="56"/>
      <c r="K13" s="55">
        <f t="shared" si="0"/>
        <v>131277.31</v>
      </c>
    </row>
    <row r="14" spans="1:11" s="57" customFormat="1" ht="18">
      <c r="A14" s="63" t="s">
        <v>215</v>
      </c>
      <c r="B14" s="56"/>
      <c r="C14" s="56"/>
      <c r="D14" s="56"/>
      <c r="E14" s="47"/>
      <c r="F14" s="56"/>
      <c r="G14" s="56"/>
      <c r="H14" s="60"/>
      <c r="I14" s="61">
        <v>1975</v>
      </c>
      <c r="J14" s="56"/>
      <c r="K14" s="55">
        <f>SUM(B14:J14)</f>
        <v>1975</v>
      </c>
    </row>
    <row r="15" spans="1:11" s="57" customFormat="1" ht="18">
      <c r="A15" s="63" t="s">
        <v>179</v>
      </c>
      <c r="B15" s="56"/>
      <c r="C15" s="56"/>
      <c r="D15" s="56"/>
      <c r="E15" s="56"/>
      <c r="F15" s="56"/>
      <c r="G15" s="56"/>
      <c r="H15" s="56"/>
      <c r="I15" s="61">
        <v>22780</v>
      </c>
      <c r="J15" s="60"/>
      <c r="K15" s="55">
        <f>SUM(B15:J15)</f>
        <v>22780</v>
      </c>
    </row>
    <row r="16" spans="1:11" s="51" customFormat="1" ht="18">
      <c r="A16" s="42" t="s">
        <v>125</v>
      </c>
      <c r="B16" s="48"/>
      <c r="C16" s="50">
        <v>390</v>
      </c>
      <c r="D16" s="48"/>
      <c r="E16" s="46">
        <v>525</v>
      </c>
      <c r="F16" s="50">
        <v>325</v>
      </c>
      <c r="G16" s="48">
        <v>390</v>
      </c>
      <c r="H16" s="48">
        <v>397.5</v>
      </c>
      <c r="I16" s="48">
        <v>660</v>
      </c>
      <c r="J16" s="48"/>
      <c r="K16" s="46">
        <f t="shared" si="0"/>
        <v>2687.5</v>
      </c>
    </row>
    <row r="17" spans="1:11" s="49" customFormat="1" ht="18">
      <c r="A17" s="52" t="s">
        <v>217</v>
      </c>
      <c r="B17" s="50"/>
      <c r="C17" s="50"/>
      <c r="D17" s="50"/>
      <c r="E17" s="62"/>
      <c r="F17" s="47"/>
      <c r="G17" s="50"/>
      <c r="H17" s="50"/>
      <c r="I17" s="50">
        <v>1238</v>
      </c>
      <c r="J17" s="50"/>
      <c r="K17" s="53">
        <f t="shared" si="0"/>
        <v>1238</v>
      </c>
    </row>
    <row r="18" spans="1:11" s="64" customFormat="1" ht="18">
      <c r="A18" s="63" t="s">
        <v>1</v>
      </c>
      <c r="B18" s="56"/>
      <c r="C18" s="56"/>
      <c r="D18" s="56"/>
      <c r="E18" s="47"/>
      <c r="F18" s="56"/>
      <c r="G18" s="56"/>
      <c r="H18" s="56"/>
      <c r="I18" s="56">
        <v>7751</v>
      </c>
      <c r="J18" s="56"/>
      <c r="K18" s="55">
        <f t="shared" si="0"/>
        <v>7751</v>
      </c>
    </row>
    <row r="19" spans="1:11" s="57" customFormat="1" ht="16.899999999999999" customHeight="1">
      <c r="A19" s="238" t="s">
        <v>153</v>
      </c>
      <c r="B19" s="56"/>
      <c r="C19" s="56"/>
      <c r="D19" s="56"/>
      <c r="E19" s="56"/>
      <c r="F19" s="56"/>
      <c r="G19" s="56"/>
      <c r="H19" s="56"/>
      <c r="I19" s="65">
        <v>10590</v>
      </c>
      <c r="J19" s="55"/>
      <c r="K19" s="55">
        <f>SUM(B19:J19)</f>
        <v>10590</v>
      </c>
    </row>
    <row r="20" spans="1:11" s="57" customFormat="1" ht="18">
      <c r="A20" s="238" t="s">
        <v>182</v>
      </c>
      <c r="B20" s="56"/>
      <c r="C20" s="56"/>
      <c r="D20" s="56"/>
      <c r="E20" s="56"/>
      <c r="F20" s="56"/>
      <c r="G20" s="56"/>
      <c r="H20" s="56"/>
      <c r="I20" s="65">
        <v>6500</v>
      </c>
      <c r="J20" s="55"/>
      <c r="K20" s="55">
        <f>SUM(B20:J20)</f>
        <v>6500</v>
      </c>
    </row>
    <row r="21" spans="1:11" s="64" customFormat="1" ht="18">
      <c r="A21" s="63" t="s">
        <v>148</v>
      </c>
      <c r="B21" s="55"/>
      <c r="C21" s="55"/>
      <c r="D21" s="55"/>
      <c r="E21" s="55"/>
      <c r="F21" s="55"/>
      <c r="G21" s="56"/>
      <c r="H21" s="55"/>
      <c r="I21" s="55">
        <v>4572</v>
      </c>
      <c r="J21" s="55"/>
      <c r="K21" s="55">
        <f>SUM(B21:J21)</f>
        <v>4572</v>
      </c>
    </row>
    <row r="22" spans="1:11" s="64" customFormat="1" ht="18">
      <c r="A22" s="63" t="s">
        <v>2</v>
      </c>
      <c r="B22" s="55"/>
      <c r="C22" s="55">
        <v>1275</v>
      </c>
      <c r="D22" s="55"/>
      <c r="E22" s="55">
        <v>5305</v>
      </c>
      <c r="F22" s="53">
        <f>4400+9020</f>
        <v>13420</v>
      </c>
      <c r="G22" s="55">
        <v>3180</v>
      </c>
      <c r="H22" s="55"/>
      <c r="I22" s="55">
        <v>13265</v>
      </c>
      <c r="J22" s="55"/>
      <c r="K22" s="55">
        <f t="shared" si="0"/>
        <v>36445</v>
      </c>
    </row>
    <row r="23" spans="1:11" s="57" customFormat="1" ht="18">
      <c r="A23" s="238" t="s">
        <v>216</v>
      </c>
      <c r="B23" s="55"/>
      <c r="C23" s="55"/>
      <c r="D23" s="55"/>
      <c r="E23" s="56"/>
      <c r="F23" s="56"/>
      <c r="G23" s="55"/>
      <c r="H23" s="55"/>
      <c r="I23" s="56">
        <v>6600</v>
      </c>
      <c r="J23" s="56"/>
      <c r="K23" s="55">
        <f>SUM(B23:J23)</f>
        <v>6600</v>
      </c>
    </row>
    <row r="24" spans="1:11" s="66" customFormat="1" ht="18">
      <c r="A24" s="42" t="s">
        <v>214</v>
      </c>
      <c r="B24" s="46">
        <v>12699.5</v>
      </c>
      <c r="C24" s="46"/>
      <c r="D24" s="46">
        <v>12699.5</v>
      </c>
      <c r="E24" s="46">
        <v>12699.5</v>
      </c>
      <c r="F24" s="46">
        <v>12699.5</v>
      </c>
      <c r="G24" s="46">
        <v>12699.5</v>
      </c>
      <c r="H24" s="46">
        <v>12699.5</v>
      </c>
      <c r="I24" s="46">
        <v>12699.5</v>
      </c>
      <c r="J24" s="46"/>
      <c r="K24" s="46">
        <f t="shared" ref="K24:K31" si="1">SUM(B24:J24)</f>
        <v>88896.5</v>
      </c>
    </row>
    <row r="25" spans="1:11" s="51" customFormat="1" ht="18">
      <c r="A25" s="42" t="s">
        <v>246</v>
      </c>
      <c r="B25" s="46"/>
      <c r="C25" s="46"/>
      <c r="D25" s="46"/>
      <c r="E25" s="46"/>
      <c r="F25" s="46" t="s">
        <v>201</v>
      </c>
      <c r="G25" s="46"/>
      <c r="H25" s="46"/>
      <c r="I25" s="67">
        <v>1850</v>
      </c>
      <c r="J25" s="46"/>
      <c r="K25" s="46">
        <f t="shared" si="1"/>
        <v>1850</v>
      </c>
    </row>
    <row r="26" spans="1:11" s="51" customFormat="1" ht="18">
      <c r="A26" s="42" t="s">
        <v>242</v>
      </c>
      <c r="B26" s="46"/>
      <c r="C26" s="46"/>
      <c r="D26" s="46"/>
      <c r="E26" s="46">
        <v>3273</v>
      </c>
      <c r="F26" s="46">
        <v>5244</v>
      </c>
      <c r="G26" s="48">
        <v>3101</v>
      </c>
      <c r="H26" s="46"/>
      <c r="I26" s="46"/>
      <c r="J26" s="46"/>
      <c r="K26" s="46">
        <f t="shared" si="1"/>
        <v>11618</v>
      </c>
    </row>
    <row r="27" spans="1:11" s="51" customFormat="1" ht="18">
      <c r="A27" s="42" t="s">
        <v>243</v>
      </c>
      <c r="B27" s="46"/>
      <c r="C27" s="46"/>
      <c r="D27" s="46"/>
      <c r="E27" s="46"/>
      <c r="F27" s="46"/>
      <c r="G27" s="48"/>
      <c r="H27" s="46">
        <v>4865</v>
      </c>
      <c r="I27" s="46"/>
      <c r="J27" s="46"/>
      <c r="K27" s="46">
        <f t="shared" si="1"/>
        <v>4865</v>
      </c>
    </row>
    <row r="28" spans="1:11" s="51" customFormat="1" ht="18">
      <c r="A28" s="42" t="s">
        <v>268</v>
      </c>
      <c r="B28" s="46">
        <v>994.75</v>
      </c>
      <c r="C28" s="46"/>
      <c r="D28" s="46"/>
      <c r="E28" s="46"/>
      <c r="F28" s="46">
        <v>1516</v>
      </c>
      <c r="G28" s="46" t="s">
        <v>201</v>
      </c>
      <c r="H28" s="46"/>
      <c r="I28" s="46">
        <v>1516</v>
      </c>
      <c r="J28" s="46"/>
      <c r="K28" s="46">
        <f t="shared" si="1"/>
        <v>4026.75</v>
      </c>
    </row>
    <row r="29" spans="1:11" s="69" customFormat="1" ht="18">
      <c r="A29" s="63" t="s">
        <v>268</v>
      </c>
      <c r="B29" s="68">
        <v>1143.96</v>
      </c>
      <c r="C29" s="68"/>
      <c r="D29" s="68"/>
      <c r="E29" s="68"/>
      <c r="F29" s="68">
        <v>1516</v>
      </c>
      <c r="G29" s="68" t="s">
        <v>201</v>
      </c>
      <c r="H29" s="68"/>
      <c r="I29" s="68">
        <v>1516</v>
      </c>
      <c r="J29" s="68"/>
      <c r="K29" s="68">
        <f>SUM(B29:J29)</f>
        <v>4175.96</v>
      </c>
    </row>
    <row r="30" spans="1:11" s="72" customFormat="1" ht="18">
      <c r="A30" s="42" t="s">
        <v>152</v>
      </c>
      <c r="B30" s="71"/>
      <c r="C30" s="71"/>
      <c r="D30" s="71"/>
      <c r="E30" s="71"/>
      <c r="F30" s="71"/>
      <c r="G30" s="71"/>
      <c r="H30" s="71"/>
      <c r="I30" s="46">
        <v>9145</v>
      </c>
      <c r="J30" s="71"/>
      <c r="K30" s="46">
        <f t="shared" si="1"/>
        <v>9145</v>
      </c>
    </row>
    <row r="31" spans="1:11" s="51" customFormat="1" ht="18">
      <c r="A31" s="42" t="s">
        <v>3</v>
      </c>
      <c r="B31" s="46"/>
      <c r="C31" s="46"/>
      <c r="D31" s="46"/>
      <c r="E31" s="46"/>
      <c r="F31" s="46"/>
      <c r="G31" s="48">
        <v>2708</v>
      </c>
      <c r="H31" s="46"/>
      <c r="I31" s="46"/>
      <c r="J31" s="46"/>
      <c r="K31" s="46">
        <f t="shared" si="1"/>
        <v>2708</v>
      </c>
    </row>
    <row r="32" spans="1:11" s="51" customFormat="1" ht="18">
      <c r="A32" s="42" t="s">
        <v>170</v>
      </c>
      <c r="B32" s="46"/>
      <c r="C32" s="46">
        <v>1484</v>
      </c>
      <c r="D32" s="46"/>
      <c r="E32" s="46"/>
      <c r="F32" s="46" t="s">
        <v>201</v>
      </c>
      <c r="G32" s="73">
        <v>1484</v>
      </c>
      <c r="H32" s="46"/>
      <c r="I32" s="46" t="s">
        <v>201</v>
      </c>
      <c r="J32" s="46"/>
      <c r="K32" s="46">
        <f>SUM(B32:J32)</f>
        <v>2968</v>
      </c>
    </row>
    <row r="33" spans="1:11" s="64" customFormat="1" ht="18">
      <c r="A33" s="63" t="s">
        <v>4</v>
      </c>
      <c r="B33" s="55"/>
      <c r="C33" s="55"/>
      <c r="D33" s="55"/>
      <c r="E33" s="74">
        <v>1830</v>
      </c>
      <c r="F33" s="55"/>
      <c r="G33" s="56"/>
      <c r="H33" s="55"/>
      <c r="I33" s="55"/>
      <c r="J33" s="55"/>
      <c r="K33" s="55">
        <f t="shared" ref="K33:K73" si="2">SUM(B33:J33)</f>
        <v>1830</v>
      </c>
    </row>
    <row r="34" spans="1:11" s="64" customFormat="1" ht="18">
      <c r="A34" s="63" t="s">
        <v>218</v>
      </c>
      <c r="B34" s="55"/>
      <c r="C34" s="55"/>
      <c r="D34" s="55"/>
      <c r="E34" s="75"/>
      <c r="F34" s="55"/>
      <c r="G34" s="56"/>
      <c r="H34" s="55"/>
      <c r="I34" s="68">
        <v>3799</v>
      </c>
      <c r="J34" s="55"/>
      <c r="K34" s="55">
        <f t="shared" si="2"/>
        <v>3799</v>
      </c>
    </row>
    <row r="35" spans="1:11" s="76" customFormat="1" ht="18">
      <c r="A35" s="42" t="s">
        <v>5</v>
      </c>
      <c r="B35" s="46"/>
      <c r="C35" s="46"/>
      <c r="D35" s="46"/>
      <c r="E35" s="46">
        <v>0</v>
      </c>
      <c r="F35" s="46">
        <v>412.5</v>
      </c>
      <c r="G35" s="48"/>
      <c r="H35" s="46"/>
      <c r="I35" s="46"/>
      <c r="J35" s="46"/>
      <c r="K35" s="46">
        <f t="shared" si="2"/>
        <v>412.5</v>
      </c>
    </row>
    <row r="36" spans="1:11" s="76" customFormat="1" ht="18">
      <c r="A36" s="42" t="s">
        <v>6</v>
      </c>
      <c r="B36" s="71"/>
      <c r="C36" s="46"/>
      <c r="D36" s="46"/>
      <c r="E36" s="46">
        <v>1265.95</v>
      </c>
      <c r="F36" s="46"/>
      <c r="G36" s="47"/>
      <c r="H36" s="46"/>
      <c r="I36" s="46"/>
      <c r="J36" s="46"/>
      <c r="K36" s="46">
        <f t="shared" si="2"/>
        <v>1265.95</v>
      </c>
    </row>
    <row r="37" spans="1:11" s="76" customFormat="1" ht="18">
      <c r="A37" s="42" t="s">
        <v>8</v>
      </c>
      <c r="B37" s="48"/>
      <c r="C37" s="48"/>
      <c r="D37" s="48"/>
      <c r="E37" s="48">
        <v>100</v>
      </c>
      <c r="F37" s="48">
        <v>100</v>
      </c>
      <c r="G37" s="48">
        <v>100</v>
      </c>
      <c r="H37" s="47"/>
      <c r="I37" s="48"/>
      <c r="J37" s="48"/>
      <c r="K37" s="46">
        <f t="shared" si="2"/>
        <v>300</v>
      </c>
    </row>
    <row r="38" spans="1:11" s="64" customFormat="1" ht="18">
      <c r="A38" s="63" t="s">
        <v>147</v>
      </c>
      <c r="B38" s="56"/>
      <c r="C38" s="56"/>
      <c r="D38" s="56"/>
      <c r="E38" s="56"/>
      <c r="F38" s="56"/>
      <c r="G38" s="56"/>
      <c r="H38" s="56"/>
      <c r="I38" s="60">
        <v>23600</v>
      </c>
      <c r="J38" s="56"/>
      <c r="K38" s="55">
        <f>SUM(B38:J38)</f>
        <v>23600</v>
      </c>
    </row>
    <row r="39" spans="1:11" s="76" customFormat="1" ht="18">
      <c r="A39" s="42" t="s">
        <v>7</v>
      </c>
      <c r="B39" s="48"/>
      <c r="C39" s="48"/>
      <c r="D39" s="48"/>
      <c r="E39" s="48">
        <v>1320</v>
      </c>
      <c r="F39" s="48"/>
      <c r="G39" s="48"/>
      <c r="H39" s="48"/>
      <c r="I39" s="48"/>
      <c r="J39" s="48"/>
      <c r="K39" s="46">
        <f>SUM(B39:J39)</f>
        <v>1320</v>
      </c>
    </row>
    <row r="40" spans="1:11" s="76" customFormat="1" ht="18">
      <c r="A40" s="42" t="s">
        <v>262</v>
      </c>
      <c r="B40" s="48"/>
      <c r="C40" s="48"/>
      <c r="D40" s="48"/>
      <c r="E40" s="48">
        <v>4440</v>
      </c>
      <c r="F40" s="48"/>
      <c r="G40" s="48"/>
      <c r="H40" s="48"/>
      <c r="I40" s="77">
        <v>31525</v>
      </c>
      <c r="J40" s="48"/>
      <c r="K40" s="46">
        <f t="shared" si="2"/>
        <v>35965</v>
      </c>
    </row>
    <row r="41" spans="1:11" s="76" customFormat="1" ht="18">
      <c r="A41" s="42" t="s">
        <v>219</v>
      </c>
      <c r="B41" s="48"/>
      <c r="C41" s="48"/>
      <c r="D41" s="48"/>
      <c r="E41" s="48"/>
      <c r="F41" s="48"/>
      <c r="G41" s="48"/>
      <c r="H41" s="48"/>
      <c r="I41" s="71">
        <v>5160</v>
      </c>
      <c r="J41" s="48"/>
      <c r="K41" s="46">
        <f t="shared" si="2"/>
        <v>5160</v>
      </c>
    </row>
    <row r="42" spans="1:11" s="78" customFormat="1" ht="18">
      <c r="A42" s="52" t="s">
        <v>233</v>
      </c>
      <c r="B42" s="50"/>
      <c r="C42" s="50">
        <v>649.71</v>
      </c>
      <c r="D42" s="50"/>
      <c r="E42" s="50"/>
      <c r="F42" s="50"/>
      <c r="G42" s="50"/>
      <c r="H42" s="50"/>
      <c r="I42" s="53"/>
      <c r="J42" s="50"/>
      <c r="K42" s="55">
        <f t="shared" si="2"/>
        <v>649.71</v>
      </c>
    </row>
    <row r="43" spans="1:11" s="76" customFormat="1" ht="18">
      <c r="A43" s="42" t="s">
        <v>9</v>
      </c>
      <c r="B43" s="46"/>
      <c r="C43" s="48"/>
      <c r="D43" s="46"/>
      <c r="E43" s="48"/>
      <c r="F43" s="48"/>
      <c r="G43" s="48">
        <v>922.5</v>
      </c>
      <c r="H43" s="48"/>
      <c r="I43" s="46">
        <v>1035</v>
      </c>
      <c r="J43" s="48">
        <v>627.75</v>
      </c>
      <c r="K43" s="46">
        <f t="shared" si="2"/>
        <v>2585.25</v>
      </c>
    </row>
    <row r="44" spans="1:11" s="76" customFormat="1" ht="18">
      <c r="A44" s="42" t="s">
        <v>10</v>
      </c>
      <c r="B44" s="46" t="s">
        <v>201</v>
      </c>
      <c r="C44" s="48">
        <v>1976</v>
      </c>
      <c r="D44" s="46">
        <v>2040</v>
      </c>
      <c r="E44" s="48"/>
      <c r="F44" s="48"/>
      <c r="G44" s="48"/>
      <c r="H44" s="47"/>
      <c r="I44" s="48"/>
      <c r="J44" s="48"/>
      <c r="K44" s="46">
        <f t="shared" si="2"/>
        <v>4016</v>
      </c>
    </row>
    <row r="45" spans="1:11" s="76" customFormat="1" ht="18">
      <c r="A45" s="42" t="s">
        <v>11</v>
      </c>
      <c r="B45" s="48">
        <v>911</v>
      </c>
      <c r="C45" s="48"/>
      <c r="D45" s="48"/>
      <c r="E45" s="48"/>
      <c r="F45" s="48">
        <v>911</v>
      </c>
      <c r="G45" s="46"/>
      <c r="H45" s="48"/>
      <c r="I45" s="48"/>
      <c r="J45" s="48"/>
      <c r="K45" s="46">
        <f t="shared" si="2"/>
        <v>1822</v>
      </c>
    </row>
    <row r="46" spans="1:11" s="80" customFormat="1" ht="18">
      <c r="A46" s="42" t="s">
        <v>178</v>
      </c>
      <c r="B46" s="79">
        <v>847</v>
      </c>
      <c r="C46" s="48"/>
      <c r="D46" s="48"/>
      <c r="E46" s="48">
        <v>1694</v>
      </c>
      <c r="F46" s="46">
        <v>847</v>
      </c>
      <c r="G46" s="46">
        <v>847</v>
      </c>
      <c r="H46" s="46">
        <v>847</v>
      </c>
      <c r="I46" s="48">
        <v>1694</v>
      </c>
      <c r="J46" s="46"/>
      <c r="K46" s="46">
        <f t="shared" si="2"/>
        <v>6776</v>
      </c>
    </row>
    <row r="47" spans="1:11" s="76" customFormat="1" ht="18">
      <c r="A47" s="42" t="s">
        <v>12</v>
      </c>
      <c r="B47" s="46"/>
      <c r="C47" s="46">
        <v>548</v>
      </c>
      <c r="D47" s="48"/>
      <c r="E47" s="46"/>
      <c r="F47" s="46"/>
      <c r="G47" s="46"/>
      <c r="H47" s="46"/>
      <c r="I47" s="81"/>
      <c r="J47" s="46"/>
      <c r="K47" s="46">
        <f t="shared" si="2"/>
        <v>548</v>
      </c>
    </row>
    <row r="48" spans="1:11" s="76" customFormat="1" ht="18">
      <c r="A48" s="42" t="s">
        <v>13</v>
      </c>
      <c r="B48" s="46"/>
      <c r="C48" s="46"/>
      <c r="D48" s="48"/>
      <c r="E48" s="46"/>
      <c r="F48" s="46"/>
      <c r="G48" s="46">
        <v>1809</v>
      </c>
      <c r="H48" s="46"/>
      <c r="I48" s="46"/>
      <c r="J48" s="46"/>
      <c r="K48" s="46">
        <f t="shared" si="2"/>
        <v>1809</v>
      </c>
    </row>
    <row r="49" spans="1:11" s="51" customFormat="1" ht="18">
      <c r="A49" s="42" t="s">
        <v>14</v>
      </c>
      <c r="B49" s="46"/>
      <c r="C49" s="46"/>
      <c r="D49" s="46"/>
      <c r="E49" s="46"/>
      <c r="F49" s="46"/>
      <c r="G49" s="48">
        <v>6675</v>
      </c>
      <c r="H49" s="46"/>
      <c r="I49" s="46">
        <v>8265</v>
      </c>
      <c r="J49" s="46"/>
      <c r="K49" s="46">
        <f t="shared" si="2"/>
        <v>14940</v>
      </c>
    </row>
    <row r="50" spans="1:11" s="51" customFormat="1" ht="18">
      <c r="A50" s="42" t="s">
        <v>15</v>
      </c>
      <c r="B50" s="46"/>
      <c r="C50" s="46"/>
      <c r="D50" s="46"/>
      <c r="E50" s="48">
        <v>3065</v>
      </c>
      <c r="F50" s="46"/>
      <c r="G50" s="48"/>
      <c r="H50" s="46"/>
      <c r="I50" s="48"/>
      <c r="J50" s="48"/>
      <c r="K50" s="46">
        <f t="shared" si="2"/>
        <v>3065</v>
      </c>
    </row>
    <row r="51" spans="1:11" s="51" customFormat="1" ht="18">
      <c r="A51" s="42" t="s">
        <v>16</v>
      </c>
      <c r="B51" s="46"/>
      <c r="C51" s="46"/>
      <c r="D51" s="46"/>
      <c r="E51" s="48"/>
      <c r="F51" s="46"/>
      <c r="G51" s="48">
        <v>2550</v>
      </c>
      <c r="H51" s="46"/>
      <c r="I51" s="48"/>
      <c r="J51" s="48"/>
      <c r="K51" s="46">
        <f t="shared" si="2"/>
        <v>2550</v>
      </c>
    </row>
    <row r="52" spans="1:11" s="51" customFormat="1" ht="18">
      <c r="A52" s="42" t="s">
        <v>17</v>
      </c>
      <c r="B52" s="46"/>
      <c r="C52" s="46"/>
      <c r="D52" s="46"/>
      <c r="E52" s="48">
        <v>2665</v>
      </c>
      <c r="F52" s="46"/>
      <c r="G52" s="48">
        <v>2665</v>
      </c>
      <c r="H52" s="46"/>
      <c r="I52" s="48"/>
      <c r="J52" s="48"/>
      <c r="K52" s="46">
        <f t="shared" si="2"/>
        <v>5330</v>
      </c>
    </row>
    <row r="53" spans="1:11" s="51" customFormat="1" ht="18">
      <c r="A53" s="42" t="s">
        <v>18</v>
      </c>
      <c r="B53" s="48"/>
      <c r="C53" s="46"/>
      <c r="D53" s="46"/>
      <c r="E53" s="48"/>
      <c r="F53" s="48">
        <v>7040</v>
      </c>
      <c r="G53" s="48">
        <v>4225</v>
      </c>
      <c r="H53" s="46"/>
      <c r="I53" s="48"/>
      <c r="J53" s="48">
        <v>7040</v>
      </c>
      <c r="K53" s="46">
        <f t="shared" si="2"/>
        <v>18305</v>
      </c>
    </row>
    <row r="54" spans="1:11" s="84" customFormat="1" ht="43.5" customHeight="1">
      <c r="A54" s="82"/>
      <c r="B54" s="83" t="s">
        <v>191</v>
      </c>
      <c r="C54" s="83" t="s">
        <v>192</v>
      </c>
      <c r="D54" s="83" t="s">
        <v>193</v>
      </c>
      <c r="E54" s="83" t="s">
        <v>194</v>
      </c>
      <c r="F54" s="83" t="s">
        <v>195</v>
      </c>
      <c r="G54" s="83" t="s">
        <v>196</v>
      </c>
      <c r="H54" s="83" t="s">
        <v>197</v>
      </c>
      <c r="I54" s="83" t="s">
        <v>198</v>
      </c>
      <c r="J54" s="83"/>
      <c r="K54" s="83"/>
    </row>
    <row r="55" spans="1:11" s="51" customFormat="1">
      <c r="A55" s="85" t="s">
        <v>244</v>
      </c>
      <c r="B55" s="86"/>
      <c r="C55" s="87"/>
      <c r="D55" s="88"/>
      <c r="E55" s="87"/>
      <c r="F55" s="89"/>
      <c r="G55" s="89"/>
      <c r="H55" s="90"/>
      <c r="I55" s="86"/>
      <c r="J55" s="86"/>
      <c r="K55" s="71"/>
    </row>
    <row r="56" spans="1:11" s="51" customFormat="1" ht="18">
      <c r="A56" s="42" t="s">
        <v>19</v>
      </c>
      <c r="B56" s="48"/>
      <c r="C56" s="46"/>
      <c r="D56" s="46"/>
      <c r="E56" s="48"/>
      <c r="F56" s="46"/>
      <c r="G56" s="48"/>
      <c r="H56" s="46"/>
      <c r="I56" s="46">
        <v>3025</v>
      </c>
      <c r="J56" s="48"/>
      <c r="K56" s="46">
        <f t="shared" si="2"/>
        <v>3025</v>
      </c>
    </row>
    <row r="57" spans="1:11" s="51" customFormat="1" ht="18">
      <c r="A57" s="42" t="s">
        <v>157</v>
      </c>
      <c r="B57" s="48"/>
      <c r="C57" s="46"/>
      <c r="D57" s="46"/>
      <c r="E57" s="48"/>
      <c r="F57" s="46"/>
      <c r="G57" s="48"/>
      <c r="H57" s="46"/>
      <c r="I57" s="46">
        <v>2730</v>
      </c>
      <c r="J57" s="48"/>
      <c r="K57" s="46">
        <f t="shared" si="2"/>
        <v>2730</v>
      </c>
    </row>
    <row r="58" spans="1:11" s="51" customFormat="1" ht="18">
      <c r="A58" s="42" t="s">
        <v>20</v>
      </c>
      <c r="B58" s="48"/>
      <c r="C58" s="46"/>
      <c r="D58" s="46"/>
      <c r="E58" s="48"/>
      <c r="F58" s="47"/>
      <c r="G58" s="48">
        <v>2790</v>
      </c>
      <c r="H58" s="46"/>
      <c r="I58" s="46"/>
      <c r="J58" s="46"/>
      <c r="K58" s="46">
        <f t="shared" si="2"/>
        <v>2790</v>
      </c>
    </row>
    <row r="59" spans="1:11" s="51" customFormat="1" ht="18">
      <c r="A59" s="42" t="s">
        <v>161</v>
      </c>
      <c r="B59" s="48"/>
      <c r="C59" s="46"/>
      <c r="D59" s="46"/>
      <c r="E59" s="48"/>
      <c r="F59" s="48"/>
      <c r="G59" s="48">
        <v>2075</v>
      </c>
      <c r="H59" s="46"/>
      <c r="I59" s="46"/>
      <c r="J59" s="46"/>
      <c r="K59" s="46">
        <f t="shared" si="2"/>
        <v>2075</v>
      </c>
    </row>
    <row r="60" spans="1:11" s="51" customFormat="1" ht="18">
      <c r="A60" s="42" t="s">
        <v>21</v>
      </c>
      <c r="B60" s="48"/>
      <c r="C60" s="46"/>
      <c r="D60" s="46"/>
      <c r="E60" s="48"/>
      <c r="F60" s="46"/>
      <c r="G60" s="48">
        <v>6690</v>
      </c>
      <c r="H60" s="46"/>
      <c r="I60" s="46"/>
      <c r="J60" s="46"/>
      <c r="K60" s="46">
        <f t="shared" si="2"/>
        <v>6690</v>
      </c>
    </row>
    <row r="61" spans="1:11" s="51" customFormat="1" ht="18">
      <c r="A61" s="42" t="s">
        <v>162</v>
      </c>
      <c r="B61" s="48"/>
      <c r="C61" s="46"/>
      <c r="D61" s="46"/>
      <c r="E61" s="48"/>
      <c r="F61" s="46"/>
      <c r="G61" s="48">
        <v>3790</v>
      </c>
      <c r="H61" s="46"/>
      <c r="I61" s="46"/>
      <c r="J61" s="46"/>
      <c r="K61" s="46">
        <f t="shared" si="2"/>
        <v>3790</v>
      </c>
    </row>
    <row r="62" spans="1:11" s="51" customFormat="1" ht="18">
      <c r="A62" s="42" t="s">
        <v>22</v>
      </c>
      <c r="B62" s="48"/>
      <c r="C62" s="46"/>
      <c r="D62" s="46"/>
      <c r="E62" s="48"/>
      <c r="F62" s="46"/>
      <c r="G62" s="48"/>
      <c r="H62" s="46"/>
      <c r="I62" s="46">
        <v>6412</v>
      </c>
      <c r="J62" s="46"/>
      <c r="K62" s="46">
        <f t="shared" si="2"/>
        <v>6412</v>
      </c>
    </row>
    <row r="63" spans="1:11" s="51" customFormat="1" ht="18">
      <c r="A63" s="42" t="s">
        <v>23</v>
      </c>
      <c r="B63" s="48"/>
      <c r="C63" s="46"/>
      <c r="D63" s="46"/>
      <c r="E63" s="48"/>
      <c r="F63" s="46"/>
      <c r="G63" s="46"/>
      <c r="H63" s="46"/>
      <c r="I63" s="46">
        <v>3710</v>
      </c>
      <c r="J63" s="48"/>
      <c r="K63" s="46">
        <f t="shared" si="2"/>
        <v>3710</v>
      </c>
    </row>
    <row r="64" spans="1:11" s="51" customFormat="1" ht="18">
      <c r="A64" s="42" t="s">
        <v>24</v>
      </c>
      <c r="B64" s="48"/>
      <c r="C64" s="46"/>
      <c r="D64" s="46"/>
      <c r="E64" s="48"/>
      <c r="F64" s="46"/>
      <c r="G64" s="46"/>
      <c r="H64" s="46"/>
      <c r="I64" s="46">
        <v>4380</v>
      </c>
      <c r="J64" s="48"/>
      <c r="K64" s="46">
        <f t="shared" si="2"/>
        <v>4380</v>
      </c>
    </row>
    <row r="65" spans="1:11" s="51" customFormat="1" ht="18">
      <c r="A65" s="42" t="s">
        <v>25</v>
      </c>
      <c r="B65" s="48"/>
      <c r="C65" s="46"/>
      <c r="D65" s="46"/>
      <c r="E65" s="48"/>
      <c r="F65" s="48"/>
      <c r="G65" s="46"/>
      <c r="H65" s="46"/>
      <c r="I65" s="46">
        <v>7600</v>
      </c>
      <c r="J65" s="48"/>
      <c r="K65" s="46">
        <f t="shared" si="2"/>
        <v>7600</v>
      </c>
    </row>
    <row r="66" spans="1:11" s="51" customFormat="1" ht="18">
      <c r="A66" s="42" t="s">
        <v>26</v>
      </c>
      <c r="B66" s="48"/>
      <c r="C66" s="46"/>
      <c r="D66" s="46"/>
      <c r="E66" s="48">
        <v>6050</v>
      </c>
      <c r="F66" s="46"/>
      <c r="G66" s="47"/>
      <c r="H66" s="46"/>
      <c r="I66" s="46">
        <v>6050</v>
      </c>
      <c r="J66" s="48"/>
      <c r="K66" s="46">
        <f t="shared" si="2"/>
        <v>12100</v>
      </c>
    </row>
    <row r="67" spans="1:11" s="51" customFormat="1" ht="18">
      <c r="A67" s="42" t="s">
        <v>27</v>
      </c>
      <c r="B67" s="48"/>
      <c r="C67" s="46"/>
      <c r="D67" s="46"/>
      <c r="E67" s="48"/>
      <c r="F67" s="48">
        <v>2800</v>
      </c>
      <c r="G67" s="48">
        <v>2235</v>
      </c>
      <c r="H67" s="46"/>
      <c r="I67" s="46">
        <v>2800</v>
      </c>
      <c r="J67" s="48"/>
      <c r="K67" s="46">
        <f t="shared" si="2"/>
        <v>7835</v>
      </c>
    </row>
    <row r="68" spans="1:11" s="51" customFormat="1" ht="18">
      <c r="A68" s="42" t="s">
        <v>28</v>
      </c>
      <c r="B68" s="48"/>
      <c r="C68" s="46"/>
      <c r="D68" s="46"/>
      <c r="E68" s="48"/>
      <c r="F68" s="48"/>
      <c r="G68" s="46"/>
      <c r="H68" s="46"/>
      <c r="I68" s="46">
        <v>1060</v>
      </c>
      <c r="J68" s="48"/>
      <c r="K68" s="46">
        <f t="shared" si="2"/>
        <v>1060</v>
      </c>
    </row>
    <row r="69" spans="1:11" s="51" customFormat="1" ht="18">
      <c r="A69" s="42" t="s">
        <v>29</v>
      </c>
      <c r="B69" s="48"/>
      <c r="C69" s="46"/>
      <c r="D69" s="46"/>
      <c r="E69" s="48"/>
      <c r="F69" s="48">
        <v>5340</v>
      </c>
      <c r="G69" s="48"/>
      <c r="H69" s="46"/>
      <c r="I69" s="46"/>
      <c r="J69" s="46"/>
      <c r="K69" s="46">
        <f t="shared" si="2"/>
        <v>5340</v>
      </c>
    </row>
    <row r="70" spans="1:11" s="51" customFormat="1" ht="18">
      <c r="A70" s="42" t="s">
        <v>30</v>
      </c>
      <c r="B70" s="48"/>
      <c r="C70" s="48"/>
      <c r="D70" s="48"/>
      <c r="E70" s="48"/>
      <c r="F70" s="48">
        <v>10405</v>
      </c>
      <c r="G70" s="48"/>
      <c r="H70" s="48"/>
      <c r="I70" s="46">
        <v>15675</v>
      </c>
      <c r="J70" s="48"/>
      <c r="K70" s="46">
        <f t="shared" si="2"/>
        <v>26080</v>
      </c>
    </row>
    <row r="71" spans="1:11" s="51" customFormat="1" ht="18">
      <c r="A71" s="42" t="s">
        <v>31</v>
      </c>
      <c r="B71" s="46"/>
      <c r="C71" s="48"/>
      <c r="D71" s="46"/>
      <c r="E71" s="48">
        <v>3135</v>
      </c>
      <c r="F71" s="48">
        <v>4580</v>
      </c>
      <c r="G71" s="48">
        <v>3135</v>
      </c>
      <c r="H71" s="48"/>
      <c r="I71" s="46">
        <v>4580</v>
      </c>
      <c r="J71" s="48"/>
      <c r="K71" s="46">
        <f t="shared" si="2"/>
        <v>15430</v>
      </c>
    </row>
    <row r="72" spans="1:11" s="51" customFormat="1" ht="18">
      <c r="A72" s="42" t="s">
        <v>32</v>
      </c>
      <c r="B72" s="46"/>
      <c r="C72" s="48"/>
      <c r="D72" s="46"/>
      <c r="E72" s="48">
        <v>2920</v>
      </c>
      <c r="F72" s="48"/>
      <c r="G72" s="47"/>
      <c r="H72" s="48"/>
      <c r="I72" s="48"/>
      <c r="J72" s="48"/>
      <c r="K72" s="46">
        <f>SUM(B72:J72)</f>
        <v>2920</v>
      </c>
    </row>
    <row r="73" spans="1:11" s="51" customFormat="1" ht="18">
      <c r="A73" s="42" t="s">
        <v>249</v>
      </c>
      <c r="B73" s="46"/>
      <c r="C73" s="47"/>
      <c r="D73" s="53">
        <v>4872</v>
      </c>
      <c r="E73" s="48"/>
      <c r="F73" s="48"/>
      <c r="G73" s="48" t="s">
        <v>201</v>
      </c>
      <c r="I73" s="48"/>
      <c r="J73" s="48"/>
      <c r="K73" s="46">
        <f t="shared" si="2"/>
        <v>4872</v>
      </c>
    </row>
    <row r="74" spans="1:11" s="51" customFormat="1" ht="18">
      <c r="A74" s="42" t="s">
        <v>250</v>
      </c>
      <c r="B74" s="46"/>
      <c r="C74" s="50">
        <v>2268</v>
      </c>
      <c r="D74" s="81"/>
      <c r="E74" s="48"/>
      <c r="F74" s="48"/>
      <c r="G74" s="91">
        <v>1176</v>
      </c>
      <c r="H74" s="46">
        <v>630</v>
      </c>
      <c r="I74" s="48"/>
      <c r="J74" s="48"/>
      <c r="K74" s="46">
        <f>SUM(B74:J74)</f>
        <v>4074</v>
      </c>
    </row>
    <row r="75" spans="1:11" s="51" customFormat="1" ht="18">
      <c r="A75" s="42" t="s">
        <v>213</v>
      </c>
      <c r="B75" s="71"/>
      <c r="C75" s="53">
        <v>4616</v>
      </c>
      <c r="D75" s="81"/>
      <c r="E75" s="46"/>
      <c r="F75" s="46"/>
      <c r="G75" s="48">
        <v>2567</v>
      </c>
      <c r="H75" s="46"/>
      <c r="I75" s="48"/>
      <c r="J75" s="46"/>
      <c r="K75" s="46">
        <f>SUM(B75:J75)</f>
        <v>7183</v>
      </c>
    </row>
    <row r="76" spans="1:11" s="57" customFormat="1" ht="18">
      <c r="A76" s="63" t="s">
        <v>265</v>
      </c>
      <c r="B76" s="55"/>
      <c r="C76" s="56"/>
      <c r="D76" s="55"/>
      <c r="E76" s="56"/>
      <c r="F76" s="56"/>
      <c r="G76" s="56"/>
      <c r="H76" s="56"/>
      <c r="I76" s="55">
        <v>2917.45</v>
      </c>
      <c r="J76" s="56"/>
      <c r="K76" s="55">
        <f>SUM(B76:J76)</f>
        <v>2917.45</v>
      </c>
    </row>
    <row r="77" spans="1:11" s="51" customFormat="1" ht="18">
      <c r="A77" s="42" t="s">
        <v>33</v>
      </c>
      <c r="B77" s="46"/>
      <c r="C77" s="46"/>
      <c r="D77" s="46"/>
      <c r="E77" s="46"/>
      <c r="F77" s="81"/>
      <c r="G77" s="46">
        <v>8131</v>
      </c>
      <c r="H77" s="46">
        <v>7687</v>
      </c>
      <c r="I77" s="46"/>
      <c r="J77" s="92">
        <v>3394</v>
      </c>
      <c r="K77" s="46">
        <f t="shared" ref="K77:K83" si="3">SUM(B77:J77)</f>
        <v>19212</v>
      </c>
    </row>
    <row r="78" spans="1:11" s="76" customFormat="1" ht="18">
      <c r="A78" s="42" t="s">
        <v>166</v>
      </c>
      <c r="B78" s="46"/>
      <c r="C78" s="46"/>
      <c r="D78" s="46"/>
      <c r="E78" s="48">
        <v>7881</v>
      </c>
      <c r="F78" s="48">
        <v>7881</v>
      </c>
      <c r="G78" s="48" t="s">
        <v>211</v>
      </c>
      <c r="H78" s="93" t="s">
        <v>201</v>
      </c>
      <c r="I78" s="46">
        <v>7881</v>
      </c>
      <c r="J78" s="48">
        <v>7881</v>
      </c>
      <c r="K78" s="46">
        <f>SUM(B78:J78)</f>
        <v>31524</v>
      </c>
    </row>
    <row r="79" spans="1:11" s="76" customFormat="1" ht="18">
      <c r="A79" s="42" t="s">
        <v>167</v>
      </c>
      <c r="B79" s="46"/>
      <c r="C79" s="46"/>
      <c r="D79" s="46"/>
      <c r="E79" s="48">
        <v>7881</v>
      </c>
      <c r="F79" s="48">
        <v>7881</v>
      </c>
      <c r="G79" s="48" t="s">
        <v>201</v>
      </c>
      <c r="H79" s="93" t="s">
        <v>201</v>
      </c>
      <c r="I79" s="46">
        <v>7881</v>
      </c>
      <c r="J79" s="48">
        <v>7881</v>
      </c>
      <c r="K79" s="46">
        <f>SUM(B79:J79)</f>
        <v>31524</v>
      </c>
    </row>
    <row r="80" spans="1:11" s="51" customFormat="1" ht="18">
      <c r="A80" s="42" t="s">
        <v>220</v>
      </c>
      <c r="B80" s="46">
        <v>20953</v>
      </c>
      <c r="C80" s="46">
        <v>20953</v>
      </c>
      <c r="D80" s="46">
        <v>20953</v>
      </c>
      <c r="E80" s="46">
        <v>20953</v>
      </c>
      <c r="F80" s="46">
        <v>20953</v>
      </c>
      <c r="G80" s="46">
        <v>20953</v>
      </c>
      <c r="H80" s="46">
        <v>20953</v>
      </c>
      <c r="I80" s="46">
        <v>20953</v>
      </c>
      <c r="J80" s="48"/>
      <c r="K80" s="46">
        <f t="shared" si="3"/>
        <v>167624</v>
      </c>
    </row>
    <row r="81" spans="1:11" s="51" customFormat="1" ht="18">
      <c r="A81" s="42" t="s">
        <v>245</v>
      </c>
      <c r="B81" s="46"/>
      <c r="C81" s="46"/>
      <c r="D81" s="46"/>
      <c r="E81" s="46"/>
      <c r="F81" s="46"/>
      <c r="G81" s="46"/>
      <c r="H81" s="48">
        <v>2142</v>
      </c>
      <c r="I81" s="46"/>
      <c r="J81" s="46"/>
      <c r="K81" s="46">
        <f t="shared" si="3"/>
        <v>2142</v>
      </c>
    </row>
    <row r="82" spans="1:11" s="51" customFormat="1" ht="18">
      <c r="A82" s="42" t="s">
        <v>184</v>
      </c>
      <c r="B82" s="46"/>
      <c r="C82" s="46"/>
      <c r="D82" s="46"/>
      <c r="E82" s="48">
        <v>6856</v>
      </c>
      <c r="F82" s="46"/>
      <c r="G82" s="46"/>
      <c r="H82" s="46"/>
      <c r="I82" s="46"/>
      <c r="J82" s="46"/>
      <c r="K82" s="46">
        <f t="shared" si="3"/>
        <v>6856</v>
      </c>
    </row>
    <row r="83" spans="1:11" s="51" customFormat="1" ht="18">
      <c r="A83" s="42" t="s">
        <v>154</v>
      </c>
      <c r="B83" s="46"/>
      <c r="C83" s="46"/>
      <c r="D83" s="46"/>
      <c r="E83" s="46"/>
      <c r="F83" s="46"/>
      <c r="G83" s="46"/>
      <c r="H83" s="48">
        <v>1616</v>
      </c>
      <c r="I83" s="46"/>
      <c r="J83" s="46"/>
      <c r="K83" s="46">
        <f t="shared" si="3"/>
        <v>1616</v>
      </c>
    </row>
    <row r="84" spans="1:11" s="51" customFormat="1" ht="18">
      <c r="A84" s="42" t="s">
        <v>132</v>
      </c>
      <c r="B84" s="46">
        <v>1892</v>
      </c>
      <c r="C84" s="46">
        <v>1892</v>
      </c>
      <c r="D84" s="46">
        <v>1892</v>
      </c>
      <c r="E84" s="46">
        <v>1892</v>
      </c>
      <c r="F84" s="46">
        <v>1892</v>
      </c>
      <c r="G84" s="46">
        <v>1892</v>
      </c>
      <c r="H84" s="46">
        <v>1892</v>
      </c>
      <c r="I84" s="46">
        <v>1892</v>
      </c>
      <c r="J84" s="46">
        <v>1892</v>
      </c>
      <c r="K84" s="46">
        <f>SUM(B84:J84)</f>
        <v>17028</v>
      </c>
    </row>
    <row r="85" spans="1:11" s="51" customFormat="1" ht="18">
      <c r="A85" s="42" t="s">
        <v>34</v>
      </c>
      <c r="B85" s="46"/>
      <c r="C85" s="48">
        <v>2458</v>
      </c>
      <c r="D85" s="46"/>
      <c r="E85" s="46"/>
      <c r="F85" s="46"/>
      <c r="G85" s="46"/>
      <c r="H85" s="46"/>
      <c r="I85" s="46"/>
      <c r="J85" s="46"/>
      <c r="K85" s="46">
        <f>SUM(B85:J85)</f>
        <v>2458</v>
      </c>
    </row>
    <row r="86" spans="1:11" s="49" customFormat="1" ht="18">
      <c r="A86" s="52" t="s">
        <v>238</v>
      </c>
      <c r="B86" s="62"/>
      <c r="C86" s="62"/>
      <c r="D86" s="62"/>
      <c r="E86" s="53">
        <v>12875</v>
      </c>
      <c r="F86" s="46"/>
      <c r="G86" s="46"/>
      <c r="H86" s="62"/>
      <c r="I86" s="46"/>
      <c r="J86" s="46"/>
      <c r="K86" s="46">
        <f t="shared" ref="K86:K103" si="4">SUM(B86:J86)</f>
        <v>12875</v>
      </c>
    </row>
    <row r="87" spans="1:11" s="51" customFormat="1" ht="18">
      <c r="A87" s="42" t="s">
        <v>35</v>
      </c>
      <c r="B87" s="48">
        <v>21714</v>
      </c>
      <c r="C87" s="46"/>
      <c r="D87" s="46">
        <v>21714</v>
      </c>
      <c r="E87" s="94"/>
      <c r="F87" s="53"/>
      <c r="G87" s="53"/>
      <c r="H87" s="48">
        <v>21714</v>
      </c>
      <c r="I87" s="53"/>
      <c r="J87" s="53"/>
      <c r="K87" s="46">
        <f>SUM(B87:J87)</f>
        <v>65142</v>
      </c>
    </row>
    <row r="88" spans="1:11" s="51" customFormat="1" ht="18">
      <c r="A88" s="42" t="s">
        <v>36</v>
      </c>
      <c r="B88" s="46"/>
      <c r="C88" s="46"/>
      <c r="D88" s="46"/>
      <c r="E88" s="48">
        <v>2027</v>
      </c>
      <c r="F88" s="46"/>
      <c r="G88" s="46"/>
      <c r="H88" s="48">
        <v>2027</v>
      </c>
      <c r="I88" s="46"/>
      <c r="J88" s="46"/>
      <c r="K88" s="46">
        <f t="shared" si="4"/>
        <v>4054</v>
      </c>
    </row>
    <row r="89" spans="1:11" s="51" customFormat="1" ht="18">
      <c r="A89" s="42" t="s">
        <v>37</v>
      </c>
      <c r="B89" s="46"/>
      <c r="C89" s="48">
        <v>4073</v>
      </c>
      <c r="D89" s="46"/>
      <c r="E89" s="48">
        <v>4073</v>
      </c>
      <c r="F89" s="48"/>
      <c r="G89" s="46"/>
      <c r="H89" s="46"/>
      <c r="I89" s="46"/>
      <c r="J89" s="46"/>
      <c r="K89" s="46">
        <f t="shared" si="4"/>
        <v>8146</v>
      </c>
    </row>
    <row r="90" spans="1:11" s="51" customFormat="1" ht="18">
      <c r="A90" s="42" t="s">
        <v>38</v>
      </c>
      <c r="B90" s="46"/>
      <c r="C90" s="46"/>
      <c r="D90" s="46"/>
      <c r="E90" s="46"/>
      <c r="F90" s="48">
        <v>5870</v>
      </c>
      <c r="G90" s="46"/>
      <c r="H90" s="48"/>
      <c r="I90" s="46">
        <v>5870</v>
      </c>
      <c r="J90" s="46"/>
      <c r="K90" s="46">
        <f t="shared" si="4"/>
        <v>11740</v>
      </c>
    </row>
    <row r="91" spans="1:11" s="51" customFormat="1" ht="18">
      <c r="A91" s="42" t="s">
        <v>39</v>
      </c>
      <c r="B91" s="46"/>
      <c r="C91" s="46"/>
      <c r="D91" s="46"/>
      <c r="E91" s="46"/>
      <c r="F91" s="48"/>
      <c r="G91" s="46"/>
      <c r="H91" s="48">
        <v>7886</v>
      </c>
      <c r="I91" s="48"/>
      <c r="J91" s="46"/>
      <c r="K91" s="46">
        <f t="shared" si="4"/>
        <v>7886</v>
      </c>
    </row>
    <row r="92" spans="1:11" s="51" customFormat="1" ht="18">
      <c r="A92" s="42" t="s">
        <v>40</v>
      </c>
      <c r="B92" s="46">
        <v>3637</v>
      </c>
      <c r="C92" s="46"/>
      <c r="D92" s="46"/>
      <c r="E92" s="46"/>
      <c r="F92" s="48">
        <v>4546</v>
      </c>
      <c r="G92" s="48">
        <v>3537</v>
      </c>
      <c r="H92" s="48">
        <v>2985</v>
      </c>
      <c r="I92" s="46"/>
      <c r="J92" s="46"/>
      <c r="K92" s="46">
        <f t="shared" si="4"/>
        <v>14705</v>
      </c>
    </row>
    <row r="93" spans="1:11" s="51" customFormat="1" ht="18">
      <c r="A93" s="42" t="s">
        <v>41</v>
      </c>
      <c r="B93" s="46">
        <v>3255</v>
      </c>
      <c r="C93" s="46"/>
      <c r="D93" s="46"/>
      <c r="E93" s="46">
        <v>3255</v>
      </c>
      <c r="F93" s="46"/>
      <c r="G93" s="46"/>
      <c r="H93" s="46"/>
      <c r="I93" s="46">
        <v>3255</v>
      </c>
      <c r="J93" s="46"/>
      <c r="K93" s="46">
        <f t="shared" si="4"/>
        <v>9765</v>
      </c>
    </row>
    <row r="94" spans="1:11" s="51" customFormat="1" ht="18">
      <c r="A94" s="42" t="s">
        <v>42</v>
      </c>
      <c r="B94" s="46"/>
      <c r="C94" s="46"/>
      <c r="D94" s="46"/>
      <c r="E94" s="48">
        <v>573</v>
      </c>
      <c r="F94" s="46"/>
      <c r="G94" s="46"/>
      <c r="H94" s="48">
        <v>573</v>
      </c>
      <c r="I94" s="46"/>
      <c r="J94" s="46"/>
      <c r="K94" s="46">
        <f t="shared" si="4"/>
        <v>1146</v>
      </c>
    </row>
    <row r="95" spans="1:11" s="51" customFormat="1" ht="18">
      <c r="A95" s="42" t="s">
        <v>43</v>
      </c>
      <c r="B95" s="46"/>
      <c r="C95" s="46"/>
      <c r="D95" s="46"/>
      <c r="E95" s="48"/>
      <c r="F95" s="81"/>
      <c r="G95" s="46"/>
      <c r="H95" s="48">
        <v>1404</v>
      </c>
      <c r="I95" s="48">
        <v>1404</v>
      </c>
      <c r="J95" s="46"/>
      <c r="K95" s="46">
        <f t="shared" si="4"/>
        <v>2808</v>
      </c>
    </row>
    <row r="96" spans="1:11" s="49" customFormat="1" ht="18">
      <c r="A96" s="52" t="s">
        <v>247</v>
      </c>
      <c r="B96" s="53"/>
      <c r="C96" s="53"/>
      <c r="D96" s="81"/>
      <c r="E96" s="50"/>
      <c r="F96" s="53"/>
      <c r="G96" s="53"/>
      <c r="H96" s="50"/>
      <c r="I96" s="53">
        <v>6919</v>
      </c>
      <c r="J96" s="53"/>
      <c r="K96" s="53">
        <f>SUM(B96:J96)</f>
        <v>6919</v>
      </c>
    </row>
    <row r="97" spans="1:11" s="51" customFormat="1" ht="18">
      <c r="A97" s="42" t="s">
        <v>44</v>
      </c>
      <c r="B97" s="46"/>
      <c r="C97" s="46"/>
      <c r="D97" s="46"/>
      <c r="E97" s="48"/>
      <c r="F97" s="46"/>
      <c r="G97" s="46"/>
      <c r="H97" s="48"/>
      <c r="I97" s="48"/>
      <c r="J97" s="46">
        <v>2747</v>
      </c>
      <c r="K97" s="46">
        <f t="shared" si="4"/>
        <v>2747</v>
      </c>
    </row>
    <row r="98" spans="1:11" s="51" customFormat="1" ht="18">
      <c r="A98" s="42" t="s">
        <v>45</v>
      </c>
      <c r="B98" s="46"/>
      <c r="C98" s="46"/>
      <c r="D98" s="46">
        <v>2721</v>
      </c>
      <c r="E98" s="46"/>
      <c r="F98" s="46"/>
      <c r="G98" s="46"/>
      <c r="H98" s="46"/>
      <c r="I98" s="46"/>
      <c r="J98" s="46"/>
      <c r="K98" s="46">
        <f t="shared" si="4"/>
        <v>2721</v>
      </c>
    </row>
    <row r="99" spans="1:11" s="51" customFormat="1" ht="18">
      <c r="A99" s="42" t="s">
        <v>46</v>
      </c>
      <c r="B99" s="46"/>
      <c r="C99" s="46"/>
      <c r="D99" s="46"/>
      <c r="E99" s="46">
        <v>1027</v>
      </c>
      <c r="F99" s="46"/>
      <c r="G99" s="46"/>
      <c r="H99" s="46"/>
      <c r="I99" s="46"/>
      <c r="J99" s="46"/>
      <c r="K99" s="46">
        <f t="shared" si="4"/>
        <v>1027</v>
      </c>
    </row>
    <row r="100" spans="1:11" s="51" customFormat="1" ht="18">
      <c r="A100" s="42" t="s">
        <v>47</v>
      </c>
      <c r="B100" s="46"/>
      <c r="C100" s="46"/>
      <c r="D100" s="46"/>
      <c r="E100" s="46"/>
      <c r="F100" s="46"/>
      <c r="G100" s="46"/>
      <c r="H100" s="46"/>
      <c r="I100" s="46">
        <v>31302</v>
      </c>
      <c r="J100" s="46"/>
      <c r="K100" s="46">
        <f t="shared" si="4"/>
        <v>31302</v>
      </c>
    </row>
    <row r="101" spans="1:11" s="49" customFormat="1" ht="18">
      <c r="A101" s="52" t="s">
        <v>240</v>
      </c>
      <c r="B101" s="53"/>
      <c r="C101" s="53"/>
      <c r="D101" s="53" t="s">
        <v>193</v>
      </c>
      <c r="E101" s="53">
        <v>1800</v>
      </c>
      <c r="F101" s="53"/>
      <c r="G101" s="53"/>
      <c r="H101" s="53">
        <v>3200</v>
      </c>
      <c r="I101" s="53"/>
      <c r="J101" s="53"/>
      <c r="K101" s="53">
        <f>SUM(B101:J101)</f>
        <v>5000</v>
      </c>
    </row>
    <row r="102" spans="1:11" s="51" customFormat="1" ht="18">
      <c r="A102" s="42" t="s">
        <v>48</v>
      </c>
      <c r="B102" s="46"/>
      <c r="C102" s="46"/>
      <c r="D102" s="46"/>
      <c r="E102" s="46"/>
      <c r="F102" s="46"/>
      <c r="G102" s="46">
        <v>1505</v>
      </c>
      <c r="H102" s="48">
        <v>546</v>
      </c>
      <c r="I102" s="48"/>
      <c r="J102" s="46"/>
      <c r="K102" s="46">
        <f t="shared" si="4"/>
        <v>2051</v>
      </c>
    </row>
    <row r="103" spans="1:11" s="51" customFormat="1" ht="18">
      <c r="A103" s="42" t="s">
        <v>49</v>
      </c>
      <c r="B103" s="46"/>
      <c r="C103" s="46"/>
      <c r="D103" s="46"/>
      <c r="E103" s="46"/>
      <c r="F103" s="46"/>
      <c r="G103" s="46"/>
      <c r="H103" s="48">
        <v>4706</v>
      </c>
      <c r="I103" s="48"/>
      <c r="J103" s="46"/>
      <c r="K103" s="46">
        <f t="shared" si="4"/>
        <v>4706</v>
      </c>
    </row>
    <row r="104" spans="1:11" s="51" customFormat="1" ht="18">
      <c r="A104" s="42" t="s">
        <v>50</v>
      </c>
      <c r="B104" s="46" t="s">
        <v>202</v>
      </c>
      <c r="C104" s="46" t="s">
        <v>202</v>
      </c>
      <c r="D104" s="46" t="s">
        <v>202</v>
      </c>
      <c r="E104" s="46" t="s">
        <v>202</v>
      </c>
      <c r="F104" s="46" t="s">
        <v>202</v>
      </c>
      <c r="G104" s="46" t="s">
        <v>202</v>
      </c>
      <c r="H104" s="46" t="s">
        <v>202</v>
      </c>
      <c r="I104" s="46"/>
      <c r="J104" s="46"/>
      <c r="K104" s="46">
        <v>0</v>
      </c>
    </row>
    <row r="105" spans="1:11" s="51" customFormat="1" ht="18">
      <c r="A105" s="42" t="s">
        <v>51</v>
      </c>
      <c r="B105" s="46" t="s">
        <v>201</v>
      </c>
      <c r="C105" s="46" t="s">
        <v>201</v>
      </c>
      <c r="D105" s="46" t="s">
        <v>201</v>
      </c>
      <c r="E105" s="46" t="s">
        <v>201</v>
      </c>
      <c r="F105" s="46" t="s">
        <v>201</v>
      </c>
      <c r="G105" s="46"/>
      <c r="H105" s="46" t="s">
        <v>201</v>
      </c>
      <c r="I105" s="46">
        <v>2660</v>
      </c>
      <c r="J105" s="46"/>
      <c r="K105" s="46">
        <f>SUM(I105:J105)</f>
        <v>2660</v>
      </c>
    </row>
    <row r="106" spans="1:11" s="51" customFormat="1" ht="18">
      <c r="A106" s="42" t="s">
        <v>123</v>
      </c>
      <c r="B106" s="46"/>
      <c r="C106" s="46"/>
      <c r="D106" s="46"/>
      <c r="E106" s="46">
        <v>6598</v>
      </c>
      <c r="F106" s="46"/>
      <c r="G106" s="48"/>
      <c r="H106" s="48">
        <v>5793</v>
      </c>
      <c r="I106" s="46"/>
      <c r="J106" s="46"/>
      <c r="K106" s="46">
        <f>SUM(B106:J106)</f>
        <v>12391</v>
      </c>
    </row>
    <row r="107" spans="1:11" s="51" customFormat="1" ht="18">
      <c r="A107" s="42" t="s">
        <v>165</v>
      </c>
      <c r="B107" s="46"/>
      <c r="C107" s="46"/>
      <c r="D107" s="46"/>
      <c r="E107" s="46"/>
      <c r="F107" s="48">
        <v>1720</v>
      </c>
      <c r="G107" s="46"/>
      <c r="H107" s="46" t="s">
        <v>201</v>
      </c>
      <c r="I107" s="46">
        <v>1806</v>
      </c>
      <c r="J107" s="46"/>
      <c r="K107" s="46">
        <f t="shared" ref="K107:K128" si="5">SUM(B107:J107)</f>
        <v>3526</v>
      </c>
    </row>
    <row r="108" spans="1:11" s="51" customFormat="1" ht="18">
      <c r="A108" s="42" t="s">
        <v>54</v>
      </c>
      <c r="B108" s="46">
        <v>5832</v>
      </c>
      <c r="C108" s="46"/>
      <c r="D108" s="46"/>
      <c r="E108" s="48">
        <v>5832</v>
      </c>
      <c r="F108" s="48">
        <v>6429</v>
      </c>
      <c r="G108" s="48">
        <v>5832</v>
      </c>
      <c r="H108" s="48">
        <v>4895</v>
      </c>
      <c r="I108" s="48"/>
      <c r="J108" s="46"/>
      <c r="K108" s="46">
        <f>SUM(B108:J108)</f>
        <v>28820</v>
      </c>
    </row>
    <row r="109" spans="1:11" s="51" customFormat="1" ht="18">
      <c r="A109" s="42" t="s">
        <v>158</v>
      </c>
      <c r="B109" s="46"/>
      <c r="C109" s="46"/>
      <c r="D109" s="46"/>
      <c r="E109" s="46"/>
      <c r="F109" s="48">
        <v>2280</v>
      </c>
      <c r="G109" s="46"/>
      <c r="H109" s="46"/>
      <c r="I109" s="46">
        <v>2280</v>
      </c>
      <c r="J109" s="46">
        <v>2280</v>
      </c>
      <c r="K109" s="46">
        <f>SUM(B109:J109)</f>
        <v>6840</v>
      </c>
    </row>
    <row r="110" spans="1:11" s="51" customFormat="1" ht="18">
      <c r="A110" s="42" t="s">
        <v>53</v>
      </c>
      <c r="B110" s="46"/>
      <c r="C110" s="46"/>
      <c r="D110" s="46"/>
      <c r="E110" s="46">
        <v>1147</v>
      </c>
      <c r="F110" s="48"/>
      <c r="G110" s="46"/>
      <c r="H110" s="46"/>
      <c r="I110" s="46"/>
      <c r="J110" s="46"/>
      <c r="K110" s="46">
        <f>SUM(B110:J110)</f>
        <v>1147</v>
      </c>
    </row>
    <row r="111" spans="1:11" s="84" customFormat="1" ht="51.75">
      <c r="A111" s="82"/>
      <c r="B111" s="83" t="s">
        <v>191</v>
      </c>
      <c r="C111" s="83" t="s">
        <v>192</v>
      </c>
      <c r="D111" s="83" t="s">
        <v>193</v>
      </c>
      <c r="E111" s="83" t="s">
        <v>194</v>
      </c>
      <c r="F111" s="83" t="s">
        <v>195</v>
      </c>
      <c r="G111" s="83" t="s">
        <v>196</v>
      </c>
      <c r="H111" s="83" t="s">
        <v>197</v>
      </c>
      <c r="I111" s="83" t="s">
        <v>198</v>
      </c>
      <c r="J111" s="83"/>
      <c r="K111" s="83"/>
    </row>
    <row r="112" spans="1:11" s="51" customFormat="1">
      <c r="A112" s="95" t="s">
        <v>244</v>
      </c>
      <c r="B112" s="86"/>
      <c r="C112" s="87"/>
      <c r="D112" s="88"/>
      <c r="E112" s="87"/>
      <c r="F112" s="89"/>
      <c r="G112" s="89"/>
      <c r="H112" s="90"/>
      <c r="I112" s="86"/>
      <c r="J112" s="86"/>
      <c r="K112" s="71"/>
    </row>
    <row r="113" spans="1:11" s="51" customFormat="1" ht="18">
      <c r="A113" s="42" t="s">
        <v>159</v>
      </c>
      <c r="B113" s="46"/>
      <c r="C113" s="46">
        <v>7970</v>
      </c>
      <c r="D113" s="46"/>
      <c r="E113" s="46"/>
      <c r="F113" s="48"/>
      <c r="G113" s="46"/>
      <c r="H113" s="46"/>
      <c r="I113" s="46" t="s">
        <v>201</v>
      </c>
      <c r="J113" s="46"/>
      <c r="K113" s="46">
        <f>SUM(B113:J113)</f>
        <v>7970</v>
      </c>
    </row>
    <row r="114" spans="1:11" s="51" customFormat="1" ht="18">
      <c r="A114" s="42" t="s">
        <v>52</v>
      </c>
      <c r="B114" s="46"/>
      <c r="C114" s="46"/>
      <c r="D114" s="46"/>
      <c r="E114" s="46">
        <v>1125</v>
      </c>
      <c r="F114" s="48"/>
      <c r="G114" s="46"/>
      <c r="H114" s="46"/>
      <c r="I114" s="46"/>
      <c r="J114" s="46"/>
      <c r="K114" s="46">
        <f t="shared" si="5"/>
        <v>1125</v>
      </c>
    </row>
    <row r="115" spans="1:11" s="51" customFormat="1" ht="18">
      <c r="A115" s="42" t="s">
        <v>160</v>
      </c>
      <c r="B115" s="46"/>
      <c r="C115" s="46"/>
      <c r="D115" s="46"/>
      <c r="E115" s="48">
        <v>2080</v>
      </c>
      <c r="F115" s="48"/>
      <c r="G115" s="48"/>
      <c r="H115" s="48"/>
      <c r="I115" s="48" t="s">
        <v>201</v>
      </c>
      <c r="J115" s="46"/>
      <c r="K115" s="46">
        <f>SUM(B115:J115)</f>
        <v>2080</v>
      </c>
    </row>
    <row r="116" spans="1:11" s="49" customFormat="1" ht="18">
      <c r="A116" s="52" t="s">
        <v>226</v>
      </c>
      <c r="B116" s="53"/>
      <c r="C116" s="53"/>
      <c r="D116" s="53"/>
      <c r="E116" s="96"/>
      <c r="F116" s="50"/>
      <c r="G116" s="50">
        <v>5310</v>
      </c>
      <c r="H116" s="50"/>
      <c r="I116" s="50"/>
      <c r="J116" s="53"/>
      <c r="K116" s="46">
        <f>SUM(B116:J116)</f>
        <v>5310</v>
      </c>
    </row>
    <row r="117" spans="1:11" s="51" customFormat="1" ht="18">
      <c r="A117" s="42" t="s">
        <v>55</v>
      </c>
      <c r="B117" s="46">
        <v>8028</v>
      </c>
      <c r="C117" s="46"/>
      <c r="D117" s="46"/>
      <c r="E117" s="48">
        <v>8028</v>
      </c>
      <c r="F117" s="46"/>
      <c r="G117" s="48">
        <v>8028</v>
      </c>
      <c r="H117" s="48">
        <v>4817</v>
      </c>
      <c r="I117" s="144">
        <v>17969</v>
      </c>
      <c r="J117" s="46"/>
      <c r="K117" s="46">
        <f t="shared" si="5"/>
        <v>46870</v>
      </c>
    </row>
    <row r="118" spans="1:11" s="49" customFormat="1" ht="18">
      <c r="A118" s="52" t="s">
        <v>227</v>
      </c>
      <c r="B118" s="53"/>
      <c r="C118" s="53"/>
      <c r="D118" s="53"/>
      <c r="E118" s="50"/>
      <c r="F118" s="53"/>
      <c r="G118" s="50">
        <v>2835</v>
      </c>
      <c r="H118" s="50"/>
      <c r="I118" s="53"/>
      <c r="J118" s="53"/>
      <c r="K118" s="46">
        <f>SUM(B118:J118)</f>
        <v>2835</v>
      </c>
    </row>
    <row r="119" spans="1:11" s="51" customFormat="1" ht="18">
      <c r="A119" s="42" t="s">
        <v>56</v>
      </c>
      <c r="B119" s="46">
        <v>6916</v>
      </c>
      <c r="C119" s="48">
        <v>5681</v>
      </c>
      <c r="D119" s="46"/>
      <c r="E119" s="48">
        <v>6916</v>
      </c>
      <c r="F119" s="46"/>
      <c r="G119" s="48">
        <v>6916</v>
      </c>
      <c r="H119" s="48">
        <v>4076</v>
      </c>
      <c r="I119" s="201"/>
      <c r="J119" s="46"/>
      <c r="K119" s="46">
        <f t="shared" si="5"/>
        <v>30505</v>
      </c>
    </row>
    <row r="120" spans="1:11" s="51" customFormat="1" ht="18">
      <c r="A120" s="42" t="s">
        <v>57</v>
      </c>
      <c r="B120" s="46"/>
      <c r="C120" s="46"/>
      <c r="D120" s="46"/>
      <c r="E120" s="48">
        <v>2878</v>
      </c>
      <c r="F120" s="46"/>
      <c r="G120" s="46"/>
      <c r="H120" s="46"/>
      <c r="I120" s="81"/>
      <c r="J120" s="46"/>
      <c r="K120" s="46">
        <f t="shared" si="5"/>
        <v>2878</v>
      </c>
    </row>
    <row r="121" spans="1:11" s="51" customFormat="1" ht="18">
      <c r="A121" s="42" t="s">
        <v>58</v>
      </c>
      <c r="B121" s="46"/>
      <c r="C121" s="46"/>
      <c r="D121" s="46"/>
      <c r="E121" s="48">
        <v>602</v>
      </c>
      <c r="F121" s="46"/>
      <c r="G121" s="46"/>
      <c r="H121" s="46"/>
      <c r="I121" s="46"/>
      <c r="J121" s="46"/>
      <c r="K121" s="46">
        <f t="shared" si="5"/>
        <v>602</v>
      </c>
    </row>
    <row r="122" spans="1:11" s="51" customFormat="1" ht="18">
      <c r="A122" s="42" t="s">
        <v>137</v>
      </c>
      <c r="B122" s="46"/>
      <c r="C122" s="46"/>
      <c r="D122" s="46"/>
      <c r="E122" s="48">
        <v>2085</v>
      </c>
      <c r="F122" s="46"/>
      <c r="G122" s="46"/>
      <c r="H122" s="48">
        <v>2085</v>
      </c>
      <c r="I122" s="46"/>
      <c r="J122" s="46"/>
      <c r="K122" s="46">
        <f>SUM(B122:J122)</f>
        <v>4170</v>
      </c>
    </row>
    <row r="123" spans="1:11" s="51" customFormat="1" ht="18">
      <c r="A123" s="42" t="s">
        <v>59</v>
      </c>
      <c r="B123" s="46"/>
      <c r="C123" s="46">
        <v>5915</v>
      </c>
      <c r="D123" s="46"/>
      <c r="E123" s="48"/>
      <c r="F123" s="46"/>
      <c r="G123" s="46"/>
      <c r="H123" s="46"/>
      <c r="I123" s="46"/>
      <c r="J123" s="46"/>
      <c r="K123" s="46">
        <f t="shared" si="5"/>
        <v>5915</v>
      </c>
    </row>
    <row r="124" spans="1:11" s="51" customFormat="1" ht="18">
      <c r="A124" s="42" t="s">
        <v>60</v>
      </c>
      <c r="B124" s="46"/>
      <c r="C124" s="46"/>
      <c r="D124" s="46"/>
      <c r="E124" s="46"/>
      <c r="F124" s="46"/>
      <c r="G124" s="46"/>
      <c r="H124" s="46"/>
      <c r="I124" s="46">
        <v>2810</v>
      </c>
      <c r="J124" s="46"/>
      <c r="K124" s="46">
        <f t="shared" si="5"/>
        <v>2810</v>
      </c>
    </row>
    <row r="125" spans="1:11" s="51" customFormat="1" ht="18">
      <c r="A125" s="42" t="s">
        <v>133</v>
      </c>
      <c r="B125" s="46"/>
      <c r="C125" s="46"/>
      <c r="D125" s="46"/>
      <c r="E125" s="48">
        <v>5305</v>
      </c>
      <c r="F125" s="46"/>
      <c r="G125" s="48">
        <v>5305</v>
      </c>
      <c r="H125" s="46"/>
      <c r="I125" s="46"/>
      <c r="J125" s="46"/>
      <c r="K125" s="46">
        <f t="shared" si="5"/>
        <v>10610</v>
      </c>
    </row>
    <row r="126" spans="1:11" s="51" customFormat="1" ht="18">
      <c r="A126" s="42" t="s">
        <v>134</v>
      </c>
      <c r="B126" s="46"/>
      <c r="C126" s="46"/>
      <c r="D126" s="46"/>
      <c r="E126" s="46"/>
      <c r="F126" s="46"/>
      <c r="G126" s="48">
        <v>395</v>
      </c>
      <c r="H126" s="46"/>
      <c r="I126" s="46"/>
      <c r="J126" s="46"/>
      <c r="K126" s="46">
        <f t="shared" si="5"/>
        <v>395</v>
      </c>
    </row>
    <row r="127" spans="1:11" s="51" customFormat="1" ht="18">
      <c r="A127" s="42" t="s">
        <v>135</v>
      </c>
      <c r="B127" s="46"/>
      <c r="C127" s="46"/>
      <c r="D127" s="46"/>
      <c r="E127" s="48">
        <v>5108</v>
      </c>
      <c r="F127" s="46"/>
      <c r="G127" s="46"/>
      <c r="H127" s="46"/>
      <c r="I127" s="46"/>
      <c r="J127" s="46"/>
      <c r="K127" s="46">
        <f t="shared" si="5"/>
        <v>5108</v>
      </c>
    </row>
    <row r="128" spans="1:11" s="51" customFormat="1" ht="18">
      <c r="A128" s="42" t="s">
        <v>61</v>
      </c>
      <c r="B128" s="46"/>
      <c r="C128" s="46"/>
      <c r="D128" s="46"/>
      <c r="E128" s="46"/>
      <c r="F128" s="48"/>
      <c r="G128" s="46"/>
      <c r="H128" s="46"/>
      <c r="I128" s="46">
        <v>2931</v>
      </c>
      <c r="J128" s="46"/>
      <c r="K128" s="46">
        <f t="shared" si="5"/>
        <v>2931</v>
      </c>
    </row>
    <row r="129" spans="1:11" s="76" customFormat="1" ht="18">
      <c r="A129" s="42" t="s">
        <v>62</v>
      </c>
      <c r="B129" s="46"/>
      <c r="C129" s="48"/>
      <c r="D129" s="46"/>
      <c r="E129" s="46"/>
      <c r="F129" s="46"/>
      <c r="G129" s="46"/>
      <c r="H129" s="46"/>
      <c r="I129" s="46">
        <v>10927</v>
      </c>
      <c r="J129" s="46"/>
      <c r="K129" s="46">
        <f t="shared" ref="K129:K134" si="6">SUM(B129:J129)</f>
        <v>10927</v>
      </c>
    </row>
    <row r="130" spans="1:11" s="76" customFormat="1" ht="18">
      <c r="A130" s="42" t="s">
        <v>136</v>
      </c>
      <c r="B130" s="46"/>
      <c r="C130" s="48"/>
      <c r="D130" s="46"/>
      <c r="E130" s="46"/>
      <c r="F130" s="46"/>
      <c r="G130" s="46"/>
      <c r="H130" s="46"/>
      <c r="I130" s="46">
        <v>16877</v>
      </c>
      <c r="J130" s="46"/>
      <c r="K130" s="46">
        <f t="shared" si="6"/>
        <v>16877</v>
      </c>
    </row>
    <row r="131" spans="1:11" s="57" customFormat="1" ht="18">
      <c r="A131" s="63" t="s">
        <v>63</v>
      </c>
      <c r="B131" s="55"/>
      <c r="C131" s="56"/>
      <c r="D131" s="55"/>
      <c r="E131" s="68">
        <v>97185.79</v>
      </c>
      <c r="F131" s="55"/>
      <c r="G131" s="55"/>
      <c r="H131" s="55"/>
      <c r="I131" s="60">
        <v>559065</v>
      </c>
      <c r="J131" s="55"/>
      <c r="K131" s="55">
        <f t="shared" si="6"/>
        <v>656250.79</v>
      </c>
    </row>
    <row r="132" spans="1:11" s="49" customFormat="1" ht="18">
      <c r="A132" s="52" t="s">
        <v>236</v>
      </c>
      <c r="B132" s="53"/>
      <c r="C132" s="50">
        <v>2360</v>
      </c>
      <c r="D132" s="53"/>
      <c r="E132" s="53"/>
      <c r="F132" s="53"/>
      <c r="G132" s="53"/>
      <c r="H132" s="53"/>
      <c r="I132" s="50"/>
      <c r="J132" s="53"/>
      <c r="K132" s="53">
        <f t="shared" si="6"/>
        <v>2360</v>
      </c>
    </row>
    <row r="133" spans="1:11" s="57" customFormat="1" ht="18">
      <c r="A133" s="63" t="s">
        <v>156</v>
      </c>
      <c r="B133" s="55"/>
      <c r="C133" s="56"/>
      <c r="D133" s="55"/>
      <c r="E133" s="55"/>
      <c r="F133" s="55"/>
      <c r="G133" s="55"/>
      <c r="H133" s="55"/>
      <c r="I133" s="68">
        <v>727.65</v>
      </c>
      <c r="J133" s="55"/>
      <c r="K133" s="55">
        <f t="shared" si="6"/>
        <v>727.65</v>
      </c>
    </row>
    <row r="134" spans="1:11" s="49" customFormat="1" ht="18">
      <c r="A134" s="52" t="s">
        <v>237</v>
      </c>
      <c r="B134" s="53"/>
      <c r="C134" s="50"/>
      <c r="D134" s="53"/>
      <c r="E134" s="53">
        <v>6048</v>
      </c>
      <c r="F134" s="53"/>
      <c r="G134" s="53"/>
      <c r="H134" s="53"/>
      <c r="I134" s="53"/>
      <c r="J134" s="53"/>
      <c r="K134" s="55">
        <f t="shared" si="6"/>
        <v>6048</v>
      </c>
    </row>
    <row r="135" spans="1:11" s="76" customFormat="1" ht="18">
      <c r="A135" s="42" t="s">
        <v>64</v>
      </c>
      <c r="B135" s="46"/>
      <c r="C135" s="48"/>
      <c r="D135" s="46">
        <v>8776</v>
      </c>
      <c r="E135" s="46"/>
      <c r="F135" s="48"/>
      <c r="G135" s="48"/>
      <c r="H135" s="48"/>
      <c r="I135" s="48"/>
      <c r="J135" s="48" t="s">
        <v>202</v>
      </c>
      <c r="K135" s="46">
        <f>SUM(B135:J135)</f>
        <v>8776</v>
      </c>
    </row>
    <row r="136" spans="1:11" s="76" customFormat="1" ht="18">
      <c r="A136" s="42" t="s">
        <v>65</v>
      </c>
      <c r="B136" s="46"/>
      <c r="C136" s="48"/>
      <c r="D136" s="46">
        <v>12762</v>
      </c>
      <c r="E136" s="46"/>
      <c r="F136" s="48"/>
      <c r="G136" s="48"/>
      <c r="H136" s="48"/>
      <c r="I136" s="48"/>
      <c r="J136" s="48" t="s">
        <v>202</v>
      </c>
      <c r="K136" s="46">
        <f>SUM(B136:J136)</f>
        <v>12762</v>
      </c>
    </row>
    <row r="137" spans="1:11" s="76" customFormat="1" ht="18">
      <c r="A137" s="42" t="s">
        <v>169</v>
      </c>
      <c r="B137" s="46"/>
      <c r="C137" s="48"/>
      <c r="D137" s="46">
        <v>1700</v>
      </c>
      <c r="E137" s="48"/>
      <c r="F137" s="46"/>
      <c r="G137" s="48"/>
      <c r="H137" s="48"/>
      <c r="I137" s="48"/>
      <c r="J137" s="48"/>
      <c r="K137" s="46">
        <f>SUM(B137:J137)</f>
        <v>1700</v>
      </c>
    </row>
    <row r="138" spans="1:11" s="97" customFormat="1" ht="18">
      <c r="A138" s="42" t="s">
        <v>66</v>
      </c>
      <c r="B138" s="46"/>
      <c r="C138" s="48"/>
      <c r="D138" s="48" t="s">
        <v>202</v>
      </c>
      <c r="E138" s="48"/>
      <c r="F138" s="48"/>
      <c r="G138" s="48"/>
      <c r="H138" s="48"/>
      <c r="I138" s="48"/>
      <c r="J138" s="48" t="s">
        <v>202</v>
      </c>
      <c r="K138" s="46">
        <v>0</v>
      </c>
    </row>
    <row r="139" spans="1:11" s="98" customFormat="1" ht="18">
      <c r="A139" s="52" t="s">
        <v>230</v>
      </c>
      <c r="C139" s="50">
        <v>3149</v>
      </c>
      <c r="D139" s="50"/>
      <c r="E139" s="50"/>
      <c r="F139" s="50"/>
      <c r="G139" s="50"/>
      <c r="H139" s="50"/>
      <c r="I139" s="50"/>
      <c r="J139" s="50"/>
      <c r="K139" s="46">
        <f>SUM(C139:J139)</f>
        <v>3149</v>
      </c>
    </row>
    <row r="140" spans="1:11" s="76" customFormat="1" ht="18">
      <c r="A140" s="42" t="s">
        <v>67</v>
      </c>
      <c r="B140" s="46"/>
      <c r="C140" s="48"/>
      <c r="D140" s="46">
        <v>9969</v>
      </c>
      <c r="E140" s="46"/>
      <c r="F140" s="48"/>
      <c r="G140" s="48"/>
      <c r="H140" s="48"/>
      <c r="I140" s="48"/>
      <c r="J140" s="48"/>
      <c r="K140" s="46">
        <f t="shared" ref="K140:K151" si="7">SUM(B140:J140)</f>
        <v>9969</v>
      </c>
    </row>
    <row r="141" spans="1:11" s="76" customFormat="1" ht="18">
      <c r="A141" s="42" t="s">
        <v>68</v>
      </c>
      <c r="B141" s="46"/>
      <c r="C141" s="48">
        <v>9136</v>
      </c>
      <c r="D141" s="48" t="s">
        <v>202</v>
      </c>
      <c r="E141" s="48"/>
      <c r="F141" s="48"/>
      <c r="G141" s="48"/>
      <c r="H141" s="48"/>
      <c r="I141" s="48"/>
      <c r="J141" s="48" t="s">
        <v>202</v>
      </c>
      <c r="K141" s="48">
        <f t="shared" si="7"/>
        <v>9136</v>
      </c>
    </row>
    <row r="142" spans="1:11" s="76" customFormat="1" ht="19.149999999999999" customHeight="1">
      <c r="A142" s="42" t="s">
        <v>69</v>
      </c>
      <c r="B142" s="48">
        <v>1986</v>
      </c>
      <c r="C142" s="48">
        <v>1986</v>
      </c>
      <c r="D142" s="48">
        <v>1986</v>
      </c>
      <c r="E142" s="48">
        <v>1986</v>
      </c>
      <c r="F142" s="48">
        <v>1986</v>
      </c>
      <c r="G142" s="48">
        <v>1986</v>
      </c>
      <c r="H142" s="48">
        <v>884</v>
      </c>
      <c r="I142" s="48">
        <v>1986</v>
      </c>
      <c r="J142" s="48">
        <v>884</v>
      </c>
      <c r="K142" s="46">
        <f t="shared" si="7"/>
        <v>15670</v>
      </c>
    </row>
    <row r="143" spans="1:11" s="76" customFormat="1" ht="18">
      <c r="A143" s="42" t="s">
        <v>70</v>
      </c>
      <c r="B143" s="48">
        <v>3048</v>
      </c>
      <c r="C143" s="47"/>
      <c r="D143" s="46"/>
      <c r="E143" s="48"/>
      <c r="F143" s="99">
        <v>3048</v>
      </c>
      <c r="G143" s="46"/>
      <c r="H143" s="46"/>
      <c r="I143" s="46"/>
      <c r="J143" s="46"/>
      <c r="K143" s="46">
        <f t="shared" si="7"/>
        <v>6096</v>
      </c>
    </row>
    <row r="144" spans="1:11" s="76" customFormat="1" ht="18">
      <c r="A144" s="42" t="s">
        <v>71</v>
      </c>
      <c r="B144" s="46"/>
      <c r="C144" s="50">
        <v>4797</v>
      </c>
      <c r="D144" s="46">
        <v>6658.9</v>
      </c>
      <c r="E144" s="46"/>
      <c r="G144" s="48"/>
      <c r="H144" s="46"/>
      <c r="I144" s="46"/>
      <c r="J144" s="46"/>
      <c r="K144" s="46">
        <f t="shared" si="7"/>
        <v>11455.9</v>
      </c>
    </row>
    <row r="145" spans="1:11" s="80" customFormat="1" ht="18">
      <c r="A145" s="100" t="s">
        <v>203</v>
      </c>
      <c r="B145" s="46"/>
      <c r="C145" s="46"/>
      <c r="D145" s="46">
        <v>10576.55</v>
      </c>
      <c r="E145" s="46"/>
      <c r="F145" s="46"/>
      <c r="G145" s="46"/>
      <c r="H145" s="46"/>
      <c r="I145" s="46"/>
      <c r="J145" s="46"/>
      <c r="K145" s="46">
        <f>SUM(B145:J145)</f>
        <v>10576.55</v>
      </c>
    </row>
    <row r="146" spans="1:11" s="76" customFormat="1" ht="18">
      <c r="A146" s="42" t="s">
        <v>72</v>
      </c>
      <c r="B146" s="46"/>
      <c r="C146" s="48"/>
      <c r="D146" s="48"/>
      <c r="E146" s="48"/>
      <c r="F146" s="46"/>
      <c r="G146" s="48">
        <v>990</v>
      </c>
      <c r="H146" s="46"/>
      <c r="I146" s="46"/>
      <c r="J146" s="46"/>
      <c r="K146" s="46">
        <f t="shared" si="7"/>
        <v>990</v>
      </c>
    </row>
    <row r="147" spans="1:11" s="76" customFormat="1" ht="18">
      <c r="A147" s="42" t="s">
        <v>279</v>
      </c>
      <c r="B147" s="46"/>
      <c r="C147" s="48">
        <v>570</v>
      </c>
      <c r="D147" s="48"/>
      <c r="E147" s="48"/>
      <c r="F147" s="46"/>
      <c r="G147" s="48"/>
      <c r="H147" s="46"/>
      <c r="I147" s="46"/>
      <c r="J147" s="46"/>
      <c r="K147" s="46">
        <f t="shared" si="7"/>
        <v>570</v>
      </c>
    </row>
    <row r="148" spans="1:11" s="76" customFormat="1" ht="18">
      <c r="A148" s="42" t="s">
        <v>280</v>
      </c>
      <c r="B148" s="46"/>
      <c r="C148" s="46"/>
      <c r="D148" s="46"/>
      <c r="E148" s="46"/>
      <c r="F148" s="46"/>
      <c r="G148" s="48"/>
      <c r="H148" s="46"/>
      <c r="I148" s="46">
        <v>338</v>
      </c>
      <c r="J148" s="46"/>
      <c r="K148" s="46">
        <f>SUM(B148:J148)</f>
        <v>338</v>
      </c>
    </row>
    <row r="149" spans="1:11" s="76" customFormat="1" ht="18">
      <c r="A149" s="42" t="s">
        <v>281</v>
      </c>
      <c r="B149" s="46"/>
      <c r="C149" s="48">
        <v>960</v>
      </c>
      <c r="D149" s="48"/>
      <c r="E149" s="48"/>
      <c r="F149" s="46"/>
      <c r="G149" s="48"/>
      <c r="H149" s="46"/>
      <c r="I149" s="46"/>
      <c r="J149" s="46"/>
      <c r="K149" s="46">
        <f t="shared" si="7"/>
        <v>960</v>
      </c>
    </row>
    <row r="150" spans="1:11" s="76" customFormat="1" ht="18">
      <c r="A150" s="42" t="s">
        <v>282</v>
      </c>
      <c r="B150" s="46"/>
      <c r="C150" s="48">
        <v>570</v>
      </c>
      <c r="D150" s="48"/>
      <c r="E150" s="48"/>
      <c r="F150" s="46"/>
      <c r="G150" s="48"/>
      <c r="H150" s="46"/>
      <c r="I150" s="46"/>
      <c r="J150" s="46"/>
      <c r="K150" s="46">
        <f t="shared" ref="K150:K156" si="8">SUM(B150:J150)</f>
        <v>570</v>
      </c>
    </row>
    <row r="151" spans="1:11" s="78" customFormat="1" ht="18">
      <c r="A151" s="52" t="s">
        <v>283</v>
      </c>
      <c r="B151" s="48"/>
      <c r="C151" s="53">
        <v>839</v>
      </c>
      <c r="D151" s="47"/>
      <c r="E151" s="50"/>
      <c r="F151" s="53"/>
      <c r="G151" s="50"/>
      <c r="H151" s="53"/>
      <c r="I151" s="53"/>
      <c r="J151" s="53"/>
      <c r="K151" s="48">
        <f t="shared" si="7"/>
        <v>839</v>
      </c>
    </row>
    <row r="152" spans="1:11" s="76" customFormat="1" ht="18">
      <c r="A152" s="42" t="s">
        <v>284</v>
      </c>
      <c r="B152" s="46"/>
      <c r="C152" s="48">
        <v>570</v>
      </c>
      <c r="D152" s="48"/>
      <c r="E152" s="48"/>
      <c r="F152" s="46"/>
      <c r="G152" s="48"/>
      <c r="H152" s="46"/>
      <c r="I152" s="46"/>
      <c r="J152" s="46"/>
      <c r="K152" s="46">
        <f>SUM(B152:J152)</f>
        <v>570</v>
      </c>
    </row>
    <row r="153" spans="1:11" s="104" customFormat="1" ht="19.5" customHeight="1">
      <c r="A153" s="101" t="s">
        <v>163</v>
      </c>
      <c r="B153" s="102">
        <v>9000</v>
      </c>
      <c r="C153" s="102"/>
      <c r="D153" s="102">
        <v>13500</v>
      </c>
      <c r="E153" s="102"/>
      <c r="F153" s="102"/>
      <c r="G153" s="102">
        <v>9000</v>
      </c>
      <c r="H153" s="102" t="s">
        <v>201</v>
      </c>
      <c r="I153" s="103"/>
      <c r="J153" s="102"/>
      <c r="K153" s="102">
        <f t="shared" si="8"/>
        <v>31500</v>
      </c>
    </row>
    <row r="154" spans="1:11" s="57" customFormat="1">
      <c r="A154" s="58" t="s">
        <v>150</v>
      </c>
      <c r="B154" s="55"/>
      <c r="C154" s="55"/>
      <c r="D154" s="55"/>
      <c r="E154" s="55"/>
      <c r="F154" s="55"/>
      <c r="G154" s="55"/>
      <c r="H154" s="55"/>
      <c r="I154" s="60">
        <v>46303</v>
      </c>
      <c r="J154" s="55"/>
      <c r="K154" s="55">
        <f t="shared" si="8"/>
        <v>46303</v>
      </c>
    </row>
    <row r="155" spans="1:11" s="57" customFormat="1">
      <c r="A155" s="58" t="s">
        <v>224</v>
      </c>
      <c r="B155" s="55"/>
      <c r="C155" s="55"/>
      <c r="D155" s="55"/>
      <c r="E155" s="55"/>
      <c r="F155" s="55"/>
      <c r="G155" s="55"/>
      <c r="H155" s="55"/>
      <c r="I155" s="56" t="s">
        <v>221</v>
      </c>
      <c r="J155" s="55"/>
      <c r="K155" s="55">
        <f t="shared" si="8"/>
        <v>0</v>
      </c>
    </row>
    <row r="156" spans="1:11" s="76" customFormat="1" ht="18">
      <c r="A156" s="42" t="s">
        <v>73</v>
      </c>
      <c r="B156" s="48">
        <v>3510</v>
      </c>
      <c r="C156" s="48"/>
      <c r="D156" s="48"/>
      <c r="E156" s="48"/>
      <c r="F156" s="48"/>
      <c r="G156" s="48"/>
      <c r="H156" s="48"/>
      <c r="I156" s="46">
        <v>11907</v>
      </c>
      <c r="J156" s="48"/>
      <c r="K156" s="46">
        <f t="shared" si="8"/>
        <v>15417</v>
      </c>
    </row>
    <row r="157" spans="1:11" s="76" customFormat="1" ht="18">
      <c r="A157" s="42" t="s">
        <v>269</v>
      </c>
      <c r="B157" s="46"/>
      <c r="C157" s="46">
        <v>678.91</v>
      </c>
      <c r="D157" s="46"/>
      <c r="E157" s="46"/>
      <c r="F157" s="46"/>
      <c r="G157" s="46"/>
      <c r="H157" s="46"/>
      <c r="I157" s="46"/>
      <c r="J157" s="46"/>
      <c r="K157" s="46">
        <f>SUM(B157:J157)</f>
        <v>678.91</v>
      </c>
    </row>
    <row r="158" spans="1:11" s="76" customFormat="1" ht="18">
      <c r="A158" s="42" t="s">
        <v>270</v>
      </c>
      <c r="B158" s="46"/>
      <c r="C158" s="46">
        <v>2046.5</v>
      </c>
      <c r="D158" s="46"/>
      <c r="E158" s="46"/>
      <c r="F158" s="46"/>
      <c r="G158" s="46"/>
      <c r="H158" s="46"/>
      <c r="I158" s="46"/>
      <c r="J158" s="46"/>
      <c r="K158" s="46">
        <f>SUM(B158:J158)</f>
        <v>2046.5</v>
      </c>
    </row>
    <row r="159" spans="1:11" s="76" customFormat="1" ht="18">
      <c r="A159" s="42" t="s">
        <v>271</v>
      </c>
      <c r="B159" s="46"/>
      <c r="C159" s="46">
        <v>312.94</v>
      </c>
      <c r="D159" s="46"/>
      <c r="E159" s="46"/>
      <c r="F159" s="46"/>
      <c r="G159" s="46"/>
      <c r="H159" s="46"/>
      <c r="I159" s="46"/>
      <c r="J159" s="46"/>
      <c r="K159" s="46">
        <f>SUM(B159:J159)</f>
        <v>312.94</v>
      </c>
    </row>
    <row r="160" spans="1:11" s="76" customFormat="1" ht="18">
      <c r="A160" s="42" t="s">
        <v>272</v>
      </c>
      <c r="B160" s="46"/>
      <c r="C160" s="46">
        <v>3288.48</v>
      </c>
      <c r="D160" s="47"/>
      <c r="E160" s="81"/>
      <c r="F160" s="46"/>
      <c r="G160" s="46"/>
      <c r="H160" s="46"/>
      <c r="I160" s="46"/>
      <c r="J160" s="46"/>
      <c r="K160" s="46">
        <f>SUM(B160:J160)</f>
        <v>3288.48</v>
      </c>
    </row>
    <row r="161" spans="1:11" s="57" customFormat="1">
      <c r="A161" s="58" t="s">
        <v>256</v>
      </c>
      <c r="B161" s="55"/>
      <c r="C161" s="56"/>
      <c r="D161" s="56"/>
      <c r="E161" s="56">
        <v>7899.19</v>
      </c>
      <c r="F161" s="55"/>
      <c r="G161" s="55"/>
      <c r="H161" s="56"/>
      <c r="I161" s="56"/>
      <c r="J161" s="56"/>
      <c r="K161" s="55">
        <f>SUM(B161:J161)</f>
        <v>7899.19</v>
      </c>
    </row>
    <row r="162" spans="1:11" s="57" customFormat="1">
      <c r="A162" s="58" t="s">
        <v>74</v>
      </c>
      <c r="B162" s="56">
        <v>0</v>
      </c>
      <c r="C162" s="56">
        <v>1300</v>
      </c>
      <c r="D162" s="56">
        <v>7800</v>
      </c>
      <c r="E162" s="56">
        <v>16400</v>
      </c>
      <c r="F162" s="56">
        <v>17800</v>
      </c>
      <c r="G162" s="56"/>
      <c r="H162" s="56"/>
      <c r="I162" s="56">
        <v>44300</v>
      </c>
      <c r="J162" s="56"/>
      <c r="K162" s="55">
        <f t="shared" ref="K162:K169" si="9">SUM(B162:J162)</f>
        <v>87600</v>
      </c>
    </row>
    <row r="163" spans="1:11" s="51" customFormat="1" ht="20.25" customHeight="1">
      <c r="A163" s="42" t="s">
        <v>75</v>
      </c>
      <c r="B163" s="46"/>
      <c r="C163" s="46">
        <v>3919</v>
      </c>
      <c r="D163" s="46"/>
      <c r="E163" s="46"/>
      <c r="F163" s="46"/>
      <c r="G163" s="46"/>
      <c r="H163" s="46"/>
      <c r="I163" s="46"/>
      <c r="J163" s="46"/>
      <c r="K163" s="46">
        <f t="shared" si="9"/>
        <v>3919</v>
      </c>
    </row>
    <row r="164" spans="1:11" s="76" customFormat="1" ht="16.5" customHeight="1">
      <c r="A164" s="42" t="s">
        <v>76</v>
      </c>
      <c r="B164" s="46"/>
      <c r="C164" s="46"/>
      <c r="D164" s="46">
        <v>4885</v>
      </c>
      <c r="E164" s="46"/>
      <c r="F164" s="46"/>
      <c r="G164" s="46"/>
      <c r="H164" s="46"/>
      <c r="I164" s="46"/>
      <c r="J164" s="46"/>
      <c r="K164" s="46">
        <f t="shared" si="9"/>
        <v>4885</v>
      </c>
    </row>
    <row r="165" spans="1:11" s="51" customFormat="1" ht="18">
      <c r="A165" s="42" t="s">
        <v>397</v>
      </c>
      <c r="B165" s="48"/>
      <c r="C165" s="48"/>
      <c r="D165" s="48"/>
      <c r="E165" s="48"/>
      <c r="F165" s="48"/>
      <c r="G165" s="48"/>
      <c r="H165" s="48"/>
      <c r="I165" s="46">
        <v>4200</v>
      </c>
      <c r="J165" s="48"/>
      <c r="K165" s="46">
        <f>SUM(B165:J165)</f>
        <v>4200</v>
      </c>
    </row>
    <row r="166" spans="1:11" s="105" customFormat="1" ht="51.75">
      <c r="A166" s="82"/>
      <c r="B166" s="83" t="s">
        <v>191</v>
      </c>
      <c r="C166" s="83" t="s">
        <v>192</v>
      </c>
      <c r="D166" s="83" t="s">
        <v>193</v>
      </c>
      <c r="E166" s="83" t="s">
        <v>194</v>
      </c>
      <c r="F166" s="83" t="s">
        <v>195</v>
      </c>
      <c r="G166" s="83" t="s">
        <v>196</v>
      </c>
      <c r="H166" s="83" t="s">
        <v>197</v>
      </c>
      <c r="I166" s="83" t="s">
        <v>198</v>
      </c>
      <c r="J166" s="83"/>
      <c r="K166" s="83"/>
    </row>
    <row r="167" spans="1:11" s="51" customFormat="1">
      <c r="A167" s="85" t="s">
        <v>244</v>
      </c>
      <c r="B167" s="86"/>
      <c r="C167" s="87"/>
      <c r="D167" s="88"/>
      <c r="E167" s="87"/>
      <c r="F167" s="89"/>
      <c r="G167" s="89"/>
      <c r="H167" s="90"/>
      <c r="I167" s="86"/>
      <c r="J167" s="86"/>
      <c r="K167" s="71"/>
    </row>
    <row r="168" spans="1:11" s="49" customFormat="1" ht="18">
      <c r="A168" s="52" t="s">
        <v>263</v>
      </c>
      <c r="B168" s="50"/>
      <c r="C168" s="47"/>
      <c r="D168" s="50">
        <v>6800</v>
      </c>
      <c r="E168" s="50"/>
      <c r="F168" s="50"/>
      <c r="G168" s="47"/>
      <c r="H168" s="50"/>
      <c r="I168" s="53"/>
      <c r="J168" s="50"/>
      <c r="K168" s="46">
        <f t="shared" si="9"/>
        <v>6800</v>
      </c>
    </row>
    <row r="169" spans="1:11" s="76" customFormat="1" ht="18">
      <c r="A169" s="42" t="s">
        <v>77</v>
      </c>
      <c r="B169" s="48">
        <v>500</v>
      </c>
      <c r="C169" s="47"/>
      <c r="D169" s="48"/>
      <c r="E169" s="48"/>
      <c r="F169" s="48"/>
      <c r="G169" s="48">
        <v>1500</v>
      </c>
      <c r="H169" s="48">
        <v>500</v>
      </c>
      <c r="I169" s="48"/>
      <c r="J169" s="48"/>
      <c r="K169" s="46">
        <f t="shared" si="9"/>
        <v>2500</v>
      </c>
    </row>
    <row r="170" spans="1:11" s="51" customFormat="1" ht="18">
      <c r="A170" s="42" t="s">
        <v>78</v>
      </c>
      <c r="B170" s="46">
        <v>15000</v>
      </c>
      <c r="C170" s="81"/>
      <c r="D170" s="46"/>
      <c r="E170" s="46">
        <v>15000</v>
      </c>
      <c r="F170" s="46"/>
      <c r="G170" s="46">
        <v>15000</v>
      </c>
      <c r="H170" s="46"/>
      <c r="I170" s="46">
        <v>15000</v>
      </c>
      <c r="J170" s="46"/>
      <c r="K170" s="46">
        <f t="shared" ref="K170:K206" si="10">SUM(B170:J170)</f>
        <v>60000</v>
      </c>
    </row>
    <row r="171" spans="1:11" s="51" customFormat="1" ht="18">
      <c r="A171" s="42" t="s">
        <v>79</v>
      </c>
      <c r="B171" s="71"/>
      <c r="C171" s="46"/>
      <c r="D171" s="46"/>
      <c r="E171" s="46"/>
      <c r="F171" s="46"/>
      <c r="G171" s="46">
        <v>2737</v>
      </c>
      <c r="H171" s="46"/>
      <c r="I171" s="46"/>
      <c r="J171" s="46"/>
      <c r="K171" s="46">
        <f t="shared" si="10"/>
        <v>2737</v>
      </c>
    </row>
    <row r="172" spans="1:11" s="46" customFormat="1" ht="18">
      <c r="A172" s="42" t="s">
        <v>171</v>
      </c>
      <c r="C172" s="46">
        <v>921.85</v>
      </c>
      <c r="K172" s="46">
        <f>SUM(B172:J172)</f>
        <v>921.85</v>
      </c>
    </row>
    <row r="173" spans="1:11" s="51" customFormat="1">
      <c r="A173" s="70" t="s">
        <v>212</v>
      </c>
      <c r="B173" s="46"/>
      <c r="C173" s="46"/>
      <c r="D173" s="46"/>
      <c r="E173" s="46">
        <v>10108</v>
      </c>
      <c r="F173" s="46">
        <v>3631</v>
      </c>
      <c r="G173" s="46">
        <v>3631</v>
      </c>
      <c r="H173" s="46">
        <v>3631</v>
      </c>
      <c r="I173" s="46">
        <v>14500</v>
      </c>
      <c r="J173" s="46"/>
      <c r="K173" s="46">
        <f>SUM(B173:J173)</f>
        <v>35501</v>
      </c>
    </row>
    <row r="174" spans="1:11" s="51" customFormat="1">
      <c r="A174" s="70" t="s">
        <v>241</v>
      </c>
      <c r="B174" s="46"/>
      <c r="C174" s="46"/>
      <c r="D174" s="53">
        <v>410</v>
      </c>
      <c r="E174" s="53">
        <v>0</v>
      </c>
      <c r="F174" s="46"/>
      <c r="G174" s="46"/>
      <c r="H174" s="46" t="s">
        <v>201</v>
      </c>
      <c r="I174" s="46">
        <v>1737</v>
      </c>
      <c r="J174" s="46"/>
      <c r="K174" s="46">
        <f>SUM(B174:J174)</f>
        <v>2147</v>
      </c>
    </row>
    <row r="175" spans="1:11" s="51" customFormat="1" ht="18">
      <c r="A175" s="42" t="s">
        <v>80</v>
      </c>
      <c r="B175" s="48"/>
      <c r="C175" s="48"/>
      <c r="D175" s="48"/>
      <c r="E175" s="48">
        <v>1848</v>
      </c>
      <c r="F175" s="48">
        <v>1848</v>
      </c>
      <c r="G175" s="48"/>
      <c r="H175" s="48"/>
      <c r="I175" s="46">
        <v>3060</v>
      </c>
      <c r="J175" s="48">
        <v>1848</v>
      </c>
      <c r="K175" s="46">
        <f t="shared" si="10"/>
        <v>8604</v>
      </c>
    </row>
    <row r="176" spans="1:11" s="57" customFormat="1" ht="18" customHeight="1">
      <c r="A176" s="63" t="s">
        <v>176</v>
      </c>
      <c r="B176" s="56"/>
      <c r="C176" s="48"/>
      <c r="D176" s="48"/>
      <c r="E176" s="48"/>
      <c r="F176" s="48"/>
      <c r="G176" s="48"/>
      <c r="H176" s="48"/>
      <c r="I176" s="48"/>
      <c r="J176" s="68">
        <v>2099.5</v>
      </c>
      <c r="K176" s="55">
        <f t="shared" si="10"/>
        <v>2099.5</v>
      </c>
    </row>
    <row r="177" spans="1:11" s="57" customFormat="1" ht="18">
      <c r="A177" s="63" t="s">
        <v>174</v>
      </c>
      <c r="B177" s="55"/>
      <c r="C177" s="48"/>
      <c r="D177" s="48"/>
      <c r="E177" s="48"/>
      <c r="F177" s="46"/>
      <c r="G177" s="55"/>
      <c r="H177" s="56"/>
      <c r="I177" s="68">
        <v>28722</v>
      </c>
      <c r="J177" s="48"/>
      <c r="K177" s="55">
        <f>SUM(B177:J177)</f>
        <v>28722</v>
      </c>
    </row>
    <row r="178" spans="1:11" s="57" customFormat="1" ht="18">
      <c r="A178" s="63" t="s">
        <v>128</v>
      </c>
      <c r="B178" s="55"/>
      <c r="C178" s="46"/>
      <c r="D178" s="48"/>
      <c r="E178" s="46"/>
      <c r="F178" s="46"/>
      <c r="G178" s="55">
        <v>34016.81</v>
      </c>
      <c r="H178" s="56"/>
      <c r="I178" s="55"/>
      <c r="J178" s="46"/>
      <c r="K178" s="55">
        <f t="shared" si="10"/>
        <v>34016.81</v>
      </c>
    </row>
    <row r="179" spans="1:11" s="51" customFormat="1" ht="18">
      <c r="A179" s="42" t="s">
        <v>129</v>
      </c>
      <c r="B179" s="46"/>
      <c r="C179" s="81"/>
      <c r="D179" s="48"/>
      <c r="E179" s="47"/>
      <c r="F179" s="46"/>
      <c r="G179" s="48">
        <v>1628.84</v>
      </c>
      <c r="H179" s="48"/>
      <c r="I179" s="46"/>
      <c r="J179" s="46">
        <v>666.5</v>
      </c>
      <c r="K179" s="46">
        <f t="shared" si="10"/>
        <v>2295.34</v>
      </c>
    </row>
    <row r="180" spans="1:11" s="51" customFormat="1" ht="18">
      <c r="A180" s="42" t="s">
        <v>81</v>
      </c>
      <c r="B180" s="71"/>
      <c r="C180" s="48">
        <v>10855.78</v>
      </c>
      <c r="D180" s="48">
        <v>29070</v>
      </c>
      <c r="E180" s="48">
        <v>8118.75</v>
      </c>
      <c r="F180" s="48">
        <v>13006.87</v>
      </c>
      <c r="G180" s="48">
        <v>7102.5</v>
      </c>
      <c r="H180" s="46"/>
      <c r="I180" s="46">
        <v>25295.62</v>
      </c>
      <c r="J180" s="46">
        <v>2906.25</v>
      </c>
      <c r="K180" s="46">
        <f t="shared" si="10"/>
        <v>96355.76999999999</v>
      </c>
    </row>
    <row r="181" spans="1:11" s="57" customFormat="1" ht="18">
      <c r="A181" s="63" t="s">
        <v>143</v>
      </c>
      <c r="B181" s="55"/>
      <c r="C181" s="56"/>
      <c r="D181" s="56"/>
      <c r="E181" s="56"/>
      <c r="F181" s="56"/>
      <c r="G181" s="56"/>
      <c r="H181" s="55"/>
      <c r="I181" s="55">
        <v>7446.6</v>
      </c>
      <c r="J181" s="55">
        <v>837</v>
      </c>
      <c r="K181" s="55">
        <f t="shared" si="10"/>
        <v>8283.6</v>
      </c>
    </row>
    <row r="182" spans="1:11" s="57" customFormat="1" ht="18">
      <c r="A182" s="54" t="s">
        <v>185</v>
      </c>
      <c r="B182" s="55"/>
      <c r="C182" s="56"/>
      <c r="D182" s="56"/>
      <c r="E182" s="56"/>
      <c r="F182" s="56"/>
      <c r="G182" s="56"/>
      <c r="H182" s="55"/>
      <c r="I182" s="55">
        <v>1125</v>
      </c>
      <c r="J182" s="55"/>
      <c r="K182" s="55">
        <f t="shared" si="10"/>
        <v>1125</v>
      </c>
    </row>
    <row r="183" spans="1:11" s="51" customFormat="1" ht="18">
      <c r="A183" s="42" t="s">
        <v>82</v>
      </c>
      <c r="B183" s="48"/>
      <c r="C183" s="46"/>
      <c r="D183" s="46"/>
      <c r="E183" s="46"/>
      <c r="F183" s="46">
        <v>1320</v>
      </c>
      <c r="G183" s="81"/>
      <c r="H183" s="46">
        <v>1320</v>
      </c>
      <c r="I183" s="48"/>
      <c r="J183" s="48"/>
      <c r="K183" s="46">
        <f t="shared" si="10"/>
        <v>2640</v>
      </c>
    </row>
    <row r="184" spans="1:11" s="51" customFormat="1" ht="18">
      <c r="A184" s="42" t="s">
        <v>173</v>
      </c>
      <c r="B184" s="48"/>
      <c r="C184" s="48" t="s">
        <v>201</v>
      </c>
      <c r="D184" s="48"/>
      <c r="E184" s="48">
        <v>3177</v>
      </c>
      <c r="F184" s="48" t="s">
        <v>201</v>
      </c>
      <c r="G184" s="46"/>
      <c r="H184" s="48"/>
      <c r="I184" s="48"/>
      <c r="J184" s="48"/>
      <c r="K184" s="46">
        <f t="shared" si="10"/>
        <v>3177</v>
      </c>
    </row>
    <row r="185" spans="1:11" s="51" customFormat="1" ht="18">
      <c r="A185" s="42" t="s">
        <v>83</v>
      </c>
      <c r="B185" s="48"/>
      <c r="C185" s="48"/>
      <c r="D185" s="48"/>
      <c r="E185" s="48"/>
      <c r="F185" s="48"/>
      <c r="G185" s="46"/>
      <c r="H185" s="48"/>
      <c r="I185" s="46">
        <v>9606.4</v>
      </c>
      <c r="J185" s="48"/>
      <c r="K185" s="46">
        <f t="shared" si="10"/>
        <v>9606.4</v>
      </c>
    </row>
    <row r="186" spans="1:11" s="94" customFormat="1" ht="18">
      <c r="A186" s="42" t="s">
        <v>84</v>
      </c>
      <c r="B186" s="106">
        <v>3339</v>
      </c>
      <c r="C186" s="48"/>
      <c r="D186" s="48"/>
      <c r="E186" s="106">
        <v>5009</v>
      </c>
      <c r="F186" s="48"/>
      <c r="G186" s="106">
        <v>3339</v>
      </c>
      <c r="H186" s="106">
        <v>3339</v>
      </c>
      <c r="I186" s="48"/>
      <c r="J186" s="106">
        <v>1815</v>
      </c>
      <c r="K186" s="46">
        <f t="shared" si="10"/>
        <v>16841</v>
      </c>
    </row>
    <row r="187" spans="1:11" s="49" customFormat="1" ht="18">
      <c r="A187" s="52" t="s">
        <v>231</v>
      </c>
      <c r="B187" s="50"/>
      <c r="C187" s="50"/>
      <c r="D187" s="50"/>
      <c r="E187" s="50"/>
      <c r="F187" s="53">
        <v>393.75</v>
      </c>
      <c r="G187" s="50"/>
      <c r="H187" s="50"/>
      <c r="I187" s="50"/>
      <c r="J187" s="53"/>
      <c r="K187" s="46">
        <f t="shared" si="10"/>
        <v>393.75</v>
      </c>
    </row>
    <row r="188" spans="1:11" s="51" customFormat="1" ht="18">
      <c r="A188" s="42" t="s">
        <v>144</v>
      </c>
      <c r="B188" s="46"/>
      <c r="C188" s="48"/>
      <c r="D188" s="48"/>
      <c r="E188" s="48"/>
      <c r="F188" s="48">
        <v>1106.25</v>
      </c>
      <c r="G188" s="48"/>
      <c r="H188" s="46"/>
      <c r="I188" s="48"/>
      <c r="J188" s="48"/>
      <c r="K188" s="46">
        <f t="shared" si="10"/>
        <v>1106.25</v>
      </c>
    </row>
    <row r="189" spans="1:11" s="51" customFormat="1" ht="18">
      <c r="A189" s="42" t="s">
        <v>235</v>
      </c>
      <c r="B189" s="48"/>
      <c r="C189" s="46">
        <v>2812.5</v>
      </c>
      <c r="D189" s="48"/>
      <c r="E189" s="48">
        <v>1875</v>
      </c>
      <c r="F189" s="46">
        <v>1271.25</v>
      </c>
      <c r="G189" s="46">
        <v>2812.5</v>
      </c>
      <c r="H189" s="46"/>
      <c r="I189" s="48" t="s">
        <v>201</v>
      </c>
      <c r="J189" s="46">
        <v>1875</v>
      </c>
      <c r="K189" s="46">
        <f>SUM(B189:J189)</f>
        <v>10646.25</v>
      </c>
    </row>
    <row r="190" spans="1:11" s="51" customFormat="1" ht="18">
      <c r="A190" s="42" t="s">
        <v>85</v>
      </c>
      <c r="B190" s="46"/>
      <c r="C190" s="48"/>
      <c r="D190" s="48"/>
      <c r="E190" s="48">
        <v>1760</v>
      </c>
      <c r="F190" s="48">
        <v>1256</v>
      </c>
      <c r="G190" s="48"/>
      <c r="H190" s="46"/>
      <c r="I190" s="48"/>
      <c r="J190" s="48"/>
      <c r="K190" s="46">
        <f t="shared" si="10"/>
        <v>3016</v>
      </c>
    </row>
    <row r="191" spans="1:11" s="51" customFormat="1" ht="19.899999999999999" customHeight="1">
      <c r="A191" s="100" t="s">
        <v>175</v>
      </c>
      <c r="B191" s="48"/>
      <c r="C191" s="48">
        <v>0</v>
      </c>
      <c r="D191" s="48"/>
      <c r="E191" s="48"/>
      <c r="F191" s="48"/>
      <c r="G191" s="48"/>
      <c r="H191" s="48"/>
      <c r="I191" s="48"/>
      <c r="J191" s="48"/>
      <c r="K191" s="46">
        <f>SUM(B191:J191)</f>
        <v>0</v>
      </c>
    </row>
    <row r="192" spans="1:11" s="51" customFormat="1" ht="18">
      <c r="A192" s="42" t="s">
        <v>86</v>
      </c>
      <c r="B192" s="48">
        <v>791.56</v>
      </c>
      <c r="C192" s="48">
        <v>1065.9000000000001</v>
      </c>
      <c r="D192" s="46"/>
      <c r="E192" s="48">
        <v>952.6</v>
      </c>
      <c r="F192" s="48">
        <v>1526.14</v>
      </c>
      <c r="G192" s="48">
        <v>833.36</v>
      </c>
      <c r="H192" s="48">
        <v>504.46</v>
      </c>
      <c r="I192" s="46">
        <v>2968.02</v>
      </c>
      <c r="J192" s="46">
        <v>341</v>
      </c>
      <c r="K192" s="46">
        <f>SUM(B192:J192)</f>
        <v>8983.0399999999991</v>
      </c>
    </row>
    <row r="193" spans="1:11" s="51" customFormat="1" ht="18">
      <c r="A193" s="52" t="s">
        <v>232</v>
      </c>
      <c r="B193" s="48"/>
      <c r="C193" s="46"/>
      <c r="D193" s="48"/>
      <c r="E193" s="48"/>
      <c r="F193" s="53">
        <v>671.25</v>
      </c>
      <c r="G193" s="46"/>
      <c r="H193" s="46"/>
      <c r="I193" s="48"/>
      <c r="J193" s="46"/>
      <c r="K193" s="46">
        <f>SUM(B193:J193)</f>
        <v>671.25</v>
      </c>
    </row>
    <row r="194" spans="1:11" s="51" customFormat="1" ht="18">
      <c r="A194" s="42" t="s">
        <v>172</v>
      </c>
      <c r="B194" s="107"/>
      <c r="C194" s="46">
        <v>1496.25</v>
      </c>
      <c r="D194" s="108"/>
      <c r="E194" s="46"/>
      <c r="F194" s="48" t="s">
        <v>201</v>
      </c>
      <c r="G194" s="48"/>
      <c r="H194" s="48" t="s">
        <v>201</v>
      </c>
      <c r="I194" s="107"/>
      <c r="J194" s="107"/>
      <c r="K194" s="46">
        <f>SUM(B194:J194)</f>
        <v>1496.25</v>
      </c>
    </row>
    <row r="195" spans="1:11" s="51" customFormat="1" ht="18">
      <c r="A195" s="42" t="s">
        <v>234</v>
      </c>
      <c r="B195" s="48"/>
      <c r="C195" s="81"/>
      <c r="D195" s="48"/>
      <c r="E195" s="48">
        <v>1875</v>
      </c>
      <c r="F195" s="46">
        <v>1597.5</v>
      </c>
      <c r="G195" s="46" t="s">
        <v>201</v>
      </c>
      <c r="H195" s="46"/>
      <c r="I195" s="48">
        <v>1597.5</v>
      </c>
      <c r="J195" s="46">
        <v>1875</v>
      </c>
      <c r="K195" s="46">
        <f>SUM(B195:J195)</f>
        <v>6945</v>
      </c>
    </row>
    <row r="196" spans="1:11" s="57" customFormat="1" ht="18">
      <c r="A196" s="63" t="s">
        <v>183</v>
      </c>
      <c r="B196" s="56"/>
      <c r="C196" s="56"/>
      <c r="D196" s="56"/>
      <c r="E196" s="56"/>
      <c r="F196" s="56"/>
      <c r="G196" s="56">
        <v>1347.25</v>
      </c>
      <c r="H196" s="56"/>
      <c r="I196" s="56">
        <v>1347.25</v>
      </c>
      <c r="J196" s="56"/>
      <c r="K196" s="55">
        <f t="shared" si="10"/>
        <v>2694.5</v>
      </c>
    </row>
    <row r="197" spans="1:11" s="51" customFormat="1" ht="18">
      <c r="A197" s="42" t="s">
        <v>87</v>
      </c>
      <c r="B197" s="48"/>
      <c r="C197" s="48">
        <v>2437.5</v>
      </c>
      <c r="D197" s="46"/>
      <c r="E197" s="48">
        <v>2437.5</v>
      </c>
      <c r="F197" s="48">
        <v>1275</v>
      </c>
      <c r="G197" s="48">
        <v>1743.5</v>
      </c>
      <c r="H197" s="46"/>
      <c r="I197" s="46"/>
      <c r="J197" s="46"/>
      <c r="K197" s="46">
        <f t="shared" si="10"/>
        <v>7893.5</v>
      </c>
    </row>
    <row r="198" spans="1:11" s="51" customFormat="1" ht="18">
      <c r="A198" s="42" t="s">
        <v>168</v>
      </c>
      <c r="B198" s="48"/>
      <c r="C198" s="48"/>
      <c r="D198" s="46"/>
      <c r="E198" s="48"/>
      <c r="F198" s="48">
        <v>824</v>
      </c>
      <c r="G198" s="46"/>
      <c r="H198" s="46"/>
      <c r="I198" s="46"/>
      <c r="J198" s="46"/>
      <c r="K198" s="46">
        <f t="shared" si="10"/>
        <v>824</v>
      </c>
    </row>
    <row r="199" spans="1:11" s="57" customFormat="1" ht="18">
      <c r="A199" s="63" t="s">
        <v>88</v>
      </c>
      <c r="B199" s="56"/>
      <c r="C199" s="56"/>
      <c r="D199" s="55"/>
      <c r="E199" s="109">
        <v>17506</v>
      </c>
      <c r="F199" s="109">
        <v>11242</v>
      </c>
      <c r="G199" s="109">
        <v>7536</v>
      </c>
      <c r="H199" s="109">
        <v>4900</v>
      </c>
      <c r="I199" s="110">
        <v>21943</v>
      </c>
      <c r="J199" s="110">
        <v>11685</v>
      </c>
      <c r="K199" s="55">
        <f t="shared" si="10"/>
        <v>74812</v>
      </c>
    </row>
    <row r="200" spans="1:11" s="51" customFormat="1" ht="18">
      <c r="A200" s="42" t="s">
        <v>130</v>
      </c>
      <c r="B200" s="111">
        <v>3900</v>
      </c>
      <c r="C200" s="48">
        <v>1901</v>
      </c>
      <c r="D200" s="48">
        <v>3900</v>
      </c>
      <c r="E200" s="48">
        <v>3900</v>
      </c>
      <c r="F200" s="48">
        <v>3900</v>
      </c>
      <c r="G200" s="48">
        <v>3900</v>
      </c>
      <c r="H200" s="48">
        <v>3900</v>
      </c>
      <c r="I200" s="48">
        <v>3900</v>
      </c>
      <c r="J200" s="48">
        <v>3900</v>
      </c>
      <c r="K200" s="46">
        <f t="shared" si="10"/>
        <v>33101</v>
      </c>
    </row>
    <row r="201" spans="1:11" s="51" customFormat="1" ht="18">
      <c r="A201" s="42" t="s">
        <v>142</v>
      </c>
      <c r="B201" s="111">
        <v>9068</v>
      </c>
      <c r="C201" s="48">
        <v>3116</v>
      </c>
      <c r="D201" s="112"/>
      <c r="E201" s="48">
        <v>9068</v>
      </c>
      <c r="F201" s="48">
        <v>9068</v>
      </c>
      <c r="G201" s="48">
        <v>9068</v>
      </c>
      <c r="H201" s="48">
        <v>9068</v>
      </c>
      <c r="I201" s="48">
        <v>9068</v>
      </c>
      <c r="J201" s="48">
        <v>9068</v>
      </c>
      <c r="K201" s="46">
        <f t="shared" si="10"/>
        <v>66592</v>
      </c>
    </row>
    <row r="202" spans="1:11" s="51" customFormat="1" ht="18">
      <c r="A202" s="42" t="s">
        <v>131</v>
      </c>
      <c r="B202" s="111">
        <v>1950</v>
      </c>
      <c r="C202" s="111">
        <v>1950</v>
      </c>
      <c r="D202" s="111">
        <v>1950</v>
      </c>
      <c r="E202" s="111">
        <v>1950</v>
      </c>
      <c r="F202" s="111">
        <v>1950</v>
      </c>
      <c r="G202" s="111">
        <v>1950</v>
      </c>
      <c r="H202" s="111">
        <v>1950</v>
      </c>
      <c r="I202" s="111">
        <v>1950</v>
      </c>
      <c r="J202" s="111">
        <v>1950</v>
      </c>
      <c r="K202" s="46">
        <f t="shared" si="10"/>
        <v>17550</v>
      </c>
    </row>
    <row r="203" spans="1:11" s="51" customFormat="1" ht="18">
      <c r="A203" s="52" t="s">
        <v>285</v>
      </c>
      <c r="B203" s="111"/>
      <c r="C203" s="111"/>
      <c r="D203" s="111"/>
      <c r="E203" s="111"/>
      <c r="F203" s="111"/>
      <c r="G203" s="111"/>
      <c r="H203" s="111"/>
      <c r="I203" s="79">
        <v>0</v>
      </c>
      <c r="J203" s="111"/>
      <c r="K203" s="46">
        <f t="shared" si="10"/>
        <v>0</v>
      </c>
    </row>
    <row r="204" spans="1:11" s="49" customFormat="1" ht="18">
      <c r="A204" s="52" t="s">
        <v>286</v>
      </c>
      <c r="B204" s="113"/>
      <c r="C204" s="113">
        <v>1495</v>
      </c>
      <c r="D204" s="113"/>
      <c r="E204" s="113"/>
      <c r="F204" s="113"/>
      <c r="G204" s="113"/>
      <c r="H204" s="113"/>
      <c r="I204" s="114"/>
      <c r="J204" s="113"/>
      <c r="K204" s="46">
        <f t="shared" si="10"/>
        <v>1495</v>
      </c>
    </row>
    <row r="205" spans="1:11" s="76" customFormat="1" ht="18">
      <c r="A205" s="42" t="s">
        <v>127</v>
      </c>
      <c r="B205" s="111"/>
      <c r="C205" s="115"/>
      <c r="D205" s="111"/>
      <c r="E205" s="111"/>
      <c r="F205" s="111"/>
      <c r="G205" s="115"/>
      <c r="H205" s="111">
        <v>3660</v>
      </c>
      <c r="I205" s="111"/>
      <c r="J205" s="111"/>
      <c r="K205" s="46">
        <f t="shared" si="10"/>
        <v>3660</v>
      </c>
    </row>
    <row r="206" spans="1:11" s="76" customFormat="1" ht="18">
      <c r="A206" s="42" t="s">
        <v>89</v>
      </c>
      <c r="B206" s="46"/>
      <c r="C206" s="46">
        <v>720</v>
      </c>
      <c r="D206" s="46"/>
      <c r="E206" s="46"/>
      <c r="F206" s="46"/>
      <c r="G206" s="46"/>
      <c r="H206" s="46"/>
      <c r="I206" s="46"/>
      <c r="J206" s="46"/>
      <c r="K206" s="46">
        <f t="shared" si="10"/>
        <v>720</v>
      </c>
    </row>
    <row r="207" spans="1:11" s="76" customFormat="1" ht="18">
      <c r="A207" s="42" t="s">
        <v>124</v>
      </c>
      <c r="B207" s="107"/>
      <c r="C207" s="116"/>
      <c r="D207" s="108"/>
      <c r="E207" s="46">
        <v>618.75</v>
      </c>
      <c r="F207" s="48">
        <v>754.5</v>
      </c>
      <c r="G207" s="48">
        <v>618.75</v>
      </c>
      <c r="H207" s="48">
        <v>495</v>
      </c>
      <c r="I207" s="107"/>
      <c r="J207" s="107"/>
      <c r="K207" s="46">
        <f>SUM(B207:J207)</f>
        <v>2487</v>
      </c>
    </row>
    <row r="208" spans="1:11" s="57" customFormat="1">
      <c r="A208" s="58" t="s">
        <v>90</v>
      </c>
      <c r="B208" s="55"/>
      <c r="C208" s="55"/>
      <c r="D208" s="55"/>
      <c r="E208" s="55"/>
      <c r="F208" s="55">
        <v>12671</v>
      </c>
      <c r="G208" s="55"/>
      <c r="H208" s="55">
        <v>3570</v>
      </c>
      <c r="I208" s="55">
        <v>13849</v>
      </c>
      <c r="J208" s="55"/>
      <c r="K208" s="55">
        <f>SUM(B208:J208)</f>
        <v>30090</v>
      </c>
    </row>
    <row r="209" spans="1:11" s="76" customFormat="1" ht="18">
      <c r="A209" s="42" t="s">
        <v>91</v>
      </c>
      <c r="B209" s="46"/>
      <c r="C209" s="47"/>
      <c r="D209" s="48"/>
      <c r="E209" s="48">
        <v>1995</v>
      </c>
      <c r="F209" s="48"/>
      <c r="G209" s="47"/>
      <c r="H209" s="48"/>
      <c r="I209" s="48"/>
      <c r="J209" s="48"/>
      <c r="K209" s="46">
        <f t="shared" ref="K209:K217" si="11">SUM(B209:J209)</f>
        <v>1995</v>
      </c>
    </row>
    <row r="210" spans="1:11" s="51" customFormat="1" ht="18">
      <c r="A210" s="42" t="s">
        <v>92</v>
      </c>
      <c r="B210" s="48"/>
      <c r="C210" s="48"/>
      <c r="D210" s="48"/>
      <c r="E210" s="48">
        <v>19320</v>
      </c>
      <c r="F210" s="48">
        <v>19320</v>
      </c>
      <c r="G210" s="117" t="s">
        <v>259</v>
      </c>
      <c r="H210" s="48"/>
      <c r="I210" s="46">
        <v>19320</v>
      </c>
      <c r="J210" s="46"/>
      <c r="K210" s="46">
        <f t="shared" si="11"/>
        <v>57960</v>
      </c>
    </row>
    <row r="211" spans="1:11" s="51" customFormat="1" ht="18">
      <c r="A211" s="42" t="s">
        <v>93</v>
      </c>
      <c r="B211" s="111">
        <v>32390</v>
      </c>
      <c r="C211" s="48"/>
      <c r="D211" s="48"/>
      <c r="E211" s="48"/>
      <c r="F211" s="48"/>
      <c r="G211" s="48"/>
      <c r="H211" s="48"/>
      <c r="I211" s="48"/>
      <c r="J211" s="46"/>
      <c r="K211" s="46">
        <f t="shared" si="11"/>
        <v>32390</v>
      </c>
    </row>
    <row r="212" spans="1:11" s="51" customFormat="1" ht="18">
      <c r="A212" s="42" t="s">
        <v>190</v>
      </c>
      <c r="B212" s="111"/>
      <c r="C212" s="48"/>
      <c r="D212" s="48"/>
      <c r="E212" s="48"/>
      <c r="F212" s="48"/>
      <c r="G212" s="48">
        <v>21135</v>
      </c>
      <c r="H212" s="48"/>
      <c r="I212" s="48"/>
      <c r="J212" s="46"/>
      <c r="K212" s="46">
        <f>SUM(B212:J212)</f>
        <v>21135</v>
      </c>
    </row>
    <row r="213" spans="1:11" s="51" customFormat="1" ht="15.75" customHeight="1">
      <c r="A213" s="42" t="s">
        <v>177</v>
      </c>
      <c r="B213" s="48">
        <v>5285</v>
      </c>
      <c r="C213" s="48"/>
      <c r="D213" s="46"/>
      <c r="E213" s="46"/>
      <c r="F213" s="48" t="s">
        <v>201</v>
      </c>
      <c r="G213" s="48"/>
      <c r="H213" s="48"/>
      <c r="I213" s="46"/>
      <c r="J213" s="48"/>
      <c r="K213" s="46">
        <f>SUM(B213:J213)</f>
        <v>5285</v>
      </c>
    </row>
    <row r="214" spans="1:11" s="49" customFormat="1" ht="15.75" customHeight="1">
      <c r="A214" s="52" t="s">
        <v>228</v>
      </c>
      <c r="B214" s="50"/>
      <c r="C214" s="50"/>
      <c r="D214" s="53"/>
      <c r="E214" s="53"/>
      <c r="F214" s="50"/>
      <c r="G214" s="50" t="s">
        <v>225</v>
      </c>
      <c r="H214" s="50"/>
      <c r="I214" s="53"/>
      <c r="J214" s="50"/>
      <c r="K214" s="46">
        <f t="shared" si="11"/>
        <v>0</v>
      </c>
    </row>
    <row r="215" spans="1:11" s="51" customFormat="1" ht="18">
      <c r="A215" s="42" t="s">
        <v>94</v>
      </c>
      <c r="B215" s="48"/>
      <c r="C215" s="48">
        <v>1645</v>
      </c>
      <c r="D215" s="47"/>
      <c r="E215" s="48"/>
      <c r="F215" s="46"/>
      <c r="G215" s="48"/>
      <c r="H215" s="48"/>
      <c r="I215" s="46"/>
      <c r="J215" s="46"/>
      <c r="K215" s="46">
        <f t="shared" si="11"/>
        <v>1645</v>
      </c>
    </row>
    <row r="216" spans="1:11" s="51" customFormat="1" ht="18">
      <c r="A216" s="42" t="s">
        <v>95</v>
      </c>
      <c r="B216" s="46"/>
      <c r="C216" s="46"/>
      <c r="D216" s="46" t="s">
        <v>202</v>
      </c>
      <c r="E216" s="46"/>
      <c r="F216" s="46"/>
      <c r="G216" s="46"/>
      <c r="H216" s="48"/>
      <c r="I216" s="46">
        <v>6010</v>
      </c>
      <c r="J216" s="48"/>
      <c r="K216" s="46">
        <f t="shared" si="11"/>
        <v>6010</v>
      </c>
    </row>
    <row r="217" spans="1:11" s="49" customFormat="1" ht="18">
      <c r="A217" s="52" t="s">
        <v>258</v>
      </c>
      <c r="B217" s="118">
        <v>2125</v>
      </c>
      <c r="C217" s="53"/>
      <c r="D217" s="53"/>
      <c r="E217" s="81"/>
      <c r="F217" s="53"/>
      <c r="G217" s="81"/>
      <c r="H217" s="50"/>
      <c r="I217" s="53"/>
      <c r="J217" s="50"/>
      <c r="K217" s="46">
        <f t="shared" si="11"/>
        <v>2125</v>
      </c>
    </row>
    <row r="218" spans="1:11" s="51" customFormat="1" ht="18">
      <c r="A218" s="42" t="s">
        <v>96</v>
      </c>
      <c r="B218" s="46"/>
      <c r="C218" s="48">
        <v>3375</v>
      </c>
      <c r="D218" s="46"/>
      <c r="E218" s="48"/>
      <c r="F218" s="46"/>
      <c r="G218" s="48"/>
      <c r="H218" s="46"/>
      <c r="I218" s="46"/>
      <c r="J218" s="46">
        <v>2775</v>
      </c>
      <c r="K218" s="46">
        <f>SUM(B218:J218)</f>
        <v>6150</v>
      </c>
    </row>
    <row r="219" spans="1:11" s="51" customFormat="1" ht="18">
      <c r="A219" s="42" t="s">
        <v>97</v>
      </c>
      <c r="B219" s="46"/>
      <c r="C219" s="48">
        <v>1158</v>
      </c>
      <c r="D219" s="46"/>
      <c r="E219" s="48">
        <v>1158</v>
      </c>
      <c r="F219" s="46"/>
      <c r="G219" s="48">
        <v>1158</v>
      </c>
      <c r="H219" s="46"/>
      <c r="I219" s="46"/>
      <c r="J219" s="46">
        <v>1046</v>
      </c>
      <c r="K219" s="46">
        <f>SUM(B219:J219)</f>
        <v>4520</v>
      </c>
    </row>
    <row r="220" spans="1:11" s="49" customFormat="1" ht="18">
      <c r="A220" s="52" t="s">
        <v>260</v>
      </c>
      <c r="B220" s="53"/>
      <c r="C220" s="50"/>
      <c r="D220" s="53"/>
      <c r="E220" s="50"/>
      <c r="F220" s="53"/>
      <c r="G220" s="50">
        <v>2560</v>
      </c>
      <c r="H220" s="53"/>
      <c r="I220" s="53"/>
      <c r="J220" s="53"/>
      <c r="K220" s="53">
        <f>SUM(B220:J220)</f>
        <v>2560</v>
      </c>
    </row>
    <row r="221" spans="1:11" s="51" customFormat="1" ht="18">
      <c r="A221" s="42" t="s">
        <v>251</v>
      </c>
      <c r="B221" s="46"/>
      <c r="C221" s="48"/>
      <c r="D221" s="46"/>
      <c r="E221" s="47"/>
      <c r="F221" s="48"/>
      <c r="G221" s="48"/>
      <c r="H221" s="46"/>
      <c r="I221" s="46"/>
      <c r="J221" s="46">
        <v>7650</v>
      </c>
      <c r="K221" s="46">
        <f t="shared" ref="K221:K243" si="12">SUM(B221:J221)</f>
        <v>7650</v>
      </c>
    </row>
    <row r="222" spans="1:11" s="51" customFormat="1" ht="18">
      <c r="A222" s="42" t="s">
        <v>98</v>
      </c>
      <c r="B222" s="46"/>
      <c r="C222" s="48"/>
      <c r="D222" s="46"/>
      <c r="E222" s="48"/>
      <c r="F222" s="48"/>
      <c r="G222" s="48"/>
      <c r="H222" s="46"/>
      <c r="I222" s="46"/>
      <c r="J222" s="46">
        <v>4115</v>
      </c>
      <c r="K222" s="46">
        <f t="shared" si="12"/>
        <v>4115</v>
      </c>
    </row>
    <row r="223" spans="1:11" s="121" customFormat="1" ht="51.75">
      <c r="A223" s="119"/>
      <c r="B223" s="120" t="s">
        <v>191</v>
      </c>
      <c r="C223" s="120" t="s">
        <v>192</v>
      </c>
      <c r="D223" s="120" t="s">
        <v>193</v>
      </c>
      <c r="E223" s="120" t="s">
        <v>194</v>
      </c>
      <c r="F223" s="120" t="s">
        <v>195</v>
      </c>
      <c r="G223" s="120" t="s">
        <v>196</v>
      </c>
      <c r="H223" s="120" t="s">
        <v>197</v>
      </c>
      <c r="I223" s="120" t="s">
        <v>198</v>
      </c>
      <c r="J223" s="120"/>
      <c r="K223" s="120"/>
    </row>
    <row r="224" spans="1:11" s="51" customFormat="1">
      <c r="A224" s="85" t="s">
        <v>244</v>
      </c>
      <c r="B224" s="86"/>
      <c r="C224" s="87"/>
      <c r="D224" s="88"/>
      <c r="E224" s="87"/>
      <c r="F224" s="89"/>
      <c r="G224" s="89"/>
      <c r="H224" s="90"/>
      <c r="I224" s="86"/>
      <c r="J224" s="86"/>
      <c r="K224" s="71"/>
    </row>
    <row r="225" spans="1:11" s="51" customFormat="1" ht="18">
      <c r="A225" s="42" t="s">
        <v>99</v>
      </c>
      <c r="B225" s="46"/>
      <c r="C225" s="46"/>
      <c r="D225" s="46"/>
      <c r="E225" s="46"/>
      <c r="F225" s="46"/>
      <c r="G225" s="48"/>
      <c r="H225" s="46"/>
      <c r="I225" s="46">
        <v>3370</v>
      </c>
      <c r="J225" s="46"/>
      <c r="K225" s="46">
        <f t="shared" si="12"/>
        <v>3370</v>
      </c>
    </row>
    <row r="226" spans="1:11" s="51" customFormat="1" ht="18">
      <c r="A226" s="42" t="s">
        <v>100</v>
      </c>
      <c r="B226" s="46"/>
      <c r="C226" s="46"/>
      <c r="D226" s="46"/>
      <c r="E226" s="48">
        <v>3180</v>
      </c>
      <c r="F226" s="46"/>
      <c r="G226" s="46"/>
      <c r="H226" s="46"/>
      <c r="I226" s="46"/>
      <c r="J226" s="46" t="s">
        <v>202</v>
      </c>
      <c r="K226" s="46">
        <f t="shared" si="12"/>
        <v>3180</v>
      </c>
    </row>
    <row r="227" spans="1:11" s="51" customFormat="1" ht="18">
      <c r="A227" s="42" t="s">
        <v>101</v>
      </c>
      <c r="B227" s="48">
        <v>3365</v>
      </c>
      <c r="C227" s="48"/>
      <c r="D227" s="46"/>
      <c r="E227" s="48">
        <v>3240</v>
      </c>
      <c r="F227" s="48">
        <v>5371</v>
      </c>
      <c r="G227" s="48">
        <v>6040</v>
      </c>
      <c r="H227" s="48">
        <v>2915</v>
      </c>
      <c r="I227" s="46"/>
      <c r="J227" s="46">
        <v>2080</v>
      </c>
      <c r="K227" s="46">
        <f t="shared" si="12"/>
        <v>23011</v>
      </c>
    </row>
    <row r="228" spans="1:11" s="51" customFormat="1" ht="18">
      <c r="A228" s="42" t="s">
        <v>102</v>
      </c>
      <c r="B228" s="48">
        <v>1940</v>
      </c>
      <c r="C228" s="48">
        <v>1940</v>
      </c>
      <c r="D228" s="48">
        <v>1940</v>
      </c>
      <c r="E228" s="48">
        <v>1940</v>
      </c>
      <c r="F228" s="48">
        <v>1940</v>
      </c>
      <c r="G228" s="48">
        <v>1940</v>
      </c>
      <c r="H228" s="48">
        <v>1940</v>
      </c>
      <c r="I228" s="46">
        <v>1940</v>
      </c>
      <c r="J228" s="46" t="s">
        <v>202</v>
      </c>
      <c r="K228" s="46">
        <f t="shared" si="12"/>
        <v>15520</v>
      </c>
    </row>
    <row r="229" spans="1:11" s="51" customFormat="1" ht="18">
      <c r="A229" s="42" t="s">
        <v>189</v>
      </c>
      <c r="B229" s="48">
        <v>4415</v>
      </c>
      <c r="C229" s="48"/>
      <c r="D229" s="48"/>
      <c r="E229" s="48"/>
      <c r="F229" s="48"/>
      <c r="G229" s="48"/>
      <c r="H229" s="48"/>
      <c r="I229" s="48"/>
      <c r="J229" s="46"/>
      <c r="K229" s="46">
        <f>SUM(B229:J229)</f>
        <v>4415</v>
      </c>
    </row>
    <row r="230" spans="1:11" s="51" customFormat="1" ht="18">
      <c r="A230" s="42" t="s">
        <v>103</v>
      </c>
      <c r="B230" s="48"/>
      <c r="C230" s="47"/>
      <c r="D230" s="48">
        <v>3540</v>
      </c>
      <c r="E230" s="48"/>
      <c r="F230" s="46"/>
      <c r="G230" s="48"/>
      <c r="H230" s="48"/>
      <c r="I230" s="53" t="s">
        <v>201</v>
      </c>
      <c r="J230" s="46"/>
      <c r="K230" s="46">
        <f t="shared" si="12"/>
        <v>3540</v>
      </c>
    </row>
    <row r="231" spans="1:11" s="51" customFormat="1" ht="18">
      <c r="A231" s="42" t="s">
        <v>104</v>
      </c>
      <c r="B231" s="48"/>
      <c r="C231" s="48"/>
      <c r="D231" s="48"/>
      <c r="E231" s="48"/>
      <c r="F231" s="48"/>
      <c r="G231" s="48">
        <v>2560</v>
      </c>
      <c r="H231" s="48">
        <v>310</v>
      </c>
      <c r="I231" s="46"/>
      <c r="J231" s="46"/>
      <c r="K231" s="46">
        <f t="shared" si="12"/>
        <v>2870</v>
      </c>
    </row>
    <row r="232" spans="1:11" s="51" customFormat="1" ht="18">
      <c r="A232" s="42" t="s">
        <v>105</v>
      </c>
      <c r="B232" s="48"/>
      <c r="C232" s="48"/>
      <c r="D232" s="48">
        <v>6040</v>
      </c>
      <c r="E232" s="48"/>
      <c r="F232" s="48"/>
      <c r="G232" s="48"/>
      <c r="H232" s="48">
        <v>2115</v>
      </c>
      <c r="I232" s="46"/>
      <c r="J232" s="46" t="s">
        <v>202</v>
      </c>
      <c r="K232" s="46">
        <f t="shared" si="12"/>
        <v>8155</v>
      </c>
    </row>
    <row r="233" spans="1:11" s="51" customFormat="1" ht="18">
      <c r="A233" s="42" t="s">
        <v>106</v>
      </c>
      <c r="B233" s="48">
        <v>510</v>
      </c>
      <c r="C233" s="48"/>
      <c r="D233" s="48"/>
      <c r="E233" s="48">
        <v>4495</v>
      </c>
      <c r="F233" s="46"/>
      <c r="G233" s="48"/>
      <c r="H233" s="48"/>
      <c r="I233" s="46"/>
      <c r="J233" s="46"/>
      <c r="K233" s="46">
        <f t="shared" si="12"/>
        <v>5005</v>
      </c>
    </row>
    <row r="234" spans="1:11" s="51" customFormat="1" ht="18">
      <c r="A234" s="42" t="s">
        <v>107</v>
      </c>
      <c r="B234" s="48"/>
      <c r="C234" s="48"/>
      <c r="D234" s="48"/>
      <c r="E234" s="48"/>
      <c r="F234" s="46"/>
      <c r="G234" s="48"/>
      <c r="H234" s="48"/>
      <c r="I234" s="46"/>
      <c r="J234" s="46">
        <v>1270</v>
      </c>
      <c r="K234" s="46">
        <f t="shared" si="12"/>
        <v>1270</v>
      </c>
    </row>
    <row r="235" spans="1:11" s="51" customFormat="1" ht="18">
      <c r="A235" s="42" t="s">
        <v>108</v>
      </c>
      <c r="B235" s="48"/>
      <c r="C235" s="48"/>
      <c r="D235" s="48"/>
      <c r="E235" s="48"/>
      <c r="F235" s="46"/>
      <c r="G235" s="48"/>
      <c r="H235" s="48"/>
      <c r="I235" s="46"/>
      <c r="J235" s="46">
        <v>970</v>
      </c>
      <c r="K235" s="46">
        <f t="shared" si="12"/>
        <v>970</v>
      </c>
    </row>
    <row r="236" spans="1:11" s="66" customFormat="1" ht="18">
      <c r="A236" s="42" t="s">
        <v>273</v>
      </c>
      <c r="B236" s="71"/>
      <c r="C236" s="71"/>
      <c r="D236" s="71"/>
      <c r="E236" s="46" t="s">
        <v>201</v>
      </c>
      <c r="F236" s="71"/>
      <c r="G236" s="46">
        <v>2165</v>
      </c>
      <c r="H236" s="71"/>
      <c r="I236" s="71"/>
      <c r="J236" s="71"/>
      <c r="K236" s="46">
        <f>SUM(B236:J236)</f>
        <v>2165</v>
      </c>
    </row>
    <row r="237" spans="1:11" s="66" customFormat="1" ht="18">
      <c r="A237" s="42" t="s">
        <v>274</v>
      </c>
      <c r="B237" s="71"/>
      <c r="C237" s="71"/>
      <c r="D237" s="71"/>
      <c r="E237" s="46">
        <v>1132.0899999999999</v>
      </c>
      <c r="F237" s="71"/>
      <c r="G237" s="46"/>
      <c r="H237" s="71"/>
      <c r="I237" s="71"/>
      <c r="J237" s="71"/>
      <c r="K237" s="46">
        <f>SUM(B237:J237)</f>
        <v>1132.0899999999999</v>
      </c>
    </row>
    <row r="238" spans="1:11" s="66" customFormat="1" ht="18">
      <c r="A238" s="42" t="s">
        <v>275</v>
      </c>
      <c r="B238" s="71"/>
      <c r="C238" s="71"/>
      <c r="D238" s="71"/>
      <c r="E238" s="46">
        <v>693.33</v>
      </c>
      <c r="F238" s="71"/>
      <c r="G238" s="46"/>
      <c r="H238" s="71"/>
      <c r="I238" s="71"/>
      <c r="J238" s="71"/>
      <c r="K238" s="46">
        <f>SUM(B238:J238)</f>
        <v>693.33</v>
      </c>
    </row>
    <row r="239" spans="1:11" s="76" customFormat="1" ht="18">
      <c r="A239" s="42" t="s">
        <v>222</v>
      </c>
      <c r="B239" s="111"/>
      <c r="C239" s="111"/>
      <c r="D239" s="111"/>
      <c r="E239" s="111"/>
      <c r="F239" s="111"/>
      <c r="G239" s="111"/>
      <c r="H239" s="111"/>
      <c r="I239" s="111">
        <v>0</v>
      </c>
      <c r="J239" s="111"/>
      <c r="K239" s="46">
        <f>SUM(B239:J239)</f>
        <v>0</v>
      </c>
    </row>
    <row r="240" spans="1:11" s="51" customFormat="1" ht="18">
      <c r="A240" s="42" t="s">
        <v>287</v>
      </c>
      <c r="B240" s="46" t="s">
        <v>201</v>
      </c>
      <c r="C240" s="48"/>
      <c r="D240" s="48"/>
      <c r="E240" s="48"/>
      <c r="F240" s="46"/>
      <c r="G240" s="46">
        <v>5575</v>
      </c>
      <c r="H240" s="122" t="s">
        <v>201</v>
      </c>
      <c r="I240" s="46">
        <v>14030</v>
      </c>
      <c r="J240" s="48"/>
      <c r="K240" s="46">
        <f t="shared" si="12"/>
        <v>19605</v>
      </c>
    </row>
    <row r="241" spans="1:11" s="51" customFormat="1" ht="18">
      <c r="A241" s="42" t="s">
        <v>109</v>
      </c>
      <c r="B241" s="46"/>
      <c r="C241" s="48"/>
      <c r="D241" s="48"/>
      <c r="E241" s="48"/>
      <c r="F241" s="46"/>
      <c r="G241" s="46"/>
      <c r="H241" s="48"/>
      <c r="I241" s="46">
        <v>3156</v>
      </c>
      <c r="J241" s="48"/>
      <c r="K241" s="46">
        <f t="shared" si="12"/>
        <v>3156</v>
      </c>
    </row>
    <row r="242" spans="1:11" s="51" customFormat="1" ht="18">
      <c r="A242" s="42" t="s">
        <v>110</v>
      </c>
      <c r="B242" s="46" t="s">
        <v>201</v>
      </c>
      <c r="C242" s="48">
        <v>7500</v>
      </c>
      <c r="D242" s="48"/>
      <c r="E242" s="48"/>
      <c r="F242" s="46"/>
      <c r="G242" s="48"/>
      <c r="H242" s="48"/>
      <c r="I242" s="48"/>
      <c r="J242" s="48"/>
      <c r="K242" s="46">
        <f t="shared" si="12"/>
        <v>7500</v>
      </c>
    </row>
    <row r="243" spans="1:11" s="57" customFormat="1">
      <c r="A243" s="58" t="s">
        <v>181</v>
      </c>
      <c r="B243" s="55"/>
      <c r="C243" s="56"/>
      <c r="D243" s="56"/>
      <c r="E243" s="56"/>
      <c r="F243" s="55"/>
      <c r="G243" s="55"/>
      <c r="H243" s="56"/>
      <c r="I243" s="60">
        <v>16094.92</v>
      </c>
      <c r="J243" s="56"/>
      <c r="K243" s="55">
        <f t="shared" si="12"/>
        <v>16094.92</v>
      </c>
    </row>
    <row r="244" spans="1:11" s="57" customFormat="1">
      <c r="A244" s="123" t="s">
        <v>186</v>
      </c>
      <c r="B244" s="55"/>
      <c r="C244" s="55"/>
      <c r="D244" s="55"/>
      <c r="E244" s="55"/>
      <c r="F244" s="55"/>
      <c r="G244" s="55"/>
      <c r="H244" s="55"/>
      <c r="I244" s="68">
        <v>1126.29</v>
      </c>
      <c r="J244" s="55"/>
      <c r="K244" s="55">
        <f>SUM(I244:J244)</f>
        <v>1126.29</v>
      </c>
    </row>
    <row r="245" spans="1:11" s="57" customFormat="1">
      <c r="A245" s="58" t="s">
        <v>264</v>
      </c>
      <c r="B245" s="124"/>
      <c r="C245" s="124"/>
      <c r="D245" s="124"/>
      <c r="E245" s="125"/>
      <c r="F245" s="125"/>
      <c r="G245" s="125"/>
      <c r="H245" s="125"/>
      <c r="I245" s="125">
        <v>500</v>
      </c>
      <c r="J245" s="56"/>
      <c r="K245" s="55">
        <f>SUM(B245:J245)</f>
        <v>500</v>
      </c>
    </row>
    <row r="246" spans="1:11" s="57" customFormat="1">
      <c r="A246" s="58" t="s">
        <v>266</v>
      </c>
      <c r="B246" s="124">
        <v>9403.0656999999992</v>
      </c>
      <c r="C246" s="124"/>
      <c r="D246" s="124">
        <v>7092.21</v>
      </c>
      <c r="E246" s="135">
        <v>51018.79</v>
      </c>
      <c r="F246" s="94">
        <v>30451.05</v>
      </c>
      <c r="G246" s="126">
        <v>34729.416400000002</v>
      </c>
      <c r="H246" s="125">
        <v>5074.5421999999999</v>
      </c>
      <c r="I246" s="125">
        <v>74633.61</v>
      </c>
      <c r="J246" s="56"/>
      <c r="K246" s="55">
        <f t="shared" ref="K246:K256" si="13">SUM(B246:J246)</f>
        <v>212402.68430000002</v>
      </c>
    </row>
    <row r="247" spans="1:11" s="49" customFormat="1" ht="18">
      <c r="A247" s="52" t="s">
        <v>252</v>
      </c>
      <c r="B247" s="50"/>
      <c r="C247" s="127">
        <v>809</v>
      </c>
      <c r="D247" s="50"/>
      <c r="E247" s="94">
        <v>809</v>
      </c>
      <c r="F247" s="62">
        <v>1079</v>
      </c>
      <c r="G247" s="50"/>
      <c r="H247" s="50"/>
      <c r="I247" s="127">
        <v>1349</v>
      </c>
      <c r="J247" s="50"/>
      <c r="K247" s="53">
        <f t="shared" si="13"/>
        <v>4046</v>
      </c>
    </row>
    <row r="248" spans="1:11" s="49" customFormat="1" ht="18">
      <c r="A248" s="52" t="s">
        <v>254</v>
      </c>
      <c r="B248" s="50"/>
      <c r="C248" s="50">
        <v>54</v>
      </c>
      <c r="D248" s="50"/>
      <c r="E248" s="48">
        <v>54</v>
      </c>
      <c r="F248" s="50"/>
      <c r="G248" s="50"/>
      <c r="H248" s="50"/>
      <c r="I248" s="81"/>
      <c r="J248" s="50"/>
      <c r="K248" s="53">
        <f>SUM(B248:J248)</f>
        <v>108</v>
      </c>
    </row>
    <row r="249" spans="1:11" s="49" customFormat="1" ht="18">
      <c r="A249" s="52" t="s">
        <v>253</v>
      </c>
      <c r="B249" s="50"/>
      <c r="C249" s="50">
        <v>199</v>
      </c>
      <c r="D249" s="50"/>
      <c r="E249" s="48">
        <v>199</v>
      </c>
      <c r="F249" s="50">
        <v>199</v>
      </c>
      <c r="G249" s="50"/>
      <c r="H249" s="50"/>
      <c r="I249" s="81"/>
      <c r="J249" s="50"/>
      <c r="K249" s="53">
        <f>SUM(B249:J249)</f>
        <v>597</v>
      </c>
    </row>
    <row r="250" spans="1:11" s="51" customFormat="1" ht="18">
      <c r="A250" s="42" t="s">
        <v>255</v>
      </c>
      <c r="B250" s="46"/>
      <c r="C250" s="46">
        <v>659</v>
      </c>
      <c r="D250" s="48"/>
      <c r="E250" s="46">
        <v>1319</v>
      </c>
      <c r="F250" s="46"/>
      <c r="G250" s="46">
        <v>792</v>
      </c>
      <c r="H250" s="48"/>
      <c r="I250" s="48"/>
      <c r="J250" s="48"/>
      <c r="K250" s="46">
        <f>SUM(B250:J250)</f>
        <v>2770</v>
      </c>
    </row>
    <row r="251" spans="1:11" s="51" customFormat="1" ht="18">
      <c r="A251" s="42" t="s">
        <v>111</v>
      </c>
      <c r="B251" s="46"/>
      <c r="C251" s="48"/>
      <c r="D251" s="48"/>
      <c r="E251" s="48"/>
      <c r="F251" s="46"/>
      <c r="G251" s="46">
        <v>3357</v>
      </c>
      <c r="H251" s="81"/>
      <c r="I251" s="48"/>
      <c r="J251" s="48"/>
      <c r="K251" s="46">
        <f t="shared" si="13"/>
        <v>3357</v>
      </c>
    </row>
    <row r="252" spans="1:11" s="57" customFormat="1">
      <c r="A252" s="58" t="s">
        <v>188</v>
      </c>
      <c r="B252" s="55"/>
      <c r="C252" s="56"/>
      <c r="D252" s="56"/>
      <c r="E252" s="56"/>
      <c r="F252" s="55"/>
      <c r="G252" s="55"/>
      <c r="H252" s="56"/>
      <c r="I252" s="55">
        <v>109092</v>
      </c>
      <c r="J252" s="56"/>
      <c r="K252" s="55">
        <f t="shared" si="13"/>
        <v>109092</v>
      </c>
    </row>
    <row r="253" spans="1:11" s="57" customFormat="1" ht="18">
      <c r="A253" s="63" t="s">
        <v>180</v>
      </c>
      <c r="B253" s="55"/>
      <c r="C253" s="56"/>
      <c r="D253" s="56"/>
      <c r="E253" s="56">
        <v>5</v>
      </c>
      <c r="F253" s="55"/>
      <c r="G253" s="55"/>
      <c r="H253" s="56"/>
      <c r="I253" s="56"/>
      <c r="J253" s="56"/>
      <c r="K253" s="55">
        <f t="shared" si="13"/>
        <v>5</v>
      </c>
    </row>
    <row r="254" spans="1:11" s="51" customFormat="1" ht="18">
      <c r="A254" s="42" t="s">
        <v>112</v>
      </c>
      <c r="B254" s="46"/>
      <c r="C254" s="48"/>
      <c r="D254" s="48"/>
      <c r="E254" s="48"/>
      <c r="F254" s="46">
        <v>3250</v>
      </c>
      <c r="G254" s="46"/>
      <c r="H254" s="48"/>
      <c r="I254" s="48"/>
      <c r="J254" s="48"/>
      <c r="K254" s="46">
        <f t="shared" si="13"/>
        <v>3250</v>
      </c>
    </row>
    <row r="255" spans="1:11" s="51" customFormat="1" ht="19.5" customHeight="1">
      <c r="A255" s="42" t="s">
        <v>113</v>
      </c>
      <c r="B255" s="46">
        <v>8150</v>
      </c>
      <c r="C255" s="46"/>
      <c r="D255" s="46"/>
      <c r="E255" s="46">
        <v>4600</v>
      </c>
      <c r="F255" s="46"/>
      <c r="G255" s="46">
        <v>3850</v>
      </c>
      <c r="H255" s="46"/>
      <c r="I255" s="46"/>
      <c r="J255" s="46"/>
      <c r="K255" s="46">
        <f t="shared" si="13"/>
        <v>16600</v>
      </c>
    </row>
    <row r="256" spans="1:11" s="49" customFormat="1">
      <c r="A256" s="128" t="s">
        <v>239</v>
      </c>
      <c r="B256" s="53"/>
      <c r="C256" s="53"/>
      <c r="D256" s="53"/>
      <c r="E256" s="53"/>
      <c r="F256" s="53"/>
      <c r="G256" s="53"/>
      <c r="H256" s="53"/>
      <c r="I256" s="129">
        <v>1212</v>
      </c>
      <c r="J256" s="53"/>
      <c r="K256" s="53">
        <f t="shared" si="13"/>
        <v>1212</v>
      </c>
    </row>
    <row r="257" spans="1:11" s="57" customFormat="1" ht="18">
      <c r="A257" s="63" t="s">
        <v>149</v>
      </c>
      <c r="B257" s="56"/>
      <c r="C257" s="56"/>
      <c r="D257" s="56"/>
      <c r="E257" s="56"/>
      <c r="F257" s="56"/>
      <c r="G257" s="55"/>
      <c r="H257" s="56"/>
      <c r="I257" s="60">
        <v>30457</v>
      </c>
      <c r="J257" s="56"/>
      <c r="K257" s="55">
        <f t="shared" ref="K257:K273" si="14">SUM(B257:J257)</f>
        <v>30457</v>
      </c>
    </row>
    <row r="258" spans="1:11" s="57" customFormat="1" ht="18">
      <c r="A258" s="63" t="s">
        <v>151</v>
      </c>
      <c r="B258" s="56"/>
      <c r="C258" s="56"/>
      <c r="D258" s="56"/>
      <c r="E258" s="56"/>
      <c r="F258" s="56" t="s">
        <v>201</v>
      </c>
      <c r="G258" s="55"/>
      <c r="H258" s="56"/>
      <c r="I258" s="55">
        <v>3360</v>
      </c>
      <c r="J258" s="56"/>
      <c r="K258" s="55">
        <f t="shared" si="14"/>
        <v>3360</v>
      </c>
    </row>
    <row r="259" spans="1:11" s="51" customFormat="1" ht="18">
      <c r="A259" s="42" t="s">
        <v>114</v>
      </c>
      <c r="B259" s="46"/>
      <c r="C259" s="46"/>
      <c r="D259" s="46"/>
      <c r="E259" s="46"/>
      <c r="F259" s="48">
        <v>5108.5</v>
      </c>
      <c r="G259" s="48"/>
      <c r="H259" s="48"/>
      <c r="I259" s="46">
        <v>6291</v>
      </c>
      <c r="J259" s="46"/>
      <c r="K259" s="46">
        <f t="shared" si="14"/>
        <v>11399.5</v>
      </c>
    </row>
    <row r="260" spans="1:11" s="51" customFormat="1" ht="18">
      <c r="A260" s="42" t="s">
        <v>223</v>
      </c>
      <c r="B260" s="46"/>
      <c r="C260" s="46"/>
      <c r="D260" s="46"/>
      <c r="E260" s="46"/>
      <c r="F260" s="48">
        <v>300</v>
      </c>
      <c r="G260" s="48"/>
      <c r="H260" s="48">
        <v>430</v>
      </c>
      <c r="I260" s="46">
        <v>0</v>
      </c>
      <c r="J260" s="46"/>
      <c r="K260" s="46">
        <f t="shared" si="14"/>
        <v>730</v>
      </c>
    </row>
    <row r="261" spans="1:11" s="51" customFormat="1" ht="18">
      <c r="A261" s="42" t="s">
        <v>115</v>
      </c>
      <c r="B261" s="46"/>
      <c r="C261" s="48">
        <v>2592</v>
      </c>
      <c r="D261" s="46"/>
      <c r="E261" s="46"/>
      <c r="F261" s="46" t="s">
        <v>201</v>
      </c>
      <c r="G261" s="46"/>
      <c r="H261" s="47"/>
      <c r="I261" s="46"/>
      <c r="J261" s="46"/>
      <c r="K261" s="46">
        <f t="shared" si="14"/>
        <v>2592</v>
      </c>
    </row>
    <row r="262" spans="1:11" s="51" customFormat="1" ht="18">
      <c r="A262" s="42" t="s">
        <v>164</v>
      </c>
      <c r="B262" s="46"/>
      <c r="C262" s="48"/>
      <c r="D262" s="46"/>
      <c r="E262" s="46"/>
      <c r="F262" s="46"/>
      <c r="G262" s="46">
        <v>3911</v>
      </c>
      <c r="H262" s="48"/>
      <c r="I262" s="46"/>
      <c r="J262" s="46"/>
      <c r="K262" s="46">
        <f>SUM(B262:J262)</f>
        <v>3911</v>
      </c>
    </row>
    <row r="263" spans="1:11" s="51" customFormat="1" ht="18">
      <c r="A263" s="42" t="s">
        <v>116</v>
      </c>
      <c r="B263" s="46"/>
      <c r="C263" s="46"/>
      <c r="D263" s="46"/>
      <c r="E263" s="46"/>
      <c r="F263" s="46"/>
      <c r="G263" s="46"/>
      <c r="H263" s="46"/>
      <c r="I263" s="46">
        <v>3514.5</v>
      </c>
      <c r="J263" s="46"/>
      <c r="K263" s="46">
        <f t="shared" si="14"/>
        <v>3514.5</v>
      </c>
    </row>
    <row r="264" spans="1:11" s="51" customFormat="1" ht="18">
      <c r="A264" s="42" t="s">
        <v>117</v>
      </c>
      <c r="B264" s="46"/>
      <c r="C264" s="46"/>
      <c r="D264" s="46"/>
      <c r="E264" s="46">
        <v>3564</v>
      </c>
      <c r="F264" s="46" t="s">
        <v>201</v>
      </c>
      <c r="G264" s="46"/>
      <c r="H264" s="46" t="s">
        <v>257</v>
      </c>
      <c r="I264" s="48"/>
      <c r="J264" s="46"/>
      <c r="K264" s="46">
        <f t="shared" si="14"/>
        <v>3564</v>
      </c>
    </row>
    <row r="265" spans="1:11" s="51" customFormat="1" ht="18">
      <c r="A265" s="42" t="s">
        <v>146</v>
      </c>
      <c r="B265" s="46"/>
      <c r="C265" s="46"/>
      <c r="D265" s="46"/>
      <c r="E265" s="46"/>
      <c r="F265" s="48">
        <v>512</v>
      </c>
      <c r="G265" s="46"/>
      <c r="H265" s="46"/>
      <c r="I265" s="48"/>
      <c r="J265" s="46"/>
      <c r="K265" s="46">
        <f t="shared" si="14"/>
        <v>512</v>
      </c>
    </row>
    <row r="266" spans="1:11" s="51" customFormat="1" ht="18">
      <c r="A266" s="42" t="s">
        <v>118</v>
      </c>
      <c r="B266" s="46"/>
      <c r="C266" s="46"/>
      <c r="D266" s="92">
        <v>7791.3</v>
      </c>
      <c r="E266" s="46"/>
      <c r="F266" s="48">
        <v>6060</v>
      </c>
      <c r="G266" s="46"/>
      <c r="H266" s="46"/>
      <c r="I266" s="46">
        <v>6340.5</v>
      </c>
      <c r="J266" s="46"/>
      <c r="K266" s="46">
        <f t="shared" si="14"/>
        <v>20191.8</v>
      </c>
    </row>
    <row r="267" spans="1:11" s="51" customFormat="1" ht="18">
      <c r="A267" s="42" t="s">
        <v>145</v>
      </c>
      <c r="B267" s="46"/>
      <c r="C267" s="46"/>
      <c r="D267" s="46"/>
      <c r="E267" s="46"/>
      <c r="F267" s="48">
        <v>872</v>
      </c>
      <c r="G267" s="46"/>
      <c r="H267" s="46"/>
      <c r="I267" s="46">
        <v>0</v>
      </c>
      <c r="J267" s="46"/>
      <c r="K267" s="46">
        <f t="shared" si="14"/>
        <v>872</v>
      </c>
    </row>
    <row r="268" spans="1:11" s="51" customFormat="1" ht="18">
      <c r="A268" s="42" t="s">
        <v>119</v>
      </c>
      <c r="B268" s="46"/>
      <c r="C268" s="46"/>
      <c r="D268" s="46"/>
      <c r="E268" s="46"/>
      <c r="F268" s="48">
        <v>872</v>
      </c>
      <c r="G268" s="48"/>
      <c r="H268" s="46"/>
      <c r="I268" s="46">
        <v>0</v>
      </c>
      <c r="J268" s="46"/>
      <c r="K268" s="46">
        <f t="shared" si="14"/>
        <v>872</v>
      </c>
    </row>
    <row r="269" spans="1:11" s="51" customFormat="1" ht="18">
      <c r="A269" s="42" t="s">
        <v>120</v>
      </c>
      <c r="B269" s="46"/>
      <c r="C269" s="46"/>
      <c r="D269" s="48"/>
      <c r="E269" s="48"/>
      <c r="F269" s="48" t="s">
        <v>201</v>
      </c>
      <c r="G269" s="48"/>
      <c r="H269" s="48">
        <v>17518.5</v>
      </c>
      <c r="I269" s="46"/>
      <c r="J269" s="46"/>
      <c r="K269" s="46">
        <f t="shared" si="14"/>
        <v>17518.5</v>
      </c>
    </row>
    <row r="270" spans="1:11" s="51" customFormat="1" ht="18">
      <c r="A270" s="42" t="s">
        <v>121</v>
      </c>
      <c r="B270" s="46"/>
      <c r="C270" s="46"/>
      <c r="D270" s="46"/>
      <c r="E270" s="48">
        <v>3699</v>
      </c>
      <c r="F270" s="46"/>
      <c r="G270" s="46"/>
      <c r="H270" s="48"/>
      <c r="I270" s="46"/>
      <c r="J270" s="46"/>
      <c r="K270" s="46">
        <f t="shared" si="14"/>
        <v>3699</v>
      </c>
    </row>
    <row r="271" spans="1:11" s="51" customFormat="1" ht="18">
      <c r="A271" s="42" t="s">
        <v>122</v>
      </c>
      <c r="B271" s="46"/>
      <c r="C271" s="46"/>
      <c r="D271" s="46"/>
      <c r="E271" s="48">
        <v>326</v>
      </c>
      <c r="F271" s="48">
        <v>326</v>
      </c>
      <c r="G271" s="48">
        <v>326</v>
      </c>
      <c r="H271" s="48"/>
      <c r="I271" s="48">
        <v>326</v>
      </c>
      <c r="J271" s="46"/>
      <c r="K271" s="46">
        <f t="shared" si="14"/>
        <v>1304</v>
      </c>
    </row>
    <row r="272" spans="1:11" s="76" customFormat="1" ht="18">
      <c r="A272" s="42" t="s">
        <v>248</v>
      </c>
      <c r="B272" s="48"/>
      <c r="C272" s="48"/>
      <c r="D272" s="48"/>
      <c r="E272" s="48">
        <v>3399</v>
      </c>
      <c r="F272" s="48"/>
      <c r="G272" s="48"/>
      <c r="H272" s="48"/>
      <c r="I272" s="48"/>
      <c r="J272" s="48"/>
      <c r="K272" s="46">
        <f>SUM(B272:J272)</f>
        <v>3399</v>
      </c>
    </row>
    <row r="273" spans="1:11" s="49" customFormat="1" ht="18">
      <c r="A273" s="52" t="s">
        <v>229</v>
      </c>
      <c r="B273" s="53"/>
      <c r="C273" s="53">
        <v>900</v>
      </c>
      <c r="D273" s="53">
        <v>1900</v>
      </c>
      <c r="E273" s="50"/>
      <c r="F273" s="50"/>
      <c r="G273" s="47"/>
      <c r="H273" s="47"/>
      <c r="I273" s="53"/>
      <c r="J273" s="53"/>
      <c r="K273" s="46">
        <f t="shared" si="14"/>
        <v>2800</v>
      </c>
    </row>
    <row r="274" spans="1:11" s="132" customFormat="1">
      <c r="A274" s="70"/>
      <c r="B274" s="130"/>
      <c r="C274" s="130"/>
      <c r="D274" s="130"/>
      <c r="E274" s="131"/>
      <c r="F274" s="131"/>
      <c r="G274" s="131"/>
      <c r="H274" s="131"/>
      <c r="I274" s="131"/>
      <c r="J274" s="130"/>
      <c r="K274" s="46"/>
    </row>
    <row r="275" spans="1:11" s="72" customFormat="1">
      <c r="A275" s="70" t="s">
        <v>155</v>
      </c>
      <c r="B275" s="71"/>
      <c r="C275" s="71"/>
      <c r="D275" s="71"/>
      <c r="E275" s="71"/>
      <c r="F275" s="71"/>
      <c r="G275" s="71"/>
      <c r="H275" s="71"/>
      <c r="I275" s="71"/>
      <c r="J275" s="71"/>
      <c r="K275" s="71">
        <f>SUM(B275:J275)</f>
        <v>0</v>
      </c>
    </row>
    <row r="276" spans="1:11" s="51" customFormat="1">
      <c r="A276" s="70"/>
      <c r="B276" s="46"/>
      <c r="C276" s="46"/>
      <c r="D276" s="46"/>
      <c r="E276" s="48"/>
      <c r="F276" s="48"/>
      <c r="G276" s="48"/>
      <c r="H276" s="48"/>
      <c r="I276" s="48"/>
      <c r="J276" s="46"/>
      <c r="K276" s="46"/>
    </row>
    <row r="277" spans="1:11" s="51" customFormat="1" ht="18">
      <c r="A277" s="133" t="s">
        <v>138</v>
      </c>
      <c r="B277" s="46"/>
      <c r="C277" s="46"/>
      <c r="D277" s="46"/>
      <c r="E277" s="46"/>
      <c r="F277" s="46"/>
      <c r="G277" s="46"/>
      <c r="H277" s="46"/>
      <c r="I277" s="46"/>
      <c r="J277" s="46"/>
      <c r="K277" s="46">
        <f>SUM(B277:J277)</f>
        <v>0</v>
      </c>
    </row>
    <row r="278" spans="1:11" s="51" customFormat="1" ht="18">
      <c r="A278" s="42" t="s">
        <v>141</v>
      </c>
      <c r="B278" s="46"/>
      <c r="C278" s="46"/>
      <c r="D278" s="46"/>
      <c r="E278" s="48"/>
      <c r="F278" s="46"/>
      <c r="G278" s="48"/>
      <c r="H278" s="48"/>
      <c r="I278" s="46"/>
      <c r="J278" s="46"/>
      <c r="K278" s="46">
        <f>SUM(B278:J278)</f>
        <v>0</v>
      </c>
    </row>
    <row r="279" spans="1:11" s="51" customFormat="1" ht="18">
      <c r="A279" s="42" t="s">
        <v>139</v>
      </c>
      <c r="B279" s="71"/>
      <c r="C279" s="71"/>
      <c r="D279" s="71"/>
      <c r="E279" s="71"/>
      <c r="F279" s="71"/>
      <c r="G279" s="71"/>
      <c r="H279" s="71"/>
      <c r="I279" s="71"/>
      <c r="J279" s="71"/>
      <c r="K279" s="71">
        <f>SUM(B279:J279)</f>
        <v>0</v>
      </c>
    </row>
    <row r="280" spans="1:11" s="51" customFormat="1" ht="18">
      <c r="A280" s="42" t="s">
        <v>140</v>
      </c>
      <c r="B280" s="71">
        <f t="shared" ref="B280:J280" si="15">SUM(B4:B274)-B278-B279</f>
        <v>209394.3357</v>
      </c>
      <c r="C280" s="71">
        <f t="shared" si="15"/>
        <v>151290.32</v>
      </c>
      <c r="D280" s="71">
        <f t="shared" si="15"/>
        <v>215938.46</v>
      </c>
      <c r="E280" s="71">
        <f t="shared" si="15"/>
        <v>536266.48</v>
      </c>
      <c r="F280" s="71">
        <f t="shared" si="15"/>
        <v>319557.98</v>
      </c>
      <c r="G280" s="71">
        <f t="shared" si="15"/>
        <v>340637.4264</v>
      </c>
      <c r="H280" s="71">
        <f t="shared" si="15"/>
        <v>190454.50219999999</v>
      </c>
      <c r="I280" s="71">
        <f t="shared" si="15"/>
        <v>1584409.9600000002</v>
      </c>
      <c r="J280" s="71">
        <f t="shared" si="15"/>
        <v>95399</v>
      </c>
      <c r="K280" s="71">
        <f>SUM(B280:J280)</f>
        <v>3643348.4643000001</v>
      </c>
    </row>
    <row r="281" spans="1:11" s="121" customFormat="1" ht="49.5">
      <c r="A281" s="119"/>
      <c r="B281" s="134" t="s">
        <v>191</v>
      </c>
      <c r="C281" s="134" t="s">
        <v>192</v>
      </c>
      <c r="D281" s="134" t="s">
        <v>193</v>
      </c>
      <c r="E281" s="134" t="s">
        <v>194</v>
      </c>
      <c r="F281" s="134" t="s">
        <v>195</v>
      </c>
      <c r="G281" s="134" t="s">
        <v>196</v>
      </c>
      <c r="H281" s="134" t="s">
        <v>197</v>
      </c>
      <c r="I281" s="120" t="s">
        <v>198</v>
      </c>
      <c r="J281" s="134"/>
      <c r="K281" s="134"/>
    </row>
    <row r="282" spans="1:11">
      <c r="B282" s="22"/>
      <c r="C282" s="22"/>
      <c r="D282" s="22"/>
      <c r="E282" s="22"/>
      <c r="F282" s="22"/>
      <c r="G282" s="22"/>
      <c r="H282" s="22"/>
      <c r="I282" s="29"/>
      <c r="J282" s="22"/>
      <c r="K282" s="22"/>
    </row>
  </sheetData>
  <phoneticPr fontId="11"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314"/>
  <sheetViews>
    <sheetView tabSelected="1" zoomScale="73" zoomScaleNormal="73" workbookViewId="0">
      <pane ySplit="3" topLeftCell="A282" activePane="bottomLeft" state="frozen"/>
      <selection pane="bottomLeft" activeCell="D310" sqref="D310"/>
    </sheetView>
  </sheetViews>
  <sheetFormatPr defaultColWidth="8.77734375" defaultRowHeight="18.75"/>
  <cols>
    <col min="1" max="1" width="45.109375" style="41" customWidth="1"/>
    <col min="2" max="2" width="5.88671875" style="300" customWidth="1"/>
    <col min="3" max="5" width="15.5546875" style="20" customWidth="1"/>
    <col min="6" max="6" width="15.5546875" style="345" customWidth="1"/>
    <col min="7" max="9" width="15.5546875" style="20" customWidth="1"/>
    <col min="10" max="10" width="17" style="20" customWidth="1"/>
    <col min="11" max="11" width="15.5546875" style="20" customWidth="1"/>
    <col min="12" max="12" width="16.88671875" style="20" customWidth="1"/>
    <col min="13" max="13" width="8.44140625" style="4" customWidth="1"/>
    <col min="14" max="16384" width="8.77734375" style="4"/>
  </cols>
  <sheetData>
    <row r="1" spans="1:12" s="37" customFormat="1" ht="82.5" customHeight="1">
      <c r="A1" s="348" t="s">
        <v>419</v>
      </c>
      <c r="B1" s="278" t="s">
        <v>429</v>
      </c>
      <c r="C1" s="36" t="s">
        <v>191</v>
      </c>
      <c r="D1" s="36" t="s">
        <v>192</v>
      </c>
      <c r="E1" s="36" t="s">
        <v>193</v>
      </c>
      <c r="F1" s="301" t="s">
        <v>194</v>
      </c>
      <c r="G1" s="36" t="s">
        <v>195</v>
      </c>
      <c r="H1" s="36" t="s">
        <v>196</v>
      </c>
      <c r="I1" s="36" t="s">
        <v>197</v>
      </c>
      <c r="J1" s="36" t="s">
        <v>198</v>
      </c>
      <c r="K1" s="36" t="s">
        <v>199</v>
      </c>
      <c r="L1" s="36" t="s">
        <v>200</v>
      </c>
    </row>
    <row r="2" spans="1:12" s="1" customFormat="1">
      <c r="A2" s="349" t="s">
        <v>300</v>
      </c>
      <c r="B2" s="279"/>
      <c r="C2" s="9"/>
      <c r="D2" s="10"/>
      <c r="E2" s="11"/>
      <c r="F2" s="302"/>
      <c r="G2" s="12"/>
      <c r="H2" s="12"/>
      <c r="I2" s="13"/>
      <c r="J2" s="9"/>
      <c r="K2" s="9"/>
      <c r="L2" s="14"/>
    </row>
    <row r="3" spans="1:12" s="255" customFormat="1" ht="18">
      <c r="A3" s="389" t="s">
        <v>0</v>
      </c>
      <c r="B3" s="280"/>
      <c r="C3" s="253">
        <v>3598</v>
      </c>
      <c r="D3" s="253">
        <v>10408</v>
      </c>
      <c r="E3" s="253">
        <v>14842</v>
      </c>
      <c r="F3" s="303">
        <v>4214</v>
      </c>
      <c r="G3" s="253">
        <v>7262</v>
      </c>
      <c r="H3" s="253">
        <v>3864</v>
      </c>
      <c r="I3" s="253">
        <v>2218</v>
      </c>
      <c r="J3" s="253">
        <v>14442</v>
      </c>
      <c r="K3" s="253">
        <v>1554</v>
      </c>
      <c r="L3" s="254"/>
    </row>
    <row r="4" spans="1:12" s="156" customFormat="1" ht="18">
      <c r="A4" s="141" t="s">
        <v>389</v>
      </c>
      <c r="B4" s="281"/>
      <c r="C4" s="144"/>
      <c r="D4" s="48">
        <f>639*0.9</f>
        <v>575.1</v>
      </c>
      <c r="E4" s="147"/>
      <c r="F4" s="304"/>
      <c r="G4" s="144"/>
      <c r="H4" s="147"/>
      <c r="I4" s="144"/>
      <c r="J4" s="144"/>
      <c r="K4" s="144"/>
      <c r="L4" s="144">
        <f t="shared" ref="L4:L11" si="0">SUM(C4:K4)</f>
        <v>575.1</v>
      </c>
    </row>
    <row r="5" spans="1:12" s="182" customFormat="1" ht="18">
      <c r="A5" s="178" t="s">
        <v>388</v>
      </c>
      <c r="B5" s="232"/>
      <c r="C5" s="180"/>
      <c r="D5" s="48">
        <v>575</v>
      </c>
      <c r="E5" s="179"/>
      <c r="F5" s="305"/>
      <c r="G5" s="180"/>
      <c r="H5" s="179"/>
      <c r="I5" s="180"/>
      <c r="J5" s="180"/>
      <c r="K5" s="180"/>
      <c r="L5" s="144">
        <f t="shared" si="0"/>
        <v>575</v>
      </c>
    </row>
    <row r="6" spans="1:12" s="156" customFormat="1" ht="18">
      <c r="A6" s="141" t="s">
        <v>390</v>
      </c>
      <c r="B6" s="281"/>
      <c r="C6" s="144"/>
      <c r="D6" s="144"/>
      <c r="E6" s="144"/>
      <c r="F6" s="306"/>
      <c r="G6" s="144"/>
      <c r="H6" s="147"/>
      <c r="I6" s="144"/>
      <c r="J6" s="46">
        <v>239</v>
      </c>
      <c r="K6" s="144"/>
      <c r="L6" s="144">
        <f>SUM(C6:K6)</f>
        <v>239</v>
      </c>
    </row>
    <row r="7" spans="1:12" s="156" customFormat="1" ht="18">
      <c r="A7" s="141" t="s">
        <v>391</v>
      </c>
      <c r="B7" s="281"/>
      <c r="C7" s="144"/>
      <c r="D7" s="48">
        <v>799</v>
      </c>
      <c r="E7" s="147"/>
      <c r="F7" s="304"/>
      <c r="G7" s="144"/>
      <c r="H7" s="147"/>
      <c r="I7" s="144"/>
      <c r="J7" s="144"/>
      <c r="K7" s="144"/>
      <c r="L7" s="144">
        <f t="shared" ref="L7:L9" si="1">SUM(C7:K7)</f>
        <v>799</v>
      </c>
    </row>
    <row r="8" spans="1:12" s="156" customFormat="1" ht="18">
      <c r="A8" s="141" t="s">
        <v>392</v>
      </c>
      <c r="B8" s="281"/>
      <c r="C8" s="144"/>
      <c r="D8" s="48">
        <v>575</v>
      </c>
      <c r="E8" s="147"/>
      <c r="F8" s="304"/>
      <c r="G8" s="144"/>
      <c r="H8" s="147"/>
      <c r="I8" s="144"/>
      <c r="J8" s="144"/>
      <c r="K8" s="144"/>
      <c r="L8" s="144">
        <f t="shared" si="1"/>
        <v>575</v>
      </c>
    </row>
    <row r="9" spans="1:12" s="156" customFormat="1" ht="18">
      <c r="A9" s="141" t="s">
        <v>393</v>
      </c>
      <c r="B9" s="281"/>
      <c r="C9" s="147"/>
      <c r="D9" s="46">
        <v>959</v>
      </c>
      <c r="E9" s="147"/>
      <c r="F9" s="304"/>
      <c r="G9" s="144"/>
      <c r="H9" s="147"/>
      <c r="I9" s="144"/>
      <c r="J9" s="144"/>
      <c r="K9" s="144"/>
      <c r="L9" s="147">
        <f t="shared" si="1"/>
        <v>959</v>
      </c>
    </row>
    <row r="10" spans="1:12" s="156" customFormat="1" ht="18">
      <c r="A10" s="141" t="s">
        <v>394</v>
      </c>
      <c r="B10" s="281"/>
      <c r="C10" s="144"/>
      <c r="D10" s="48">
        <v>575</v>
      </c>
      <c r="E10" s="147"/>
      <c r="F10" s="304"/>
      <c r="G10" s="144"/>
      <c r="H10" s="147"/>
      <c r="I10" s="144"/>
      <c r="J10" s="144"/>
      <c r="K10" s="144"/>
      <c r="L10" s="144">
        <f>SUM(C10:K10)</f>
        <v>575</v>
      </c>
    </row>
    <row r="11" spans="1:12" s="186" customFormat="1" ht="18">
      <c r="A11" s="178" t="s">
        <v>326</v>
      </c>
      <c r="B11" s="232"/>
      <c r="C11" s="180"/>
      <c r="D11" s="208"/>
      <c r="E11" s="346">
        <v>1041.25</v>
      </c>
      <c r="F11" s="180">
        <v>637.5</v>
      </c>
      <c r="G11" s="208"/>
      <c r="H11" s="180">
        <v>637.5</v>
      </c>
      <c r="I11" s="180">
        <v>637.5</v>
      </c>
      <c r="J11" s="347"/>
      <c r="K11" s="180">
        <v>637.5</v>
      </c>
      <c r="L11" s="144">
        <f t="shared" si="0"/>
        <v>3591.25</v>
      </c>
    </row>
    <row r="12" spans="1:12" s="186" customFormat="1" ht="18">
      <c r="A12" s="178" t="s">
        <v>380</v>
      </c>
      <c r="B12" s="232"/>
      <c r="C12" s="209"/>
      <c r="D12" s="209">
        <v>985</v>
      </c>
      <c r="E12" s="210"/>
      <c r="F12" s="307"/>
      <c r="G12" s="210"/>
      <c r="H12" s="210"/>
      <c r="I12" s="210"/>
      <c r="J12" s="208"/>
      <c r="K12" s="208"/>
      <c r="L12" s="180">
        <f t="shared" ref="L12:L18" si="2">SUM(C12:K12)</f>
        <v>985</v>
      </c>
    </row>
    <row r="13" spans="1:12" s="3" customFormat="1" ht="18">
      <c r="A13" s="24" t="s">
        <v>204</v>
      </c>
      <c r="B13" s="282"/>
      <c r="C13" s="15"/>
      <c r="D13" s="30"/>
      <c r="E13" s="15"/>
      <c r="F13" s="308">
        <v>896</v>
      </c>
      <c r="G13" s="218"/>
      <c r="H13" s="30"/>
      <c r="I13" s="15"/>
      <c r="J13" s="15"/>
      <c r="K13" s="15"/>
      <c r="L13" s="15">
        <f t="shared" si="2"/>
        <v>896</v>
      </c>
    </row>
    <row r="14" spans="1:12" s="6" customFormat="1" ht="18">
      <c r="A14" s="24" t="s">
        <v>431</v>
      </c>
      <c r="B14" s="282"/>
      <c r="C14" s="16">
        <v>716</v>
      </c>
      <c r="D14" s="16"/>
      <c r="E14" s="15"/>
      <c r="F14" s="308"/>
      <c r="G14" s="16"/>
      <c r="H14" s="16"/>
      <c r="I14" s="15"/>
      <c r="J14" s="16"/>
      <c r="K14" s="16"/>
      <c r="L14" s="15">
        <f t="shared" si="2"/>
        <v>716</v>
      </c>
    </row>
    <row r="15" spans="1:12" s="190" customFormat="1" ht="18">
      <c r="A15" s="185" t="s">
        <v>377</v>
      </c>
      <c r="B15" s="283"/>
      <c r="C15" s="199"/>
      <c r="D15" s="199"/>
      <c r="E15" s="200"/>
      <c r="F15" s="309"/>
      <c r="G15" s="199">
        <v>1350</v>
      </c>
      <c r="H15" s="199"/>
      <c r="I15" s="200"/>
      <c r="J15" s="187"/>
      <c r="K15" s="187"/>
      <c r="L15" s="184">
        <f t="shared" si="2"/>
        <v>1350</v>
      </c>
    </row>
    <row r="16" spans="1:12" s="6" customFormat="1" ht="18">
      <c r="A16" s="24" t="s">
        <v>206</v>
      </c>
      <c r="B16" s="282"/>
      <c r="C16" s="15"/>
      <c r="D16" s="16"/>
      <c r="E16" s="15"/>
      <c r="F16" s="308"/>
      <c r="G16" s="218"/>
      <c r="H16" s="16">
        <v>896</v>
      </c>
      <c r="I16" s="15"/>
      <c r="J16" s="15"/>
      <c r="K16" s="15"/>
      <c r="L16" s="15">
        <f t="shared" si="2"/>
        <v>896</v>
      </c>
    </row>
    <row r="17" spans="1:12" s="6" customFormat="1" ht="18">
      <c r="A17" s="24" t="s">
        <v>379</v>
      </c>
      <c r="B17" s="282"/>
      <c r="C17" s="15"/>
      <c r="D17" s="16">
        <v>3056</v>
      </c>
      <c r="E17" s="15"/>
      <c r="F17" s="308"/>
      <c r="G17" s="199">
        <v>5126</v>
      </c>
      <c r="H17" s="15"/>
      <c r="I17" s="15"/>
      <c r="J17" s="16"/>
      <c r="K17" s="16"/>
      <c r="L17" s="15">
        <f t="shared" si="2"/>
        <v>8182</v>
      </c>
    </row>
    <row r="18" spans="1:12" s="6" customFormat="1" ht="18">
      <c r="A18" s="24" t="s">
        <v>207</v>
      </c>
      <c r="B18" s="282"/>
      <c r="C18" s="15"/>
      <c r="D18" s="15"/>
      <c r="E18" s="16"/>
      <c r="F18" s="310"/>
      <c r="G18" s="16"/>
      <c r="H18" s="16" t="s">
        <v>201</v>
      </c>
      <c r="I18" s="16">
        <v>349</v>
      </c>
      <c r="J18" s="16"/>
      <c r="K18" s="15"/>
      <c r="L18" s="15">
        <f t="shared" si="2"/>
        <v>349</v>
      </c>
    </row>
    <row r="19" spans="1:12" s="6" customFormat="1" ht="18">
      <c r="A19" s="24" t="s">
        <v>327</v>
      </c>
      <c r="B19" s="282"/>
      <c r="C19" s="15"/>
      <c r="D19" s="16"/>
      <c r="E19" s="16"/>
      <c r="F19" s="308"/>
      <c r="G19" s="16"/>
      <c r="H19" s="16">
        <v>450</v>
      </c>
      <c r="I19" s="16">
        <v>1555</v>
      </c>
      <c r="J19" s="16" t="s">
        <v>201</v>
      </c>
      <c r="K19" s="15"/>
      <c r="L19" s="15">
        <f t="shared" ref="L19:L31" si="3">SUM(C19:K19)</f>
        <v>2005</v>
      </c>
    </row>
    <row r="20" spans="1:12" s="6" customFormat="1" ht="18">
      <c r="A20" s="24" t="s">
        <v>210</v>
      </c>
      <c r="B20" s="282"/>
      <c r="C20" s="15"/>
      <c r="D20" s="16"/>
      <c r="E20" s="16"/>
      <c r="F20" s="308">
        <v>1744</v>
      </c>
      <c r="G20" s="16"/>
      <c r="H20" s="16"/>
      <c r="I20" s="16"/>
      <c r="J20" s="16"/>
      <c r="K20" s="15"/>
      <c r="L20" s="15">
        <f t="shared" si="3"/>
        <v>1744</v>
      </c>
    </row>
    <row r="21" spans="1:12" s="32" customFormat="1" ht="18">
      <c r="A21" s="215" t="s">
        <v>187</v>
      </c>
      <c r="B21" s="284"/>
      <c r="C21" s="28"/>
      <c r="D21" s="31"/>
      <c r="E21" s="31"/>
      <c r="F21" s="311"/>
      <c r="G21" s="31"/>
      <c r="H21" s="31"/>
      <c r="I21" s="31"/>
      <c r="J21" s="360">
        <v>1468</v>
      </c>
      <c r="K21" s="28"/>
      <c r="L21" s="28">
        <f>SUM(C21:K21)</f>
        <v>1468</v>
      </c>
    </row>
    <row r="22" spans="1:12" s="32" customFormat="1" ht="18">
      <c r="A22" s="204" t="s">
        <v>126</v>
      </c>
      <c r="B22" s="285"/>
      <c r="C22" s="31"/>
      <c r="D22" s="31"/>
      <c r="E22" s="31"/>
      <c r="F22" s="65">
        <v>42346.74</v>
      </c>
      <c r="G22" s="60">
        <v>24247.42</v>
      </c>
      <c r="H22" s="31"/>
      <c r="I22" s="31"/>
      <c r="J22" s="61">
        <v>64683.15</v>
      </c>
      <c r="K22" s="31"/>
      <c r="L22" s="28">
        <f t="shared" si="3"/>
        <v>131277.31</v>
      </c>
    </row>
    <row r="23" spans="1:12" s="190" customFormat="1" ht="18">
      <c r="A23" s="178" t="s">
        <v>358</v>
      </c>
      <c r="B23" s="232"/>
      <c r="C23" s="187"/>
      <c r="D23" s="187"/>
      <c r="E23" s="272">
        <v>2200</v>
      </c>
      <c r="F23" s="312"/>
      <c r="G23" s="187"/>
      <c r="H23" s="187"/>
      <c r="I23" s="187"/>
      <c r="J23" s="213"/>
      <c r="K23" s="187"/>
      <c r="L23" s="184">
        <f t="shared" si="3"/>
        <v>2200</v>
      </c>
    </row>
    <row r="24" spans="1:12" s="32" customFormat="1">
      <c r="A24" s="353" t="s">
        <v>179</v>
      </c>
      <c r="B24" s="285"/>
      <c r="C24" s="31"/>
      <c r="D24" s="31"/>
      <c r="E24" s="31"/>
      <c r="F24" s="313"/>
      <c r="G24" s="31"/>
      <c r="H24" s="31"/>
      <c r="I24" s="31"/>
      <c r="J24" s="61">
        <v>22780</v>
      </c>
      <c r="K24" s="33"/>
      <c r="L24" s="28">
        <f>SUM(C24:K24)</f>
        <v>22780</v>
      </c>
    </row>
    <row r="25" spans="1:12" s="6" customFormat="1" ht="18">
      <c r="A25" s="42" t="s">
        <v>125</v>
      </c>
      <c r="B25" s="286"/>
      <c r="C25" s="16"/>
      <c r="D25" s="16">
        <v>425</v>
      </c>
      <c r="E25" s="16"/>
      <c r="F25" s="310">
        <v>445.84</v>
      </c>
      <c r="G25" s="16">
        <v>0</v>
      </c>
      <c r="H25" s="16">
        <v>425</v>
      </c>
      <c r="I25" s="16">
        <v>487.52</v>
      </c>
      <c r="J25" s="16">
        <v>466.68</v>
      </c>
      <c r="K25" s="187">
        <v>247.94</v>
      </c>
      <c r="L25" s="15">
        <f t="shared" si="3"/>
        <v>2497.98</v>
      </c>
    </row>
    <row r="26" spans="1:12" s="146" customFormat="1" ht="18" customHeight="1">
      <c r="A26" s="141" t="s">
        <v>217</v>
      </c>
      <c r="B26" s="281"/>
      <c r="C26" s="147"/>
      <c r="D26" s="147"/>
      <c r="E26" s="147"/>
      <c r="F26" s="314"/>
      <c r="G26" s="147"/>
      <c r="H26" s="147"/>
      <c r="I26" s="147"/>
      <c r="J26" s="147">
        <v>1238</v>
      </c>
      <c r="K26" s="147"/>
      <c r="L26" s="144">
        <f t="shared" si="3"/>
        <v>1238</v>
      </c>
    </row>
    <row r="27" spans="1:12" s="139" customFormat="1" ht="18" customHeight="1">
      <c r="A27" s="204" t="s">
        <v>1</v>
      </c>
      <c r="B27" s="285"/>
      <c r="C27" s="136"/>
      <c r="D27" s="136"/>
      <c r="E27" s="136"/>
      <c r="F27" s="341">
        <v>7383.6</v>
      </c>
      <c r="G27" s="136"/>
      <c r="H27" s="136">
        <v>326</v>
      </c>
      <c r="I27" s="136"/>
      <c r="J27" s="136">
        <v>8061.6</v>
      </c>
      <c r="K27" s="136"/>
      <c r="L27" s="138">
        <f t="shared" si="3"/>
        <v>15771.2</v>
      </c>
    </row>
    <row r="28" spans="1:12" s="140" customFormat="1" ht="16.899999999999999" customHeight="1">
      <c r="A28" s="220" t="s">
        <v>153</v>
      </c>
      <c r="B28" s="287"/>
      <c r="C28" s="136"/>
      <c r="D28" s="136"/>
      <c r="E28" s="136"/>
      <c r="F28" s="315"/>
      <c r="G28" s="136"/>
      <c r="H28" s="136"/>
      <c r="I28" s="136"/>
      <c r="J28" s="65">
        <v>10590</v>
      </c>
      <c r="K28" s="138"/>
      <c r="L28" s="138">
        <f>SUM(C28:K28)</f>
        <v>10590</v>
      </c>
    </row>
    <row r="29" spans="1:12" s="140" customFormat="1" ht="18">
      <c r="A29" s="220" t="s">
        <v>182</v>
      </c>
      <c r="B29" s="287"/>
      <c r="C29" s="136"/>
      <c r="D29" s="136"/>
      <c r="E29" s="136"/>
      <c r="F29" s="315"/>
      <c r="G29" s="136"/>
      <c r="H29" s="136"/>
      <c r="I29" s="136"/>
      <c r="J29" s="387">
        <v>8277</v>
      </c>
      <c r="K29" s="138"/>
      <c r="L29" s="138">
        <f>SUM(C29:K29)</f>
        <v>8277</v>
      </c>
    </row>
    <row r="30" spans="1:12" s="139" customFormat="1" ht="18">
      <c r="A30" s="204" t="s">
        <v>402</v>
      </c>
      <c r="B30" s="285"/>
      <c r="C30" s="138"/>
      <c r="D30" s="138"/>
      <c r="E30" s="138"/>
      <c r="F30" s="316"/>
      <c r="G30" s="138"/>
      <c r="H30" s="136"/>
      <c r="I30" s="138"/>
      <c r="J30" s="138">
        <v>11860</v>
      </c>
      <c r="K30" s="138"/>
      <c r="L30" s="138">
        <f>SUM(C30:K30)</f>
        <v>11860</v>
      </c>
    </row>
    <row r="31" spans="1:12" s="237" customFormat="1" ht="18">
      <c r="A31" s="234" t="s">
        <v>2</v>
      </c>
      <c r="B31" s="288"/>
      <c r="C31" s="236"/>
      <c r="D31" s="236">
        <v>1326</v>
      </c>
      <c r="E31" s="236"/>
      <c r="F31" s="317">
        <v>5517</v>
      </c>
      <c r="G31" s="236">
        <v>9380</v>
      </c>
      <c r="H31" s="236">
        <v>3307</v>
      </c>
      <c r="I31" s="236"/>
      <c r="J31" s="236">
        <v>13796</v>
      </c>
      <c r="K31" s="236"/>
      <c r="L31" s="236">
        <f t="shared" si="3"/>
        <v>33326</v>
      </c>
    </row>
    <row r="32" spans="1:12" s="140" customFormat="1" ht="18">
      <c r="A32" s="220" t="s">
        <v>298</v>
      </c>
      <c r="B32" s="287"/>
      <c r="C32" s="138"/>
      <c r="D32" s="138"/>
      <c r="E32" s="138"/>
      <c r="F32" s="315"/>
      <c r="G32" s="136"/>
      <c r="H32" s="138"/>
      <c r="I32" s="138"/>
      <c r="J32" s="136">
        <v>6600</v>
      </c>
      <c r="K32" s="136"/>
      <c r="L32" s="138">
        <f>SUM(C32:K32)</f>
        <v>6600</v>
      </c>
    </row>
    <row r="33" spans="1:12" s="2" customFormat="1" ht="60.75" customHeight="1">
      <c r="A33" s="355"/>
      <c r="B33" s="289"/>
      <c r="C33" s="17" t="s">
        <v>191</v>
      </c>
      <c r="D33" s="17" t="s">
        <v>192</v>
      </c>
      <c r="E33" s="17" t="s">
        <v>193</v>
      </c>
      <c r="F33" s="318" t="s">
        <v>194</v>
      </c>
      <c r="G33" s="17" t="s">
        <v>195</v>
      </c>
      <c r="H33" s="17" t="s">
        <v>196</v>
      </c>
      <c r="I33" s="17" t="s">
        <v>197</v>
      </c>
      <c r="J33" s="17" t="s">
        <v>198</v>
      </c>
      <c r="K33" s="17" t="s">
        <v>199</v>
      </c>
      <c r="L33" s="17"/>
    </row>
    <row r="34" spans="1:12" s="1" customFormat="1">
      <c r="A34" s="356" t="s">
        <v>300</v>
      </c>
      <c r="B34" s="290"/>
      <c r="C34" s="9"/>
      <c r="D34" s="10"/>
      <c r="E34" s="11"/>
      <c r="F34" s="302"/>
      <c r="G34" s="12"/>
      <c r="H34" s="12"/>
      <c r="I34" s="13"/>
      <c r="J34" s="9"/>
      <c r="K34" s="9"/>
      <c r="L34" s="14"/>
    </row>
    <row r="35" spans="1:12" s="143" customFormat="1" ht="18">
      <c r="A35" s="361" t="s">
        <v>363</v>
      </c>
      <c r="B35" s="291"/>
      <c r="C35" s="151"/>
      <c r="D35" s="144" t="s">
        <v>201</v>
      </c>
      <c r="E35" s="151"/>
      <c r="F35" s="319"/>
      <c r="G35" s="151"/>
      <c r="H35" s="151"/>
      <c r="I35" s="151"/>
      <c r="J35" s="151"/>
      <c r="K35" s="151"/>
      <c r="L35" s="144">
        <f>SUM(C35:K35)</f>
        <v>0</v>
      </c>
    </row>
    <row r="36" spans="1:12" s="145" customFormat="1" ht="18">
      <c r="A36" s="141" t="s">
        <v>214</v>
      </c>
      <c r="B36" s="281"/>
      <c r="C36" s="144">
        <v>13334.5</v>
      </c>
      <c r="D36" s="144"/>
      <c r="E36" s="175">
        <v>13334.5</v>
      </c>
      <c r="F36" s="306">
        <v>13334.5</v>
      </c>
      <c r="G36" s="144">
        <v>13334.5</v>
      </c>
      <c r="H36" s="144">
        <v>13334.5</v>
      </c>
      <c r="I36" s="144">
        <v>13334.5</v>
      </c>
      <c r="J36" s="144">
        <v>13334.5</v>
      </c>
      <c r="K36" s="144"/>
      <c r="L36" s="144">
        <f t="shared" ref="L36:L43" si="4">SUM(C36:K36)</f>
        <v>93341.5</v>
      </c>
    </row>
    <row r="37" spans="1:12" s="145" customFormat="1" ht="18">
      <c r="A37" s="141" t="s">
        <v>449</v>
      </c>
      <c r="B37" s="281"/>
      <c r="C37" s="144"/>
      <c r="D37" s="144"/>
      <c r="E37" s="175"/>
      <c r="F37" s="306"/>
      <c r="G37" s="144">
        <v>4875</v>
      </c>
      <c r="H37" s="144"/>
      <c r="I37" s="144"/>
      <c r="J37" s="144"/>
      <c r="K37" s="144"/>
      <c r="L37" s="144">
        <f>SUM(B37:K37)</f>
        <v>4875</v>
      </c>
    </row>
    <row r="38" spans="1:12" s="146" customFormat="1" ht="18">
      <c r="A38" s="141" t="s">
        <v>246</v>
      </c>
      <c r="B38" s="281"/>
      <c r="C38" s="144"/>
      <c r="D38" s="144"/>
      <c r="E38" s="144"/>
      <c r="F38" s="306"/>
      <c r="G38" s="144" t="s">
        <v>201</v>
      </c>
      <c r="H38" s="144"/>
      <c r="I38" s="144"/>
      <c r="J38" s="144">
        <v>1850</v>
      </c>
      <c r="K38" s="144"/>
      <c r="L38" s="144">
        <f t="shared" si="4"/>
        <v>1850</v>
      </c>
    </row>
    <row r="39" spans="1:12" s="146" customFormat="1" ht="18">
      <c r="A39" s="141" t="s">
        <v>242</v>
      </c>
      <c r="B39" s="281"/>
      <c r="C39" s="144"/>
      <c r="D39" s="144"/>
      <c r="E39" s="144"/>
      <c r="F39" s="320">
        <v>3273.48</v>
      </c>
      <c r="G39" s="46">
        <v>5244.37</v>
      </c>
      <c r="H39" s="48">
        <v>3101.11</v>
      </c>
      <c r="I39" s="46"/>
      <c r="J39" s="144"/>
      <c r="K39" s="144"/>
      <c r="L39" s="144">
        <f t="shared" si="4"/>
        <v>11618.960000000001</v>
      </c>
    </row>
    <row r="40" spans="1:12" s="146" customFormat="1" ht="18">
      <c r="A40" s="141" t="s">
        <v>243</v>
      </c>
      <c r="B40" s="281"/>
      <c r="C40" s="144"/>
      <c r="D40" s="144"/>
      <c r="E40" s="144"/>
      <c r="F40" s="320"/>
      <c r="G40" s="46"/>
      <c r="H40" s="48"/>
      <c r="I40" s="46">
        <v>4865.3999999999996</v>
      </c>
      <c r="J40" s="267">
        <v>14472.9</v>
      </c>
      <c r="K40" s="144"/>
      <c r="L40" s="144">
        <f t="shared" si="4"/>
        <v>19338.3</v>
      </c>
    </row>
    <row r="41" spans="1:12" s="150" customFormat="1" ht="18">
      <c r="A41" s="204" t="s">
        <v>268</v>
      </c>
      <c r="B41" s="384"/>
      <c r="C41" s="250">
        <v>1316</v>
      </c>
      <c r="D41" s="149"/>
      <c r="E41" s="149"/>
      <c r="F41" s="329"/>
      <c r="G41" s="149">
        <v>1516</v>
      </c>
      <c r="H41" s="149" t="s">
        <v>201</v>
      </c>
      <c r="I41" s="149"/>
      <c r="J41" s="149">
        <v>1516</v>
      </c>
      <c r="K41" s="149"/>
      <c r="L41" s="149">
        <f>SUM(C41:K41)</f>
        <v>4348</v>
      </c>
    </row>
    <row r="42" spans="1:12" s="152" customFormat="1" ht="18">
      <c r="A42" s="141" t="s">
        <v>152</v>
      </c>
      <c r="B42" s="281"/>
      <c r="C42" s="151"/>
      <c r="D42" s="151"/>
      <c r="E42" s="151"/>
      <c r="F42" s="319"/>
      <c r="G42" s="151"/>
      <c r="H42" s="151"/>
      <c r="I42" s="151"/>
      <c r="J42" s="144">
        <v>9502</v>
      </c>
      <c r="K42" s="151"/>
      <c r="L42" s="144">
        <f t="shared" si="4"/>
        <v>9502</v>
      </c>
    </row>
    <row r="43" spans="1:12" s="146" customFormat="1" ht="18">
      <c r="A43" s="141" t="s">
        <v>3</v>
      </c>
      <c r="B43" s="281"/>
      <c r="C43" s="144"/>
      <c r="D43" s="144"/>
      <c r="E43" s="144"/>
      <c r="F43" s="306"/>
      <c r="G43" s="144"/>
      <c r="H43" s="16">
        <v>2844</v>
      </c>
      <c r="I43" s="144"/>
      <c r="J43" s="144"/>
      <c r="K43" s="144"/>
      <c r="L43" s="144">
        <f t="shared" si="4"/>
        <v>2844</v>
      </c>
    </row>
    <row r="44" spans="1:12" s="181" customFormat="1" ht="18">
      <c r="A44" s="141" t="s">
        <v>170</v>
      </c>
      <c r="B44" s="281"/>
      <c r="C44" s="180"/>
      <c r="D44" s="219"/>
      <c r="E44" s="180"/>
      <c r="F44" s="321"/>
      <c r="G44" s="180" t="s">
        <v>201</v>
      </c>
      <c r="H44" s="16">
        <v>1558</v>
      </c>
      <c r="I44" s="180"/>
      <c r="J44" s="180" t="s">
        <v>201</v>
      </c>
      <c r="K44" s="180"/>
      <c r="L44" s="144">
        <f>SUM(C44:K44)</f>
        <v>1558</v>
      </c>
    </row>
    <row r="45" spans="1:12" s="139" customFormat="1" ht="18">
      <c r="A45" s="204" t="s">
        <v>367</v>
      </c>
      <c r="B45" s="285"/>
      <c r="C45" s="138"/>
      <c r="D45" s="138"/>
      <c r="E45" s="138"/>
      <c r="F45" s="322">
        <v>1870</v>
      </c>
      <c r="G45" s="138"/>
      <c r="H45" s="136"/>
      <c r="I45" s="138"/>
      <c r="J45" s="138"/>
      <c r="K45" s="138"/>
      <c r="L45" s="138">
        <f t="shared" ref="L45:L59" si="5">SUM(C45:K45)</f>
        <v>1870</v>
      </c>
    </row>
    <row r="46" spans="1:12" s="156" customFormat="1" ht="18">
      <c r="A46" s="141" t="s">
        <v>5</v>
      </c>
      <c r="B46" s="281"/>
      <c r="C46" s="144"/>
      <c r="D46" s="144"/>
      <c r="E46" s="144"/>
      <c r="F46" s="306">
        <v>0</v>
      </c>
      <c r="G46" s="144">
        <v>675</v>
      </c>
      <c r="H46" s="147"/>
      <c r="I46" s="144"/>
      <c r="J46" s="144"/>
      <c r="K46" s="144"/>
      <c r="L46" s="144">
        <f t="shared" si="5"/>
        <v>675</v>
      </c>
    </row>
    <row r="47" spans="1:12" s="156" customFormat="1" ht="18">
      <c r="A47" s="141" t="s">
        <v>6</v>
      </c>
      <c r="B47" s="281"/>
      <c r="C47" s="151"/>
      <c r="D47" s="144"/>
      <c r="E47" s="144"/>
      <c r="F47" s="306">
        <v>1349.95</v>
      </c>
      <c r="G47" s="144"/>
      <c r="H47" s="153"/>
      <c r="I47" s="144"/>
      <c r="J47" s="144"/>
      <c r="K47" s="144"/>
      <c r="L47" s="144">
        <f t="shared" si="5"/>
        <v>1349.95</v>
      </c>
    </row>
    <row r="48" spans="1:12" s="156" customFormat="1" ht="18">
      <c r="A48" s="141" t="s">
        <v>8</v>
      </c>
      <c r="B48" s="281"/>
      <c r="C48" s="147"/>
      <c r="D48" s="147"/>
      <c r="E48" s="147"/>
      <c r="F48" s="304">
        <v>100</v>
      </c>
      <c r="G48" s="147">
        <v>100</v>
      </c>
      <c r="H48" s="147">
        <v>100</v>
      </c>
      <c r="I48" s="153"/>
      <c r="J48" s="147"/>
      <c r="K48" s="147"/>
      <c r="L48" s="144">
        <f t="shared" si="5"/>
        <v>300</v>
      </c>
    </row>
    <row r="49" spans="1:12" s="139" customFormat="1" ht="18">
      <c r="A49" s="204" t="s">
        <v>147</v>
      </c>
      <c r="B49" s="285"/>
      <c r="C49" s="136"/>
      <c r="D49" s="136"/>
      <c r="E49" s="136"/>
      <c r="F49" s="315"/>
      <c r="G49" s="136"/>
      <c r="H49" s="136"/>
      <c r="I49" s="136"/>
      <c r="J49" s="136">
        <v>27475</v>
      </c>
      <c r="K49" s="136"/>
      <c r="L49" s="138">
        <f>SUM(C49:K49)</f>
        <v>27475</v>
      </c>
    </row>
    <row r="50" spans="1:12" s="156" customFormat="1" ht="18">
      <c r="A50" s="141" t="s">
        <v>7</v>
      </c>
      <c r="B50" s="281"/>
      <c r="C50" s="147"/>
      <c r="D50" s="147"/>
      <c r="E50" s="147"/>
      <c r="F50" s="304">
        <v>1320</v>
      </c>
      <c r="G50" s="147"/>
      <c r="H50" s="147"/>
      <c r="I50" s="147"/>
      <c r="J50" s="147"/>
      <c r="K50" s="147"/>
      <c r="L50" s="144">
        <f>SUM(C50:K50)</f>
        <v>1320</v>
      </c>
    </row>
    <row r="51" spans="1:12" s="156" customFormat="1" ht="18">
      <c r="A51" s="141" t="s">
        <v>262</v>
      </c>
      <c r="B51" s="281"/>
      <c r="C51" s="147"/>
      <c r="D51" s="147"/>
      <c r="E51" s="147"/>
      <c r="F51" s="304">
        <v>4440</v>
      </c>
      <c r="G51" s="147"/>
      <c r="H51" s="147"/>
      <c r="I51" s="147"/>
      <c r="J51" s="359"/>
      <c r="K51" s="147"/>
      <c r="L51" s="144">
        <f t="shared" si="5"/>
        <v>4440</v>
      </c>
    </row>
    <row r="52" spans="1:12" s="156" customFormat="1" ht="18">
      <c r="A52" s="141" t="s">
        <v>233</v>
      </c>
      <c r="B52" s="281"/>
      <c r="C52" s="147"/>
      <c r="D52" s="147">
        <v>648</v>
      </c>
      <c r="E52" s="147"/>
      <c r="F52" s="304"/>
      <c r="G52" s="147"/>
      <c r="H52" s="147"/>
      <c r="I52" s="147"/>
      <c r="J52" s="144"/>
      <c r="K52" s="147"/>
      <c r="L52" s="144">
        <f t="shared" si="5"/>
        <v>648</v>
      </c>
    </row>
    <row r="53" spans="1:12" s="156" customFormat="1" ht="18">
      <c r="A53" s="141" t="s">
        <v>9</v>
      </c>
      <c r="B53" s="281"/>
      <c r="C53" s="144"/>
      <c r="D53" s="147"/>
      <c r="E53" s="144"/>
      <c r="F53" s="304"/>
      <c r="G53" s="147"/>
      <c r="H53" s="147">
        <v>923</v>
      </c>
      <c r="I53" s="147"/>
      <c r="J53" s="46">
        <v>1035</v>
      </c>
      <c r="K53" s="48">
        <v>627.75</v>
      </c>
      <c r="L53" s="144">
        <f t="shared" si="5"/>
        <v>2585.75</v>
      </c>
    </row>
    <row r="54" spans="1:12" s="156" customFormat="1" ht="18">
      <c r="A54" s="141" t="s">
        <v>10</v>
      </c>
      <c r="B54" s="281"/>
      <c r="C54" s="144" t="s">
        <v>201</v>
      </c>
      <c r="D54" s="147">
        <v>1800</v>
      </c>
      <c r="E54" s="175">
        <v>1800</v>
      </c>
      <c r="F54" s="304"/>
      <c r="G54" s="147"/>
      <c r="H54" s="147">
        <v>695.52</v>
      </c>
      <c r="I54" s="153"/>
      <c r="J54" s="147"/>
      <c r="K54" s="147"/>
      <c r="L54" s="144">
        <f t="shared" si="5"/>
        <v>4295.5200000000004</v>
      </c>
    </row>
    <row r="55" spans="1:12" s="156" customFormat="1" ht="18">
      <c r="A55" s="141" t="s">
        <v>11</v>
      </c>
      <c r="B55" s="281"/>
      <c r="C55" s="48">
        <v>957</v>
      </c>
      <c r="D55" s="147"/>
      <c r="E55" s="147"/>
      <c r="F55" s="324"/>
      <c r="G55" s="48">
        <v>957</v>
      </c>
      <c r="H55" s="231"/>
      <c r="I55" s="48"/>
      <c r="J55" s="48"/>
      <c r="K55" s="147"/>
      <c r="L55" s="144">
        <f t="shared" si="5"/>
        <v>1914</v>
      </c>
    </row>
    <row r="56" spans="1:12" s="159" customFormat="1" ht="18">
      <c r="A56" s="141" t="s">
        <v>178</v>
      </c>
      <c r="B56" s="292"/>
      <c r="C56" s="79">
        <v>889</v>
      </c>
      <c r="D56" s="147"/>
      <c r="E56" s="147"/>
      <c r="F56" s="324">
        <v>1779</v>
      </c>
      <c r="G56" s="46">
        <v>889</v>
      </c>
      <c r="H56" s="46">
        <v>889</v>
      </c>
      <c r="I56" s="46">
        <v>889</v>
      </c>
      <c r="J56" s="48">
        <v>1779</v>
      </c>
      <c r="K56" s="144"/>
      <c r="L56" s="144">
        <f t="shared" si="5"/>
        <v>7114</v>
      </c>
    </row>
    <row r="57" spans="1:12" s="156" customFormat="1" ht="18">
      <c r="A57" s="141" t="s">
        <v>12</v>
      </c>
      <c r="B57" s="281"/>
      <c r="C57" s="144"/>
      <c r="D57" s="46">
        <v>575</v>
      </c>
      <c r="E57" s="147"/>
      <c r="F57" s="306"/>
      <c r="G57" s="144"/>
      <c r="H57" s="144"/>
      <c r="I57" s="144"/>
      <c r="J57" s="148"/>
      <c r="K57" s="144"/>
      <c r="L57" s="144">
        <f t="shared" si="5"/>
        <v>575</v>
      </c>
    </row>
    <row r="58" spans="1:12" s="156" customFormat="1" ht="18">
      <c r="A58" s="141" t="s">
        <v>13</v>
      </c>
      <c r="B58" s="281"/>
      <c r="C58" s="144"/>
      <c r="D58" s="144"/>
      <c r="E58" s="147"/>
      <c r="F58" s="306"/>
      <c r="G58" s="144"/>
      <c r="H58" s="144">
        <v>1899</v>
      </c>
      <c r="I58" s="144"/>
      <c r="J58" s="144"/>
      <c r="K58" s="144"/>
      <c r="L58" s="144">
        <f t="shared" si="5"/>
        <v>1899</v>
      </c>
    </row>
    <row r="59" spans="1:12" s="146" customFormat="1" ht="18">
      <c r="A59" s="141" t="s">
        <v>249</v>
      </c>
      <c r="B59" s="281"/>
      <c r="C59" s="144"/>
      <c r="D59" s="153"/>
      <c r="E59" s="175">
        <v>5164</v>
      </c>
      <c r="F59" s="304"/>
      <c r="G59" s="147"/>
      <c r="H59" s="147" t="s">
        <v>201</v>
      </c>
      <c r="I59" s="161"/>
      <c r="J59" s="147"/>
      <c r="K59" s="147"/>
      <c r="L59" s="144">
        <f t="shared" si="5"/>
        <v>5164</v>
      </c>
    </row>
    <row r="60" spans="1:12" s="146" customFormat="1" ht="18">
      <c r="A60" s="141" t="s">
        <v>250</v>
      </c>
      <c r="B60" s="281"/>
      <c r="C60" s="144"/>
      <c r="D60" s="48">
        <v>2313</v>
      </c>
      <c r="E60" s="148"/>
      <c r="F60" s="304"/>
      <c r="G60" s="147"/>
      <c r="H60" s="91">
        <v>1247</v>
      </c>
      <c r="I60" s="144">
        <v>668</v>
      </c>
      <c r="J60" s="147"/>
      <c r="K60" s="147"/>
      <c r="L60" s="144">
        <f>SUM(C60:K60)</f>
        <v>4228</v>
      </c>
    </row>
    <row r="61" spans="1:12" s="146" customFormat="1" ht="18">
      <c r="A61" s="141" t="s">
        <v>213</v>
      </c>
      <c r="B61" s="281"/>
      <c r="C61" s="151"/>
      <c r="D61" s="46">
        <v>4708</v>
      </c>
      <c r="E61" s="148"/>
      <c r="F61" s="306"/>
      <c r="G61" s="144"/>
      <c r="H61" s="48">
        <v>2721</v>
      </c>
      <c r="I61" s="144"/>
      <c r="J61" s="147"/>
      <c r="K61" s="144"/>
      <c r="L61" s="144">
        <f>SUM(C61:K61)</f>
        <v>7429</v>
      </c>
    </row>
    <row r="62" spans="1:12" s="181" customFormat="1" ht="18">
      <c r="A62" s="178" t="s">
        <v>439</v>
      </c>
      <c r="B62" s="232"/>
      <c r="C62" s="208"/>
      <c r="D62" s="201"/>
      <c r="E62" s="180" t="s">
        <v>225</v>
      </c>
      <c r="F62" s="321"/>
      <c r="G62" s="180"/>
      <c r="H62" s="223"/>
      <c r="I62" s="180"/>
      <c r="J62" s="179"/>
      <c r="K62" s="180"/>
      <c r="L62" s="180"/>
    </row>
    <row r="63" spans="1:12" s="381" customFormat="1" ht="18">
      <c r="A63" s="234" t="s">
        <v>265</v>
      </c>
      <c r="B63" s="288"/>
      <c r="C63" s="236"/>
      <c r="D63" s="235"/>
      <c r="E63" s="236"/>
      <c r="F63" s="382"/>
      <c r="G63" s="235"/>
      <c r="H63" s="235"/>
      <c r="I63" s="235"/>
      <c r="J63" s="383">
        <v>3145.45</v>
      </c>
      <c r="K63" s="235"/>
      <c r="L63" s="236">
        <f>SUM(C63:K63)</f>
        <v>3145.45</v>
      </c>
    </row>
    <row r="64" spans="1:12" s="2" customFormat="1" ht="62.25">
      <c r="A64" s="355"/>
      <c r="B64" s="289"/>
      <c r="C64" s="17" t="s">
        <v>191</v>
      </c>
      <c r="D64" s="17" t="s">
        <v>192</v>
      </c>
      <c r="E64" s="17" t="s">
        <v>193</v>
      </c>
      <c r="F64" s="318" t="s">
        <v>194</v>
      </c>
      <c r="G64" s="17" t="s">
        <v>195</v>
      </c>
      <c r="H64" s="17" t="s">
        <v>196</v>
      </c>
      <c r="I64" s="17" t="s">
        <v>197</v>
      </c>
      <c r="J64" s="17" t="s">
        <v>198</v>
      </c>
      <c r="K64" s="17" t="s">
        <v>199</v>
      </c>
      <c r="L64" s="17"/>
    </row>
    <row r="65" spans="1:12" s="1" customFormat="1">
      <c r="A65" s="349" t="s">
        <v>300</v>
      </c>
      <c r="B65" s="279"/>
      <c r="C65" s="9"/>
      <c r="D65" s="10"/>
      <c r="E65" s="11"/>
      <c r="F65" s="302"/>
      <c r="G65" s="12"/>
      <c r="H65" s="12"/>
      <c r="I65" s="13"/>
      <c r="J65" s="9"/>
      <c r="K65" s="9"/>
      <c r="L65" s="14"/>
    </row>
    <row r="66" spans="1:12" s="146" customFormat="1" ht="18">
      <c r="A66" s="141" t="s">
        <v>33</v>
      </c>
      <c r="B66" s="281"/>
      <c r="C66" s="144"/>
      <c r="D66" s="144"/>
      <c r="E66" s="144"/>
      <c r="F66" s="306"/>
      <c r="G66" s="144">
        <v>21984</v>
      </c>
      <c r="H66" s="144">
        <v>8944</v>
      </c>
      <c r="I66" s="144">
        <v>8456</v>
      </c>
      <c r="J66" s="144"/>
      <c r="K66" s="161">
        <v>7466</v>
      </c>
      <c r="L66" s="144">
        <f t="shared" ref="L66:L74" si="6">SUM(C66:K66)</f>
        <v>46850</v>
      </c>
    </row>
    <row r="67" spans="1:12" s="156" customFormat="1" ht="18">
      <c r="A67" s="141" t="s">
        <v>166</v>
      </c>
      <c r="B67" s="281"/>
      <c r="C67" s="46"/>
      <c r="D67" s="46"/>
      <c r="E67" s="46"/>
      <c r="F67" s="324">
        <v>8117</v>
      </c>
      <c r="G67" s="48">
        <v>8117</v>
      </c>
      <c r="H67" s="48" t="s">
        <v>211</v>
      </c>
      <c r="I67" s="93" t="s">
        <v>201</v>
      </c>
      <c r="J67" s="46">
        <v>8117</v>
      </c>
      <c r="K67" s="48">
        <v>8117</v>
      </c>
      <c r="L67" s="144">
        <f>SUM(C67:K67)</f>
        <v>32468</v>
      </c>
    </row>
    <row r="68" spans="1:12" s="156" customFormat="1" ht="18">
      <c r="A68" s="141" t="s">
        <v>167</v>
      </c>
      <c r="B68" s="281"/>
      <c r="C68" s="231"/>
      <c r="D68" s="46"/>
      <c r="E68" s="46"/>
      <c r="F68" s="324">
        <v>8117</v>
      </c>
      <c r="G68" s="48">
        <v>8117</v>
      </c>
      <c r="H68" s="48" t="s">
        <v>201</v>
      </c>
      <c r="I68" s="93" t="s">
        <v>201</v>
      </c>
      <c r="J68" s="46">
        <v>8117</v>
      </c>
      <c r="K68" s="48">
        <v>8117</v>
      </c>
      <c r="L68" s="144">
        <f>SUM(C68:K68)</f>
        <v>32468</v>
      </c>
    </row>
    <row r="69" spans="1:12" s="222" customFormat="1" ht="18">
      <c r="A69" s="42" t="s">
        <v>403</v>
      </c>
      <c r="B69" s="286"/>
      <c r="C69" s="221"/>
      <c r="D69" s="201" t="s">
        <v>404</v>
      </c>
      <c r="E69" s="201"/>
      <c r="F69" s="325" t="s">
        <v>404</v>
      </c>
      <c r="G69" s="223" t="s">
        <v>404</v>
      </c>
      <c r="H69" s="223"/>
      <c r="I69" s="224" t="s">
        <v>404</v>
      </c>
      <c r="J69" s="224" t="s">
        <v>404</v>
      </c>
      <c r="K69" s="207"/>
      <c r="L69" s="144">
        <f>SUM(C69:K69)</f>
        <v>0</v>
      </c>
    </row>
    <row r="70" spans="1:12" s="146" customFormat="1" ht="18">
      <c r="A70" s="141" t="s">
        <v>220</v>
      </c>
      <c r="B70" s="281"/>
      <c r="C70" s="46">
        <v>21582</v>
      </c>
      <c r="D70" s="46">
        <v>21582</v>
      </c>
      <c r="E70" s="46">
        <v>21582</v>
      </c>
      <c r="F70" s="320">
        <v>21582</v>
      </c>
      <c r="G70" s="46">
        <v>21582</v>
      </c>
      <c r="H70" s="46">
        <v>21582</v>
      </c>
      <c r="I70" s="46">
        <v>21582</v>
      </c>
      <c r="J70" s="46">
        <v>21582</v>
      </c>
      <c r="K70" s="48"/>
      <c r="L70" s="144">
        <f t="shared" si="6"/>
        <v>172656</v>
      </c>
    </row>
    <row r="71" spans="1:12" s="146" customFormat="1" ht="18">
      <c r="A71" s="141" t="s">
        <v>132</v>
      </c>
      <c r="B71" s="281"/>
      <c r="C71" s="46">
        <v>1897</v>
      </c>
      <c r="D71" s="46">
        <v>1897</v>
      </c>
      <c r="E71" s="46">
        <v>1897</v>
      </c>
      <c r="F71" s="320">
        <v>1897</v>
      </c>
      <c r="G71" s="46">
        <v>1897</v>
      </c>
      <c r="H71" s="46">
        <v>1897</v>
      </c>
      <c r="I71" s="46">
        <v>1897</v>
      </c>
      <c r="J71" s="46">
        <v>1897</v>
      </c>
      <c r="K71" s="46">
        <v>1897</v>
      </c>
      <c r="L71" s="144">
        <f>SUM(C71:K71)</f>
        <v>17073</v>
      </c>
    </row>
    <row r="72" spans="1:12" s="51" customFormat="1" ht="18">
      <c r="A72" s="42" t="s">
        <v>440</v>
      </c>
      <c r="B72" s="286"/>
      <c r="C72" s="46"/>
      <c r="D72" s="46"/>
      <c r="E72" s="46"/>
      <c r="F72" s="320"/>
      <c r="G72" s="46"/>
      <c r="H72" s="46"/>
      <c r="I72" s="48">
        <v>2206</v>
      </c>
      <c r="J72" s="46"/>
      <c r="K72" s="46"/>
      <c r="L72" s="46">
        <f>SUM(C72:K72)</f>
        <v>2206</v>
      </c>
    </row>
    <row r="73" spans="1:12" s="146" customFormat="1" ht="18">
      <c r="A73" s="141" t="s">
        <v>184</v>
      </c>
      <c r="B73" s="281"/>
      <c r="C73" s="144"/>
      <c r="D73" s="144"/>
      <c r="E73" s="144"/>
      <c r="F73" s="304">
        <v>7061</v>
      </c>
      <c r="G73" s="144"/>
      <c r="H73" s="144"/>
      <c r="I73" s="144"/>
      <c r="J73" s="144"/>
      <c r="K73" s="144"/>
      <c r="L73" s="144">
        <f t="shared" si="6"/>
        <v>7061</v>
      </c>
    </row>
    <row r="74" spans="1:12" s="146" customFormat="1" ht="18">
      <c r="A74" s="141" t="s">
        <v>154</v>
      </c>
      <c r="B74" s="281"/>
      <c r="C74" s="144"/>
      <c r="D74" s="144"/>
      <c r="E74" s="144"/>
      <c r="F74" s="306"/>
      <c r="G74" s="144"/>
      <c r="H74" s="144"/>
      <c r="I74" s="48">
        <v>1696</v>
      </c>
      <c r="J74" s="144"/>
      <c r="K74" s="144"/>
      <c r="L74" s="144">
        <f t="shared" si="6"/>
        <v>1696</v>
      </c>
    </row>
    <row r="75" spans="1:12" s="51" customFormat="1" ht="18">
      <c r="A75" s="42" t="s">
        <v>405</v>
      </c>
      <c r="B75" s="286"/>
      <c r="C75" s="201" t="s">
        <v>404</v>
      </c>
      <c r="D75" s="223"/>
      <c r="E75" s="201" t="s">
        <v>404</v>
      </c>
      <c r="F75" s="320"/>
      <c r="G75" s="46"/>
      <c r="H75" s="46"/>
      <c r="I75" s="46"/>
      <c r="J75" s="46"/>
      <c r="K75" s="46"/>
      <c r="L75" s="144">
        <f>SUM(C75:K75)</f>
        <v>0</v>
      </c>
    </row>
    <row r="76" spans="1:12" s="146" customFormat="1" ht="18">
      <c r="A76" s="141" t="s">
        <v>238</v>
      </c>
      <c r="B76" s="281"/>
      <c r="C76" s="161"/>
      <c r="D76" s="161"/>
      <c r="E76" s="161"/>
      <c r="F76" s="320">
        <v>13261</v>
      </c>
      <c r="G76" s="144"/>
      <c r="H76" s="144"/>
      <c r="I76" s="161"/>
      <c r="J76" s="144"/>
      <c r="K76" s="144"/>
      <c r="L76" s="144">
        <f t="shared" ref="L76:L83" si="7">SUM(C76:K76)</f>
        <v>13261</v>
      </c>
    </row>
    <row r="77" spans="1:12" s="146" customFormat="1" ht="18">
      <c r="A77" s="141" t="s">
        <v>35</v>
      </c>
      <c r="B77" s="281"/>
      <c r="C77" s="48">
        <v>22365</v>
      </c>
      <c r="D77" s="144"/>
      <c r="E77" s="175">
        <v>22365</v>
      </c>
      <c r="F77" s="314"/>
      <c r="G77" s="144"/>
      <c r="H77" s="144"/>
      <c r="I77" s="48">
        <v>22365</v>
      </c>
      <c r="J77" s="144"/>
      <c r="K77" s="144"/>
      <c r="L77" s="144">
        <f>SUM(C77:K77)</f>
        <v>67095</v>
      </c>
    </row>
    <row r="78" spans="1:12" s="146" customFormat="1" ht="18">
      <c r="A78" s="141" t="s">
        <v>36</v>
      </c>
      <c r="B78" s="281"/>
      <c r="C78" s="144"/>
      <c r="D78" s="144"/>
      <c r="E78" s="144"/>
      <c r="F78" s="324">
        <v>2028</v>
      </c>
      <c r="G78" s="46"/>
      <c r="H78" s="46"/>
      <c r="I78" s="48">
        <v>2028</v>
      </c>
      <c r="J78" s="144"/>
      <c r="K78" s="144"/>
      <c r="L78" s="144">
        <f t="shared" si="7"/>
        <v>4056</v>
      </c>
    </row>
    <row r="79" spans="1:12" s="146" customFormat="1" ht="18">
      <c r="A79" s="141" t="s">
        <v>37</v>
      </c>
      <c r="B79" s="281"/>
      <c r="C79" s="144"/>
      <c r="D79" s="48">
        <v>4195</v>
      </c>
      <c r="E79" s="46"/>
      <c r="F79" s="324">
        <v>4195</v>
      </c>
      <c r="G79" s="48"/>
      <c r="H79" s="46"/>
      <c r="I79" s="46"/>
      <c r="J79" s="46"/>
      <c r="K79" s="144"/>
      <c r="L79" s="144">
        <f t="shared" si="7"/>
        <v>8390</v>
      </c>
    </row>
    <row r="80" spans="1:12" s="146" customFormat="1" ht="18">
      <c r="A80" s="141" t="s">
        <v>38</v>
      </c>
      <c r="B80" s="281"/>
      <c r="C80" s="144"/>
      <c r="D80" s="46"/>
      <c r="E80" s="46"/>
      <c r="F80" s="320"/>
      <c r="G80" s="48">
        <v>6046</v>
      </c>
      <c r="H80" s="46"/>
      <c r="I80" s="48"/>
      <c r="J80" s="46">
        <v>6046</v>
      </c>
      <c r="K80" s="144"/>
      <c r="L80" s="144">
        <f t="shared" si="7"/>
        <v>12092</v>
      </c>
    </row>
    <row r="81" spans="1:12" s="146" customFormat="1" ht="18">
      <c r="A81" s="141" t="s">
        <v>39</v>
      </c>
      <c r="B81" s="281"/>
      <c r="C81" s="144"/>
      <c r="D81" s="144"/>
      <c r="E81" s="144"/>
      <c r="F81" s="306"/>
      <c r="G81" s="147"/>
      <c r="H81" s="144"/>
      <c r="I81" s="147">
        <v>8123</v>
      </c>
      <c r="J81" s="242"/>
      <c r="K81" s="144"/>
      <c r="L81" s="144">
        <f>SUM(C81:K81)</f>
        <v>8123</v>
      </c>
    </row>
    <row r="82" spans="1:12" s="146" customFormat="1" ht="18">
      <c r="A82" s="141" t="s">
        <v>40</v>
      </c>
      <c r="B82" s="281"/>
      <c r="C82" s="46">
        <v>3746</v>
      </c>
      <c r="D82" s="46"/>
      <c r="E82" s="46"/>
      <c r="F82" s="320"/>
      <c r="G82" s="48">
        <v>4682</v>
      </c>
      <c r="H82" s="48">
        <v>3643</v>
      </c>
      <c r="I82" s="48">
        <v>3075</v>
      </c>
      <c r="J82" s="46"/>
      <c r="K82" s="144"/>
      <c r="L82" s="144">
        <f t="shared" si="7"/>
        <v>15146</v>
      </c>
    </row>
    <row r="83" spans="1:12" s="146" customFormat="1" ht="18">
      <c r="A83" s="141" t="s">
        <v>41</v>
      </c>
      <c r="B83" s="281"/>
      <c r="C83" s="46">
        <v>3353</v>
      </c>
      <c r="D83" s="46"/>
      <c r="E83" s="46"/>
      <c r="F83" s="320">
        <v>3353</v>
      </c>
      <c r="G83" s="46"/>
      <c r="H83" s="231"/>
      <c r="I83" s="46"/>
      <c r="J83" s="46">
        <v>3353</v>
      </c>
      <c r="K83" s="144"/>
      <c r="L83" s="144">
        <f t="shared" si="7"/>
        <v>10059</v>
      </c>
    </row>
    <row r="84" spans="1:12" s="146" customFormat="1" ht="18">
      <c r="A84" s="141" t="s">
        <v>42</v>
      </c>
      <c r="B84" s="281"/>
      <c r="C84" s="46"/>
      <c r="D84" s="46"/>
      <c r="E84" s="46"/>
      <c r="F84" s="324">
        <v>590</v>
      </c>
      <c r="G84" s="46"/>
      <c r="H84" s="46"/>
      <c r="I84" s="48">
        <v>590</v>
      </c>
      <c r="J84" s="231"/>
      <c r="K84" s="144"/>
      <c r="L84" s="144">
        <f t="shared" ref="L84:L95" si="8">SUM(C84:K84)</f>
        <v>1180</v>
      </c>
    </row>
    <row r="85" spans="1:12" s="146" customFormat="1" ht="18">
      <c r="A85" s="141" t="s">
        <v>43</v>
      </c>
      <c r="B85" s="281"/>
      <c r="C85" s="46"/>
      <c r="D85" s="46"/>
      <c r="E85" s="46"/>
      <c r="F85" s="324"/>
      <c r="G85" s="46"/>
      <c r="H85" s="201">
        <v>1446</v>
      </c>
      <c r="I85" s="48">
        <v>1446</v>
      </c>
      <c r="J85" s="48">
        <v>1446</v>
      </c>
      <c r="K85" s="144"/>
      <c r="L85" s="144">
        <f t="shared" si="8"/>
        <v>4338</v>
      </c>
    </row>
    <row r="86" spans="1:12" s="181" customFormat="1" ht="18">
      <c r="A86" s="183" t="s">
        <v>356</v>
      </c>
      <c r="B86" s="293"/>
      <c r="C86" s="180"/>
      <c r="D86" s="180"/>
      <c r="E86" s="184">
        <v>800</v>
      </c>
      <c r="F86" s="305"/>
      <c r="G86" s="180"/>
      <c r="H86" s="180"/>
      <c r="I86" s="179"/>
      <c r="J86" s="179"/>
      <c r="K86" s="180"/>
      <c r="L86" s="180">
        <f t="shared" si="8"/>
        <v>800</v>
      </c>
    </row>
    <row r="87" spans="1:12" s="146" customFormat="1" ht="18">
      <c r="A87" s="141" t="s">
        <v>247</v>
      </c>
      <c r="B87" s="281"/>
      <c r="C87" s="144"/>
      <c r="D87" s="144"/>
      <c r="E87" s="144"/>
      <c r="F87" s="304"/>
      <c r="G87" s="144"/>
      <c r="H87" s="144"/>
      <c r="I87" s="147"/>
      <c r="J87" s="46">
        <v>8256</v>
      </c>
      <c r="K87" s="46"/>
      <c r="L87" s="144">
        <f>SUM(C87:K87)</f>
        <v>8256</v>
      </c>
    </row>
    <row r="88" spans="1:12" s="146" customFormat="1" ht="18">
      <c r="A88" s="141" t="s">
        <v>44</v>
      </c>
      <c r="B88" s="281"/>
      <c r="C88" s="144"/>
      <c r="D88" s="144"/>
      <c r="E88" s="144"/>
      <c r="F88" s="304"/>
      <c r="G88" s="144"/>
      <c r="H88" s="144"/>
      <c r="I88" s="147"/>
      <c r="J88" s="48"/>
      <c r="K88" s="46">
        <v>2829</v>
      </c>
      <c r="L88" s="144">
        <f t="shared" si="8"/>
        <v>2829</v>
      </c>
    </row>
    <row r="89" spans="1:12" s="146" customFormat="1" ht="18">
      <c r="A89" s="141" t="s">
        <v>45</v>
      </c>
      <c r="B89" s="281"/>
      <c r="C89" s="144"/>
      <c r="D89" s="144"/>
      <c r="E89" s="175">
        <v>2803</v>
      </c>
      <c r="F89" s="320"/>
      <c r="G89" s="144"/>
      <c r="H89" s="144"/>
      <c r="I89" s="144"/>
      <c r="J89" s="144"/>
      <c r="K89" s="144"/>
      <c r="L89" s="144">
        <f t="shared" si="8"/>
        <v>2803</v>
      </c>
    </row>
    <row r="90" spans="1:12" s="146" customFormat="1" ht="18">
      <c r="A90" s="141" t="s">
        <v>46</v>
      </c>
      <c r="B90" s="281"/>
      <c r="C90" s="144"/>
      <c r="D90" s="144"/>
      <c r="E90" s="46"/>
      <c r="F90" s="320">
        <v>1058</v>
      </c>
      <c r="G90" s="144"/>
      <c r="H90" s="144"/>
      <c r="I90" s="144"/>
      <c r="J90" s="144"/>
      <c r="K90" s="144"/>
      <c r="L90" s="144">
        <f t="shared" si="8"/>
        <v>1058</v>
      </c>
    </row>
    <row r="91" spans="1:12" s="146" customFormat="1" ht="18">
      <c r="A91" s="141" t="s">
        <v>47</v>
      </c>
      <c r="B91" s="281"/>
      <c r="C91" s="144"/>
      <c r="D91" s="144"/>
      <c r="E91" s="144"/>
      <c r="F91" s="320"/>
      <c r="G91" s="46"/>
      <c r="H91" s="46"/>
      <c r="I91" s="46"/>
      <c r="J91" s="46">
        <v>32868</v>
      </c>
      <c r="K91" s="144"/>
      <c r="L91" s="144">
        <f t="shared" si="8"/>
        <v>32868</v>
      </c>
    </row>
    <row r="92" spans="1:12" s="146" customFormat="1" ht="18">
      <c r="A92" s="141" t="s">
        <v>240</v>
      </c>
      <c r="B92" s="281"/>
      <c r="C92" s="144"/>
      <c r="D92" s="144"/>
      <c r="E92" s="144"/>
      <c r="F92" s="320">
        <v>9840</v>
      </c>
      <c r="G92" s="161"/>
      <c r="H92" s="46"/>
      <c r="I92" s="46">
        <v>2700</v>
      </c>
      <c r="J92" s="46"/>
      <c r="K92" s="144"/>
      <c r="L92" s="144">
        <f>SUM(C92:K92)</f>
        <v>12540</v>
      </c>
    </row>
    <row r="93" spans="1:12" s="146" customFormat="1" ht="18">
      <c r="A93" s="141" t="s">
        <v>48</v>
      </c>
      <c r="B93" s="281"/>
      <c r="C93" s="144"/>
      <c r="D93" s="144"/>
      <c r="E93" s="144"/>
      <c r="F93" s="320"/>
      <c r="G93" s="46"/>
      <c r="H93" s="46">
        <v>1550</v>
      </c>
      <c r="I93" s="48">
        <v>563</v>
      </c>
      <c r="J93" s="48"/>
      <c r="K93" s="144"/>
      <c r="L93" s="144">
        <f t="shared" si="8"/>
        <v>2113</v>
      </c>
    </row>
    <row r="94" spans="1:12" s="146" customFormat="1" ht="18">
      <c r="A94" s="141" t="s">
        <v>49</v>
      </c>
      <c r="B94" s="281"/>
      <c r="C94" s="144"/>
      <c r="D94" s="144"/>
      <c r="E94" s="144"/>
      <c r="F94" s="320"/>
      <c r="G94" s="46"/>
      <c r="H94" s="46"/>
      <c r="I94" s="48">
        <v>4847</v>
      </c>
      <c r="J94" s="48"/>
      <c r="K94" s="144"/>
      <c r="L94" s="144">
        <f t="shared" si="8"/>
        <v>4847</v>
      </c>
    </row>
    <row r="95" spans="1:12" s="146" customFormat="1" ht="18">
      <c r="A95" s="141" t="s">
        <v>50</v>
      </c>
      <c r="B95" s="281"/>
      <c r="C95" s="144" t="s">
        <v>202</v>
      </c>
      <c r="D95" s="144" t="s">
        <v>202</v>
      </c>
      <c r="E95" s="144" t="s">
        <v>202</v>
      </c>
      <c r="F95" s="306" t="s">
        <v>202</v>
      </c>
      <c r="G95" s="144" t="s">
        <v>202</v>
      </c>
      <c r="H95" s="144" t="s">
        <v>202</v>
      </c>
      <c r="I95" s="144" t="s">
        <v>202</v>
      </c>
      <c r="J95" s="144" t="s">
        <v>202</v>
      </c>
      <c r="K95" s="144" t="s">
        <v>202</v>
      </c>
      <c r="L95" s="144">
        <f t="shared" si="8"/>
        <v>0</v>
      </c>
    </row>
    <row r="96" spans="1:12" s="146" customFormat="1" ht="18">
      <c r="A96" s="141" t="s">
        <v>51</v>
      </c>
      <c r="B96" s="281"/>
      <c r="C96" s="144" t="s">
        <v>201</v>
      </c>
      <c r="D96" s="144" t="s">
        <v>201</v>
      </c>
      <c r="E96" s="144" t="s">
        <v>201</v>
      </c>
      <c r="F96" s="320" t="s">
        <v>201</v>
      </c>
      <c r="G96" s="46" t="s">
        <v>201</v>
      </c>
      <c r="H96" s="46"/>
      <c r="I96" s="46" t="s">
        <v>201</v>
      </c>
      <c r="J96" s="46">
        <v>2740</v>
      </c>
      <c r="K96" s="144"/>
      <c r="L96" s="144">
        <f>SUM(J96:K96)</f>
        <v>2740</v>
      </c>
    </row>
    <row r="97" spans="1:12" s="146" customFormat="1" ht="18">
      <c r="A97" s="141" t="s">
        <v>123</v>
      </c>
      <c r="B97" s="281"/>
      <c r="C97" s="144"/>
      <c r="D97" s="144"/>
      <c r="E97" s="144"/>
      <c r="F97" s="320">
        <v>6796</v>
      </c>
      <c r="G97" s="46"/>
      <c r="H97" s="48" t="s">
        <v>404</v>
      </c>
      <c r="I97" s="48">
        <v>5967</v>
      </c>
      <c r="J97" s="46"/>
      <c r="K97" s="144"/>
      <c r="L97" s="144">
        <f>SUM(C97:K97)</f>
        <v>12763</v>
      </c>
    </row>
    <row r="98" spans="1:12" s="146" customFormat="1" ht="18">
      <c r="A98" s="42" t="s">
        <v>406</v>
      </c>
      <c r="B98" s="286"/>
      <c r="C98" s="144"/>
      <c r="D98" s="144"/>
      <c r="E98" s="144"/>
      <c r="F98" s="320"/>
      <c r="G98" s="48">
        <v>1772</v>
      </c>
      <c r="H98" s="231"/>
      <c r="I98" s="46" t="s">
        <v>201</v>
      </c>
      <c r="J98" s="46">
        <v>1772</v>
      </c>
      <c r="K98" s="144"/>
      <c r="L98" s="144">
        <f t="shared" ref="L98:L118" si="9">SUM(C98:K98)</f>
        <v>3544</v>
      </c>
    </row>
    <row r="99" spans="1:12" s="146" customFormat="1" ht="18">
      <c r="A99" s="141" t="s">
        <v>54</v>
      </c>
      <c r="B99" s="281"/>
      <c r="C99" s="46">
        <v>5978</v>
      </c>
      <c r="D99" s="46"/>
      <c r="E99" s="46"/>
      <c r="F99" s="324">
        <v>5978</v>
      </c>
      <c r="G99" s="48">
        <v>6590</v>
      </c>
      <c r="H99" s="48">
        <v>5978</v>
      </c>
      <c r="I99" s="48">
        <v>5018</v>
      </c>
      <c r="J99" s="256"/>
      <c r="K99" s="46"/>
      <c r="L99" s="144">
        <f>SUM(C99:K99)</f>
        <v>29542</v>
      </c>
    </row>
    <row r="100" spans="1:12" s="146" customFormat="1" ht="18">
      <c r="A100" s="141" t="s">
        <v>158</v>
      </c>
      <c r="B100" s="281"/>
      <c r="C100" s="46"/>
      <c r="D100" s="46"/>
      <c r="E100" s="46"/>
      <c r="F100" s="320"/>
      <c r="G100" s="48">
        <v>2348</v>
      </c>
      <c r="H100" s="46"/>
      <c r="I100" s="46"/>
      <c r="J100" s="46">
        <v>2348</v>
      </c>
      <c r="K100" s="46">
        <v>2348</v>
      </c>
      <c r="L100" s="144">
        <f>SUM(C100:K100)</f>
        <v>7044</v>
      </c>
    </row>
    <row r="101" spans="1:12" s="146" customFormat="1" ht="18">
      <c r="A101" s="141" t="s">
        <v>53</v>
      </c>
      <c r="B101" s="281"/>
      <c r="C101" s="46"/>
      <c r="D101" s="46"/>
      <c r="E101" s="46"/>
      <c r="F101" s="320">
        <v>1114</v>
      </c>
      <c r="G101" s="48"/>
      <c r="H101" s="46"/>
      <c r="I101" s="46"/>
      <c r="J101" s="46"/>
      <c r="K101" s="46"/>
      <c r="L101" s="144">
        <f>SUM(C101:K101)</f>
        <v>1114</v>
      </c>
    </row>
    <row r="102" spans="1:12" s="146" customFormat="1" ht="18">
      <c r="A102" s="141" t="s">
        <v>159</v>
      </c>
      <c r="B102" s="281"/>
      <c r="C102" s="46"/>
      <c r="D102" s="46">
        <v>8209</v>
      </c>
      <c r="E102" s="46"/>
      <c r="F102" s="320"/>
      <c r="G102" s="256"/>
      <c r="H102" s="46"/>
      <c r="I102" s="46"/>
      <c r="J102" s="46" t="s">
        <v>201</v>
      </c>
      <c r="K102" s="46"/>
      <c r="L102" s="144">
        <f>SUM(C102:K102)</f>
        <v>8209</v>
      </c>
    </row>
    <row r="103" spans="1:12" s="146" customFormat="1" ht="18">
      <c r="A103" s="141" t="s">
        <v>52</v>
      </c>
      <c r="B103" s="281"/>
      <c r="C103" s="46"/>
      <c r="D103" s="46"/>
      <c r="E103" s="46"/>
      <c r="F103" s="320">
        <v>1124</v>
      </c>
      <c r="G103" s="48"/>
      <c r="H103" s="46"/>
      <c r="I103" s="46"/>
      <c r="J103" s="46"/>
      <c r="K103" s="46"/>
      <c r="L103" s="144">
        <f t="shared" si="9"/>
        <v>1124</v>
      </c>
    </row>
    <row r="104" spans="1:12" s="146" customFormat="1" ht="18">
      <c r="A104" s="141" t="s">
        <v>160</v>
      </c>
      <c r="B104" s="281"/>
      <c r="C104" s="46"/>
      <c r="D104" s="46"/>
      <c r="E104" s="46"/>
      <c r="F104" s="324">
        <v>2142</v>
      </c>
      <c r="G104" s="48"/>
      <c r="H104" s="48"/>
      <c r="I104" s="48"/>
      <c r="J104" s="218"/>
      <c r="K104" s="46"/>
      <c r="L104" s="144">
        <f>SUM(C104:K104)</f>
        <v>2142</v>
      </c>
    </row>
    <row r="105" spans="1:12" s="146" customFormat="1" ht="18">
      <c r="A105" s="141" t="s">
        <v>226</v>
      </c>
      <c r="B105" s="281"/>
      <c r="C105" s="46"/>
      <c r="D105" s="46"/>
      <c r="E105" s="46"/>
      <c r="F105" s="327"/>
      <c r="G105" s="48"/>
      <c r="H105" s="48">
        <v>5469</v>
      </c>
      <c r="I105" s="48"/>
      <c r="J105" s="48"/>
      <c r="K105" s="46"/>
      <c r="L105" s="144">
        <f>SUM(C105:K105)</f>
        <v>5469</v>
      </c>
    </row>
    <row r="106" spans="1:12" s="146" customFormat="1" ht="18">
      <c r="A106" s="42" t="s">
        <v>55</v>
      </c>
      <c r="B106" s="286"/>
      <c r="C106" s="46">
        <v>8336</v>
      </c>
      <c r="D106" s="46"/>
      <c r="E106" s="219"/>
      <c r="F106" s="324">
        <v>8336</v>
      </c>
      <c r="G106" s="46"/>
      <c r="H106" s="48">
        <v>8336</v>
      </c>
      <c r="I106" s="48">
        <v>5002</v>
      </c>
      <c r="J106" s="231"/>
      <c r="K106" s="46"/>
      <c r="L106" s="144">
        <f t="shared" si="9"/>
        <v>30010</v>
      </c>
    </row>
    <row r="107" spans="1:12" s="146" customFormat="1" ht="18">
      <c r="A107" s="141" t="s">
        <v>227</v>
      </c>
      <c r="B107" s="281"/>
      <c r="C107" s="46"/>
      <c r="D107" s="46"/>
      <c r="E107" s="46"/>
      <c r="F107" s="324"/>
      <c r="G107" s="46"/>
      <c r="H107" s="48">
        <v>2920</v>
      </c>
      <c r="I107" s="48"/>
      <c r="J107" s="46"/>
      <c r="K107" s="46"/>
      <c r="L107" s="144">
        <f>SUM(C107:K107)</f>
        <v>2920</v>
      </c>
    </row>
    <row r="108" spans="1:12" s="146" customFormat="1" ht="18">
      <c r="A108" s="42" t="s">
        <v>56</v>
      </c>
      <c r="B108" s="286"/>
      <c r="C108" s="46">
        <v>7194</v>
      </c>
      <c r="D108" s="48">
        <v>5928</v>
      </c>
      <c r="E108" s="46"/>
      <c r="F108" s="324">
        <v>7194</v>
      </c>
      <c r="G108" s="46"/>
      <c r="H108" s="48">
        <v>7194</v>
      </c>
      <c r="I108" s="48">
        <v>4230</v>
      </c>
      <c r="J108" s="231"/>
      <c r="K108" s="46"/>
      <c r="L108" s="144">
        <f t="shared" si="9"/>
        <v>31740</v>
      </c>
    </row>
    <row r="109" spans="1:12" s="146" customFormat="1" ht="18">
      <c r="A109" s="141" t="s">
        <v>57</v>
      </c>
      <c r="B109" s="281"/>
      <c r="C109" s="144"/>
      <c r="D109" s="144"/>
      <c r="E109" s="144"/>
      <c r="F109" s="324">
        <v>2964</v>
      </c>
      <c r="G109" s="46"/>
      <c r="H109" s="231"/>
      <c r="I109" s="46"/>
      <c r="J109" s="148"/>
      <c r="K109" s="144"/>
      <c r="L109" s="144">
        <f t="shared" si="9"/>
        <v>2964</v>
      </c>
    </row>
    <row r="110" spans="1:12" s="146" customFormat="1" ht="18">
      <c r="A110" s="141" t="s">
        <v>58</v>
      </c>
      <c r="B110" s="281"/>
      <c r="C110" s="144"/>
      <c r="D110" s="144"/>
      <c r="E110" s="144"/>
      <c r="F110" s="324">
        <v>620</v>
      </c>
      <c r="G110" s="46"/>
      <c r="H110" s="46"/>
      <c r="I110" s="46"/>
      <c r="J110" s="144"/>
      <c r="K110" s="144"/>
      <c r="L110" s="144">
        <f t="shared" si="9"/>
        <v>620</v>
      </c>
    </row>
    <row r="111" spans="1:12" s="146" customFormat="1" ht="18">
      <c r="A111" s="141" t="s">
        <v>137</v>
      </c>
      <c r="B111" s="281"/>
      <c r="C111" s="144"/>
      <c r="D111" s="144"/>
      <c r="E111" s="144"/>
      <c r="F111" s="324">
        <v>2190</v>
      </c>
      <c r="G111" s="46"/>
      <c r="H111" s="46"/>
      <c r="I111" s="48">
        <v>2190</v>
      </c>
      <c r="J111" s="144"/>
      <c r="K111" s="144"/>
      <c r="L111" s="144">
        <f>SUM(C111:K111)</f>
        <v>4380</v>
      </c>
    </row>
    <row r="112" spans="1:12" s="146" customFormat="1" ht="18">
      <c r="A112" s="141" t="s">
        <v>59</v>
      </c>
      <c r="B112" s="281"/>
      <c r="C112" s="46"/>
      <c r="D112" s="46">
        <v>6092</v>
      </c>
      <c r="E112" s="46"/>
      <c r="F112" s="324"/>
      <c r="G112" s="46"/>
      <c r="H112" s="46"/>
      <c r="I112" s="46"/>
      <c r="J112" s="46"/>
      <c r="K112" s="144"/>
      <c r="L112" s="144">
        <f t="shared" si="9"/>
        <v>6092</v>
      </c>
    </row>
    <row r="113" spans="1:12" s="181" customFormat="1" ht="18">
      <c r="A113" s="183" t="s">
        <v>357</v>
      </c>
      <c r="B113" s="293"/>
      <c r="C113" s="231"/>
      <c r="D113" s="201"/>
      <c r="E113" s="184">
        <v>6786</v>
      </c>
      <c r="F113" s="328"/>
      <c r="G113" s="221"/>
      <c r="H113" s="221"/>
      <c r="I113" s="221"/>
      <c r="J113" s="221"/>
      <c r="K113" s="180"/>
      <c r="L113" s="180">
        <f t="shared" si="9"/>
        <v>6786</v>
      </c>
    </row>
    <row r="114" spans="1:12" s="146" customFormat="1" ht="18">
      <c r="A114" s="141" t="s">
        <v>60</v>
      </c>
      <c r="B114" s="281"/>
      <c r="C114" s="46"/>
      <c r="D114" s="46"/>
      <c r="E114" s="46"/>
      <c r="F114" s="320"/>
      <c r="G114" s="46"/>
      <c r="H114" s="46"/>
      <c r="I114" s="46"/>
      <c r="J114" s="46">
        <v>2894</v>
      </c>
      <c r="K114" s="144"/>
      <c r="L114" s="144">
        <f t="shared" si="9"/>
        <v>2894</v>
      </c>
    </row>
    <row r="115" spans="1:12" s="146" customFormat="1" ht="18">
      <c r="A115" s="141" t="s">
        <v>133</v>
      </c>
      <c r="B115" s="281"/>
      <c r="C115" s="46"/>
      <c r="D115" s="46"/>
      <c r="E115" s="46"/>
      <c r="F115" s="324">
        <v>5623</v>
      </c>
      <c r="G115" s="46"/>
      <c r="H115" s="48">
        <v>5623</v>
      </c>
      <c r="I115" s="46"/>
      <c r="J115" s="46"/>
      <c r="K115" s="144"/>
      <c r="L115" s="144">
        <f t="shared" si="9"/>
        <v>11246</v>
      </c>
    </row>
    <row r="116" spans="1:12" s="146" customFormat="1" ht="18">
      <c r="A116" s="141" t="s">
        <v>134</v>
      </c>
      <c r="B116" s="281"/>
      <c r="C116" s="46"/>
      <c r="D116" s="46"/>
      <c r="E116" s="46"/>
      <c r="F116" s="320"/>
      <c r="G116" s="46"/>
      <c r="H116" s="48">
        <v>406</v>
      </c>
      <c r="I116" s="46"/>
      <c r="J116" s="46"/>
      <c r="K116" s="144"/>
      <c r="L116" s="144">
        <f t="shared" si="9"/>
        <v>406</v>
      </c>
    </row>
    <row r="117" spans="1:12" s="146" customFormat="1" ht="18">
      <c r="A117" s="141" t="s">
        <v>135</v>
      </c>
      <c r="B117" s="281"/>
      <c r="C117" s="46"/>
      <c r="D117" s="46"/>
      <c r="E117" s="46"/>
      <c r="F117" s="324">
        <v>5265</v>
      </c>
      <c r="G117" s="46"/>
      <c r="H117" s="46"/>
      <c r="I117" s="46"/>
      <c r="J117" s="46"/>
      <c r="K117" s="144"/>
      <c r="L117" s="144">
        <f t="shared" si="9"/>
        <v>5265</v>
      </c>
    </row>
    <row r="118" spans="1:12" s="146" customFormat="1" ht="18">
      <c r="A118" s="141" t="s">
        <v>61</v>
      </c>
      <c r="B118" s="281"/>
      <c r="C118" s="46"/>
      <c r="D118" s="46"/>
      <c r="E118" s="46"/>
      <c r="F118" s="320"/>
      <c r="G118" s="48"/>
      <c r="H118" s="46"/>
      <c r="I118" s="46"/>
      <c r="J118" s="46">
        <v>3019</v>
      </c>
      <c r="K118" s="144"/>
      <c r="L118" s="144">
        <f t="shared" si="9"/>
        <v>3019</v>
      </c>
    </row>
    <row r="119" spans="1:12" s="25" customFormat="1" ht="62.25">
      <c r="A119" s="355"/>
      <c r="B119" s="289"/>
      <c r="C119" s="17" t="s">
        <v>191</v>
      </c>
      <c r="D119" s="17" t="s">
        <v>192</v>
      </c>
      <c r="E119" s="17" t="s">
        <v>193</v>
      </c>
      <c r="F119" s="318" t="s">
        <v>194</v>
      </c>
      <c r="G119" s="17" t="s">
        <v>195</v>
      </c>
      <c r="H119" s="17" t="s">
        <v>196</v>
      </c>
      <c r="I119" s="17" t="s">
        <v>197</v>
      </c>
      <c r="J119" s="17" t="s">
        <v>198</v>
      </c>
      <c r="K119" s="17" t="s">
        <v>199</v>
      </c>
      <c r="L119" s="17"/>
    </row>
    <row r="120" spans="1:12" s="1" customFormat="1">
      <c r="A120" s="356" t="s">
        <v>300</v>
      </c>
      <c r="B120" s="290"/>
      <c r="C120" s="9"/>
      <c r="D120" s="10"/>
      <c r="E120" s="11"/>
      <c r="F120" s="302"/>
      <c r="G120" s="12"/>
      <c r="H120" s="12"/>
      <c r="I120" s="13"/>
      <c r="J120" s="9"/>
      <c r="K120" s="9"/>
      <c r="L120" s="14"/>
    </row>
    <row r="121" spans="1:12" s="156" customFormat="1" ht="18">
      <c r="A121" s="141" t="s">
        <v>62</v>
      </c>
      <c r="B121" s="281"/>
      <c r="C121" s="144"/>
      <c r="D121" s="147"/>
      <c r="E121" s="144"/>
      <c r="F121" s="306"/>
      <c r="G121" s="144"/>
      <c r="H121" s="144"/>
      <c r="I121" s="144"/>
      <c r="J121" s="144">
        <v>11528</v>
      </c>
      <c r="K121" s="144"/>
      <c r="L121" s="144">
        <f t="shared" ref="L121:L124" si="10">SUM(C121:K121)</f>
        <v>11528</v>
      </c>
    </row>
    <row r="122" spans="1:12" s="156" customFormat="1" ht="18">
      <c r="A122" s="141" t="s">
        <v>136</v>
      </c>
      <c r="B122" s="281"/>
      <c r="C122" s="144"/>
      <c r="D122" s="147"/>
      <c r="E122" s="144"/>
      <c r="F122" s="306"/>
      <c r="G122" s="144"/>
      <c r="H122" s="144"/>
      <c r="I122" s="144"/>
      <c r="J122" s="144">
        <v>17805</v>
      </c>
      <c r="K122" s="144"/>
      <c r="L122" s="144">
        <f t="shared" si="10"/>
        <v>17805</v>
      </c>
    </row>
    <row r="123" spans="1:12" s="140" customFormat="1" ht="18">
      <c r="A123" s="204" t="s">
        <v>372</v>
      </c>
      <c r="B123" s="285"/>
      <c r="C123" s="138"/>
      <c r="D123" s="136"/>
      <c r="E123" s="138"/>
      <c r="F123" s="329"/>
      <c r="G123" s="138"/>
      <c r="H123" s="138"/>
      <c r="I123" s="194"/>
      <c r="J123" s="136" t="s">
        <v>225</v>
      </c>
      <c r="K123" s="138"/>
      <c r="L123" s="138">
        <f t="shared" si="10"/>
        <v>0</v>
      </c>
    </row>
    <row r="124" spans="1:12" s="146" customFormat="1" ht="18">
      <c r="A124" s="141" t="s">
        <v>236</v>
      </c>
      <c r="B124" s="281"/>
      <c r="C124" s="144"/>
      <c r="D124" s="147">
        <v>2454.4</v>
      </c>
      <c r="E124" s="144"/>
      <c r="F124" s="306"/>
      <c r="G124" s="144"/>
      <c r="H124" s="144"/>
      <c r="I124" s="144"/>
      <c r="J124" s="147"/>
      <c r="K124" s="144"/>
      <c r="L124" s="144">
        <f t="shared" si="10"/>
        <v>2454.4</v>
      </c>
    </row>
    <row r="125" spans="1:12" s="146" customFormat="1" ht="18">
      <c r="A125" s="141" t="s">
        <v>288</v>
      </c>
      <c r="B125" s="281"/>
      <c r="C125" s="144"/>
      <c r="D125" s="147"/>
      <c r="E125" s="144"/>
      <c r="F125" s="306"/>
      <c r="G125" s="144"/>
      <c r="H125" s="144"/>
      <c r="I125" s="144"/>
      <c r="J125" s="144" t="s">
        <v>225</v>
      </c>
      <c r="K125" s="144"/>
      <c r="L125" s="144">
        <f t="shared" ref="L125:L133" si="11">SUM(C125:K125)</f>
        <v>0</v>
      </c>
    </row>
    <row r="126" spans="1:12" s="146" customFormat="1" ht="18">
      <c r="A126" s="141" t="s">
        <v>237</v>
      </c>
      <c r="B126" s="281"/>
      <c r="C126" s="144"/>
      <c r="D126" s="147"/>
      <c r="E126" s="144"/>
      <c r="F126" s="306">
        <v>5936</v>
      </c>
      <c r="G126" s="144"/>
      <c r="H126" s="144"/>
      <c r="I126" s="144"/>
      <c r="J126" s="144"/>
      <c r="K126" s="144"/>
      <c r="L126" s="144">
        <f t="shared" si="11"/>
        <v>5936</v>
      </c>
    </row>
    <row r="127" spans="1:12" s="156" customFormat="1" ht="18">
      <c r="A127" s="243" t="s">
        <v>450</v>
      </c>
      <c r="B127" s="244"/>
      <c r="C127" s="144"/>
      <c r="D127" s="144"/>
      <c r="E127" s="144"/>
      <c r="F127" s="322">
        <v>1595</v>
      </c>
      <c r="G127" s="144"/>
      <c r="H127" s="147"/>
      <c r="I127" s="144"/>
      <c r="J127" s="151"/>
      <c r="K127" s="144">
        <v>684</v>
      </c>
      <c r="L127" s="144">
        <f>SUM(C127:K127)</f>
        <v>2279</v>
      </c>
    </row>
    <row r="128" spans="1:12" s="366" customFormat="1" ht="18">
      <c r="A128" s="361" t="s">
        <v>362</v>
      </c>
      <c r="B128" s="362"/>
      <c r="C128" s="363"/>
      <c r="D128" s="364"/>
      <c r="E128" s="363"/>
      <c r="F128" s="365"/>
      <c r="G128" s="363"/>
      <c r="H128" s="363"/>
      <c r="I128" s="363"/>
      <c r="J128" s="363"/>
      <c r="K128" s="363"/>
      <c r="L128" s="363">
        <f t="shared" si="11"/>
        <v>0</v>
      </c>
    </row>
    <row r="129" spans="1:12" s="181" customFormat="1" ht="18">
      <c r="A129" s="178" t="s">
        <v>328</v>
      </c>
      <c r="B129" s="232"/>
      <c r="C129" s="180"/>
      <c r="D129" s="346">
        <v>0</v>
      </c>
      <c r="E129" s="180">
        <v>7750</v>
      </c>
      <c r="F129" s="321"/>
      <c r="G129" s="180">
        <v>2070</v>
      </c>
      <c r="H129" s="46"/>
      <c r="I129" s="201">
        <v>7650</v>
      </c>
      <c r="J129" s="180"/>
      <c r="K129" s="180"/>
      <c r="L129" s="180">
        <f t="shared" ref="L129" si="12">SUM(C129:K129)</f>
        <v>17470</v>
      </c>
    </row>
    <row r="130" spans="1:12" s="372" customFormat="1" ht="18">
      <c r="A130" s="361" t="s">
        <v>408</v>
      </c>
      <c r="B130" s="367"/>
      <c r="C130" s="368"/>
      <c r="D130" s="369"/>
      <c r="E130" s="368"/>
      <c r="F130" s="370" t="s">
        <v>201</v>
      </c>
      <c r="G130" s="368"/>
      <c r="H130" s="368"/>
      <c r="I130" s="368"/>
      <c r="J130" s="368"/>
      <c r="K130" s="368"/>
      <c r="L130" s="371">
        <f>SUM(C130:K130)</f>
        <v>0</v>
      </c>
    </row>
    <row r="131" spans="1:12" s="156" customFormat="1" ht="18">
      <c r="A131" s="141" t="s">
        <v>64</v>
      </c>
      <c r="B131" s="281"/>
      <c r="C131" s="144"/>
      <c r="D131" s="147"/>
      <c r="E131" s="175">
        <v>8776</v>
      </c>
      <c r="F131" s="306"/>
      <c r="G131" s="147"/>
      <c r="H131" s="147"/>
      <c r="I131" s="147"/>
      <c r="J131" s="147"/>
      <c r="K131" s="147" t="s">
        <v>202</v>
      </c>
      <c r="L131" s="144">
        <f t="shared" si="11"/>
        <v>8776</v>
      </c>
    </row>
    <row r="132" spans="1:12" s="156" customFormat="1" ht="18">
      <c r="A132" s="141" t="s">
        <v>65</v>
      </c>
      <c r="B132" s="281"/>
      <c r="C132" s="144"/>
      <c r="D132" s="147"/>
      <c r="E132" s="175">
        <v>12762</v>
      </c>
      <c r="F132" s="306"/>
      <c r="G132" s="147"/>
      <c r="H132" s="147"/>
      <c r="I132" s="147"/>
      <c r="J132" s="147"/>
      <c r="K132" s="147" t="s">
        <v>202</v>
      </c>
      <c r="L132" s="144">
        <f t="shared" si="11"/>
        <v>12762</v>
      </c>
    </row>
    <row r="133" spans="1:12" s="156" customFormat="1" ht="18">
      <c r="A133" s="141" t="s">
        <v>169</v>
      </c>
      <c r="B133" s="281"/>
      <c r="C133" s="144"/>
      <c r="D133" s="147"/>
      <c r="E133" s="175">
        <v>1700</v>
      </c>
      <c r="F133" s="304"/>
      <c r="G133" s="144"/>
      <c r="H133" s="147"/>
      <c r="I133" s="147"/>
      <c r="J133" s="147"/>
      <c r="K133" s="147"/>
      <c r="L133" s="144">
        <f t="shared" si="11"/>
        <v>1700</v>
      </c>
    </row>
    <row r="134" spans="1:12" s="142" customFormat="1" ht="18">
      <c r="A134" s="141" t="s">
        <v>66</v>
      </c>
      <c r="B134" s="281"/>
      <c r="C134" s="144"/>
      <c r="D134" s="147"/>
      <c r="E134" s="48" t="s">
        <v>202</v>
      </c>
      <c r="F134" s="304"/>
      <c r="G134" s="147"/>
      <c r="H134" s="147"/>
      <c r="I134" s="147"/>
      <c r="J134" s="147"/>
      <c r="K134" s="147" t="s">
        <v>202</v>
      </c>
      <c r="L134" s="144">
        <v>0</v>
      </c>
    </row>
    <row r="135" spans="1:12" s="142" customFormat="1" ht="18">
      <c r="A135" s="141" t="s">
        <v>230</v>
      </c>
      <c r="B135" s="281"/>
      <c r="C135" s="144"/>
      <c r="D135" s="147">
        <v>3149</v>
      </c>
      <c r="E135" s="147"/>
      <c r="F135" s="304"/>
      <c r="G135" s="147"/>
      <c r="H135" s="147"/>
      <c r="I135" s="147"/>
      <c r="J135" s="147"/>
      <c r="K135" s="147"/>
      <c r="L135" s="144">
        <f>SUM(D135:K135)</f>
        <v>3149</v>
      </c>
    </row>
    <row r="136" spans="1:12" s="212" customFormat="1" ht="16.5" customHeight="1">
      <c r="A136" s="211" t="s">
        <v>399</v>
      </c>
      <c r="B136" s="294"/>
      <c r="C136" s="180"/>
      <c r="D136" s="179"/>
      <c r="E136" s="227">
        <v>9666.75</v>
      </c>
      <c r="F136" s="305"/>
      <c r="G136" s="179"/>
      <c r="H136" s="179"/>
      <c r="I136" s="179"/>
      <c r="J136" s="179"/>
      <c r="K136" s="179"/>
      <c r="L136" s="180">
        <f>SUM(D136:K136)</f>
        <v>9666.75</v>
      </c>
    </row>
    <row r="137" spans="1:12" s="156" customFormat="1" ht="18">
      <c r="A137" s="141" t="s">
        <v>67</v>
      </c>
      <c r="B137" s="281"/>
      <c r="C137" s="144"/>
      <c r="D137" s="147"/>
      <c r="E137" s="175">
        <v>9969</v>
      </c>
      <c r="F137" s="306"/>
      <c r="G137" s="147"/>
      <c r="H137" s="147"/>
      <c r="I137" s="147"/>
      <c r="J137" s="147"/>
      <c r="K137" s="147"/>
      <c r="L137" s="144">
        <f t="shared" ref="L137:L147" si="13">SUM(C137:K137)</f>
        <v>9969</v>
      </c>
    </row>
    <row r="138" spans="1:12" s="156" customFormat="1" ht="18">
      <c r="A138" s="141" t="s">
        <v>68</v>
      </c>
      <c r="B138" s="281"/>
      <c r="C138" s="144"/>
      <c r="D138" s="147">
        <v>9136</v>
      </c>
      <c r="E138" s="147" t="s">
        <v>202</v>
      </c>
      <c r="F138" s="304"/>
      <c r="G138" s="147"/>
      <c r="H138" s="147"/>
      <c r="I138" s="147"/>
      <c r="J138" s="147"/>
      <c r="K138" s="147" t="s">
        <v>202</v>
      </c>
      <c r="L138" s="147">
        <f t="shared" si="13"/>
        <v>9136</v>
      </c>
    </row>
    <row r="139" spans="1:12" s="182" customFormat="1" ht="18">
      <c r="A139" s="178" t="s">
        <v>442</v>
      </c>
      <c r="B139" s="232"/>
      <c r="C139" s="180"/>
      <c r="D139" s="179">
        <v>2008.25</v>
      </c>
      <c r="E139" s="179"/>
      <c r="F139" s="305"/>
      <c r="G139" s="179"/>
      <c r="H139" s="179"/>
      <c r="I139" s="179"/>
      <c r="J139" s="179"/>
      <c r="K139" s="179"/>
      <c r="L139" s="179">
        <f>SUM(C139:K139)</f>
        <v>2008.25</v>
      </c>
    </row>
    <row r="140" spans="1:12" s="182" customFormat="1" ht="18">
      <c r="A140" s="178" t="s">
        <v>443</v>
      </c>
      <c r="B140" s="232"/>
      <c r="C140" s="180"/>
      <c r="D140" s="179">
        <v>2008.25</v>
      </c>
      <c r="E140" s="179"/>
      <c r="F140" s="305"/>
      <c r="G140" s="179"/>
      <c r="H140" s="179"/>
      <c r="I140" s="179"/>
      <c r="J140" s="179"/>
      <c r="K140" s="179"/>
      <c r="L140" s="179">
        <f>SUM(C140:K140)</f>
        <v>2008.25</v>
      </c>
    </row>
    <row r="141" spans="1:12" s="182" customFormat="1" ht="18">
      <c r="A141" s="183" t="s">
        <v>359</v>
      </c>
      <c r="B141" s="293"/>
      <c r="C141" s="180"/>
      <c r="D141" s="179"/>
      <c r="E141" s="187">
        <v>1700</v>
      </c>
      <c r="F141" s="305"/>
      <c r="G141" s="179"/>
      <c r="H141" s="179"/>
      <c r="I141" s="179"/>
      <c r="J141" s="179"/>
      <c r="K141" s="179"/>
      <c r="L141" s="179">
        <f t="shared" si="13"/>
        <v>1700</v>
      </c>
    </row>
    <row r="142" spans="1:12" s="156" customFormat="1" ht="19.149999999999999" customHeight="1">
      <c r="A142" s="141" t="s">
        <v>69</v>
      </c>
      <c r="B142" s="281"/>
      <c r="C142" s="147">
        <v>2105</v>
      </c>
      <c r="D142" s="147">
        <v>2105</v>
      </c>
      <c r="E142" s="147">
        <v>2105</v>
      </c>
      <c r="F142" s="304">
        <v>2105</v>
      </c>
      <c r="G142" s="147">
        <v>2105</v>
      </c>
      <c r="H142" s="147">
        <v>2105</v>
      </c>
      <c r="I142" s="147">
        <v>2105</v>
      </c>
      <c r="J142" s="147">
        <v>2105</v>
      </c>
      <c r="K142" s="147">
        <v>2105</v>
      </c>
      <c r="L142" s="144">
        <f t="shared" si="13"/>
        <v>18945</v>
      </c>
    </row>
    <row r="143" spans="1:12" s="156" customFormat="1" ht="18">
      <c r="A143" s="141" t="s">
        <v>70</v>
      </c>
      <c r="B143" s="281"/>
      <c r="C143" s="16">
        <v>3048</v>
      </c>
      <c r="D143" s="147"/>
      <c r="E143" s="144"/>
      <c r="F143" s="304"/>
      <c r="G143" s="241"/>
      <c r="H143" s="144"/>
      <c r="I143" s="144"/>
      <c r="J143" s="144"/>
      <c r="K143" s="144"/>
      <c r="L143" s="144">
        <f t="shared" si="13"/>
        <v>3048</v>
      </c>
    </row>
    <row r="144" spans="1:12" s="156" customFormat="1" ht="18">
      <c r="A144" s="141" t="s">
        <v>71</v>
      </c>
      <c r="B144" s="281"/>
      <c r="C144" s="144"/>
      <c r="D144" s="147">
        <v>4797</v>
      </c>
      <c r="E144" s="175">
        <v>6658.9</v>
      </c>
      <c r="F144" s="306"/>
      <c r="G144" s="144"/>
      <c r="H144" s="147"/>
      <c r="I144" s="144"/>
      <c r="J144" s="144"/>
      <c r="K144" s="144"/>
      <c r="L144" s="144">
        <f t="shared" si="13"/>
        <v>11455.9</v>
      </c>
    </row>
    <row r="145" spans="1:12" s="159" customFormat="1" thickBot="1">
      <c r="A145" s="141" t="s">
        <v>203</v>
      </c>
      <c r="B145" s="281"/>
      <c r="C145" s="144"/>
      <c r="D145" s="144"/>
      <c r="E145" s="226">
        <v>10576.55</v>
      </c>
      <c r="F145" s="306"/>
      <c r="G145" s="144"/>
      <c r="H145" s="144"/>
      <c r="I145" s="144"/>
      <c r="J145" s="144"/>
      <c r="K145" s="144"/>
      <c r="L145" s="144">
        <f>SUM(C145:K145)</f>
        <v>10576.55</v>
      </c>
    </row>
    <row r="146" spans="1:12" s="156" customFormat="1" thickTop="1">
      <c r="A146" s="141" t="s">
        <v>72</v>
      </c>
      <c r="B146" s="281"/>
      <c r="C146" s="144"/>
      <c r="D146" s="147"/>
      <c r="E146" s="147"/>
      <c r="F146" s="304"/>
      <c r="G146" s="144"/>
      <c r="H146" s="147">
        <v>750</v>
      </c>
      <c r="I146" s="144"/>
      <c r="J146" s="144"/>
      <c r="K146" s="144"/>
      <c r="L146" s="144">
        <f t="shared" si="13"/>
        <v>750</v>
      </c>
    </row>
    <row r="147" spans="1:12" s="182" customFormat="1" ht="18">
      <c r="A147" s="228" t="s">
        <v>303</v>
      </c>
      <c r="B147" s="277"/>
      <c r="C147" s="180"/>
      <c r="D147" s="179"/>
      <c r="E147" s="179"/>
      <c r="F147" s="305"/>
      <c r="G147" s="180"/>
      <c r="H147" s="179"/>
      <c r="I147" s="180"/>
      <c r="J147" s="180">
        <f>545.4+59+61</f>
        <v>665.4</v>
      </c>
      <c r="K147" s="180"/>
      <c r="L147" s="180">
        <f t="shared" si="13"/>
        <v>665.4</v>
      </c>
    </row>
    <row r="148" spans="1:12" s="164" customFormat="1" ht="19.5" customHeight="1">
      <c r="A148" s="204" t="s">
        <v>400</v>
      </c>
      <c r="B148" s="285"/>
      <c r="C148" s="138">
        <v>10000</v>
      </c>
      <c r="D148" s="162"/>
      <c r="E148" s="270"/>
      <c r="F148" s="330"/>
      <c r="G148" s="162"/>
      <c r="H148" s="138">
        <v>10000</v>
      </c>
      <c r="I148" s="162" t="s">
        <v>201</v>
      </c>
      <c r="J148" s="163"/>
      <c r="K148" s="162"/>
      <c r="L148" s="162">
        <f t="shared" ref="L148:L152" si="14">SUM(C148:K148)</f>
        <v>20000</v>
      </c>
    </row>
    <row r="149" spans="1:12" s="146" customFormat="1" ht="19.5" customHeight="1">
      <c r="A149" s="141" t="s">
        <v>401</v>
      </c>
      <c r="B149" s="281"/>
      <c r="C149" s="242"/>
      <c r="D149" s="144"/>
      <c r="E149" s="274">
        <v>15500</v>
      </c>
      <c r="F149" s="306"/>
      <c r="G149" s="144"/>
      <c r="H149" s="242"/>
      <c r="I149" s="144" t="s">
        <v>201</v>
      </c>
      <c r="J149" s="147"/>
      <c r="K149" s="144"/>
      <c r="L149" s="144">
        <f t="shared" ref="L149" si="15">SUM(C149:K149)</f>
        <v>15500</v>
      </c>
    </row>
    <row r="150" spans="1:12" s="140" customFormat="1">
      <c r="A150" s="204" t="s">
        <v>150</v>
      </c>
      <c r="B150" s="285"/>
      <c r="C150" s="138"/>
      <c r="D150" s="138"/>
      <c r="E150" s="138"/>
      <c r="F150" s="316"/>
      <c r="G150" s="138"/>
      <c r="H150" s="138"/>
      <c r="I150" s="138"/>
      <c r="J150" s="214">
        <v>47525</v>
      </c>
      <c r="K150" s="138"/>
      <c r="L150" s="138">
        <f t="shared" si="14"/>
        <v>47525</v>
      </c>
    </row>
    <row r="151" spans="1:12" s="140" customFormat="1" ht="18">
      <c r="A151" s="204" t="s">
        <v>224</v>
      </c>
      <c r="B151" s="285"/>
      <c r="C151" s="138"/>
      <c r="D151" s="138"/>
      <c r="E151" s="138"/>
      <c r="F151" s="316"/>
      <c r="G151" s="138"/>
      <c r="H151" s="138"/>
      <c r="I151" s="138"/>
      <c r="J151" s="136" t="s">
        <v>221</v>
      </c>
      <c r="K151" s="138"/>
      <c r="L151" s="138">
        <f t="shared" si="14"/>
        <v>0</v>
      </c>
    </row>
    <row r="152" spans="1:12" s="156" customFormat="1" ht="18">
      <c r="A152" s="141" t="s">
        <v>73</v>
      </c>
      <c r="B152" s="281"/>
      <c r="C152" s="147" t="s">
        <v>430</v>
      </c>
      <c r="D152" s="147"/>
      <c r="E152" s="147"/>
      <c r="F152" s="304"/>
      <c r="G152" s="147"/>
      <c r="H152" s="147"/>
      <c r="I152" s="147"/>
      <c r="J152" s="144" t="s">
        <v>430</v>
      </c>
      <c r="K152" s="147"/>
      <c r="L152" s="144">
        <f t="shared" si="14"/>
        <v>0</v>
      </c>
    </row>
    <row r="153" spans="1:12" s="156" customFormat="1" ht="18">
      <c r="A153" s="141" t="s">
        <v>269</v>
      </c>
      <c r="B153" s="281"/>
      <c r="C153" s="144"/>
      <c r="D153" s="251">
        <v>692.49</v>
      </c>
      <c r="E153" s="144"/>
      <c r="F153" s="306"/>
      <c r="G153" s="144"/>
      <c r="H153" s="144"/>
      <c r="I153" s="144"/>
      <c r="J153" s="144"/>
      <c r="K153" s="144"/>
      <c r="L153" s="144">
        <f t="shared" ref="L153:L158" si="16">SUM(C153:K153)</f>
        <v>692.49</v>
      </c>
    </row>
    <row r="154" spans="1:12" s="156" customFormat="1" ht="18">
      <c r="A154" s="141" t="s">
        <v>270</v>
      </c>
      <c r="B154" s="281"/>
      <c r="C154" s="144"/>
      <c r="D154" s="251">
        <v>2087.4299999999998</v>
      </c>
      <c r="E154" s="144"/>
      <c r="F154" s="306"/>
      <c r="G154" s="144"/>
      <c r="H154" s="144"/>
      <c r="I154" s="144"/>
      <c r="J154" s="144"/>
      <c r="K154" s="144"/>
      <c r="L154" s="144">
        <f t="shared" si="16"/>
        <v>2087.4299999999998</v>
      </c>
    </row>
    <row r="155" spans="1:12" s="156" customFormat="1" ht="18">
      <c r="A155" s="141" t="s">
        <v>271</v>
      </c>
      <c r="B155" s="281"/>
      <c r="C155" s="144"/>
      <c r="D155" s="251">
        <v>319.2</v>
      </c>
      <c r="E155" s="144"/>
      <c r="F155" s="306"/>
      <c r="G155" s="144"/>
      <c r="H155" s="144"/>
      <c r="I155" s="144"/>
      <c r="J155" s="144"/>
      <c r="K155" s="144"/>
      <c r="L155" s="144">
        <f t="shared" si="16"/>
        <v>319.2</v>
      </c>
    </row>
    <row r="156" spans="1:12" s="156" customFormat="1" ht="18">
      <c r="A156" s="141" t="s">
        <v>272</v>
      </c>
      <c r="B156" s="281"/>
      <c r="C156" s="144"/>
      <c r="D156" s="144">
        <f>1677.12+838.56+838.56</f>
        <v>3354.24</v>
      </c>
      <c r="E156" s="153"/>
      <c r="F156" s="331"/>
      <c r="G156" s="144"/>
      <c r="H156" s="144"/>
      <c r="I156" s="144"/>
      <c r="J156" s="144"/>
      <c r="K156" s="144"/>
      <c r="L156" s="144">
        <f t="shared" si="16"/>
        <v>3354.24</v>
      </c>
    </row>
    <row r="157" spans="1:12" s="182" customFormat="1" ht="18">
      <c r="A157" s="178" t="s">
        <v>451</v>
      </c>
      <c r="B157" s="232"/>
      <c r="C157" s="180"/>
      <c r="D157" s="180"/>
      <c r="E157" s="179"/>
      <c r="F157" s="321">
        <v>325</v>
      </c>
      <c r="G157" s="180"/>
      <c r="H157" s="180"/>
      <c r="I157" s="180"/>
      <c r="J157" s="180"/>
      <c r="K157" s="180"/>
      <c r="L157" s="180">
        <f>SUM(B157:K157)</f>
        <v>325</v>
      </c>
    </row>
    <row r="158" spans="1:12" s="140" customFormat="1">
      <c r="A158" s="353" t="s">
        <v>256</v>
      </c>
      <c r="B158" s="285"/>
      <c r="C158" s="138"/>
      <c r="D158" s="136"/>
      <c r="E158" s="136"/>
      <c r="F158" s="332">
        <v>7899.19</v>
      </c>
      <c r="G158" s="138"/>
      <c r="H158" s="138"/>
      <c r="I158" s="136"/>
      <c r="J158" s="136"/>
      <c r="K158" s="136"/>
      <c r="L158" s="138">
        <f t="shared" si="16"/>
        <v>7899.19</v>
      </c>
    </row>
    <row r="159" spans="1:12" s="248" customFormat="1" ht="18">
      <c r="A159" s="234" t="s">
        <v>74</v>
      </c>
      <c r="B159" s="288"/>
      <c r="C159" s="245"/>
      <c r="D159" s="245">
        <v>1500</v>
      </c>
      <c r="E159" s="246">
        <v>3300</v>
      </c>
      <c r="F159" s="333">
        <v>16400</v>
      </c>
      <c r="G159" s="268">
        <v>23300</v>
      </c>
      <c r="H159" s="245"/>
      <c r="I159" s="245"/>
      <c r="J159" s="245">
        <v>55000</v>
      </c>
      <c r="K159" s="245"/>
      <c r="L159" s="247">
        <f t="shared" ref="L159:L186" si="17">SUM(C159:K159)</f>
        <v>99500</v>
      </c>
    </row>
    <row r="160" spans="1:12" s="27" customFormat="1" ht="62.25">
      <c r="A160" s="39"/>
      <c r="B160" s="295"/>
      <c r="C160" s="26" t="s">
        <v>191</v>
      </c>
      <c r="D160" s="26" t="s">
        <v>192</v>
      </c>
      <c r="E160" s="26" t="s">
        <v>193</v>
      </c>
      <c r="F160" s="334" t="s">
        <v>194</v>
      </c>
      <c r="G160" s="26" t="s">
        <v>195</v>
      </c>
      <c r="H160" s="26" t="s">
        <v>196</v>
      </c>
      <c r="I160" s="26" t="s">
        <v>197</v>
      </c>
      <c r="J160" s="26" t="s">
        <v>198</v>
      </c>
      <c r="K160" s="17" t="s">
        <v>199</v>
      </c>
      <c r="L160" s="26"/>
    </row>
    <row r="161" spans="1:12" s="1" customFormat="1">
      <c r="A161" s="356" t="s">
        <v>300</v>
      </c>
      <c r="B161" s="290"/>
      <c r="C161" s="9"/>
      <c r="D161" s="10"/>
      <c r="E161" s="11"/>
      <c r="F161" s="302"/>
      <c r="G161" s="12"/>
      <c r="H161" s="12"/>
      <c r="I161" s="13"/>
      <c r="J161" s="9"/>
      <c r="K161" s="9"/>
      <c r="L161" s="14"/>
    </row>
    <row r="162" spans="1:12" s="156" customFormat="1" ht="18">
      <c r="A162" s="141" t="s">
        <v>76</v>
      </c>
      <c r="B162" s="281"/>
      <c r="C162" s="144"/>
      <c r="D162" s="144"/>
      <c r="E162" s="175">
        <v>4936.5</v>
      </c>
      <c r="F162" s="306"/>
      <c r="G162" s="144"/>
      <c r="H162" s="144"/>
      <c r="I162" s="144"/>
      <c r="J162" s="144"/>
      <c r="K162" s="144"/>
      <c r="L162" s="144">
        <f t="shared" si="17"/>
        <v>4936.5</v>
      </c>
    </row>
    <row r="163" spans="1:12" s="140" customFormat="1" ht="18" customHeight="1">
      <c r="A163" s="204" t="s">
        <v>333</v>
      </c>
      <c r="B163" s="285"/>
      <c r="C163" s="136"/>
      <c r="D163" s="147"/>
      <c r="E163" s="147"/>
      <c r="F163" s="304"/>
      <c r="G163" s="147"/>
      <c r="H163" s="147"/>
      <c r="I163" s="147"/>
      <c r="J163" s="48"/>
      <c r="K163" s="68">
        <v>2099.5</v>
      </c>
      <c r="L163" s="138">
        <f t="shared" ref="L163:L184" si="18">SUM(C163:K163)</f>
        <v>2099.5</v>
      </c>
    </row>
    <row r="164" spans="1:12" s="140" customFormat="1" ht="18">
      <c r="A164" s="204" t="s">
        <v>396</v>
      </c>
      <c r="B164" s="285"/>
      <c r="C164" s="179"/>
      <c r="D164" s="147"/>
      <c r="E164" s="147"/>
      <c r="F164" s="304"/>
      <c r="G164" s="144"/>
      <c r="H164" s="138"/>
      <c r="I164" s="136"/>
      <c r="J164" s="55">
        <v>30041.55</v>
      </c>
      <c r="K164" s="48"/>
      <c r="L164" s="138">
        <f t="shared" si="18"/>
        <v>30041.55</v>
      </c>
    </row>
    <row r="165" spans="1:12" s="140" customFormat="1" ht="18">
      <c r="A165" s="204" t="s">
        <v>334</v>
      </c>
      <c r="B165" s="285"/>
      <c r="C165" s="180"/>
      <c r="D165" s="144"/>
      <c r="E165" s="147"/>
      <c r="F165" s="335"/>
      <c r="G165" s="18"/>
      <c r="H165" s="249">
        <v>34016.81</v>
      </c>
      <c r="I165" s="33"/>
      <c r="J165" s="250">
        <v>572824.42000000004</v>
      </c>
      <c r="K165" s="144"/>
      <c r="L165" s="138">
        <f t="shared" si="18"/>
        <v>606841.23</v>
      </c>
    </row>
    <row r="166" spans="1:12" s="140" customFormat="1" ht="18">
      <c r="A166" s="204" t="s">
        <v>446</v>
      </c>
      <c r="B166" s="285"/>
      <c r="C166" s="180"/>
      <c r="D166" s="144"/>
      <c r="E166" s="147"/>
      <c r="F166" s="335"/>
      <c r="G166" s="18"/>
      <c r="H166" s="249"/>
      <c r="I166" s="33"/>
      <c r="J166" s="250">
        <v>37923.599999999999</v>
      </c>
      <c r="K166" s="144"/>
      <c r="L166" s="138">
        <f t="shared" ref="L166" si="19">SUM(C166:K166)</f>
        <v>37923.599999999999</v>
      </c>
    </row>
    <row r="167" spans="1:12" s="146" customFormat="1" ht="18">
      <c r="A167" s="141" t="s">
        <v>336</v>
      </c>
      <c r="B167" s="281"/>
      <c r="C167" s="144">
        <v>0</v>
      </c>
      <c r="D167" s="147">
        <v>10988.46</v>
      </c>
      <c r="E167" s="176">
        <v>29302.560000000001</v>
      </c>
      <c r="F167" s="304">
        <v>8183.7</v>
      </c>
      <c r="G167" s="147">
        <v>13110.93</v>
      </c>
      <c r="H167" s="147">
        <v>7159.32</v>
      </c>
      <c r="I167" s="242"/>
      <c r="J167" s="144">
        <v>25497.99</v>
      </c>
      <c r="K167" s="144">
        <v>2929.5</v>
      </c>
      <c r="L167" s="144">
        <f t="shared" si="18"/>
        <v>97172.46</v>
      </c>
    </row>
    <row r="168" spans="1:12" s="140" customFormat="1" ht="18">
      <c r="A168" s="204" t="s">
        <v>337</v>
      </c>
      <c r="B168" s="285"/>
      <c r="C168" s="138"/>
      <c r="D168" s="136"/>
      <c r="E168" s="136"/>
      <c r="F168" s="315"/>
      <c r="G168" s="179">
        <v>3921.48</v>
      </c>
      <c r="H168" s="136"/>
      <c r="I168" s="138"/>
      <c r="J168" s="138">
        <v>7798.68</v>
      </c>
      <c r="K168" s="138">
        <v>839.16</v>
      </c>
      <c r="L168" s="138">
        <f t="shared" si="18"/>
        <v>12559.32</v>
      </c>
    </row>
    <row r="169" spans="1:12" s="140" customFormat="1" ht="18">
      <c r="A169" s="215" t="s">
        <v>338</v>
      </c>
      <c r="B169" s="284"/>
      <c r="C169" s="138"/>
      <c r="D169" s="136"/>
      <c r="E169" s="136"/>
      <c r="F169" s="315"/>
      <c r="G169" s="179">
        <v>1125</v>
      </c>
      <c r="H169" s="136"/>
      <c r="I169" s="138"/>
      <c r="J169" s="138">
        <v>1125</v>
      </c>
      <c r="K169" s="138"/>
      <c r="L169" s="138">
        <f t="shared" si="18"/>
        <v>2250</v>
      </c>
    </row>
    <row r="170" spans="1:12" s="146" customFormat="1" ht="18">
      <c r="A170" s="141" t="s">
        <v>339</v>
      </c>
      <c r="B170" s="281"/>
      <c r="C170" s="147"/>
      <c r="D170" s="144"/>
      <c r="E170" s="144"/>
      <c r="F170" s="306"/>
      <c r="G170" s="144">
        <v>1395</v>
      </c>
      <c r="H170" s="148"/>
      <c r="I170" s="144">
        <v>1395</v>
      </c>
      <c r="J170" s="147"/>
      <c r="K170" s="147"/>
      <c r="L170" s="144">
        <f t="shared" si="18"/>
        <v>2790</v>
      </c>
    </row>
    <row r="171" spans="1:12" s="146" customFormat="1" ht="18">
      <c r="A171" s="141" t="s">
        <v>340</v>
      </c>
      <c r="B171" s="281"/>
      <c r="C171" s="147"/>
      <c r="D171" s="147" t="s">
        <v>201</v>
      </c>
      <c r="E171" s="147"/>
      <c r="F171" s="304">
        <v>3530</v>
      </c>
      <c r="G171" s="147" t="s">
        <v>201</v>
      </c>
      <c r="H171" s="144"/>
      <c r="I171" s="147"/>
      <c r="J171" s="147"/>
      <c r="K171" s="147"/>
      <c r="L171" s="144">
        <f t="shared" si="18"/>
        <v>3530</v>
      </c>
    </row>
    <row r="172" spans="1:12" s="146" customFormat="1" ht="18">
      <c r="A172" s="141" t="s">
        <v>343</v>
      </c>
      <c r="B172" s="281"/>
      <c r="C172" s="147"/>
      <c r="D172" s="147"/>
      <c r="E172" s="147"/>
      <c r="F172" s="304"/>
      <c r="G172" s="144">
        <v>465</v>
      </c>
      <c r="H172" s="147"/>
      <c r="I172" s="147"/>
      <c r="J172" s="147"/>
      <c r="K172" s="144"/>
      <c r="L172" s="144">
        <f t="shared" si="18"/>
        <v>465</v>
      </c>
    </row>
    <row r="173" spans="1:12" s="146" customFormat="1" ht="18">
      <c r="A173" s="141" t="s">
        <v>344</v>
      </c>
      <c r="B173" s="281"/>
      <c r="C173" s="151"/>
      <c r="D173" s="147"/>
      <c r="E173" s="147"/>
      <c r="F173" s="304"/>
      <c r="G173" s="147">
        <v>1300</v>
      </c>
      <c r="H173" s="147"/>
      <c r="I173" s="144"/>
      <c r="J173" s="147"/>
      <c r="K173" s="147"/>
      <c r="L173" s="144">
        <f t="shared" si="18"/>
        <v>1300</v>
      </c>
    </row>
    <row r="174" spans="1:12" s="146" customFormat="1" ht="18">
      <c r="A174" s="178" t="s">
        <v>425</v>
      </c>
      <c r="B174" s="232"/>
      <c r="C174" s="147"/>
      <c r="D174" s="144"/>
      <c r="E174" s="147"/>
      <c r="F174" s="304"/>
      <c r="G174" s="180">
        <v>590.75</v>
      </c>
      <c r="H174" s="144"/>
      <c r="I174" s="144"/>
      <c r="J174" s="179"/>
      <c r="K174" s="144"/>
      <c r="L174" s="144">
        <f>SUM(B174:K174)</f>
        <v>590.75</v>
      </c>
    </row>
    <row r="175" spans="1:12" s="146" customFormat="1" ht="18">
      <c r="A175" s="141" t="s">
        <v>346</v>
      </c>
      <c r="B175" s="281"/>
      <c r="C175" s="144"/>
      <c r="D175" s="147"/>
      <c r="E175" s="147"/>
      <c r="F175" s="304">
        <v>2040</v>
      </c>
      <c r="G175" s="147">
        <v>1450</v>
      </c>
      <c r="H175" s="147"/>
      <c r="I175" s="144"/>
      <c r="J175" s="147"/>
      <c r="K175" s="147"/>
      <c r="L175" s="144">
        <f t="shared" si="18"/>
        <v>3490</v>
      </c>
    </row>
    <row r="176" spans="1:12" s="146" customFormat="1" ht="19.899999999999999" customHeight="1">
      <c r="A176" s="141" t="s">
        <v>347</v>
      </c>
      <c r="B176" s="281"/>
      <c r="C176" s="147"/>
      <c r="D176" s="147">
        <v>0</v>
      </c>
      <c r="E176" s="147"/>
      <c r="F176" s="304"/>
      <c r="G176" s="147"/>
      <c r="H176" s="147"/>
      <c r="I176" s="147"/>
      <c r="J176" s="147"/>
      <c r="K176" s="147"/>
      <c r="L176" s="144">
        <f t="shared" si="18"/>
        <v>0</v>
      </c>
    </row>
    <row r="177" spans="1:12" s="146" customFormat="1" ht="18">
      <c r="A177" s="141" t="s">
        <v>348</v>
      </c>
      <c r="B177" s="281"/>
      <c r="C177" s="147"/>
      <c r="D177" s="147">
        <v>1405.08</v>
      </c>
      <c r="E177" s="144"/>
      <c r="F177" s="304">
        <v>1137.78</v>
      </c>
      <c r="G177" s="147">
        <v>1960.74</v>
      </c>
      <c r="H177" s="147">
        <v>1043.28</v>
      </c>
      <c r="I177" s="147">
        <v>598.86</v>
      </c>
      <c r="J177" s="144">
        <v>3899.34</v>
      </c>
      <c r="K177" s="144">
        <v>419.58</v>
      </c>
      <c r="L177" s="144">
        <f t="shared" si="18"/>
        <v>10464.659999999998</v>
      </c>
    </row>
    <row r="178" spans="1:12" s="146" customFormat="1" ht="18">
      <c r="A178" s="141" t="s">
        <v>448</v>
      </c>
      <c r="B178" s="281"/>
      <c r="C178" s="147"/>
      <c r="D178" s="144">
        <v>1870</v>
      </c>
      <c r="E178" s="147"/>
      <c r="F178" s="304">
        <v>2200</v>
      </c>
      <c r="G178" s="144">
        <v>1485</v>
      </c>
      <c r="H178" s="144">
        <v>3295</v>
      </c>
      <c r="I178" s="144"/>
      <c r="J178" s="179">
        <v>1485</v>
      </c>
      <c r="K178" s="144">
        <v>2200</v>
      </c>
      <c r="L178" s="144">
        <f>SUM(C178:K178)</f>
        <v>12535</v>
      </c>
    </row>
    <row r="179" spans="1:12" s="146" customFormat="1" ht="18">
      <c r="A179" s="141" t="s">
        <v>447</v>
      </c>
      <c r="B179" s="281"/>
      <c r="C179" s="147"/>
      <c r="D179" s="201">
        <v>1870</v>
      </c>
      <c r="E179" s="147"/>
      <c r="F179" s="304">
        <v>2200</v>
      </c>
      <c r="G179" s="144">
        <v>1870</v>
      </c>
      <c r="H179" s="180">
        <v>1485</v>
      </c>
      <c r="I179" s="144"/>
      <c r="J179" s="147">
        <v>1870</v>
      </c>
      <c r="K179" s="144">
        <v>2200</v>
      </c>
      <c r="L179" s="144">
        <f>SUM(C179:K179)</f>
        <v>11495</v>
      </c>
    </row>
    <row r="180" spans="1:12" s="146" customFormat="1" ht="18">
      <c r="A180" s="141" t="s">
        <v>349</v>
      </c>
      <c r="B180" s="281"/>
      <c r="C180" s="147"/>
      <c r="D180" s="144"/>
      <c r="E180" s="147"/>
      <c r="F180" s="304"/>
      <c r="G180" s="144">
        <v>785</v>
      </c>
      <c r="H180" s="144"/>
      <c r="I180" s="144"/>
      <c r="J180" s="147"/>
      <c r="K180" s="144"/>
      <c r="L180" s="144">
        <f t="shared" si="18"/>
        <v>785</v>
      </c>
    </row>
    <row r="181" spans="1:12" s="145" customFormat="1" ht="18">
      <c r="A181" s="141" t="s">
        <v>350</v>
      </c>
      <c r="B181" s="281"/>
      <c r="C181" s="242"/>
      <c r="D181" s="144">
        <v>1400</v>
      </c>
      <c r="E181" s="144"/>
      <c r="F181" s="306"/>
      <c r="G181" s="147" t="s">
        <v>201</v>
      </c>
      <c r="H181" s="147"/>
      <c r="I181" s="147" t="s">
        <v>201</v>
      </c>
      <c r="J181" s="144"/>
      <c r="K181" s="144"/>
      <c r="L181" s="144">
        <f t="shared" si="18"/>
        <v>1400</v>
      </c>
    </row>
    <row r="182" spans="1:12" s="140" customFormat="1" ht="18">
      <c r="A182" s="204" t="s">
        <v>352</v>
      </c>
      <c r="B182" s="285"/>
      <c r="C182" s="136"/>
      <c r="D182" s="147"/>
      <c r="E182" s="136"/>
      <c r="F182" s="315"/>
      <c r="G182" s="136"/>
      <c r="H182" s="157">
        <v>1347.25</v>
      </c>
      <c r="I182" s="157"/>
      <c r="J182" s="157">
        <v>1347.25</v>
      </c>
      <c r="K182" s="136"/>
      <c r="L182" s="138">
        <f t="shared" si="18"/>
        <v>2694.5</v>
      </c>
    </row>
    <row r="183" spans="1:12" s="146" customFormat="1" ht="18">
      <c r="A183" s="141" t="s">
        <v>353</v>
      </c>
      <c r="B183" s="281"/>
      <c r="C183" s="147"/>
      <c r="D183" s="147">
        <v>2040</v>
      </c>
      <c r="E183" s="144"/>
      <c r="F183" s="304">
        <v>2040</v>
      </c>
      <c r="G183" s="147">
        <v>1510</v>
      </c>
      <c r="H183" s="147">
        <v>2040</v>
      </c>
      <c r="I183" s="144"/>
      <c r="J183" s="144"/>
      <c r="K183" s="144"/>
      <c r="L183" s="144">
        <f t="shared" si="18"/>
        <v>7630</v>
      </c>
    </row>
    <row r="184" spans="1:12" s="140" customFormat="1" ht="18">
      <c r="A184" s="204" t="s">
        <v>355</v>
      </c>
      <c r="B184" s="285"/>
      <c r="C184" s="136"/>
      <c r="D184" s="136"/>
      <c r="E184" s="138"/>
      <c r="F184" s="332">
        <v>16072.65</v>
      </c>
      <c r="G184" s="157">
        <v>8499.15</v>
      </c>
      <c r="H184" s="157">
        <v>6647.85</v>
      </c>
      <c r="I184" s="157">
        <v>4880.7</v>
      </c>
      <c r="J184" s="149">
        <v>21879</v>
      </c>
      <c r="K184" s="149">
        <v>11696.85</v>
      </c>
      <c r="L184" s="138">
        <f t="shared" si="18"/>
        <v>69676.2</v>
      </c>
    </row>
    <row r="185" spans="1:12" s="146" customFormat="1" ht="18">
      <c r="A185" s="141" t="s">
        <v>263</v>
      </c>
      <c r="B185" s="281"/>
      <c r="C185" s="256"/>
      <c r="D185" s="147"/>
      <c r="E185" s="176">
        <v>6800</v>
      </c>
      <c r="F185" s="304"/>
      <c r="G185" s="147"/>
      <c r="H185" s="147"/>
      <c r="I185" s="147"/>
      <c r="J185" s="144"/>
      <c r="K185" s="147"/>
      <c r="L185" s="144">
        <f t="shared" si="17"/>
        <v>6800</v>
      </c>
    </row>
    <row r="186" spans="1:12" s="156" customFormat="1" ht="18">
      <c r="A186" s="141" t="s">
        <v>77</v>
      </c>
      <c r="B186" s="281"/>
      <c r="C186" s="147">
        <v>500</v>
      </c>
      <c r="D186" s="153"/>
      <c r="E186" s="179" t="s">
        <v>225</v>
      </c>
      <c r="F186" s="304"/>
      <c r="G186" s="147"/>
      <c r="H186" s="147">
        <v>1500</v>
      </c>
      <c r="I186" s="147">
        <v>500</v>
      </c>
      <c r="J186" s="147"/>
      <c r="K186" s="147"/>
      <c r="L186" s="144">
        <f t="shared" si="17"/>
        <v>2500</v>
      </c>
    </row>
    <row r="187" spans="1:12" s="146" customFormat="1" ht="18">
      <c r="A187" s="141" t="s">
        <v>78</v>
      </c>
      <c r="B187" s="281"/>
      <c r="C187" s="144">
        <v>14625</v>
      </c>
      <c r="D187" s="148"/>
      <c r="E187" s="144"/>
      <c r="F187" s="326"/>
      <c r="G187" s="144"/>
      <c r="H187" s="144">
        <v>14625</v>
      </c>
      <c r="I187" s="144"/>
      <c r="J187" s="144">
        <v>14625</v>
      </c>
      <c r="K187" s="144"/>
      <c r="L187" s="144">
        <f t="shared" ref="L187:L197" si="20">SUM(C187:K187)</f>
        <v>43875</v>
      </c>
    </row>
    <row r="188" spans="1:12" s="146" customFormat="1" ht="18">
      <c r="A188" s="141" t="s">
        <v>79</v>
      </c>
      <c r="B188" s="281"/>
      <c r="C188" s="151"/>
      <c r="D188" s="144"/>
      <c r="E188" s="144"/>
      <c r="F188" s="306"/>
      <c r="G188" s="144"/>
      <c r="H188" s="144">
        <v>2819</v>
      </c>
      <c r="I188" s="144"/>
      <c r="J188" s="144"/>
      <c r="K188" s="144"/>
      <c r="L188" s="144">
        <f t="shared" si="20"/>
        <v>2819</v>
      </c>
    </row>
    <row r="189" spans="1:12" s="144" customFormat="1" ht="18">
      <c r="A189" s="141" t="s">
        <v>171</v>
      </c>
      <c r="B189" s="281"/>
      <c r="D189" s="144">
        <v>949.51</v>
      </c>
      <c r="E189" s="273">
        <v>3900</v>
      </c>
      <c r="F189" s="306"/>
      <c r="L189" s="144">
        <f>SUM(C189:K189)</f>
        <v>4849.51</v>
      </c>
    </row>
    <row r="190" spans="1:12" s="146" customFormat="1" ht="18">
      <c r="A190" s="141" t="s">
        <v>212</v>
      </c>
      <c r="B190" s="281"/>
      <c r="C190" s="144"/>
      <c r="D190" s="144"/>
      <c r="E190" s="144"/>
      <c r="F190" s="306">
        <v>10611</v>
      </c>
      <c r="G190" s="144">
        <v>3812</v>
      </c>
      <c r="H190" s="144">
        <v>3812</v>
      </c>
      <c r="I190" s="144">
        <v>3812</v>
      </c>
      <c r="J190" s="144">
        <v>16668</v>
      </c>
      <c r="K190" s="144"/>
      <c r="L190" s="144">
        <f>SUM(C190:K190)</f>
        <v>38715</v>
      </c>
    </row>
    <row r="191" spans="1:12" s="146" customFormat="1" ht="18">
      <c r="A191" s="141" t="s">
        <v>241</v>
      </c>
      <c r="B191" s="281"/>
      <c r="C191" s="144"/>
      <c r="D191" s="144"/>
      <c r="E191" s="175">
        <v>430</v>
      </c>
      <c r="F191" s="336">
        <v>756</v>
      </c>
      <c r="G191" s="144"/>
      <c r="H191" s="144"/>
      <c r="I191" s="144" t="s">
        <v>201</v>
      </c>
      <c r="J191" s="144">
        <v>1956</v>
      </c>
      <c r="K191" s="144"/>
      <c r="L191" s="144">
        <f>SUM(C191:K191)</f>
        <v>3142</v>
      </c>
    </row>
    <row r="192" spans="1:12" s="146" customFormat="1" ht="18">
      <c r="A192" s="141" t="s">
        <v>80</v>
      </c>
      <c r="B192" s="281"/>
      <c r="C192" s="147"/>
      <c r="D192" s="147"/>
      <c r="E192" s="147"/>
      <c r="F192" s="244">
        <v>1936</v>
      </c>
      <c r="G192" s="251">
        <v>1936</v>
      </c>
      <c r="H192" s="147"/>
      <c r="I192" s="147"/>
      <c r="J192" s="244">
        <v>3195</v>
      </c>
      <c r="K192" s="244">
        <v>1936</v>
      </c>
      <c r="L192" s="144">
        <f t="shared" si="20"/>
        <v>9003</v>
      </c>
    </row>
    <row r="193" spans="1:12" s="139" customFormat="1">
      <c r="A193" s="353" t="s">
        <v>433</v>
      </c>
      <c r="B193" s="285"/>
      <c r="C193" s="138"/>
      <c r="D193" s="138"/>
      <c r="E193" s="138"/>
      <c r="F193" s="323"/>
      <c r="G193" s="138"/>
      <c r="H193" s="136"/>
      <c r="I193" s="138"/>
      <c r="J193" s="149">
        <v>3799</v>
      </c>
      <c r="K193" s="138"/>
      <c r="L193" s="138">
        <f>SUM(C193:K193)</f>
        <v>3799</v>
      </c>
    </row>
    <row r="194" spans="1:12" s="156" customFormat="1">
      <c r="A194" s="350" t="s">
        <v>437</v>
      </c>
      <c r="B194" s="281"/>
      <c r="C194" s="147"/>
      <c r="D194" s="147"/>
      <c r="E194" s="147"/>
      <c r="F194" s="304"/>
      <c r="G194" s="147"/>
      <c r="H194" s="147"/>
      <c r="I194" s="147"/>
      <c r="J194" s="359">
        <v>32670</v>
      </c>
      <c r="K194" s="147"/>
      <c r="L194" s="144">
        <f t="shared" ref="L194" si="21">SUM(C194:K194)</f>
        <v>32670</v>
      </c>
    </row>
    <row r="195" spans="1:12" s="156" customFormat="1">
      <c r="A195" s="350" t="s">
        <v>438</v>
      </c>
      <c r="B195" s="281"/>
      <c r="C195" s="147"/>
      <c r="D195" s="147"/>
      <c r="E195" s="147"/>
      <c r="F195" s="304"/>
      <c r="G195" s="147"/>
      <c r="H195" s="147"/>
      <c r="I195" s="147"/>
      <c r="J195" s="144" t="s">
        <v>225</v>
      </c>
      <c r="K195" s="147"/>
      <c r="L195" s="144">
        <f>SUM(C195:K195)</f>
        <v>0</v>
      </c>
    </row>
    <row r="196" spans="1:12" s="181" customFormat="1">
      <c r="A196" s="351" t="s">
        <v>435</v>
      </c>
      <c r="B196" s="232"/>
      <c r="C196" s="180"/>
      <c r="D196" s="180"/>
      <c r="E196" s="180"/>
      <c r="F196" s="321"/>
      <c r="G196" s="180"/>
      <c r="H196" s="180"/>
      <c r="I196" s="180"/>
      <c r="J196" s="208">
        <v>35524.480000000003</v>
      </c>
      <c r="K196" s="180"/>
      <c r="L196" s="180">
        <f>SUM(C196:K196)</f>
        <v>35524.480000000003</v>
      </c>
    </row>
    <row r="197" spans="1:12" s="146" customFormat="1">
      <c r="A197" s="350" t="s">
        <v>432</v>
      </c>
      <c r="B197" s="281"/>
      <c r="C197" s="147"/>
      <c r="D197" s="144"/>
      <c r="E197" s="144"/>
      <c r="F197" s="324"/>
      <c r="G197" s="147"/>
      <c r="H197" s="48"/>
      <c r="I197" s="144"/>
      <c r="J197" s="158">
        <f>12877.5+6938.75+1000+150</f>
        <v>20966.25</v>
      </c>
      <c r="K197" s="144"/>
      <c r="L197" s="144">
        <f t="shared" si="20"/>
        <v>20966.25</v>
      </c>
    </row>
    <row r="198" spans="1:12" s="237" customFormat="1">
      <c r="A198" s="354" t="s">
        <v>434</v>
      </c>
      <c r="B198" s="288"/>
      <c r="C198" s="235">
        <f>14974.09+160</f>
        <v>15134.09</v>
      </c>
      <c r="D198" s="235"/>
      <c r="E198" s="31">
        <f>8695.49+2173.87+160</f>
        <v>11029.36</v>
      </c>
      <c r="F198" s="317">
        <f>62667.78+160</f>
        <v>62827.78</v>
      </c>
      <c r="G198" s="236">
        <f>39554.81+160</f>
        <v>39714.81</v>
      </c>
      <c r="H198" s="236">
        <f>37887.9+160</f>
        <v>38047.9</v>
      </c>
      <c r="I198" s="236">
        <f>7571.77+160</f>
        <v>7731.77</v>
      </c>
      <c r="J198" s="236">
        <f>90220.44+160</f>
        <v>90380.44</v>
      </c>
      <c r="K198" s="235"/>
      <c r="L198" s="236">
        <f>SUM(C198:K198)</f>
        <v>264866.15000000002</v>
      </c>
    </row>
    <row r="199" spans="1:12" s="156" customFormat="1" ht="18">
      <c r="A199" s="141" t="s">
        <v>127</v>
      </c>
      <c r="B199" s="281"/>
      <c r="C199" s="147"/>
      <c r="D199" s="153"/>
      <c r="E199" s="147"/>
      <c r="F199" s="304"/>
      <c r="G199" s="147"/>
      <c r="H199" s="153"/>
      <c r="I199" s="147">
        <v>3770</v>
      </c>
      <c r="J199" s="147"/>
      <c r="K199" s="147"/>
      <c r="L199" s="144">
        <f t="shared" ref="L199:L202" si="22">SUM(C199:K199)</f>
        <v>3770</v>
      </c>
    </row>
    <row r="200" spans="1:12" s="156" customFormat="1" ht="18">
      <c r="A200" s="141" t="s">
        <v>89</v>
      </c>
      <c r="B200" s="281"/>
      <c r="C200" s="144"/>
      <c r="D200" s="144">
        <v>720</v>
      </c>
      <c r="E200" s="144"/>
      <c r="F200" s="306"/>
      <c r="G200" s="144"/>
      <c r="H200" s="144"/>
      <c r="I200" s="144"/>
      <c r="J200" s="144"/>
      <c r="K200" s="144"/>
      <c r="L200" s="144">
        <f t="shared" si="22"/>
        <v>720</v>
      </c>
    </row>
    <row r="201" spans="1:12" s="181" customFormat="1" ht="18">
      <c r="A201" s="178" t="s">
        <v>427</v>
      </c>
      <c r="B201" s="232"/>
      <c r="C201" s="179"/>
      <c r="D201" s="179"/>
      <c r="E201" s="179"/>
      <c r="F201" s="305"/>
      <c r="G201" s="179"/>
      <c r="H201" s="180"/>
      <c r="I201" s="179"/>
      <c r="J201" s="180">
        <v>9215</v>
      </c>
      <c r="K201" s="179"/>
      <c r="L201" s="180">
        <f t="shared" si="22"/>
        <v>9215</v>
      </c>
    </row>
    <row r="202" spans="1:12" s="277" customFormat="1" ht="18">
      <c r="A202" s="178" t="s">
        <v>428</v>
      </c>
      <c r="B202" s="232"/>
      <c r="C202" s="275">
        <v>3339</v>
      </c>
      <c r="D202" s="179"/>
      <c r="E202" s="179"/>
      <c r="F202" s="337">
        <v>5009</v>
      </c>
      <c r="G202" s="179"/>
      <c r="H202" s="275">
        <v>3339</v>
      </c>
      <c r="I202" s="275">
        <v>3339</v>
      </c>
      <c r="J202" s="179"/>
      <c r="K202" s="276">
        <v>1815</v>
      </c>
      <c r="L202" s="180">
        <f t="shared" si="22"/>
        <v>16841</v>
      </c>
    </row>
    <row r="203" spans="1:12" s="156" customFormat="1" ht="18">
      <c r="A203" s="141" t="s">
        <v>124</v>
      </c>
      <c r="B203" s="281"/>
      <c r="C203" s="167"/>
      <c r="D203" s="169"/>
      <c r="E203" s="168"/>
      <c r="F203" s="320">
        <v>618.75</v>
      </c>
      <c r="G203" s="48">
        <v>754.5</v>
      </c>
      <c r="H203" s="48">
        <v>618.75</v>
      </c>
      <c r="I203" s="48">
        <v>495</v>
      </c>
      <c r="J203" s="167"/>
      <c r="K203" s="167"/>
      <c r="L203" s="144">
        <f>SUM(C203:K203)</f>
        <v>2487</v>
      </c>
    </row>
    <row r="204" spans="1:12" s="140" customFormat="1">
      <c r="A204" s="353" t="s">
        <v>90</v>
      </c>
      <c r="B204" s="285"/>
      <c r="C204" s="138"/>
      <c r="D204" s="138"/>
      <c r="E204" s="138"/>
      <c r="F204" s="316"/>
      <c r="G204" s="149">
        <v>13557</v>
      </c>
      <c r="H204" s="149"/>
      <c r="I204" s="149">
        <v>3821</v>
      </c>
      <c r="J204" s="149">
        <v>14956</v>
      </c>
      <c r="K204" s="138"/>
      <c r="L204" s="138">
        <f>SUM(C204:K204)</f>
        <v>32334</v>
      </c>
    </row>
    <row r="205" spans="1:12" s="27" customFormat="1" ht="62.25">
      <c r="A205" s="39"/>
      <c r="B205" s="295"/>
      <c r="C205" s="26" t="s">
        <v>191</v>
      </c>
      <c r="D205" s="26" t="s">
        <v>192</v>
      </c>
      <c r="E205" s="26" t="s">
        <v>193</v>
      </c>
      <c r="F205" s="334" t="s">
        <v>194</v>
      </c>
      <c r="G205" s="26" t="s">
        <v>195</v>
      </c>
      <c r="H205" s="26" t="s">
        <v>196</v>
      </c>
      <c r="I205" s="26" t="s">
        <v>197</v>
      </c>
      <c r="J205" s="26" t="s">
        <v>198</v>
      </c>
      <c r="K205" s="17" t="s">
        <v>199</v>
      </c>
      <c r="L205" s="26"/>
    </row>
    <row r="206" spans="1:12" s="1" customFormat="1">
      <c r="A206" s="356" t="s">
        <v>300</v>
      </c>
      <c r="B206" s="290"/>
      <c r="C206" s="9"/>
      <c r="D206" s="10"/>
      <c r="E206" s="11"/>
      <c r="F206" s="302"/>
      <c r="G206" s="12"/>
      <c r="H206" s="12"/>
      <c r="I206" s="13"/>
      <c r="J206" s="9"/>
      <c r="K206" s="9"/>
      <c r="L206" s="14"/>
    </row>
    <row r="207" spans="1:12" s="156" customFormat="1" ht="18">
      <c r="A207" s="141" t="s">
        <v>91</v>
      </c>
      <c r="B207" s="281"/>
      <c r="C207" s="144"/>
      <c r="D207" s="147"/>
      <c r="E207" s="147"/>
      <c r="F207" s="304">
        <v>1995</v>
      </c>
      <c r="G207" s="147"/>
      <c r="H207" s="241"/>
      <c r="I207" s="147"/>
      <c r="J207" s="147"/>
      <c r="K207" s="147"/>
      <c r="L207" s="144">
        <f t="shared" ref="L207:L242" si="23">SUM(C207:K207)</f>
        <v>1995</v>
      </c>
    </row>
    <row r="208" spans="1:12" s="374" customFormat="1" ht="18">
      <c r="A208" s="361" t="s">
        <v>368</v>
      </c>
      <c r="B208" s="367"/>
      <c r="C208" s="371"/>
      <c r="D208" s="369" t="s">
        <v>201</v>
      </c>
      <c r="E208" s="369"/>
      <c r="F208" s="373"/>
      <c r="G208" s="369"/>
      <c r="H208" s="369"/>
      <c r="I208" s="369"/>
      <c r="J208" s="369"/>
      <c r="K208" s="369"/>
      <c r="L208" s="371">
        <f t="shared" ref="L208:L229" si="24">SUM(C208:K208)</f>
        <v>0</v>
      </c>
    </row>
    <row r="209" spans="1:12" s="146" customFormat="1" ht="18">
      <c r="A209" s="141" t="s">
        <v>305</v>
      </c>
      <c r="B209" s="281"/>
      <c r="C209" s="144"/>
      <c r="D209" s="144"/>
      <c r="E209" s="144"/>
      <c r="F209" s="306"/>
      <c r="G209" s="144"/>
      <c r="H209" s="48">
        <v>6675</v>
      </c>
      <c r="I209" s="46"/>
      <c r="J209" s="46">
        <v>8265</v>
      </c>
      <c r="K209" s="144"/>
      <c r="L209" s="144">
        <f t="shared" si="24"/>
        <v>14940</v>
      </c>
    </row>
    <row r="210" spans="1:12" s="146" customFormat="1" ht="18">
      <c r="A210" s="141" t="s">
        <v>306</v>
      </c>
      <c r="B210" s="281"/>
      <c r="C210" s="144"/>
      <c r="D210" s="144"/>
      <c r="E210" s="144"/>
      <c r="F210" s="324">
        <v>3000</v>
      </c>
      <c r="G210" s="46"/>
      <c r="H210" s="230">
        <v>3000</v>
      </c>
      <c r="I210" s="144"/>
      <c r="J210" s="147"/>
      <c r="K210" s="147"/>
      <c r="L210" s="144">
        <f t="shared" si="24"/>
        <v>6000</v>
      </c>
    </row>
    <row r="211" spans="1:12" s="146" customFormat="1" ht="18">
      <c r="A211" s="141" t="s">
        <v>307</v>
      </c>
      <c r="B211" s="281"/>
      <c r="C211" s="144"/>
      <c r="D211" s="144"/>
      <c r="E211" s="144"/>
      <c r="F211" s="324"/>
      <c r="G211" s="46"/>
      <c r="H211" s="48">
        <v>2550</v>
      </c>
      <c r="I211" s="144"/>
      <c r="J211" s="147"/>
      <c r="K211" s="147"/>
      <c r="L211" s="144">
        <f t="shared" si="24"/>
        <v>2550</v>
      </c>
    </row>
    <row r="212" spans="1:12" s="146" customFormat="1" ht="18">
      <c r="A212" s="141" t="s">
        <v>308</v>
      </c>
      <c r="B212" s="281"/>
      <c r="C212" s="147"/>
      <c r="D212" s="144"/>
      <c r="E212" s="144"/>
      <c r="F212" s="304"/>
      <c r="G212" s="48">
        <v>7040</v>
      </c>
      <c r="H212" s="48">
        <v>4225</v>
      </c>
      <c r="I212" s="46"/>
      <c r="J212" s="48"/>
      <c r="K212" s="48">
        <v>7040</v>
      </c>
      <c r="L212" s="144">
        <f t="shared" si="24"/>
        <v>18305</v>
      </c>
    </row>
    <row r="213" spans="1:12" s="146" customFormat="1" ht="18">
      <c r="A213" s="141" t="s">
        <v>309</v>
      </c>
      <c r="B213" s="281"/>
      <c r="C213" s="147"/>
      <c r="D213" s="144"/>
      <c r="E213" s="144"/>
      <c r="F213" s="304"/>
      <c r="G213" s="46"/>
      <c r="H213" s="48"/>
      <c r="I213" s="46"/>
      <c r="J213" s="46">
        <v>3025</v>
      </c>
      <c r="K213" s="48"/>
      <c r="L213" s="144">
        <f t="shared" si="24"/>
        <v>3025</v>
      </c>
    </row>
    <row r="214" spans="1:12" s="146" customFormat="1" ht="18">
      <c r="A214" s="141" t="s">
        <v>310</v>
      </c>
      <c r="B214" s="281"/>
      <c r="C214" s="147"/>
      <c r="D214" s="144"/>
      <c r="E214" s="144"/>
      <c r="F214" s="304"/>
      <c r="G214" s="46"/>
      <c r="H214" s="48"/>
      <c r="I214" s="46"/>
      <c r="J214" s="46">
        <v>2730</v>
      </c>
      <c r="K214" s="48"/>
      <c r="L214" s="144">
        <f t="shared" si="24"/>
        <v>2730</v>
      </c>
    </row>
    <row r="215" spans="1:12" s="146" customFormat="1" ht="18">
      <c r="A215" s="141" t="s">
        <v>311</v>
      </c>
      <c r="B215" s="281"/>
      <c r="C215" s="147"/>
      <c r="D215" s="144"/>
      <c r="E215" s="144"/>
      <c r="F215" s="304"/>
      <c r="G215" s="47"/>
      <c r="H215" s="48">
        <v>2790</v>
      </c>
      <c r="I215" s="46"/>
      <c r="J215" s="46"/>
      <c r="K215" s="46"/>
      <c r="L215" s="144">
        <f t="shared" si="24"/>
        <v>2790</v>
      </c>
    </row>
    <row r="216" spans="1:12" s="146" customFormat="1" ht="18">
      <c r="A216" s="141" t="s">
        <v>312</v>
      </c>
      <c r="B216" s="281"/>
      <c r="C216" s="147"/>
      <c r="D216" s="144"/>
      <c r="E216" s="144"/>
      <c r="F216" s="304"/>
      <c r="G216" s="48"/>
      <c r="H216" s="48">
        <v>2075</v>
      </c>
      <c r="I216" s="46"/>
      <c r="J216" s="46"/>
      <c r="K216" s="46"/>
      <c r="L216" s="144">
        <f t="shared" si="24"/>
        <v>2075</v>
      </c>
    </row>
    <row r="217" spans="1:12" s="146" customFormat="1" ht="18">
      <c r="A217" s="141" t="s">
        <v>313</v>
      </c>
      <c r="B217" s="281"/>
      <c r="C217" s="147"/>
      <c r="D217" s="144"/>
      <c r="E217" s="144"/>
      <c r="F217" s="304"/>
      <c r="G217" s="46"/>
      <c r="H217" s="48">
        <v>6690</v>
      </c>
      <c r="I217" s="46"/>
      <c r="J217" s="46"/>
      <c r="K217" s="46"/>
      <c r="L217" s="144">
        <f t="shared" si="24"/>
        <v>6690</v>
      </c>
    </row>
    <row r="218" spans="1:12" s="146" customFormat="1" ht="18">
      <c r="A218" s="141" t="s">
        <v>314</v>
      </c>
      <c r="B218" s="281"/>
      <c r="C218" s="147"/>
      <c r="D218" s="144"/>
      <c r="E218" s="144"/>
      <c r="F218" s="304"/>
      <c r="G218" s="46"/>
      <c r="H218" s="48">
        <v>3790</v>
      </c>
      <c r="I218" s="46"/>
      <c r="J218" s="46"/>
      <c r="K218" s="46"/>
      <c r="L218" s="144">
        <f t="shared" si="24"/>
        <v>3790</v>
      </c>
    </row>
    <row r="219" spans="1:12" s="146" customFormat="1" ht="18">
      <c r="A219" s="141" t="s">
        <v>315</v>
      </c>
      <c r="B219" s="281"/>
      <c r="C219" s="147"/>
      <c r="D219" s="144"/>
      <c r="E219" s="144"/>
      <c r="F219" s="304"/>
      <c r="G219" s="144"/>
      <c r="H219" s="147"/>
      <c r="I219" s="144"/>
      <c r="J219" s="144">
        <v>6412</v>
      </c>
      <c r="K219" s="144"/>
      <c r="L219" s="144">
        <f t="shared" si="24"/>
        <v>6412</v>
      </c>
    </row>
    <row r="220" spans="1:12" s="146" customFormat="1" ht="18">
      <c r="A220" s="141" t="s">
        <v>316</v>
      </c>
      <c r="B220" s="281"/>
      <c r="C220" s="147"/>
      <c r="D220" s="144"/>
      <c r="E220" s="144"/>
      <c r="F220" s="304"/>
      <c r="G220" s="144"/>
      <c r="H220" s="144"/>
      <c r="I220" s="144"/>
      <c r="J220" s="46">
        <v>3710</v>
      </c>
      <c r="K220" s="147"/>
      <c r="L220" s="144">
        <f t="shared" si="24"/>
        <v>3710</v>
      </c>
    </row>
    <row r="221" spans="1:12" s="146" customFormat="1" ht="18">
      <c r="A221" s="141" t="s">
        <v>317</v>
      </c>
      <c r="B221" s="281"/>
      <c r="C221" s="147"/>
      <c r="D221" s="144"/>
      <c r="E221" s="144"/>
      <c r="F221" s="304"/>
      <c r="G221" s="144"/>
      <c r="H221" s="144"/>
      <c r="I221" s="144"/>
      <c r="J221" s="46">
        <v>4380</v>
      </c>
      <c r="K221" s="147"/>
      <c r="L221" s="144">
        <f t="shared" si="24"/>
        <v>4380</v>
      </c>
    </row>
    <row r="222" spans="1:12" s="146" customFormat="1" ht="18">
      <c r="A222" s="141" t="s">
        <v>318</v>
      </c>
      <c r="B222" s="281"/>
      <c r="C222" s="147"/>
      <c r="D222" s="144"/>
      <c r="E222" s="144"/>
      <c r="F222" s="304"/>
      <c r="G222" s="147"/>
      <c r="H222" s="144"/>
      <c r="I222" s="144"/>
      <c r="J222" s="46">
        <v>7600</v>
      </c>
      <c r="K222" s="147">
        <v>3900</v>
      </c>
      <c r="L222" s="144">
        <f t="shared" si="24"/>
        <v>11500</v>
      </c>
    </row>
    <row r="223" spans="1:12" s="146" customFormat="1" ht="18">
      <c r="A223" s="141" t="s">
        <v>319</v>
      </c>
      <c r="B223" s="281"/>
      <c r="C223" s="147"/>
      <c r="D223" s="144"/>
      <c r="E223" s="144"/>
      <c r="F223" s="324">
        <v>6050</v>
      </c>
      <c r="G223" s="46"/>
      <c r="H223" s="47"/>
      <c r="I223" s="144"/>
      <c r="J223" s="46">
        <v>6050</v>
      </c>
      <c r="K223" s="147"/>
      <c r="L223" s="144">
        <f t="shared" si="24"/>
        <v>12100</v>
      </c>
    </row>
    <row r="224" spans="1:12" s="146" customFormat="1" ht="18">
      <c r="A224" s="141" t="s">
        <v>320</v>
      </c>
      <c r="B224" s="281"/>
      <c r="C224" s="147"/>
      <c r="D224" s="144"/>
      <c r="E224" s="144"/>
      <c r="F224" s="324"/>
      <c r="G224" s="48">
        <v>2800</v>
      </c>
      <c r="H224" s="48">
        <v>2235</v>
      </c>
      <c r="I224" s="144"/>
      <c r="J224" s="46">
        <v>2800</v>
      </c>
      <c r="K224" s="147"/>
      <c r="L224" s="144">
        <f t="shared" si="24"/>
        <v>7835</v>
      </c>
    </row>
    <row r="225" spans="1:12" s="146" customFormat="1" ht="18">
      <c r="A225" s="141" t="s">
        <v>321</v>
      </c>
      <c r="B225" s="281"/>
      <c r="C225" s="147"/>
      <c r="D225" s="144"/>
      <c r="E225" s="144"/>
      <c r="F225" s="324"/>
      <c r="G225" s="48"/>
      <c r="H225" s="46"/>
      <c r="I225" s="144"/>
      <c r="J225" s="46">
        <v>1060</v>
      </c>
      <c r="K225" s="147"/>
      <c r="L225" s="144">
        <f t="shared" si="24"/>
        <v>1060</v>
      </c>
    </row>
    <row r="226" spans="1:12" s="146" customFormat="1" ht="18">
      <c r="A226" s="141" t="s">
        <v>325</v>
      </c>
      <c r="B226" s="281"/>
      <c r="C226" s="147"/>
      <c r="D226" s="144"/>
      <c r="E226" s="144"/>
      <c r="F226" s="324"/>
      <c r="G226" s="147">
        <v>10680</v>
      </c>
      <c r="H226" s="48"/>
      <c r="I226" s="144"/>
      <c r="J226" s="158">
        <v>1000</v>
      </c>
      <c r="K226" s="144"/>
      <c r="L226" s="144">
        <f t="shared" si="24"/>
        <v>11680</v>
      </c>
    </row>
    <row r="227" spans="1:12" s="146" customFormat="1" ht="18">
      <c r="A227" s="141" t="s">
        <v>322</v>
      </c>
      <c r="B227" s="281"/>
      <c r="C227" s="147"/>
      <c r="D227" s="147"/>
      <c r="E227" s="147"/>
      <c r="F227" s="324"/>
      <c r="G227" s="147">
        <v>10405</v>
      </c>
      <c r="H227" s="48"/>
      <c r="I227" s="147"/>
      <c r="J227" s="15">
        <v>15675</v>
      </c>
      <c r="K227" s="147"/>
      <c r="L227" s="144">
        <f t="shared" si="24"/>
        <v>26080</v>
      </c>
    </row>
    <row r="228" spans="1:12" s="146" customFormat="1" ht="18">
      <c r="A228" s="141" t="s">
        <v>323</v>
      </c>
      <c r="B228" s="281"/>
      <c r="C228" s="144"/>
      <c r="D228" s="147"/>
      <c r="E228" s="144"/>
      <c r="F228" s="324">
        <v>3135</v>
      </c>
      <c r="G228" s="48">
        <v>4580</v>
      </c>
      <c r="H228" s="48">
        <v>3135</v>
      </c>
      <c r="I228" s="147"/>
      <c r="J228" s="46">
        <v>4580</v>
      </c>
      <c r="K228" s="147"/>
      <c r="L228" s="144">
        <f t="shared" si="24"/>
        <v>15430</v>
      </c>
    </row>
    <row r="229" spans="1:12" s="146" customFormat="1" ht="18">
      <c r="A229" s="141" t="s">
        <v>324</v>
      </c>
      <c r="B229" s="281"/>
      <c r="C229" s="144"/>
      <c r="D229" s="147"/>
      <c r="E229" s="144"/>
      <c r="F229" s="324">
        <v>2920</v>
      </c>
      <c r="G229" s="48"/>
      <c r="H229" s="47"/>
      <c r="I229" s="147"/>
      <c r="J229" s="48"/>
      <c r="K229" s="147"/>
      <c r="L229" s="144">
        <f t="shared" si="24"/>
        <v>2920</v>
      </c>
    </row>
    <row r="230" spans="1:12" s="146" customFormat="1" ht="18">
      <c r="A230" s="141" t="s">
        <v>92</v>
      </c>
      <c r="B230" s="281"/>
      <c r="C230" s="147"/>
      <c r="D230" s="147"/>
      <c r="E230" s="147"/>
      <c r="F230" s="324">
        <v>19320</v>
      </c>
      <c r="G230" s="48">
        <v>19320</v>
      </c>
      <c r="H230" s="77" t="s">
        <v>259</v>
      </c>
      <c r="I230" s="147"/>
      <c r="J230" s="46">
        <v>19320</v>
      </c>
      <c r="K230" s="144"/>
      <c r="L230" s="144">
        <f t="shared" si="23"/>
        <v>57960</v>
      </c>
    </row>
    <row r="231" spans="1:12" s="146" customFormat="1" ht="18">
      <c r="A231" s="141" t="s">
        <v>290</v>
      </c>
      <c r="B231" s="292"/>
      <c r="C231" s="111">
        <v>19790</v>
      </c>
      <c r="D231" s="48"/>
      <c r="E231" s="48"/>
      <c r="F231" s="324"/>
      <c r="G231" s="48"/>
      <c r="H231" s="48"/>
      <c r="I231" s="147"/>
      <c r="J231" s="147"/>
      <c r="K231" s="144"/>
      <c r="L231" s="144">
        <f t="shared" si="23"/>
        <v>19790</v>
      </c>
    </row>
    <row r="232" spans="1:12" s="146" customFormat="1" ht="18">
      <c r="A232" s="141" t="s">
        <v>190</v>
      </c>
      <c r="B232" s="292"/>
      <c r="C232" s="111"/>
      <c r="D232" s="48"/>
      <c r="E232" s="48"/>
      <c r="F232" s="324"/>
      <c r="G232" s="48"/>
      <c r="H232" s="48">
        <v>21135</v>
      </c>
      <c r="I232" s="147"/>
      <c r="J232" s="147"/>
      <c r="K232" s="144"/>
      <c r="L232" s="144">
        <f>SUM(C232:K232)</f>
        <v>21135</v>
      </c>
    </row>
    <row r="233" spans="1:12" s="146" customFormat="1" ht="18">
      <c r="A233" s="141" t="s">
        <v>291</v>
      </c>
      <c r="B233" s="292"/>
      <c r="C233" s="111">
        <v>1105</v>
      </c>
      <c r="D233" s="48"/>
      <c r="E233" s="48"/>
      <c r="F233" s="324"/>
      <c r="G233" s="48"/>
      <c r="H233" s="48"/>
      <c r="I233" s="147"/>
      <c r="J233" s="147"/>
      <c r="K233" s="144"/>
      <c r="L233" s="144">
        <f>SUM(C233:K233)</f>
        <v>1105</v>
      </c>
    </row>
    <row r="234" spans="1:12" s="146" customFormat="1" ht="15.75" customHeight="1">
      <c r="A234" s="141" t="s">
        <v>177</v>
      </c>
      <c r="B234" s="281"/>
      <c r="C234" s="147">
        <v>4755</v>
      </c>
      <c r="D234" s="48"/>
      <c r="E234" s="46"/>
      <c r="F234" s="320"/>
      <c r="G234" s="48" t="s">
        <v>201</v>
      </c>
      <c r="H234" s="48"/>
      <c r="I234" s="147"/>
      <c r="J234" s="144"/>
      <c r="K234" s="147"/>
      <c r="L234" s="144">
        <f>SUM(C234:K234)</f>
        <v>4755</v>
      </c>
    </row>
    <row r="235" spans="1:12" s="181" customFormat="1" ht="15.75" customHeight="1">
      <c r="A235" s="178" t="s">
        <v>424</v>
      </c>
      <c r="B235" s="232"/>
      <c r="C235" s="179"/>
      <c r="D235" s="386">
        <v>29589</v>
      </c>
      <c r="E235" s="187"/>
      <c r="F235" s="325"/>
      <c r="G235" s="223"/>
      <c r="H235" s="223"/>
      <c r="I235" s="223"/>
      <c r="J235" s="256"/>
      <c r="K235" s="179"/>
      <c r="L235" s="144">
        <f t="shared" ref="L235" si="25">SUM(C235:K235)</f>
        <v>29589</v>
      </c>
    </row>
    <row r="236" spans="1:12" s="181" customFormat="1" ht="15.75" customHeight="1">
      <c r="A236" s="178" t="s">
        <v>366</v>
      </c>
      <c r="B236" s="232"/>
      <c r="C236" s="179"/>
      <c r="D236" s="179"/>
      <c r="E236" s="180"/>
      <c r="F236" s="321"/>
      <c r="G236" s="193">
        <v>5270</v>
      </c>
      <c r="H236" s="193"/>
      <c r="I236" s="193"/>
      <c r="J236" s="242"/>
      <c r="K236" s="179"/>
      <c r="L236" s="144">
        <f t="shared" ref="L236" si="26">SUM(C236:K236)</f>
        <v>5270</v>
      </c>
    </row>
    <row r="237" spans="1:12" s="51" customFormat="1" ht="15.75" customHeight="1">
      <c r="A237" s="141" t="s">
        <v>228</v>
      </c>
      <c r="B237" s="281"/>
      <c r="C237" s="48"/>
      <c r="D237" s="48"/>
      <c r="E237" s="46"/>
      <c r="F237" s="338">
        <v>35304</v>
      </c>
      <c r="G237" s="223"/>
      <c r="H237" s="201">
        <v>10000</v>
      </c>
      <c r="I237" s="48"/>
      <c r="J237" s="46"/>
      <c r="K237" s="48"/>
      <c r="L237" s="46">
        <f t="shared" ref="L237" si="27">SUM(C237:K237)</f>
        <v>45304</v>
      </c>
    </row>
    <row r="238" spans="1:12" s="51" customFormat="1" ht="16.5" customHeight="1">
      <c r="A238" s="141" t="s">
        <v>415</v>
      </c>
      <c r="B238" s="281"/>
      <c r="C238" s="48"/>
      <c r="D238" s="48"/>
      <c r="E238" s="46"/>
      <c r="F238" s="338">
        <v>347</v>
      </c>
      <c r="G238" s="223"/>
      <c r="H238" s="201">
        <v>347</v>
      </c>
      <c r="I238" s="48"/>
      <c r="J238" s="46"/>
      <c r="K238" s="48"/>
      <c r="L238" s="46">
        <f>SUM(C238:K238)</f>
        <v>694</v>
      </c>
    </row>
    <row r="239" spans="1:12" s="51" customFormat="1" ht="15.75" customHeight="1">
      <c r="A239" s="141" t="s">
        <v>416</v>
      </c>
      <c r="B239" s="281"/>
      <c r="C239" s="48"/>
      <c r="D239" s="48"/>
      <c r="E239" s="46"/>
      <c r="F239" s="338" t="s">
        <v>417</v>
      </c>
      <c r="G239" s="223"/>
      <c r="H239" s="201" t="s">
        <v>417</v>
      </c>
      <c r="I239" s="48"/>
      <c r="J239" s="46"/>
      <c r="K239" s="48"/>
      <c r="L239" s="46">
        <v>0</v>
      </c>
    </row>
    <row r="240" spans="1:12" s="146" customFormat="1" ht="18">
      <c r="A240" s="141" t="s">
        <v>94</v>
      </c>
      <c r="B240" s="281"/>
      <c r="C240" s="48"/>
      <c r="D240" s="48">
        <v>1645</v>
      </c>
      <c r="E240" s="48"/>
      <c r="F240" s="324"/>
      <c r="G240" s="46"/>
      <c r="H240" s="48"/>
      <c r="I240" s="48"/>
      <c r="J240" s="46"/>
      <c r="K240" s="46"/>
      <c r="L240" s="144">
        <f t="shared" si="23"/>
        <v>1645</v>
      </c>
    </row>
    <row r="241" spans="1:12" s="146" customFormat="1" ht="18">
      <c r="A241" s="141" t="s">
        <v>360</v>
      </c>
      <c r="B241" s="281"/>
      <c r="C241" s="46"/>
      <c r="D241" s="46"/>
      <c r="E241" s="180">
        <v>5418</v>
      </c>
      <c r="F241" s="320"/>
      <c r="G241" s="46"/>
      <c r="H241" s="46"/>
      <c r="I241" s="48"/>
      <c r="J241" s="46">
        <v>6010</v>
      </c>
      <c r="K241" s="48"/>
      <c r="L241" s="144">
        <f t="shared" si="23"/>
        <v>11428</v>
      </c>
    </row>
    <row r="242" spans="1:12" s="146" customFormat="1" ht="18">
      <c r="A242" s="141" t="s">
        <v>258</v>
      </c>
      <c r="B242" s="281"/>
      <c r="C242" s="46">
        <v>2125</v>
      </c>
      <c r="D242" s="46"/>
      <c r="E242" s="46"/>
      <c r="F242" s="320"/>
      <c r="G242" s="46"/>
      <c r="H242" s="46"/>
      <c r="I242" s="48"/>
      <c r="J242" s="46"/>
      <c r="K242" s="48"/>
      <c r="L242" s="144">
        <f t="shared" si="23"/>
        <v>2125</v>
      </c>
    </row>
    <row r="243" spans="1:12" s="146" customFormat="1" ht="18">
      <c r="A243" s="141" t="s">
        <v>398</v>
      </c>
      <c r="B243" s="281"/>
      <c r="C243" s="46"/>
      <c r="D243" s="161"/>
      <c r="E243" s="46"/>
      <c r="F243" s="324"/>
      <c r="G243" s="46"/>
      <c r="H243" s="48"/>
      <c r="I243" s="46"/>
      <c r="J243" s="161">
        <v>4084</v>
      </c>
      <c r="K243" s="161"/>
      <c r="L243" s="144">
        <f t="shared" ref="L243:L248" si="28">SUM(C243:K243)</f>
        <v>4084</v>
      </c>
    </row>
    <row r="244" spans="1:12" s="146" customFormat="1" ht="18">
      <c r="A244" s="141" t="s">
        <v>96</v>
      </c>
      <c r="B244" s="281"/>
      <c r="C244" s="46"/>
      <c r="D244" s="48">
        <v>3375</v>
      </c>
      <c r="E244" s="46"/>
      <c r="F244" s="314"/>
      <c r="G244" s="46"/>
      <c r="H244" s="161"/>
      <c r="I244" s="46"/>
      <c r="J244" s="242"/>
      <c r="K244" s="46">
        <v>2775</v>
      </c>
      <c r="L244" s="144">
        <f t="shared" si="28"/>
        <v>6150</v>
      </c>
    </row>
    <row r="245" spans="1:12" s="146" customFormat="1" ht="18">
      <c r="A245" s="141" t="s">
        <v>304</v>
      </c>
      <c r="B245" s="281"/>
      <c r="C245" s="46"/>
      <c r="D245" s="48">
        <v>1158</v>
      </c>
      <c r="E245" s="46"/>
      <c r="F245" s="324">
        <v>1158</v>
      </c>
      <c r="G245" s="46"/>
      <c r="H245" s="48">
        <v>1158</v>
      </c>
      <c r="I245" s="46"/>
      <c r="J245" s="180">
        <v>1158</v>
      </c>
      <c r="K245" s="46">
        <v>1046</v>
      </c>
      <c r="L245" s="144">
        <f t="shared" si="28"/>
        <v>5678</v>
      </c>
    </row>
    <row r="246" spans="1:12" s="146" customFormat="1" ht="18">
      <c r="A246" s="141" t="s">
        <v>260</v>
      </c>
      <c r="B246" s="281"/>
      <c r="C246" s="144"/>
      <c r="D246" s="147"/>
      <c r="E246" s="144"/>
      <c r="F246" s="304"/>
      <c r="G246" s="144"/>
      <c r="H246" s="48">
        <v>2560</v>
      </c>
      <c r="I246" s="144"/>
      <c r="J246" s="144"/>
      <c r="K246" s="144"/>
      <c r="L246" s="144">
        <f t="shared" si="28"/>
        <v>2560</v>
      </c>
    </row>
    <row r="247" spans="1:12" s="181" customFormat="1" ht="18">
      <c r="A247" s="178" t="s">
        <v>444</v>
      </c>
      <c r="B247" s="232"/>
      <c r="C247" s="180"/>
      <c r="D247" s="232"/>
      <c r="E247" s="180"/>
      <c r="F247" s="305"/>
      <c r="G247" s="180"/>
      <c r="H247" s="223">
        <v>6040</v>
      </c>
      <c r="I247" s="180"/>
      <c r="J247" s="180"/>
      <c r="K247" s="180"/>
      <c r="L247" s="180">
        <f t="shared" si="28"/>
        <v>6040</v>
      </c>
    </row>
    <row r="248" spans="1:12" s="181" customFormat="1" ht="18">
      <c r="A248" s="178" t="s">
        <v>426</v>
      </c>
      <c r="B248" s="232"/>
      <c r="C248" s="180"/>
      <c r="D248" s="269">
        <v>4792</v>
      </c>
      <c r="E248" s="180"/>
      <c r="F248" s="305"/>
      <c r="G248" s="180"/>
      <c r="H248" s="179"/>
      <c r="I248" s="180"/>
      <c r="J248" s="180"/>
      <c r="K248" s="180"/>
      <c r="L248" s="144">
        <f t="shared" si="28"/>
        <v>4792</v>
      </c>
    </row>
    <row r="249" spans="1:12" s="146" customFormat="1" ht="18">
      <c r="A249" s="141" t="s">
        <v>251</v>
      </c>
      <c r="B249" s="281"/>
      <c r="C249" s="144"/>
      <c r="D249" s="147"/>
      <c r="E249" s="144"/>
      <c r="F249" s="339"/>
      <c r="G249" s="147"/>
      <c r="H249" s="147"/>
      <c r="I249" s="144"/>
      <c r="J249" s="144"/>
      <c r="K249" s="46">
        <v>7650</v>
      </c>
      <c r="L249" s="144">
        <f t="shared" ref="L249:L275" si="29">SUM(C249:K249)</f>
        <v>7650</v>
      </c>
    </row>
    <row r="250" spans="1:12" s="146" customFormat="1" ht="18">
      <c r="A250" s="141" t="s">
        <v>99</v>
      </c>
      <c r="B250" s="281"/>
      <c r="C250" s="144"/>
      <c r="D250" s="144"/>
      <c r="E250" s="144"/>
      <c r="F250" s="306"/>
      <c r="G250" s="144"/>
      <c r="H250" s="147"/>
      <c r="I250" s="144"/>
      <c r="J250" s="46">
        <v>3370</v>
      </c>
      <c r="K250" s="144"/>
      <c r="L250" s="144">
        <f t="shared" si="29"/>
        <v>3370</v>
      </c>
    </row>
    <row r="251" spans="1:12" s="146" customFormat="1" ht="18">
      <c r="A251" s="141" t="s">
        <v>100</v>
      </c>
      <c r="B251" s="281"/>
      <c r="C251" s="144"/>
      <c r="D251" s="144"/>
      <c r="E251" s="144"/>
      <c r="F251" s="304">
        <v>3180</v>
      </c>
      <c r="G251" s="144"/>
      <c r="H251" s="144"/>
      <c r="I251" s="144"/>
      <c r="J251" s="144"/>
      <c r="K251" s="144" t="s">
        <v>202</v>
      </c>
      <c r="L251" s="144">
        <f t="shared" si="29"/>
        <v>3180</v>
      </c>
    </row>
    <row r="252" spans="1:12" s="146" customFormat="1" ht="18">
      <c r="A252" s="141" t="s">
        <v>101</v>
      </c>
      <c r="B252" s="281"/>
      <c r="C252" s="48">
        <v>3365</v>
      </c>
      <c r="D252" s="48"/>
      <c r="E252" s="46"/>
      <c r="F252" s="324">
        <v>3240</v>
      </c>
      <c r="G252" s="48">
        <v>5371</v>
      </c>
      <c r="I252" s="48">
        <v>2915</v>
      </c>
      <c r="J252" s="46"/>
      <c r="K252" s="46">
        <v>2080</v>
      </c>
      <c r="L252" s="144">
        <f t="shared" si="29"/>
        <v>16971</v>
      </c>
    </row>
    <row r="253" spans="1:12" s="146" customFormat="1" ht="18">
      <c r="A253" s="178" t="s">
        <v>374</v>
      </c>
      <c r="B253" s="232"/>
      <c r="C253" s="147"/>
      <c r="D253" s="147"/>
      <c r="E253" s="144"/>
      <c r="F253" s="304"/>
      <c r="G253" s="193">
        <v>5397</v>
      </c>
      <c r="H253" s="147"/>
      <c r="I253" s="147"/>
      <c r="J253" s="144">
        <v>6745</v>
      </c>
      <c r="K253" s="144"/>
      <c r="L253" s="144">
        <f>SUM(C253:K253)</f>
        <v>12142</v>
      </c>
    </row>
    <row r="254" spans="1:12" s="146" customFormat="1" ht="18">
      <c r="A254" s="141" t="s">
        <v>278</v>
      </c>
      <c r="B254" s="281"/>
      <c r="C254" s="147"/>
      <c r="D254" s="147"/>
      <c r="E254" s="144"/>
      <c r="F254" s="324">
        <v>1419</v>
      </c>
      <c r="G254" s="147"/>
      <c r="H254" s="147"/>
      <c r="I254" s="147"/>
      <c r="J254" s="144"/>
      <c r="K254" s="144"/>
      <c r="L254" s="144">
        <f>SUM(C254:K254)</f>
        <v>1419</v>
      </c>
    </row>
    <row r="255" spans="1:12" s="146" customFormat="1" ht="18">
      <c r="A255" s="141" t="s">
        <v>102</v>
      </c>
      <c r="B255" s="281"/>
      <c r="C255" s="48">
        <v>1940</v>
      </c>
      <c r="D255" s="48">
        <v>1940</v>
      </c>
      <c r="E255" s="176">
        <v>1940</v>
      </c>
      <c r="F255" s="324">
        <v>1940</v>
      </c>
      <c r="G255" s="48">
        <v>1940</v>
      </c>
      <c r="H255" s="48">
        <v>1940</v>
      </c>
      <c r="I255" s="48">
        <v>1940</v>
      </c>
      <c r="J255" s="46">
        <v>1940</v>
      </c>
      <c r="K255" s="144" t="s">
        <v>202</v>
      </c>
      <c r="L255" s="144">
        <f t="shared" si="29"/>
        <v>15520</v>
      </c>
    </row>
    <row r="256" spans="1:12" s="146" customFormat="1" ht="18">
      <c r="A256" s="141" t="s">
        <v>295</v>
      </c>
      <c r="B256" s="281"/>
      <c r="C256" s="48">
        <v>9285</v>
      </c>
      <c r="D256" s="48"/>
      <c r="E256" s="48"/>
      <c r="F256" s="324"/>
      <c r="G256" s="48"/>
      <c r="H256" s="48"/>
      <c r="I256" s="48"/>
      <c r="J256" s="46"/>
      <c r="K256" s="144"/>
      <c r="L256" s="144">
        <f>SUM(C256:K256)</f>
        <v>9285</v>
      </c>
    </row>
    <row r="257" spans="1:12" s="146" customFormat="1" ht="18">
      <c r="A257" s="141" t="s">
        <v>276</v>
      </c>
      <c r="B257" s="281"/>
      <c r="C257" s="144" t="s">
        <v>201</v>
      </c>
      <c r="D257" s="147"/>
      <c r="E257" s="147"/>
      <c r="F257" s="304"/>
      <c r="G257" s="144"/>
      <c r="H257" s="144">
        <v>5575</v>
      </c>
      <c r="I257" s="196" t="s">
        <v>201</v>
      </c>
      <c r="J257" s="144">
        <v>14030</v>
      </c>
      <c r="K257" s="147"/>
      <c r="L257" s="144">
        <f>SUM(C257:K257)</f>
        <v>19605</v>
      </c>
    </row>
    <row r="258" spans="1:12" s="146" customFormat="1" ht="18">
      <c r="A258" s="141" t="s">
        <v>189</v>
      </c>
      <c r="B258" s="281"/>
      <c r="C258" s="48">
        <v>4415</v>
      </c>
      <c r="D258" s="48"/>
      <c r="E258" s="48"/>
      <c r="F258" s="324"/>
      <c r="G258" s="48"/>
      <c r="H258" s="48"/>
      <c r="I258" s="48"/>
      <c r="J258" s="48"/>
      <c r="K258" s="144"/>
      <c r="L258" s="144">
        <f>SUM(C258:K258)</f>
        <v>4415</v>
      </c>
    </row>
    <row r="259" spans="1:12" s="146" customFormat="1" ht="18">
      <c r="A259" s="141" t="s">
        <v>103</v>
      </c>
      <c r="B259" s="281"/>
      <c r="C259" s="147"/>
      <c r="D259" s="153"/>
      <c r="E259" s="147">
        <v>3540</v>
      </c>
      <c r="F259" s="304"/>
      <c r="G259" s="144"/>
      <c r="H259" s="48"/>
      <c r="I259" s="48"/>
      <c r="J259" s="158">
        <v>4501</v>
      </c>
      <c r="K259" s="144"/>
      <c r="L259" s="144">
        <f t="shared" si="29"/>
        <v>8041</v>
      </c>
    </row>
    <row r="260" spans="1:12" s="146" customFormat="1" ht="18">
      <c r="A260" s="141" t="s">
        <v>104</v>
      </c>
      <c r="B260" s="281"/>
      <c r="C260" s="147"/>
      <c r="D260" s="147"/>
      <c r="E260" s="147"/>
      <c r="F260" s="304"/>
      <c r="G260" s="147"/>
      <c r="H260" s="48">
        <v>2078</v>
      </c>
      <c r="I260" s="48">
        <v>310</v>
      </c>
      <c r="J260" s="46"/>
      <c r="K260" s="144"/>
      <c r="L260" s="144">
        <f t="shared" si="29"/>
        <v>2388</v>
      </c>
    </row>
    <row r="261" spans="1:12" s="146" customFormat="1" ht="18">
      <c r="A261" s="141" t="s">
        <v>105</v>
      </c>
      <c r="B261" s="281"/>
      <c r="C261" s="48"/>
      <c r="D261" s="48"/>
      <c r="E261" s="176">
        <v>6040</v>
      </c>
      <c r="F261" s="324"/>
      <c r="G261" s="48"/>
      <c r="H261" s="48"/>
      <c r="I261" s="48">
        <v>2115</v>
      </c>
      <c r="J261" s="46"/>
      <c r="K261" s="46" t="s">
        <v>202</v>
      </c>
      <c r="L261" s="144">
        <f t="shared" si="29"/>
        <v>8155</v>
      </c>
    </row>
    <row r="262" spans="1:12" s="146" customFormat="1" ht="18">
      <c r="A262" s="141" t="s">
        <v>106</v>
      </c>
      <c r="B262" s="281"/>
      <c r="C262" s="48">
        <v>510</v>
      </c>
      <c r="D262" s="48"/>
      <c r="E262" s="48"/>
      <c r="F262" s="324">
        <v>4495</v>
      </c>
      <c r="G262" s="46"/>
      <c r="H262" s="48"/>
      <c r="I262" s="48"/>
      <c r="J262" s="46"/>
      <c r="K262" s="46"/>
      <c r="L262" s="144">
        <f t="shared" si="29"/>
        <v>5005</v>
      </c>
    </row>
    <row r="263" spans="1:12" s="146" customFormat="1" ht="18">
      <c r="A263" s="141" t="s">
        <v>107</v>
      </c>
      <c r="B263" s="281"/>
      <c r="C263" s="48"/>
      <c r="D263" s="48"/>
      <c r="E263" s="48"/>
      <c r="F263" s="324"/>
      <c r="G263" s="46"/>
      <c r="H263" s="48"/>
      <c r="I263" s="48"/>
      <c r="J263" s="46"/>
      <c r="K263" s="46">
        <v>1270</v>
      </c>
      <c r="L263" s="144">
        <f t="shared" si="29"/>
        <v>1270</v>
      </c>
    </row>
    <row r="264" spans="1:12" s="146" customFormat="1" ht="18">
      <c r="A264" s="141" t="s">
        <v>108</v>
      </c>
      <c r="B264" s="281"/>
      <c r="C264" s="48"/>
      <c r="D264" s="48"/>
      <c r="E264" s="48"/>
      <c r="F264" s="324"/>
      <c r="G264" s="46"/>
      <c r="H264" s="48"/>
      <c r="I264" s="48"/>
      <c r="J264" s="46"/>
      <c r="K264" s="46">
        <v>970</v>
      </c>
      <c r="L264" s="144">
        <f t="shared" si="29"/>
        <v>970</v>
      </c>
    </row>
    <row r="265" spans="1:12" s="27" customFormat="1" ht="62.25">
      <c r="A265" s="39"/>
      <c r="B265" s="295"/>
      <c r="C265" s="26" t="s">
        <v>191</v>
      </c>
      <c r="D265" s="26" t="s">
        <v>192</v>
      </c>
      <c r="E265" s="26" t="s">
        <v>193</v>
      </c>
      <c r="F265" s="334" t="s">
        <v>194</v>
      </c>
      <c r="G265" s="26" t="s">
        <v>195</v>
      </c>
      <c r="H265" s="26" t="s">
        <v>196</v>
      </c>
      <c r="I265" s="26" t="s">
        <v>197</v>
      </c>
      <c r="J265" s="26" t="s">
        <v>198</v>
      </c>
      <c r="K265" s="17" t="s">
        <v>199</v>
      </c>
      <c r="L265" s="26"/>
    </row>
    <row r="266" spans="1:12" s="1" customFormat="1" ht="18.600000000000001" customHeight="1">
      <c r="A266" s="356" t="s">
        <v>300</v>
      </c>
      <c r="B266" s="290"/>
      <c r="C266" s="9"/>
      <c r="D266" s="10"/>
      <c r="E266" s="11"/>
      <c r="F266" s="302"/>
      <c r="G266" s="12"/>
      <c r="H266" s="12"/>
      <c r="I266" s="13"/>
      <c r="J266" s="9"/>
      <c r="K266" s="9"/>
      <c r="L266" s="14"/>
    </row>
    <row r="267" spans="1:12" s="145" customFormat="1" ht="18">
      <c r="A267" s="141" t="s">
        <v>273</v>
      </c>
      <c r="B267" s="281"/>
      <c r="C267" s="151"/>
      <c r="D267" s="151"/>
      <c r="E267" s="151"/>
      <c r="F267" s="306" t="s">
        <v>201</v>
      </c>
      <c r="G267" s="151"/>
      <c r="H267" s="144">
        <v>2235</v>
      </c>
      <c r="I267" s="151"/>
      <c r="J267" s="151"/>
      <c r="K267" s="151"/>
      <c r="L267" s="144">
        <f t="shared" ref="L267:L272" si="30">SUM(C267:K267)</f>
        <v>2235</v>
      </c>
    </row>
    <row r="268" spans="1:12" s="145" customFormat="1" ht="18">
      <c r="A268" s="141" t="s">
        <v>274</v>
      </c>
      <c r="B268" s="281"/>
      <c r="C268" s="151"/>
      <c r="D268" s="151"/>
      <c r="E268" s="151"/>
      <c r="F268" s="306">
        <v>2076</v>
      </c>
      <c r="G268" s="151"/>
      <c r="H268" s="144"/>
      <c r="I268" s="151"/>
      <c r="J268" s="151"/>
      <c r="K268" s="151"/>
      <c r="L268" s="144">
        <f t="shared" si="30"/>
        <v>2076</v>
      </c>
    </row>
    <row r="269" spans="1:12" s="388" customFormat="1" ht="18">
      <c r="A269" s="178" t="s">
        <v>445</v>
      </c>
      <c r="B269" s="232"/>
      <c r="C269" s="208"/>
      <c r="D269" s="208"/>
      <c r="E269" s="208"/>
      <c r="F269" s="321">
        <v>4000</v>
      </c>
      <c r="G269" s="208"/>
      <c r="H269" s="180"/>
      <c r="I269" s="208"/>
      <c r="J269" s="208"/>
      <c r="K269" s="208"/>
      <c r="L269" s="180">
        <f t="shared" si="30"/>
        <v>4000</v>
      </c>
    </row>
    <row r="270" spans="1:12" s="145" customFormat="1" ht="18">
      <c r="A270" s="141" t="s">
        <v>275</v>
      </c>
      <c r="B270" s="281"/>
      <c r="C270" s="151"/>
      <c r="D270" s="151"/>
      <c r="E270" s="151"/>
      <c r="F270" s="306">
        <v>660</v>
      </c>
      <c r="G270" s="151"/>
      <c r="H270" s="144"/>
      <c r="I270" s="151"/>
      <c r="J270" s="151"/>
      <c r="K270" s="151"/>
      <c r="L270" s="144">
        <f t="shared" si="30"/>
        <v>660</v>
      </c>
    </row>
    <row r="271" spans="1:12" s="145" customFormat="1" ht="18">
      <c r="A271" s="141" t="s">
        <v>299</v>
      </c>
      <c r="B271" s="281"/>
      <c r="C271" s="151"/>
      <c r="D271" s="151"/>
      <c r="E271" s="151"/>
      <c r="F271" s="306">
        <v>0</v>
      </c>
      <c r="G271" s="151"/>
      <c r="H271" s="144"/>
      <c r="I271" s="151"/>
      <c r="J271" s="151"/>
      <c r="K271" s="151"/>
      <c r="L271" s="144">
        <f t="shared" si="30"/>
        <v>0</v>
      </c>
    </row>
    <row r="272" spans="1:12" s="156" customFormat="1" ht="18">
      <c r="A272" s="141" t="s">
        <v>222</v>
      </c>
      <c r="B272" s="281"/>
      <c r="C272" s="147"/>
      <c r="D272" s="147"/>
      <c r="E272" s="147"/>
      <c r="F272" s="304"/>
      <c r="G272" s="147"/>
      <c r="H272" s="147"/>
      <c r="I272" s="147"/>
      <c r="J272" s="147">
        <v>1750</v>
      </c>
      <c r="K272" s="147"/>
      <c r="L272" s="144">
        <f t="shared" si="30"/>
        <v>1750</v>
      </c>
    </row>
    <row r="273" spans="1:12" s="146" customFormat="1" ht="18">
      <c r="A273" s="141" t="s">
        <v>423</v>
      </c>
      <c r="B273" s="281"/>
      <c r="C273" s="144"/>
      <c r="D273" s="147"/>
      <c r="E273" s="147"/>
      <c r="F273" s="304"/>
      <c r="G273" s="144"/>
      <c r="H273" s="144"/>
      <c r="I273" s="147"/>
      <c r="J273" s="144">
        <v>3353</v>
      </c>
      <c r="K273" s="147"/>
      <c r="L273" s="144">
        <f t="shared" si="29"/>
        <v>3353</v>
      </c>
    </row>
    <row r="274" spans="1:12" s="146" customFormat="1" ht="18">
      <c r="A274" s="141" t="s">
        <v>110</v>
      </c>
      <c r="B274" s="281"/>
      <c r="C274" s="144" t="s">
        <v>201</v>
      </c>
      <c r="D274" s="147">
        <v>7500</v>
      </c>
      <c r="E274" s="147"/>
      <c r="F274" s="304"/>
      <c r="G274" s="144"/>
      <c r="H274" s="241"/>
      <c r="I274" s="147"/>
      <c r="J274" s="147"/>
      <c r="K274" s="147"/>
      <c r="L274" s="144">
        <f t="shared" si="29"/>
        <v>7500</v>
      </c>
    </row>
    <row r="275" spans="1:12" s="140" customFormat="1">
      <c r="A275" s="353" t="s">
        <v>181</v>
      </c>
      <c r="B275" s="285"/>
      <c r="C275" s="138"/>
      <c r="D275" s="136"/>
      <c r="E275" s="136"/>
      <c r="F275" s="315"/>
      <c r="G275" s="138"/>
      <c r="H275" s="138"/>
      <c r="I275" s="136"/>
      <c r="J275" s="136">
        <v>21178</v>
      </c>
      <c r="K275" s="136"/>
      <c r="L275" s="138">
        <f t="shared" si="29"/>
        <v>21178</v>
      </c>
    </row>
    <row r="276" spans="1:12" s="140" customFormat="1">
      <c r="A276" s="352" t="s">
        <v>186</v>
      </c>
      <c r="B276" s="284"/>
      <c r="C276" s="138"/>
      <c r="D276" s="138"/>
      <c r="E276" s="138"/>
      <c r="F276" s="316"/>
      <c r="G276" s="138"/>
      <c r="H276" s="138"/>
      <c r="I276" s="138"/>
      <c r="J276" s="138">
        <v>1482</v>
      </c>
      <c r="K276" s="138"/>
      <c r="L276" s="138">
        <f>SUM(J276:K276)</f>
        <v>1482</v>
      </c>
    </row>
    <row r="277" spans="1:12" s="140" customFormat="1">
      <c r="A277" s="353" t="s">
        <v>264</v>
      </c>
      <c r="B277" s="285"/>
      <c r="C277" s="170"/>
      <c r="D277" s="170"/>
      <c r="E277" s="170"/>
      <c r="F277" s="340"/>
      <c r="G277" s="171"/>
      <c r="H277" s="171"/>
      <c r="I277" s="171"/>
      <c r="J277" s="171" t="s">
        <v>225</v>
      </c>
      <c r="K277" s="136"/>
      <c r="L277" s="138">
        <f>SUM(C277:K277)</f>
        <v>0</v>
      </c>
    </row>
    <row r="278" spans="1:12" s="146" customFormat="1" ht="18">
      <c r="A278" s="141" t="s">
        <v>452</v>
      </c>
      <c r="B278" s="281"/>
      <c r="C278" s="147"/>
      <c r="D278" s="147">
        <v>1495</v>
      </c>
      <c r="E278" s="147"/>
      <c r="F278" s="304"/>
      <c r="G278" s="147"/>
      <c r="H278" s="147"/>
      <c r="I278" s="147"/>
      <c r="J278" s="144"/>
      <c r="K278" s="147"/>
      <c r="L278" s="144">
        <f>SUM(C278:K278)</f>
        <v>1495</v>
      </c>
    </row>
    <row r="279" spans="1:12" s="146" customFormat="1" ht="18">
      <c r="A279" s="141" t="s">
        <v>410</v>
      </c>
      <c r="B279" s="281"/>
      <c r="C279" s="147">
        <v>4212</v>
      </c>
      <c r="D279" s="147">
        <v>2054.75</v>
      </c>
      <c r="E279" s="176">
        <v>4212</v>
      </c>
      <c r="F279" s="304">
        <v>4212</v>
      </c>
      <c r="G279" s="147">
        <v>4212</v>
      </c>
      <c r="H279" s="147">
        <v>4212</v>
      </c>
      <c r="I279" s="147">
        <v>4212</v>
      </c>
      <c r="J279" s="147">
        <v>4212</v>
      </c>
      <c r="K279" s="147">
        <v>4212</v>
      </c>
      <c r="L279" s="144">
        <f t="shared" ref="L279:L282" si="31">SUM(C279:K279)</f>
        <v>35750.75</v>
      </c>
    </row>
    <row r="280" spans="1:12" s="146" customFormat="1" ht="18">
      <c r="A280" s="141" t="s">
        <v>411</v>
      </c>
      <c r="B280" s="232">
        <v>0</v>
      </c>
      <c r="C280" s="147">
        <v>9794</v>
      </c>
      <c r="D280" s="147">
        <v>3365</v>
      </c>
      <c r="E280" s="112"/>
      <c r="F280" s="304">
        <v>9794</v>
      </c>
      <c r="G280" s="147">
        <v>9794</v>
      </c>
      <c r="H280" s="147">
        <v>9794</v>
      </c>
      <c r="I280" s="147">
        <v>9794</v>
      </c>
      <c r="J280" s="147">
        <v>9794</v>
      </c>
      <c r="K280" s="147">
        <v>9794</v>
      </c>
      <c r="L280" s="144">
        <f>SUM(B280:K280)</f>
        <v>71923</v>
      </c>
    </row>
    <row r="281" spans="1:12" s="181" customFormat="1" ht="18">
      <c r="A281" s="178" t="s">
        <v>436</v>
      </c>
      <c r="B281" s="232"/>
      <c r="C281" s="179"/>
      <c r="D281" s="179"/>
      <c r="E281" s="223"/>
      <c r="F281" s="305"/>
      <c r="G281" s="179"/>
      <c r="H281" s="179"/>
      <c r="I281" s="179"/>
      <c r="J281" s="179">
        <v>0</v>
      </c>
      <c r="K281" s="179"/>
      <c r="L281" s="180">
        <f>SUM(B281:K281)</f>
        <v>0</v>
      </c>
    </row>
    <row r="282" spans="1:12" s="146" customFormat="1" ht="18">
      <c r="A282" s="141" t="s">
        <v>412</v>
      </c>
      <c r="B282" s="281"/>
      <c r="C282" s="147">
        <v>2106</v>
      </c>
      <c r="D282" s="147">
        <v>2106</v>
      </c>
      <c r="E282" s="147">
        <v>2106</v>
      </c>
      <c r="F282" s="304">
        <v>2106</v>
      </c>
      <c r="G282" s="147">
        <v>2106</v>
      </c>
      <c r="H282" s="147">
        <v>2106</v>
      </c>
      <c r="I282" s="147">
        <v>2106</v>
      </c>
      <c r="J282" s="147">
        <v>2106</v>
      </c>
      <c r="K282" s="147">
        <v>2106</v>
      </c>
      <c r="L282" s="144">
        <f t="shared" si="31"/>
        <v>18954</v>
      </c>
    </row>
    <row r="283" spans="1:12" s="146" customFormat="1" ht="18">
      <c r="A283" s="141" t="s">
        <v>422</v>
      </c>
      <c r="B283" s="281"/>
      <c r="C283" s="147"/>
      <c r="D283" s="147"/>
      <c r="E283" s="147"/>
      <c r="F283" s="304"/>
      <c r="G283" s="147"/>
      <c r="H283" s="147"/>
      <c r="I283" s="147"/>
      <c r="J283" s="144">
        <v>0</v>
      </c>
      <c r="K283" s="147"/>
      <c r="L283" s="144">
        <f>SUM(C283:K283)</f>
        <v>0</v>
      </c>
    </row>
    <row r="284" spans="1:12" s="146" customFormat="1" ht="18">
      <c r="A284" s="141" t="s">
        <v>413</v>
      </c>
      <c r="B284" s="281"/>
      <c r="C284" s="147"/>
      <c r="D284" s="46">
        <v>809</v>
      </c>
      <c r="E284" s="380">
        <v>1079</v>
      </c>
      <c r="F284" s="320">
        <v>809</v>
      </c>
      <c r="G284" s="46">
        <v>1079</v>
      </c>
      <c r="H284" s="50">
        <v>809</v>
      </c>
      <c r="I284" s="50">
        <v>809</v>
      </c>
      <c r="J284" s="46">
        <v>1349</v>
      </c>
      <c r="K284" s="147"/>
      <c r="L284" s="144">
        <f t="shared" ref="L284:L294" si="32">SUM(C284:K284)</f>
        <v>6743</v>
      </c>
    </row>
    <row r="285" spans="1:12" s="146" customFormat="1" ht="18">
      <c r="A285" s="141" t="s">
        <v>414</v>
      </c>
      <c r="B285" s="281"/>
      <c r="C285" s="147"/>
      <c r="D285" s="48">
        <v>54</v>
      </c>
      <c r="E285" s="380"/>
      <c r="F285" s="324">
        <v>54</v>
      </c>
      <c r="G285" s="48"/>
      <c r="H285" s="48"/>
      <c r="I285" s="48"/>
      <c r="J285" s="46"/>
      <c r="K285" s="147"/>
      <c r="L285" s="144">
        <f>SUM(C285:K285)</f>
        <v>108</v>
      </c>
    </row>
    <row r="286" spans="1:12" s="146" customFormat="1" ht="18">
      <c r="A286" s="141" t="s">
        <v>253</v>
      </c>
      <c r="B286" s="281"/>
      <c r="C286" s="147"/>
      <c r="D286" s="48">
        <v>199</v>
      </c>
      <c r="E286" s="380">
        <v>199</v>
      </c>
      <c r="F286" s="324">
        <v>199</v>
      </c>
      <c r="G286" s="48">
        <v>199</v>
      </c>
      <c r="H286" s="48">
        <v>199</v>
      </c>
      <c r="I286" s="48"/>
      <c r="J286" s="46"/>
      <c r="K286" s="147"/>
      <c r="L286" s="144">
        <f>SUM(C286:K286)</f>
        <v>995</v>
      </c>
    </row>
    <row r="287" spans="1:12" s="181" customFormat="1" ht="18">
      <c r="A287" s="385" t="s">
        <v>441</v>
      </c>
      <c r="B287" s="232"/>
      <c r="C287" s="179"/>
      <c r="D287" s="179"/>
      <c r="E287" s="179">
        <v>5000</v>
      </c>
      <c r="F287" s="305"/>
      <c r="G287" s="179"/>
      <c r="H287" s="179"/>
      <c r="I287" s="179"/>
      <c r="J287" s="180"/>
      <c r="K287" s="179"/>
      <c r="L287" s="180"/>
    </row>
    <row r="288" spans="1:12" s="146" customFormat="1" ht="18">
      <c r="A288" s="141" t="s">
        <v>255</v>
      </c>
      <c r="B288" s="281"/>
      <c r="C288" s="144"/>
      <c r="D288" s="144">
        <v>659</v>
      </c>
      <c r="E288" s="147"/>
      <c r="F288" s="310">
        <v>1319</v>
      </c>
      <c r="G288" s="144"/>
      <c r="H288" s="15">
        <v>792</v>
      </c>
      <c r="I288" s="147"/>
      <c r="J288" s="147"/>
      <c r="K288" s="147"/>
      <c r="L288" s="144">
        <f>SUM(C288:K288)</f>
        <v>2770</v>
      </c>
    </row>
    <row r="289" spans="1:12" s="146" customFormat="1" ht="18">
      <c r="A289" s="141" t="s">
        <v>111</v>
      </c>
      <c r="B289" s="281"/>
      <c r="C289" s="144"/>
      <c r="D289" s="147"/>
      <c r="E289" s="147"/>
      <c r="F289" s="304"/>
      <c r="G289" s="144"/>
      <c r="H289" s="15">
        <v>3357</v>
      </c>
      <c r="I289" s="148"/>
      <c r="J289" s="147"/>
      <c r="K289" s="147"/>
      <c r="L289" s="144">
        <f t="shared" si="32"/>
        <v>3357</v>
      </c>
    </row>
    <row r="290" spans="1:12" s="375" customFormat="1" ht="18">
      <c r="A290" s="361" t="s">
        <v>369</v>
      </c>
      <c r="B290" s="367"/>
      <c r="C290" s="371"/>
      <c r="D290" s="369" t="s">
        <v>201</v>
      </c>
      <c r="E290" s="369"/>
      <c r="F290" s="373"/>
      <c r="G290" s="371"/>
      <c r="H290" s="371"/>
      <c r="I290" s="371"/>
      <c r="J290" s="369"/>
      <c r="K290" s="369"/>
      <c r="L290" s="371">
        <f>SUM(C290:K290)</f>
        <v>0</v>
      </c>
    </row>
    <row r="291" spans="1:12" s="140" customFormat="1" ht="18">
      <c r="A291" s="204" t="s">
        <v>188</v>
      </c>
      <c r="B291" s="285"/>
      <c r="C291" s="138"/>
      <c r="D291" s="136"/>
      <c r="E291" s="136"/>
      <c r="F291" s="315"/>
      <c r="G291" s="138"/>
      <c r="H291" s="138"/>
      <c r="I291" s="136"/>
      <c r="J291" s="138">
        <v>115638</v>
      </c>
      <c r="K291" s="136"/>
      <c r="L291" s="138">
        <f t="shared" si="32"/>
        <v>115638</v>
      </c>
    </row>
    <row r="292" spans="1:12" s="379" customFormat="1" ht="16.5" customHeight="1">
      <c r="A292" s="361" t="s">
        <v>370</v>
      </c>
      <c r="B292" s="367"/>
      <c r="C292" s="376"/>
      <c r="D292" s="369" t="s">
        <v>201</v>
      </c>
      <c r="E292" s="377"/>
      <c r="F292" s="378"/>
      <c r="G292" s="376"/>
      <c r="H292" s="376"/>
      <c r="I292" s="377"/>
      <c r="J292" s="377"/>
      <c r="K292" s="377"/>
      <c r="L292" s="371">
        <f>SUM(C292:K292)</f>
        <v>0</v>
      </c>
    </row>
    <row r="293" spans="1:12" s="146" customFormat="1" ht="19.5" customHeight="1">
      <c r="A293" s="141" t="s">
        <v>113</v>
      </c>
      <c r="B293" s="281"/>
      <c r="C293" s="144">
        <v>8400</v>
      </c>
      <c r="D293" s="144"/>
      <c r="E293" s="144"/>
      <c r="F293" s="306">
        <v>4750</v>
      </c>
      <c r="G293" s="144"/>
      <c r="H293" s="144">
        <v>3970</v>
      </c>
      <c r="I293" s="144"/>
      <c r="J293" s="144"/>
      <c r="K293" s="144"/>
      <c r="L293" s="144">
        <f t="shared" si="32"/>
        <v>17120</v>
      </c>
    </row>
    <row r="294" spans="1:12" s="146" customFormat="1">
      <c r="A294" s="350" t="s">
        <v>239</v>
      </c>
      <c r="B294" s="281"/>
      <c r="C294" s="144"/>
      <c r="D294" s="144"/>
      <c r="E294" s="144"/>
      <c r="F294" s="306"/>
      <c r="G294" s="144"/>
      <c r="H294" s="144"/>
      <c r="I294" s="144"/>
      <c r="J294" s="144" t="s">
        <v>225</v>
      </c>
      <c r="K294" s="144"/>
      <c r="L294" s="144">
        <f t="shared" si="32"/>
        <v>0</v>
      </c>
    </row>
    <row r="295" spans="1:12" s="206" customFormat="1">
      <c r="A295" s="357" t="s">
        <v>149</v>
      </c>
      <c r="B295" s="296"/>
      <c r="C295" s="137"/>
      <c r="D295" s="137"/>
      <c r="E295" s="137"/>
      <c r="F295" s="341"/>
      <c r="G295" s="137"/>
      <c r="H295" s="165"/>
      <c r="I295" s="137"/>
      <c r="J295" s="137" t="s">
        <v>225</v>
      </c>
      <c r="K295" s="137"/>
      <c r="L295" s="165">
        <f t="shared" ref="L295:L310" si="33">SUM(C295:K295)</f>
        <v>0</v>
      </c>
    </row>
    <row r="296" spans="1:12" s="206" customFormat="1" ht="18">
      <c r="A296" s="205" t="s">
        <v>151</v>
      </c>
      <c r="B296" s="296"/>
      <c r="C296" s="137"/>
      <c r="D296" s="137"/>
      <c r="E296" s="137"/>
      <c r="F296" s="341"/>
      <c r="G296" s="137" t="s">
        <v>201</v>
      </c>
      <c r="H296" s="165"/>
      <c r="I296" s="137"/>
      <c r="J296" s="68">
        <v>3360</v>
      </c>
      <c r="K296" s="137"/>
      <c r="L296" s="165">
        <f t="shared" si="33"/>
        <v>3360</v>
      </c>
    </row>
    <row r="297" spans="1:12" s="146" customFormat="1" ht="18">
      <c r="A297" s="141" t="s">
        <v>114</v>
      </c>
      <c r="B297" s="281"/>
      <c r="C297" s="144"/>
      <c r="D297" s="144"/>
      <c r="E297" s="144"/>
      <c r="F297" s="306"/>
      <c r="G297" s="147">
        <v>5364</v>
      </c>
      <c r="H297" s="147"/>
      <c r="I297" s="147"/>
      <c r="J297" s="144">
        <v>6480</v>
      </c>
      <c r="K297" s="144"/>
      <c r="L297" s="144">
        <f t="shared" si="33"/>
        <v>11844</v>
      </c>
    </row>
    <row r="298" spans="1:12" s="146" customFormat="1" ht="18">
      <c r="A298" s="141" t="s">
        <v>387</v>
      </c>
      <c r="B298" s="281"/>
      <c r="C298" s="144"/>
      <c r="D298" s="144"/>
      <c r="E298" s="144"/>
      <c r="F298" s="306"/>
      <c r="G298" s="147">
        <v>300</v>
      </c>
      <c r="H298" s="147"/>
      <c r="I298" s="147">
        <v>430</v>
      </c>
      <c r="J298" s="144">
        <v>581</v>
      </c>
      <c r="K298" s="144"/>
      <c r="L298" s="144">
        <f t="shared" si="33"/>
        <v>1311</v>
      </c>
    </row>
    <row r="299" spans="1:12" s="146" customFormat="1" ht="18">
      <c r="A299" s="141" t="s">
        <v>115</v>
      </c>
      <c r="B299" s="281"/>
      <c r="C299" s="144"/>
      <c r="D299" s="147">
        <v>2721.6</v>
      </c>
      <c r="E299" s="144"/>
      <c r="F299" s="306"/>
      <c r="G299" s="144" t="s">
        <v>201</v>
      </c>
      <c r="H299" s="144"/>
      <c r="I299" s="153"/>
      <c r="J299" s="144"/>
      <c r="K299" s="144"/>
      <c r="L299" s="144">
        <f t="shared" si="33"/>
        <v>2721.6</v>
      </c>
    </row>
    <row r="300" spans="1:12" s="146" customFormat="1" ht="18">
      <c r="A300" s="141" t="s">
        <v>116</v>
      </c>
      <c r="B300" s="281"/>
      <c r="C300" s="144"/>
      <c r="D300" s="144"/>
      <c r="E300" s="144"/>
      <c r="F300" s="306"/>
      <c r="G300" s="144"/>
      <c r="H300" s="144"/>
      <c r="I300" s="144"/>
      <c r="J300" s="147">
        <v>3622.5</v>
      </c>
      <c r="K300" s="144"/>
      <c r="L300" s="144">
        <f t="shared" si="33"/>
        <v>3622.5</v>
      </c>
    </row>
    <row r="301" spans="1:12" s="146" customFormat="1" ht="18">
      <c r="A301" s="141" t="s">
        <v>117</v>
      </c>
      <c r="B301" s="281"/>
      <c r="C301" s="144"/>
      <c r="D301" s="144"/>
      <c r="E301" s="144"/>
      <c r="F301" s="326"/>
      <c r="G301" s="144" t="s">
        <v>201</v>
      </c>
      <c r="H301" s="144"/>
      <c r="I301" s="144">
        <v>2697.3</v>
      </c>
      <c r="J301" s="241"/>
      <c r="K301" s="144"/>
      <c r="L301" s="144">
        <f t="shared" si="33"/>
        <v>2697.3</v>
      </c>
    </row>
    <row r="302" spans="1:12" s="146" customFormat="1" ht="18">
      <c r="A302" s="141" t="s">
        <v>146</v>
      </c>
      <c r="B302" s="281"/>
      <c r="C302" s="144"/>
      <c r="D302" s="144"/>
      <c r="E302" s="144"/>
      <c r="F302" s="306"/>
      <c r="G302" s="147">
        <v>512</v>
      </c>
      <c r="H302" s="144"/>
      <c r="I302" s="144"/>
      <c r="J302" s="241"/>
      <c r="K302" s="144"/>
      <c r="L302" s="144">
        <f t="shared" si="33"/>
        <v>512</v>
      </c>
    </row>
    <row r="303" spans="1:12" s="146" customFormat="1" ht="18">
      <c r="A303" s="141" t="s">
        <v>118</v>
      </c>
      <c r="B303" s="281"/>
      <c r="C303" s="144"/>
      <c r="D303" s="144"/>
      <c r="E303" s="271">
        <v>7791.3</v>
      </c>
      <c r="F303" s="306"/>
      <c r="G303" s="147">
        <v>6060</v>
      </c>
      <c r="H303" s="242"/>
      <c r="I303" s="144"/>
      <c r="J303" s="144">
        <v>6340.5</v>
      </c>
      <c r="K303" s="144"/>
      <c r="L303" s="144">
        <f t="shared" si="33"/>
        <v>20191.8</v>
      </c>
    </row>
    <row r="304" spans="1:12" s="146" customFormat="1" ht="18">
      <c r="A304" s="141" t="s">
        <v>145</v>
      </c>
      <c r="B304" s="281"/>
      <c r="C304" s="144"/>
      <c r="D304" s="144"/>
      <c r="E304" s="144"/>
      <c r="F304" s="306"/>
      <c r="G304" s="147">
        <v>872</v>
      </c>
      <c r="H304" s="242"/>
      <c r="I304" s="144"/>
      <c r="J304" s="147">
        <v>798</v>
      </c>
      <c r="K304" s="144"/>
      <c r="L304" s="144">
        <f t="shared" si="33"/>
        <v>1670</v>
      </c>
    </row>
    <row r="305" spans="1:12" s="146" customFormat="1" ht="18">
      <c r="A305" s="141" t="s">
        <v>119</v>
      </c>
      <c r="B305" s="281"/>
      <c r="C305" s="144"/>
      <c r="D305" s="144"/>
      <c r="E305" s="144"/>
      <c r="F305" s="306"/>
      <c r="G305" s="147">
        <v>872</v>
      </c>
      <c r="H305" s="241"/>
      <c r="I305" s="144"/>
      <c r="J305" s="147">
        <v>822</v>
      </c>
      <c r="K305" s="144"/>
      <c r="L305" s="144">
        <f t="shared" si="33"/>
        <v>1694</v>
      </c>
    </row>
    <row r="306" spans="1:12" s="146" customFormat="1" ht="18">
      <c r="A306" s="141" t="s">
        <v>120</v>
      </c>
      <c r="B306" s="281"/>
      <c r="C306" s="144"/>
      <c r="D306" s="144"/>
      <c r="E306" s="147"/>
      <c r="F306" s="304"/>
      <c r="G306" s="147" t="s">
        <v>201</v>
      </c>
      <c r="H306" s="147"/>
      <c r="I306" s="147">
        <v>18036</v>
      </c>
      <c r="J306" s="144"/>
      <c r="K306" s="144"/>
      <c r="L306" s="144">
        <f t="shared" si="33"/>
        <v>18036</v>
      </c>
    </row>
    <row r="307" spans="1:12" s="146" customFormat="1" ht="18">
      <c r="A307" s="141" t="s">
        <v>386</v>
      </c>
      <c r="B307" s="281"/>
      <c r="C307" s="144"/>
      <c r="D307" s="144"/>
      <c r="E307" s="144"/>
      <c r="F307" s="304">
        <v>3699</v>
      </c>
      <c r="G307" s="144"/>
      <c r="H307" s="144"/>
      <c r="I307" s="147"/>
      <c r="J307" s="144"/>
      <c r="K307" s="144"/>
      <c r="L307" s="144">
        <f t="shared" si="33"/>
        <v>3699</v>
      </c>
    </row>
    <row r="308" spans="1:12" s="146" customFormat="1" ht="18">
      <c r="A308" s="197" t="s">
        <v>385</v>
      </c>
      <c r="B308" s="297"/>
      <c r="C308" s="144"/>
      <c r="D308" s="144"/>
      <c r="E308" s="144"/>
      <c r="F308" s="304">
        <v>326</v>
      </c>
      <c r="G308" s="147">
        <v>326</v>
      </c>
      <c r="H308" s="147">
        <v>326</v>
      </c>
      <c r="I308" s="147"/>
      <c r="J308" s="147">
        <v>326</v>
      </c>
      <c r="K308" s="144"/>
      <c r="L308" s="144">
        <f t="shared" si="33"/>
        <v>1304</v>
      </c>
    </row>
    <row r="309" spans="1:12" s="156" customFormat="1" ht="18">
      <c r="A309" s="141" t="s">
        <v>248</v>
      </c>
      <c r="B309" s="281"/>
      <c r="C309" s="147"/>
      <c r="D309" s="147"/>
      <c r="E309" s="147"/>
      <c r="F309" s="324">
        <v>3603</v>
      </c>
      <c r="G309" s="147"/>
      <c r="H309" s="147"/>
      <c r="I309" s="147"/>
      <c r="J309" s="147"/>
      <c r="K309" s="147"/>
      <c r="L309" s="144">
        <f>SUM(C309:K309)</f>
        <v>3603</v>
      </c>
    </row>
    <row r="310" spans="1:12" s="146" customFormat="1" ht="18">
      <c r="A310" s="141" t="s">
        <v>229</v>
      </c>
      <c r="B310" s="281"/>
      <c r="C310" s="144"/>
      <c r="D310" s="46">
        <v>945</v>
      </c>
      <c r="E310" s="175">
        <v>2295</v>
      </c>
      <c r="F310" s="304"/>
      <c r="G310" s="147"/>
      <c r="H310" s="223">
        <v>350</v>
      </c>
      <c r="I310" s="256"/>
      <c r="J310" s="144"/>
      <c r="K310" s="144"/>
      <c r="L310" s="144">
        <f t="shared" si="33"/>
        <v>3590</v>
      </c>
    </row>
    <row r="311" spans="1:12">
      <c r="A311" s="38"/>
      <c r="B311" s="298"/>
      <c r="C311" s="19"/>
      <c r="D311" s="19"/>
      <c r="E311" s="19"/>
      <c r="F311" s="342"/>
      <c r="G311" s="21"/>
      <c r="H311" s="21"/>
      <c r="I311" s="21"/>
      <c r="J311" s="21"/>
      <c r="K311" s="19"/>
      <c r="L311" s="15"/>
    </row>
    <row r="312" spans="1:12" s="1" customFormat="1">
      <c r="A312" s="38" t="s">
        <v>140</v>
      </c>
      <c r="B312" s="282"/>
      <c r="C312" s="18">
        <f>SUM(C13:C311)</f>
        <v>212216.59</v>
      </c>
      <c r="D312" s="18">
        <f t="shared" ref="D312:L312" si="34">SUM(D13:D311)</f>
        <v>182015.66</v>
      </c>
      <c r="E312" s="18">
        <f t="shared" si="34"/>
        <v>265214.42</v>
      </c>
      <c r="F312" s="343">
        <f t="shared" si="34"/>
        <v>494777.96000000008</v>
      </c>
      <c r="G312" s="18">
        <f t="shared" si="34"/>
        <v>382045.65</v>
      </c>
      <c r="H312" s="18">
        <f t="shared" si="34"/>
        <v>360503.29000000004</v>
      </c>
      <c r="I312" s="18">
        <f t="shared" si="34"/>
        <v>211592.04999999996</v>
      </c>
      <c r="J312" s="18">
        <f t="shared" si="34"/>
        <v>1724297.6800000002</v>
      </c>
      <c r="K312" s="18">
        <f t="shared" si="34"/>
        <v>103417.28</v>
      </c>
      <c r="L312" s="18">
        <f t="shared" si="34"/>
        <v>3931080.5799999991</v>
      </c>
    </row>
    <row r="313" spans="1:12" s="27" customFormat="1" ht="62.25">
      <c r="A313" s="39"/>
      <c r="B313" s="299"/>
      <c r="C313" s="26" t="s">
        <v>191</v>
      </c>
      <c r="D313" s="26" t="s">
        <v>192</v>
      </c>
      <c r="E313" s="26" t="s">
        <v>193</v>
      </c>
      <c r="F313" s="334" t="s">
        <v>194</v>
      </c>
      <c r="G313" s="26" t="s">
        <v>195</v>
      </c>
      <c r="H313" s="26" t="s">
        <v>196</v>
      </c>
      <c r="I313" s="26" t="s">
        <v>197</v>
      </c>
      <c r="J313" s="26" t="s">
        <v>198</v>
      </c>
      <c r="K313" s="17" t="s">
        <v>199</v>
      </c>
      <c r="L313" s="26"/>
    </row>
    <row r="314" spans="1:12">
      <c r="A314" s="358"/>
      <c r="B314" s="144"/>
      <c r="C314" s="29"/>
      <c r="D314" s="29"/>
      <c r="E314" s="29"/>
      <c r="F314" s="344"/>
      <c r="G314" s="29"/>
      <c r="H314" s="29"/>
      <c r="I314" s="29"/>
      <c r="J314" s="29"/>
      <c r="K314" s="29"/>
      <c r="L314" s="29"/>
    </row>
  </sheetData>
  <phoneticPr fontId="11" type="noConversion"/>
  <pageMargins left="0.75" right="0.75" top="1" bottom="1" header="0.5" footer="0.5"/>
  <pageSetup orientation="portrait" r:id="rId1"/>
  <headerFooter alignWithMargins="0"/>
  <ignoredErrors>
    <ignoredError sqref="L19" formula="1"/>
  </ignoredErrors>
  <legacyDrawing r:id="rId2"/>
</worksheet>
</file>

<file path=xl/worksheets/sheet3.xml><?xml version="1.0" encoding="utf-8"?>
<worksheet xmlns="http://schemas.openxmlformats.org/spreadsheetml/2006/main" xmlns:r="http://schemas.openxmlformats.org/officeDocument/2006/relationships">
  <dimension ref="A1:K333"/>
  <sheetViews>
    <sheetView topLeftCell="A321" workbookViewId="0">
      <selection activeCell="G350" sqref="G350"/>
    </sheetView>
  </sheetViews>
  <sheetFormatPr defaultColWidth="8.77734375" defaultRowHeight="18.75"/>
  <cols>
    <col min="1" max="1" width="45.21875" style="41" customWidth="1"/>
    <col min="2" max="11" width="16.109375" style="20" customWidth="1"/>
    <col min="12" max="12" width="8.44140625" style="4" customWidth="1"/>
    <col min="13" max="16384" width="8.77734375" style="4"/>
  </cols>
  <sheetData>
    <row r="1" spans="1:11" s="37" customFormat="1" ht="72">
      <c r="A1" s="34" t="s">
        <v>419</v>
      </c>
      <c r="B1" s="36" t="s">
        <v>191</v>
      </c>
      <c r="C1" s="36" t="s">
        <v>192</v>
      </c>
      <c r="D1" s="36" t="s">
        <v>193</v>
      </c>
      <c r="E1" s="36" t="s">
        <v>194</v>
      </c>
      <c r="F1" s="36" t="s">
        <v>195</v>
      </c>
      <c r="G1" s="36" t="s">
        <v>196</v>
      </c>
      <c r="H1" s="36" t="s">
        <v>197</v>
      </c>
      <c r="I1" s="36" t="s">
        <v>198</v>
      </c>
      <c r="J1" s="36" t="s">
        <v>199</v>
      </c>
      <c r="K1" s="36" t="s">
        <v>200</v>
      </c>
    </row>
    <row r="2" spans="1:11" s="1" customFormat="1" ht="18">
      <c r="A2" s="5" t="s">
        <v>300</v>
      </c>
      <c r="B2" s="9"/>
      <c r="C2" s="10"/>
      <c r="D2" s="11"/>
      <c r="E2" s="10"/>
      <c r="F2" s="12"/>
      <c r="G2" s="12"/>
      <c r="H2" s="13"/>
      <c r="I2" s="9"/>
      <c r="J2" s="9"/>
      <c r="K2" s="14"/>
    </row>
    <row r="3" spans="1:11" s="255" customFormat="1" ht="18">
      <c r="A3" s="40" t="s">
        <v>0</v>
      </c>
      <c r="B3" s="253">
        <v>3598</v>
      </c>
      <c r="C3" s="253">
        <v>10408</v>
      </c>
      <c r="D3" s="253">
        <v>14842</v>
      </c>
      <c r="E3" s="253">
        <v>4214</v>
      </c>
      <c r="F3" s="253">
        <v>7262</v>
      </c>
      <c r="G3" s="253">
        <v>3864</v>
      </c>
      <c r="H3" s="253">
        <v>2218</v>
      </c>
      <c r="I3" s="253">
        <v>14442</v>
      </c>
      <c r="J3" s="253">
        <v>1554</v>
      </c>
      <c r="K3" s="254"/>
    </row>
    <row r="4" spans="1:11" s="156" customFormat="1" ht="18">
      <c r="A4" s="141" t="s">
        <v>389</v>
      </c>
      <c r="B4" s="144"/>
      <c r="C4" s="48">
        <f>639*0.9</f>
        <v>575.1</v>
      </c>
      <c r="D4" s="147"/>
      <c r="E4" s="147"/>
      <c r="F4" s="144"/>
      <c r="G4" s="147"/>
      <c r="H4" s="144"/>
      <c r="I4" s="144"/>
      <c r="J4" s="144"/>
      <c r="K4" s="144">
        <f t="shared" ref="K4:K11" si="0">SUM(B4:J4)</f>
        <v>575.1</v>
      </c>
    </row>
    <row r="5" spans="1:11" s="182" customFormat="1" ht="18">
      <c r="A5" s="178" t="s">
        <v>388</v>
      </c>
      <c r="B5" s="180"/>
      <c r="C5" s="48">
        <v>575</v>
      </c>
      <c r="D5" s="179"/>
      <c r="E5" s="179"/>
      <c r="F5" s="180"/>
      <c r="G5" s="179"/>
      <c r="H5" s="180"/>
      <c r="I5" s="180"/>
      <c r="J5" s="180"/>
      <c r="K5" s="144">
        <f t="shared" si="0"/>
        <v>575</v>
      </c>
    </row>
    <row r="6" spans="1:11" s="156" customFormat="1" ht="18">
      <c r="A6" s="141" t="s">
        <v>390</v>
      </c>
      <c r="B6" s="144"/>
      <c r="C6" s="144"/>
      <c r="D6" s="144"/>
      <c r="E6" s="144"/>
      <c r="F6" s="144"/>
      <c r="G6" s="147"/>
      <c r="H6" s="144"/>
      <c r="I6" s="46">
        <v>239</v>
      </c>
      <c r="J6" s="144"/>
      <c r="K6" s="144">
        <f>SUM(B6:J6)</f>
        <v>239</v>
      </c>
    </row>
    <row r="7" spans="1:11" s="156" customFormat="1" ht="18">
      <c r="A7" s="141" t="s">
        <v>391</v>
      </c>
      <c r="B7" s="144"/>
      <c r="C7" s="48">
        <v>799</v>
      </c>
      <c r="D7" s="147"/>
      <c r="E7" s="147"/>
      <c r="F7" s="144"/>
      <c r="G7" s="147"/>
      <c r="H7" s="144"/>
      <c r="I7" s="144"/>
      <c r="J7" s="144"/>
      <c r="K7" s="144">
        <f t="shared" ref="K7:K9" si="1">SUM(B7:J7)</f>
        <v>799</v>
      </c>
    </row>
    <row r="8" spans="1:11" s="156" customFormat="1" ht="18">
      <c r="A8" s="141" t="s">
        <v>392</v>
      </c>
      <c r="B8" s="144"/>
      <c r="C8" s="48">
        <v>575</v>
      </c>
      <c r="D8" s="147"/>
      <c r="E8" s="147"/>
      <c r="F8" s="144"/>
      <c r="G8" s="147"/>
      <c r="H8" s="144"/>
      <c r="I8" s="144"/>
      <c r="J8" s="144"/>
      <c r="K8" s="144">
        <f t="shared" si="1"/>
        <v>575</v>
      </c>
    </row>
    <row r="9" spans="1:11" s="156" customFormat="1" ht="18">
      <c r="A9" s="141" t="s">
        <v>393</v>
      </c>
      <c r="B9" s="147"/>
      <c r="C9" s="46">
        <v>959</v>
      </c>
      <c r="D9" s="147"/>
      <c r="E9" s="147"/>
      <c r="F9" s="144"/>
      <c r="G9" s="147"/>
      <c r="H9" s="144"/>
      <c r="I9" s="144"/>
      <c r="J9" s="144"/>
      <c r="K9" s="147">
        <f t="shared" si="1"/>
        <v>959</v>
      </c>
    </row>
    <row r="10" spans="1:11" s="156" customFormat="1" ht="18">
      <c r="A10" s="141" t="s">
        <v>394</v>
      </c>
      <c r="B10" s="144"/>
      <c r="C10" s="48">
        <v>575</v>
      </c>
      <c r="D10" s="147"/>
      <c r="E10" s="147"/>
      <c r="F10" s="144"/>
      <c r="G10" s="147"/>
      <c r="H10" s="144"/>
      <c r="I10" s="144"/>
      <c r="J10" s="144"/>
      <c r="K10" s="144">
        <f>SUM(B10:J10)</f>
        <v>575</v>
      </c>
    </row>
    <row r="11" spans="1:11" s="186" customFormat="1" ht="18">
      <c r="A11" s="178" t="s">
        <v>326</v>
      </c>
      <c r="B11" s="180"/>
      <c r="C11" s="208"/>
      <c r="D11" s="208"/>
      <c r="E11" s="208"/>
      <c r="F11" s="208"/>
      <c r="G11" s="180">
        <v>675</v>
      </c>
      <c r="H11" s="208"/>
      <c r="I11" s="208"/>
      <c r="J11" s="208"/>
      <c r="K11" s="144">
        <f t="shared" si="0"/>
        <v>675</v>
      </c>
    </row>
    <row r="12" spans="1:11" s="186" customFormat="1" ht="18">
      <c r="A12" s="178" t="s">
        <v>380</v>
      </c>
      <c r="B12" s="209"/>
      <c r="C12" s="209">
        <v>985</v>
      </c>
      <c r="D12" s="210"/>
      <c r="E12" s="210"/>
      <c r="F12" s="210"/>
      <c r="G12" s="210"/>
      <c r="H12" s="210"/>
      <c r="I12" s="208"/>
      <c r="J12" s="208"/>
      <c r="K12" s="180">
        <f t="shared" ref="K12:K32" si="2">SUM(B12:J12)</f>
        <v>985</v>
      </c>
    </row>
    <row r="13" spans="1:11" s="3" customFormat="1" ht="18">
      <c r="A13" s="24" t="s">
        <v>204</v>
      </c>
      <c r="B13" s="15"/>
      <c r="C13" s="30"/>
      <c r="D13" s="15"/>
      <c r="E13" s="16">
        <v>896</v>
      </c>
      <c r="F13" s="16">
        <v>896</v>
      </c>
      <c r="G13" s="30"/>
      <c r="H13" s="15"/>
      <c r="I13" s="15"/>
      <c r="J13" s="15"/>
      <c r="K13" s="15">
        <f t="shared" si="2"/>
        <v>1792</v>
      </c>
    </row>
    <row r="14" spans="1:11" s="6" customFormat="1" ht="18">
      <c r="A14" s="24" t="s">
        <v>205</v>
      </c>
      <c r="B14" s="16">
        <v>716</v>
      </c>
      <c r="C14" s="16"/>
      <c r="D14" s="15"/>
      <c r="E14" s="16"/>
      <c r="F14" s="16"/>
      <c r="G14" s="16"/>
      <c r="H14" s="15"/>
      <c r="I14" s="16"/>
      <c r="J14" s="16"/>
      <c r="K14" s="15">
        <f t="shared" si="2"/>
        <v>716</v>
      </c>
    </row>
    <row r="15" spans="1:11" s="190" customFormat="1" ht="18">
      <c r="A15" s="185" t="s">
        <v>377</v>
      </c>
      <c r="B15" s="199"/>
      <c r="C15" s="199"/>
      <c r="D15" s="200"/>
      <c r="E15" s="199"/>
      <c r="F15" s="199">
        <v>1350</v>
      </c>
      <c r="G15" s="199"/>
      <c r="H15" s="200"/>
      <c r="I15" s="187"/>
      <c r="J15" s="187"/>
      <c r="K15" s="184">
        <f t="shared" si="2"/>
        <v>1350</v>
      </c>
    </row>
    <row r="16" spans="1:11" s="6" customFormat="1" ht="18">
      <c r="A16" s="24" t="s">
        <v>206</v>
      </c>
      <c r="B16" s="15"/>
      <c r="C16" s="16"/>
      <c r="D16" s="15"/>
      <c r="E16" s="16"/>
      <c r="F16" s="199">
        <v>896</v>
      </c>
      <c r="G16" s="16">
        <v>896</v>
      </c>
      <c r="H16" s="15"/>
      <c r="I16" s="15"/>
      <c r="J16" s="15"/>
      <c r="K16" s="15">
        <f t="shared" si="2"/>
        <v>1792</v>
      </c>
    </row>
    <row r="17" spans="1:11" s="6" customFormat="1" ht="18">
      <c r="A17" s="24" t="s">
        <v>379</v>
      </c>
      <c r="B17" s="15"/>
      <c r="C17" s="16">
        <v>3056</v>
      </c>
      <c r="D17" s="15"/>
      <c r="E17" s="16"/>
      <c r="F17" s="199">
        <v>5126</v>
      </c>
      <c r="G17" s="15"/>
      <c r="H17" s="15"/>
      <c r="I17" s="16"/>
      <c r="J17" s="16"/>
      <c r="K17" s="15">
        <f t="shared" si="2"/>
        <v>8182</v>
      </c>
    </row>
    <row r="18" spans="1:11" s="190" customFormat="1" ht="18">
      <c r="A18" s="185" t="s">
        <v>378</v>
      </c>
      <c r="B18" s="200"/>
      <c r="C18" s="199"/>
      <c r="D18" s="200"/>
      <c r="E18" s="199"/>
      <c r="F18" s="199">
        <v>806</v>
      </c>
      <c r="G18" s="200"/>
      <c r="H18" s="200"/>
      <c r="I18" s="187"/>
      <c r="J18" s="187"/>
      <c r="K18" s="184">
        <f t="shared" si="2"/>
        <v>806</v>
      </c>
    </row>
    <row r="19" spans="1:11" s="6" customFormat="1" ht="18">
      <c r="A19" s="24" t="s">
        <v>207</v>
      </c>
      <c r="B19" s="15"/>
      <c r="C19" s="15"/>
      <c r="D19" s="16"/>
      <c r="E19" s="15"/>
      <c r="F19" s="16"/>
      <c r="G19" s="16" t="s">
        <v>201</v>
      </c>
      <c r="H19" s="16">
        <v>349</v>
      </c>
      <c r="I19" s="16"/>
      <c r="J19" s="15"/>
      <c r="K19" s="15">
        <f t="shared" si="2"/>
        <v>349</v>
      </c>
    </row>
    <row r="20" spans="1:11" s="6" customFormat="1" ht="18">
      <c r="A20" s="24" t="s">
        <v>327</v>
      </c>
      <c r="B20" s="15"/>
      <c r="C20" s="16"/>
      <c r="D20" s="16"/>
      <c r="E20" s="16"/>
      <c r="F20" s="16"/>
      <c r="G20" s="16">
        <v>450</v>
      </c>
      <c r="H20" s="16">
        <v>1555</v>
      </c>
      <c r="I20" s="16" t="s">
        <v>201</v>
      </c>
      <c r="J20" s="15"/>
      <c r="K20" s="15">
        <f t="shared" si="2"/>
        <v>2005</v>
      </c>
    </row>
    <row r="21" spans="1:11" s="6" customFormat="1" ht="18">
      <c r="A21" s="24" t="s">
        <v>210</v>
      </c>
      <c r="B21" s="15"/>
      <c r="C21" s="16"/>
      <c r="D21" s="16"/>
      <c r="E21" s="16">
        <v>1744</v>
      </c>
      <c r="F21" s="16"/>
      <c r="G21" s="16"/>
      <c r="H21" s="16"/>
      <c r="I21" s="16"/>
      <c r="J21" s="15"/>
      <c r="K21" s="15">
        <f t="shared" si="2"/>
        <v>1744</v>
      </c>
    </row>
    <row r="22" spans="1:11" s="32" customFormat="1" ht="18">
      <c r="A22" s="215" t="s">
        <v>187</v>
      </c>
      <c r="B22" s="28"/>
      <c r="C22" s="31"/>
      <c r="D22" s="31"/>
      <c r="E22" s="60">
        <v>1370</v>
      </c>
      <c r="F22" s="31"/>
      <c r="G22" s="31"/>
      <c r="H22" s="31"/>
      <c r="I22" s="239">
        <v>1370</v>
      </c>
      <c r="J22" s="28"/>
      <c r="K22" s="28">
        <f>SUM(B22:J22)</f>
        <v>2740</v>
      </c>
    </row>
    <row r="23" spans="1:11" s="32" customFormat="1" ht="18">
      <c r="A23" s="204" t="s">
        <v>126</v>
      </c>
      <c r="B23" s="31"/>
      <c r="C23" s="31"/>
      <c r="D23" s="31"/>
      <c r="E23" s="60">
        <v>42346.74</v>
      </c>
      <c r="F23" s="60">
        <v>24247.42</v>
      </c>
      <c r="G23" s="31"/>
      <c r="H23" s="31"/>
      <c r="I23" s="61">
        <v>64683.15</v>
      </c>
      <c r="J23" s="31"/>
      <c r="K23" s="28">
        <f t="shared" si="2"/>
        <v>131277.31</v>
      </c>
    </row>
    <row r="24" spans="1:11" s="190" customFormat="1" ht="18">
      <c r="A24" s="178" t="s">
        <v>358</v>
      </c>
      <c r="B24" s="187"/>
      <c r="C24" s="187"/>
      <c r="D24" s="179" t="s">
        <v>395</v>
      </c>
      <c r="E24" s="187"/>
      <c r="F24" s="187"/>
      <c r="G24" s="187"/>
      <c r="H24" s="187"/>
      <c r="I24" s="213"/>
      <c r="J24" s="187"/>
      <c r="K24" s="184">
        <f t="shared" si="2"/>
        <v>0</v>
      </c>
    </row>
    <row r="25" spans="1:11" s="32" customFormat="1" ht="18">
      <c r="A25" s="204" t="s">
        <v>179</v>
      </c>
      <c r="B25" s="31"/>
      <c r="C25" s="31"/>
      <c r="D25" s="31"/>
      <c r="E25" s="31"/>
      <c r="F25" s="31"/>
      <c r="G25" s="31"/>
      <c r="H25" s="31"/>
      <c r="I25" s="61">
        <v>22780</v>
      </c>
      <c r="J25" s="33"/>
      <c r="K25" s="28">
        <f>SUM(B25:J25)</f>
        <v>22780</v>
      </c>
    </row>
    <row r="26" spans="1:11" s="6" customFormat="1" ht="18">
      <c r="A26" s="42" t="s">
        <v>125</v>
      </c>
      <c r="B26" s="16"/>
      <c r="C26" s="16">
        <v>425</v>
      </c>
      <c r="D26" s="16"/>
      <c r="E26" s="15">
        <v>550</v>
      </c>
      <c r="F26" s="16">
        <v>0</v>
      </c>
      <c r="G26" s="16">
        <v>425</v>
      </c>
      <c r="H26" s="16">
        <v>800</v>
      </c>
      <c r="I26" s="16">
        <v>675</v>
      </c>
      <c r="J26" s="187">
        <v>247.94</v>
      </c>
      <c r="K26" s="15">
        <f t="shared" si="2"/>
        <v>3122.94</v>
      </c>
    </row>
    <row r="27" spans="1:11" s="146" customFormat="1" ht="18">
      <c r="A27" s="141" t="s">
        <v>217</v>
      </c>
      <c r="B27" s="147"/>
      <c r="C27" s="147"/>
      <c r="D27" s="147"/>
      <c r="E27" s="161"/>
      <c r="F27" s="147"/>
      <c r="G27" s="147"/>
      <c r="H27" s="147"/>
      <c r="I27" s="147">
        <v>1238</v>
      </c>
      <c r="J27" s="147"/>
      <c r="K27" s="144">
        <f t="shared" si="2"/>
        <v>1238</v>
      </c>
    </row>
    <row r="28" spans="1:11" s="139" customFormat="1">
      <c r="A28" s="204" t="s">
        <v>1</v>
      </c>
      <c r="B28" s="136"/>
      <c r="C28" s="136"/>
      <c r="D28" s="136"/>
      <c r="E28" s="216">
        <v>7400</v>
      </c>
      <c r="F28" s="214"/>
      <c r="G28" s="214"/>
      <c r="H28" s="214"/>
      <c r="I28" s="214">
        <v>8139</v>
      </c>
      <c r="J28" s="214"/>
      <c r="K28" s="217">
        <f t="shared" si="2"/>
        <v>15539</v>
      </c>
    </row>
    <row r="29" spans="1:11" s="140" customFormat="1" ht="18">
      <c r="A29" s="220" t="s">
        <v>153</v>
      </c>
      <c r="B29" s="136"/>
      <c r="C29" s="136"/>
      <c r="D29" s="136"/>
      <c r="E29" s="136"/>
      <c r="F29" s="136"/>
      <c r="G29" s="136"/>
      <c r="H29" s="136"/>
      <c r="I29" s="65">
        <v>10590</v>
      </c>
      <c r="J29" s="138"/>
      <c r="K29" s="138">
        <f>SUM(B29:J29)</f>
        <v>10590</v>
      </c>
    </row>
    <row r="30" spans="1:11" s="140" customFormat="1" ht="18">
      <c r="A30" s="220" t="s">
        <v>182</v>
      </c>
      <c r="B30" s="136"/>
      <c r="C30" s="136"/>
      <c r="D30" s="136"/>
      <c r="E30" s="136"/>
      <c r="F30" s="136"/>
      <c r="G30" s="136"/>
      <c r="H30" s="136"/>
      <c r="I30" s="65">
        <v>6500</v>
      </c>
      <c r="J30" s="138"/>
      <c r="K30" s="138">
        <f>SUM(B30:J30)</f>
        <v>6500</v>
      </c>
    </row>
    <row r="31" spans="1:11" s="139" customFormat="1" ht="18">
      <c r="A31" s="204" t="s">
        <v>402</v>
      </c>
      <c r="B31" s="138"/>
      <c r="C31" s="138"/>
      <c r="D31" s="138"/>
      <c r="E31" s="138"/>
      <c r="F31" s="138"/>
      <c r="G31" s="136"/>
      <c r="H31" s="138"/>
      <c r="I31" s="138">
        <v>11860</v>
      </c>
      <c r="J31" s="138"/>
      <c r="K31" s="138">
        <f>SUM(B31:J31)</f>
        <v>11860</v>
      </c>
    </row>
    <row r="32" spans="1:11" s="237" customFormat="1" ht="18">
      <c r="A32" s="234" t="s">
        <v>2</v>
      </c>
      <c r="B32" s="236"/>
      <c r="C32" s="236">
        <v>1275</v>
      </c>
      <c r="D32" s="236"/>
      <c r="E32" s="236">
        <v>5517</v>
      </c>
      <c r="F32" s="236">
        <v>13957</v>
      </c>
      <c r="G32" s="236">
        <v>3307</v>
      </c>
      <c r="H32" s="236"/>
      <c r="I32" s="236">
        <v>13796</v>
      </c>
      <c r="J32" s="236"/>
      <c r="K32" s="236">
        <f t="shared" si="2"/>
        <v>37852</v>
      </c>
    </row>
    <row r="33" spans="1:11" s="140" customFormat="1" ht="18">
      <c r="A33" s="220" t="s">
        <v>298</v>
      </c>
      <c r="B33" s="138"/>
      <c r="C33" s="138"/>
      <c r="D33" s="138"/>
      <c r="E33" s="136"/>
      <c r="F33" s="136"/>
      <c r="G33" s="138"/>
      <c r="H33" s="138"/>
      <c r="I33" s="136">
        <v>6600</v>
      </c>
      <c r="J33" s="136"/>
      <c r="K33" s="138">
        <f>SUM(B33:J33)</f>
        <v>6600</v>
      </c>
    </row>
    <row r="34" spans="1:11" s="2" customFormat="1" ht="51.75">
      <c r="A34" s="7"/>
      <c r="B34" s="17" t="s">
        <v>191</v>
      </c>
      <c r="C34" s="17" t="s">
        <v>192</v>
      </c>
      <c r="D34" s="17" t="s">
        <v>193</v>
      </c>
      <c r="E34" s="17" t="s">
        <v>194</v>
      </c>
      <c r="F34" s="17" t="s">
        <v>195</v>
      </c>
      <c r="G34" s="17" t="s">
        <v>196</v>
      </c>
      <c r="H34" s="17" t="s">
        <v>197</v>
      </c>
      <c r="I34" s="17" t="s">
        <v>198</v>
      </c>
      <c r="J34" s="17"/>
      <c r="K34" s="17"/>
    </row>
    <row r="35" spans="1:11" s="1" customFormat="1" ht="18">
      <c r="A35" s="8" t="s">
        <v>300</v>
      </c>
      <c r="B35" s="9"/>
      <c r="C35" s="10"/>
      <c r="D35" s="11"/>
      <c r="E35" s="10"/>
      <c r="F35" s="12"/>
      <c r="G35" s="12"/>
      <c r="H35" s="13"/>
      <c r="I35" s="9"/>
      <c r="J35" s="9"/>
      <c r="K35" s="14"/>
    </row>
    <row r="36" spans="1:11" s="143" customFormat="1" ht="18">
      <c r="A36" s="203" t="s">
        <v>363</v>
      </c>
      <c r="B36" s="151"/>
      <c r="C36" s="144" t="s">
        <v>201</v>
      </c>
      <c r="D36" s="151"/>
      <c r="E36" s="151"/>
      <c r="F36" s="151"/>
      <c r="G36" s="151"/>
      <c r="H36" s="151"/>
      <c r="I36" s="151"/>
      <c r="J36" s="151"/>
      <c r="K36" s="144">
        <f>SUM(B36:J36)</f>
        <v>0</v>
      </c>
    </row>
    <row r="37" spans="1:11" s="145" customFormat="1" ht="18">
      <c r="A37" s="141" t="s">
        <v>214</v>
      </c>
      <c r="B37" s="144">
        <v>13334.5</v>
      </c>
      <c r="C37" s="144"/>
      <c r="D37" s="175">
        <v>13334.5</v>
      </c>
      <c r="E37" s="144">
        <v>13334.5</v>
      </c>
      <c r="F37" s="144">
        <v>13334.5</v>
      </c>
      <c r="G37" s="144">
        <v>13334.5</v>
      </c>
      <c r="H37" s="144">
        <v>13334.5</v>
      </c>
      <c r="I37" s="144">
        <v>13334.5</v>
      </c>
      <c r="J37" s="144"/>
      <c r="K37" s="144">
        <f t="shared" ref="K37:K43" si="3">SUM(B37:J37)</f>
        <v>93341.5</v>
      </c>
    </row>
    <row r="38" spans="1:11" s="146" customFormat="1" ht="18">
      <c r="A38" s="141" t="s">
        <v>246</v>
      </c>
      <c r="B38" s="144"/>
      <c r="C38" s="144"/>
      <c r="D38" s="144"/>
      <c r="E38" s="144"/>
      <c r="F38" s="144" t="s">
        <v>201</v>
      </c>
      <c r="G38" s="144"/>
      <c r="H38" s="144"/>
      <c r="I38" s="144">
        <v>1850</v>
      </c>
      <c r="J38" s="144"/>
      <c r="K38" s="144">
        <f t="shared" si="3"/>
        <v>1850</v>
      </c>
    </row>
    <row r="39" spans="1:11" s="146" customFormat="1" ht="18">
      <c r="A39" s="141" t="s">
        <v>242</v>
      </c>
      <c r="B39" s="144"/>
      <c r="C39" s="144"/>
      <c r="D39" s="144"/>
      <c r="E39" s="46">
        <v>3273</v>
      </c>
      <c r="F39" s="46">
        <v>5244</v>
      </c>
      <c r="G39" s="48">
        <v>3101</v>
      </c>
      <c r="H39" s="46"/>
      <c r="I39" s="144"/>
      <c r="J39" s="144"/>
      <c r="K39" s="144">
        <f t="shared" si="3"/>
        <v>11618</v>
      </c>
    </row>
    <row r="40" spans="1:11" s="146" customFormat="1" ht="18">
      <c r="A40" s="141" t="s">
        <v>243</v>
      </c>
      <c r="B40" s="144"/>
      <c r="C40" s="144"/>
      <c r="D40" s="144"/>
      <c r="E40" s="46"/>
      <c r="F40" s="46"/>
      <c r="G40" s="48"/>
      <c r="H40" s="46">
        <v>4865</v>
      </c>
      <c r="I40" s="144"/>
      <c r="J40" s="144"/>
      <c r="K40" s="144">
        <f t="shared" si="3"/>
        <v>4865</v>
      </c>
    </row>
    <row r="41" spans="1:11" s="150" customFormat="1">
      <c r="A41" s="204" t="s">
        <v>268</v>
      </c>
      <c r="B41" s="240">
        <v>1316</v>
      </c>
      <c r="C41" s="138"/>
      <c r="D41" s="138"/>
      <c r="E41" s="138"/>
      <c r="F41" s="149">
        <v>1516</v>
      </c>
      <c r="G41" s="138" t="s">
        <v>201</v>
      </c>
      <c r="H41" s="138"/>
      <c r="I41" s="149">
        <v>1516</v>
      </c>
      <c r="J41" s="138"/>
      <c r="K41" s="138">
        <f>SUM(B41:J41)</f>
        <v>4348</v>
      </c>
    </row>
    <row r="42" spans="1:11" s="152" customFormat="1" ht="18">
      <c r="A42" s="141" t="s">
        <v>152</v>
      </c>
      <c r="B42" s="151"/>
      <c r="C42" s="151"/>
      <c r="D42" s="151"/>
      <c r="E42" s="151"/>
      <c r="F42" s="151"/>
      <c r="G42" s="151"/>
      <c r="H42" s="151"/>
      <c r="I42" s="151">
        <v>9145</v>
      </c>
      <c r="J42" s="151"/>
      <c r="K42" s="144">
        <f t="shared" si="3"/>
        <v>9145</v>
      </c>
    </row>
    <row r="43" spans="1:11" s="146" customFormat="1" ht="18">
      <c r="A43" s="141" t="s">
        <v>3</v>
      </c>
      <c r="B43" s="144"/>
      <c r="C43" s="144"/>
      <c r="D43" s="144"/>
      <c r="E43" s="144"/>
      <c r="F43" s="144"/>
      <c r="G43" s="16">
        <v>2844</v>
      </c>
      <c r="H43" s="144"/>
      <c r="I43" s="144"/>
      <c r="J43" s="144"/>
      <c r="K43" s="144">
        <f t="shared" si="3"/>
        <v>2844</v>
      </c>
    </row>
    <row r="44" spans="1:11" s="181" customFormat="1" ht="18">
      <c r="A44" s="141" t="s">
        <v>170</v>
      </c>
      <c r="B44" s="180"/>
      <c r="C44" s="15">
        <v>1792</v>
      </c>
      <c r="D44" s="180"/>
      <c r="E44" s="180"/>
      <c r="F44" s="180" t="s">
        <v>201</v>
      </c>
      <c r="G44" s="16">
        <v>1558</v>
      </c>
      <c r="H44" s="180"/>
      <c r="I44" s="180" t="s">
        <v>201</v>
      </c>
      <c r="J44" s="180"/>
      <c r="K44" s="180">
        <f>SUM(B44:J44)</f>
        <v>3350</v>
      </c>
    </row>
    <row r="45" spans="1:11" s="139" customFormat="1" ht="18">
      <c r="A45" s="204" t="s">
        <v>367</v>
      </c>
      <c r="B45" s="138"/>
      <c r="C45" s="138"/>
      <c r="D45" s="138"/>
      <c r="E45" s="154">
        <v>1870</v>
      </c>
      <c r="F45" s="138"/>
      <c r="G45" s="136"/>
      <c r="H45" s="138"/>
      <c r="I45" s="138"/>
      <c r="J45" s="138"/>
      <c r="K45" s="138">
        <f t="shared" ref="K45:K62" si="4">SUM(B45:J45)</f>
        <v>1870</v>
      </c>
    </row>
    <row r="46" spans="1:11" s="139" customFormat="1" ht="18">
      <c r="A46" s="204" t="s">
        <v>218</v>
      </c>
      <c r="B46" s="138"/>
      <c r="C46" s="138"/>
      <c r="D46" s="138"/>
      <c r="E46" s="155"/>
      <c r="F46" s="138"/>
      <c r="G46" s="136"/>
      <c r="H46" s="138"/>
      <c r="I46" s="149">
        <v>3799</v>
      </c>
      <c r="J46" s="138"/>
      <c r="K46" s="138">
        <f t="shared" si="4"/>
        <v>3799</v>
      </c>
    </row>
    <row r="47" spans="1:11" s="156" customFormat="1" ht="18">
      <c r="A47" s="243" t="s">
        <v>421</v>
      </c>
      <c r="B47" s="144"/>
      <c r="C47" s="144"/>
      <c r="D47" s="144"/>
      <c r="E47" s="154">
        <v>1595</v>
      </c>
      <c r="F47" s="144"/>
      <c r="G47" s="147"/>
      <c r="H47" s="144"/>
      <c r="I47" s="151"/>
      <c r="J47" s="144">
        <v>684</v>
      </c>
      <c r="K47" s="144">
        <f>SUM(B47:J47)</f>
        <v>2279</v>
      </c>
    </row>
    <row r="48" spans="1:11" s="156" customFormat="1" ht="18">
      <c r="A48" s="141" t="s">
        <v>5</v>
      </c>
      <c r="B48" s="144"/>
      <c r="C48" s="144"/>
      <c r="D48" s="144"/>
      <c r="E48" s="144">
        <v>0</v>
      </c>
      <c r="F48" s="144">
        <v>675</v>
      </c>
      <c r="G48" s="147"/>
      <c r="H48" s="144"/>
      <c r="I48" s="144"/>
      <c r="J48" s="144"/>
      <c r="K48" s="144">
        <f t="shared" si="4"/>
        <v>675</v>
      </c>
    </row>
    <row r="49" spans="1:11" s="156" customFormat="1" ht="18">
      <c r="A49" s="141" t="s">
        <v>6</v>
      </c>
      <c r="B49" s="151"/>
      <c r="C49" s="144"/>
      <c r="D49" s="144"/>
      <c r="E49" s="144">
        <v>1349.95</v>
      </c>
      <c r="F49" s="144"/>
      <c r="G49" s="153"/>
      <c r="H49" s="144"/>
      <c r="I49" s="144"/>
      <c r="J49" s="144"/>
      <c r="K49" s="144">
        <f t="shared" si="4"/>
        <v>1349.95</v>
      </c>
    </row>
    <row r="50" spans="1:11" s="156" customFormat="1" ht="18">
      <c r="A50" s="141" t="s">
        <v>8</v>
      </c>
      <c r="B50" s="147"/>
      <c r="C50" s="147"/>
      <c r="D50" s="147"/>
      <c r="E50" s="147">
        <v>100</v>
      </c>
      <c r="F50" s="147">
        <v>100</v>
      </c>
      <c r="G50" s="147">
        <v>100</v>
      </c>
      <c r="H50" s="153"/>
      <c r="I50" s="147"/>
      <c r="J50" s="147"/>
      <c r="K50" s="144">
        <f t="shared" si="4"/>
        <v>300</v>
      </c>
    </row>
    <row r="51" spans="1:11" s="139" customFormat="1">
      <c r="A51" s="204" t="s">
        <v>147</v>
      </c>
      <c r="B51" s="136"/>
      <c r="C51" s="136"/>
      <c r="D51" s="136"/>
      <c r="E51" s="136"/>
      <c r="F51" s="136"/>
      <c r="G51" s="136"/>
      <c r="H51" s="136"/>
      <c r="I51" s="214">
        <v>27475</v>
      </c>
      <c r="J51" s="136"/>
      <c r="K51" s="138">
        <f>SUM(B51:J51)</f>
        <v>27475</v>
      </c>
    </row>
    <row r="52" spans="1:11" s="156" customFormat="1" ht="18">
      <c r="A52" s="141" t="s">
        <v>7</v>
      </c>
      <c r="B52" s="147"/>
      <c r="C52" s="147"/>
      <c r="D52" s="147"/>
      <c r="E52" s="147">
        <v>1320</v>
      </c>
      <c r="F52" s="147"/>
      <c r="G52" s="147"/>
      <c r="H52" s="147"/>
      <c r="I52" s="147"/>
      <c r="J52" s="147"/>
      <c r="K52" s="144">
        <f>SUM(B52:J52)</f>
        <v>1320</v>
      </c>
    </row>
    <row r="53" spans="1:11" s="156" customFormat="1" ht="18">
      <c r="A53" s="141" t="s">
        <v>262</v>
      </c>
      <c r="B53" s="147"/>
      <c r="C53" s="147"/>
      <c r="D53" s="147"/>
      <c r="E53" s="147">
        <v>4440</v>
      </c>
      <c r="F53" s="147"/>
      <c r="G53" s="147"/>
      <c r="H53" s="147"/>
      <c r="I53" s="173">
        <v>5160</v>
      </c>
      <c r="J53" s="147"/>
      <c r="K53" s="144">
        <f t="shared" si="4"/>
        <v>9600</v>
      </c>
    </row>
    <row r="54" spans="1:11" s="156" customFormat="1" ht="18">
      <c r="A54" s="141" t="s">
        <v>219</v>
      </c>
      <c r="B54" s="147"/>
      <c r="C54" s="147"/>
      <c r="D54" s="147"/>
      <c r="E54" s="147"/>
      <c r="F54" s="147"/>
      <c r="G54" s="147"/>
      <c r="H54" s="147"/>
      <c r="I54" s="144" t="s">
        <v>225</v>
      </c>
      <c r="J54" s="147"/>
      <c r="K54" s="144">
        <f t="shared" si="4"/>
        <v>0</v>
      </c>
    </row>
    <row r="55" spans="1:11" s="156" customFormat="1" ht="18">
      <c r="A55" s="141" t="s">
        <v>233</v>
      </c>
      <c r="B55" s="147"/>
      <c r="C55" s="147">
        <v>649.71</v>
      </c>
      <c r="D55" s="147"/>
      <c r="E55" s="147"/>
      <c r="F55" s="147"/>
      <c r="G55" s="147"/>
      <c r="H55" s="147"/>
      <c r="I55" s="144"/>
      <c r="J55" s="147"/>
      <c r="K55" s="144">
        <f t="shared" si="4"/>
        <v>649.71</v>
      </c>
    </row>
    <row r="56" spans="1:11" s="156" customFormat="1" ht="18">
      <c r="A56" s="141" t="s">
        <v>9</v>
      </c>
      <c r="B56" s="144"/>
      <c r="C56" s="147"/>
      <c r="D56" s="144"/>
      <c r="E56" s="147"/>
      <c r="F56" s="147"/>
      <c r="G56" s="147">
        <v>923</v>
      </c>
      <c r="H56" s="147"/>
      <c r="I56" s="46">
        <v>1035</v>
      </c>
      <c r="J56" s="48">
        <v>627.75</v>
      </c>
      <c r="K56" s="144">
        <f t="shared" si="4"/>
        <v>2585.75</v>
      </c>
    </row>
    <row r="57" spans="1:11" s="156" customFormat="1" ht="18">
      <c r="A57" s="141" t="s">
        <v>10</v>
      </c>
      <c r="B57" s="144" t="s">
        <v>201</v>
      </c>
      <c r="C57" s="147">
        <v>1800</v>
      </c>
      <c r="D57" s="175">
        <v>1800</v>
      </c>
      <c r="E57" s="147"/>
      <c r="F57" s="147"/>
      <c r="G57" s="147">
        <v>695.52</v>
      </c>
      <c r="H57" s="153"/>
      <c r="I57" s="147"/>
      <c r="J57" s="147"/>
      <c r="K57" s="144">
        <f t="shared" si="4"/>
        <v>4295.5200000000004</v>
      </c>
    </row>
    <row r="58" spans="1:11" s="156" customFormat="1" ht="18">
      <c r="A58" s="141" t="s">
        <v>11</v>
      </c>
      <c r="B58" s="48">
        <v>957</v>
      </c>
      <c r="C58" s="147"/>
      <c r="D58" s="147"/>
      <c r="E58" s="48"/>
      <c r="F58" s="48">
        <v>957</v>
      </c>
      <c r="G58" s="46">
        <v>140</v>
      </c>
      <c r="H58" s="48"/>
      <c r="I58" s="48"/>
      <c r="J58" s="147"/>
      <c r="K58" s="144">
        <f t="shared" si="4"/>
        <v>2054</v>
      </c>
    </row>
    <row r="59" spans="1:11" s="159" customFormat="1" ht="18">
      <c r="A59" s="141" t="s">
        <v>178</v>
      </c>
      <c r="B59" s="79">
        <v>889</v>
      </c>
      <c r="C59" s="147"/>
      <c r="D59" s="147"/>
      <c r="E59" s="48">
        <v>1779</v>
      </c>
      <c r="F59" s="46">
        <v>889</v>
      </c>
      <c r="G59" s="46">
        <v>889</v>
      </c>
      <c r="H59" s="46">
        <v>889</v>
      </c>
      <c r="I59" s="48">
        <v>1779</v>
      </c>
      <c r="J59" s="144"/>
      <c r="K59" s="144">
        <f t="shared" si="4"/>
        <v>7114</v>
      </c>
    </row>
    <row r="60" spans="1:11" s="156" customFormat="1" ht="18">
      <c r="A60" s="141" t="s">
        <v>12</v>
      </c>
      <c r="B60" s="144"/>
      <c r="C60" s="46">
        <v>575</v>
      </c>
      <c r="D60" s="147"/>
      <c r="E60" s="144"/>
      <c r="F60" s="144"/>
      <c r="G60" s="144"/>
      <c r="H60" s="144"/>
      <c r="I60" s="148"/>
      <c r="J60" s="144"/>
      <c r="K60" s="144">
        <f t="shared" si="4"/>
        <v>575</v>
      </c>
    </row>
    <row r="61" spans="1:11" s="156" customFormat="1" ht="18">
      <c r="A61" s="141" t="s">
        <v>13</v>
      </c>
      <c r="B61" s="144"/>
      <c r="C61" s="144"/>
      <c r="D61" s="147"/>
      <c r="E61" s="144"/>
      <c r="F61" s="144"/>
      <c r="G61" s="144">
        <v>1899</v>
      </c>
      <c r="H61" s="144"/>
      <c r="I61" s="144"/>
      <c r="J61" s="144"/>
      <c r="K61" s="144">
        <f t="shared" si="4"/>
        <v>1899</v>
      </c>
    </row>
    <row r="62" spans="1:11" s="146" customFormat="1" ht="18">
      <c r="A62" s="141" t="s">
        <v>249</v>
      </c>
      <c r="B62" s="144"/>
      <c r="C62" s="153"/>
      <c r="D62" s="175">
        <v>5164</v>
      </c>
      <c r="E62" s="147"/>
      <c r="F62" s="147"/>
      <c r="G62" s="147" t="s">
        <v>201</v>
      </c>
      <c r="H62" s="161"/>
      <c r="I62" s="147"/>
      <c r="J62" s="147"/>
      <c r="K62" s="144">
        <f t="shared" si="4"/>
        <v>5164</v>
      </c>
    </row>
    <row r="63" spans="1:11" s="146" customFormat="1" ht="18">
      <c r="A63" s="141" t="s">
        <v>250</v>
      </c>
      <c r="B63" s="144"/>
      <c r="C63" s="48">
        <v>2313</v>
      </c>
      <c r="D63" s="148"/>
      <c r="E63" s="147"/>
      <c r="F63" s="147"/>
      <c r="G63" s="91">
        <v>1247</v>
      </c>
      <c r="H63" s="144">
        <v>668</v>
      </c>
      <c r="I63" s="147"/>
      <c r="J63" s="147"/>
      <c r="K63" s="144">
        <f>SUM(B63:J63)</f>
        <v>4228</v>
      </c>
    </row>
    <row r="64" spans="1:11" s="146" customFormat="1" ht="18">
      <c r="A64" s="141" t="s">
        <v>213</v>
      </c>
      <c r="B64" s="151"/>
      <c r="C64" s="46">
        <v>4708</v>
      </c>
      <c r="D64" s="148"/>
      <c r="E64" s="144"/>
      <c r="F64" s="144"/>
      <c r="G64" s="48">
        <v>2721</v>
      </c>
      <c r="H64" s="144"/>
      <c r="I64" s="147"/>
      <c r="J64" s="144"/>
      <c r="K64" s="144">
        <f>SUM(B64:J64)</f>
        <v>7429</v>
      </c>
    </row>
    <row r="65" spans="1:11" s="140" customFormat="1" ht="18">
      <c r="A65" s="204" t="s">
        <v>265</v>
      </c>
      <c r="B65" s="138"/>
      <c r="C65" s="136"/>
      <c r="D65" s="138"/>
      <c r="E65" s="136"/>
      <c r="F65" s="136"/>
      <c r="G65" s="136"/>
      <c r="H65" s="136"/>
      <c r="I65" s="149">
        <v>2917.45</v>
      </c>
      <c r="J65" s="136"/>
      <c r="K65" s="138">
        <f>SUM(B65:J65)</f>
        <v>2917.45</v>
      </c>
    </row>
    <row r="66" spans="1:11" s="2" customFormat="1" ht="51.75">
      <c r="A66" s="7"/>
      <c r="B66" s="17" t="s">
        <v>191</v>
      </c>
      <c r="C66" s="17" t="s">
        <v>192</v>
      </c>
      <c r="D66" s="17" t="s">
        <v>193</v>
      </c>
      <c r="E66" s="17" t="s">
        <v>194</v>
      </c>
      <c r="F66" s="17" t="s">
        <v>195</v>
      </c>
      <c r="G66" s="17" t="s">
        <v>196</v>
      </c>
      <c r="H66" s="17" t="s">
        <v>197</v>
      </c>
      <c r="I66" s="17" t="s">
        <v>198</v>
      </c>
      <c r="J66" s="17"/>
      <c r="K66" s="17"/>
    </row>
    <row r="67" spans="1:11" s="1" customFormat="1" ht="18">
      <c r="A67" s="5" t="s">
        <v>300</v>
      </c>
      <c r="B67" s="9"/>
      <c r="C67" s="10"/>
      <c r="D67" s="11"/>
      <c r="E67" s="10"/>
      <c r="F67" s="12"/>
      <c r="G67" s="12"/>
      <c r="H67" s="13"/>
      <c r="I67" s="9"/>
      <c r="J67" s="9"/>
      <c r="K67" s="14"/>
    </row>
    <row r="68" spans="1:11" s="146" customFormat="1" ht="18">
      <c r="A68" s="141" t="s">
        <v>33</v>
      </c>
      <c r="B68" s="144"/>
      <c r="C68" s="144"/>
      <c r="D68" s="144"/>
      <c r="E68" s="144"/>
      <c r="F68" s="144">
        <v>21984</v>
      </c>
      <c r="G68" s="144">
        <v>8944</v>
      </c>
      <c r="H68" s="144">
        <v>8456</v>
      </c>
      <c r="I68" s="144"/>
      <c r="J68" s="161">
        <v>7466</v>
      </c>
      <c r="K68" s="144">
        <f t="shared" ref="K68:K80" si="5">SUM(B68:J68)</f>
        <v>46850</v>
      </c>
    </row>
    <row r="69" spans="1:11" s="156" customFormat="1" ht="18">
      <c r="A69" s="141" t="s">
        <v>166</v>
      </c>
      <c r="B69" s="46"/>
      <c r="C69" s="46"/>
      <c r="D69" s="46"/>
      <c r="E69" s="48">
        <v>8117</v>
      </c>
      <c r="F69" s="48">
        <v>8117</v>
      </c>
      <c r="G69" s="48" t="s">
        <v>211</v>
      </c>
      <c r="H69" s="93" t="s">
        <v>201</v>
      </c>
      <c r="I69" s="46">
        <v>8117</v>
      </c>
      <c r="J69" s="48">
        <v>8117</v>
      </c>
      <c r="K69" s="144">
        <f>SUM(B69:J69)</f>
        <v>32468</v>
      </c>
    </row>
    <row r="70" spans="1:11" s="182" customFormat="1" ht="18">
      <c r="A70" s="178" t="s">
        <v>381</v>
      </c>
      <c r="B70" s="201">
        <v>8929</v>
      </c>
      <c r="C70" s="201"/>
      <c r="D70" s="201"/>
      <c r="E70" s="223"/>
      <c r="F70" s="223">
        <v>14803</v>
      </c>
      <c r="G70" s="223" t="s">
        <v>211</v>
      </c>
      <c r="H70" s="224" t="s">
        <v>201</v>
      </c>
      <c r="I70" s="201">
        <v>14803</v>
      </c>
      <c r="J70" s="223"/>
      <c r="K70" s="180">
        <f>SUM(B70:J70)</f>
        <v>38535</v>
      </c>
    </row>
    <row r="71" spans="1:11" s="156" customFormat="1" ht="18">
      <c r="A71" s="141" t="s">
        <v>167</v>
      </c>
      <c r="B71" s="46">
        <v>8117</v>
      </c>
      <c r="C71" s="46"/>
      <c r="D71" s="46"/>
      <c r="E71" s="48">
        <v>8117</v>
      </c>
      <c r="F71" s="48">
        <v>8117</v>
      </c>
      <c r="G71" s="48" t="s">
        <v>201</v>
      </c>
      <c r="H71" s="93" t="s">
        <v>201</v>
      </c>
      <c r="I71" s="46">
        <v>8117</v>
      </c>
      <c r="J71" s="48">
        <v>8117</v>
      </c>
      <c r="K71" s="144">
        <f>SUM(B71:J71)</f>
        <v>40585</v>
      </c>
    </row>
    <row r="72" spans="1:11" s="182" customFormat="1" ht="18">
      <c r="A72" s="178" t="s">
        <v>373</v>
      </c>
      <c r="B72" s="201">
        <v>9091</v>
      </c>
      <c r="C72" s="201"/>
      <c r="D72" s="201"/>
      <c r="E72" s="223"/>
      <c r="F72" s="223">
        <v>14803</v>
      </c>
      <c r="G72" s="223" t="s">
        <v>201</v>
      </c>
      <c r="H72" s="224" t="s">
        <v>201</v>
      </c>
      <c r="I72" s="201">
        <v>14803</v>
      </c>
      <c r="J72" s="223"/>
      <c r="K72" s="180">
        <f>SUM(B72:J72)</f>
        <v>38697</v>
      </c>
    </row>
    <row r="73" spans="1:11" s="222" customFormat="1" ht="18">
      <c r="A73" s="42" t="s">
        <v>403</v>
      </c>
      <c r="B73" s="221"/>
      <c r="C73" s="201" t="s">
        <v>404</v>
      </c>
      <c r="D73" s="201"/>
      <c r="E73" s="223" t="s">
        <v>404</v>
      </c>
      <c r="F73" s="223" t="s">
        <v>404</v>
      </c>
      <c r="G73" s="223"/>
      <c r="H73" s="224" t="s">
        <v>404</v>
      </c>
      <c r="I73" s="221"/>
      <c r="J73" s="207"/>
      <c r="K73" s="144">
        <f>SUM(B73:J73)</f>
        <v>0</v>
      </c>
    </row>
    <row r="74" spans="1:11" s="146" customFormat="1" ht="18">
      <c r="A74" s="141" t="s">
        <v>220</v>
      </c>
      <c r="B74" s="46">
        <v>21582</v>
      </c>
      <c r="C74" s="46">
        <v>21582</v>
      </c>
      <c r="D74" s="46">
        <v>21582</v>
      </c>
      <c r="E74" s="46">
        <v>21582</v>
      </c>
      <c r="F74" s="46">
        <v>21582</v>
      </c>
      <c r="G74" s="46">
        <v>21582</v>
      </c>
      <c r="H74" s="46">
        <v>21582</v>
      </c>
      <c r="I74" s="46">
        <v>21582</v>
      </c>
      <c r="J74" s="48"/>
      <c r="K74" s="144">
        <f t="shared" si="5"/>
        <v>172656</v>
      </c>
    </row>
    <row r="75" spans="1:11" s="146" customFormat="1" ht="18">
      <c r="A75" s="141" t="s">
        <v>132</v>
      </c>
      <c r="B75" s="46">
        <v>1897</v>
      </c>
      <c r="C75" s="46">
        <v>1897</v>
      </c>
      <c r="D75" s="46">
        <v>1897</v>
      </c>
      <c r="E75" s="46">
        <v>1897</v>
      </c>
      <c r="F75" s="46">
        <v>1897</v>
      </c>
      <c r="G75" s="46">
        <v>1897</v>
      </c>
      <c r="H75" s="46">
        <v>1897</v>
      </c>
      <c r="I75" s="46">
        <v>1897</v>
      </c>
      <c r="J75" s="46">
        <v>1897</v>
      </c>
      <c r="K75" s="144">
        <f>SUM(B75:J75)</f>
        <v>17073</v>
      </c>
    </row>
    <row r="76" spans="1:11" s="51" customFormat="1" ht="18">
      <c r="A76" s="42" t="s">
        <v>245</v>
      </c>
      <c r="B76" s="46"/>
      <c r="C76" s="46"/>
      <c r="D76" s="46"/>
      <c r="E76" s="46"/>
      <c r="F76" s="46"/>
      <c r="G76" s="46"/>
      <c r="H76" s="48">
        <v>2206</v>
      </c>
      <c r="I76" s="46"/>
      <c r="J76" s="46"/>
      <c r="K76" s="46">
        <f>SUM(B76:J76)</f>
        <v>2206</v>
      </c>
    </row>
    <row r="77" spans="1:11" s="181" customFormat="1" ht="18">
      <c r="A77" s="178" t="s">
        <v>382</v>
      </c>
      <c r="B77" s="180"/>
      <c r="C77" s="180"/>
      <c r="D77" s="180"/>
      <c r="E77" s="180"/>
      <c r="F77" s="180"/>
      <c r="G77" s="180"/>
      <c r="H77" s="179"/>
      <c r="I77" s="221">
        <v>1400</v>
      </c>
      <c r="J77" s="180"/>
      <c r="K77" s="180">
        <f t="shared" si="5"/>
        <v>1400</v>
      </c>
    </row>
    <row r="78" spans="1:11" s="146" customFormat="1" ht="18">
      <c r="A78" s="141" t="s">
        <v>184</v>
      </c>
      <c r="B78" s="144"/>
      <c r="C78" s="144"/>
      <c r="D78" s="144"/>
      <c r="E78" s="147">
        <v>7061</v>
      </c>
      <c r="F78" s="144"/>
      <c r="G78" s="144"/>
      <c r="H78" s="144"/>
      <c r="I78" s="144"/>
      <c r="J78" s="144"/>
      <c r="K78" s="144">
        <f t="shared" si="5"/>
        <v>7061</v>
      </c>
    </row>
    <row r="79" spans="1:11" s="181" customFormat="1" ht="18">
      <c r="A79" s="178" t="s">
        <v>409</v>
      </c>
      <c r="B79" s="180"/>
      <c r="C79" s="180"/>
      <c r="D79" s="180"/>
      <c r="E79" s="223">
        <v>5305</v>
      </c>
      <c r="F79" s="201"/>
      <c r="G79" s="223">
        <v>5305</v>
      </c>
      <c r="H79" s="180"/>
      <c r="I79" s="180"/>
      <c r="J79" s="180"/>
      <c r="K79" s="180">
        <f>SUM(B79:J79)</f>
        <v>10610</v>
      </c>
    </row>
    <row r="80" spans="1:11" s="146" customFormat="1" ht="18">
      <c r="A80" s="141" t="s">
        <v>154</v>
      </c>
      <c r="B80" s="144"/>
      <c r="C80" s="144"/>
      <c r="D80" s="144"/>
      <c r="E80" s="144"/>
      <c r="F80" s="144"/>
      <c r="G80" s="144"/>
      <c r="H80" s="48">
        <v>1696</v>
      </c>
      <c r="I80" s="144"/>
      <c r="J80" s="144"/>
      <c r="K80" s="144">
        <f t="shared" si="5"/>
        <v>1696</v>
      </c>
    </row>
    <row r="81" spans="1:11" s="146" customFormat="1" ht="18">
      <c r="A81" s="141" t="s">
        <v>34</v>
      </c>
      <c r="B81" s="144"/>
      <c r="C81" s="48">
        <v>2532</v>
      </c>
      <c r="D81" s="144"/>
      <c r="E81" s="144"/>
      <c r="F81" s="144"/>
      <c r="G81" s="144"/>
      <c r="H81" s="144"/>
      <c r="I81" s="144"/>
      <c r="J81" s="144"/>
      <c r="K81" s="144">
        <f>SUM(B81:J81)</f>
        <v>2532</v>
      </c>
    </row>
    <row r="82" spans="1:11" s="51" customFormat="1" ht="18">
      <c r="A82" s="42" t="s">
        <v>405</v>
      </c>
      <c r="B82" s="201" t="s">
        <v>404</v>
      </c>
      <c r="C82" s="223"/>
      <c r="D82" s="201" t="s">
        <v>404</v>
      </c>
      <c r="E82" s="46"/>
      <c r="F82" s="46"/>
      <c r="G82" s="46"/>
      <c r="H82" s="46"/>
      <c r="I82" s="46"/>
      <c r="J82" s="46"/>
      <c r="K82" s="144">
        <f>SUM(B82:J82)</f>
        <v>0</v>
      </c>
    </row>
    <row r="83" spans="1:11" s="146" customFormat="1" ht="18">
      <c r="A83" s="141" t="s">
        <v>238</v>
      </c>
      <c r="B83" s="161"/>
      <c r="C83" s="161"/>
      <c r="D83" s="161"/>
      <c r="E83" s="46">
        <v>13261</v>
      </c>
      <c r="F83" s="144"/>
      <c r="G83" s="144"/>
      <c r="H83" s="161"/>
      <c r="I83" s="144"/>
      <c r="J83" s="144"/>
      <c r="K83" s="144">
        <f t="shared" ref="K83:K105" si="6">SUM(B83:J83)</f>
        <v>13261</v>
      </c>
    </row>
    <row r="84" spans="1:11" s="146" customFormat="1" ht="18">
      <c r="A84" s="141" t="s">
        <v>35</v>
      </c>
      <c r="B84" s="48">
        <v>22365</v>
      </c>
      <c r="C84" s="144"/>
      <c r="D84" s="175">
        <v>22365</v>
      </c>
      <c r="E84" s="161"/>
      <c r="F84" s="144"/>
      <c r="G84" s="144"/>
      <c r="H84" s="48">
        <v>22365</v>
      </c>
      <c r="I84" s="144"/>
      <c r="J84" s="144"/>
      <c r="K84" s="144">
        <f>SUM(B84:J84)</f>
        <v>67095</v>
      </c>
    </row>
    <row r="85" spans="1:11" s="146" customFormat="1" ht="18">
      <c r="A85" s="141" t="s">
        <v>36</v>
      </c>
      <c r="B85" s="144"/>
      <c r="C85" s="144"/>
      <c r="D85" s="144"/>
      <c r="E85" s="48">
        <v>2028</v>
      </c>
      <c r="F85" s="46"/>
      <c r="G85" s="46"/>
      <c r="H85" s="48">
        <v>2028</v>
      </c>
      <c r="I85" s="144"/>
      <c r="J85" s="144"/>
      <c r="K85" s="144">
        <f t="shared" si="6"/>
        <v>4056</v>
      </c>
    </row>
    <row r="86" spans="1:11" s="146" customFormat="1" ht="18">
      <c r="A86" s="141" t="s">
        <v>37</v>
      </c>
      <c r="B86" s="144"/>
      <c r="C86" s="48">
        <v>4195</v>
      </c>
      <c r="D86" s="46"/>
      <c r="E86" s="48">
        <v>4195</v>
      </c>
      <c r="F86" s="48"/>
      <c r="G86" s="46"/>
      <c r="H86" s="46"/>
      <c r="I86" s="46"/>
      <c r="J86" s="144"/>
      <c r="K86" s="144">
        <f t="shared" si="6"/>
        <v>8390</v>
      </c>
    </row>
    <row r="87" spans="1:11" s="146" customFormat="1" ht="18">
      <c r="A87" s="141" t="s">
        <v>38</v>
      </c>
      <c r="B87" s="144"/>
      <c r="C87" s="46"/>
      <c r="D87" s="46"/>
      <c r="E87" s="46"/>
      <c r="F87" s="48">
        <v>6046</v>
      </c>
      <c r="G87" s="46"/>
      <c r="H87" s="48"/>
      <c r="I87" s="46">
        <v>6046</v>
      </c>
      <c r="J87" s="144"/>
      <c r="K87" s="144">
        <f t="shared" si="6"/>
        <v>12092</v>
      </c>
    </row>
    <row r="88" spans="1:11" s="51" customFormat="1" ht="18">
      <c r="A88" s="257" t="s">
        <v>39</v>
      </c>
      <c r="B88" s="258"/>
      <c r="C88" s="258"/>
      <c r="D88" s="258"/>
      <c r="E88" s="258"/>
      <c r="F88" s="259"/>
      <c r="G88" s="258"/>
      <c r="H88" s="259">
        <v>8123</v>
      </c>
      <c r="I88" s="260">
        <v>8123</v>
      </c>
      <c r="J88" s="258"/>
      <c r="K88" s="258">
        <f>SUM(B88:J88)</f>
        <v>16246</v>
      </c>
    </row>
    <row r="89" spans="1:11" s="51" customFormat="1" ht="18">
      <c r="A89" s="257" t="s">
        <v>301</v>
      </c>
      <c r="B89" s="258"/>
      <c r="C89" s="258"/>
      <c r="D89" s="258"/>
      <c r="E89" s="258"/>
      <c r="F89" s="259"/>
      <c r="G89" s="258"/>
      <c r="H89" s="259">
        <v>9748</v>
      </c>
      <c r="I89" s="261">
        <v>9748</v>
      </c>
      <c r="J89" s="258"/>
      <c r="K89" s="258">
        <f t="shared" ref="K89" si="7">SUM(B89:J89)</f>
        <v>19496</v>
      </c>
    </row>
    <row r="90" spans="1:11" s="146" customFormat="1" ht="18">
      <c r="A90" s="141" t="s">
        <v>40</v>
      </c>
      <c r="B90" s="46">
        <v>3746</v>
      </c>
      <c r="C90" s="46"/>
      <c r="D90" s="46"/>
      <c r="E90" s="46"/>
      <c r="F90" s="48">
        <v>4682</v>
      </c>
      <c r="G90" s="48">
        <v>3643</v>
      </c>
      <c r="H90" s="48">
        <v>3075</v>
      </c>
      <c r="I90" s="46"/>
      <c r="J90" s="144"/>
      <c r="K90" s="144">
        <f t="shared" si="6"/>
        <v>15146</v>
      </c>
    </row>
    <row r="91" spans="1:11" s="146" customFormat="1" ht="18">
      <c r="A91" s="141" t="s">
        <v>41</v>
      </c>
      <c r="B91" s="46">
        <v>3353</v>
      </c>
      <c r="C91" s="46"/>
      <c r="D91" s="46"/>
      <c r="E91" s="46">
        <v>3353</v>
      </c>
      <c r="F91" s="46"/>
      <c r="G91" s="201">
        <v>3353</v>
      </c>
      <c r="H91" s="46"/>
      <c r="I91" s="46">
        <v>3353</v>
      </c>
      <c r="J91" s="144"/>
      <c r="K91" s="144">
        <f t="shared" si="6"/>
        <v>13412</v>
      </c>
    </row>
    <row r="92" spans="1:11" s="181" customFormat="1" ht="18">
      <c r="A92" s="195" t="s">
        <v>376</v>
      </c>
      <c r="B92" s="201"/>
      <c r="C92" s="201"/>
      <c r="D92" s="201"/>
      <c r="E92" s="201"/>
      <c r="F92" s="201"/>
      <c r="G92" s="201"/>
      <c r="H92" s="201"/>
      <c r="I92" s="201">
        <v>7040</v>
      </c>
      <c r="J92" s="180"/>
      <c r="K92" s="180">
        <f t="shared" si="6"/>
        <v>7040</v>
      </c>
    </row>
    <row r="93" spans="1:11" s="146" customFormat="1" ht="18">
      <c r="A93" s="141" t="s">
        <v>42</v>
      </c>
      <c r="B93" s="46"/>
      <c r="C93" s="46"/>
      <c r="D93" s="46"/>
      <c r="E93" s="48">
        <v>590</v>
      </c>
      <c r="F93" s="46"/>
      <c r="G93" s="46"/>
      <c r="H93" s="48">
        <v>590</v>
      </c>
      <c r="I93" s="221">
        <v>590</v>
      </c>
      <c r="J93" s="144"/>
      <c r="K93" s="144">
        <f t="shared" si="6"/>
        <v>1770</v>
      </c>
    </row>
    <row r="94" spans="1:11" s="146" customFormat="1" ht="18">
      <c r="A94" s="141" t="s">
        <v>43</v>
      </c>
      <c r="B94" s="46"/>
      <c r="C94" s="46"/>
      <c r="D94" s="46"/>
      <c r="E94" s="48"/>
      <c r="F94" s="46"/>
      <c r="G94" s="201">
        <v>1446</v>
      </c>
      <c r="H94" s="48">
        <v>1446</v>
      </c>
      <c r="I94" s="48">
        <v>1446</v>
      </c>
      <c r="J94" s="144"/>
      <c r="K94" s="144">
        <f t="shared" si="6"/>
        <v>4338</v>
      </c>
    </row>
    <row r="95" spans="1:11" s="181" customFormat="1" ht="18">
      <c r="A95" s="183" t="s">
        <v>356</v>
      </c>
      <c r="B95" s="180"/>
      <c r="C95" s="180"/>
      <c r="D95" s="184">
        <v>800</v>
      </c>
      <c r="E95" s="179"/>
      <c r="F95" s="180"/>
      <c r="G95" s="180"/>
      <c r="H95" s="179"/>
      <c r="I95" s="179"/>
      <c r="J95" s="180"/>
      <c r="K95" s="180">
        <f t="shared" si="6"/>
        <v>800</v>
      </c>
    </row>
    <row r="96" spans="1:11" s="146" customFormat="1" ht="18">
      <c r="A96" s="141" t="s">
        <v>247</v>
      </c>
      <c r="B96" s="144"/>
      <c r="C96" s="144"/>
      <c r="D96" s="144"/>
      <c r="E96" s="147"/>
      <c r="F96" s="144"/>
      <c r="G96" s="144"/>
      <c r="H96" s="147"/>
      <c r="I96" s="46">
        <v>8256</v>
      </c>
      <c r="J96" s="46"/>
      <c r="K96" s="144">
        <f>SUM(B96:J96)</f>
        <v>8256</v>
      </c>
    </row>
    <row r="97" spans="1:11" s="146" customFormat="1" ht="18">
      <c r="A97" s="141" t="s">
        <v>44</v>
      </c>
      <c r="B97" s="144"/>
      <c r="C97" s="144"/>
      <c r="D97" s="144"/>
      <c r="E97" s="147"/>
      <c r="F97" s="144"/>
      <c r="G97" s="144"/>
      <c r="H97" s="147"/>
      <c r="I97" s="48"/>
      <c r="J97" s="46">
        <v>2829</v>
      </c>
      <c r="K97" s="144">
        <f t="shared" si="6"/>
        <v>2829</v>
      </c>
    </row>
    <row r="98" spans="1:11" s="181" customFormat="1" ht="18">
      <c r="A98" s="178" t="s">
        <v>384</v>
      </c>
      <c r="B98" s="180"/>
      <c r="C98" s="180"/>
      <c r="D98" s="180"/>
      <c r="E98" s="179"/>
      <c r="F98" s="180"/>
      <c r="G98" s="180"/>
      <c r="H98" s="179"/>
      <c r="I98" s="207">
        <v>5705</v>
      </c>
      <c r="J98" s="221"/>
      <c r="K98" s="180">
        <f t="shared" si="6"/>
        <v>5705</v>
      </c>
    </row>
    <row r="99" spans="1:11" s="146" customFormat="1" ht="18">
      <c r="A99" s="141" t="s">
        <v>45</v>
      </c>
      <c r="B99" s="144"/>
      <c r="C99" s="144"/>
      <c r="D99" s="175">
        <v>2803</v>
      </c>
      <c r="E99" s="46"/>
      <c r="F99" s="144"/>
      <c r="G99" s="144"/>
      <c r="H99" s="144"/>
      <c r="I99" s="144"/>
      <c r="J99" s="144"/>
      <c r="K99" s="144">
        <f t="shared" si="6"/>
        <v>2803</v>
      </c>
    </row>
    <row r="100" spans="1:11" s="146" customFormat="1" ht="18">
      <c r="A100" s="141" t="s">
        <v>46</v>
      </c>
      <c r="B100" s="144"/>
      <c r="C100" s="144"/>
      <c r="D100" s="46"/>
      <c r="E100" s="46">
        <v>1058</v>
      </c>
      <c r="F100" s="144"/>
      <c r="G100" s="144"/>
      <c r="H100" s="144"/>
      <c r="I100" s="144"/>
      <c r="J100" s="144"/>
      <c r="K100" s="144">
        <f t="shared" si="6"/>
        <v>1058</v>
      </c>
    </row>
    <row r="101" spans="1:11" s="146" customFormat="1" ht="18">
      <c r="A101" s="141" t="s">
        <v>47</v>
      </c>
      <c r="B101" s="144"/>
      <c r="C101" s="144"/>
      <c r="D101" s="144"/>
      <c r="E101" s="46"/>
      <c r="F101" s="46"/>
      <c r="G101" s="46"/>
      <c r="H101" s="46"/>
      <c r="I101" s="46">
        <v>32868</v>
      </c>
      <c r="J101" s="144"/>
      <c r="K101" s="144">
        <f t="shared" si="6"/>
        <v>32868</v>
      </c>
    </row>
    <row r="102" spans="1:11" s="146" customFormat="1" ht="18">
      <c r="A102" s="141" t="s">
        <v>240</v>
      </c>
      <c r="B102" s="144"/>
      <c r="C102" s="144"/>
      <c r="D102" s="144"/>
      <c r="E102" s="46">
        <v>9840</v>
      </c>
      <c r="F102" s="161"/>
      <c r="G102" s="46"/>
      <c r="H102" s="46">
        <v>2700</v>
      </c>
      <c r="I102" s="46"/>
      <c r="J102" s="144"/>
      <c r="K102" s="144">
        <f>SUM(B102:J102)</f>
        <v>12540</v>
      </c>
    </row>
    <row r="103" spans="1:11" s="146" customFormat="1" ht="18">
      <c r="A103" s="141" t="s">
        <v>48</v>
      </c>
      <c r="B103" s="144"/>
      <c r="C103" s="144"/>
      <c r="D103" s="144"/>
      <c r="E103" s="46"/>
      <c r="F103" s="46"/>
      <c r="G103" s="46">
        <v>1550</v>
      </c>
      <c r="H103" s="48">
        <v>563</v>
      </c>
      <c r="I103" s="48"/>
      <c r="J103" s="144"/>
      <c r="K103" s="144">
        <f t="shared" si="6"/>
        <v>2113</v>
      </c>
    </row>
    <row r="104" spans="1:11" s="146" customFormat="1" ht="18">
      <c r="A104" s="141" t="s">
        <v>49</v>
      </c>
      <c r="B104" s="144"/>
      <c r="C104" s="144"/>
      <c r="D104" s="144"/>
      <c r="E104" s="46"/>
      <c r="F104" s="46"/>
      <c r="G104" s="46"/>
      <c r="H104" s="48">
        <v>4847</v>
      </c>
      <c r="I104" s="48"/>
      <c r="J104" s="144"/>
      <c r="K104" s="144">
        <f t="shared" si="6"/>
        <v>4847</v>
      </c>
    </row>
    <row r="105" spans="1:11" s="146" customFormat="1" ht="18">
      <c r="A105" s="141" t="s">
        <v>50</v>
      </c>
      <c r="B105" s="144" t="s">
        <v>202</v>
      </c>
      <c r="C105" s="144" t="s">
        <v>202</v>
      </c>
      <c r="D105" s="144" t="s">
        <v>202</v>
      </c>
      <c r="E105" s="144" t="s">
        <v>202</v>
      </c>
      <c r="F105" s="144" t="s">
        <v>202</v>
      </c>
      <c r="G105" s="144" t="s">
        <v>202</v>
      </c>
      <c r="H105" s="144" t="s">
        <v>202</v>
      </c>
      <c r="I105" s="144" t="s">
        <v>202</v>
      </c>
      <c r="J105" s="144" t="s">
        <v>202</v>
      </c>
      <c r="K105" s="144">
        <f t="shared" si="6"/>
        <v>0</v>
      </c>
    </row>
    <row r="106" spans="1:11" s="146" customFormat="1" ht="18">
      <c r="A106" s="141" t="s">
        <v>51</v>
      </c>
      <c r="B106" s="144" t="s">
        <v>201</v>
      </c>
      <c r="C106" s="144" t="s">
        <v>201</v>
      </c>
      <c r="D106" s="144" t="s">
        <v>201</v>
      </c>
      <c r="E106" s="46" t="s">
        <v>201</v>
      </c>
      <c r="F106" s="46" t="s">
        <v>201</v>
      </c>
      <c r="G106" s="46"/>
      <c r="H106" s="46" t="s">
        <v>201</v>
      </c>
      <c r="I106" s="46">
        <v>2740</v>
      </c>
      <c r="J106" s="144"/>
      <c r="K106" s="144">
        <f>SUM(I106:J106)</f>
        <v>2740</v>
      </c>
    </row>
    <row r="107" spans="1:11" s="146" customFormat="1" ht="18">
      <c r="A107" s="141" t="s">
        <v>123</v>
      </c>
      <c r="B107" s="144"/>
      <c r="C107" s="144"/>
      <c r="D107" s="144"/>
      <c r="E107" s="46">
        <v>6796</v>
      </c>
      <c r="F107" s="46"/>
      <c r="G107" s="48" t="s">
        <v>404</v>
      </c>
      <c r="H107" s="48">
        <v>5967</v>
      </c>
      <c r="I107" s="46"/>
      <c r="J107" s="144"/>
      <c r="K107" s="144">
        <f>SUM(B107:J107)</f>
        <v>12763</v>
      </c>
    </row>
    <row r="108" spans="1:11" s="181" customFormat="1" ht="18">
      <c r="A108" s="178" t="s">
        <v>383</v>
      </c>
      <c r="B108" s="180"/>
      <c r="C108" s="180"/>
      <c r="D108" s="180"/>
      <c r="E108" s="221"/>
      <c r="F108" s="221"/>
      <c r="G108" s="207"/>
      <c r="H108" s="207"/>
      <c r="I108" s="221">
        <v>590</v>
      </c>
      <c r="J108" s="180"/>
      <c r="K108" s="180">
        <f>SUM(B108:J108)</f>
        <v>590</v>
      </c>
    </row>
    <row r="109" spans="1:11" s="146" customFormat="1" ht="18">
      <c r="A109" s="42" t="s">
        <v>406</v>
      </c>
      <c r="B109" s="144"/>
      <c r="C109" s="144"/>
      <c r="D109" s="144"/>
      <c r="E109" s="46"/>
      <c r="F109" s="48">
        <v>1772</v>
      </c>
      <c r="G109" s="53">
        <v>1772</v>
      </c>
      <c r="H109" s="46" t="s">
        <v>201</v>
      </c>
      <c r="I109" s="46">
        <v>1772</v>
      </c>
      <c r="J109" s="144"/>
      <c r="K109" s="144">
        <f t="shared" ref="K109:K130" si="8">SUM(B109:J109)</f>
        <v>5316</v>
      </c>
    </row>
    <row r="110" spans="1:11" s="146" customFormat="1" ht="18">
      <c r="A110" s="141" t="s">
        <v>54</v>
      </c>
      <c r="B110" s="46">
        <v>5978</v>
      </c>
      <c r="C110" s="46"/>
      <c r="D110" s="46"/>
      <c r="E110" s="48">
        <v>5978</v>
      </c>
      <c r="F110" s="48">
        <v>6590</v>
      </c>
      <c r="G110" s="48">
        <v>5978</v>
      </c>
      <c r="H110" s="48">
        <v>5018</v>
      </c>
      <c r="I110" s="50">
        <v>7522</v>
      </c>
      <c r="J110" s="46"/>
      <c r="K110" s="144">
        <f>SUM(B110:J110)</f>
        <v>37064</v>
      </c>
    </row>
    <row r="111" spans="1:11" s="146" customFormat="1" ht="18">
      <c r="A111" s="141" t="s">
        <v>158</v>
      </c>
      <c r="B111" s="46"/>
      <c r="C111" s="46"/>
      <c r="D111" s="46"/>
      <c r="E111" s="46"/>
      <c r="F111" s="48">
        <v>2348</v>
      </c>
      <c r="G111" s="46"/>
      <c r="H111" s="46"/>
      <c r="I111" s="46">
        <v>2348</v>
      </c>
      <c r="J111" s="46">
        <v>2348</v>
      </c>
      <c r="K111" s="144">
        <f>SUM(B111:J111)</f>
        <v>7044</v>
      </c>
    </row>
    <row r="112" spans="1:11" s="146" customFormat="1" ht="18">
      <c r="A112" s="141" t="s">
        <v>53</v>
      </c>
      <c r="B112" s="46"/>
      <c r="C112" s="46"/>
      <c r="D112" s="46"/>
      <c r="E112" s="46">
        <v>1114</v>
      </c>
      <c r="F112" s="48"/>
      <c r="G112" s="46"/>
      <c r="H112" s="46"/>
      <c r="I112" s="46"/>
      <c r="J112" s="46"/>
      <c r="K112" s="144">
        <f>SUM(B112:J112)</f>
        <v>1114</v>
      </c>
    </row>
    <row r="113" spans="1:11" s="146" customFormat="1" ht="18">
      <c r="A113" s="141" t="s">
        <v>159</v>
      </c>
      <c r="B113" s="46"/>
      <c r="C113" s="46">
        <v>8209</v>
      </c>
      <c r="D113" s="46"/>
      <c r="E113" s="46"/>
      <c r="F113" s="223">
        <v>9314</v>
      </c>
      <c r="G113" s="46"/>
      <c r="H113" s="46"/>
      <c r="I113" s="46" t="s">
        <v>201</v>
      </c>
      <c r="J113" s="46"/>
      <c r="K113" s="144">
        <f>SUM(B113:J113)</f>
        <v>17523</v>
      </c>
    </row>
    <row r="114" spans="1:11" s="146" customFormat="1" ht="18">
      <c r="A114" s="141" t="s">
        <v>52</v>
      </c>
      <c r="B114" s="46"/>
      <c r="C114" s="46"/>
      <c r="D114" s="46"/>
      <c r="E114" s="46">
        <v>1124</v>
      </c>
      <c r="F114" s="48"/>
      <c r="G114" s="46"/>
      <c r="H114" s="46"/>
      <c r="I114" s="46"/>
      <c r="J114" s="46"/>
      <c r="K114" s="144">
        <f t="shared" si="8"/>
        <v>1124</v>
      </c>
    </row>
    <row r="115" spans="1:11" s="146" customFormat="1" ht="18">
      <c r="A115" s="141" t="s">
        <v>160</v>
      </c>
      <c r="B115" s="46"/>
      <c r="C115" s="46"/>
      <c r="D115" s="46"/>
      <c r="E115" s="48">
        <v>2142</v>
      </c>
      <c r="F115" s="48"/>
      <c r="G115" s="48"/>
      <c r="H115" s="48"/>
      <c r="I115" s="262">
        <v>2600</v>
      </c>
      <c r="J115" s="46"/>
      <c r="K115" s="144">
        <f>SUM(B115:J115)</f>
        <v>4742</v>
      </c>
    </row>
    <row r="116" spans="1:11" s="146" customFormat="1" ht="18">
      <c r="A116" s="141" t="s">
        <v>226</v>
      </c>
      <c r="B116" s="46"/>
      <c r="C116" s="46"/>
      <c r="D116" s="46"/>
      <c r="E116" s="225"/>
      <c r="F116" s="48"/>
      <c r="G116" s="48">
        <v>5469</v>
      </c>
      <c r="H116" s="48"/>
      <c r="I116" s="48"/>
      <c r="J116" s="46"/>
      <c r="K116" s="144">
        <f>SUM(B116:J116)</f>
        <v>5469</v>
      </c>
    </row>
    <row r="117" spans="1:11" s="146" customFormat="1" ht="18">
      <c r="A117" s="42" t="s">
        <v>55</v>
      </c>
      <c r="B117" s="46">
        <v>8336</v>
      </c>
      <c r="C117" s="46"/>
      <c r="D117" s="184">
        <v>18710</v>
      </c>
      <c r="E117" s="48">
        <v>8336</v>
      </c>
      <c r="F117" s="46"/>
      <c r="G117" s="48">
        <v>8336</v>
      </c>
      <c r="H117" s="48">
        <v>5002</v>
      </c>
      <c r="I117" s="231">
        <v>18710</v>
      </c>
      <c r="J117" s="46"/>
      <c r="K117" s="144">
        <f t="shared" si="8"/>
        <v>67430</v>
      </c>
    </row>
    <row r="118" spans="1:11" s="146" customFormat="1" ht="18">
      <c r="A118" s="141" t="s">
        <v>227</v>
      </c>
      <c r="B118" s="46"/>
      <c r="C118" s="46"/>
      <c r="D118" s="46"/>
      <c r="E118" s="48"/>
      <c r="F118" s="46"/>
      <c r="G118" s="48">
        <v>2920</v>
      </c>
      <c r="H118" s="48"/>
      <c r="I118" s="46"/>
      <c r="J118" s="46"/>
      <c r="K118" s="144">
        <f>SUM(B118:J118)</f>
        <v>2920</v>
      </c>
    </row>
    <row r="119" spans="1:11" s="146" customFormat="1" ht="18">
      <c r="A119" s="42" t="s">
        <v>56</v>
      </c>
      <c r="B119" s="46">
        <v>7194</v>
      </c>
      <c r="C119" s="48">
        <v>5928</v>
      </c>
      <c r="D119" s="46"/>
      <c r="E119" s="48">
        <v>7194</v>
      </c>
      <c r="F119" s="46"/>
      <c r="G119" s="48">
        <v>7194</v>
      </c>
      <c r="H119" s="48">
        <v>4230</v>
      </c>
      <c r="I119" s="231">
        <v>17784</v>
      </c>
      <c r="J119" s="46"/>
      <c r="K119" s="144">
        <f t="shared" si="8"/>
        <v>49524</v>
      </c>
    </row>
    <row r="120" spans="1:11" s="181" customFormat="1" ht="18">
      <c r="A120" s="178" t="s">
        <v>302</v>
      </c>
      <c r="B120" s="180"/>
      <c r="C120" s="223">
        <v>3505</v>
      </c>
      <c r="D120" s="180"/>
      <c r="E120" s="179"/>
      <c r="F120" s="180"/>
      <c r="G120" s="179"/>
      <c r="H120" s="179"/>
      <c r="I120" s="201">
        <v>5211</v>
      </c>
      <c r="J120" s="180"/>
      <c r="K120" s="180">
        <f t="shared" si="8"/>
        <v>8716</v>
      </c>
    </row>
    <row r="121" spans="1:11" s="146" customFormat="1" ht="18">
      <c r="A121" s="141" t="s">
        <v>57</v>
      </c>
      <c r="B121" s="144"/>
      <c r="C121" s="144"/>
      <c r="D121" s="144"/>
      <c r="E121" s="48">
        <v>2964</v>
      </c>
      <c r="F121" s="46"/>
      <c r="G121" s="53">
        <v>2964</v>
      </c>
      <c r="H121" s="46"/>
      <c r="I121" s="148"/>
      <c r="J121" s="144"/>
      <c r="K121" s="144">
        <f t="shared" si="8"/>
        <v>5928</v>
      </c>
    </row>
    <row r="122" spans="1:11" s="146" customFormat="1" ht="18">
      <c r="A122" s="141" t="s">
        <v>58</v>
      </c>
      <c r="B122" s="144"/>
      <c r="C122" s="144"/>
      <c r="D122" s="144"/>
      <c r="E122" s="48">
        <v>620</v>
      </c>
      <c r="F122" s="46"/>
      <c r="G122" s="46"/>
      <c r="H122" s="46"/>
      <c r="I122" s="144"/>
      <c r="J122" s="144"/>
      <c r="K122" s="144">
        <f t="shared" si="8"/>
        <v>620</v>
      </c>
    </row>
    <row r="123" spans="1:11" s="146" customFormat="1" ht="18">
      <c r="A123" s="141" t="s">
        <v>137</v>
      </c>
      <c r="B123" s="144"/>
      <c r="C123" s="144"/>
      <c r="D123" s="144"/>
      <c r="E123" s="48">
        <v>2190</v>
      </c>
      <c r="F123" s="46"/>
      <c r="G123" s="46"/>
      <c r="H123" s="48">
        <v>2190</v>
      </c>
      <c r="I123" s="144"/>
      <c r="J123" s="144"/>
      <c r="K123" s="144">
        <f>SUM(B123:J123)</f>
        <v>4380</v>
      </c>
    </row>
    <row r="124" spans="1:11" s="146" customFormat="1" ht="18">
      <c r="A124" s="141" t="s">
        <v>59</v>
      </c>
      <c r="B124" s="46"/>
      <c r="C124" s="46">
        <v>6092</v>
      </c>
      <c r="D124" s="46"/>
      <c r="E124" s="48"/>
      <c r="F124" s="46"/>
      <c r="G124" s="46"/>
      <c r="H124" s="46"/>
      <c r="I124" s="46"/>
      <c r="J124" s="144"/>
      <c r="K124" s="144">
        <f t="shared" si="8"/>
        <v>6092</v>
      </c>
    </row>
    <row r="125" spans="1:11" s="181" customFormat="1" ht="18">
      <c r="A125" s="183" t="s">
        <v>357</v>
      </c>
      <c r="B125" s="201">
        <v>6786</v>
      </c>
      <c r="C125" s="201"/>
      <c r="D125" s="184">
        <v>6786</v>
      </c>
      <c r="E125" s="207"/>
      <c r="F125" s="221"/>
      <c r="G125" s="221"/>
      <c r="H125" s="221"/>
      <c r="I125" s="221"/>
      <c r="J125" s="180"/>
      <c r="K125" s="180">
        <f t="shared" si="8"/>
        <v>13572</v>
      </c>
    </row>
    <row r="126" spans="1:11" s="146" customFormat="1" ht="18">
      <c r="A126" s="141" t="s">
        <v>60</v>
      </c>
      <c r="B126" s="46"/>
      <c r="C126" s="46"/>
      <c r="D126" s="46"/>
      <c r="E126" s="46"/>
      <c r="F126" s="46"/>
      <c r="G126" s="46"/>
      <c r="H126" s="46"/>
      <c r="I126" s="46">
        <v>2894</v>
      </c>
      <c r="J126" s="144"/>
      <c r="K126" s="144">
        <f t="shared" si="8"/>
        <v>2894</v>
      </c>
    </row>
    <row r="127" spans="1:11" s="146" customFormat="1" ht="18">
      <c r="A127" s="141" t="s">
        <v>133</v>
      </c>
      <c r="B127" s="46"/>
      <c r="C127" s="46"/>
      <c r="D127" s="46"/>
      <c r="E127" s="48">
        <v>5623</v>
      </c>
      <c r="F127" s="46"/>
      <c r="G127" s="48">
        <v>5623</v>
      </c>
      <c r="H127" s="46"/>
      <c r="I127" s="46"/>
      <c r="J127" s="144"/>
      <c r="K127" s="144">
        <f t="shared" si="8"/>
        <v>11246</v>
      </c>
    </row>
    <row r="128" spans="1:11" s="146" customFormat="1" ht="18">
      <c r="A128" s="141" t="s">
        <v>134</v>
      </c>
      <c r="B128" s="46"/>
      <c r="C128" s="46"/>
      <c r="D128" s="46"/>
      <c r="E128" s="46"/>
      <c r="F128" s="46"/>
      <c r="G128" s="48">
        <v>406</v>
      </c>
      <c r="H128" s="46"/>
      <c r="I128" s="46"/>
      <c r="J128" s="144"/>
      <c r="K128" s="144">
        <f t="shared" si="8"/>
        <v>406</v>
      </c>
    </row>
    <row r="129" spans="1:11" s="146" customFormat="1" ht="18">
      <c r="A129" s="141" t="s">
        <v>135</v>
      </c>
      <c r="B129" s="46"/>
      <c r="C129" s="46"/>
      <c r="D129" s="46"/>
      <c r="E129" s="48">
        <v>5265</v>
      </c>
      <c r="F129" s="46"/>
      <c r="G129" s="46"/>
      <c r="H129" s="46"/>
      <c r="I129" s="46"/>
      <c r="J129" s="144"/>
      <c r="K129" s="144">
        <f t="shared" si="8"/>
        <v>5265</v>
      </c>
    </row>
    <row r="130" spans="1:11" s="146" customFormat="1" ht="18">
      <c r="A130" s="141" t="s">
        <v>61</v>
      </c>
      <c r="B130" s="46"/>
      <c r="C130" s="46"/>
      <c r="D130" s="46"/>
      <c r="E130" s="46"/>
      <c r="F130" s="48"/>
      <c r="G130" s="46"/>
      <c r="H130" s="46"/>
      <c r="I130" s="46">
        <v>3019</v>
      </c>
      <c r="J130" s="144"/>
      <c r="K130" s="144">
        <f t="shared" si="8"/>
        <v>3019</v>
      </c>
    </row>
    <row r="131" spans="1:11" s="25" customFormat="1" ht="51.75">
      <c r="A131" s="7"/>
      <c r="B131" s="17" t="s">
        <v>191</v>
      </c>
      <c r="C131" s="17" t="s">
        <v>192</v>
      </c>
      <c r="D131" s="17" t="s">
        <v>193</v>
      </c>
      <c r="E131" s="17" t="s">
        <v>194</v>
      </c>
      <c r="F131" s="17" t="s">
        <v>195</v>
      </c>
      <c r="G131" s="17" t="s">
        <v>196</v>
      </c>
      <c r="H131" s="17" t="s">
        <v>197</v>
      </c>
      <c r="I131" s="17" t="s">
        <v>198</v>
      </c>
      <c r="J131" s="17"/>
      <c r="K131" s="17"/>
    </row>
    <row r="132" spans="1:11" s="1" customFormat="1" ht="18">
      <c r="A132" s="8" t="s">
        <v>300</v>
      </c>
      <c r="B132" s="9"/>
      <c r="C132" s="10"/>
      <c r="D132" s="11"/>
      <c r="E132" s="10"/>
      <c r="F132" s="12"/>
      <c r="G132" s="12"/>
      <c r="H132" s="13"/>
      <c r="I132" s="9"/>
      <c r="J132" s="9"/>
      <c r="K132" s="14"/>
    </row>
    <row r="133" spans="1:11" s="156" customFormat="1" ht="18">
      <c r="A133" s="141" t="s">
        <v>62</v>
      </c>
      <c r="B133" s="144"/>
      <c r="C133" s="147"/>
      <c r="D133" s="144"/>
      <c r="E133" s="144"/>
      <c r="F133" s="144"/>
      <c r="G133" s="144"/>
      <c r="H133" s="144"/>
      <c r="I133" s="144">
        <v>11637</v>
      </c>
      <c r="J133" s="144"/>
      <c r="K133" s="144">
        <f t="shared" ref="K133:K146" si="9">SUM(B133:J133)</f>
        <v>11637</v>
      </c>
    </row>
    <row r="134" spans="1:11" s="156" customFormat="1" ht="18">
      <c r="A134" s="141" t="s">
        <v>136</v>
      </c>
      <c r="B134" s="144"/>
      <c r="C134" s="147"/>
      <c r="D134" s="144"/>
      <c r="E134" s="144"/>
      <c r="F134" s="144"/>
      <c r="G134" s="144"/>
      <c r="H134" s="144"/>
      <c r="I134" s="144">
        <v>17974</v>
      </c>
      <c r="J134" s="144"/>
      <c r="K134" s="144">
        <f t="shared" si="9"/>
        <v>17974</v>
      </c>
    </row>
    <row r="135" spans="1:11" s="140" customFormat="1" ht="18">
      <c r="A135" s="204" t="s">
        <v>372</v>
      </c>
      <c r="B135" s="138"/>
      <c r="C135" s="136"/>
      <c r="D135" s="138"/>
      <c r="E135" s="149"/>
      <c r="F135" s="138"/>
      <c r="G135" s="138"/>
      <c r="H135" s="194" t="s">
        <v>225</v>
      </c>
      <c r="I135" s="136" t="s">
        <v>225</v>
      </c>
      <c r="J135" s="138"/>
      <c r="K135" s="138">
        <f t="shared" si="9"/>
        <v>0</v>
      </c>
    </row>
    <row r="136" spans="1:11" s="146" customFormat="1" ht="18">
      <c r="A136" s="141" t="s">
        <v>236</v>
      </c>
      <c r="B136" s="144"/>
      <c r="C136" s="147">
        <v>2510</v>
      </c>
      <c r="D136" s="144"/>
      <c r="E136" s="144"/>
      <c r="F136" s="144"/>
      <c r="G136" s="144"/>
      <c r="H136" s="144"/>
      <c r="I136" s="147"/>
      <c r="J136" s="144"/>
      <c r="K136" s="144">
        <f t="shared" si="9"/>
        <v>2510</v>
      </c>
    </row>
    <row r="137" spans="1:11" s="146" customFormat="1" ht="18">
      <c r="A137" s="141" t="s">
        <v>288</v>
      </c>
      <c r="B137" s="144"/>
      <c r="C137" s="147"/>
      <c r="D137" s="144"/>
      <c r="E137" s="144"/>
      <c r="F137" s="144"/>
      <c r="G137" s="144"/>
      <c r="H137" s="144"/>
      <c r="I137" s="144" t="s">
        <v>225</v>
      </c>
      <c r="J137" s="144"/>
      <c r="K137" s="144">
        <f t="shared" si="9"/>
        <v>0</v>
      </c>
    </row>
    <row r="138" spans="1:11" s="146" customFormat="1" ht="18">
      <c r="A138" s="141" t="s">
        <v>237</v>
      </c>
      <c r="B138" s="144"/>
      <c r="C138" s="147"/>
      <c r="D138" s="144"/>
      <c r="E138" s="144">
        <v>5936</v>
      </c>
      <c r="F138" s="144"/>
      <c r="G138" s="144"/>
      <c r="H138" s="144"/>
      <c r="I138" s="144"/>
      <c r="J138" s="144"/>
      <c r="K138" s="144">
        <f t="shared" si="9"/>
        <v>5936</v>
      </c>
    </row>
    <row r="139" spans="1:11" s="146" customFormat="1" ht="18">
      <c r="A139" s="141" t="s">
        <v>289</v>
      </c>
      <c r="B139" s="144"/>
      <c r="C139" s="147"/>
      <c r="D139" s="144"/>
      <c r="E139" s="144">
        <v>1595</v>
      </c>
      <c r="F139" s="144"/>
      <c r="G139" s="144"/>
      <c r="H139" s="144"/>
      <c r="I139" s="180">
        <v>6354</v>
      </c>
      <c r="J139" s="144"/>
      <c r="K139" s="144">
        <f t="shared" si="9"/>
        <v>7949</v>
      </c>
    </row>
    <row r="140" spans="1:11" s="181" customFormat="1" ht="18">
      <c r="A140" s="178" t="s">
        <v>407</v>
      </c>
      <c r="B140" s="180">
        <v>9120</v>
      </c>
      <c r="C140" s="179"/>
      <c r="D140" s="180"/>
      <c r="E140" s="180"/>
      <c r="F140" s="180"/>
      <c r="G140" s="180"/>
      <c r="H140" s="180"/>
      <c r="I140" s="180"/>
      <c r="J140" s="180"/>
      <c r="K140" s="180">
        <f t="shared" si="9"/>
        <v>9120</v>
      </c>
    </row>
    <row r="141" spans="1:11" s="181" customFormat="1" ht="18">
      <c r="A141" s="202" t="s">
        <v>362</v>
      </c>
      <c r="B141" s="180"/>
      <c r="C141" s="179"/>
      <c r="D141" s="180"/>
      <c r="E141" s="180"/>
      <c r="F141" s="180"/>
      <c r="G141" s="180"/>
      <c r="H141" s="180"/>
      <c r="I141" s="180"/>
      <c r="J141" s="180"/>
      <c r="K141" s="180">
        <f t="shared" si="9"/>
        <v>0</v>
      </c>
    </row>
    <row r="142" spans="1:11" s="181" customFormat="1" ht="18">
      <c r="A142" s="178" t="s">
        <v>328</v>
      </c>
      <c r="B142" s="180"/>
      <c r="C142" s="180" t="s">
        <v>395</v>
      </c>
      <c r="D142" s="180"/>
      <c r="E142" s="180"/>
      <c r="F142" s="180">
        <v>2070</v>
      </c>
      <c r="G142" s="231">
        <v>7650</v>
      </c>
      <c r="H142" s="180"/>
      <c r="I142" s="180"/>
      <c r="J142" s="180"/>
      <c r="K142" s="180">
        <f t="shared" si="9"/>
        <v>9720</v>
      </c>
    </row>
    <row r="143" spans="1:11" s="160" customFormat="1" ht="18">
      <c r="A143" s="141" t="s">
        <v>408</v>
      </c>
      <c r="B143" s="158"/>
      <c r="C143" s="147"/>
      <c r="D143" s="158"/>
      <c r="E143" s="144" t="s">
        <v>201</v>
      </c>
      <c r="F143" s="158"/>
      <c r="G143" s="158"/>
      <c r="H143" s="158"/>
      <c r="I143" s="158"/>
      <c r="J143" s="158"/>
      <c r="K143" s="144">
        <f>SUM(B143:J143)</f>
        <v>0</v>
      </c>
    </row>
    <row r="144" spans="1:11" s="156" customFormat="1" ht="18">
      <c r="A144" s="141" t="s">
        <v>64</v>
      </c>
      <c r="B144" s="144"/>
      <c r="C144" s="147"/>
      <c r="D144" s="175">
        <v>8776</v>
      </c>
      <c r="E144" s="144"/>
      <c r="F144" s="147"/>
      <c r="G144" s="147"/>
      <c r="H144" s="147"/>
      <c r="I144" s="147"/>
      <c r="J144" s="147" t="s">
        <v>202</v>
      </c>
      <c r="K144" s="144">
        <f t="shared" si="9"/>
        <v>8776</v>
      </c>
    </row>
    <row r="145" spans="1:11" s="156" customFormat="1" ht="18">
      <c r="A145" s="141" t="s">
        <v>65</v>
      </c>
      <c r="B145" s="144"/>
      <c r="C145" s="147"/>
      <c r="D145" s="175">
        <v>12762</v>
      </c>
      <c r="E145" s="144"/>
      <c r="F145" s="147"/>
      <c r="G145" s="147"/>
      <c r="H145" s="147"/>
      <c r="I145" s="147"/>
      <c r="J145" s="147" t="s">
        <v>202</v>
      </c>
      <c r="K145" s="144">
        <f t="shared" si="9"/>
        <v>12762</v>
      </c>
    </row>
    <row r="146" spans="1:11" s="156" customFormat="1" ht="18">
      <c r="A146" s="141" t="s">
        <v>169</v>
      </c>
      <c r="B146" s="144"/>
      <c r="C146" s="147"/>
      <c r="D146" s="175">
        <v>1700</v>
      </c>
      <c r="E146" s="147"/>
      <c r="F146" s="144"/>
      <c r="G146" s="147"/>
      <c r="H146" s="147"/>
      <c r="I146" s="147"/>
      <c r="J146" s="147"/>
      <c r="K146" s="144">
        <f t="shared" si="9"/>
        <v>1700</v>
      </c>
    </row>
    <row r="147" spans="1:11" s="142" customFormat="1" ht="18">
      <c r="A147" s="141" t="s">
        <v>66</v>
      </c>
      <c r="B147" s="144"/>
      <c r="C147" s="147"/>
      <c r="D147" s="48" t="s">
        <v>202</v>
      </c>
      <c r="E147" s="147"/>
      <c r="F147" s="147"/>
      <c r="G147" s="147"/>
      <c r="H147" s="147"/>
      <c r="I147" s="147"/>
      <c r="J147" s="147" t="s">
        <v>202</v>
      </c>
      <c r="K147" s="144">
        <v>0</v>
      </c>
    </row>
    <row r="148" spans="1:11" s="142" customFormat="1" ht="18">
      <c r="A148" s="141" t="s">
        <v>230</v>
      </c>
      <c r="B148" s="144"/>
      <c r="C148" s="147">
        <v>3149</v>
      </c>
      <c r="D148" s="147"/>
      <c r="E148" s="147"/>
      <c r="F148" s="147"/>
      <c r="G148" s="147"/>
      <c r="H148" s="147"/>
      <c r="I148" s="147"/>
      <c r="J148" s="147"/>
      <c r="K148" s="144">
        <f>SUM(C148:J148)</f>
        <v>3149</v>
      </c>
    </row>
    <row r="149" spans="1:11" s="212" customFormat="1" ht="33">
      <c r="A149" s="211" t="s">
        <v>399</v>
      </c>
      <c r="B149" s="180"/>
      <c r="C149" s="179"/>
      <c r="D149" s="227">
        <v>9666.75</v>
      </c>
      <c r="E149" s="179"/>
      <c r="F149" s="179"/>
      <c r="G149" s="179"/>
      <c r="H149" s="179"/>
      <c r="I149" s="179"/>
      <c r="J149" s="179"/>
      <c r="K149" s="180">
        <f>SUM(C149:J149)</f>
        <v>9666.75</v>
      </c>
    </row>
    <row r="150" spans="1:11" s="156" customFormat="1" ht="18">
      <c r="A150" s="141" t="s">
        <v>67</v>
      </c>
      <c r="B150" s="144"/>
      <c r="C150" s="147"/>
      <c r="D150" s="175">
        <v>9969</v>
      </c>
      <c r="E150" s="144"/>
      <c r="F150" s="147"/>
      <c r="G150" s="147"/>
      <c r="H150" s="147"/>
      <c r="I150" s="147"/>
      <c r="J150" s="147"/>
      <c r="K150" s="144">
        <f t="shared" ref="K150:K158" si="10">SUM(B150:J150)</f>
        <v>9969</v>
      </c>
    </row>
    <row r="151" spans="1:11" s="156" customFormat="1" ht="18">
      <c r="A151" s="141" t="s">
        <v>68</v>
      </c>
      <c r="B151" s="144"/>
      <c r="C151" s="147">
        <v>9136</v>
      </c>
      <c r="D151" s="147" t="s">
        <v>202</v>
      </c>
      <c r="E151" s="147"/>
      <c r="F151" s="147"/>
      <c r="G151" s="147"/>
      <c r="H151" s="147"/>
      <c r="I151" s="147"/>
      <c r="J151" s="147" t="s">
        <v>202</v>
      </c>
      <c r="K151" s="147">
        <f t="shared" si="10"/>
        <v>9136</v>
      </c>
    </row>
    <row r="152" spans="1:11" s="182" customFormat="1" ht="18">
      <c r="A152" s="183" t="s">
        <v>359</v>
      </c>
      <c r="B152" s="180"/>
      <c r="C152" s="179"/>
      <c r="D152" s="187">
        <v>1700</v>
      </c>
      <c r="E152" s="179"/>
      <c r="F152" s="179"/>
      <c r="G152" s="179"/>
      <c r="H152" s="179"/>
      <c r="I152" s="179"/>
      <c r="J152" s="179"/>
      <c r="K152" s="179">
        <f t="shared" si="10"/>
        <v>1700</v>
      </c>
    </row>
    <row r="153" spans="1:11" s="156" customFormat="1" ht="18">
      <c r="A153" s="141" t="s">
        <v>69</v>
      </c>
      <c r="B153" s="147">
        <v>2105</v>
      </c>
      <c r="C153" s="147">
        <v>2105</v>
      </c>
      <c r="D153" s="147">
        <v>2105</v>
      </c>
      <c r="E153" s="147">
        <v>2105</v>
      </c>
      <c r="F153" s="147">
        <v>2105</v>
      </c>
      <c r="G153" s="147">
        <v>2105</v>
      </c>
      <c r="H153" s="147">
        <v>2105</v>
      </c>
      <c r="I153" s="147">
        <v>2105</v>
      </c>
      <c r="J153" s="147">
        <v>2105</v>
      </c>
      <c r="K153" s="144">
        <f t="shared" si="10"/>
        <v>18945</v>
      </c>
    </row>
    <row r="154" spans="1:11" s="156" customFormat="1" ht="18">
      <c r="A154" s="141" t="s">
        <v>70</v>
      </c>
      <c r="B154" s="16">
        <v>3048</v>
      </c>
      <c r="C154" s="147"/>
      <c r="D154" s="144"/>
      <c r="E154" s="147"/>
      <c r="F154" s="147">
        <v>3048</v>
      </c>
      <c r="G154" s="144"/>
      <c r="H154" s="144"/>
      <c r="I154" s="144"/>
      <c r="J154" s="144"/>
      <c r="K154" s="144">
        <f t="shared" si="10"/>
        <v>6096</v>
      </c>
    </row>
    <row r="155" spans="1:11" s="156" customFormat="1" ht="18">
      <c r="A155" s="141" t="s">
        <v>71</v>
      </c>
      <c r="B155" s="144"/>
      <c r="C155" s="147">
        <v>4797</v>
      </c>
      <c r="D155" s="175">
        <v>6658.9</v>
      </c>
      <c r="E155" s="144"/>
      <c r="F155" s="144"/>
      <c r="G155" s="147"/>
      <c r="H155" s="144"/>
      <c r="I155" s="144"/>
      <c r="J155" s="144"/>
      <c r="K155" s="144">
        <f t="shared" si="10"/>
        <v>11455.9</v>
      </c>
    </row>
    <row r="156" spans="1:11" s="159" customFormat="1" thickBot="1">
      <c r="A156" s="141" t="s">
        <v>203</v>
      </c>
      <c r="B156" s="144"/>
      <c r="C156" s="144"/>
      <c r="D156" s="226">
        <v>10576.55</v>
      </c>
      <c r="E156" s="144"/>
      <c r="F156" s="144"/>
      <c r="G156" s="144"/>
      <c r="H156" s="144"/>
      <c r="I156" s="144"/>
      <c r="J156" s="144"/>
      <c r="K156" s="144">
        <f>SUM(B156:J156)</f>
        <v>10576.55</v>
      </c>
    </row>
    <row r="157" spans="1:11" s="156" customFormat="1" thickTop="1">
      <c r="A157" s="141" t="s">
        <v>72</v>
      </c>
      <c r="B157" s="144"/>
      <c r="C157" s="147"/>
      <c r="D157" s="147"/>
      <c r="E157" s="147"/>
      <c r="F157" s="144"/>
      <c r="G157" s="147">
        <v>750</v>
      </c>
      <c r="H157" s="144"/>
      <c r="I157" s="144"/>
      <c r="J157" s="144"/>
      <c r="K157" s="144">
        <f t="shared" si="10"/>
        <v>750</v>
      </c>
    </row>
    <row r="158" spans="1:11" s="182" customFormat="1" ht="18">
      <c r="A158" s="228" t="s">
        <v>303</v>
      </c>
      <c r="B158" s="180"/>
      <c r="C158" s="179"/>
      <c r="D158" s="179"/>
      <c r="E158" s="179"/>
      <c r="F158" s="180"/>
      <c r="G158" s="179"/>
      <c r="H158" s="180"/>
      <c r="I158" s="180">
        <f>545.4+59+61</f>
        <v>665.4</v>
      </c>
      <c r="J158" s="180"/>
      <c r="K158" s="180">
        <f t="shared" si="10"/>
        <v>665.4</v>
      </c>
    </row>
    <row r="159" spans="1:11" s="265" customFormat="1" ht="18">
      <c r="A159" s="204" t="s">
        <v>400</v>
      </c>
      <c r="B159" s="138">
        <v>10000</v>
      </c>
      <c r="C159" s="263"/>
      <c r="D159" s="177">
        <v>14850</v>
      </c>
      <c r="E159" s="263"/>
      <c r="F159" s="263"/>
      <c r="G159" s="138">
        <v>10000</v>
      </c>
      <c r="H159" s="263" t="s">
        <v>201</v>
      </c>
      <c r="I159" s="264"/>
      <c r="J159" s="263"/>
      <c r="K159" s="263">
        <f t="shared" ref="K159:K163" si="11">SUM(B159:J159)</f>
        <v>34850</v>
      </c>
    </row>
    <row r="160" spans="1:11" s="265" customFormat="1" ht="18">
      <c r="A160" s="204" t="s">
        <v>401</v>
      </c>
      <c r="B160" s="138">
        <v>14000</v>
      </c>
      <c r="C160" s="263"/>
      <c r="D160" s="177">
        <v>15500</v>
      </c>
      <c r="E160" s="263"/>
      <c r="F160" s="263"/>
      <c r="G160" s="138">
        <v>14000</v>
      </c>
      <c r="H160" s="263" t="s">
        <v>201</v>
      </c>
      <c r="I160" s="264"/>
      <c r="J160" s="263"/>
      <c r="K160" s="263">
        <f t="shared" ref="K160" si="12">SUM(B160:J160)</f>
        <v>43500</v>
      </c>
    </row>
    <row r="161" spans="1:11" s="140" customFormat="1">
      <c r="A161" s="204" t="s">
        <v>150</v>
      </c>
      <c r="B161" s="138"/>
      <c r="C161" s="138"/>
      <c r="D161" s="138"/>
      <c r="E161" s="138"/>
      <c r="F161" s="138"/>
      <c r="G161" s="138"/>
      <c r="H161" s="138"/>
      <c r="I161" s="214">
        <v>47525</v>
      </c>
      <c r="J161" s="138"/>
      <c r="K161" s="138">
        <f t="shared" si="11"/>
        <v>47525</v>
      </c>
    </row>
    <row r="162" spans="1:11" s="140" customFormat="1" ht="18">
      <c r="A162" s="204" t="s">
        <v>224</v>
      </c>
      <c r="B162" s="138"/>
      <c r="C162" s="138"/>
      <c r="D162" s="138"/>
      <c r="E162" s="138"/>
      <c r="F162" s="138"/>
      <c r="G162" s="138"/>
      <c r="H162" s="138"/>
      <c r="I162" s="136" t="s">
        <v>221</v>
      </c>
      <c r="J162" s="138"/>
      <c r="K162" s="138">
        <f t="shared" si="11"/>
        <v>0</v>
      </c>
    </row>
    <row r="163" spans="1:11" s="156" customFormat="1" ht="18">
      <c r="A163" s="141" t="s">
        <v>73</v>
      </c>
      <c r="B163" s="147" t="s">
        <v>225</v>
      </c>
      <c r="C163" s="147"/>
      <c r="D163" s="147"/>
      <c r="E163" s="147"/>
      <c r="F163" s="147"/>
      <c r="G163" s="147"/>
      <c r="H163" s="147"/>
      <c r="I163" s="144" t="s">
        <v>225</v>
      </c>
      <c r="J163" s="147"/>
      <c r="K163" s="144">
        <f t="shared" si="11"/>
        <v>0</v>
      </c>
    </row>
    <row r="164" spans="1:11" s="156" customFormat="1" ht="18">
      <c r="A164" s="141" t="s">
        <v>269</v>
      </c>
      <c r="B164" s="144"/>
      <c r="C164" s="251">
        <v>692.49</v>
      </c>
      <c r="D164" s="144"/>
      <c r="E164" s="144"/>
      <c r="F164" s="144"/>
      <c r="G164" s="144"/>
      <c r="H164" s="144"/>
      <c r="I164" s="144"/>
      <c r="J164" s="144"/>
      <c r="K164" s="144">
        <f t="shared" ref="K164:K168" si="13">SUM(B164:J164)</f>
        <v>692.49</v>
      </c>
    </row>
    <row r="165" spans="1:11" s="156" customFormat="1" ht="18">
      <c r="A165" s="141" t="s">
        <v>270</v>
      </c>
      <c r="B165" s="144"/>
      <c r="C165" s="251">
        <v>2087.4299999999998</v>
      </c>
      <c r="D165" s="144"/>
      <c r="E165" s="144"/>
      <c r="F165" s="144"/>
      <c r="G165" s="144"/>
      <c r="H165" s="144"/>
      <c r="I165" s="144"/>
      <c r="J165" s="144"/>
      <c r="K165" s="144">
        <f t="shared" si="13"/>
        <v>2087.4299999999998</v>
      </c>
    </row>
    <row r="166" spans="1:11" s="156" customFormat="1" ht="18">
      <c r="A166" s="141" t="s">
        <v>271</v>
      </c>
      <c r="B166" s="144"/>
      <c r="C166" s="251">
        <v>319.2</v>
      </c>
      <c r="D166" s="144"/>
      <c r="E166" s="144"/>
      <c r="F166" s="144"/>
      <c r="G166" s="144"/>
      <c r="H166" s="144"/>
      <c r="I166" s="144"/>
      <c r="J166" s="144"/>
      <c r="K166" s="144">
        <f t="shared" si="13"/>
        <v>319.2</v>
      </c>
    </row>
    <row r="167" spans="1:11" s="156" customFormat="1" ht="18">
      <c r="A167" s="141" t="s">
        <v>272</v>
      </c>
      <c r="B167" s="144"/>
      <c r="C167" s="144">
        <f>1677.12+838.56+838.56</f>
        <v>3354.24</v>
      </c>
      <c r="D167" s="153"/>
      <c r="E167" s="148"/>
      <c r="F167" s="144"/>
      <c r="G167" s="144"/>
      <c r="H167" s="144"/>
      <c r="I167" s="144"/>
      <c r="J167" s="144"/>
      <c r="K167" s="144">
        <f t="shared" si="13"/>
        <v>3354.24</v>
      </c>
    </row>
    <row r="168" spans="1:11" s="140" customFormat="1" ht="18">
      <c r="A168" s="204" t="s">
        <v>256</v>
      </c>
      <c r="B168" s="138"/>
      <c r="C168" s="136"/>
      <c r="D168" s="136"/>
      <c r="E168" s="157">
        <v>7899.19</v>
      </c>
      <c r="F168" s="138"/>
      <c r="G168" s="138"/>
      <c r="H168" s="136"/>
      <c r="I168" s="136"/>
      <c r="J168" s="136"/>
      <c r="K168" s="138">
        <f t="shared" si="13"/>
        <v>7899.19</v>
      </c>
    </row>
    <row r="169" spans="1:11" s="146" customFormat="1" ht="18">
      <c r="A169" s="141" t="s">
        <v>296</v>
      </c>
      <c r="B169" s="144"/>
      <c r="C169" s="147"/>
      <c r="D169" s="147"/>
      <c r="E169" s="266">
        <v>2500</v>
      </c>
      <c r="F169" s="144"/>
      <c r="G169" s="144"/>
      <c r="H169" s="147"/>
      <c r="I169" s="147"/>
      <c r="J169" s="147"/>
      <c r="K169" s="144">
        <f>SUM(B169:J169)</f>
        <v>2500</v>
      </c>
    </row>
    <row r="170" spans="1:11" s="248" customFormat="1" ht="18">
      <c r="A170" s="234" t="s">
        <v>74</v>
      </c>
      <c r="B170" s="245"/>
      <c r="C170" s="245">
        <v>1500</v>
      </c>
      <c r="D170" s="246">
        <v>3300</v>
      </c>
      <c r="E170" s="245">
        <v>16400</v>
      </c>
      <c r="F170" s="245">
        <v>22800</v>
      </c>
      <c r="G170" s="245"/>
      <c r="H170" s="245"/>
      <c r="I170" s="245">
        <v>55000</v>
      </c>
      <c r="J170" s="245"/>
      <c r="K170" s="247">
        <f t="shared" ref="K170:K210" si="14">SUM(B170:J170)</f>
        <v>99000</v>
      </c>
    </row>
    <row r="171" spans="1:11" s="27" customFormat="1" ht="51.75">
      <c r="A171" s="172"/>
      <c r="B171" s="26" t="s">
        <v>191</v>
      </c>
      <c r="C171" s="26" t="s">
        <v>192</v>
      </c>
      <c r="D171" s="26" t="s">
        <v>193</v>
      </c>
      <c r="E171" s="26" t="s">
        <v>194</v>
      </c>
      <c r="F171" s="26" t="s">
        <v>195</v>
      </c>
      <c r="G171" s="26" t="s">
        <v>196</v>
      </c>
      <c r="H171" s="26" t="s">
        <v>197</v>
      </c>
      <c r="I171" s="26" t="s">
        <v>198</v>
      </c>
      <c r="J171" s="26"/>
      <c r="K171" s="26"/>
    </row>
    <row r="172" spans="1:11" s="1" customFormat="1" ht="18">
      <c r="A172" s="8" t="s">
        <v>300</v>
      </c>
      <c r="B172" s="9"/>
      <c r="C172" s="10"/>
      <c r="D172" s="11"/>
      <c r="E172" s="10"/>
      <c r="F172" s="12"/>
      <c r="G172" s="12"/>
      <c r="H172" s="13"/>
      <c r="I172" s="9"/>
      <c r="J172" s="9"/>
      <c r="K172" s="14"/>
    </row>
    <row r="173" spans="1:11" s="146" customFormat="1" ht="18">
      <c r="A173" s="141" t="s">
        <v>75</v>
      </c>
      <c r="B173" s="144"/>
      <c r="C173" s="144">
        <v>3919</v>
      </c>
      <c r="D173" s="144"/>
      <c r="E173" s="144"/>
      <c r="F173" s="144"/>
      <c r="G173" s="144"/>
      <c r="H173" s="144"/>
      <c r="I173" s="144"/>
      <c r="J173" s="144"/>
      <c r="K173" s="144">
        <f t="shared" si="14"/>
        <v>3919</v>
      </c>
    </row>
    <row r="174" spans="1:11" s="156" customFormat="1" ht="18">
      <c r="A174" s="141" t="s">
        <v>76</v>
      </c>
      <c r="B174" s="144"/>
      <c r="C174" s="144"/>
      <c r="D174" s="175">
        <v>4936.5</v>
      </c>
      <c r="E174" s="144"/>
      <c r="F174" s="144"/>
      <c r="G174" s="144"/>
      <c r="H174" s="144"/>
      <c r="I174" s="144"/>
      <c r="J174" s="144"/>
      <c r="K174" s="144">
        <f t="shared" si="14"/>
        <v>4936.5</v>
      </c>
    </row>
    <row r="175" spans="1:11" s="140" customFormat="1" ht="18">
      <c r="A175" s="204" t="s">
        <v>333</v>
      </c>
      <c r="B175" s="136"/>
      <c r="C175" s="147"/>
      <c r="D175" s="147"/>
      <c r="E175" s="147"/>
      <c r="F175" s="147"/>
      <c r="G175" s="147"/>
      <c r="H175" s="147"/>
      <c r="I175" s="48"/>
      <c r="J175" s="68">
        <v>2099.5</v>
      </c>
      <c r="K175" s="138">
        <f t="shared" si="14"/>
        <v>2099.5</v>
      </c>
    </row>
    <row r="176" spans="1:11" s="140" customFormat="1" ht="18">
      <c r="A176" s="204" t="s">
        <v>396</v>
      </c>
      <c r="B176" s="179"/>
      <c r="C176" s="147"/>
      <c r="D176" s="147"/>
      <c r="E176" s="147"/>
      <c r="F176" s="144"/>
      <c r="G176" s="138"/>
      <c r="H176" s="136"/>
      <c r="I176" s="68">
        <v>28722</v>
      </c>
      <c r="J176" s="48"/>
      <c r="K176" s="138">
        <f t="shared" si="14"/>
        <v>28722</v>
      </c>
    </row>
    <row r="177" spans="1:11" s="140" customFormat="1" ht="18">
      <c r="A177" s="204" t="s">
        <v>334</v>
      </c>
      <c r="B177" s="180"/>
      <c r="C177" s="144"/>
      <c r="D177" s="147"/>
      <c r="E177" s="249">
        <v>100682.42</v>
      </c>
      <c r="F177" s="18"/>
      <c r="G177" s="249">
        <v>34016.81</v>
      </c>
      <c r="H177" s="33"/>
      <c r="I177" s="250">
        <v>572824.42000000004</v>
      </c>
      <c r="J177" s="144"/>
      <c r="K177" s="138">
        <f t="shared" si="14"/>
        <v>707523.65</v>
      </c>
    </row>
    <row r="178" spans="1:11" s="146" customFormat="1" ht="18">
      <c r="A178" s="141" t="s">
        <v>335</v>
      </c>
      <c r="B178" s="144"/>
      <c r="C178" s="148"/>
      <c r="D178" s="147"/>
      <c r="E178" s="153"/>
      <c r="F178" s="144"/>
      <c r="G178" s="241"/>
      <c r="H178" s="147"/>
      <c r="I178" s="144"/>
      <c r="J178" s="242">
        <v>761.46</v>
      </c>
      <c r="K178" s="144">
        <f t="shared" si="14"/>
        <v>761.46</v>
      </c>
    </row>
    <row r="179" spans="1:11" s="146" customFormat="1" ht="18">
      <c r="A179" s="141" t="s">
        <v>336</v>
      </c>
      <c r="B179" s="151">
        <v>6800.22</v>
      </c>
      <c r="C179" s="147">
        <v>11802.67</v>
      </c>
      <c r="D179" s="176">
        <v>28051.38</v>
      </c>
      <c r="E179" s="147">
        <v>7964.46</v>
      </c>
      <c r="F179" s="147">
        <v>13725.18</v>
      </c>
      <c r="G179" s="147">
        <v>7302.96</v>
      </c>
      <c r="H179" s="144">
        <v>4192.0200000000004</v>
      </c>
      <c r="I179" s="144">
        <v>27295.38</v>
      </c>
      <c r="J179" s="144">
        <v>2937.06</v>
      </c>
      <c r="K179" s="144">
        <f t="shared" si="14"/>
        <v>110071.33000000002</v>
      </c>
    </row>
    <row r="180" spans="1:11" s="140" customFormat="1" ht="18">
      <c r="A180" s="204" t="s">
        <v>337</v>
      </c>
      <c r="B180" s="138"/>
      <c r="C180" s="136"/>
      <c r="D180" s="136"/>
      <c r="E180" s="136"/>
      <c r="F180" s="179">
        <v>3921.48</v>
      </c>
      <c r="G180" s="136"/>
      <c r="H180" s="138"/>
      <c r="I180" s="138">
        <v>7798.68</v>
      </c>
      <c r="J180" s="138">
        <v>839.16</v>
      </c>
      <c r="K180" s="138">
        <f t="shared" si="14"/>
        <v>12559.32</v>
      </c>
    </row>
    <row r="181" spans="1:11" s="140" customFormat="1" ht="18">
      <c r="A181" s="215" t="s">
        <v>338</v>
      </c>
      <c r="B181" s="138"/>
      <c r="C181" s="136"/>
      <c r="D181" s="136"/>
      <c r="E181" s="136"/>
      <c r="F181" s="179">
        <v>1125</v>
      </c>
      <c r="G181" s="136"/>
      <c r="H181" s="138"/>
      <c r="I181" s="138">
        <v>1125</v>
      </c>
      <c r="J181" s="138"/>
      <c r="K181" s="138">
        <f t="shared" si="14"/>
        <v>2250</v>
      </c>
    </row>
    <row r="182" spans="1:11" s="146" customFormat="1" ht="18">
      <c r="A182" s="141" t="s">
        <v>339</v>
      </c>
      <c r="B182" s="147"/>
      <c r="C182" s="144"/>
      <c r="D182" s="144"/>
      <c r="E182" s="144"/>
      <c r="F182" s="144">
        <v>1395</v>
      </c>
      <c r="G182" s="148"/>
      <c r="H182" s="144">
        <v>1395</v>
      </c>
      <c r="I182" s="147"/>
      <c r="J182" s="147"/>
      <c r="K182" s="144">
        <f t="shared" si="14"/>
        <v>2790</v>
      </c>
    </row>
    <row r="183" spans="1:11" s="146" customFormat="1" ht="18">
      <c r="A183" s="141" t="s">
        <v>340</v>
      </c>
      <c r="B183" s="147"/>
      <c r="C183" s="147" t="s">
        <v>201</v>
      </c>
      <c r="D183" s="147"/>
      <c r="E183" s="147">
        <v>3530</v>
      </c>
      <c r="F183" s="147" t="s">
        <v>201</v>
      </c>
      <c r="G183" s="144"/>
      <c r="H183" s="147"/>
      <c r="I183" s="147"/>
      <c r="J183" s="147"/>
      <c r="K183" s="144">
        <f t="shared" si="14"/>
        <v>3530</v>
      </c>
    </row>
    <row r="184" spans="1:11" s="146" customFormat="1" ht="18">
      <c r="A184" s="141" t="s">
        <v>341</v>
      </c>
      <c r="B184" s="147"/>
      <c r="C184" s="147"/>
      <c r="D184" s="147"/>
      <c r="E184" s="147"/>
      <c r="F184" s="147"/>
      <c r="G184" s="144"/>
      <c r="H184" s="147"/>
      <c r="I184" s="144">
        <v>9215</v>
      </c>
      <c r="J184" s="147"/>
      <c r="K184" s="144">
        <f t="shared" si="14"/>
        <v>9215</v>
      </c>
    </row>
    <row r="185" spans="1:11" s="161" customFormat="1" ht="18">
      <c r="A185" s="141" t="s">
        <v>342</v>
      </c>
      <c r="B185" s="192">
        <v>4560</v>
      </c>
      <c r="C185" s="147"/>
      <c r="D185" s="147"/>
      <c r="E185" s="166">
        <v>6840</v>
      </c>
      <c r="F185" s="147"/>
      <c r="G185" s="166">
        <v>4560</v>
      </c>
      <c r="H185" s="192">
        <v>4560</v>
      </c>
      <c r="I185" s="147"/>
      <c r="J185" s="166">
        <v>1995</v>
      </c>
      <c r="K185" s="144">
        <f t="shared" si="14"/>
        <v>22515</v>
      </c>
    </row>
    <row r="186" spans="1:11" s="146" customFormat="1" ht="18">
      <c r="A186" s="141" t="s">
        <v>343</v>
      </c>
      <c r="B186" s="147"/>
      <c r="C186" s="147"/>
      <c r="D186" s="147"/>
      <c r="E186" s="147"/>
      <c r="F186" s="144" t="s">
        <v>225</v>
      </c>
      <c r="G186" s="147"/>
      <c r="H186" s="147"/>
      <c r="I186" s="147"/>
      <c r="J186" s="144"/>
      <c r="K186" s="144">
        <f t="shared" si="14"/>
        <v>0</v>
      </c>
    </row>
    <row r="187" spans="1:11" s="146" customFormat="1" ht="18">
      <c r="A187" s="141" t="s">
        <v>344</v>
      </c>
      <c r="B187" s="151"/>
      <c r="C187" s="147"/>
      <c r="D187" s="147"/>
      <c r="E187" s="147"/>
      <c r="F187" s="147" t="s">
        <v>225</v>
      </c>
      <c r="G187" s="147"/>
      <c r="H187" s="144"/>
      <c r="I187" s="147"/>
      <c r="J187" s="147"/>
      <c r="K187" s="144">
        <f t="shared" si="14"/>
        <v>0</v>
      </c>
    </row>
    <row r="188" spans="1:11" s="146" customFormat="1" ht="18">
      <c r="A188" s="141" t="s">
        <v>345</v>
      </c>
      <c r="B188" s="147"/>
      <c r="C188" s="144">
        <v>4045</v>
      </c>
      <c r="D188" s="147"/>
      <c r="E188" s="147">
        <v>2200</v>
      </c>
      <c r="F188" s="144">
        <v>2595</v>
      </c>
      <c r="G188" s="144">
        <v>3295</v>
      </c>
      <c r="H188" s="144"/>
      <c r="I188" s="179">
        <v>1485</v>
      </c>
      <c r="J188" s="144">
        <v>2200</v>
      </c>
      <c r="K188" s="144">
        <f t="shared" si="14"/>
        <v>15820</v>
      </c>
    </row>
    <row r="189" spans="1:11" s="146" customFormat="1" ht="18">
      <c r="A189" s="141" t="s">
        <v>346</v>
      </c>
      <c r="B189" s="144"/>
      <c r="C189" s="147"/>
      <c r="D189" s="147"/>
      <c r="E189" s="147" t="s">
        <v>225</v>
      </c>
      <c r="F189" s="147" t="s">
        <v>225</v>
      </c>
      <c r="G189" s="147"/>
      <c r="H189" s="144"/>
      <c r="I189" s="147"/>
      <c r="J189" s="147"/>
      <c r="K189" s="144">
        <f t="shared" si="14"/>
        <v>0</v>
      </c>
    </row>
    <row r="190" spans="1:11" s="146" customFormat="1" ht="18">
      <c r="A190" s="141" t="s">
        <v>347</v>
      </c>
      <c r="B190" s="147"/>
      <c r="C190" s="147">
        <v>0</v>
      </c>
      <c r="D190" s="147"/>
      <c r="E190" s="147"/>
      <c r="F190" s="147"/>
      <c r="G190" s="147"/>
      <c r="H190" s="147"/>
      <c r="I190" s="147"/>
      <c r="J190" s="147"/>
      <c r="K190" s="144">
        <f t="shared" si="14"/>
        <v>0</v>
      </c>
    </row>
    <row r="191" spans="1:11" s="146" customFormat="1" ht="18">
      <c r="A191" s="141" t="s">
        <v>348</v>
      </c>
      <c r="B191" s="147"/>
      <c r="C191" s="147">
        <v>1405.08</v>
      </c>
      <c r="D191" s="144"/>
      <c r="E191" s="147">
        <v>1137.78</v>
      </c>
      <c r="F191" s="147">
        <v>1960.74</v>
      </c>
      <c r="G191" s="147">
        <v>1043.28</v>
      </c>
      <c r="H191" s="147">
        <v>598.86</v>
      </c>
      <c r="I191" s="144">
        <v>3899.34</v>
      </c>
      <c r="J191" s="144">
        <v>419.58</v>
      </c>
      <c r="K191" s="144">
        <f t="shared" si="14"/>
        <v>10464.659999999998</v>
      </c>
    </row>
    <row r="192" spans="1:11" s="146" customFormat="1" ht="18">
      <c r="A192" s="141" t="s">
        <v>349</v>
      </c>
      <c r="B192" s="147"/>
      <c r="C192" s="144"/>
      <c r="D192" s="147"/>
      <c r="E192" s="147"/>
      <c r="F192" s="144" t="s">
        <v>225</v>
      </c>
      <c r="G192" s="144"/>
      <c r="H192" s="144"/>
      <c r="I192" s="147"/>
      <c r="J192" s="144"/>
      <c r="K192" s="144">
        <f t="shared" si="14"/>
        <v>0</v>
      </c>
    </row>
    <row r="193" spans="1:11" s="145" customFormat="1" ht="18">
      <c r="A193" s="141" t="s">
        <v>350</v>
      </c>
      <c r="B193" s="144" t="s">
        <v>225</v>
      </c>
      <c r="C193" s="144" t="s">
        <v>225</v>
      </c>
      <c r="D193" s="144"/>
      <c r="E193" s="144"/>
      <c r="F193" s="147" t="s">
        <v>201</v>
      </c>
      <c r="G193" s="147"/>
      <c r="H193" s="147" t="s">
        <v>201</v>
      </c>
      <c r="I193" s="144"/>
      <c r="J193" s="144"/>
      <c r="K193" s="144">
        <f t="shared" si="14"/>
        <v>0</v>
      </c>
    </row>
    <row r="194" spans="1:11" s="146" customFormat="1" ht="18">
      <c r="A194" s="141" t="s">
        <v>351</v>
      </c>
      <c r="B194" s="147"/>
      <c r="C194" s="180">
        <v>4045</v>
      </c>
      <c r="D194" s="147"/>
      <c r="E194" s="147">
        <v>2200</v>
      </c>
      <c r="F194" s="144">
        <v>1870</v>
      </c>
      <c r="G194" s="180">
        <v>3295</v>
      </c>
      <c r="H194" s="144"/>
      <c r="I194" s="147">
        <v>1870</v>
      </c>
      <c r="J194" s="144">
        <v>2200</v>
      </c>
      <c r="K194" s="144">
        <f t="shared" si="14"/>
        <v>15480</v>
      </c>
    </row>
    <row r="195" spans="1:11" s="140" customFormat="1" ht="18">
      <c r="A195" s="204" t="s">
        <v>352</v>
      </c>
      <c r="B195" s="136"/>
      <c r="C195" s="147"/>
      <c r="D195" s="136"/>
      <c r="E195" s="136"/>
      <c r="F195" s="136"/>
      <c r="G195" s="157">
        <v>1347.25</v>
      </c>
      <c r="H195" s="157"/>
      <c r="I195" s="157">
        <v>1347.25</v>
      </c>
      <c r="J195" s="136"/>
      <c r="K195" s="138">
        <f t="shared" si="14"/>
        <v>2694.5</v>
      </c>
    </row>
    <row r="196" spans="1:11" s="146" customFormat="1" ht="18">
      <c r="A196" s="141" t="s">
        <v>353</v>
      </c>
      <c r="B196" s="147"/>
      <c r="C196" s="147">
        <v>2040</v>
      </c>
      <c r="D196" s="144"/>
      <c r="E196" s="147">
        <v>2040</v>
      </c>
      <c r="F196" s="147">
        <v>1510</v>
      </c>
      <c r="G196" s="147">
        <v>2040</v>
      </c>
      <c r="H196" s="144"/>
      <c r="I196" s="144"/>
      <c r="J196" s="144"/>
      <c r="K196" s="144">
        <f t="shared" si="14"/>
        <v>7630</v>
      </c>
    </row>
    <row r="197" spans="1:11" s="146" customFormat="1" ht="18">
      <c r="A197" s="141" t="s">
        <v>354</v>
      </c>
      <c r="B197" s="147"/>
      <c r="C197" s="147"/>
      <c r="D197" s="144"/>
      <c r="E197" s="147"/>
      <c r="F197" s="147">
        <v>1184</v>
      </c>
      <c r="G197" s="144"/>
      <c r="H197" s="144"/>
      <c r="I197" s="144"/>
      <c r="J197" s="144"/>
      <c r="K197" s="144">
        <f t="shared" si="14"/>
        <v>1184</v>
      </c>
    </row>
    <row r="198" spans="1:11" s="140" customFormat="1" ht="18">
      <c r="A198" s="204" t="s">
        <v>355</v>
      </c>
      <c r="B198" s="136"/>
      <c r="C198" s="136"/>
      <c r="D198" s="138"/>
      <c r="E198" s="157">
        <v>16072.65</v>
      </c>
      <c r="F198" s="157">
        <v>8499.15</v>
      </c>
      <c r="G198" s="157">
        <v>6647.85</v>
      </c>
      <c r="H198" s="157">
        <v>4880.7</v>
      </c>
      <c r="I198" s="149">
        <v>21879</v>
      </c>
      <c r="J198" s="149">
        <v>11696.85</v>
      </c>
      <c r="K198" s="138">
        <f t="shared" si="14"/>
        <v>69676.2</v>
      </c>
    </row>
    <row r="199" spans="1:11" s="146" customFormat="1" ht="18">
      <c r="A199" s="141" t="s">
        <v>263</v>
      </c>
      <c r="B199" s="223">
        <v>5600</v>
      </c>
      <c r="C199" s="147"/>
      <c r="D199" s="176">
        <v>6800</v>
      </c>
      <c r="E199" s="147"/>
      <c r="F199" s="147"/>
      <c r="G199" s="147"/>
      <c r="H199" s="147"/>
      <c r="I199" s="144"/>
      <c r="J199" s="147"/>
      <c r="K199" s="144">
        <f t="shared" si="14"/>
        <v>12400</v>
      </c>
    </row>
    <row r="200" spans="1:11" s="181" customFormat="1" ht="18">
      <c r="A200" s="178" t="s">
        <v>330</v>
      </c>
      <c r="B200" s="179"/>
      <c r="C200" s="179"/>
      <c r="D200" s="179"/>
      <c r="E200" s="179"/>
      <c r="F200" s="179"/>
      <c r="G200" s="179">
        <v>3500</v>
      </c>
      <c r="H200" s="179"/>
      <c r="I200" s="180"/>
      <c r="J200" s="179"/>
      <c r="K200" s="180">
        <f t="shared" si="14"/>
        <v>3500</v>
      </c>
    </row>
    <row r="201" spans="1:11" s="156" customFormat="1" ht="18">
      <c r="A201" s="141" t="s">
        <v>77</v>
      </c>
      <c r="B201" s="147" t="s">
        <v>225</v>
      </c>
      <c r="C201" s="153"/>
      <c r="D201" s="147"/>
      <c r="E201" s="147"/>
      <c r="F201" s="147"/>
      <c r="G201" s="147" t="s">
        <v>225</v>
      </c>
      <c r="H201" s="147" t="s">
        <v>225</v>
      </c>
      <c r="I201" s="147"/>
      <c r="J201" s="147"/>
      <c r="K201" s="144">
        <f t="shared" si="14"/>
        <v>0</v>
      </c>
    </row>
    <row r="202" spans="1:11" s="146" customFormat="1" ht="18">
      <c r="A202" s="141" t="s">
        <v>78</v>
      </c>
      <c r="B202" s="144">
        <v>14625</v>
      </c>
      <c r="C202" s="148"/>
      <c r="D202" s="144"/>
      <c r="E202" s="144">
        <v>14625</v>
      </c>
      <c r="F202" s="144"/>
      <c r="G202" s="144">
        <v>14625</v>
      </c>
      <c r="H202" s="144"/>
      <c r="I202" s="144">
        <v>14625</v>
      </c>
      <c r="J202" s="144"/>
      <c r="K202" s="144">
        <f t="shared" si="14"/>
        <v>58500</v>
      </c>
    </row>
    <row r="203" spans="1:11" s="146" customFormat="1" ht="18">
      <c r="A203" s="141" t="s">
        <v>79</v>
      </c>
      <c r="B203" s="151"/>
      <c r="C203" s="144"/>
      <c r="D203" s="144"/>
      <c r="E203" s="144"/>
      <c r="F203" s="144"/>
      <c r="G203" s="144">
        <v>2819</v>
      </c>
      <c r="H203" s="144"/>
      <c r="I203" s="144"/>
      <c r="J203" s="144"/>
      <c r="K203" s="144">
        <f t="shared" si="14"/>
        <v>2819</v>
      </c>
    </row>
    <row r="204" spans="1:11" s="144" customFormat="1" ht="18">
      <c r="A204" s="141" t="s">
        <v>171</v>
      </c>
      <c r="C204" s="144">
        <v>949.51</v>
      </c>
      <c r="K204" s="144">
        <f>SUM(B204:J204)</f>
        <v>949.51</v>
      </c>
    </row>
    <row r="205" spans="1:11" s="146" customFormat="1" ht="18">
      <c r="A205" s="141" t="s">
        <v>212</v>
      </c>
      <c r="B205" s="144"/>
      <c r="C205" s="144"/>
      <c r="D205" s="144"/>
      <c r="E205" s="144">
        <v>10611</v>
      </c>
      <c r="F205" s="144">
        <v>3812</v>
      </c>
      <c r="G205" s="144">
        <v>3812</v>
      </c>
      <c r="H205" s="144">
        <v>3812</v>
      </c>
      <c r="I205" s="144">
        <v>16668</v>
      </c>
      <c r="J205" s="144"/>
      <c r="K205" s="144">
        <f>SUM(B205:J205)</f>
        <v>38715</v>
      </c>
    </row>
    <row r="206" spans="1:11" s="146" customFormat="1" ht="18">
      <c r="A206" s="141" t="s">
        <v>241</v>
      </c>
      <c r="B206" s="144"/>
      <c r="C206" s="144"/>
      <c r="D206" s="175">
        <v>430</v>
      </c>
      <c r="E206" s="158">
        <v>756</v>
      </c>
      <c r="F206" s="144"/>
      <c r="G206" s="144"/>
      <c r="H206" s="144" t="s">
        <v>201</v>
      </c>
      <c r="I206" s="144">
        <v>1956</v>
      </c>
      <c r="J206" s="144"/>
      <c r="K206" s="144">
        <f>SUM(B206:J206)</f>
        <v>3142</v>
      </c>
    </row>
    <row r="207" spans="1:11" s="146" customFormat="1" ht="18">
      <c r="A207" s="141" t="s">
        <v>80</v>
      </c>
      <c r="B207" s="147"/>
      <c r="C207" s="147"/>
      <c r="D207" s="147"/>
      <c r="E207" s="244">
        <v>1936</v>
      </c>
      <c r="F207" s="244">
        <v>1936</v>
      </c>
      <c r="G207" s="147"/>
      <c r="H207" s="147"/>
      <c r="I207" s="244">
        <v>3195</v>
      </c>
      <c r="J207" s="244">
        <v>1936</v>
      </c>
      <c r="K207" s="144">
        <f t="shared" si="14"/>
        <v>9003</v>
      </c>
    </row>
    <row r="208" spans="1:11" s="146" customFormat="1" ht="18">
      <c r="A208" s="141" t="s">
        <v>277</v>
      </c>
      <c r="B208" s="147"/>
      <c r="C208" s="147">
        <v>1495</v>
      </c>
      <c r="D208" s="147"/>
      <c r="E208" s="147"/>
      <c r="F208" s="147"/>
      <c r="G208" s="147"/>
      <c r="H208" s="147"/>
      <c r="I208" s="144"/>
      <c r="J208" s="147"/>
      <c r="K208" s="144">
        <f t="shared" si="14"/>
        <v>1495</v>
      </c>
    </row>
    <row r="209" spans="1:11" s="156" customFormat="1" ht="18">
      <c r="A209" s="141" t="s">
        <v>127</v>
      </c>
      <c r="B209" s="147"/>
      <c r="C209" s="153"/>
      <c r="D209" s="147"/>
      <c r="E209" s="147"/>
      <c r="F209" s="147"/>
      <c r="G209" s="153"/>
      <c r="H209" s="147">
        <v>3770</v>
      </c>
      <c r="I209" s="147"/>
      <c r="J209" s="147"/>
      <c r="K209" s="144">
        <f t="shared" si="14"/>
        <v>3770</v>
      </c>
    </row>
    <row r="210" spans="1:11" s="156" customFormat="1" ht="18">
      <c r="A210" s="141" t="s">
        <v>89</v>
      </c>
      <c r="B210" s="144"/>
      <c r="C210" s="144">
        <v>720</v>
      </c>
      <c r="D210" s="144"/>
      <c r="E210" s="144"/>
      <c r="F210" s="144"/>
      <c r="G210" s="144"/>
      <c r="H210" s="144"/>
      <c r="I210" s="144"/>
      <c r="J210" s="144"/>
      <c r="K210" s="144">
        <f t="shared" si="14"/>
        <v>720</v>
      </c>
    </row>
    <row r="211" spans="1:11" s="156" customFormat="1" ht="18">
      <c r="A211" s="141" t="s">
        <v>124</v>
      </c>
      <c r="B211" s="167"/>
      <c r="C211" s="169"/>
      <c r="D211" s="168"/>
      <c r="E211" s="46">
        <v>618.75</v>
      </c>
      <c r="F211" s="48">
        <v>754.5</v>
      </c>
      <c r="G211" s="48">
        <v>618.75</v>
      </c>
      <c r="H211" s="48">
        <v>495</v>
      </c>
      <c r="I211" s="167"/>
      <c r="J211" s="167"/>
      <c r="K211" s="144">
        <f>SUM(B211:J211)</f>
        <v>2487</v>
      </c>
    </row>
    <row r="212" spans="1:11" s="140" customFormat="1" ht="18">
      <c r="A212" s="204" t="s">
        <v>90</v>
      </c>
      <c r="B212" s="138"/>
      <c r="C212" s="138"/>
      <c r="D212" s="138"/>
      <c r="E212" s="138"/>
      <c r="F212" s="149">
        <v>13557</v>
      </c>
      <c r="G212" s="149"/>
      <c r="H212" s="149">
        <v>3821</v>
      </c>
      <c r="I212" s="149">
        <v>14956</v>
      </c>
      <c r="J212" s="138"/>
      <c r="K212" s="138">
        <f>SUM(B212:J212)</f>
        <v>32334</v>
      </c>
    </row>
    <row r="213" spans="1:11" s="181" customFormat="1" ht="18">
      <c r="A213" s="178" t="s">
        <v>297</v>
      </c>
      <c r="B213" s="180"/>
      <c r="C213" s="180"/>
      <c r="D213" s="180"/>
      <c r="E213" s="180"/>
      <c r="F213" s="180"/>
      <c r="G213" s="180"/>
      <c r="H213" s="180"/>
      <c r="I213" s="208">
        <v>35524.480000000003</v>
      </c>
      <c r="J213" s="180"/>
      <c r="K213" s="180">
        <f>SUM(B213:J213)</f>
        <v>35524.480000000003</v>
      </c>
    </row>
    <row r="214" spans="1:11" s="27" customFormat="1" ht="51.75">
      <c r="A214" s="172"/>
      <c r="B214" s="26" t="s">
        <v>191</v>
      </c>
      <c r="C214" s="26" t="s">
        <v>192</v>
      </c>
      <c r="D214" s="26" t="s">
        <v>193</v>
      </c>
      <c r="E214" s="26" t="s">
        <v>194</v>
      </c>
      <c r="F214" s="26" t="s">
        <v>195</v>
      </c>
      <c r="G214" s="26" t="s">
        <v>196</v>
      </c>
      <c r="H214" s="26" t="s">
        <v>197</v>
      </c>
      <c r="I214" s="26" t="s">
        <v>198</v>
      </c>
      <c r="J214" s="26"/>
      <c r="K214" s="26"/>
    </row>
    <row r="215" spans="1:11" s="1" customFormat="1" ht="18">
      <c r="A215" s="8" t="s">
        <v>300</v>
      </c>
      <c r="B215" s="9"/>
      <c r="C215" s="10"/>
      <c r="D215" s="11"/>
      <c r="E215" s="10"/>
      <c r="F215" s="12"/>
      <c r="G215" s="12"/>
      <c r="H215" s="13"/>
      <c r="I215" s="9"/>
      <c r="J215" s="9"/>
      <c r="K215" s="14"/>
    </row>
    <row r="216" spans="1:11" s="156" customFormat="1" ht="18">
      <c r="A216" s="141" t="s">
        <v>91</v>
      </c>
      <c r="B216" s="144"/>
      <c r="C216" s="147"/>
      <c r="D216" s="147"/>
      <c r="E216" s="147">
        <v>1995</v>
      </c>
      <c r="F216" s="147"/>
      <c r="G216" s="179">
        <v>2196</v>
      </c>
      <c r="H216" s="147"/>
      <c r="I216" s="147"/>
      <c r="J216" s="147"/>
      <c r="K216" s="144">
        <f t="shared" ref="K216:K254" si="15">SUM(B216:J216)</f>
        <v>4191</v>
      </c>
    </row>
    <row r="217" spans="1:11" s="156" customFormat="1" ht="18">
      <c r="A217" s="203" t="s">
        <v>368</v>
      </c>
      <c r="B217" s="144"/>
      <c r="C217" s="147" t="s">
        <v>201</v>
      </c>
      <c r="D217" s="147"/>
      <c r="E217" s="147"/>
      <c r="F217" s="147"/>
      <c r="G217" s="147"/>
      <c r="H217" s="147"/>
      <c r="I217" s="147"/>
      <c r="J217" s="147"/>
      <c r="K217" s="144">
        <f t="shared" si="15"/>
        <v>0</v>
      </c>
    </row>
    <row r="218" spans="1:11" s="146" customFormat="1" ht="18">
      <c r="A218" s="141" t="s">
        <v>305</v>
      </c>
      <c r="B218" s="144"/>
      <c r="C218" s="144"/>
      <c r="D218" s="144"/>
      <c r="E218" s="144"/>
      <c r="F218" s="144"/>
      <c r="G218" s="48">
        <v>6675</v>
      </c>
      <c r="H218" s="46"/>
      <c r="I218" s="46">
        <v>8265</v>
      </c>
      <c r="J218" s="144"/>
      <c r="K218" s="144">
        <f t="shared" si="15"/>
        <v>14940</v>
      </c>
    </row>
    <row r="219" spans="1:11" s="146" customFormat="1" ht="18">
      <c r="A219" s="141" t="s">
        <v>306</v>
      </c>
      <c r="B219" s="144"/>
      <c r="C219" s="144"/>
      <c r="D219" s="144"/>
      <c r="E219" s="48">
        <v>3000</v>
      </c>
      <c r="F219" s="46"/>
      <c r="G219" s="230">
        <v>3000</v>
      </c>
      <c r="H219" s="144"/>
      <c r="I219" s="147"/>
      <c r="J219" s="147"/>
      <c r="K219" s="144">
        <f t="shared" si="15"/>
        <v>6000</v>
      </c>
    </row>
    <row r="220" spans="1:11" s="146" customFormat="1" ht="18">
      <c r="A220" s="141" t="s">
        <v>307</v>
      </c>
      <c r="B220" s="144"/>
      <c r="C220" s="144"/>
      <c r="D220" s="144"/>
      <c r="E220" s="48"/>
      <c r="F220" s="46"/>
      <c r="G220" s="48">
        <v>2550</v>
      </c>
      <c r="H220" s="144"/>
      <c r="I220" s="147"/>
      <c r="J220" s="147"/>
      <c r="K220" s="144">
        <f t="shared" si="15"/>
        <v>2550</v>
      </c>
    </row>
    <row r="221" spans="1:11" s="146" customFormat="1" ht="18">
      <c r="A221" s="141" t="s">
        <v>308</v>
      </c>
      <c r="B221" s="147"/>
      <c r="C221" s="144"/>
      <c r="D221" s="144"/>
      <c r="E221" s="147"/>
      <c r="F221" s="48">
        <v>7040</v>
      </c>
      <c r="G221" s="48">
        <v>4225</v>
      </c>
      <c r="H221" s="46"/>
      <c r="I221" s="48"/>
      <c r="J221" s="48">
        <v>7040</v>
      </c>
      <c r="K221" s="144">
        <f t="shared" si="15"/>
        <v>18305</v>
      </c>
    </row>
    <row r="222" spans="1:11" s="146" customFormat="1" ht="18">
      <c r="A222" s="141" t="s">
        <v>309</v>
      </c>
      <c r="B222" s="147"/>
      <c r="C222" s="144"/>
      <c r="D222" s="144"/>
      <c r="E222" s="147"/>
      <c r="F222" s="46"/>
      <c r="G222" s="48"/>
      <c r="H222" s="46"/>
      <c r="I222" s="46">
        <v>3025</v>
      </c>
      <c r="J222" s="48"/>
      <c r="K222" s="144">
        <f t="shared" si="15"/>
        <v>3025</v>
      </c>
    </row>
    <row r="223" spans="1:11" s="146" customFormat="1" ht="18">
      <c r="A223" s="141" t="s">
        <v>310</v>
      </c>
      <c r="B223" s="147"/>
      <c r="C223" s="144"/>
      <c r="D223" s="144"/>
      <c r="E223" s="147"/>
      <c r="F223" s="46"/>
      <c r="G223" s="48"/>
      <c r="H223" s="46"/>
      <c r="I223" s="46">
        <v>2730</v>
      </c>
      <c r="J223" s="48"/>
      <c r="K223" s="144">
        <f t="shared" si="15"/>
        <v>2730</v>
      </c>
    </row>
    <row r="224" spans="1:11" s="146" customFormat="1" ht="18">
      <c r="A224" s="141" t="s">
        <v>311</v>
      </c>
      <c r="B224" s="147"/>
      <c r="C224" s="144"/>
      <c r="D224" s="144"/>
      <c r="E224" s="147"/>
      <c r="F224" s="47"/>
      <c r="G224" s="48">
        <v>2790</v>
      </c>
      <c r="H224" s="46"/>
      <c r="I224" s="46"/>
      <c r="J224" s="46"/>
      <c r="K224" s="144">
        <f t="shared" si="15"/>
        <v>2790</v>
      </c>
    </row>
    <row r="225" spans="1:11" s="146" customFormat="1" ht="18">
      <c r="A225" s="141" t="s">
        <v>312</v>
      </c>
      <c r="B225" s="147"/>
      <c r="C225" s="144"/>
      <c r="D225" s="144"/>
      <c r="E225" s="147"/>
      <c r="F225" s="48"/>
      <c r="G225" s="48">
        <v>2075</v>
      </c>
      <c r="H225" s="46"/>
      <c r="I225" s="46"/>
      <c r="J225" s="46"/>
      <c r="K225" s="144">
        <f t="shared" si="15"/>
        <v>2075</v>
      </c>
    </row>
    <row r="226" spans="1:11" s="146" customFormat="1" ht="18">
      <c r="A226" s="141" t="s">
        <v>313</v>
      </c>
      <c r="B226" s="147"/>
      <c r="C226" s="144"/>
      <c r="D226" s="144"/>
      <c r="E226" s="147"/>
      <c r="F226" s="46"/>
      <c r="G226" s="48">
        <v>6690</v>
      </c>
      <c r="H226" s="46"/>
      <c r="I226" s="46"/>
      <c r="J226" s="46"/>
      <c r="K226" s="144">
        <f t="shared" si="15"/>
        <v>6690</v>
      </c>
    </row>
    <row r="227" spans="1:11" s="146" customFormat="1" ht="18">
      <c r="A227" s="141" t="s">
        <v>314</v>
      </c>
      <c r="B227" s="147"/>
      <c r="C227" s="144"/>
      <c r="D227" s="144"/>
      <c r="E227" s="147"/>
      <c r="F227" s="46"/>
      <c r="G227" s="48">
        <v>3790</v>
      </c>
      <c r="H227" s="46"/>
      <c r="I227" s="46"/>
      <c r="J227" s="46"/>
      <c r="K227" s="144">
        <f t="shared" si="15"/>
        <v>3790</v>
      </c>
    </row>
    <row r="228" spans="1:11" s="146" customFormat="1" ht="18">
      <c r="A228" s="141" t="s">
        <v>315</v>
      </c>
      <c r="B228" s="147"/>
      <c r="C228" s="144"/>
      <c r="D228" s="144"/>
      <c r="E228" s="147"/>
      <c r="F228" s="144"/>
      <c r="G228" s="147"/>
      <c r="H228" s="144"/>
      <c r="I228" s="144">
        <v>6412</v>
      </c>
      <c r="J228" s="144"/>
      <c r="K228" s="144">
        <f t="shared" si="15"/>
        <v>6412</v>
      </c>
    </row>
    <row r="229" spans="1:11" s="146" customFormat="1" ht="18">
      <c r="A229" s="141" t="s">
        <v>316</v>
      </c>
      <c r="B229" s="147"/>
      <c r="C229" s="144"/>
      <c r="D229" s="144"/>
      <c r="E229" s="147"/>
      <c r="F229" s="144"/>
      <c r="G229" s="144"/>
      <c r="H229" s="144"/>
      <c r="I229" s="46">
        <v>3710</v>
      </c>
      <c r="J229" s="147"/>
      <c r="K229" s="144">
        <f t="shared" si="15"/>
        <v>3710</v>
      </c>
    </row>
    <row r="230" spans="1:11" s="146" customFormat="1" ht="18">
      <c r="A230" s="141" t="s">
        <v>317</v>
      </c>
      <c r="B230" s="147"/>
      <c r="C230" s="144"/>
      <c r="D230" s="144"/>
      <c r="E230" s="147"/>
      <c r="F230" s="144"/>
      <c r="G230" s="144"/>
      <c r="H230" s="144"/>
      <c r="I230" s="46">
        <v>4380</v>
      </c>
      <c r="J230" s="147"/>
      <c r="K230" s="144">
        <f t="shared" si="15"/>
        <v>4380</v>
      </c>
    </row>
    <row r="231" spans="1:11" s="146" customFormat="1" ht="18">
      <c r="A231" s="141" t="s">
        <v>318</v>
      </c>
      <c r="B231" s="147"/>
      <c r="C231" s="144"/>
      <c r="D231" s="144"/>
      <c r="E231" s="147"/>
      <c r="F231" s="147"/>
      <c r="G231" s="144"/>
      <c r="H231" s="144"/>
      <c r="I231" s="46">
        <v>7600</v>
      </c>
      <c r="J231" s="147"/>
      <c r="K231" s="144">
        <f t="shared" si="15"/>
        <v>7600</v>
      </c>
    </row>
    <row r="232" spans="1:11" s="146" customFormat="1" ht="18">
      <c r="A232" s="141" t="s">
        <v>319</v>
      </c>
      <c r="B232" s="147"/>
      <c r="C232" s="144"/>
      <c r="D232" s="144"/>
      <c r="E232" s="48">
        <v>6050</v>
      </c>
      <c r="F232" s="46"/>
      <c r="G232" s="47"/>
      <c r="H232" s="144"/>
      <c r="I232" s="46">
        <v>6050</v>
      </c>
      <c r="J232" s="147"/>
      <c r="K232" s="144">
        <f t="shared" si="15"/>
        <v>12100</v>
      </c>
    </row>
    <row r="233" spans="1:11" s="146" customFormat="1" ht="18">
      <c r="A233" s="141" t="s">
        <v>320</v>
      </c>
      <c r="B233" s="147"/>
      <c r="C233" s="144"/>
      <c r="D233" s="144"/>
      <c r="E233" s="48"/>
      <c r="F233" s="48">
        <v>2800</v>
      </c>
      <c r="G233" s="48">
        <v>2235</v>
      </c>
      <c r="H233" s="144"/>
      <c r="I233" s="46">
        <v>2800</v>
      </c>
      <c r="J233" s="147"/>
      <c r="K233" s="144">
        <f t="shared" si="15"/>
        <v>7835</v>
      </c>
    </row>
    <row r="234" spans="1:11" s="146" customFormat="1" ht="18">
      <c r="A234" s="141" t="s">
        <v>321</v>
      </c>
      <c r="B234" s="147"/>
      <c r="C234" s="144"/>
      <c r="D234" s="144"/>
      <c r="E234" s="48"/>
      <c r="F234" s="48"/>
      <c r="G234" s="46"/>
      <c r="H234" s="144"/>
      <c r="I234" s="46">
        <v>1060</v>
      </c>
      <c r="J234" s="147"/>
      <c r="K234" s="144">
        <f t="shared" si="15"/>
        <v>1060</v>
      </c>
    </row>
    <row r="235" spans="1:11" s="146" customFormat="1">
      <c r="A235" s="141" t="s">
        <v>325</v>
      </c>
      <c r="B235" s="147"/>
      <c r="C235" s="144"/>
      <c r="D235" s="144"/>
      <c r="E235" s="48"/>
      <c r="F235" s="147">
        <v>10680</v>
      </c>
      <c r="G235" s="48"/>
      <c r="H235" s="144"/>
      <c r="I235" s="252">
        <f>12877.5+6938.75+1000+150</f>
        <v>20966.25</v>
      </c>
      <c r="J235" s="144"/>
      <c r="K235" s="144">
        <f t="shared" si="15"/>
        <v>31646.25</v>
      </c>
    </row>
    <row r="236" spans="1:11" s="146" customFormat="1" ht="18">
      <c r="A236" s="141" t="s">
        <v>322</v>
      </c>
      <c r="B236" s="147"/>
      <c r="C236" s="147"/>
      <c r="D236" s="147"/>
      <c r="E236" s="48"/>
      <c r="F236" s="147">
        <v>10405</v>
      </c>
      <c r="G236" s="48"/>
      <c r="H236" s="147"/>
      <c r="I236" s="15">
        <v>15675</v>
      </c>
      <c r="J236" s="147"/>
      <c r="K236" s="144">
        <f t="shared" si="15"/>
        <v>26080</v>
      </c>
    </row>
    <row r="237" spans="1:11" s="146" customFormat="1" ht="18">
      <c r="A237" s="141" t="s">
        <v>323</v>
      </c>
      <c r="B237" s="144"/>
      <c r="C237" s="147"/>
      <c r="D237" s="144"/>
      <c r="E237" s="48">
        <v>3135</v>
      </c>
      <c r="F237" s="48">
        <v>4580</v>
      </c>
      <c r="G237" s="48">
        <v>3135</v>
      </c>
      <c r="H237" s="147"/>
      <c r="I237" s="46">
        <v>4580</v>
      </c>
      <c r="J237" s="147"/>
      <c r="K237" s="144">
        <f t="shared" si="15"/>
        <v>15430</v>
      </c>
    </row>
    <row r="238" spans="1:11" s="146" customFormat="1" ht="18">
      <c r="A238" s="141" t="s">
        <v>324</v>
      </c>
      <c r="B238" s="144"/>
      <c r="C238" s="147"/>
      <c r="D238" s="144"/>
      <c r="E238" s="48">
        <v>2920</v>
      </c>
      <c r="F238" s="48"/>
      <c r="G238" s="47"/>
      <c r="H238" s="147"/>
      <c r="I238" s="48"/>
      <c r="J238" s="147"/>
      <c r="K238" s="144">
        <f t="shared" si="15"/>
        <v>2920</v>
      </c>
    </row>
    <row r="239" spans="1:11" s="146" customFormat="1" ht="18">
      <c r="A239" s="141" t="s">
        <v>92</v>
      </c>
      <c r="B239" s="147"/>
      <c r="C239" s="147"/>
      <c r="D239" s="147"/>
      <c r="E239" s="48">
        <v>19320</v>
      </c>
      <c r="F239" s="48">
        <v>19320</v>
      </c>
      <c r="G239" s="77" t="s">
        <v>259</v>
      </c>
      <c r="H239" s="147"/>
      <c r="I239" s="46">
        <v>19320</v>
      </c>
      <c r="J239" s="144"/>
      <c r="K239" s="144">
        <f t="shared" si="15"/>
        <v>57960</v>
      </c>
    </row>
    <row r="240" spans="1:11" s="146" customFormat="1" ht="18">
      <c r="A240" s="141" t="s">
        <v>290</v>
      </c>
      <c r="B240" s="111">
        <v>19790</v>
      </c>
      <c r="C240" s="48"/>
      <c r="D240" s="48"/>
      <c r="E240" s="48"/>
      <c r="F240" s="48"/>
      <c r="G240" s="48"/>
      <c r="H240" s="147"/>
      <c r="I240" s="147"/>
      <c r="J240" s="144"/>
      <c r="K240" s="144">
        <f t="shared" si="15"/>
        <v>19790</v>
      </c>
    </row>
    <row r="241" spans="1:11" s="146" customFormat="1" ht="18">
      <c r="A241" s="141" t="s">
        <v>190</v>
      </c>
      <c r="B241" s="111"/>
      <c r="C241" s="48"/>
      <c r="D241" s="48"/>
      <c r="E241" s="48"/>
      <c r="F241" s="48"/>
      <c r="G241" s="48">
        <v>21135</v>
      </c>
      <c r="H241" s="147"/>
      <c r="I241" s="147"/>
      <c r="J241" s="144"/>
      <c r="K241" s="144">
        <f>SUM(B241:J241)</f>
        <v>21135</v>
      </c>
    </row>
    <row r="242" spans="1:11" s="146" customFormat="1" ht="18">
      <c r="A242" s="141" t="s">
        <v>291</v>
      </c>
      <c r="B242" s="111">
        <v>1105</v>
      </c>
      <c r="C242" s="48"/>
      <c r="D242" s="48"/>
      <c r="E242" s="48"/>
      <c r="F242" s="48"/>
      <c r="G242" s="48"/>
      <c r="H242" s="147"/>
      <c r="I242" s="147"/>
      <c r="J242" s="144"/>
      <c r="K242" s="144">
        <f>SUM(B242:J242)</f>
        <v>1105</v>
      </c>
    </row>
    <row r="243" spans="1:11" s="146" customFormat="1" ht="18">
      <c r="A243" s="141" t="s">
        <v>177</v>
      </c>
      <c r="B243" s="147">
        <v>4755</v>
      </c>
      <c r="C243" s="48"/>
      <c r="D243" s="46"/>
      <c r="E243" s="46"/>
      <c r="F243" s="48" t="s">
        <v>201</v>
      </c>
      <c r="G243" s="48"/>
      <c r="H243" s="147"/>
      <c r="I243" s="144"/>
      <c r="J243" s="147"/>
      <c r="K243" s="144">
        <f>SUM(B243:J243)</f>
        <v>4755</v>
      </c>
    </row>
    <row r="244" spans="1:11" s="146" customFormat="1" ht="18">
      <c r="A244" s="141" t="s">
        <v>292</v>
      </c>
      <c r="B244" s="48">
        <v>1105</v>
      </c>
      <c r="C244" s="48"/>
      <c r="D244" s="46"/>
      <c r="E244" s="46"/>
      <c r="F244" s="48"/>
      <c r="G244" s="48"/>
      <c r="H244" s="147"/>
      <c r="I244" s="144"/>
      <c r="J244" s="147"/>
      <c r="K244" s="144">
        <f>SUM(B244:J244)</f>
        <v>1105</v>
      </c>
    </row>
    <row r="245" spans="1:11" s="181" customFormat="1" ht="18">
      <c r="A245" s="178" t="s">
        <v>364</v>
      </c>
      <c r="B245" s="179"/>
      <c r="C245" s="179"/>
      <c r="D245" s="200">
        <v>5599.8</v>
      </c>
      <c r="E245" s="209"/>
      <c r="F245" s="230">
        <v>5256.4</v>
      </c>
      <c r="G245" s="230">
        <v>4573</v>
      </c>
      <c r="H245" s="230"/>
      <c r="I245" s="209">
        <v>6332.5</v>
      </c>
      <c r="J245" s="179"/>
      <c r="K245" s="144">
        <f t="shared" ref="K245:K248" si="16">SUM(B245:J245)</f>
        <v>21761.7</v>
      </c>
    </row>
    <row r="246" spans="1:11" s="181" customFormat="1" ht="18">
      <c r="A246" s="178" t="s">
        <v>365</v>
      </c>
      <c r="B246" s="179"/>
      <c r="C246" s="223">
        <v>2305.1999999999998</v>
      </c>
      <c r="D246" s="187">
        <v>5184.1499999999996</v>
      </c>
      <c r="E246" s="223"/>
      <c r="F246" s="223">
        <v>5184.1499999999996</v>
      </c>
      <c r="G246" s="223">
        <v>3567.45</v>
      </c>
      <c r="H246" s="223"/>
      <c r="I246" s="223">
        <v>7478.3</v>
      </c>
      <c r="J246" s="179"/>
      <c r="K246" s="144">
        <f t="shared" si="16"/>
        <v>23719.25</v>
      </c>
    </row>
    <row r="247" spans="1:11" s="181" customFormat="1" ht="18">
      <c r="A247" s="178" t="s">
        <v>366</v>
      </c>
      <c r="B247" s="179"/>
      <c r="C247" s="179"/>
      <c r="D247" s="180"/>
      <c r="E247" s="180"/>
      <c r="F247" s="193">
        <v>5270</v>
      </c>
      <c r="G247" s="193"/>
      <c r="H247" s="193"/>
      <c r="I247" s="194">
        <v>5270</v>
      </c>
      <c r="J247" s="179"/>
      <c r="K247" s="144">
        <f t="shared" si="16"/>
        <v>10540</v>
      </c>
    </row>
    <row r="248" spans="1:11" s="51" customFormat="1" ht="18">
      <c r="A248" s="141" t="s">
        <v>228</v>
      </c>
      <c r="B248" s="48"/>
      <c r="C248" s="48"/>
      <c r="D248" s="46"/>
      <c r="E248" s="201">
        <v>35304</v>
      </c>
      <c r="F248" s="223"/>
      <c r="G248" s="201">
        <v>28701</v>
      </c>
      <c r="H248" s="48"/>
      <c r="I248" s="46"/>
      <c r="J248" s="48"/>
      <c r="K248" s="46">
        <f t="shared" si="16"/>
        <v>64005</v>
      </c>
    </row>
    <row r="249" spans="1:11" s="51" customFormat="1" ht="18">
      <c r="A249" s="141" t="s">
        <v>415</v>
      </c>
      <c r="B249" s="48"/>
      <c r="C249" s="48"/>
      <c r="D249" s="46"/>
      <c r="E249" s="201">
        <v>347</v>
      </c>
      <c r="F249" s="223"/>
      <c r="G249" s="201">
        <v>347</v>
      </c>
      <c r="H249" s="48"/>
      <c r="I249" s="46"/>
      <c r="J249" s="48"/>
      <c r="K249" s="46">
        <f>SUM(B249:J249)</f>
        <v>694</v>
      </c>
    </row>
    <row r="250" spans="1:11" s="51" customFormat="1" ht="18">
      <c r="A250" s="141" t="s">
        <v>416</v>
      </c>
      <c r="B250" s="48"/>
      <c r="C250" s="48"/>
      <c r="D250" s="46"/>
      <c r="E250" s="201" t="s">
        <v>417</v>
      </c>
      <c r="F250" s="223"/>
      <c r="G250" s="201" t="s">
        <v>417</v>
      </c>
      <c r="H250" s="48"/>
      <c r="I250" s="46"/>
      <c r="J250" s="48"/>
      <c r="K250" s="46"/>
    </row>
    <row r="251" spans="1:11" s="146" customFormat="1" ht="18">
      <c r="A251" s="141" t="s">
        <v>293</v>
      </c>
      <c r="B251" s="48">
        <v>1105</v>
      </c>
      <c r="C251" s="48"/>
      <c r="D251" s="46"/>
      <c r="E251" s="46"/>
      <c r="F251" s="48"/>
      <c r="G251" s="48"/>
      <c r="H251" s="48"/>
      <c r="I251" s="46"/>
      <c r="J251" s="48"/>
      <c r="K251" s="144">
        <f>SUM(B251:J251)</f>
        <v>1105</v>
      </c>
    </row>
    <row r="252" spans="1:11" s="146" customFormat="1" ht="18">
      <c r="A252" s="141" t="s">
        <v>94</v>
      </c>
      <c r="B252" s="48"/>
      <c r="C252" s="48">
        <v>1645</v>
      </c>
      <c r="D252" s="48"/>
      <c r="E252" s="48"/>
      <c r="F252" s="46"/>
      <c r="G252" s="48"/>
      <c r="H252" s="48"/>
      <c r="I252" s="46"/>
      <c r="J252" s="46"/>
      <c r="K252" s="144">
        <f t="shared" si="15"/>
        <v>1645</v>
      </c>
    </row>
    <row r="253" spans="1:11" s="146" customFormat="1" ht="18">
      <c r="A253" s="141" t="s">
        <v>360</v>
      </c>
      <c r="B253" s="46"/>
      <c r="C253" s="46"/>
      <c r="D253" s="180">
        <v>5418</v>
      </c>
      <c r="E253" s="46"/>
      <c r="F253" s="46"/>
      <c r="G253" s="46"/>
      <c r="H253" s="48"/>
      <c r="I253" s="46">
        <v>6010</v>
      </c>
      <c r="J253" s="48"/>
      <c r="K253" s="144">
        <f t="shared" si="15"/>
        <v>11428</v>
      </c>
    </row>
    <row r="254" spans="1:11" s="146" customFormat="1" ht="18">
      <c r="A254" s="141" t="s">
        <v>258</v>
      </c>
      <c r="B254" s="46">
        <v>2125</v>
      </c>
      <c r="C254" s="46"/>
      <c r="D254" s="46"/>
      <c r="E254" s="46"/>
      <c r="F254" s="46"/>
      <c r="G254" s="46"/>
      <c r="H254" s="48"/>
      <c r="I254" s="46"/>
      <c r="J254" s="48"/>
      <c r="K254" s="144">
        <f t="shared" si="15"/>
        <v>2125</v>
      </c>
    </row>
    <row r="255" spans="1:11" s="146" customFormat="1" ht="18">
      <c r="A255" s="141" t="s">
        <v>398</v>
      </c>
      <c r="B255" s="46"/>
      <c r="C255" s="161"/>
      <c r="D255" s="46"/>
      <c r="E255" s="48"/>
      <c r="F255" s="46"/>
      <c r="G255" s="48"/>
      <c r="H255" s="46"/>
      <c r="I255" s="161">
        <v>4084</v>
      </c>
      <c r="J255" s="161"/>
      <c r="K255" s="144">
        <f>SUM(B255:J255)</f>
        <v>4084</v>
      </c>
    </row>
    <row r="256" spans="1:11" s="146" customFormat="1" ht="18">
      <c r="A256" s="141" t="s">
        <v>96</v>
      </c>
      <c r="B256" s="46"/>
      <c r="C256" s="48">
        <v>3375</v>
      </c>
      <c r="D256" s="46"/>
      <c r="E256" s="161"/>
      <c r="F256" s="46"/>
      <c r="G256" s="161"/>
      <c r="H256" s="46"/>
      <c r="I256" s="180">
        <v>3375</v>
      </c>
      <c r="J256" s="46">
        <v>2775</v>
      </c>
      <c r="K256" s="144">
        <f>SUM(B256:J256)</f>
        <v>9525</v>
      </c>
    </row>
    <row r="257" spans="1:11" s="146" customFormat="1" ht="18">
      <c r="A257" s="141" t="s">
        <v>304</v>
      </c>
      <c r="B257" s="46"/>
      <c r="C257" s="48">
        <v>1158</v>
      </c>
      <c r="D257" s="46"/>
      <c r="E257" s="48">
        <v>1158</v>
      </c>
      <c r="F257" s="46"/>
      <c r="G257" s="48">
        <v>1158</v>
      </c>
      <c r="H257" s="46"/>
      <c r="I257" s="180">
        <v>1158</v>
      </c>
      <c r="J257" s="46">
        <v>1046</v>
      </c>
      <c r="K257" s="144">
        <f>SUM(B257:J257)</f>
        <v>5678</v>
      </c>
    </row>
    <row r="258" spans="1:11" s="146" customFormat="1" ht="18">
      <c r="A258" s="141" t="s">
        <v>260</v>
      </c>
      <c r="B258" s="144"/>
      <c r="C258" s="147"/>
      <c r="D258" s="144"/>
      <c r="E258" s="147"/>
      <c r="F258" s="144"/>
      <c r="G258" s="48">
        <v>2560</v>
      </c>
      <c r="H258" s="144"/>
      <c r="I258" s="144"/>
      <c r="J258" s="144"/>
      <c r="K258" s="144">
        <f>SUM(B258:J258)</f>
        <v>2560</v>
      </c>
    </row>
    <row r="259" spans="1:11" s="181" customFormat="1" ht="18">
      <c r="A259" s="178" t="s">
        <v>371</v>
      </c>
      <c r="B259" s="180"/>
      <c r="C259" s="232">
        <v>16493</v>
      </c>
      <c r="D259" s="180"/>
      <c r="E259" s="179"/>
      <c r="F259" s="180"/>
      <c r="G259" s="179"/>
      <c r="H259" s="180"/>
      <c r="I259" s="180"/>
      <c r="J259" s="180"/>
      <c r="K259" s="144">
        <f>SUM(B259:J259)</f>
        <v>16493</v>
      </c>
    </row>
    <row r="260" spans="1:11" s="146" customFormat="1" ht="18">
      <c r="A260" s="141" t="s">
        <v>251</v>
      </c>
      <c r="B260" s="144"/>
      <c r="C260" s="147"/>
      <c r="D260" s="144"/>
      <c r="E260" s="153"/>
      <c r="F260" s="147"/>
      <c r="G260" s="147"/>
      <c r="H260" s="144"/>
      <c r="I260" s="144"/>
      <c r="J260" s="46">
        <v>7650</v>
      </c>
      <c r="K260" s="144">
        <f t="shared" ref="K260:K288" si="17">SUM(B260:J260)</f>
        <v>7650</v>
      </c>
    </row>
    <row r="261" spans="1:11" s="146" customFormat="1" ht="18">
      <c r="A261" s="141" t="s">
        <v>98</v>
      </c>
      <c r="B261" s="144"/>
      <c r="C261" s="147"/>
      <c r="D261" s="144"/>
      <c r="E261" s="147"/>
      <c r="F261" s="147"/>
      <c r="G261" s="147"/>
      <c r="H261" s="144"/>
      <c r="I261" s="144"/>
      <c r="J261" s="231">
        <v>4115</v>
      </c>
      <c r="K261" s="144">
        <f t="shared" si="17"/>
        <v>4115</v>
      </c>
    </row>
    <row r="262" spans="1:11" s="146" customFormat="1" ht="18">
      <c r="A262" s="141" t="s">
        <v>99</v>
      </c>
      <c r="B262" s="144"/>
      <c r="C262" s="144"/>
      <c r="D262" s="144"/>
      <c r="E262" s="144"/>
      <c r="F262" s="144"/>
      <c r="G262" s="147"/>
      <c r="H262" s="144"/>
      <c r="I262" s="46">
        <v>3370</v>
      </c>
      <c r="J262" s="144"/>
      <c r="K262" s="144">
        <f t="shared" si="17"/>
        <v>3370</v>
      </c>
    </row>
    <row r="263" spans="1:11" s="146" customFormat="1" ht="18">
      <c r="A263" s="141" t="s">
        <v>100</v>
      </c>
      <c r="B263" s="144"/>
      <c r="C263" s="144"/>
      <c r="D263" s="144"/>
      <c r="E263" s="147">
        <v>3180</v>
      </c>
      <c r="F263" s="144"/>
      <c r="G263" s="144"/>
      <c r="H263" s="144"/>
      <c r="I263" s="144"/>
      <c r="J263" s="144" t="s">
        <v>202</v>
      </c>
      <c r="K263" s="144">
        <f t="shared" si="17"/>
        <v>3180</v>
      </c>
    </row>
    <row r="264" spans="1:11" s="146" customFormat="1" ht="18">
      <c r="A264" s="141" t="s">
        <v>101</v>
      </c>
      <c r="B264" s="48">
        <v>3365</v>
      </c>
      <c r="C264" s="48"/>
      <c r="D264" s="46"/>
      <c r="E264" s="48">
        <v>3240</v>
      </c>
      <c r="F264" s="48">
        <v>5371</v>
      </c>
      <c r="G264" s="48">
        <v>6040</v>
      </c>
      <c r="H264" s="48">
        <v>2915</v>
      </c>
      <c r="I264" s="46"/>
      <c r="J264" s="46">
        <v>2080</v>
      </c>
      <c r="K264" s="144">
        <f t="shared" si="17"/>
        <v>23011</v>
      </c>
    </row>
    <row r="265" spans="1:11" s="146" customFormat="1" ht="18">
      <c r="A265" s="178" t="s">
        <v>374</v>
      </c>
      <c r="B265" s="147"/>
      <c r="C265" s="147"/>
      <c r="D265" s="144"/>
      <c r="E265" s="147"/>
      <c r="F265" s="193">
        <v>5397</v>
      </c>
      <c r="G265" s="147"/>
      <c r="H265" s="147"/>
      <c r="I265" s="144">
        <v>6745</v>
      </c>
      <c r="J265" s="144"/>
      <c r="K265" s="144">
        <f>SUM(B265:J265)</f>
        <v>12142</v>
      </c>
    </row>
    <row r="266" spans="1:11" s="146" customFormat="1" ht="18">
      <c r="A266" s="141" t="s">
        <v>278</v>
      </c>
      <c r="B266" s="147"/>
      <c r="C266" s="147"/>
      <c r="D266" s="144"/>
      <c r="E266" s="48">
        <v>1419</v>
      </c>
      <c r="F266" s="147"/>
      <c r="G266" s="147"/>
      <c r="H266" s="147"/>
      <c r="I266" s="144"/>
      <c r="J266" s="144"/>
      <c r="K266" s="144">
        <f>SUM(B266:J266)</f>
        <v>1419</v>
      </c>
    </row>
    <row r="267" spans="1:11" s="146" customFormat="1" ht="18">
      <c r="A267" s="141" t="s">
        <v>102</v>
      </c>
      <c r="B267" s="48">
        <v>1940</v>
      </c>
      <c r="C267" s="48">
        <v>1940</v>
      </c>
      <c r="D267" s="176">
        <v>1940</v>
      </c>
      <c r="E267" s="48">
        <v>1940</v>
      </c>
      <c r="F267" s="48">
        <v>1940</v>
      </c>
      <c r="G267" s="48">
        <v>1940</v>
      </c>
      <c r="H267" s="48">
        <v>1940</v>
      </c>
      <c r="I267" s="46">
        <v>1940</v>
      </c>
      <c r="J267" s="144" t="s">
        <v>202</v>
      </c>
      <c r="K267" s="144">
        <f t="shared" si="17"/>
        <v>15520</v>
      </c>
    </row>
    <row r="268" spans="1:11" s="146" customFormat="1" ht="18">
      <c r="A268" s="141" t="s">
        <v>294</v>
      </c>
      <c r="B268" s="48">
        <v>1105</v>
      </c>
      <c r="C268" s="48"/>
      <c r="D268" s="48"/>
      <c r="E268" s="48"/>
      <c r="F268" s="48"/>
      <c r="G268" s="48"/>
      <c r="H268" s="48"/>
      <c r="I268" s="46"/>
      <c r="J268" s="144"/>
      <c r="K268" s="144">
        <f>SUM(B268:J268)</f>
        <v>1105</v>
      </c>
    </row>
    <row r="269" spans="1:11" s="146" customFormat="1" ht="18">
      <c r="A269" s="141" t="s">
        <v>295</v>
      </c>
      <c r="B269" s="48">
        <v>9285</v>
      </c>
      <c r="C269" s="48"/>
      <c r="D269" s="48"/>
      <c r="E269" s="48"/>
      <c r="F269" s="48"/>
      <c r="G269" s="48"/>
      <c r="H269" s="48"/>
      <c r="I269" s="46"/>
      <c r="J269" s="144"/>
      <c r="K269" s="144">
        <f>SUM(B269:J269)</f>
        <v>9285</v>
      </c>
    </row>
    <row r="270" spans="1:11" s="146" customFormat="1" ht="18">
      <c r="A270" s="141" t="s">
        <v>276</v>
      </c>
      <c r="B270" s="144" t="s">
        <v>201</v>
      </c>
      <c r="C270" s="147"/>
      <c r="D270" s="147"/>
      <c r="E270" s="147"/>
      <c r="F270" s="144"/>
      <c r="G270" s="144">
        <v>5575</v>
      </c>
      <c r="H270" s="196" t="s">
        <v>201</v>
      </c>
      <c r="I270" s="144">
        <v>14030</v>
      </c>
      <c r="J270" s="147"/>
      <c r="K270" s="144">
        <f>SUM(B270:J270)</f>
        <v>19605</v>
      </c>
    </row>
    <row r="271" spans="1:11" s="146" customFormat="1" ht="18">
      <c r="A271" s="141" t="s">
        <v>189</v>
      </c>
      <c r="B271" s="48">
        <v>4415</v>
      </c>
      <c r="C271" s="48"/>
      <c r="D271" s="48"/>
      <c r="E271" s="48"/>
      <c r="F271" s="48"/>
      <c r="G271" s="48"/>
      <c r="H271" s="48"/>
      <c r="I271" s="48"/>
      <c r="J271" s="144"/>
      <c r="K271" s="144">
        <f>SUM(B271:J271)</f>
        <v>4415</v>
      </c>
    </row>
    <row r="272" spans="1:11" s="146" customFormat="1" ht="18">
      <c r="A272" s="141" t="s">
        <v>103</v>
      </c>
      <c r="B272" s="147"/>
      <c r="C272" s="153"/>
      <c r="D272" s="173">
        <v>3540</v>
      </c>
      <c r="E272" s="147"/>
      <c r="F272" s="144"/>
      <c r="G272" s="48"/>
      <c r="H272" s="48"/>
      <c r="I272" s="158">
        <v>4501</v>
      </c>
      <c r="J272" s="144"/>
      <c r="K272" s="144">
        <f t="shared" si="17"/>
        <v>8041</v>
      </c>
    </row>
    <row r="273" spans="1:11" s="146" customFormat="1" ht="18">
      <c r="A273" s="141" t="s">
        <v>104</v>
      </c>
      <c r="B273" s="147"/>
      <c r="C273" s="147"/>
      <c r="D273" s="147"/>
      <c r="E273" s="147"/>
      <c r="F273" s="147"/>
      <c r="G273" s="48">
        <v>2078</v>
      </c>
      <c r="H273" s="48">
        <v>310</v>
      </c>
      <c r="I273" s="46"/>
      <c r="J273" s="144"/>
      <c r="K273" s="144">
        <f t="shared" si="17"/>
        <v>2388</v>
      </c>
    </row>
    <row r="274" spans="1:11" s="146" customFormat="1" ht="18">
      <c r="A274" s="141" t="s">
        <v>105</v>
      </c>
      <c r="B274" s="48"/>
      <c r="C274" s="48"/>
      <c r="D274" s="176">
        <v>6040</v>
      </c>
      <c r="E274" s="48"/>
      <c r="F274" s="48"/>
      <c r="G274" s="48"/>
      <c r="H274" s="48">
        <v>2115</v>
      </c>
      <c r="I274" s="46"/>
      <c r="J274" s="46" t="s">
        <v>202</v>
      </c>
      <c r="K274" s="144">
        <f t="shared" si="17"/>
        <v>8155</v>
      </c>
    </row>
    <row r="275" spans="1:11" s="146" customFormat="1" ht="18">
      <c r="A275" s="141" t="s">
        <v>106</v>
      </c>
      <c r="B275" s="48">
        <v>510</v>
      </c>
      <c r="C275" s="48"/>
      <c r="D275" s="48"/>
      <c r="E275" s="48">
        <v>4495</v>
      </c>
      <c r="F275" s="46"/>
      <c r="G275" s="48"/>
      <c r="H275" s="48"/>
      <c r="I275" s="46"/>
      <c r="J275" s="46"/>
      <c r="K275" s="144">
        <f t="shared" si="17"/>
        <v>5005</v>
      </c>
    </row>
    <row r="276" spans="1:11" s="146" customFormat="1" ht="18">
      <c r="A276" s="141" t="s">
        <v>107</v>
      </c>
      <c r="B276" s="48"/>
      <c r="C276" s="48"/>
      <c r="D276" s="48"/>
      <c r="E276" s="48"/>
      <c r="F276" s="46"/>
      <c r="G276" s="48"/>
      <c r="H276" s="48"/>
      <c r="I276" s="46"/>
      <c r="J276" s="46">
        <v>1270</v>
      </c>
      <c r="K276" s="144">
        <f t="shared" si="17"/>
        <v>1270</v>
      </c>
    </row>
    <row r="277" spans="1:11" s="146" customFormat="1" ht="18">
      <c r="A277" s="141" t="s">
        <v>108</v>
      </c>
      <c r="B277" s="48"/>
      <c r="C277" s="48"/>
      <c r="D277" s="48"/>
      <c r="E277" s="48"/>
      <c r="F277" s="46"/>
      <c r="G277" s="48"/>
      <c r="H277" s="48"/>
      <c r="I277" s="46"/>
      <c r="J277" s="46">
        <v>970</v>
      </c>
      <c r="K277" s="144">
        <f t="shared" si="17"/>
        <v>970</v>
      </c>
    </row>
    <row r="278" spans="1:11" s="156" customFormat="1" ht="18">
      <c r="A278" s="141" t="s">
        <v>420</v>
      </c>
      <c r="B278" s="144"/>
      <c r="C278" s="144"/>
      <c r="D278" s="153"/>
      <c r="E278" s="144">
        <v>1100</v>
      </c>
      <c r="F278" s="144"/>
      <c r="G278" s="144"/>
      <c r="H278" s="144"/>
      <c r="I278" s="144"/>
      <c r="J278" s="144"/>
      <c r="K278" s="144">
        <f t="shared" si="17"/>
        <v>1100</v>
      </c>
    </row>
    <row r="279" spans="1:11" s="27" customFormat="1" ht="51.75">
      <c r="A279" s="172"/>
      <c r="B279" s="26" t="s">
        <v>191</v>
      </c>
      <c r="C279" s="26" t="s">
        <v>192</v>
      </c>
      <c r="D279" s="26" t="s">
        <v>193</v>
      </c>
      <c r="E279" s="26" t="s">
        <v>194</v>
      </c>
      <c r="F279" s="26" t="s">
        <v>195</v>
      </c>
      <c r="G279" s="26" t="s">
        <v>196</v>
      </c>
      <c r="H279" s="26" t="s">
        <v>197</v>
      </c>
      <c r="I279" s="26" t="s">
        <v>198</v>
      </c>
      <c r="J279" s="26"/>
      <c r="K279" s="26"/>
    </row>
    <row r="280" spans="1:11" s="1" customFormat="1" ht="18">
      <c r="A280" s="8" t="s">
        <v>300</v>
      </c>
      <c r="B280" s="9"/>
      <c r="C280" s="10"/>
      <c r="D280" s="11"/>
      <c r="E280" s="10"/>
      <c r="F280" s="12"/>
      <c r="G280" s="12"/>
      <c r="H280" s="13"/>
      <c r="I280" s="9"/>
      <c r="J280" s="9"/>
      <c r="K280" s="14"/>
    </row>
    <row r="281" spans="1:11" s="145" customFormat="1" ht="18">
      <c r="A281" s="141" t="s">
        <v>273</v>
      </c>
      <c r="B281" s="151"/>
      <c r="C281" s="151"/>
      <c r="D281" s="151"/>
      <c r="E281" s="144" t="s">
        <v>201</v>
      </c>
      <c r="F281" s="151"/>
      <c r="G281" s="144">
        <v>2235</v>
      </c>
      <c r="H281" s="151"/>
      <c r="I281" s="151"/>
      <c r="J281" s="151"/>
      <c r="K281" s="144">
        <f>SUM(B281:J281)</f>
        <v>2235</v>
      </c>
    </row>
    <row r="282" spans="1:11" s="145" customFormat="1" ht="18">
      <c r="A282" s="141" t="s">
        <v>274</v>
      </c>
      <c r="B282" s="151"/>
      <c r="C282" s="151"/>
      <c r="D282" s="151"/>
      <c r="E282" s="144">
        <v>2076</v>
      </c>
      <c r="F282" s="151"/>
      <c r="G282" s="144"/>
      <c r="H282" s="151"/>
      <c r="I282" s="151"/>
      <c r="J282" s="151"/>
      <c r="K282" s="144">
        <f>SUM(B282:J282)</f>
        <v>2076</v>
      </c>
    </row>
    <row r="283" spans="1:11" s="145" customFormat="1" ht="18">
      <c r="A283" s="141" t="s">
        <v>275</v>
      </c>
      <c r="B283" s="151"/>
      <c r="C283" s="151"/>
      <c r="D283" s="151"/>
      <c r="E283" s="144">
        <v>660</v>
      </c>
      <c r="F283" s="151"/>
      <c r="G283" s="144"/>
      <c r="H283" s="151"/>
      <c r="I283" s="151"/>
      <c r="J283" s="151"/>
      <c r="K283" s="144">
        <f>SUM(B283:J283)</f>
        <v>660</v>
      </c>
    </row>
    <row r="284" spans="1:11" s="145" customFormat="1" ht="18">
      <c r="A284" s="141" t="s">
        <v>299</v>
      </c>
      <c r="B284" s="151"/>
      <c r="C284" s="151"/>
      <c r="D284" s="151"/>
      <c r="E284" s="144">
        <v>0</v>
      </c>
      <c r="F284" s="151"/>
      <c r="G284" s="144"/>
      <c r="H284" s="151"/>
      <c r="I284" s="151"/>
      <c r="J284" s="151"/>
      <c r="K284" s="144">
        <f>SUM(B284:J284)</f>
        <v>0</v>
      </c>
    </row>
    <row r="285" spans="1:11" s="156" customFormat="1" ht="18">
      <c r="A285" s="141" t="s">
        <v>222</v>
      </c>
      <c r="B285" s="147"/>
      <c r="C285" s="147"/>
      <c r="D285" s="147"/>
      <c r="E285" s="147"/>
      <c r="F285" s="147"/>
      <c r="G285" s="147"/>
      <c r="H285" s="147"/>
      <c r="I285" s="147">
        <v>1750</v>
      </c>
      <c r="J285" s="147"/>
      <c r="K285" s="144">
        <f>SUM(B285:J285)</f>
        <v>1750</v>
      </c>
    </row>
    <row r="286" spans="1:11" s="146" customFormat="1" ht="18">
      <c r="A286" s="141" t="s">
        <v>109</v>
      </c>
      <c r="B286" s="144"/>
      <c r="C286" s="147"/>
      <c r="D286" s="147"/>
      <c r="E286" s="147"/>
      <c r="F286" s="144"/>
      <c r="G286" s="144"/>
      <c r="H286" s="147"/>
      <c r="I286" s="144">
        <v>3353</v>
      </c>
      <c r="J286" s="147"/>
      <c r="K286" s="144">
        <f t="shared" si="17"/>
        <v>3353</v>
      </c>
    </row>
    <row r="287" spans="1:11" s="146" customFormat="1" ht="18">
      <c r="A287" s="141" t="s">
        <v>110</v>
      </c>
      <c r="B287" s="144" t="s">
        <v>201</v>
      </c>
      <c r="C287" s="147" t="s">
        <v>225</v>
      </c>
      <c r="D287" s="147"/>
      <c r="E287" s="147"/>
      <c r="F287" s="144"/>
      <c r="G287" s="241"/>
      <c r="H287" s="147"/>
      <c r="I287" s="147"/>
      <c r="J287" s="147"/>
      <c r="K287" s="144">
        <f t="shared" si="17"/>
        <v>0</v>
      </c>
    </row>
    <row r="288" spans="1:11" s="140" customFormat="1" ht="18">
      <c r="A288" s="204" t="s">
        <v>181</v>
      </c>
      <c r="B288" s="138"/>
      <c r="C288" s="136"/>
      <c r="D288" s="136"/>
      <c r="E288" s="136"/>
      <c r="F288" s="138"/>
      <c r="G288" s="138"/>
      <c r="H288" s="136"/>
      <c r="I288" s="136">
        <v>21178</v>
      </c>
      <c r="J288" s="136"/>
      <c r="K288" s="138">
        <f t="shared" si="17"/>
        <v>21178</v>
      </c>
    </row>
    <row r="289" spans="1:11" s="140" customFormat="1" ht="18">
      <c r="A289" s="215" t="s">
        <v>186</v>
      </c>
      <c r="B289" s="138"/>
      <c r="C289" s="138"/>
      <c r="D289" s="138"/>
      <c r="E289" s="138"/>
      <c r="F289" s="138"/>
      <c r="G289" s="138"/>
      <c r="H289" s="138"/>
      <c r="I289" s="138">
        <v>1482</v>
      </c>
      <c r="J289" s="138"/>
      <c r="K289" s="138">
        <f>SUM(I289:J289)</f>
        <v>1482</v>
      </c>
    </row>
    <row r="290" spans="1:11" s="140" customFormat="1" ht="18">
      <c r="A290" s="204" t="s">
        <v>264</v>
      </c>
      <c r="B290" s="170"/>
      <c r="C290" s="170"/>
      <c r="D290" s="170"/>
      <c r="E290" s="171"/>
      <c r="F290" s="171"/>
      <c r="G290" s="171"/>
      <c r="H290" s="171"/>
      <c r="I290" s="171" t="s">
        <v>225</v>
      </c>
      <c r="J290" s="136"/>
      <c r="K290" s="138">
        <f>SUM(B290:J290)</f>
        <v>0</v>
      </c>
    </row>
    <row r="291" spans="1:11" s="237" customFormat="1" ht="18">
      <c r="A291" s="234" t="s">
        <v>418</v>
      </c>
      <c r="B291" s="235">
        <f>14974.09+160</f>
        <v>15134.09</v>
      </c>
      <c r="C291" s="235"/>
      <c r="D291" s="233">
        <f>8695.49+2173.87+160</f>
        <v>11029.36</v>
      </c>
      <c r="E291" s="236">
        <f>62667.78+160</f>
        <v>62827.78</v>
      </c>
      <c r="F291" s="236">
        <f>39554.81+160</f>
        <v>39714.81</v>
      </c>
      <c r="G291" s="236">
        <f>37887.9+160</f>
        <v>38047.9</v>
      </c>
      <c r="H291" s="236">
        <f>7571.77+160</f>
        <v>7731.77</v>
      </c>
      <c r="I291" s="236">
        <f>90220.44+160</f>
        <v>90380.44</v>
      </c>
      <c r="J291" s="235"/>
      <c r="K291" s="236">
        <f t="shared" ref="K291:K309" si="18">SUM(B291:J291)</f>
        <v>264866.15000000002</v>
      </c>
    </row>
    <row r="292" spans="1:11" s="181" customFormat="1" ht="18">
      <c r="A292" s="229" t="s">
        <v>361</v>
      </c>
      <c r="B292" s="191"/>
      <c r="C292" s="191"/>
      <c r="D292" s="189" t="s">
        <v>225</v>
      </c>
      <c r="E292" s="188"/>
      <c r="F292" s="188"/>
      <c r="G292" s="180"/>
      <c r="H292" s="188"/>
      <c r="I292" s="188"/>
      <c r="J292" s="179"/>
      <c r="K292" s="180">
        <f>SUM(B292:J292)</f>
        <v>0</v>
      </c>
    </row>
    <row r="293" spans="1:11" s="146" customFormat="1" ht="18">
      <c r="A293" s="141" t="s">
        <v>410</v>
      </c>
      <c r="B293" s="147">
        <v>4212</v>
      </c>
      <c r="C293" s="147">
        <v>2053</v>
      </c>
      <c r="D293" s="176">
        <v>4212</v>
      </c>
      <c r="E293" s="147">
        <v>4212</v>
      </c>
      <c r="F293" s="147">
        <v>4212</v>
      </c>
      <c r="G293" s="147">
        <v>4212</v>
      </c>
      <c r="H293" s="147">
        <v>4212</v>
      </c>
      <c r="I293" s="147">
        <v>4212</v>
      </c>
      <c r="J293" s="147">
        <v>4212</v>
      </c>
      <c r="K293" s="144">
        <f t="shared" ref="K293:K295" si="19">SUM(B293:J293)</f>
        <v>35749</v>
      </c>
    </row>
    <row r="294" spans="1:11" s="146" customFormat="1" ht="18">
      <c r="A294" s="141" t="s">
        <v>411</v>
      </c>
      <c r="B294" s="147">
        <v>9794</v>
      </c>
      <c r="C294" s="147">
        <v>3365</v>
      </c>
      <c r="D294" s="112"/>
      <c r="E294" s="147">
        <v>9794</v>
      </c>
      <c r="F294" s="147">
        <v>9794</v>
      </c>
      <c r="G294" s="147">
        <v>9794</v>
      </c>
      <c r="H294" s="147">
        <v>9794</v>
      </c>
      <c r="I294" s="147">
        <v>9794</v>
      </c>
      <c r="J294" s="147">
        <v>9794</v>
      </c>
      <c r="K294" s="144">
        <f t="shared" si="19"/>
        <v>71923</v>
      </c>
    </row>
    <row r="295" spans="1:11" s="146" customFormat="1" ht="18">
      <c r="A295" s="141" t="s">
        <v>412</v>
      </c>
      <c r="B295" s="147">
        <v>2106</v>
      </c>
      <c r="C295" s="147">
        <v>2106</v>
      </c>
      <c r="D295" s="147">
        <v>2106</v>
      </c>
      <c r="E295" s="147">
        <v>2106</v>
      </c>
      <c r="F295" s="147">
        <v>2106</v>
      </c>
      <c r="G295" s="147">
        <v>2106</v>
      </c>
      <c r="H295" s="147">
        <v>2106</v>
      </c>
      <c r="I295" s="147">
        <v>2106</v>
      </c>
      <c r="J295" s="147">
        <v>2106</v>
      </c>
      <c r="K295" s="144">
        <f t="shared" si="19"/>
        <v>18954</v>
      </c>
    </row>
    <row r="296" spans="1:11" s="146" customFormat="1" ht="18">
      <c r="A296" s="141" t="s">
        <v>422</v>
      </c>
      <c r="B296" s="147"/>
      <c r="C296" s="147"/>
      <c r="D296" s="147"/>
      <c r="E296" s="147"/>
      <c r="F296" s="147"/>
      <c r="G296" s="147"/>
      <c r="H296" s="147"/>
      <c r="I296" s="144">
        <v>0</v>
      </c>
      <c r="J296" s="147"/>
      <c r="K296" s="144">
        <f>SUM(B296:J296)</f>
        <v>0</v>
      </c>
    </row>
    <row r="297" spans="1:11" s="146" customFormat="1" ht="18">
      <c r="A297" s="141" t="s">
        <v>413</v>
      </c>
      <c r="B297" s="147"/>
      <c r="C297" s="46">
        <v>809</v>
      </c>
      <c r="D297" s="147"/>
      <c r="E297" s="46">
        <v>809</v>
      </c>
      <c r="F297" s="46">
        <v>1079</v>
      </c>
      <c r="G297" s="50">
        <v>809</v>
      </c>
      <c r="H297" s="50">
        <v>809</v>
      </c>
      <c r="I297" s="46">
        <v>1349</v>
      </c>
      <c r="J297" s="147"/>
      <c r="K297" s="144">
        <f t="shared" si="18"/>
        <v>5664</v>
      </c>
    </row>
    <row r="298" spans="1:11" s="146" customFormat="1" ht="18">
      <c r="A298" s="141" t="s">
        <v>414</v>
      </c>
      <c r="B298" s="147"/>
      <c r="C298" s="48">
        <v>54</v>
      </c>
      <c r="D298" s="147"/>
      <c r="E298" s="48">
        <v>54</v>
      </c>
      <c r="F298" s="48"/>
      <c r="G298" s="48"/>
      <c r="H298" s="48"/>
      <c r="I298" s="46"/>
      <c r="J298" s="147"/>
      <c r="K298" s="144">
        <f>SUM(B298:J298)</f>
        <v>108</v>
      </c>
    </row>
    <row r="299" spans="1:11" s="146" customFormat="1" ht="18">
      <c r="A299" s="141" t="s">
        <v>253</v>
      </c>
      <c r="B299" s="147"/>
      <c r="C299" s="48">
        <v>199</v>
      </c>
      <c r="D299" s="147"/>
      <c r="E299" s="48">
        <v>199</v>
      </c>
      <c r="F299" s="48">
        <v>199</v>
      </c>
      <c r="G299" s="48">
        <v>199</v>
      </c>
      <c r="H299" s="48"/>
      <c r="I299" s="46"/>
      <c r="J299" s="147"/>
      <c r="K299" s="144">
        <f>SUM(B299:J299)</f>
        <v>796</v>
      </c>
    </row>
    <row r="300" spans="1:11" s="181" customFormat="1" ht="18">
      <c r="A300" s="178" t="s">
        <v>331</v>
      </c>
      <c r="B300" s="179"/>
      <c r="C300" s="179"/>
      <c r="D300" s="179"/>
      <c r="E300" s="179"/>
      <c r="F300" s="179"/>
      <c r="G300" s="179"/>
      <c r="H300" s="179"/>
      <c r="I300" s="180"/>
      <c r="J300" s="179"/>
      <c r="K300" s="180">
        <f>SUM(B300:J300)</f>
        <v>0</v>
      </c>
    </row>
    <row r="301" spans="1:11" s="146" customFormat="1" ht="18">
      <c r="A301" s="141" t="s">
        <v>255</v>
      </c>
      <c r="B301" s="144"/>
      <c r="C301" s="144">
        <v>659</v>
      </c>
      <c r="D301" s="147"/>
      <c r="E301" s="15">
        <v>1319</v>
      </c>
      <c r="F301" s="144"/>
      <c r="G301" s="15">
        <v>792</v>
      </c>
      <c r="H301" s="147"/>
      <c r="I301" s="147"/>
      <c r="J301" s="147"/>
      <c r="K301" s="144">
        <f>SUM(B301:J301)</f>
        <v>2770</v>
      </c>
    </row>
    <row r="302" spans="1:11" s="146" customFormat="1" ht="18">
      <c r="A302" s="141" t="s">
        <v>111</v>
      </c>
      <c r="B302" s="144"/>
      <c r="C302" s="147"/>
      <c r="D302" s="147"/>
      <c r="E302" s="147"/>
      <c r="F302" s="144"/>
      <c r="G302" s="15">
        <v>3357</v>
      </c>
      <c r="H302" s="148"/>
      <c r="I302" s="147"/>
      <c r="J302" s="147"/>
      <c r="K302" s="144">
        <f t="shared" si="18"/>
        <v>3357</v>
      </c>
    </row>
    <row r="303" spans="1:11" s="146" customFormat="1" ht="18">
      <c r="A303" s="203" t="s">
        <v>369</v>
      </c>
      <c r="B303" s="144"/>
      <c r="C303" s="147" t="s">
        <v>201</v>
      </c>
      <c r="D303" s="147"/>
      <c r="E303" s="147"/>
      <c r="F303" s="144"/>
      <c r="G303" s="144"/>
      <c r="H303" s="144"/>
      <c r="I303" s="147"/>
      <c r="J303" s="147"/>
      <c r="K303" s="144">
        <f>SUM(B303:J303)</f>
        <v>0</v>
      </c>
    </row>
    <row r="304" spans="1:11" s="140" customFormat="1" ht="18">
      <c r="A304" s="204" t="s">
        <v>188</v>
      </c>
      <c r="B304" s="138"/>
      <c r="C304" s="136"/>
      <c r="D304" s="136"/>
      <c r="E304" s="136"/>
      <c r="F304" s="138"/>
      <c r="G304" s="138"/>
      <c r="H304" s="136"/>
      <c r="I304" s="138">
        <v>115638</v>
      </c>
      <c r="J304" s="136"/>
      <c r="K304" s="138">
        <f t="shared" si="18"/>
        <v>115638</v>
      </c>
    </row>
    <row r="305" spans="1:11" s="140" customFormat="1" ht="18">
      <c r="A305" s="204" t="s">
        <v>180</v>
      </c>
      <c r="B305" s="138"/>
      <c r="C305" s="136"/>
      <c r="D305" s="136"/>
      <c r="E305" s="136">
        <v>5</v>
      </c>
      <c r="F305" s="138"/>
      <c r="G305" s="138"/>
      <c r="H305" s="136"/>
      <c r="I305" s="136"/>
      <c r="J305" s="136"/>
      <c r="K305" s="138">
        <f t="shared" si="18"/>
        <v>5</v>
      </c>
    </row>
    <row r="306" spans="1:11" s="140" customFormat="1" ht="18">
      <c r="A306" s="203" t="s">
        <v>370</v>
      </c>
      <c r="B306" s="138"/>
      <c r="C306" s="147" t="s">
        <v>201</v>
      </c>
      <c r="D306" s="136"/>
      <c r="E306" s="136"/>
      <c r="F306" s="138"/>
      <c r="G306" s="138"/>
      <c r="H306" s="136"/>
      <c r="I306" s="136"/>
      <c r="J306" s="136"/>
      <c r="K306" s="144">
        <f>SUM(B306:J306)</f>
        <v>0</v>
      </c>
    </row>
    <row r="307" spans="1:11" s="146" customFormat="1" ht="18">
      <c r="A307" s="141" t="s">
        <v>112</v>
      </c>
      <c r="B307" s="144"/>
      <c r="C307" s="147"/>
      <c r="D307" s="147"/>
      <c r="E307" s="147"/>
      <c r="F307" s="144">
        <v>4000</v>
      </c>
      <c r="G307" s="180">
        <v>3350</v>
      </c>
      <c r="H307" s="147"/>
      <c r="I307" s="147"/>
      <c r="J307" s="147"/>
      <c r="K307" s="144">
        <f t="shared" si="18"/>
        <v>7350</v>
      </c>
    </row>
    <row r="308" spans="1:11" s="146" customFormat="1" ht="18">
      <c r="A308" s="141" t="s">
        <v>113</v>
      </c>
      <c r="B308" s="144">
        <v>8400</v>
      </c>
      <c r="C308" s="144"/>
      <c r="D308" s="144"/>
      <c r="E308" s="144">
        <v>4750</v>
      </c>
      <c r="F308" s="144"/>
      <c r="G308" s="144">
        <v>3970</v>
      </c>
      <c r="H308" s="144"/>
      <c r="I308" s="144"/>
      <c r="J308" s="144"/>
      <c r="K308" s="144">
        <f t="shared" si="18"/>
        <v>17120</v>
      </c>
    </row>
    <row r="309" spans="1:11" s="146" customFormat="1" ht="18">
      <c r="A309" s="141" t="s">
        <v>239</v>
      </c>
      <c r="B309" s="144"/>
      <c r="C309" s="144"/>
      <c r="D309" s="144"/>
      <c r="E309" s="144"/>
      <c r="F309" s="144"/>
      <c r="G309" s="144"/>
      <c r="H309" s="144"/>
      <c r="I309" s="144" t="s">
        <v>225</v>
      </c>
      <c r="J309" s="144"/>
      <c r="K309" s="144">
        <f t="shared" si="18"/>
        <v>0</v>
      </c>
    </row>
    <row r="310" spans="1:11" s="206" customFormat="1" ht="18">
      <c r="A310" s="205" t="s">
        <v>149</v>
      </c>
      <c r="B310" s="137"/>
      <c r="C310" s="137"/>
      <c r="D310" s="137"/>
      <c r="E310" s="137"/>
      <c r="F310" s="137"/>
      <c r="G310" s="165"/>
      <c r="H310" s="137"/>
      <c r="I310" s="137" t="s">
        <v>225</v>
      </c>
      <c r="J310" s="137"/>
      <c r="K310" s="165">
        <f t="shared" ref="K310:K329" si="20">SUM(B310:J310)</f>
        <v>0</v>
      </c>
    </row>
    <row r="311" spans="1:11" s="206" customFormat="1" ht="18">
      <c r="A311" s="205" t="s">
        <v>151</v>
      </c>
      <c r="B311" s="137"/>
      <c r="C311" s="137"/>
      <c r="D311" s="137"/>
      <c r="E311" s="137"/>
      <c r="F311" s="137" t="s">
        <v>201</v>
      </c>
      <c r="G311" s="165"/>
      <c r="H311" s="137"/>
      <c r="I311" s="165" t="s">
        <v>225</v>
      </c>
      <c r="J311" s="137"/>
      <c r="K311" s="165">
        <f t="shared" si="20"/>
        <v>0</v>
      </c>
    </row>
    <row r="312" spans="1:11" s="146" customFormat="1" ht="18">
      <c r="A312" s="141" t="s">
        <v>114</v>
      </c>
      <c r="B312" s="144"/>
      <c r="C312" s="144"/>
      <c r="D312" s="144"/>
      <c r="E312" s="144"/>
      <c r="F312" s="147">
        <v>5364</v>
      </c>
      <c r="G312" s="147"/>
      <c r="H312" s="147"/>
      <c r="I312" s="144">
        <v>6480</v>
      </c>
      <c r="J312" s="144"/>
      <c r="K312" s="144">
        <f t="shared" si="20"/>
        <v>11844</v>
      </c>
    </row>
    <row r="313" spans="1:11" s="181" customFormat="1" ht="18">
      <c r="A313" s="178" t="s">
        <v>375</v>
      </c>
      <c r="B313" s="180"/>
      <c r="C313" s="180"/>
      <c r="D313" s="180"/>
      <c r="E313" s="180"/>
      <c r="F313" s="179">
        <v>6544</v>
      </c>
      <c r="G313" s="179"/>
      <c r="H313" s="179"/>
      <c r="I313" s="180"/>
      <c r="J313" s="180"/>
      <c r="K313" s="180">
        <f>SUM(B313:J313)</f>
        <v>6544</v>
      </c>
    </row>
    <row r="314" spans="1:11" s="146" customFormat="1" ht="18">
      <c r="A314" s="141" t="s">
        <v>387</v>
      </c>
      <c r="B314" s="144"/>
      <c r="C314" s="144"/>
      <c r="D314" s="144"/>
      <c r="E314" s="144"/>
      <c r="F314" s="147">
        <v>300</v>
      </c>
      <c r="G314" s="147"/>
      <c r="H314" s="147">
        <v>430</v>
      </c>
      <c r="I314" s="144">
        <v>581</v>
      </c>
      <c r="J314" s="144"/>
      <c r="K314" s="144">
        <f t="shared" si="20"/>
        <v>1311</v>
      </c>
    </row>
    <row r="315" spans="1:11" s="146" customFormat="1" ht="18">
      <c r="A315" s="141" t="s">
        <v>115</v>
      </c>
      <c r="B315" s="144"/>
      <c r="C315" s="147">
        <v>2721.6</v>
      </c>
      <c r="D315" s="144"/>
      <c r="E315" s="144"/>
      <c r="F315" s="144" t="s">
        <v>201</v>
      </c>
      <c r="G315" s="144"/>
      <c r="H315" s="153"/>
      <c r="I315" s="144"/>
      <c r="J315" s="144"/>
      <c r="K315" s="144">
        <f t="shared" si="20"/>
        <v>2721.6</v>
      </c>
    </row>
    <row r="316" spans="1:11" s="146" customFormat="1" ht="18">
      <c r="A316" s="141" t="s">
        <v>164</v>
      </c>
      <c r="B316" s="144"/>
      <c r="C316" s="147"/>
      <c r="D316" s="144"/>
      <c r="E316" s="144"/>
      <c r="F316" s="144"/>
      <c r="G316" s="144">
        <v>3910.5</v>
      </c>
      <c r="H316" s="147"/>
      <c r="I316" s="144"/>
      <c r="J316" s="144"/>
      <c r="K316" s="144">
        <f>SUM(B316:J316)</f>
        <v>3910.5</v>
      </c>
    </row>
    <row r="317" spans="1:11" s="146" customFormat="1" ht="18">
      <c r="A317" s="141" t="s">
        <v>116</v>
      </c>
      <c r="B317" s="144"/>
      <c r="C317" s="144"/>
      <c r="D317" s="144"/>
      <c r="E317" s="144"/>
      <c r="F317" s="144"/>
      <c r="G317" s="144"/>
      <c r="H317" s="144"/>
      <c r="I317" s="147">
        <v>3622.5</v>
      </c>
      <c r="J317" s="144"/>
      <c r="K317" s="144">
        <f t="shared" si="20"/>
        <v>3622.5</v>
      </c>
    </row>
    <row r="318" spans="1:11" s="146" customFormat="1" ht="18">
      <c r="A318" s="141" t="s">
        <v>117</v>
      </c>
      <c r="B318" s="144"/>
      <c r="C318" s="144"/>
      <c r="D318" s="144"/>
      <c r="E318" s="144">
        <v>3564</v>
      </c>
      <c r="F318" s="144" t="s">
        <v>201</v>
      </c>
      <c r="G318" s="144"/>
      <c r="H318" s="144">
        <v>2697.3</v>
      </c>
      <c r="I318" s="179">
        <v>2632.5</v>
      </c>
      <c r="J318" s="144"/>
      <c r="K318" s="144">
        <f t="shared" si="20"/>
        <v>8893.7999999999993</v>
      </c>
    </row>
    <row r="319" spans="1:11" s="146" customFormat="1" ht="18">
      <c r="A319" s="141" t="s">
        <v>146</v>
      </c>
      <c r="B319" s="144"/>
      <c r="C319" s="144"/>
      <c r="D319" s="144"/>
      <c r="E319" s="144"/>
      <c r="F319" s="147">
        <v>512</v>
      </c>
      <c r="G319" s="144"/>
      <c r="H319" s="144"/>
      <c r="I319" s="179">
        <v>13356</v>
      </c>
      <c r="J319" s="144"/>
      <c r="K319" s="144">
        <f t="shared" si="20"/>
        <v>13868</v>
      </c>
    </row>
    <row r="320" spans="1:11" s="181" customFormat="1" ht="18">
      <c r="A320" s="178" t="s">
        <v>332</v>
      </c>
      <c r="B320" s="180"/>
      <c r="C320" s="180"/>
      <c r="D320" s="180"/>
      <c r="E320" s="180"/>
      <c r="F320" s="179"/>
      <c r="G320" s="180">
        <v>3235.5</v>
      </c>
      <c r="H320" s="180"/>
      <c r="I320" s="179"/>
      <c r="J320" s="180"/>
      <c r="K320" s="180">
        <f>SUM(B320:J320)</f>
        <v>3235.5</v>
      </c>
    </row>
    <row r="321" spans="1:11" s="146" customFormat="1" ht="18">
      <c r="A321" s="141" t="s">
        <v>118</v>
      </c>
      <c r="B321" s="144"/>
      <c r="C321" s="144"/>
      <c r="D321" s="198">
        <v>7791.3</v>
      </c>
      <c r="E321" s="144"/>
      <c r="F321" s="147">
        <v>6060</v>
      </c>
      <c r="G321" s="194">
        <v>5454</v>
      </c>
      <c r="H321" s="144"/>
      <c r="I321" s="144">
        <v>6340.5</v>
      </c>
      <c r="J321" s="144"/>
      <c r="K321" s="144">
        <f t="shared" si="20"/>
        <v>25645.8</v>
      </c>
    </row>
    <row r="322" spans="1:11" s="146" customFormat="1" ht="18">
      <c r="A322" s="141" t="s">
        <v>145</v>
      </c>
      <c r="B322" s="144"/>
      <c r="C322" s="144"/>
      <c r="D322" s="144"/>
      <c r="E322" s="144"/>
      <c r="F322" s="147">
        <v>872</v>
      </c>
      <c r="G322" s="174" t="s">
        <v>201</v>
      </c>
      <c r="H322" s="144"/>
      <c r="I322" s="147">
        <v>798</v>
      </c>
      <c r="J322" s="144"/>
      <c r="K322" s="144">
        <f t="shared" si="20"/>
        <v>1670</v>
      </c>
    </row>
    <row r="323" spans="1:11" s="146" customFormat="1" ht="18">
      <c r="A323" s="141" t="s">
        <v>119</v>
      </c>
      <c r="B323" s="144"/>
      <c r="C323" s="144"/>
      <c r="D323" s="144"/>
      <c r="E323" s="144"/>
      <c r="F323" s="147">
        <v>872</v>
      </c>
      <c r="G323" s="147"/>
      <c r="H323" s="144"/>
      <c r="I323" s="147">
        <v>822</v>
      </c>
      <c r="J323" s="144"/>
      <c r="K323" s="144">
        <f t="shared" si="20"/>
        <v>1694</v>
      </c>
    </row>
    <row r="324" spans="1:11" s="181" customFormat="1" ht="18">
      <c r="A324" s="178" t="s">
        <v>329</v>
      </c>
      <c r="B324" s="180"/>
      <c r="C324" s="180"/>
      <c r="D324" s="180"/>
      <c r="E324" s="180"/>
      <c r="F324" s="179"/>
      <c r="G324" s="193">
        <v>5490</v>
      </c>
      <c r="H324" s="180"/>
      <c r="I324" s="180"/>
      <c r="J324" s="180"/>
      <c r="K324" s="180">
        <f>SUM(B324:J324)</f>
        <v>5490</v>
      </c>
    </row>
    <row r="325" spans="1:11" s="146" customFormat="1" ht="18">
      <c r="A325" s="141" t="s">
        <v>120</v>
      </c>
      <c r="B325" s="144"/>
      <c r="C325" s="144"/>
      <c r="D325" s="147"/>
      <c r="E325" s="147"/>
      <c r="F325" s="147" t="s">
        <v>201</v>
      </c>
      <c r="G325" s="147"/>
      <c r="H325" s="147">
        <v>18036</v>
      </c>
      <c r="I325" s="144"/>
      <c r="J325" s="144"/>
      <c r="K325" s="144">
        <f t="shared" si="20"/>
        <v>18036</v>
      </c>
    </row>
    <row r="326" spans="1:11" s="146" customFormat="1" ht="18">
      <c r="A326" s="141" t="s">
        <v>386</v>
      </c>
      <c r="B326" s="144"/>
      <c r="C326" s="144"/>
      <c r="D326" s="144"/>
      <c r="E326" s="147">
        <v>3699</v>
      </c>
      <c r="F326" s="144"/>
      <c r="G326" s="144"/>
      <c r="H326" s="147"/>
      <c r="I326" s="144"/>
      <c r="J326" s="144"/>
      <c r="K326" s="144">
        <f t="shared" si="20"/>
        <v>3699</v>
      </c>
    </row>
    <row r="327" spans="1:11" s="146" customFormat="1" ht="18">
      <c r="A327" s="197" t="s">
        <v>385</v>
      </c>
      <c r="B327" s="144"/>
      <c r="C327" s="144"/>
      <c r="D327" s="144"/>
      <c r="E327" s="147">
        <v>326</v>
      </c>
      <c r="F327" s="147">
        <v>326</v>
      </c>
      <c r="G327" s="147">
        <v>326</v>
      </c>
      <c r="H327" s="147"/>
      <c r="I327" s="147">
        <v>326</v>
      </c>
      <c r="J327" s="144"/>
      <c r="K327" s="144">
        <f t="shared" si="20"/>
        <v>1304</v>
      </c>
    </row>
    <row r="328" spans="1:11" s="156" customFormat="1" ht="18">
      <c r="A328" s="141" t="s">
        <v>248</v>
      </c>
      <c r="B328" s="147"/>
      <c r="C328" s="147"/>
      <c r="D328" s="147"/>
      <c r="E328" s="147" t="s">
        <v>225</v>
      </c>
      <c r="F328" s="147"/>
      <c r="G328" s="147"/>
      <c r="H328" s="147"/>
      <c r="I328" s="147"/>
      <c r="J328" s="147"/>
      <c r="K328" s="144">
        <f>SUM(B328:J328)</f>
        <v>0</v>
      </c>
    </row>
    <row r="329" spans="1:11" s="146" customFormat="1" ht="18">
      <c r="A329" s="141" t="s">
        <v>229</v>
      </c>
      <c r="B329" s="144"/>
      <c r="C329" s="46">
        <v>945</v>
      </c>
      <c r="D329" s="175">
        <v>1995</v>
      </c>
      <c r="E329" s="147"/>
      <c r="F329" s="147"/>
      <c r="G329" s="207">
        <v>525</v>
      </c>
      <c r="H329" s="50">
        <v>500</v>
      </c>
      <c r="I329" s="144"/>
      <c r="J329" s="144"/>
      <c r="K329" s="144">
        <f t="shared" si="20"/>
        <v>3965</v>
      </c>
    </row>
    <row r="330" spans="1:11">
      <c r="A330" s="38"/>
      <c r="B330" s="19"/>
      <c r="C330" s="19"/>
      <c r="D330" s="19"/>
      <c r="E330" s="21"/>
      <c r="F330" s="21"/>
      <c r="G330" s="21"/>
      <c r="H330" s="21"/>
      <c r="I330" s="21"/>
      <c r="J330" s="19"/>
      <c r="K330" s="15"/>
    </row>
    <row r="331" spans="1:11" s="1" customFormat="1" ht="18">
      <c r="A331" s="24" t="s">
        <v>140</v>
      </c>
      <c r="B331" s="18">
        <f>SUM(B13:B330)</f>
        <v>284695.81</v>
      </c>
      <c r="C331" s="18">
        <f t="shared" ref="C331:K331" si="21">SUM(C13:C330)</f>
        <v>170433.13</v>
      </c>
      <c r="D331" s="18">
        <f t="shared" si="21"/>
        <v>287879.18999999994</v>
      </c>
      <c r="E331" s="18">
        <f t="shared" si="21"/>
        <v>617288.22000000009</v>
      </c>
      <c r="F331" s="18">
        <f t="shared" si="21"/>
        <v>445115.33</v>
      </c>
      <c r="G331" s="18">
        <f t="shared" si="21"/>
        <v>451188.27000000008</v>
      </c>
      <c r="H331" s="18">
        <f t="shared" si="21"/>
        <v>219415.14999999997</v>
      </c>
      <c r="I331" s="18">
        <f t="shared" si="21"/>
        <v>1798040.0399999998</v>
      </c>
      <c r="J331" s="18">
        <f t="shared" si="21"/>
        <v>104581.3</v>
      </c>
      <c r="K331" s="18">
        <f t="shared" si="21"/>
        <v>4378636.4399999995</v>
      </c>
    </row>
    <row r="332" spans="1:11" s="27" customFormat="1" ht="51.75">
      <c r="A332" s="39"/>
      <c r="B332" s="26" t="s">
        <v>191</v>
      </c>
      <c r="C332" s="26" t="s">
        <v>192</v>
      </c>
      <c r="D332" s="26" t="s">
        <v>193</v>
      </c>
      <c r="E332" s="26" t="s">
        <v>194</v>
      </c>
      <c r="F332" s="26" t="s">
        <v>195</v>
      </c>
      <c r="G332" s="26" t="s">
        <v>196</v>
      </c>
      <c r="H332" s="26" t="s">
        <v>197</v>
      </c>
      <c r="I332" s="26" t="s">
        <v>198</v>
      </c>
      <c r="J332" s="26"/>
      <c r="K332" s="26"/>
    </row>
    <row r="333" spans="1:11">
      <c r="A333" s="144"/>
      <c r="B333" s="29"/>
      <c r="C333" s="29"/>
      <c r="D333" s="29"/>
      <c r="E333" s="29"/>
      <c r="F333" s="29"/>
      <c r="G333" s="29"/>
      <c r="H333" s="29"/>
      <c r="I333" s="29"/>
      <c r="J333" s="29"/>
      <c r="K333" s="29"/>
    </row>
  </sheetData>
  <phoneticPr fontId="11" type="noConversion"/>
  <pageMargins left="0.75" right="0.75" top="1" bottom="1" header="0.5" footer="0.5"/>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2009.10 resources</vt:lpstr>
      <vt:lpstr>2010.11 SUBSCRIPTIONS</vt:lpstr>
      <vt:lpstr>2010.1011 price quotes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Martha</cp:lastModifiedBy>
  <cp:lastPrinted>2009-11-30T16:31:42Z</cp:lastPrinted>
  <dcterms:created xsi:type="dcterms:W3CDTF">2007-05-01T15:21:27Z</dcterms:created>
  <dcterms:modified xsi:type="dcterms:W3CDTF">2010-06-29T16:25:16Z</dcterms:modified>
</cp:coreProperties>
</file>